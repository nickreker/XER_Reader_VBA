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reker\Documents\Working\misc_prog\XER_Reader_VBA\"/>
    </mc:Choice>
  </mc:AlternateContent>
  <xr:revisionPtr revIDLastSave="0" documentId="13_ncr:1_{DE95324A-C1DF-453B-B8DD-717E58A4CFF1}" xr6:coauthVersionLast="47" xr6:coauthVersionMax="47" xr10:uidLastSave="{00000000-0000-0000-0000-000000000000}"/>
  <bookViews>
    <workbookView xWindow="39210" yWindow="-120" windowWidth="37710" windowHeight="21840" tabRatio="790" activeTab="1" xr2:uid="{00000000-000D-0000-FFFF-FFFF00000000}"/>
  </bookViews>
  <sheets>
    <sheet name="Dashboard" sheetId="1" r:id="rId1"/>
    <sheet name="Calendar Report" sheetId="49" r:id="rId2"/>
    <sheet name="ACTVCODE" sheetId="29" r:id="rId3"/>
    <sheet name="ACTVTYPE" sheetId="30" r:id="rId4"/>
    <sheet name="CALENDAR" sheetId="31" r:id="rId5"/>
    <sheet name="CURRTYPE" sheetId="32" r:id="rId6"/>
    <sheet name="MEMOTYPE" sheetId="33" r:id="rId7"/>
    <sheet name="NONWORK" sheetId="34" r:id="rId8"/>
    <sheet name="OBS" sheetId="35" r:id="rId9"/>
    <sheet name="PROJECT" sheetId="36" r:id="rId10"/>
    <sheet name="PROJWBS" sheetId="37" r:id="rId11"/>
    <sheet name="RSRC" sheetId="38" r:id="rId12"/>
    <sheet name="RSRCRATE" sheetId="39" r:id="rId13"/>
    <sheet name="SCHEDOPTIONS" sheetId="40" r:id="rId14"/>
    <sheet name="TASK" sheetId="41" r:id="rId15"/>
    <sheet name="TASKACTV" sheetId="42" r:id="rId16"/>
    <sheet name="TASKMEMO" sheetId="43" r:id="rId17"/>
    <sheet name="TASKPRED" sheetId="44" r:id="rId18"/>
    <sheet name="TASKRSRC" sheetId="45" r:id="rId19"/>
    <sheet name="UDFTYPE" sheetId="46" r:id="rId20"/>
    <sheet name="UDFVALUE" sheetId="47" r:id="rId2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2" i="49" l="1"/>
  <c r="D40" i="49"/>
  <c r="S31" i="49"/>
  <c r="S33" i="49" s="1"/>
  <c r="T33" i="49" s="1"/>
  <c r="U33" i="49" s="1"/>
  <c r="V33" i="49" s="1"/>
  <c r="W33" i="49" s="1"/>
  <c r="X33" i="49" s="1"/>
  <c r="Y33" i="49" s="1"/>
  <c r="S34" i="49" s="1"/>
  <c r="T34" i="49" s="1"/>
  <c r="U34" i="49" s="1"/>
  <c r="V34" i="49" s="1"/>
  <c r="W34" i="49" s="1"/>
  <c r="X34" i="49" s="1"/>
  <c r="Y34" i="49" s="1"/>
  <c r="S35" i="49" s="1"/>
  <c r="T35" i="49" s="1"/>
  <c r="U35" i="49" s="1"/>
  <c r="V35" i="49" s="1"/>
  <c r="W35" i="49" s="1"/>
  <c r="X35" i="49" s="1"/>
  <c r="Y35" i="49" s="1"/>
  <c r="S36" i="49" s="1"/>
  <c r="T36" i="49" s="1"/>
  <c r="U36" i="49" s="1"/>
  <c r="V36" i="49" s="1"/>
  <c r="W36" i="49" s="1"/>
  <c r="X36" i="49" s="1"/>
  <c r="Y36" i="49" s="1"/>
  <c r="S37" i="49" s="1"/>
  <c r="T37" i="49" s="1"/>
  <c r="U37" i="49" s="1"/>
  <c r="V37" i="49" s="1"/>
  <c r="W37" i="49" s="1"/>
  <c r="X37" i="49" s="1"/>
  <c r="Y37" i="49" s="1"/>
  <c r="S38" i="49" s="1"/>
  <c r="T38" i="49" s="1"/>
  <c r="U38" i="49" s="1"/>
  <c r="V38" i="49" s="1"/>
  <c r="W38" i="49" s="1"/>
  <c r="X38" i="49" s="1"/>
  <c r="Y38" i="49" s="1"/>
  <c r="K31" i="49"/>
  <c r="K33" i="49" s="1"/>
  <c r="L33" i="49" s="1"/>
  <c r="M33" i="49" s="1"/>
  <c r="N33" i="49" s="1"/>
  <c r="O33" i="49" s="1"/>
  <c r="P33" i="49" s="1"/>
  <c r="Q33" i="49" s="1"/>
  <c r="K34" i="49" s="1"/>
  <c r="L34" i="49" s="1"/>
  <c r="M34" i="49" s="1"/>
  <c r="N34" i="49" s="1"/>
  <c r="O34" i="49" s="1"/>
  <c r="P34" i="49" s="1"/>
  <c r="Q34" i="49" s="1"/>
  <c r="K35" i="49" s="1"/>
  <c r="L35" i="49" s="1"/>
  <c r="M35" i="49" s="1"/>
  <c r="N35" i="49" s="1"/>
  <c r="O35" i="49" s="1"/>
  <c r="P35" i="49" s="1"/>
  <c r="Q35" i="49" s="1"/>
  <c r="K36" i="49" s="1"/>
  <c r="L36" i="49" s="1"/>
  <c r="M36" i="49" s="1"/>
  <c r="N36" i="49" s="1"/>
  <c r="O36" i="49" s="1"/>
  <c r="P36" i="49" s="1"/>
  <c r="Q36" i="49" s="1"/>
  <c r="K37" i="49" s="1"/>
  <c r="L37" i="49" s="1"/>
  <c r="M37" i="49" s="1"/>
  <c r="N37" i="49" s="1"/>
  <c r="O37" i="49" s="1"/>
  <c r="P37" i="49" s="1"/>
  <c r="Q37" i="49" s="1"/>
  <c r="K38" i="49" s="1"/>
  <c r="L38" i="49" s="1"/>
  <c r="M38" i="49" s="1"/>
  <c r="N38" i="49" s="1"/>
  <c r="O38" i="49" s="1"/>
  <c r="P38" i="49" s="1"/>
  <c r="Q38" i="49" s="1"/>
  <c r="C31" i="49"/>
  <c r="C33" i="49" s="1"/>
  <c r="D33" i="49" s="1"/>
  <c r="E33" i="49" s="1"/>
  <c r="F33" i="49" s="1"/>
  <c r="G33" i="49" s="1"/>
  <c r="H33" i="49" s="1"/>
  <c r="I33" i="49" s="1"/>
  <c r="C34" i="49" s="1"/>
  <c r="D34" i="49" s="1"/>
  <c r="E34" i="49" s="1"/>
  <c r="F34" i="49" s="1"/>
  <c r="G34" i="49" s="1"/>
  <c r="H34" i="49" s="1"/>
  <c r="I34" i="49" s="1"/>
  <c r="C35" i="49" s="1"/>
  <c r="D35" i="49" s="1"/>
  <c r="E35" i="49" s="1"/>
  <c r="F35" i="49" s="1"/>
  <c r="G35" i="49" s="1"/>
  <c r="H35" i="49" s="1"/>
  <c r="I35" i="49" s="1"/>
  <c r="C36" i="49" s="1"/>
  <c r="D36" i="49" s="1"/>
  <c r="E36" i="49" s="1"/>
  <c r="F36" i="49" s="1"/>
  <c r="G36" i="49" s="1"/>
  <c r="H36" i="49" s="1"/>
  <c r="I36" i="49" s="1"/>
  <c r="C37" i="49" s="1"/>
  <c r="D37" i="49" s="1"/>
  <c r="E37" i="49" s="1"/>
  <c r="F37" i="49" s="1"/>
  <c r="G37" i="49" s="1"/>
  <c r="H37" i="49" s="1"/>
  <c r="I37" i="49" s="1"/>
  <c r="C38" i="49" s="1"/>
  <c r="D38" i="49" s="1"/>
  <c r="E38" i="49" s="1"/>
  <c r="F38" i="49" s="1"/>
  <c r="G38" i="49" s="1"/>
  <c r="H38" i="49" s="1"/>
  <c r="I38" i="49" s="1"/>
  <c r="S22" i="49"/>
  <c r="S24" i="49" s="1"/>
  <c r="T24" i="49" s="1"/>
  <c r="U24" i="49" s="1"/>
  <c r="V24" i="49" s="1"/>
  <c r="W24" i="49" s="1"/>
  <c r="X24" i="49" s="1"/>
  <c r="Y24" i="49" s="1"/>
  <c r="S25" i="49" s="1"/>
  <c r="T25" i="49" s="1"/>
  <c r="U25" i="49" s="1"/>
  <c r="V25" i="49" s="1"/>
  <c r="W25" i="49" s="1"/>
  <c r="X25" i="49" s="1"/>
  <c r="Y25" i="49" s="1"/>
  <c r="S26" i="49" s="1"/>
  <c r="T26" i="49" s="1"/>
  <c r="U26" i="49" s="1"/>
  <c r="V26" i="49" s="1"/>
  <c r="W26" i="49" s="1"/>
  <c r="X26" i="49" s="1"/>
  <c r="Y26" i="49" s="1"/>
  <c r="S27" i="49" s="1"/>
  <c r="T27" i="49" s="1"/>
  <c r="U27" i="49" s="1"/>
  <c r="V27" i="49" s="1"/>
  <c r="W27" i="49" s="1"/>
  <c r="X27" i="49" s="1"/>
  <c r="Y27" i="49" s="1"/>
  <c r="S28" i="49" s="1"/>
  <c r="T28" i="49" s="1"/>
  <c r="U28" i="49" s="1"/>
  <c r="V28" i="49" s="1"/>
  <c r="W28" i="49" s="1"/>
  <c r="X28" i="49" s="1"/>
  <c r="Y28" i="49" s="1"/>
  <c r="S29" i="49" s="1"/>
  <c r="T29" i="49" s="1"/>
  <c r="U29" i="49" s="1"/>
  <c r="V29" i="49" s="1"/>
  <c r="W29" i="49" s="1"/>
  <c r="X29" i="49" s="1"/>
  <c r="Y29" i="49" s="1"/>
  <c r="K22" i="49"/>
  <c r="K24" i="49" s="1"/>
  <c r="L24" i="49" s="1"/>
  <c r="M24" i="49" s="1"/>
  <c r="N24" i="49" s="1"/>
  <c r="O24" i="49" s="1"/>
  <c r="P24" i="49" s="1"/>
  <c r="Q24" i="49" s="1"/>
  <c r="K25" i="49" s="1"/>
  <c r="L25" i="49" s="1"/>
  <c r="M25" i="49" s="1"/>
  <c r="N25" i="49" s="1"/>
  <c r="O25" i="49" s="1"/>
  <c r="P25" i="49" s="1"/>
  <c r="Q25" i="49" s="1"/>
  <c r="K26" i="49" s="1"/>
  <c r="L26" i="49" s="1"/>
  <c r="M26" i="49" s="1"/>
  <c r="N26" i="49" s="1"/>
  <c r="O26" i="49" s="1"/>
  <c r="P26" i="49" s="1"/>
  <c r="Q26" i="49" s="1"/>
  <c r="K27" i="49" s="1"/>
  <c r="L27" i="49" s="1"/>
  <c r="M27" i="49" s="1"/>
  <c r="N27" i="49" s="1"/>
  <c r="O27" i="49" s="1"/>
  <c r="P27" i="49" s="1"/>
  <c r="Q27" i="49" s="1"/>
  <c r="K28" i="49" s="1"/>
  <c r="L28" i="49" s="1"/>
  <c r="M28" i="49" s="1"/>
  <c r="N28" i="49" s="1"/>
  <c r="O28" i="49" s="1"/>
  <c r="P28" i="49" s="1"/>
  <c r="Q28" i="49" s="1"/>
  <c r="K29" i="49" s="1"/>
  <c r="L29" i="49" s="1"/>
  <c r="M29" i="49" s="1"/>
  <c r="N29" i="49" s="1"/>
  <c r="O29" i="49" s="1"/>
  <c r="P29" i="49" s="1"/>
  <c r="Q29" i="49" s="1"/>
  <c r="C24" i="49"/>
  <c r="D24" i="49" s="1"/>
  <c r="E24" i="49" s="1"/>
  <c r="F24" i="49" s="1"/>
  <c r="G24" i="49" s="1"/>
  <c r="H24" i="49" s="1"/>
  <c r="I24" i="49" s="1"/>
  <c r="C25" i="49" s="1"/>
  <c r="D25" i="49" s="1"/>
  <c r="E25" i="49" s="1"/>
  <c r="F25" i="49" s="1"/>
  <c r="G25" i="49" s="1"/>
  <c r="H25" i="49" s="1"/>
  <c r="I25" i="49" s="1"/>
  <c r="C26" i="49" s="1"/>
  <c r="D26" i="49" s="1"/>
  <c r="E26" i="49" s="1"/>
  <c r="F26" i="49" s="1"/>
  <c r="G26" i="49" s="1"/>
  <c r="H26" i="49" s="1"/>
  <c r="I26" i="49" s="1"/>
  <c r="C27" i="49" s="1"/>
  <c r="D27" i="49" s="1"/>
  <c r="E27" i="49" s="1"/>
  <c r="F27" i="49" s="1"/>
  <c r="G27" i="49" s="1"/>
  <c r="H27" i="49" s="1"/>
  <c r="I27" i="49" s="1"/>
  <c r="C28" i="49" s="1"/>
  <c r="D28" i="49" s="1"/>
  <c r="E28" i="49" s="1"/>
  <c r="F28" i="49" s="1"/>
  <c r="G28" i="49" s="1"/>
  <c r="H28" i="49" s="1"/>
  <c r="I28" i="49" s="1"/>
  <c r="C29" i="49" s="1"/>
  <c r="D29" i="49" s="1"/>
  <c r="E29" i="49" s="1"/>
  <c r="F29" i="49" s="1"/>
  <c r="G29" i="49" s="1"/>
  <c r="H29" i="49" s="1"/>
  <c r="I29" i="49" s="1"/>
  <c r="C22" i="49"/>
  <c r="S13" i="49"/>
  <c r="S15" i="49" s="1"/>
  <c r="T15" i="49" s="1"/>
  <c r="U15" i="49" s="1"/>
  <c r="V15" i="49" s="1"/>
  <c r="W15" i="49" s="1"/>
  <c r="X15" i="49" s="1"/>
  <c r="Y15" i="49" s="1"/>
  <c r="S16" i="49" s="1"/>
  <c r="T16" i="49" s="1"/>
  <c r="U16" i="49" s="1"/>
  <c r="V16" i="49" s="1"/>
  <c r="W16" i="49" s="1"/>
  <c r="X16" i="49" s="1"/>
  <c r="Y16" i="49" s="1"/>
  <c r="S17" i="49" s="1"/>
  <c r="T17" i="49" s="1"/>
  <c r="U17" i="49" s="1"/>
  <c r="V17" i="49" s="1"/>
  <c r="W17" i="49" s="1"/>
  <c r="X17" i="49" s="1"/>
  <c r="Y17" i="49" s="1"/>
  <c r="S18" i="49" s="1"/>
  <c r="T18" i="49" s="1"/>
  <c r="U18" i="49" s="1"/>
  <c r="V18" i="49" s="1"/>
  <c r="W18" i="49" s="1"/>
  <c r="X18" i="49" s="1"/>
  <c r="Y18" i="49" s="1"/>
  <c r="S19" i="49" s="1"/>
  <c r="T19" i="49" s="1"/>
  <c r="U19" i="49" s="1"/>
  <c r="V19" i="49" s="1"/>
  <c r="W19" i="49" s="1"/>
  <c r="X19" i="49" s="1"/>
  <c r="Y19" i="49" s="1"/>
  <c r="S20" i="49" s="1"/>
  <c r="T20" i="49" s="1"/>
  <c r="U20" i="49" s="1"/>
  <c r="V20" i="49" s="1"/>
  <c r="W20" i="49" s="1"/>
  <c r="X20" i="49" s="1"/>
  <c r="Y20" i="49" s="1"/>
  <c r="K13" i="49"/>
  <c r="K15" i="49" s="1"/>
  <c r="L15" i="49" s="1"/>
  <c r="M15" i="49" s="1"/>
  <c r="N15" i="49" s="1"/>
  <c r="O15" i="49" s="1"/>
  <c r="P15" i="49" s="1"/>
  <c r="Q15" i="49" s="1"/>
  <c r="K16" i="49" s="1"/>
  <c r="L16" i="49" s="1"/>
  <c r="M16" i="49" s="1"/>
  <c r="N16" i="49" s="1"/>
  <c r="O16" i="49" s="1"/>
  <c r="P16" i="49" s="1"/>
  <c r="Q16" i="49" s="1"/>
  <c r="K17" i="49" s="1"/>
  <c r="L17" i="49" s="1"/>
  <c r="M17" i="49" s="1"/>
  <c r="N17" i="49" s="1"/>
  <c r="O17" i="49" s="1"/>
  <c r="P17" i="49" s="1"/>
  <c r="Q17" i="49" s="1"/>
  <c r="K18" i="49" s="1"/>
  <c r="L18" i="49" s="1"/>
  <c r="M18" i="49" s="1"/>
  <c r="N18" i="49" s="1"/>
  <c r="O18" i="49" s="1"/>
  <c r="P18" i="49" s="1"/>
  <c r="Q18" i="49" s="1"/>
  <c r="K19" i="49" s="1"/>
  <c r="L19" i="49" s="1"/>
  <c r="M19" i="49" s="1"/>
  <c r="N19" i="49" s="1"/>
  <c r="O19" i="49" s="1"/>
  <c r="P19" i="49" s="1"/>
  <c r="Q19" i="49" s="1"/>
  <c r="K20" i="49" s="1"/>
  <c r="L20" i="49" s="1"/>
  <c r="M20" i="49" s="1"/>
  <c r="N20" i="49" s="1"/>
  <c r="O20" i="49" s="1"/>
  <c r="P20" i="49" s="1"/>
  <c r="Q20" i="49" s="1"/>
  <c r="C13" i="49"/>
  <c r="C15" i="49" s="1"/>
  <c r="D15" i="49" s="1"/>
  <c r="E15" i="49" s="1"/>
  <c r="F15" i="49" s="1"/>
  <c r="G15" i="49" s="1"/>
  <c r="H15" i="49" s="1"/>
  <c r="I15" i="49" s="1"/>
  <c r="C16" i="49" s="1"/>
  <c r="D16" i="49" s="1"/>
  <c r="E16" i="49" s="1"/>
  <c r="F16" i="49" s="1"/>
  <c r="G16" i="49" s="1"/>
  <c r="H16" i="49" s="1"/>
  <c r="I16" i="49" s="1"/>
  <c r="C17" i="49" s="1"/>
  <c r="D17" i="49" s="1"/>
  <c r="E17" i="49" s="1"/>
  <c r="F17" i="49" s="1"/>
  <c r="G17" i="49" s="1"/>
  <c r="H17" i="49" s="1"/>
  <c r="I17" i="49" s="1"/>
  <c r="C18" i="49" s="1"/>
  <c r="D18" i="49" s="1"/>
  <c r="E18" i="49" s="1"/>
  <c r="F18" i="49" s="1"/>
  <c r="G18" i="49" s="1"/>
  <c r="H18" i="49" s="1"/>
  <c r="I18" i="49" s="1"/>
  <c r="C19" i="49" s="1"/>
  <c r="D19" i="49" s="1"/>
  <c r="E19" i="49" s="1"/>
  <c r="F19" i="49" s="1"/>
  <c r="G19" i="49" s="1"/>
  <c r="H19" i="49" s="1"/>
  <c r="I19" i="49" s="1"/>
  <c r="C20" i="49" s="1"/>
  <c r="D20" i="49" s="1"/>
  <c r="E20" i="49" s="1"/>
  <c r="F20" i="49" s="1"/>
  <c r="G20" i="49" s="1"/>
  <c r="H20" i="49" s="1"/>
  <c r="I20" i="49" s="1"/>
  <c r="S4" i="49"/>
  <c r="S6" i="49" s="1"/>
  <c r="T6" i="49" s="1"/>
  <c r="U6" i="49" s="1"/>
  <c r="V6" i="49" s="1"/>
  <c r="W6" i="49" s="1"/>
  <c r="X6" i="49" s="1"/>
  <c r="Y6" i="49" s="1"/>
  <c r="S7" i="49" s="1"/>
  <c r="T7" i="49" s="1"/>
  <c r="U7" i="49" s="1"/>
  <c r="V7" i="49" s="1"/>
  <c r="W7" i="49" s="1"/>
  <c r="X7" i="49" s="1"/>
  <c r="Y7" i="49" s="1"/>
  <c r="S8" i="49" s="1"/>
  <c r="T8" i="49" s="1"/>
  <c r="U8" i="49" s="1"/>
  <c r="V8" i="49" s="1"/>
  <c r="W8" i="49" s="1"/>
  <c r="X8" i="49" s="1"/>
  <c r="Y8" i="49" s="1"/>
  <c r="S9" i="49" s="1"/>
  <c r="T9" i="49" s="1"/>
  <c r="U9" i="49" s="1"/>
  <c r="V9" i="49" s="1"/>
  <c r="W9" i="49" s="1"/>
  <c r="X9" i="49" s="1"/>
  <c r="Y9" i="49" s="1"/>
  <c r="S10" i="49" s="1"/>
  <c r="T10" i="49" s="1"/>
  <c r="U10" i="49" s="1"/>
  <c r="V10" i="49" s="1"/>
  <c r="W10" i="49" s="1"/>
  <c r="X10" i="49" s="1"/>
  <c r="Y10" i="49" s="1"/>
  <c r="S11" i="49" s="1"/>
  <c r="T11" i="49" s="1"/>
  <c r="U11" i="49" s="1"/>
  <c r="V11" i="49" s="1"/>
  <c r="W11" i="49" s="1"/>
  <c r="X11" i="49" s="1"/>
  <c r="Y11" i="49" s="1"/>
  <c r="K6" i="49"/>
  <c r="L6" i="49" s="1"/>
  <c r="M6" i="49" s="1"/>
  <c r="N6" i="49" s="1"/>
  <c r="O6" i="49" s="1"/>
  <c r="P6" i="49" s="1"/>
  <c r="Q6" i="49" s="1"/>
  <c r="K7" i="49" s="1"/>
  <c r="L7" i="49" s="1"/>
  <c r="M7" i="49" s="1"/>
  <c r="N7" i="49" s="1"/>
  <c r="O7" i="49" s="1"/>
  <c r="P7" i="49" s="1"/>
  <c r="Q7" i="49" s="1"/>
  <c r="K8" i="49" s="1"/>
  <c r="L8" i="49" s="1"/>
  <c r="M8" i="49" s="1"/>
  <c r="N8" i="49" s="1"/>
  <c r="O8" i="49" s="1"/>
  <c r="P8" i="49" s="1"/>
  <c r="Q8" i="49" s="1"/>
  <c r="K9" i="49" s="1"/>
  <c r="L9" i="49" s="1"/>
  <c r="M9" i="49" s="1"/>
  <c r="N9" i="49" s="1"/>
  <c r="O9" i="49" s="1"/>
  <c r="P9" i="49" s="1"/>
  <c r="Q9" i="49" s="1"/>
  <c r="K10" i="49" s="1"/>
  <c r="L10" i="49" s="1"/>
  <c r="M10" i="49" s="1"/>
  <c r="N10" i="49" s="1"/>
  <c r="O10" i="49" s="1"/>
  <c r="P10" i="49" s="1"/>
  <c r="Q10" i="49" s="1"/>
  <c r="K11" i="49" s="1"/>
  <c r="L11" i="49" s="1"/>
  <c r="M11" i="49" s="1"/>
  <c r="N11" i="49" s="1"/>
  <c r="O11" i="49" s="1"/>
  <c r="P11" i="49" s="1"/>
  <c r="Q11" i="49" s="1"/>
  <c r="K4" i="49"/>
  <c r="C6" i="49"/>
  <c r="D6" i="49" s="1"/>
  <c r="E6" i="49" s="1"/>
  <c r="F6" i="49" s="1"/>
  <c r="G6" i="49" s="1"/>
  <c r="H6" i="49" s="1"/>
  <c r="I6" i="49" s="1"/>
  <c r="C7" i="49" s="1"/>
  <c r="D7" i="49" s="1"/>
  <c r="E7" i="49" s="1"/>
  <c r="F7" i="49" s="1"/>
  <c r="G7" i="49" s="1"/>
  <c r="H7" i="49" s="1"/>
  <c r="I7" i="49" s="1"/>
  <c r="C8" i="49" s="1"/>
  <c r="D8" i="49" s="1"/>
  <c r="E8" i="49" s="1"/>
  <c r="F8" i="49" s="1"/>
  <c r="G8" i="49" s="1"/>
  <c r="H8" i="49" s="1"/>
  <c r="I8" i="49" s="1"/>
  <c r="C9" i="49" s="1"/>
  <c r="D9" i="49" s="1"/>
  <c r="E9" i="49" s="1"/>
  <c r="F9" i="49" s="1"/>
  <c r="G9" i="49" s="1"/>
  <c r="H9" i="49" s="1"/>
  <c r="I9" i="49" s="1"/>
  <c r="C10" i="49" s="1"/>
  <c r="D10" i="49" s="1"/>
  <c r="E10" i="49" s="1"/>
  <c r="F10" i="49" s="1"/>
  <c r="G10" i="49" s="1"/>
  <c r="H10" i="49" s="1"/>
  <c r="I10" i="49" s="1"/>
  <c r="C11" i="49" s="1"/>
  <c r="D11" i="49" s="1"/>
  <c r="E11" i="49" s="1"/>
  <c r="F11" i="49" s="1"/>
  <c r="G11" i="49" s="1"/>
  <c r="H11" i="49" s="1"/>
  <c r="I11" i="49" s="1"/>
  <c r="C4" i="49"/>
  <c r="C49" i="49"/>
  <c r="C50" i="49" s="1"/>
  <c r="C51" i="49" s="1"/>
  <c r="C52" i="49" s="1"/>
  <c r="C53" i="49" s="1"/>
  <c r="C54" i="49" s="1"/>
  <c r="C55" i="49" s="1"/>
  <c r="C56" i="49" s="1"/>
  <c r="C57" i="49" s="1"/>
  <c r="C58" i="49" s="1"/>
  <c r="C59" i="49"/>
  <c r="C60" i="49"/>
  <c r="C61" i="49"/>
  <c r="C62" i="49"/>
  <c r="C63" i="49"/>
  <c r="C64" i="49"/>
  <c r="C65" i="49"/>
  <c r="C66" i="49" s="1"/>
  <c r="C67" i="49" s="1"/>
  <c r="C68" i="49" s="1"/>
  <c r="C69" i="49" s="1"/>
  <c r="C70" i="49" s="1"/>
  <c r="C71" i="49" s="1"/>
  <c r="AU234" i="41" a="1"/>
  <c r="AU234" i="41" s="1"/>
  <c r="AU248" i="41" a="1"/>
  <c r="AU248" i="41" s="1"/>
  <c r="AV271" i="41" a="1"/>
  <c r="AV271" i="41"/>
  <c r="AV275" i="41" a="1"/>
  <c r="AV275" i="41"/>
  <c r="AU292" i="41" a="1"/>
  <c r="AU292" i="41"/>
  <c r="AV332" i="41" a="1"/>
  <c r="AV332" i="41"/>
  <c r="AV372" i="41" a="1"/>
  <c r="AV372" i="41"/>
  <c r="AV488" i="41" a="1"/>
  <c r="AV488" i="41" s="1"/>
  <c r="AU547" i="41" a="1"/>
  <c r="AU547" i="41"/>
  <c r="AV576" i="41" a="1"/>
  <c r="AV576" i="41"/>
  <c r="AV635" i="41" a="1"/>
  <c r="AV635" i="41"/>
  <c r="AU800" i="41" a="1"/>
  <c r="AU800" i="41" s="1"/>
  <c r="AV856" i="41" a="1"/>
  <c r="AV856" i="41" s="1"/>
  <c r="AV861" i="41" a="1"/>
  <c r="AV861" i="41"/>
  <c r="AV871" i="41" a="1"/>
  <c r="AV871" i="41" s="1"/>
  <c r="AV943" i="41" a="1"/>
  <c r="AV943" i="41"/>
  <c r="AV945" i="41" a="1"/>
  <c r="AV945" i="41"/>
  <c r="AV969" i="41" a="1"/>
  <c r="AV969" i="41"/>
  <c r="AV976" i="41" a="1"/>
  <c r="AV976" i="41"/>
  <c r="AU984" i="41" a="1"/>
  <c r="AU984" i="41" s="1"/>
  <c r="AV1061" i="41" a="1"/>
  <c r="AV1061" i="41" s="1"/>
  <c r="AU1064" i="41" a="1"/>
  <c r="AU1064" i="41"/>
  <c r="AV1224" i="41" a="1"/>
  <c r="AV1224" i="41"/>
  <c r="AV1263" i="41" a="1"/>
  <c r="AV1263" i="41" s="1"/>
  <c r="AU1265" i="41" a="1"/>
  <c r="AU1265" i="41" s="1"/>
  <c r="AU1300" i="41" a="1"/>
  <c r="AU1300" i="41"/>
  <c r="AV1354" i="41" a="1"/>
  <c r="AV1354" i="41"/>
  <c r="AU1369" i="41" a="1"/>
  <c r="AU1369" i="41"/>
  <c r="AU1407" i="41" a="1"/>
  <c r="AU1407" i="41" s="1"/>
  <c r="AU1452" i="41" a="1"/>
  <c r="AU1452" i="41"/>
  <c r="AV1482" i="41" a="1"/>
  <c r="AV1482" i="41" s="1"/>
  <c r="AU1491" i="41" a="1"/>
  <c r="AU1491" i="41" s="1"/>
  <c r="Y33" i="37" a="1"/>
  <c r="Y33" i="37"/>
  <c r="Y127" i="37" a="1"/>
  <c r="Y127" i="37"/>
  <c r="X147" i="37" a="1"/>
  <c r="X147" i="3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Reker, Nick</author>
  </authors>
  <commentList>
    <comment ref="AD17" authorId="0" shapeId="0" xr:uid="{3AFFECEC-1132-48A0-82E2-23C313101905}">
      <text>
        <r>
          <rPr>
            <sz val="9"/>
            <color indexed="81"/>
            <rFont val="Tahoma"/>
            <family val="2"/>
          </rPr>
          <t>Bequeather</t>
        </r>
      </text>
    </comment>
    <comment ref="AD19" authorId="0" shapeId="0" xr:uid="{F5C1FC0A-D92C-4A18-862C-AF1EA03D555F}">
      <text>
        <r>
          <rPr>
            <sz val="9"/>
            <color indexed="81"/>
            <rFont val="Tahoma"/>
            <family val="2"/>
          </rPr>
          <t>Inheritor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<sst xmlns="http://schemas.openxmlformats.org/spreadsheetml/2006/main" count="31270" uniqueCount="6764">
  <si>
    <t>XER File Used:</t>
  </si>
  <si>
    <t>ACTVCODE</t>
  </si>
  <si>
    <t>actv_code_id</t>
  </si>
  <si>
    <t>parent_actv_code_id</t>
  </si>
  <si>
    <t>actv_code_type_id</t>
  </si>
  <si>
    <t>actv_code_name</t>
  </si>
  <si>
    <t>short_name</t>
  </si>
  <si>
    <t>seq_num</t>
  </si>
  <si>
    <t>color</t>
  </si>
  <si>
    <t>total_assignments</t>
  </si>
  <si>
    <t>0000FF</t>
  </si>
  <si>
    <t>Maintenance of Traffic</t>
  </si>
  <si>
    <t>Utilities</t>
  </si>
  <si>
    <t>Painting</t>
  </si>
  <si>
    <t>Construction</t>
  </si>
  <si>
    <t>Clearing &amp; Grubbing</t>
  </si>
  <si>
    <t>Tables Found In XER File:</t>
  </si>
  <si>
    <t>ACTVTYPE</t>
  </si>
  <si>
    <t>actv_short_len</t>
  </si>
  <si>
    <t>actv_code_type</t>
  </si>
  <si>
    <t>proj_id</t>
  </si>
  <si>
    <t>wbs_id</t>
  </si>
  <si>
    <t>actv_code_type_scope</t>
  </si>
  <si>
    <t>AS_Project</t>
  </si>
  <si>
    <t>CALENDAR</t>
  </si>
  <si>
    <t>clndr_id</t>
  </si>
  <si>
    <t>default_flag</t>
  </si>
  <si>
    <t>clndr_name</t>
  </si>
  <si>
    <t>base_clndr_id</t>
  </si>
  <si>
    <t>last_chng_date</t>
  </si>
  <si>
    <t>clndr_type</t>
  </si>
  <si>
    <t>day_hr_cnt</t>
  </si>
  <si>
    <t>week_hr_cnt</t>
  </si>
  <si>
    <t>month_hr_cnt</t>
  </si>
  <si>
    <t>year_hr_cnt</t>
  </si>
  <si>
    <t>rsrc_private</t>
  </si>
  <si>
    <t>clndr_data</t>
  </si>
  <si>
    <t>N</t>
  </si>
  <si>
    <t>CA_Base</t>
  </si>
  <si>
    <t>(0||CalendarData()(    (0||DaysOfWeek()(      (0||1()())      (0||2()(        (0||0(s|08:00|f|12:00)())        (0||1(s|13:00|f|17:00)())))      (0||3()(        (0||0(s|08:00|f|12:00)())        (0||1(s|13:00|f|17:00)())))      (0||4()(        (0||0(s|08:00|f|12:00)())        (0||1(s|13:00|f|17:00)())))      (0||5()(        (0||0(s|08:00|f|12:00)())        (0||1(s|13:00|f|17:00)())))      (0||6()(        (0||0(s|08:00|f|12:00)())        (0||1(s|13:00|f|17:00)())))      (0||7()())))    (0||Exceptions()())))</t>
  </si>
  <si>
    <t>Y</t>
  </si>
  <si>
    <t>CA_Project</t>
  </si>
  <si>
    <t>CURRTYPE</t>
  </si>
  <si>
    <t>curr_id</t>
  </si>
  <si>
    <t>decimal_digit_cnt</t>
  </si>
  <si>
    <t>curr_symbol</t>
  </si>
  <si>
    <t>decimal_symbol</t>
  </si>
  <si>
    <t>digit_group_symbol</t>
  </si>
  <si>
    <t>pos_curr_fmt_type</t>
  </si>
  <si>
    <t>neg_curr_fmt_type</t>
  </si>
  <si>
    <t>curr_type</t>
  </si>
  <si>
    <t>curr_short_name</t>
  </si>
  <si>
    <t>group_digit_cnt</t>
  </si>
  <si>
    <t>base_exch_rate</t>
  </si>
  <si>
    <t>$</t>
  </si>
  <si>
    <t>.</t>
  </si>
  <si>
    <t>,</t>
  </si>
  <si>
    <t>#1.1</t>
  </si>
  <si>
    <t>(#1.1)</t>
  </si>
  <si>
    <t>Dollar</t>
  </si>
  <si>
    <t>USD</t>
  </si>
  <si>
    <t>Argentine Peso</t>
  </si>
  <si>
    <t>ARS</t>
  </si>
  <si>
    <t>A$</t>
  </si>
  <si>
    <t>Australian Dollar</t>
  </si>
  <si>
    <t>AUST</t>
  </si>
  <si>
    <t>R$</t>
  </si>
  <si>
    <t>Brazilian Real</t>
  </si>
  <si>
    <t>BRL</t>
  </si>
  <si>
    <t>£</t>
  </si>
  <si>
    <t>British Pound</t>
  </si>
  <si>
    <t>U.K.</t>
  </si>
  <si>
    <t>CA$</t>
  </si>
  <si>
    <t>Canadian Dollar</t>
  </si>
  <si>
    <t>CAD</t>
  </si>
  <si>
    <t>Chinese Yuan</t>
  </si>
  <si>
    <t>CNY</t>
  </si>
  <si>
    <t>€</t>
  </si>
  <si>
    <t>EURO</t>
  </si>
  <si>
    <t>EUR</t>
  </si>
  <si>
    <t>HK$</t>
  </si>
  <si>
    <t>Hong Kong Dollar</t>
  </si>
  <si>
    <t>HKD</t>
  </si>
  <si>
    <t>Rs</t>
  </si>
  <si>
    <t>Indian Rupee</t>
  </si>
  <si>
    <t>INR</t>
  </si>
  <si>
    <t>¥</t>
  </si>
  <si>
    <t>Japanese Yen</t>
  </si>
  <si>
    <t>JPY</t>
  </si>
  <si>
    <t>K</t>
  </si>
  <si>
    <t>Korean Won</t>
  </si>
  <si>
    <t>KRW</t>
  </si>
  <si>
    <t>N$</t>
  </si>
  <si>
    <t>Mexican Peso</t>
  </si>
  <si>
    <t>MXN</t>
  </si>
  <si>
    <t>R</t>
  </si>
  <si>
    <t>Russian Rouble</t>
  </si>
  <si>
    <t>RUB</t>
  </si>
  <si>
    <t>Sk</t>
  </si>
  <si>
    <t>Swedish Krona</t>
  </si>
  <si>
    <t>SEK</t>
  </si>
  <si>
    <t>kr</t>
  </si>
  <si>
    <t>Swiss Franc</t>
  </si>
  <si>
    <t>CHF</t>
  </si>
  <si>
    <t>NIS</t>
  </si>
  <si>
    <t>Israel Shekel</t>
  </si>
  <si>
    <t>ILS</t>
  </si>
  <si>
    <t>start_date</t>
  </si>
  <si>
    <t>MEMOTYPE</t>
  </si>
  <si>
    <t>memo_type_id</t>
  </si>
  <si>
    <t>eps_flag</t>
  </si>
  <si>
    <t>proj_flag</t>
  </si>
  <si>
    <t>wbs_flag</t>
  </si>
  <si>
    <t>task_flag</t>
  </si>
  <si>
    <t>memo_type</t>
  </si>
  <si>
    <t>NONWORK</t>
  </si>
  <si>
    <t>nonwork_type_id</t>
  </si>
  <si>
    <t>nonwork_code</t>
  </si>
  <si>
    <t>nonwork_type</t>
  </si>
  <si>
    <t>VAC</t>
  </si>
  <si>
    <t>Vacation</t>
  </si>
  <si>
    <t>JURY</t>
  </si>
  <si>
    <t>Jury Duty</t>
  </si>
  <si>
    <t>HOL</t>
  </si>
  <si>
    <t>Holiday</t>
  </si>
  <si>
    <t>SICK</t>
  </si>
  <si>
    <t>Sick Leave</t>
  </si>
  <si>
    <t>COH</t>
  </si>
  <si>
    <t>Corporate Overhead</t>
  </si>
  <si>
    <t>G&amp;A</t>
  </si>
  <si>
    <t>General &amp; Accounting</t>
  </si>
  <si>
    <t>PERS</t>
  </si>
  <si>
    <t>Personal Time</t>
  </si>
  <si>
    <t>OBS</t>
  </si>
  <si>
    <t>obs_id</t>
  </si>
  <si>
    <t>parent_obs_id</t>
  </si>
  <si>
    <t>guid</t>
  </si>
  <si>
    <t>obs_name</t>
  </si>
  <si>
    <t>obs_descr</t>
  </si>
  <si>
    <t>acct_id</t>
  </si>
  <si>
    <t>pobs_id</t>
  </si>
  <si>
    <t>task_id</t>
  </si>
  <si>
    <t>cost_per_qty</t>
  </si>
  <si>
    <t>remain_cost</t>
  </si>
  <si>
    <t>target_cost</t>
  </si>
  <si>
    <t>auto_compute_act_flag</t>
  </si>
  <si>
    <t>target_qty</t>
  </si>
  <si>
    <t>cbs_id</t>
  </si>
  <si>
    <t>PROJECT</t>
  </si>
  <si>
    <t>fy_start_month_num</t>
  </si>
  <si>
    <t>rsrc_self_add_flag</t>
  </si>
  <si>
    <t>allow_complete_flag</t>
  </si>
  <si>
    <t>rsrc_multi_assign_flag</t>
  </si>
  <si>
    <t>checkout_flag</t>
  </si>
  <si>
    <t>project_flag</t>
  </si>
  <si>
    <t>step_complete_flag</t>
  </si>
  <si>
    <t>cost_qty_recalc_flag</t>
  </si>
  <si>
    <t>batch_sum_flag</t>
  </si>
  <si>
    <t>name_sep_char</t>
  </si>
  <si>
    <t>def_complete_pct_type</t>
  </si>
  <si>
    <t>proj_short_name</t>
  </si>
  <si>
    <t>orig_proj_id</t>
  </si>
  <si>
    <t>source_proj_id</t>
  </si>
  <si>
    <t>base_type_id</t>
  </si>
  <si>
    <t>sum_base_proj_id</t>
  </si>
  <si>
    <t>task_code_base</t>
  </si>
  <si>
    <t>task_code_step</t>
  </si>
  <si>
    <t>priority_num</t>
  </si>
  <si>
    <t>wbs_max_sum_level</t>
  </si>
  <si>
    <t>strgy_priority_num</t>
  </si>
  <si>
    <t>last_checksum</t>
  </si>
  <si>
    <t>critical_drtn_hr_cnt</t>
  </si>
  <si>
    <t>def_cost_per_qty</t>
  </si>
  <si>
    <t>last_recalc_date</t>
  </si>
  <si>
    <t>plan_start_date</t>
  </si>
  <si>
    <t>plan_end_date</t>
  </si>
  <si>
    <t>scd_end_date</t>
  </si>
  <si>
    <t>add_date</t>
  </si>
  <si>
    <t>last_tasksum_date</t>
  </si>
  <si>
    <t>fcst_start_date</t>
  </si>
  <si>
    <t>def_duration_type</t>
  </si>
  <si>
    <t>task_code_prefix</t>
  </si>
  <si>
    <t>def_qty_type</t>
  </si>
  <si>
    <t>add_by_name</t>
  </si>
  <si>
    <t>web_local_root_path</t>
  </si>
  <si>
    <t>proj_url</t>
  </si>
  <si>
    <t>def_rate_type</t>
  </si>
  <si>
    <t>add_act_remain_flag</t>
  </si>
  <si>
    <t>act_this_per_link_flag</t>
  </si>
  <si>
    <t>def_task_type</t>
  </si>
  <si>
    <t>act_pct_link_flag</t>
  </si>
  <si>
    <t>critical_path_type</t>
  </si>
  <si>
    <t>task_code_prefix_flag</t>
  </si>
  <si>
    <t>def_rollup_dates_flag</t>
  </si>
  <si>
    <t>use_project_baseline_flag</t>
  </si>
  <si>
    <t>rem_target_link_flag</t>
  </si>
  <si>
    <t>reset_planned_flag</t>
  </si>
  <si>
    <t>allow_neg_act_flag</t>
  </si>
  <si>
    <t>sum_assign_level</t>
  </si>
  <si>
    <t>last_fin_dates_id</t>
  </si>
  <si>
    <t>last_baseline_update_date</t>
  </si>
  <si>
    <t>cr_external_key</t>
  </si>
  <si>
    <t>apply_actuals_date</t>
  </si>
  <si>
    <t>matrix_id</t>
  </si>
  <si>
    <t>last_level_date</t>
  </si>
  <si>
    <t>last_schedule_date</t>
  </si>
  <si>
    <t>px_enable_publication_flag</t>
  </si>
  <si>
    <t>px_last_update_date</t>
  </si>
  <si>
    <t>px_priority</t>
  </si>
  <si>
    <t>control_updates_flag</t>
  </si>
  <si>
    <t>hist_interval</t>
  </si>
  <si>
    <t>hist_level</t>
  </si>
  <si>
    <t>schedule_type</t>
  </si>
  <si>
    <t>location_id</t>
  </si>
  <si>
    <t>loaded_scope_level</t>
  </si>
  <si>
    <t>export_flag</t>
  </si>
  <si>
    <t>new_fin_dates_id</t>
  </si>
  <si>
    <t>baselines_to_export</t>
  </si>
  <si>
    <t>baseline_names_to_export</t>
  </si>
  <si>
    <t>sync_wbs_heir_flag</t>
  </si>
  <si>
    <t>sched_wbs_heir_type</t>
  </si>
  <si>
    <t>wbs_heir_levels</t>
  </si>
  <si>
    <t>next_data_date</t>
  </si>
  <si>
    <t>close_period_flag</t>
  </si>
  <si>
    <t>sum_refresh_date</t>
  </si>
  <si>
    <t>trsrcsum_loaded</t>
  </si>
  <si>
    <t>DT_FixedDUR2</t>
  </si>
  <si>
    <t>A</t>
  </si>
  <si>
    <t>QT_Hour</t>
  </si>
  <si>
    <t>COST_PER_QTY</t>
  </si>
  <si>
    <t>TT_Task</t>
  </si>
  <si>
    <t>CT_DrivPath</t>
  </si>
  <si>
    <t>SL_Taskrsrc</t>
  </si>
  <si>
    <t>Month</t>
  </si>
  <si>
    <t>HL_None</t>
  </si>
  <si>
    <t>WBS_Com</t>
  </si>
  <si>
    <t>PROJWBS</t>
  </si>
  <si>
    <t>est_wt</t>
  </si>
  <si>
    <t>proj_node_flag</t>
  </si>
  <si>
    <t>sum_data_flag</t>
  </si>
  <si>
    <t>status_code</t>
  </si>
  <si>
    <t>wbs_short_name</t>
  </si>
  <si>
    <t>wbs_name</t>
  </si>
  <si>
    <t>phase_id</t>
  </si>
  <si>
    <t>parent_wbs_id</t>
  </si>
  <si>
    <t>ev_user_pct</t>
  </si>
  <si>
    <t>ev_etc_user_value</t>
  </si>
  <si>
    <t>orig_cost</t>
  </si>
  <si>
    <t>indep_remain_total_cost</t>
  </si>
  <si>
    <t>ann_dscnt_rate_pct</t>
  </si>
  <si>
    <t>dscnt_period_type</t>
  </si>
  <si>
    <t>indep_remain_work_qty</t>
  </si>
  <si>
    <t>anticip_start_date</t>
  </si>
  <si>
    <t>anticip_end_date</t>
  </si>
  <si>
    <t>ev_compute_type</t>
  </si>
  <si>
    <t>ev_etc_compute_type</t>
  </si>
  <si>
    <t>tmpl_guid</t>
  </si>
  <si>
    <t>status_reviewer</t>
  </si>
  <si>
    <t>plan_open_state</t>
  </si>
  <si>
    <t>WS_Open</t>
  </si>
  <si>
    <t>EC_Cmp_pct</t>
  </si>
  <si>
    <t>EE_Rem_hr</t>
  </si>
  <si>
    <t>Erosion Control</t>
  </si>
  <si>
    <t>Bent 3</t>
  </si>
  <si>
    <t>Bent 2</t>
  </si>
  <si>
    <t>Earthwork</t>
  </si>
  <si>
    <t>Drainage</t>
  </si>
  <si>
    <t>Bent 4</t>
  </si>
  <si>
    <t>Bent 5</t>
  </si>
  <si>
    <t>Bent 1</t>
  </si>
  <si>
    <t>Phase 2</t>
  </si>
  <si>
    <t>Bent 6</t>
  </si>
  <si>
    <t>Bent 7</t>
  </si>
  <si>
    <t>DS</t>
  </si>
  <si>
    <t>ROW</t>
  </si>
  <si>
    <t>Geotechnical</t>
  </si>
  <si>
    <t>Substructure</t>
  </si>
  <si>
    <t>Phase 4</t>
  </si>
  <si>
    <t>Superstructure</t>
  </si>
  <si>
    <t>Phase 3</t>
  </si>
  <si>
    <t>Phase 1</t>
  </si>
  <si>
    <t>Procurement</t>
  </si>
  <si>
    <t>Roadway</t>
  </si>
  <si>
    <t>Mobilization</t>
  </si>
  <si>
    <t>Design</t>
  </si>
  <si>
    <t>Project Milestones</t>
  </si>
  <si>
    <t>Noise Walls</t>
  </si>
  <si>
    <t>Default</t>
  </si>
  <si>
    <t>Project</t>
  </si>
  <si>
    <t>Changes</t>
  </si>
  <si>
    <t>RSRC</t>
  </si>
  <si>
    <t>rsrc_id</t>
  </si>
  <si>
    <t>parent_rsrc_id</t>
  </si>
  <si>
    <t>role_id</t>
  </si>
  <si>
    <t>shift_id</t>
  </si>
  <si>
    <t>user_id</t>
  </si>
  <si>
    <t>rsrc_seq_num</t>
  </si>
  <si>
    <t>email_addr</t>
  </si>
  <si>
    <t>employee_code</t>
  </si>
  <si>
    <t>office_phone</t>
  </si>
  <si>
    <t>other_phone</t>
  </si>
  <si>
    <t>rsrc_name</t>
  </si>
  <si>
    <t>rsrc_short_name</t>
  </si>
  <si>
    <t>rsrc_title_name</t>
  </si>
  <si>
    <t>def_qty_per_hr</t>
  </si>
  <si>
    <t>cost_qty_type</t>
  </si>
  <si>
    <t>ot_factor</t>
  </si>
  <si>
    <t>active_flag</t>
  </si>
  <si>
    <t>def_cost_qty_link_flag</t>
  </si>
  <si>
    <t>ot_flag</t>
  </si>
  <si>
    <t>unit_id</t>
  </si>
  <si>
    <t>rsrc_type</t>
  </si>
  <si>
    <t>ts_approve_user_id</t>
  </si>
  <si>
    <t>timesheet_flag</t>
  </si>
  <si>
    <t>rsrc_notes</t>
  </si>
  <si>
    <t>load_tasks_flag</t>
  </si>
  <si>
    <t>level_flag</t>
  </si>
  <si>
    <t>RT_Labor</t>
  </si>
  <si>
    <t>UTIL</t>
  </si>
  <si>
    <t>PILE</t>
  </si>
  <si>
    <t>DEMO</t>
  </si>
  <si>
    <t>FLAT</t>
  </si>
  <si>
    <t>MOT</t>
  </si>
  <si>
    <t>WALL</t>
  </si>
  <si>
    <t>RT_Equip</t>
  </si>
  <si>
    <t>curv_id</t>
  </si>
  <si>
    <t>RSRCRATE</t>
  </si>
  <si>
    <t>rsrc_rate_id</t>
  </si>
  <si>
    <t>max_qty_per_hr</t>
  </si>
  <si>
    <t>shift_period_id</t>
  </si>
  <si>
    <t>cost_per_qty2</t>
  </si>
  <si>
    <t>cost_per_qty3</t>
  </si>
  <si>
    <t>cost_per_qty4</t>
  </si>
  <si>
    <t>cost_per_qty5</t>
  </si>
  <si>
    <t>SCHEDOPTIONS</t>
  </si>
  <si>
    <t>schedoptions_id</t>
  </si>
  <si>
    <t>sched_outer_depend_type</t>
  </si>
  <si>
    <t>sched_open_critical_flag</t>
  </si>
  <si>
    <t>sched_lag_early_start_flag</t>
  </si>
  <si>
    <t>sched_retained_logic</t>
  </si>
  <si>
    <t>sched_setplantoforecast</t>
  </si>
  <si>
    <t>sched_float_type</t>
  </si>
  <si>
    <t>sched_calendar_on_relationship_lag</t>
  </si>
  <si>
    <t>sched_use_expect_end_flag</t>
  </si>
  <si>
    <t>sched_progress_override</t>
  </si>
  <si>
    <t>level_float_thrs_cnt</t>
  </si>
  <si>
    <t>level_outer_assign_flag</t>
  </si>
  <si>
    <t>level_outer_assign_priority</t>
  </si>
  <si>
    <t>level_over_alloc_pct</t>
  </si>
  <si>
    <t>level_within_float_flag</t>
  </si>
  <si>
    <t>level_keep_sched_date_flag</t>
  </si>
  <si>
    <t>level_all_rsrc_flag</t>
  </si>
  <si>
    <t>sched_use_project_end_date_for_float</t>
  </si>
  <si>
    <t>enable_multiple_longest_path_calc</t>
  </si>
  <si>
    <t>limit_multiple_longest_path_calc</t>
  </si>
  <si>
    <t>max_multiple_longest_path</t>
  </si>
  <si>
    <t>use_total_float_multiple_longest_paths</t>
  </si>
  <si>
    <t>key_activity_for_multiple_longest_paths</t>
  </si>
  <si>
    <t>LevelPriorityList</t>
  </si>
  <si>
    <t>SD_Both</t>
  </si>
  <si>
    <t>FT_FF</t>
  </si>
  <si>
    <t>rcal_Predecessor</t>
  </si>
  <si>
    <t>priority_type,ASC</t>
  </si>
  <si>
    <t>TASK</t>
  </si>
  <si>
    <t>phys_complete_pct</t>
  </si>
  <si>
    <t>rev_fdbk_flag</t>
  </si>
  <si>
    <t>lock_plan_flag</t>
  </si>
  <si>
    <t>complete_pct_type</t>
  </si>
  <si>
    <t>task_type</t>
  </si>
  <si>
    <t>duration_type</t>
  </si>
  <si>
    <t>task_code</t>
  </si>
  <si>
    <t>task_name</t>
  </si>
  <si>
    <t>total_float_hr_cnt</t>
  </si>
  <si>
    <t>free_float_hr_cnt</t>
  </si>
  <si>
    <t>remain_drtn_hr_cnt</t>
  </si>
  <si>
    <t>act_work_qty</t>
  </si>
  <si>
    <t>remain_work_qty</t>
  </si>
  <si>
    <t>target_work_qty</t>
  </si>
  <si>
    <t>target_drtn_hr_cnt</t>
  </si>
  <si>
    <t>target_equip_qty</t>
  </si>
  <si>
    <t>act_equip_qty</t>
  </si>
  <si>
    <t>remain_equip_qty</t>
  </si>
  <si>
    <t>cstr_date</t>
  </si>
  <si>
    <t>act_start_date</t>
  </si>
  <si>
    <t>act_end_date</t>
  </si>
  <si>
    <t>late_start_date</t>
  </si>
  <si>
    <t>late_end_date</t>
  </si>
  <si>
    <t>expect_end_date</t>
  </si>
  <si>
    <t>early_start_date</t>
  </si>
  <si>
    <t>early_end_date</t>
  </si>
  <si>
    <t>restart_date</t>
  </si>
  <si>
    <t>reend_date</t>
  </si>
  <si>
    <t>target_start_date</t>
  </si>
  <si>
    <t>target_end_date</t>
  </si>
  <si>
    <t>rem_late_start_date</t>
  </si>
  <si>
    <t>rem_late_end_date</t>
  </si>
  <si>
    <t>cstr_type</t>
  </si>
  <si>
    <t>priority_type</t>
  </si>
  <si>
    <t>suspend_date</t>
  </si>
  <si>
    <t>resume_date</t>
  </si>
  <si>
    <t>float_path</t>
  </si>
  <si>
    <t>float_path_order</t>
  </si>
  <si>
    <t>cstr_date2</t>
  </si>
  <si>
    <t>cstr_type2</t>
  </si>
  <si>
    <t>driving_path_flag</t>
  </si>
  <si>
    <t>act_this_per_work_qty</t>
  </si>
  <si>
    <t>act_this_per_equip_qty</t>
  </si>
  <si>
    <t>external_early_start_date</t>
  </si>
  <si>
    <t>external_late_end_date</t>
  </si>
  <si>
    <t>pre_pess_start_date</t>
  </si>
  <si>
    <t>pre_pess_finish_date</t>
  </si>
  <si>
    <t>post_pess_start_date</t>
  </si>
  <si>
    <t>post_pess_finish_date</t>
  </si>
  <si>
    <t>create_date</t>
  </si>
  <si>
    <t>update_date</t>
  </si>
  <si>
    <t>create_user</t>
  </si>
  <si>
    <t>update_user</t>
  </si>
  <si>
    <t>TK_NotStart</t>
  </si>
  <si>
    <t>PT_Normal</t>
  </si>
  <si>
    <t>TT_Mile</t>
  </si>
  <si>
    <t>DT_FixedDrtn</t>
  </si>
  <si>
    <t>TK_Active</t>
  </si>
  <si>
    <t>TK_Complete</t>
  </si>
  <si>
    <t>TT_FinMile</t>
  </si>
  <si>
    <t>CO3</t>
  </si>
  <si>
    <t>CO2</t>
  </si>
  <si>
    <t>TT_LOE</t>
  </si>
  <si>
    <t>CS_MEOB</t>
  </si>
  <si>
    <t>TASKACTV</t>
  </si>
  <si>
    <t>TASKMEMO</t>
  </si>
  <si>
    <t>memo_id</t>
  </si>
  <si>
    <t>task_memo</t>
  </si>
  <si>
    <t>TASKPRED</t>
  </si>
  <si>
    <t>task_pred_id</t>
  </si>
  <si>
    <t>pred_task_id</t>
  </si>
  <si>
    <t>pred_proj_id</t>
  </si>
  <si>
    <t>pred_type</t>
  </si>
  <si>
    <t>lag_hr_cnt</t>
  </si>
  <si>
    <t>aref</t>
  </si>
  <si>
    <t>arls</t>
  </si>
  <si>
    <t>PR_FF</t>
  </si>
  <si>
    <t>PR_FS</t>
  </si>
  <si>
    <t>PR_SS</t>
  </si>
  <si>
    <t>TASKRSRC</t>
  </si>
  <si>
    <t>taskrsrc_id</t>
  </si>
  <si>
    <t>cost_qty_link_flag</t>
  </si>
  <si>
    <t>skill_level</t>
  </si>
  <si>
    <t>remain_qty</t>
  </si>
  <si>
    <t>remain_qty_per_hr</t>
  </si>
  <si>
    <t>target_lag_drtn_hr_cnt</t>
  </si>
  <si>
    <t>target_qty_per_hr</t>
  </si>
  <si>
    <t>act_ot_qty</t>
  </si>
  <si>
    <t>act_reg_qty</t>
  </si>
  <si>
    <t>relag_drtn_hr_cnt</t>
  </si>
  <si>
    <t>act_reg_cost</t>
  </si>
  <si>
    <t>act_ot_cost</t>
  </si>
  <si>
    <t>rollup_dates_flag</t>
  </si>
  <si>
    <t>target_crv</t>
  </si>
  <si>
    <t>remain_crv</t>
  </si>
  <si>
    <t>actual_crv</t>
  </si>
  <si>
    <t>ts_pend_act_end_flag</t>
  </si>
  <si>
    <t>rate_type</t>
  </si>
  <si>
    <t>act_this_per_cost</t>
  </si>
  <si>
    <t>act_this_per_qty</t>
  </si>
  <si>
    <t>cost_per_qty_source_type</t>
  </si>
  <si>
    <t>has_rsrchours</t>
  </si>
  <si>
    <t>taskrsrc_sum_id</t>
  </si>
  <si>
    <t>ST_Rsrc</t>
  </si>
  <si>
    <t>UDFTYPE</t>
  </si>
  <si>
    <t>udf_type_id</t>
  </si>
  <si>
    <t>table_name</t>
  </si>
  <si>
    <t>udf_type_name</t>
  </si>
  <si>
    <t>udf_type_label</t>
  </si>
  <si>
    <t>logical_data_type</t>
  </si>
  <si>
    <t>super_flag</t>
  </si>
  <si>
    <t>indicator_expression</t>
  </si>
  <si>
    <t>summary_indicator_expression</t>
  </si>
  <si>
    <t>FT_TEXT</t>
  </si>
  <si>
    <t>UDFVALUE</t>
  </si>
  <si>
    <t>fk_id</t>
  </si>
  <si>
    <t>udf_date</t>
  </si>
  <si>
    <t>udf_number</t>
  </si>
  <si>
    <t>udf_text</t>
  </si>
  <si>
    <t>udf_code_id</t>
  </si>
  <si>
    <t>Projects found in XER file:</t>
  </si>
  <si>
    <t>Project ID</t>
  </si>
  <si>
    <t>Project Name</t>
  </si>
  <si>
    <t>P6_Secret_Project_ID</t>
  </si>
  <si>
    <t>Standard Work Week</t>
  </si>
  <si>
    <t>Sunday</t>
  </si>
  <si>
    <t>Monday</t>
  </si>
  <si>
    <t>Tuesday</t>
  </si>
  <si>
    <t>Wednesday</t>
  </si>
  <si>
    <t>Thursday</t>
  </si>
  <si>
    <t>Friday</t>
  </si>
  <si>
    <t>Saturday</t>
  </si>
  <si>
    <t>Su</t>
  </si>
  <si>
    <t>Mo</t>
  </si>
  <si>
    <t>Tu</t>
  </si>
  <si>
    <t>We</t>
  </si>
  <si>
    <t>Th</t>
  </si>
  <si>
    <t>Fr</t>
  </si>
  <si>
    <t>Sa</t>
  </si>
  <si>
    <t>Calendar Type</t>
  </si>
  <si>
    <t>ID</t>
  </si>
  <si>
    <t>Calendar Name</t>
  </si>
  <si>
    <t>Global</t>
  </si>
  <si>
    <t>Exceptions</t>
  </si>
  <si>
    <t>1074_2007A.xer</t>
  </si>
  <si>
    <t>McEwen</t>
  </si>
  <si>
    <t>MCEW</t>
  </si>
  <si>
    <t>Phase 1 (Northern Section)</t>
  </si>
  <si>
    <t>P1B</t>
  </si>
  <si>
    <t>Phase 3 (Southern Section)</t>
  </si>
  <si>
    <t>P3B</t>
  </si>
  <si>
    <t>Phase 2 (Middle Section)</t>
  </si>
  <si>
    <t>P2B</t>
  </si>
  <si>
    <t>Sup</t>
  </si>
  <si>
    <t>Sub</t>
  </si>
  <si>
    <t>Slip Form Barrier Wall</t>
  </si>
  <si>
    <t>SLIP</t>
  </si>
  <si>
    <t>All Areas</t>
  </si>
  <si>
    <t>ALL</t>
  </si>
  <si>
    <t>Bridge Milestones</t>
  </si>
  <si>
    <t>B</t>
  </si>
  <si>
    <t>Entire Project</t>
  </si>
  <si>
    <t>EP</t>
  </si>
  <si>
    <t>All EB</t>
  </si>
  <si>
    <t>EB</t>
  </si>
  <si>
    <t>All WB</t>
  </si>
  <si>
    <t>WB</t>
  </si>
  <si>
    <t>Wedging Activities</t>
  </si>
  <si>
    <t>WEDGE</t>
  </si>
  <si>
    <t>Crossover Area 3</t>
  </si>
  <si>
    <t>Crossover Area 2</t>
  </si>
  <si>
    <t>Median Area 3</t>
  </si>
  <si>
    <t>M3</t>
  </si>
  <si>
    <t>Median Area 2</t>
  </si>
  <si>
    <t>M2</t>
  </si>
  <si>
    <t>Median Area 1</t>
  </si>
  <si>
    <t>M1</t>
  </si>
  <si>
    <t>EB Area 3</t>
  </si>
  <si>
    <t>EBA3</t>
  </si>
  <si>
    <t>EB Area 2</t>
  </si>
  <si>
    <t>EBA2</t>
  </si>
  <si>
    <t>EB Area 1</t>
  </si>
  <si>
    <t>EBA1</t>
  </si>
  <si>
    <t>WB Area 3</t>
  </si>
  <si>
    <t>WBA3</t>
  </si>
  <si>
    <t>WB Area 2</t>
  </si>
  <si>
    <t>WBA2</t>
  </si>
  <si>
    <t>WB Area 1</t>
  </si>
  <si>
    <t>WBA1</t>
  </si>
  <si>
    <t>Milestones</t>
  </si>
  <si>
    <t>MILE</t>
  </si>
  <si>
    <t>Do Not Include</t>
  </si>
  <si>
    <t>NO</t>
  </si>
  <si>
    <t>Include in Snapshot</t>
  </si>
  <si>
    <t>YES</t>
  </si>
  <si>
    <t>Roadway Work</t>
  </si>
  <si>
    <t>ROAD</t>
  </si>
  <si>
    <t>Structures</t>
  </si>
  <si>
    <t>STRUCT</t>
  </si>
  <si>
    <t>Administrative Work</t>
  </si>
  <si>
    <t>ADMIN</t>
  </si>
  <si>
    <t>Drilled Shafts</t>
  </si>
  <si>
    <t>PIles</t>
  </si>
  <si>
    <t>Footers</t>
  </si>
  <si>
    <t>FOOT</t>
  </si>
  <si>
    <t>Columns &amp; Caps</t>
  </si>
  <si>
    <t>CCAP</t>
  </si>
  <si>
    <t>Administration</t>
  </si>
  <si>
    <t>Retaining Walls</t>
  </si>
  <si>
    <t>Riprap</t>
  </si>
  <si>
    <t>RIPR</t>
  </si>
  <si>
    <t>Backfill Paving</t>
  </si>
  <si>
    <t>BKPV</t>
  </si>
  <si>
    <t>CLGR</t>
  </si>
  <si>
    <t>Curing</t>
  </si>
  <si>
    <t>CURE</t>
  </si>
  <si>
    <t>Deck Slab</t>
  </si>
  <si>
    <t>DECK</t>
  </si>
  <si>
    <t>Preconstruction/Design</t>
  </si>
  <si>
    <t>PC</t>
  </si>
  <si>
    <t>P1</t>
  </si>
  <si>
    <t>P2</t>
  </si>
  <si>
    <t>P3</t>
  </si>
  <si>
    <t>Right of Way &amp; Utilities</t>
  </si>
  <si>
    <t>DRAIN</t>
  </si>
  <si>
    <t>Signage</t>
  </si>
  <si>
    <t>SIGN</t>
  </si>
  <si>
    <t>Approach Slabs</t>
  </si>
  <si>
    <t>APSL</t>
  </si>
  <si>
    <t>Asphalt</t>
  </si>
  <si>
    <t>ASPH</t>
  </si>
  <si>
    <t>Aggregate Base Course</t>
  </si>
  <si>
    <t>ABC</t>
  </si>
  <si>
    <t>Structure Demolition</t>
  </si>
  <si>
    <t>Girders</t>
  </si>
  <si>
    <t>GIRD</t>
  </si>
  <si>
    <t>Detours</t>
  </si>
  <si>
    <t>DETR</t>
  </si>
  <si>
    <t>DRAN</t>
  </si>
  <si>
    <t>ETWK</t>
  </si>
  <si>
    <t>Expansion Joints</t>
  </si>
  <si>
    <t>EXPA</t>
  </si>
  <si>
    <t>MOBI</t>
  </si>
  <si>
    <t>Jack &amp; Bore</t>
  </si>
  <si>
    <t>JABO</t>
  </si>
  <si>
    <t>Milestone</t>
  </si>
  <si>
    <t>PAINT</t>
  </si>
  <si>
    <t>PROC</t>
  </si>
  <si>
    <t>Temporary Barrier Wall</t>
  </si>
  <si>
    <t>BARI</t>
  </si>
  <si>
    <t>Subgrade</t>
  </si>
  <si>
    <t>SBGR</t>
  </si>
  <si>
    <t>ERCN</t>
  </si>
  <si>
    <t>Submittals</t>
  </si>
  <si>
    <t>SUBM</t>
  </si>
  <si>
    <t>Temporary Concrete Precast Barrier</t>
  </si>
  <si>
    <t>TCPB</t>
  </si>
  <si>
    <t>Traffic Signals</t>
  </si>
  <si>
    <t>TRAS</t>
  </si>
  <si>
    <t>Underdrain/Subdrain</t>
  </si>
  <si>
    <t>UNDR</t>
  </si>
  <si>
    <t>Area 1</t>
  </si>
  <si>
    <t>A1</t>
  </si>
  <si>
    <t>Area 2</t>
  </si>
  <si>
    <t>A2</t>
  </si>
  <si>
    <t>Area 3</t>
  </si>
  <si>
    <t>A3</t>
  </si>
  <si>
    <t>Area 4</t>
  </si>
  <si>
    <t>A4</t>
  </si>
  <si>
    <t>Major Milestones</t>
  </si>
  <si>
    <t>P4</t>
  </si>
  <si>
    <t>Phase 5</t>
  </si>
  <si>
    <t>P5</t>
  </si>
  <si>
    <t>DESI</t>
  </si>
  <si>
    <t>Right Of Way</t>
  </si>
  <si>
    <t>Asphalt Milling</t>
  </si>
  <si>
    <t>AMILL</t>
  </si>
  <si>
    <t>Soil Stabilization</t>
  </si>
  <si>
    <t>STAB</t>
  </si>
  <si>
    <t>Permanent Signs</t>
  </si>
  <si>
    <t>Pavement Repair</t>
  </si>
  <si>
    <t>PVRP</t>
  </si>
  <si>
    <t>NSWL</t>
  </si>
  <si>
    <t>Abutmetns/End Bents</t>
  </si>
  <si>
    <t>ABUT</t>
  </si>
  <si>
    <t>Fine Grade for Structures</t>
  </si>
  <si>
    <t>FGST</t>
  </si>
  <si>
    <t>Slope Paving</t>
  </si>
  <si>
    <t>SLOPE</t>
  </si>
  <si>
    <t>Temporary Access</t>
  </si>
  <si>
    <t>TMPA</t>
  </si>
  <si>
    <t>SIP Deck Forms</t>
  </si>
  <si>
    <t>SIP</t>
  </si>
  <si>
    <t>Groove Bridge Decks</t>
  </si>
  <si>
    <t>GROOV</t>
  </si>
  <si>
    <t>Guardrail</t>
  </si>
  <si>
    <t>GRDR</t>
  </si>
  <si>
    <t>Flatiron-Blythe JV</t>
  </si>
  <si>
    <t>FIB</t>
  </si>
  <si>
    <t>Erosion Control Sub</t>
  </si>
  <si>
    <t>ERSS</t>
  </si>
  <si>
    <t>Lee &amp; Sims Drilling Services, Inc.</t>
  </si>
  <si>
    <t>LS</t>
  </si>
  <si>
    <t>A1 Pavement Markings</t>
  </si>
  <si>
    <t>Hiatt &amp; Mason</t>
  </si>
  <si>
    <t>HM</t>
  </si>
  <si>
    <t>Tricor</t>
  </si>
  <si>
    <t>TRIC</t>
  </si>
  <si>
    <t>Site Prep, Inc.</t>
  </si>
  <si>
    <t>SPI</t>
  </si>
  <si>
    <t>Permanent Signing Sub</t>
  </si>
  <si>
    <t>SGNS</t>
  </si>
  <si>
    <t>Flatwork Sub</t>
  </si>
  <si>
    <t>FLWS</t>
  </si>
  <si>
    <t>Barrier Sub</t>
  </si>
  <si>
    <t>BARS</t>
  </si>
  <si>
    <t>Pavement Repair Sub</t>
  </si>
  <si>
    <t>PVRS</t>
  </si>
  <si>
    <t>Smith-Rowe</t>
  </si>
  <si>
    <t>SR</t>
  </si>
  <si>
    <t>Eastbound 40</t>
  </si>
  <si>
    <t>Westbound 40</t>
  </si>
  <si>
    <t>Bridge 1</t>
  </si>
  <si>
    <t>B1</t>
  </si>
  <si>
    <t>Pedestrian Bridge</t>
  </si>
  <si>
    <t>BP</t>
  </si>
  <si>
    <t>Step 1</t>
  </si>
  <si>
    <t>Step 2</t>
  </si>
  <si>
    <t>Step 3</t>
  </si>
  <si>
    <t>Step 4</t>
  </si>
  <si>
    <t>Step 5</t>
  </si>
  <si>
    <t>Step 6</t>
  </si>
  <si>
    <t>Step 7</t>
  </si>
  <si>
    <t>Design and Admin</t>
  </si>
  <si>
    <t>B2</t>
  </si>
  <si>
    <t>B3</t>
  </si>
  <si>
    <t>B4</t>
  </si>
  <si>
    <t>B5</t>
  </si>
  <si>
    <t>B6</t>
  </si>
  <si>
    <t>B7</t>
  </si>
  <si>
    <t>End Bent 1</t>
  </si>
  <si>
    <t>EB1</t>
  </si>
  <si>
    <t>End Bent 2</t>
  </si>
  <si>
    <t>EB2</t>
  </si>
  <si>
    <t>Span A</t>
  </si>
  <si>
    <t>SA</t>
  </si>
  <si>
    <t>Span B</t>
  </si>
  <si>
    <t>SB</t>
  </si>
  <si>
    <t>Span C</t>
  </si>
  <si>
    <t>SC</t>
  </si>
  <si>
    <t>Span D</t>
  </si>
  <si>
    <t>SD</t>
  </si>
  <si>
    <t>Span E</t>
  </si>
  <si>
    <t>SE</t>
  </si>
  <si>
    <t>Span F</t>
  </si>
  <si>
    <t>SF</t>
  </si>
  <si>
    <t>Span G</t>
  </si>
  <si>
    <t>SG</t>
  </si>
  <si>
    <t>Span H</t>
  </si>
  <si>
    <t>SH</t>
  </si>
  <si>
    <t>Entire Bridge</t>
  </si>
  <si>
    <t>Bridge</t>
  </si>
  <si>
    <t>Causeway</t>
  </si>
  <si>
    <t>CW</t>
  </si>
  <si>
    <t>Deleted Activities</t>
  </si>
  <si>
    <t>DEL</t>
  </si>
  <si>
    <t>Flatwork</t>
  </si>
  <si>
    <t>Culvert</t>
  </si>
  <si>
    <t>CUL</t>
  </si>
  <si>
    <t>Wedging</t>
  </si>
  <si>
    <t>Work Area</t>
  </si>
  <si>
    <t>Snapshot</t>
  </si>
  <si>
    <t>General Work Type</t>
  </si>
  <si>
    <t>Specific Work Type</t>
  </si>
  <si>
    <t>Phase</t>
  </si>
  <si>
    <t>General Work Area</t>
  </si>
  <si>
    <t>Specific Work Area</t>
  </si>
  <si>
    <t>Primary Responsibility</t>
  </si>
  <si>
    <t>Step</t>
  </si>
  <si>
    <t>~ 5D w/Holidays (to 2023)</t>
  </si>
  <si>
    <t>(0||CalendarData()(  (0||DaysOfWeek()(    (0||1()())    (0||2()(      (0||0(s|08:00|f|12:00)())      (0||1(s|13:00|f|17:00)())))    (0||3()(      (0||0(s|08:00|f|12:00)())      (0||1(s|13:00|f|17:00)())))    (0||4()(      (0||0(s|08:00|f|12:00)())      (0||1(s|13:00|f|17:00)())))    (0||5()(      (0||0(s|08:00|f|12:00)())      (0||1(s|13:00|f|17:00)())))    (0||6()(      (0||0(s|08:00|f|12:00)())      (0||1(s|13:00|f|17:00)())))    (0||7()())))  (0||VIEW(ShowTotal|N)())  (0||Exceptions()(    (0||0(d|37865)())    (0||1(d|37952)())    (0||2(d|37953)())    (0||3(d|37980)())    (0||4(d|37981)())    (0||5(d|37987)())    (0||6(d|38138)())    (0||7(d|38173)())    (0||8(d|38236)())    (0||9(d|38316)())    (0||10(d|38317)())    (0||11(d|38345)())    (0||12(d|38352)())    (0||13(d|38502)())    (0||14(d|38537)())    (0||15(d|38600)())    (0||16(d|38680)())    (0||17(d|38681)())    (0||18(d|38712)())    (0||19(d|38719)())    (0||20(d|38866)())    (0||21(d|38902)())    (0||22(d|38964)())    (0||23(d|39044)())    (0||24(d|39045)())    (0||25(d|39076)())    (0||26(d|39083)())    (0||27(d|40063)())    (0||28(d|40088)())    (0||29(d|40107)())    (0||30(d|40115)())    (0||31(d|40143)())    (0||32(d|40144)())    (0||33(d|40171)())    (0||34(d|40172)())    (0||35(d|40179)())    (0||36(d|40329)())    (0||37(d|40364)())    (0||38(d|40427)())    (0||39(d|40544)())    (0||40(d|40618)())    (0||41(d|40624)())    (0||42(d|40646)())    (0||43(d|40693)())    (0||44(d|40728)())    (0||45(d|40791)())    (0||46(d|40833)())    (0||47(d|40857)())    (0||48(d|40871)())    (0||49(d|40872)())    (0||50(d|40873)())    (0||51(d|40892)())    (0||52(d|40901)())    (0||53(d|40903)())    (0||54(d|40904)())    (0||55(d|40910)())    (0||56(d|40920)())    (0||57(d|40924)())    (0||58(d|40946)())    (0||59(d|40959)())    (0||60(d|40974)())    (0||61(d|40987)())    (0||62(d|41057)())    (0||63(d|41094)())    (0||64(d|41155)())    (0||65(d|41204)())    (0||66(d|41230)())    (0||67(d|41242)())    (0||68(d|41243)())    (0||69(d|41244)())    (0||70(d|41263)())    (0||71(d|41267)())    (0||72(d|41268)())    (0||73(d|41275)())    (0||74(d|41284)())    (0||75(d|41295)())    (0||76(d|41310)())    (0||77(d|41319)())    (0||78(d|41323)())    (0||79(d|41339)())    (0||80(d|41351)())    (0||81(d|41421)())    (0||82(d|41459)())    (0||83(d|41519)())    (0||84(d|41568)())    (0||85(d|41601)())    (0||86(d|41606)())    (0||87(d|41607)())    (0||88(d|41632)())    (0||89(d|41633)())    (0||90(d|41636)())    (0||91(d|41640)())    (0||92(d|41659)())    (0||93(d|41687)())    (0||94(d|41715)())    (0||95(d|41785)())    (0||96(d|41824)())    (0||97(d|41883)())    (0||98(d|41932)())    (0||99(d|41970)())    (0||100(d|41971)())    (0||101(d|41972)())    (0||102(d|41998)())    (0||103(d|41999)())    (0||104(d|42005)())    (0||105(d|42014)())    (0||106(d|42023)())    (0||107(d|42049)())    (0||108(d|42051)())    (0||109(d|42086)())    (0||110(d|42149)())    (0||111(d|42188)())    (0||112(d|42254)())    (0||113(d|42296)())    (0||114(d|42334)())    (0||115(d|42335)())    (0||116(d|42362)())    (0||117(d|42363)())    (0||118(d|42370)())    (0||119(d|42520)())    (0||120(d|42555)())    (0||121(d|42618)())    (0||122(d|42698)())    (0||123(d|42699)())    (0||124(d|42730)())    (0||125(d|42737)())    (0||126(d|42884)())    (0||127(d|42920)())    (0||128(d|42982)())    (0||129(d|43062)())    (0||130(d|43063)())    (0||131(d|43094)())    (0||132(d|43101)())    (0||133(d|43248)())    (0||134(d|43285)())    (0||135(d|43346)())    (0||136(d|43426)())    (0||137(d|43427)())    (0||138(d|43459)())    (0||139(d|43466)())    (0||140(d|43612)())    (0||141(d|43650)())    (0||142(d|43710)())    (0||143(d|43797)())    (0||144(d|43798)())    (0||145(d|43824)())    (0||146(d|43831)())    (0||147(d|43976)())    (0||148(d|44015)())    (0||149(d|44081)())    (0||150(d|44161)())    (0||151(d|44162)())    (0||152(d|44190)())    (0||153(d|44197)())    (0||154(d|44347)())    (0||155(d|44382)())    (0||156(d|44445)())    (0||157(d|44525)())    (0||158(d|44526)())    (0||159(d|44554)())    (0||160(d|44561)())    (0||161(d|44711)())    (0||162(d|44746)())    (0||163(d|44809)())    (0||164(d|44889)())    (0||165(d|44890)())    (0||166(d|44921)())    (0||167(d|44928)())    (0||168(d|45075)())    (0||169(d|45111)())    (0||170(d|45173)())    (0||171(d|45253)())    (0||172(d|45254)())    (0||173(d|45285)())))))</t>
  </si>
  <si>
    <t>5D Con (H+W)</t>
  </si>
  <si>
    <t>(0||CalendarData()(  (0||DaysOfWeek()(    (0||1()())    (0||2()(      (0||0(s|08:00|f|16:00)())))    (0||3()(      (0||0(s|08:00|f|16:00)())))    (0||4()(      (0||0(s|08:00|f|16:00)())))    (0||5()(      (0||0(s|08:00|f|16:00)())))    (0||6()(      (0||0(s|08:00|f|16:00)())))    (0||7()())))  (0||VIEW(ShowTotal|N)())  (0||Exceptions()(    (0||0(d|37076)())    (0||1(d|37137)())    (0||2(d|37217)())    (0||3(d|37218)())    (0||4(d|37249)())    (0||5(d|37250)())    (0||6(d|37251)())    (0||7(d|37252)())    (0||8(d|37253)())    (0||9(d|37256)())    (0||10(d|37257)())    (0||11(d|37403)())    (0||12(d|37441)())    (0||13(d|37442)())    (0||14(d|37501)())    (0||15(d|37588)())    (0||16(d|37589)())    (0||17(d|37615)())    (0||18(d|37616)())    (0||19(d|37617)())    (0||20(d|37620)())    (0||21(d|37621)())    (0||22(d|37622)())    (0||23(d|37767)())    (0||24(d|37806)())    (0||25(d|37865)())    (0||26(d|37952)())    (0||27(d|37953)())    (0||28(d|37980)())    (0||29(d|37981)())    (0||30(d|37984)())    (0||31(d|37985)())    (0||32(d|37986)())    (0||33(d|37987)())    (0||34(d|37988)())    (0||35(d|38138)())    (0||36(d|38173)())    (0||37(d|38236)())    (0||38(d|38316)())    (0||39(d|38317)())    (0||40(d|38345)())    (0||41(d|38348)())    (0||42(d|38349)())    (0||43(d|38350)())    (0||44(d|38351)())    (0||45(d|38352)())    (0||46(d|38502)())    (0||47(d|38537)())    (0||48(d|38600)())    (0||49(d|38680)())    (0||50(d|38681)())    (0||51(d|38712)())    (0||52(d|38713)())    (0||53(d|38714)())    (0||54(d|38715)())    (0||55(d|38716)())    (0||56(d|38719)())    (0||57(d|38866)())    (0||58(d|38901)())    (0||59(d|38902)())    (0||60(d|38964)())    (0||61(d|39044)())    (0||62(d|39045)())    (0||63(d|39076)())    (0||64(d|39077)())    (0||65(d|39078)())    (0||66(d|39079)())    (0||67(d|39080)())    (0||68(d|39083)())    (0||69(d|39230)())    (0||70(d|39267)())    (0||71(d|39328)())    (0||72(d|39408)())    (0||73(d|39409)())    (0||74(d|39441)())    (0||75(d|39442)())    (0||76(d|39443)())    (0||77(d|39444)())    (0||78(d|39447)())    (0||79(d|39448)())    (0||80(d|39594)())    (0||81(d|39633)())    (0||82(d|39692)())    (0||83(d|39779)())    (0||84(d|39780)())    (0||85(d|39807)())    (0||86(d|39808)())    (0||87(d|39811)())    (0||88(d|39812)())    (0||89(d|39813)())    (0||90(d|39814)())    (0||91(d|39958)())    (0||92(d|39997)())    (0||93(d|40063)())    (0||94(d|40143)())    (0||95(d|40144)())    (0||96(d|40172)())    (0||97(d|40175)())    (0||98(d|40176)())    (0||99(d|40177)())    (0||100(d|40178)())    (0||101(d|40179)())    (0||102(d|40329)())    (0||103(d|40364)())    (0||104(d|40427)())    (0||105(d|40507)())    (0||106(d|40508)())    (0||107(d|40536)())    (0||108(d|40539)())    (0||109(d|40540)())    (0||110(d|40541)())    (0||111(d|40542)())    (0||112(d|40543)())    (0||113(d|40693)())    (0||114(d|40728)())    (0||115(d|40791)())    (0||116(d|40871)())    (0||117(d|40872)())    (0||118(d|40903)())    (0||119(d|40904)())    (0||120(d|40905)())    (0||121(d|40906)())    (0||122(d|40907)())    (0||123(d|40910)())    (0||124(d|41057)())    (0||125(d|41094)())    (0||126(d|41155)())    (0||127(d|41235)())    (0||128(d|41236)())    (0||129(d|41268)())    (0||130(d|41269)())    (0||131(d|41270)())    (0||132(d|41271)())    (0||133(d|41274)())    (0||134(d|41275)())    (0||135(d|41421)())    (0||136(d|41459)())    (0||137(d|41519)())    (0||138(d|41599)())    (0||139(d|41600)())    (0||140(d|41633)())    (0||141(d|41634)())    (0||142(d|41635)())    (0||143(d|41638)())    (0||144(d|41639)())    (0||145(d|41640)())    (0||146(d|41785)())    (0||147(d|41824)())    (0||148(d|41883)())    (0||149(d|41963)())    (0||150(d|41964)())    (0||151(d|41998)())    (0||152(d|41999)())    (0||153(d|42002)())    (0||154(d|42003)())    (0||155(d|42004)())    (0||156(d|42005)())    (0||157(d|42149)())    (0||158(d|42920)())    (0||159(d|42935)())    (0||160(d|42942)())    (0||161(d|42955)())    (0||162(d|42963)())    (0||163(d|42971)())    (0||164(d|42977)())    (0||165(d|42982)())    (0||166(d|42991)())    (0||167(d|42998)())    (0||168(d|43032)())    (0||169(d|43033)())    (0||170(d|43040)())    (0||171(d|43047)())    (0||172(d|43049)())    (0||173(d|43062)())    (0||174(d|43063)())    (0||175(d|43076)())    (0||176(d|43082)())    (0||177(d|43090)())    (0||178(d|43094)())    (0||179(d|43098)())    (0||180(d|43101)())    (0||181(d|43115)())    (0||182(d|43124)())    (0||183(d|43131)())    (0||184(d|43152)())    (0||185(d|43159)())    (0||186(d|43173)())    (0||187(d|43179)())    (0||188(d|43185)())    (0||189(d|43189)())    (0||190(d|43192)())    (0||191(d|43200)())    (0||192(d|43208)())    (0||193(d|43221)())    (0||194(d|43228)())    (0||195(d|43235)(      (0||0(s|08:00|f|16:00)())))    (0||196(d|43248)())    (0||197(d|43264)())    (0||198(d|43271)())    (0||199(d|43278)())    (0||200(d|43285)())    (0||201(d|43304)())    (0||202(d|43311)())    (0||203(d|43318)())    (0||204(d|43326)())    (0||205(d|43334)())    (0||206(d|43342)())    (0||207(d|43346)())    (0||208(d|43356)())    (0||209(d|43357)())    (0||210(d|43396)())    (0||211(d|43403)())    (0||212(d|43405)())    (0||213(d|43412)())    (0||214(d|43416)())    (0||215(d|43426)())    (0||216(d|43427)())    (0||217(d|43441)())    (0||218(d|43447)())    (0||219(d|43454)())    (0||220(d|43459)())    (0||221(d|43462)())    (0||222(d|43466)())    (0||223(d|43479)())    (0||224(d|43488)())    (0||225(d|43495)())    (0||226(d|43515)())    (0||227(d|43522)())    (0||228(d|43525)())    (0||229(d|43531)())    (0||230(d|43537)())    (0||231(d|43572)())    (0||232(d|43574)())    (0||233(d|43578)())    (0||234(d|43584)())    (0||235(d|43595)())    (0||236(d|43601)())    (0||237(d|43607)())    (0||238(d|43612)())    (0||239(d|43620)())    (0||240(d|43628)())    (0||241(d|43636)())    (0||242(d|43650)())    (0||243(d|43669)())    (0||244(d|43676)())    (0||245(d|43682)())    (0||246(d|43690)())    (0||247(d|43698)())    (0||248(d|43706)())    (0||249(d|43710)())    (0||250(d|43721)())    (0||251(d|43728)())    (0||252(d|43760)())    (0||253(d|43766)())    (0||254(d|43775)())    (0||255(d|43780)())    (0||256(d|43782)())    (0||257(d|43790)())    (0||258(d|43791)())    (0||259(d|43801)())    (0||260(d|43809)())    (0||261(d|43817)())    (0||262(d|43824)())    (0||263(d|43825)())    (0||264(d|43831)())    (0||265(d|43843)())    (0||266(d|43854)())    (0||267(d|43860)())    (0||268(d|43880)())    (0||269(d|43887)())    (0||270(d|43892)())    (0||271(d|43900)())    (0||272(d|43908)())    (0||273(d|43931)())    (0||274(d|43936)())    (0||275(d|43942)())    (0||276(d|43948)())    (0||277(d|43952)())    (0||278(d|43959)())    (0||279(d|43966)())    (0||280(d|43976)())    (0||281(d|43985)())    (0||282(d|43992)())    (0||283(d|43999)())    (0||284(d|44015)())    (0||285(d|44033)())    (0||286(d|44039)())    (0||287(d|44056)())    (0||288(d|44062)())    (0||289(d|44067)())    (0||290(d|44068)())    (0||291(d|44081)())    (0||292(d|44097)())    (0||293(d|44104)())    (0||294(d|44106)())    (0||295(d|44112)())    (0||296(d|44146)())    (0||297(d|44158)())    (0||298(d|44161)())    (0||299(d|44162)())    (0||300(d|44165)())    (0||301(d|44166)())    (0||302(d|44174)())    (0||303(d|44182)())    (0||304(d|44188)())    (0||305(d|44190)())    (0||306(d|44197)())    (0||307(d|44207)())    (0||308(d|44221)())    (0||309(d|44222)())    (0||310(d|44232)())    (0||311(d|44238)())    (0||312(d|44256)())    (0||313(d|44264)())    (0||314(d|44272)())    (0||315(d|44288)())    (0||316(d|44299)())    (0||317(d|44306)())    (0||318(d|44313)())    (0||319(d|44319)())    (0||320(d|44327)())    (0||321(d|44335)())    (0||322(d|44347)())    (0||323(d|44356)())    (0||324(d|44364)())    (0||325(d|44372)())    (0||326(d|44382)())    (0||327(d|44398)())    (0||328(d|44405)())    (0||329(d|44412)())    (0||330(d|44419)())    (0||331(d|44426)())    (0||332(d|44433)())    (0||333(d|44441)())    (0||334(d|44445)())    (0||335(d|44448)())    (0||336(d|44487)())    (0||337(d|44494)())    (0||338(d|44509)())    (0||339(d|44511)())    (0||340(d|44516)())    (0||341(d|44525)())    (0||342(d|44526)())    (0||343(d|44531)())    (0||344(d|44532)())    (0||345(d|44538)())    (0||346(d|44545)())    (0||347(d|44554)())    (0||348(d|44561)())    (0||349(d|44571)())    (0||350(d|44587)())    (0||351(d|44588)())    (0||352(d|44601)())    (0||353(d|44608)())    (0||354(d|44636)())    (0||355(d|44642)())    (0||356(d|44648)())    (0||357(d|44656)())    (0||358(d|44664)())    (0||359(d|44666)())    (0||360(d|44672)())    (0||361(d|44684)())    (0||362(d|44691)())    (0||363(d|44698)())    (0||364(d|44711)())    (0||365(d|44728)())    (0||366(d|44735)())    (0||367(d|44742)())    (0||368(d|44746)())    (0||369(d|44760)())    (0||370(d|44761)())    (0||371(d|44778)())    (0||372(d|44784)())    (0||373(d|44791)())    (0||374(d|44798)())    (0||375(d|44809)())    (0||376(d|44818)())    (0||377(d|44819)())    (0||378(d|44852)())    (0||379(d|44859)())    (0||380(d|44872)())    (0||381(d|44876)())    (0||382(d|44880)())    (0||383(d|44889)())    (0||384(d|44890)())    (0||385(d|44902)())    (0||386(d|44903)())    (0||387(d|44909)())    (0||388(d|44910)())    (0||389(d|44921)())    (0||390(d|44928)())    (0||391(d|44939)())    (0||392(d|44942)())    (0||393(d|44945)())    (0||394(d|44971)())    (0||395(d|44978)())    (0||396(d|44988)())    (0||397(d|44994)())    (0||398(d|45000)())    (0||399(d|45023)())    (0||400(d|45028)())    (0||401(d|45034)())    (0||402(d|45040)())    (0||403(d|45054)())    (0||404(d|45055)())    (0||405(d|45056)())    (0||406(d|45075)())    (0||407(d|45091)())    (0||408(d|45098)())    (0||409(d|45105)())    (0||410(d|45111)())    (0||411(d|45124)())    (0||412(d|45125)())    (0||413(d|45159)())    (0||414(d|45160)())    (0||415(d|45161)())    (0||416(d|45166)())    (0||417(d|45173)())    (0||418(d|45176)())    (0||419(d|45183)())    (0||420(d|45224)())    (0||421(d|45225)())    (0||422(d|45240)())    (0||423(d|45251)())    (0||424(d|45253)())    (0||425(d|45254)())    (0||426(d|45258)())    (0||427(d|45266)())    (0||428(d|45267)())    (0||429(d|45268)())    (0||430(d|45275)())    (0||431(d|45285)())    (0||432(d|45292)())    (0||433(d|45306)())    (0||434(d|45380)())    (0||435(d|45439)())    (0||436(d|45477)())    (0||437(d|45537)())    (0||438(d|45607)())    (0||439(d|45617)())    (0||440(d|45618)())    (0||441(d|45651)())    (0||442(d|45658)())    (0||443(d|45670)())    (0||444(d|45765)())    (0||445(d|45803)())    (0||446(d|45842)())    (0||447(d|45901)())    (0||448(d|45972)())    (0||449(d|45988)())    (0||450(d|45989)())    (0||451(d|46016)())    (0||452(d|46023)())    (0||453(d|46034)())    (0||454(d|46115)())    (0||455(d|46167)())    (0||456(d|46206)())    (0||457(d|46272)())    (0||458(d|46337)())    (0||459(d|46352)())    (0||460(d|46353)())    (0||461(d|46381)())    (0||462(d|46388)())    (0||463(d|46398)())    (0||464(d|46472)())    (0||465(d|46538)())    (0||466(d|46573)())    (0||467(d|46636)())    (0||468(d|46702)())    (0||469(d|46716)())    (0||470(d|46717)())    (0||471(d|46745)())    (0||472(d|46752)())    (0||473(d|46762)())    (0||474(d|46857)())    (0||475(d|46902)())    (0||476(d|46938)())    (0||477(d|47000)())    (0||478(d|47067)())    (0||479(d|47080)())    (0||480(d|47081)())    (0||481(d|47112)())    (0||482(d|47119)())    (0||483(d|47133)())    (0||484(d|47207)())    (0||485(d|47266)())    (0||486(d|47303)())    (0||487(d|47364)())    (0||488(d|47434)())    (0||489(d|47444)())    (0||490(d|47445)())    (0||491(d|47477)())    (0||492(d|47484)())    (0||493(d|47592)())    (0||494(d|47630)())    (0||495(d|47668)())    (0||496(d|47728)())    (0||497(d|47798)())    (0||498(d|47815)())    (0||499(d|47816)())    (0||500(d|47842)())))))</t>
  </si>
  <si>
    <t>5D Soil Stabe (H+W+SD)</t>
  </si>
  <si>
    <t>(0||CalendarData()(  (0||DaysOfWeek()(    (0||1()())    (0||2()(      (0||0(s|08:00|f|12:00)())      (0||1(s|13:00|f|17:00)())))    (0||3()(      (0||0(s|08:00|f|12:00)())      (0||1(s|13:00|f|17:00)())))    (0||4()(      (0||0(s|08:00|f|12:00)())      (0||1(s|13:00|f|17:00)())))    (0||5()(      (0||0(s|08:00|f|12:00)())      (0||1(s|13:00|f|17:00)())))    (0||6()(      (0||0(s|08:00|f|12:00)())      (0||1(s|13:00|f|17:00)())))    (0||7()())))  (0||VIEW(ShowTotal|N)())  (0||Exceptions()(    (0||0(d|37865)())    (0||1(d|37952)())    (0||2(d|37953)())    (0||3(d|37980)())    (0||4(d|37981)())    (0||5(d|37987)())    (0||6(d|38138)())    (0||7(d|38173)())    (0||8(d|38236)())    (0||9(d|38316)())    (0||10(d|38317)())    (0||11(d|38345)())    (0||12(d|38352)())    (0||13(d|38502)())    (0||14(d|38537)())    (0||15(d|38600)())    (0||16(d|38680)())    (0||17(d|38681)())    (0||18(d|38712)())    (0||19(d|38719)())    (0||20(d|38866)())    (0||21(d|38902)())    (0||22(d|38964)())    (0||23(d|39044)())    (0||24(d|39045)())    (0||25(d|39076)())    (0||26(d|39083)())    (0||27(d|40063)())    (0||28(d|40088)())    (0||29(d|40107)())    (0||30(d|40115)())    (0||31(d|40143)())    (0||32(d|40144)())    (0||33(d|40171)())    (0||34(d|40172)())    (0||35(d|40179)())    (0||36(d|40329)())    (0||37(d|40364)())    (0||38(d|40427)())    (0||39(d|40544)())    (0||40(d|40618)())    (0||41(d|40624)())    (0||42(d|40646)())    (0||43(d|40693)())    (0||44(d|40728)())    (0||45(d|40791)())    (0||46(d|40833)())    (0||47(d|40857)())    (0||48(d|40871)())    (0||49(d|40872)())    (0||50(d|40873)())    (0||51(d|40892)())    (0||52(d|40901)())    (0||53(d|40903)())    (0||54(d|40904)())    (0||55(d|40910)())    (0||56(d|40920)())    (0||57(d|40924)())    (0||58(d|40946)())    (0||59(d|40959)())    (0||60(d|40974)())    (0||61(d|40987)())    (0||62(d|41057)())    (0||63(d|41094)())    (0||64(d|41155)())    (0||65(d|41204)())    (0||66(d|41230)())    (0||67(d|41242)())    (0||68(d|41243)())    (0||69(d|41244)())    (0||70(d|41263)())    (0||71(d|41267)())    (0||72(d|41268)())    (0||73(d|41275)())    (0||74(d|41284)())    (0||75(d|41295)())    (0||76(d|41310)())    (0||77(d|41319)())    (0||78(d|41323)())    (0||79(d|41339)())    (0||80(d|41351)())    (0||81(d|41421)())    (0||82(d|41459)())    (0||83(d|41519)())    (0||84(d|41568)())    (0||85(d|41601)())    (0||86(d|41606)())    (0||87(d|41607)())    (0||88(d|41632)())    (0||89(d|41633)())    (0||90(d|41636)())    (0||91(d|41640)())    (0||92(d|41659)())    (0||93(d|41687)())    (0||94(d|41715)())    (0||95(d|41785)())    (0||96(d|41824)())    (0||97(d|41883)())    (0||98(d|41932)())    (0||99(d|41970)())    (0||100(d|41971)())    (0||101(d|41972)())    (0||102(d|41998)())    (0||103(d|41999)())    (0||104(d|42005)())    (0||105(d|42014)())    (0||106(d|42023)())    (0||107(d|42049)())    (0||108(d|42051)())    (0||109(d|42086)())    (0||110(d|42149)())    (0||111(d|42188)())    (0||112(d|42254)())    (0||113(d|42296)())    (0||114(d|42334)())    (0||115(d|42335)())    (0||116(d|42362)())    (0||117(d|42363)())    (0||118(d|42370)())    (0||119(d|42520)())    (0||120(d|42555)())    (0||121(d|42618)())    (0||122(d|42698)())    (0||123(d|42699)())    (0||124(d|42730)())    (0||125(d|42737)())    (0||126(d|42884)())    (0||127(d|42920)())    (0||128(d|42982)())    (0||129(d|43062)())    (0||130(d|43063)())    (0||131(d|43094)())    (0||132(d|43101)())    (0||133(d|43248)())    (0||134(d|43285)())    (0||135(d|43346)())    (0||136(d|43426)())    (0||137(d|43427)())    (0||138(d|43459)())    (0||139(d|43466)())    (0||140(d|43612)())    (0||141(d|43650)())    (0||142(d|43710)())    (0||143(d|43746)())    (0||144(d|43747)())    (0||145(d|43753)())    (0||146(d|43754)())    (0||147(d|43760)())    (0||148(d|43761)())    (0||149(d|43775)())    (0||150(d|43776)())    (0||151(d|43777)())    (0||152(d|43780)())    (0||153(d|43781)())    (0||154(d|43782)())    (0||155(d|43788)())    (0||156(d|43789)(      (0||0(s|08:00|f|16:00)())))    (0||157(d|43790)())    (0||158(d|43791)())    (0||159(d|43794)())    (0||160(d|43795)())    (0||161(d|43796)())    (0||162(d|43797)())    (0||163(d|43798)())    (0||164(d|43801)())    (0||165(d|43802)())    (0||166(d|43803)())    (0||167(d|43804)())    (0||168(d|43805)())    (0||169(d|43808)())    (0||170(d|43809)())    (0||171(d|43810)())    (0||172(d|43811)())    (0||173(d|43812)())    (0||174(d|43815)())    (0||175(d|43816)())    (0||176(d|43817)())    (0||177(d|43818)())    (0||178(d|43819)())    (0||179(d|43822)())    (0||180(d|43823)())    (0||181(d|43824)())    (0||182(d|43825)())    (0||183(d|43826)())    (0||184(d|43829)())    (0||185(d|43830)())    (0||186(d|43831)())    (0||187(d|43832)())    (0||188(d|43833)())    (0||189(d|43836)())    (0||190(d|43837)())    (0||191(d|43838)())    (0||192(d|43839)())    (0||193(d|43840)())    (0||194(d|43843)())    (0||195(d|43844)())    (0||196(d|43845)())    (0||197(d|43846)())    (0||198(d|43847)())    (0||199(d|43850)())    (0||200(d|43851)())    (0||201(d|43852)())    (0||202(d|43853)())    (0||203(d|43854)())    (0||204(d|43857)())    (0||205(d|43858)())    (0||206(d|43859)())    (0||207(d|43860)())    (0||208(d|43861)())    (0||209(d|43864)())    (0||210(d|43865)())    (0||211(d|43866)())    (0||212(d|43867)())    (0||213(d|43868)())    (0||214(d|43871)())    (0||215(d|43872)())    (0||216(d|43873)())    (0||217(d|43874)())    (0||218(d|43875)())    (0||219(d|43878)())    (0||220(d|43879)())    (0||221(d|43880)())    (0||222(d|43881)())    (0||223(d|43882)())    (0||224(d|43885)())    (0||225(d|43886)())    (0||226(d|43887)())    (0||227(d|43888)())    (0||228(d|43889)())    (0||229(d|43892)())    (0||230(d|43893)())    (0||231(d|43894)())    (0||232(d|43895)())    (0||233(d|43896)())    (0||234(d|43902)())    (0||235(d|43903)())    (0||236(d|43908)())    (0||237(d|43909)())    (0||238(d|43914)())    (0||239(d|43915)())    (0||240(d|43920)())    (0||241(d|43921)())    (0||242(d|43928)())    (0||243(d|43931)())    (0||244(d|43935)())    (0||245(d|43942)())    (0||246(d|43949)())    (0||247(d|43950)())    (0||248(d|43957)())    (0||249(d|43958)())    (0||250(d|43964)())    (0||251(d|43965)())    (0||252(d|43971)())    (0||253(d|43972)())    (0||254(d|43976)())    (0||255(d|43984)())    (0||256(d|43985)())    (0||257(d|43991)())    (0||258(d|43998)())    (0||259(d|44005)())    (0||260(d|44012)())    (0||261(d|44013)())    (0||262(d|44015)())    (0||263(d|44019)())    (0||264(d|44020)())    (0||265(d|44027)())    (0||266(d|44034)())    (0||267(d|44040)())    (0||268(d|44041)())    (0||269(d|44047)())    (0||270(d|44054)())    (0||271(d|44055)())    (0||272(d|44061)())    (0||273(d|44062)())    (0||274(d|44063)())    (0||275(d|44068)())    (0||276(d|44081)())    (0||277(d|44085)())    (0||278(d|44091)())    (0||279(d|44095)())    (0||280(d|44097)())    (0||281(d|44103)())    (0||282(d|44105)())    (0||283(d|44113)())    (0||284(d|44119)())    (0||285(d|44123)())    (0||286(d|44125)())    (0||287(d|44131)())    (0||288(d|44137)())    (0||289(d|44138)())    (0||290(d|44144)())    (0||291(d|44145)())    (0||292(d|44146)())    (0||293(d|44151)())    (0||294(d|44152)())    (0||295(d|44153)())    (0||296(d|44154)())    (0||297(d|44158)())    (0||298(d|44159)())    (0||299(d|44160)())    (0||300(d|44161)())    (0||301(d|44162)())    (0||302(d|44165)())    (0||303(d|44166)())    (0||304(d|44167)())    (0||305(d|44168)())    (0||306(d|44169)())    (0||307(d|44172)())    (0||308(d|44173)())    (0||309(d|44174)())    (0||310(d|44175)())    (0||311(d|44176)())    (0||312(d|44179)())    (0||313(d|44180)())    (0||314(d|44181)())    (0||315(d|44182)())    (0||316(d|44183)())    (0||317(d|44186)())    (0||318(d|44187)())    (0||319(d|44188)())    (0||320(d|44189)())    (0||321(d|44190)())    (0||322(d|44193)())    (0||323(d|44194)())    (0||324(d|44195)())    (0||325(d|44196)())    (0||326(d|44197)())    (0||327(d|44200)())    (0||328(d|44201)())    (0||329(d|44202)())    (0||330(d|44203)())    (0||331(d|44204)())    (0||332(d|44207)())    (0||333(d|44208)())    (0||334(d|44209)())    (0||335(d|44210)())    (0||336(d|44211)())    (0||337(d|44214)())    (0||338(d|44215)())    (0||339(d|44216)())    (0||340(d|44217)())    (0||341(d|44218)())    (0||342(d|44221)())    (0||343(d|44222)())    (0||344(d|44223)())    (0||345(d|44224)())    (0||346(d|44225)())    (0||347(d|44228)())    (0||348(d|44229)())    (0||349(d|44230)())    (0||350(d|44231)())    (0||351(d|44232)())    (0||352(d|44235)())    (0||353(d|44236)())    (0||354(d|44237)())    (0||355(d|44238)())    (0||356(d|44239)())    (0||357(d|44242)())    (0||358(d|44243)())    (0||359(d|44244)())    (0||360(d|44245)())    (0||361(d|44246)())    (0||362(d|44249)())    (0||363(d|44250)())    (0||364(d|44251)())    (0||365(d|44252)())    (0||366(d|44253)())    (0||367(d|44256)())    (0||368(d|44257)())    (0||369(d|44258)())    (0||370(d|44259)())    (0||371(d|44260)())    (0||372(d|44267)())    (0||373(d|44273)())    (0||374(d|44274)())    (0||375(d|44279)())    (0||376(d|44280)())    (0||377(d|44284)())    (0||378(d|44285)())    (0||379(d|44288)())    (0||380(d|44298)())    (0||381(d|44299)())    (0||382(d|44306)())    (0||383(d|44307)())    (0||384(d|44315)())    (0||385(d|44322)())    (0||386(d|44323)())    (0||387(d|44329)())    (0||388(d|44330)())    (0||389(d|44334)())    (0||390(d|44335)())    (0||391(d|44347)())    (0||392(d|44358)())    (0||393(d|44365)())    (0||394(d|44370)())    (0||395(d|44371)())    (0||396(d|44375)())    (0||397(d|44376)())    (0||398(d|44382)())    (0||399(d|44445)())    (0||400(d|44525)())    (0||401(d|44526)())    (0||402(d|44554)())    (0||403(d|44561)())    (0||404(d|44711)())    (0||405(d|44746)())    (0||406(d|44809)())    (0||407(d|44889)())    (0||408(d|44890)())    (0||409(d|44921)())    (0||410(d|44928)())    (0||411(d|45075)())    (0||412(d|45111)())    (0||413(d|45173)())    (0||414(d|45253)())    (0||415(d|45254)())    (0||416(d|45285)())))))</t>
  </si>
  <si>
    <t>Standard 5 Day Workweek</t>
  </si>
  <si>
    <t>7-Day Workweek</t>
  </si>
  <si>
    <t>(0||CalendarData()((0||DaysOfWeek()((0||1()((0||0(s|08:00|f|16:00)())))(0||2()((0||0(s|08:00|f|16:00)())))(0||3()((0||0(s|08:00|f|16:00)())))(0||4()((0||0(s|08:00|f|16:00)())))(0||5()((0||0(s|08:00|f|16:00)())))(0||6()((0||0(s|08:00|f|16:00)())))(0||7()((0||0(s|08:00|f|16:00)())))))(0||VIEW(ShowTotal|Y)())(0||Exceptions()())))</t>
  </si>
  <si>
    <t>7D Work Week</t>
  </si>
  <si>
    <t>(0||CalendarData()(  (0||DaysOfWeek()(    (0||1()(      (0||0(s|08:00|f|16:00)())))    (0||2()(      (0||0(s|08:00|f|16:00)())))    (0||3()(      (0||0(s|08:00|f|16:00)())))    (0||4()(      (0||0(s|08:00|f|16:00)())))    (0||5()(      (0||0(s|08:00|f|16:00)())))    (0||6()(      (0||0(s|08:00|f|16:00)())))    (0||7()(      (0||0(s|08:00|f|16:00)())))))  (0||VIEW(ShowTotal|Y)())  (0||Exceptions()())))</t>
  </si>
  <si>
    <t>NCDOT 5D (10 Base Holidays to 2030)</t>
  </si>
  <si>
    <t>(0||CalendarData()(  (0||DaysOfWeek()(    (0||1()())    (0||2()(      (0||0(s|08:00|f|16:00)())))    (0||3()(      (0||0(s|08:00|f|16:00)())))    (0||4()(      (0||0(s|08:00|f|16:00)())))    (0||5()(      (0||0(s|08:00|f|16:00)())))    (0||6()(      (0||0(s|08:00|f|16:00)())))    (0||7()())))  (0||VIEW(ShowTotal|N)())  (0||Exceptions()(    (0||0(d|37076)())    (0||1(d|37137)())    (0||2(d|37217)())    (0||3(d|37218)())    (0||4(d|37249)())    (0||5(d|37250)())    (0||6(d|37251)())    (0||7(d|37252)())    (0||8(d|37253)())    (0||9(d|37256)())    (0||10(d|37257)())    (0||11(d|37403)())    (0||12(d|37441)())    (0||13(d|37442)())    (0||14(d|37501)())    (0||15(d|37588)())    (0||16(d|37589)())    (0||17(d|37615)())    (0||18(d|37616)())    (0||19(d|37617)())    (0||20(d|37620)())    (0||21(d|37621)())    (0||22(d|37622)())    (0||23(d|37767)())    (0||24(d|37806)())    (0||25(d|37865)())    (0||26(d|37952)())    (0||27(d|37953)())    (0||28(d|37980)())    (0||29(d|37981)())    (0||30(d|37984)())    (0||31(d|37985)())    (0||32(d|37986)())    (0||33(d|37987)())    (0||34(d|37988)())    (0||35(d|38138)())    (0||36(d|38173)())    (0||37(d|38236)())    (0||38(d|38316)())    (0||39(d|38317)())    (0||40(d|38345)())    (0||41(d|38348)())    (0||42(d|38349)())    (0||43(d|38350)())    (0||44(d|38351)())    (0||45(d|38352)())    (0||46(d|38502)())    (0||47(d|38537)())    (0||48(d|38600)())    (0||49(d|38680)())    (0||50(d|38681)())    (0||51(d|38712)())    (0||52(d|38713)())    (0||53(d|38714)())    (0||54(d|38715)())    (0||55(d|38716)())    (0||56(d|38719)())    (0||57(d|38866)())    (0||58(d|38901)())    (0||59(d|38902)())    (0||60(d|38964)())    (0||61(d|39044)())    (0||62(d|39045)())    (0||63(d|39076)())    (0||64(d|39077)())    (0||65(d|39078)())    (0||66(d|39079)())    (0||67(d|39080)())    (0||68(d|39083)())    (0||69(d|39230)())    (0||70(d|39267)())    (0||71(d|39328)())    (0||72(d|39408)())    (0||73(d|39409)())    (0||74(d|39441)())    (0||75(d|39442)())    (0||76(d|39443)())    (0||77(d|39444)())    (0||78(d|39447)())    (0||79(d|39448)())    (0||80(d|39594)())    (0||81(d|39633)())    (0||82(d|39692)())    (0||83(d|39779)())    (0||84(d|39780)())    (0||85(d|39807)())    (0||86(d|39808)())    (0||87(d|39811)())    (0||88(d|39812)())    (0||89(d|39813)())    (0||90(d|39814)())    (0||91(d|39958)())    (0||92(d|39997)())    (0||93(d|40063)())    (0||94(d|40143)())    (0||95(d|40144)())    (0||96(d|40172)())    (0||97(d|40175)())    (0||98(d|40176)())    (0||99(d|40177)())    (0||100(d|40178)())    (0||101(d|40179)())    (0||102(d|40329)())    (0||103(d|40364)())    (0||104(d|40427)())    (0||105(d|40507)())    (0||106(d|40508)())    (0||107(d|40536)())    (0||108(d|40539)())    (0||109(d|40540)())    (0||110(d|40541)())    (0||111(d|40542)())    (0||112(d|40543)())    (0||113(d|40693)())    (0||114(d|40728)())    (0||115(d|40791)())    (0||116(d|40871)())    (0||117(d|40872)())    (0||118(d|40903)())    (0||119(d|40904)())    (0||120(d|40905)())    (0||121(d|40906)())    (0||122(d|40907)())    (0||123(d|40910)())    (0||124(d|41057)())    (0||125(d|41094)())    (0||126(d|41155)())    (0||127(d|41235)())    (0||128(d|41236)())    (0||129(d|41268)())    (0||130(d|41269)())    (0||131(d|41270)())    (0||132(d|41271)())    (0||133(d|41274)())    (0||134(d|41275)())    (0||135(d|41421)())    (0||136(d|41459)())    (0||137(d|41519)())    (0||138(d|41599)())    (0||139(d|41600)())    (0||140(d|41633)())    (0||141(d|41634)())    (0||142(d|41635)())    (0||143(d|41638)())    (0||144(d|41639)())    (0||145(d|41640)())    (0||146(d|41785)())    (0||147(d|41824)())    (0||148(d|41883)())    (0||149(d|41963)())    (0||150(d|41964)())    (0||151(d|41998)())    (0||152(d|41999)())    (0||153(d|42002)())    (0||154(d|42003)())    (0||155(d|42004)())    (0||156(d|42005)())    (0||157(d|42149)())    (0||158(d|42920)())    (0||159(d|42982)())    (0||160(d|43049)())    (0||161(d|43062)())    (0||162(d|43063)())    (0||163(d|43094)())    (0||164(d|43101)())    (0||165(d|43115)())    (0||166(d|43189)())    (0||167(d|43248)())    (0||168(d|43285)())    (0||169(d|43346)())    (0||170(d|43416)())    (0||171(d|43426)())    (0||172(d|43427)())    (0||173(d|43459)())    (0||174(d|43466)())    (0||175(d|43479)())    (0||176(d|43574)())    (0||177(d|43612)())    (0||178(d|43650)())    (0||179(d|43710)())    (0||180(d|43780)())    (0||181(d|43790)())    (0||182(d|43791)())    (0||183(d|43824)())    (0||184(d|43831)())    (0||185(d|43843)())    (0||186(d|43931)())    (0||187(d|43976)())    (0||188(d|44015)())    (0||189(d|44081)())    (0||190(d|44146)())    (0||191(d|44161)())    (0||192(d|44162)())    (0||193(d|44190)())    (0||194(d|44197)())    (0||195(d|44207)())    (0||196(d|44288)())    (0||197(d|44347)())    (0||198(d|44382)())    (0||199(d|44445)())    (0||200(d|44511)())    (0||201(d|44525)())    (0||202(d|44526)())    (0||203(d|44554)())    (0||204(d|44561)())    (0||205(d|44571)())    (0||206(d|44666)())    (0||207(d|44711)())    (0||208(d|44746)())    (0||209(d|44809)())    (0||210(d|44876)())    (0||211(d|44889)())    (0||212(d|44890)())    (0||213(d|44921)())    (0||214(d|44928)())    (0||215(d|44942)())    (0||216(d|45023)())    (0||217(d|45075)())    (0||218(d|45111)())    (0||219(d|45173)())    (0||220(d|45240)())    (0||221(d|45253)())    (0||222(d|45254)())    (0||223(d|45285)())    (0||224(d|45292)())    (0||225(d|45306)())    (0||226(d|45380)())    (0||227(d|45439)())    (0||228(d|45477)())    (0||229(d|45537)())    (0||230(d|45607)())    (0||231(d|45617)())    (0||232(d|45618)())    (0||233(d|45651)())    (0||234(d|45658)())    (0||235(d|45670)())    (0||236(d|45765)())    (0||237(d|45803)())    (0||238(d|45842)())    (0||239(d|45901)())    (0||240(d|45972)())    (0||241(d|45988)())    (0||242(d|45989)())    (0||243(d|46016)())    (0||244(d|46023)())    (0||245(d|46034)())    (0||246(d|46115)())    (0||247(d|46167)())    (0||248(d|46206)())    (0||249(d|46272)())    (0||250(d|46337)())    (0||251(d|46352)())    (0||252(d|46353)())    (0||253(d|46381)())    (0||254(d|46388)())    (0||255(d|46398)())    (0||256(d|46472)())    (0||257(d|46538)())    (0||258(d|46573)())    (0||259(d|46636)())    (0||260(d|46702)())    (0||261(d|46716)())    (0||262(d|46717)())    (0||263(d|46745)())    (0||264(d|46752)())    (0||265(d|46762)())    (0||266(d|46857)())    (0||267(d|46902)())    (0||268(d|46938)())    (0||269(d|47000)())    (0||270(d|47067)())    (0||271(d|47080)())    (0||272(d|47081)())    (0||273(d|47112)())    (0||274(d|47119)())    (0||275(d|47133)())    (0||276(d|47207)())    (0||277(d|47266)())    (0||278(d|47303)())    (0||279(d|47364)())    (0||280(d|47434)())    (0||281(d|47444)())    (0||282(d|47445)())    (0||283(d|47477)())    (0||284(d|47484)())    (0||285(d|47592)())    (0||286(d|47630)())    (0||287(d|47668)())    (0||288(d|47728)())    (0||289(d|47798)())    (0||290(d|47815)())    (0||291(d|47816)())    (0||292(d|47842)())))))</t>
  </si>
  <si>
    <t>NCDOT I-40 Yadkin 5D Rd&amp;Ex (H+W)</t>
  </si>
  <si>
    <t>(0||CalendarData()(  (0||DaysOfWeek()(    (0||1()())    (0||2()(      (0||0(s|08:00|f|16:00)())))    (0||3()(      (0||0(s|08:00|f|16:00)())))    (0||4()(      (0||0(s|08:00|f|16:00)())))    (0||5()(      (0||0(s|08:00|f|16:00)())))    (0||6()(      (0||0(s|08:00|f|16:00)())))    (0||7()())))  (0||VIEW(ShowTotal|N)())  (0||Exceptions()(    (0||0(d|37076)())    (0||1(d|37137)())    (0||2(d|37217)())    (0||3(d|37218)())    (0||4(d|37249)())    (0||5(d|37250)())    (0||6(d|37251)())    (0||7(d|37252)())    (0||8(d|37253)())    (0||9(d|37256)())    (0||10(d|37257)())    (0||11(d|37403)())    (0||12(d|37441)())    (0||13(d|37442)())    (0||14(d|37501)())    (0||15(d|37588)())    (0||16(d|37589)())    (0||17(d|37615)())    (0||18(d|37616)())    (0||19(d|37617)())    (0||20(d|37620)())    (0||21(d|37621)())    (0||22(d|37622)())    (0||23(d|37767)())    (0||24(d|37806)())    (0||25(d|37865)())    (0||26(d|37952)())    (0||27(d|37953)())    (0||28(d|37980)())    (0||29(d|37981)())    (0||30(d|37984)())    (0||31(d|37985)())    (0||32(d|37986)())    (0||33(d|37987)())    (0||34(d|37988)())    (0||35(d|38138)())    (0||36(d|38173)())    (0||37(d|38236)())    (0||38(d|38316)())    (0||39(d|38317)())    (0||40(d|38345)())    (0||41(d|38348)())    (0||42(d|38349)())    (0||43(d|38350)())    (0||44(d|38351)())    (0||45(d|38352)())    (0||46(d|38502)())    (0||47(d|38537)())    (0||48(d|38600)())    (0||49(d|38680)())    (0||50(d|38681)())    (0||51(d|38712)())    (0||52(d|38713)())    (0||53(d|38714)())    (0||54(d|38715)())    (0||55(d|38716)())    (0||56(d|38719)())    (0||57(d|38866)())    (0||58(d|38901)())    (0||59(d|38902)())    (0||60(d|38964)())    (0||61(d|39044)())    (0||62(d|39045)())    (0||63(d|39076)())    (0||64(d|39077)())    (0||65(d|39078)())    (0||66(d|39079)())    (0||67(d|39080)())    (0||68(d|39083)())    (0||69(d|39230)())    (0||70(d|39267)())    (0||71(d|39328)())    (0||72(d|39408)())    (0||73(d|39409)())    (0||74(d|39441)())    (0||75(d|39442)())    (0||76(d|39443)())    (0||77(d|39444)())    (0||78(d|39447)())    (0||79(d|39448)())    (0||80(d|39594)())    (0||81(d|39633)())    (0||82(d|39692)())    (0||83(d|39779)())    (0||84(d|39780)())    (0||85(d|39807)())    (0||86(d|39808)())    (0||87(d|39811)())    (0||88(d|39812)())    (0||89(d|39813)())    (0||90(d|39814)())    (0||91(d|39958)())    (0||92(d|39997)())    (0||93(d|40063)())    (0||94(d|40143)())    (0||95(d|40144)())    (0||96(d|40172)())    (0||97(d|40175)())    (0||98(d|40176)())    (0||99(d|40177)())    (0||100(d|40178)())    (0||101(d|40179)())    (0||102(d|40329)())    (0||103(d|40364)())    (0||104(d|40427)())    (0||105(d|40507)())    (0||106(d|40508)())    (0||107(d|40536)())    (0||108(d|40539)())    (0||109(d|40540)())    (0||110(d|40541)())    (0||111(d|40542)())    (0||112(d|40543)())    (0||113(d|40693)())    (0||114(d|40728)())    (0||115(d|40791)())    (0||116(d|40871)())    (0||117(d|40872)())    (0||118(d|40903)())    (0||119(d|40904)())    (0||120(d|40905)())    (0||121(d|40906)())    (0||122(d|40907)())    (0||123(d|40910)())    (0||124(d|41057)())    (0||125(d|41094)())    (0||126(d|41155)())    (0||127(d|41235)())    (0||128(d|41236)())    (0||129(d|41268)())    (0||130(d|41269)())    (0||131(d|41270)())    (0||132(d|41271)())    (0||133(d|41274)())    (0||134(d|41275)())    (0||135(d|41421)())    (0||136(d|41459)())    (0||137(d|41519)())    (0||138(d|41599)())    (0||139(d|41600)())    (0||140(d|41633)())    (0||141(d|41634)())    (0||142(d|41635)())    (0||143(d|41638)())    (0||144(d|41639)())    (0||145(d|41640)())    (0||146(d|41785)())    (0||147(d|41824)())    (0||148(d|41883)())    (0||149(d|41963)())    (0||150(d|41964)())    (0||151(d|41998)())    (0||152(d|41999)())    (0||153(d|42002)())    (0||154(d|42003)())    (0||155(d|42004)())    (0||156(d|42005)())    (0||157(d|42149)())    (0||158(d|42920)())    (0||159(d|42922)())    (0||160(d|42923)())    (0||161(d|42928)())    (0||162(d|42929)())    (0||163(d|42934)())    (0||164(d|42935)())    (0||165(d|42941)())    (0||166(d|42948)())    (0||167(d|42949)())    (0||168(d|42955)())    (0||169(d|42956)())    (0||170(d|42962)())    (0||171(d|42963)())    (0||172(d|42964)())    (0||173(d|42982)())    (0||174(d|42984)())    (0||175(d|42991)())    (0||176(d|42998)())    (0||177(d|43005)())    (0||178(d|43006)())    (0||179(d|43011)())    (0||180(d|43018)())    (0||181(d|43025)())    (0||182(d|43032)())    (0||183(d|43033)())    (0||184(d|43039)())    (0||185(d|43045)())    (0||186(d|43046)())    (0||187(d|43047)())    (0||188(d|43049)())    (0||189(d|43052)())    (0||190(d|43053)())    (0||191(d|43059)())    (0||192(d|43060)())    (0||193(d|43062)())    (0||194(d|43063)())    (0||195(d|43066)())    (0||196(d|43073)())    (0||197(d|43074)())    (0||198(d|43075)())    (0||199(d|43080)())    (0||200(d|43081)())    (0||201(d|43082)())    (0||202(d|43083)())    (0||203(d|43089)())    (0||204(d|43090)())    (0||205(d|43091)())    (0||206(d|43094)())    (0||207(d|43096)())    (0||208(d|43097)())    (0||209(d|43098)())    (0||210(d|43101)())    (0||211(d|43103)())    (0||212(d|43110)())    (0||213(d|43111)())    (0||214(d|43115)())    (0||215(d|43117)())    (0||216(d|43118)())    (0||217(d|43124)())    (0||218(d|43125)())    (0||219(d|43130)())    (0||220(d|43131)())    (0||221(d|43136)())    (0||222(d|43137)())    (0||223(d|43138)())    (0||224(d|43139)())    (0||225(d|43144)())    (0||226(d|43145)())    (0||227(d|43151)())    (0||228(d|43152)())    (0||229(d|43158)())    (0||230(d|43159)())    (0||231(d|43164)())    (0||232(d|43171)())    (0||233(d|43172)())    (0||234(d|43174)())    (0||235(d|43179)())    (0||236(d|43180)())    (0||237(d|43181)())    (0||238(d|43186)())    (0||239(d|43187)())    (0||240(d|43189)())    (0||241(d|43193)())    (0||242(d|43200)())    (0||243(d|43207)())    (0||244(d|43214)())    (0||245(d|43215)())    (0||246(d|43223)())    (0||247(d|43230)())    (0||248(d|43236)())    (0||249(d|43237)())    (0||250(d|43244)())    (0||251(d|43248)())    (0||252(d|43251)())    (0||253(d|43256)())    (0||254(d|43257)())    (0||255(d|43263)())    (0||256(d|43264)())    (0||257(d|43270)())    (0||258(d|43271)())    (0||259(d|43272)())    (0||260(d|43285)())    (0||261(d|43291)())    (0||262(d|43292)())    (0||263(d|43298)())    (0||264(d|43299)())    (0||265(d|43305)())    (0||266(d|43306)())    (0||267(d|43312)())    (0||268(d|43313)())    (0||269(d|43319)())    (0||270(d|43320)())    (0||271(d|43326)())    (0||272(d|43327)())    (0||273(d|43333)())    (0||274(d|43340)())    (0||275(d|43346)())    (0||276(d|43349)())    (0||277(d|43356)())    (0||278(d|43363)())    (0||279(d|43369)())    (0||280(d|43370)())    (0||281(d|43376)())    (0||282(d|43383)())    (0||283(d|43390)())    (0||284(d|43397)())    (0||285(d|43403)())    (0||286(d|43404)())    (0||287(d|43411)())    (0||288(d|43412)())    (0||289(d|43416)())    (0||290(d|43418)())    (0||291(d|43419)())    (0||292(d|43424)())    (0||293(d|43426)())    (0||294(d|43427)())    (0||295(d|43431)())    (0||296(d|43432)())    (0||297(d|43433)())    (0||298(d|43439)())    (0||299(d|43440)())    (0||300(d|43444)())    (0||301(d|43445)())    (0||302(d|43446)())    (0||303(d|43447)())    (0||304(d|43451)())    (0||305(d|43452)())    (0||306(d|43453)())    (0||307(d|43454)())    (0||308(d|43458)())    (0||309(d|43459)())    (0||310(d|43460)())    (0||311(d|43461)())    (0||312(d|43466)())    (0||313(d|43468)())    (0||314(d|43474)())    (0||315(d|43475)())    (0||316(d|43479)())    (0||317(d|43481)())    (0||318(d|43482)())    (0||319(d|43487)())    (0||320(d|43488)())    (0||321(d|43493)())    (0||322(d|43494)())    (0||323(d|43501)())    (0||324(d|43502)())    (0||325(d|43503)())    (0||326(d|43504)())    (0||327(d|43509)())    (0||328(d|43510)())    (0||329(d|43511)())    (0||330(d|43516)())    (0||331(d|43517)())    (0||332(d|43524)())    (0||333(d|43529)())    (0||334(d|43530)())    (0||335(d|43531)())    (0||336(d|43538)())    (0||337(d|43539)())    (0||338(d|43543)())    (0||339(d|43544)())    (0||340(d|43545)())    (0||341(d|43546)())    (0||342(d|43557)())    (0||343(d|43564)())    (0||344(d|43571)())    (0||345(d|43574)())    (0||346(d|43578)())    (0||347(d|43585)())    (0||348(d|43592)())    (0||349(d|43593)())    (0||350(d|43599)())    (0||351(d|43600)())    (0||352(d|43608)())    (0||353(d|43609)())    (0||354(d|43612)())    (0||355(d|43620)())    (0||356(d|43627)())    (0||357(d|43634)())    (0||358(d|43635)())    (0||359(d|43641)())    (0||360(d|43642)())    (0||361(d|43648)())    (0||362(d|43650)())    (0||363(d|43656)())    (0||364(d|43662)())    (0||365(d|43663)())    (0||366(d|43664)())    (0||367(d|43669)())    (0||368(d|43676)())    (0||369(d|43682)())    (0||370(d|43689)())    (0||371(d|43690)())    (0||372(d|43691)())    (0||373(d|43697)())    (0||374(d|43698)())    (0||375(d|43704)())    (0||376(d|43710)())    (0||377(d|43714)())    (0||378(d|43720)())    (0||379(d|43726)())    (0||380(d|43732)())    (0||381(d|43733)())    (0||382(d|43746)())    (0||383(d|43747)())    (0||384(d|43753)())    (0||385(d|43754)())    (0||386(d|43760)())    (0||387(d|43761)())    (0||388(d|43775)())    (0||389(d|43776)())    (0||390(d|43777)())    (0||391(d|43780)())    (0||392(d|43781)())    (0||393(d|43782)())    (0||394(d|43788)())    (0||395(d|43790)())    (0||396(d|43791)())    (0||397(d|43795)())    (0||398(d|43796)())    (0||399(d|43802)())    (0||400(d|43803)())    (0||401(d|43808)())    (0||402(d|43809)())    (0||403(d|43810)())    (0||404(d|43811)())    (0||405(d|43815)())    (0||406(d|43816)())    (0||407(d|43817)())    (0||408(d|43822)())    (0||409(d|43823)())    (0||410(d|43824)())    (0||411(d|43829)())    (0||412(d|43830)())    (0||413(d|43831)())    (0||414(d|43832)())    (0||415(d|43839)())    (0||416(d|43843)())    (0||417(d|43845)())    (0||418(d|43846)())    (0||419(d|43852)())    (0||420(d|43853)())    (0||421(d|43859)())    (0||422(d|43860)())    (0||423(d|43861)())    (0||424(d|43864)())    (0||425(d|43866)())    (0||426(d|43871)())    (0||427(d|43873)())    (0||428(d|43879)())    (0||429(d|43880)())    (0||430(d|43881)())    (0||431(d|43886)())    (0||432(d|43887)())    (0||433(d|43888)())    (0||434(d|43895)())    (0||435(d|43902)())    (0||436(d|43903)())    (0||437(d|43908)())    (0||438(d|43909)())    (0||439(d|43914)())    (0||440(d|43915)())    (0||441(d|43920)())    (0||442(d|43921)())    (0||443(d|43928)())    (0||444(d|43931)())    (0||445(d|43935)())    (0||446(d|43942)())    (0||447(d|43949)())    (0||448(d|43950)())    (0||449(d|43957)())    (0||450(d|43958)())    (0||451(d|43964)())    (0||452(d|43965)())    (0||453(d|43971)())    (0||454(d|43972)())    (0||455(d|43976)())    (0||456(d|43984)())    (0||457(d|43985)())    (0||458(d|43991)())    (0||459(d|43998)())    (0||460(d|44005)())    (0||461(d|44012)())    (0||462(d|44013)())    (0||463(d|44015)())    (0||464(d|44019)())    (0||465(d|44020)())    (0||466(d|44027)())    (0||467(d|44034)())    (0||468(d|44040)())    (0||469(d|44041)())    (0||470(d|44047)())    (0||471(d|44054)())    (0||472(d|44055)())    (0||473(d|44061)())    (0||474(d|44062)())    (0||475(d|44063)())    (0||476(d|44068)())    (0||477(d|44081)())    (0||478(d|44085)())    (0||479(d|44091)())    (0||480(d|44095)())    (0||481(d|44097)())    (0||482(d|44103)())    (0||483(d|44105)())    (0||484(d|44113)())    (0||485(d|44119)())    (0||486(d|44123)())    (0||487(d|44125)())    (0||488(d|44131)())    (0||489(d|44137)())    (0||490(d|44138)())    (0||491(d|44144)())    (0||492(d|44145)())    (0||493(d|44146)())    (0||494(d|44151)())    (0||495(d|44152)())    (0||496(d|44153)())    (0||497(d|44154)())    (0||498(d|44161)())    (0||499(d|44162)())    (0||500(d|44167)())    (0||501(d|44168)())    (0||502(d|44169)())    (0||503(d|44172)())    (0||504(d|44173)())    (0||505(d|44174)())    (0||506(d|44175)())    (0||507(d|44176)())    (0||508(d|44181)())    (0||509(d|44188)())    (0||510(d|44190)())    (0||511(d|44193)())    (0||512(d|44194)())    (0||513(d|44195)())    (0||514(d|44197)())    (0||515(d|44204)())    (0||516(d|44207)())    (0||517(d|44209)())    (0||518(d|44210)())    (0||519(d|44211)())    (0||520(d|44216)())    (0||521(d|44217)())    (0||522(d|44222)())    (0||523(d|44223)())    (0||524(d|44224)())    (0||525(d|44231)())    (0||526(d|44232)())    (0||527(d|44235)())    (0||528(d|44236)())    (0||529(d|44239)())    (0||530(d|44243)())    (0||531(d|44244)())    (0||532(d|44246)())    (0||533(d|44252)())    (0||534(d|44253)())    (0||535(d|44259)())    (0||536(d|44260)())    (0||537(d|44267)())    (0||538(d|44273)())    (0||539(d|44274)())    (0||540(d|44279)())    (0||541(d|44280)())    (0||542(d|44284)())    (0||543(d|44285)())    (0||544(d|44288)())    (0||545(d|44298)())    (0||546(d|44299)())    (0||547(d|44306)())    (0||548(d|44307)())    (0||549(d|44315)())    (0||550(d|44322)())    (0||551(d|44323)())    (0||552(d|44329)())    (0||553(d|44330)())    (0||554(d|44334)())    (0||555(d|44335)())    (0||556(d|44347)())    (0||557(d|44358)())    (0||558(d|44365)())    (0||559(d|44370)())    (0||560(d|44371)())    (0||561(d|44375)())    (0||562(d|44376)())    (0||563(d|44378)())    (0||564(d|44382)())    (0||565(d|44385)())    (0||566(d|44392)())    (0||567(d|44397)())    (0||568(d|44399)())    (0||569(d|44405)())    (0||570(d|44406)())    (0||571(d|44413)())    (0||572(d|44419)())    (0||573(d|44421)())    (0||574(d|44424)())    (0||575(d|44425)())    (0||576(d|44428)())    (0||577(d|44432)())    (0||578(d|44442)())    (0||579(d|44445)())    (0||580(d|44448)())    (0||581(d|44454)())    (0||582(d|44460)())    (0||583(d|44466)())    (0||584(d|44476)())    (0||585(d|44477)())    (0||586(d|44481)())    (0||587(d|44482)())    (0||588(d|44487)())    (0||589(d|44494)())    (0||590(d|44502)())    (0||591(d|44509)())    (0||592(d|44511)())    (0||593(d|44516)())    (0||594(d|44517)())    (0||595(d|44523)())    (0||596(d|44524)())    (0||597(d|44525)())    (0||598(d|44526)())    (0||599(d|44529)())    (0||600(d|44530)())    (0||601(d|44531)())    (0||602(d|44532)())    (0||603(d|44533)())    (0||604(d|44537)())    (0||605(d|44538)())    (0||606(d|44539)())    (0||607(d|44540)())    (0||608(d|44544)())    (0||609(d|44551)())    (0||610(d|44554)())    (0||611(d|44557)())    (0||612(d|44558)())    (0||613(d|44559)())    (0||614(d|44560)())    (0||615(d|44561)())    (0||616(d|44568)())    (0||617(d|44571)())    (0||618(d|44574)())    (0||619(d|44575)())    (0||620(d|44580)())    (0||621(d|44581)())    (0||622(d|44582)())    (0||623(d|44586)())    (0||624(d|44587)())    (0||625(d|44592)())    (0||626(d|44593)())    (0||627(d|44594)())    (0||628(d|44601)())    (0||629(d|44602)())    (0||630(d|44609)())    (0||631(d|44610)())    (0||632(d|44613)())    (0||633(d|44614)())    (0||634(d|44615)())    (0||635(d|44620)())    (0||636(d|44621)())    (0||637(d|44623)())    (0||638(d|44627)())    (0||639(d|44630)())    (0||640(d|44635)())    (0||641(d|44637)())    (0||642(d|44643)())    (0||643(d|44644)())    (0||644(d|44651)())    (0||645(d|44652)())    (0||646(d|44658)())    (0||647(d|44664)())    (0||648(d|44666)())    (0||649(d|44670)())    (0||650(d|44676)())    (0||651(d|44686)())    (0||652(d|44693)())    (0||653(d|44700)())    (0||654(d|44705)())    (0||655(d|44706)())    (0||656(d|44707)())    (0||657(d|44711)())    (0||658(d|44719)())    (0||659(d|44727)())    (0||660(d|44735)())    (0||661(d|44740)())    (0||662(d|44741)())    (0||663(d|44742)())    (0||664(d|44743)())    (0||665(d|44746)())    (0||666(d|44749)())    (0||667(d|44750)())    (0||668(d|44755)())    (0||669(d|44756)())    (0||670(d|44761)())    (0||671(d|44767)())    (0||672(d|44774)())    (0||673(d|44782)())    (0||674(d|44790)())    (0||675(d|44796)())    (0||676(d|44798)())    (0||677(d|44803)())    (0||678(d|44804)())    (0||679(d|44806)())    (0||680(d|44809)())    (0||681(d|44812)())    (0||682(d|44818)())    (0||683(d|44824)())    (0||684(d|44830)())    (0||685(d|44838)())    (0||686(d|44839)())    (0||687(d|44845)())    (0||688(d|44846)())    (0||689(d|44847)())    (0||690(d|44853)())    (0||691(d|44854)())    (0||692(d|44858)())    (0||693(d|44859)())    (0||694(d|44860)())    (0||695(d|44866)())    (0||696(d|44873)())    (0||697(d|44876)())    (0||698(d|44880)())    (0||699(d|44881)())    (0||700(d|44887)())    (0||701(d|44888)())    (0||702(d|44889)())    (0||703(d|44890)())    (0||704(d|44894)())    (0||705(d|44895)())    (0||706(d|44896)())    (0||707(d|44897)())    (0||708(d|44903)())    (0||709(d|44904)())    (0||710(d|44908)())    (0||711(d|44909)())    (0||712(d|44910)())    (0||713(d|44911)())    (0||714(d|44915)())    (0||715(d|44916)())    (0||716(d|44917)())    (0||717(d|44918)())    (0||718(d|44921)())    (0||719(d|44925)())    (0||720(d|44928)())    (0||721(d|44930)())    (0||722(d|44931)())    (0||723(d|44939)())    (0||724(d|44942)())    (0||725(d|44943)())    (0||726(d|44944)())    (0||727(d|44946)())    (0||728(d|44951)())    (0||729(d|44952)())    (0||730(d|44953)())    (0||731(d|44959)())    (0||732(d|44960)())    (0||733(d|44966)())    (0||734(d|44967)())    (0||735(d|44972)())    (0||736(d|44973)())    (0||737(d|44977)())    (0||738(d|44978)())    (0||739(d|44979)())    (0||740(d|44984)())    (0||741(d|44988)())    (0||742(d|44994)())    (0||743(d|44995)())    (0||744(d|45000)())    (0||745(d|45001)())    (0||746(d|45006)())    (0||747(d|45007)())    (0||748(d|45008)())    (0||749(d|45012)())    (0||750(d|45019)())    (0||751(d|45023)())    (0||752(d|45027)())    (0||753(d|45035)())    (0||754(d|45043)())    (0||755(d|45044)())    (0||756(d|45047)())    (0||757(d|45049)())    (0||758(d|45054)())    (0||759(d|45056)())    (0||760(d|45062)())    (0||761(d|45069)())    (0||762(d|45075)())    (0||763(d|45078)())    (0||764(d|45079)())    (0||765(d|45084)())    (0||766(d|45090)())    (0||767(d|45096)())    (0||768(d|45103)())    (0||769(d|45111)())    (0||770(d|45113)())    (0||771(d|45114)())    (0||772(d|45120)())    (0||773(d|45126)())    (0||774(d|45127)())    (0||775(d|45131)())    (0||776(d|45132)())    (0||777(d|45145)())    (0||778(d|45146)())    (0||779(d|45153)())    (0||780(d|45154)())    (0||781(d|45161)())    (0||782(d|45162)())    (0||783(d|45163)())    (0||784(d|45173)())    (0||785(d|45189)())    (0||786(d|45190)())    (0||787(d|45191)())    (0||788(d|45194)())    (0||789(d|45195)())    (0||790(d|45204)())    (0||791(d|45205)())    (0||792(d|45211)())    (0||793(d|45217)())    (0||794(d|45223)())    (0||795(d|45229)())    (0||796(d|45231)())    (0||797(d|45232)())    (0||798(d|45237)())    (0||799(d|45238)())    (0||800(d|45240)())    (0||801(d|45243)())    (0||802(d|45244)())    (0||803(d|45250)())    (0||804(d|45253)())    (0||805(d|45254)())    (0||806(d|45257)())    (0||807(d|45264)())    (0||808(d|45265)())    (0||809(d|45266)())    (0||810(d|45267)())    (0||811(d|45271)())    (0||812(d|45273)())    (0||813(d|45274)())    (0||814(d|45275)())    (0||815(d|45280)())    (0||816(d|45281)())    (0||817(d|45282)())    (0||818(d|45285)())    (0||819(d|45287)())    (0||820(d|45289)())    (0||821(d|45292)())    (0||822(d|45306)())    (0||823(d|45380)())    (0||824(d|45439)())    (0||825(d|45477)())    (0||826(d|45537)())    (0||827(d|45607)())    (0||828(d|45617)())    (0||829(d|45618)())    (0||830(d|45651)())    (0||831(d|45658)())    (0||832(d|45670)())    (0||833(d|45765)())    (0||834(d|45803)())    (0||835(d|45842)())    (0||836(d|45901)())    (0||837(d|45972)())    (0||838(d|45988)())    (0||839(d|45989)())    (0||840(d|46016)())    (0||841(d|46023)())    (0||842(d|46034)())    (0||843(d|46115)())    (0||844(d|46167)())    (0||845(d|46206)())    (0||846(d|46272)())    (0||847(d|46337)())    (0||848(d|46352)())    (0||849(d|46353)())    (0||850(d|46381)())    (0||851(d|46388)())    (0||852(d|46398)())    (0||853(d|46472)())    (0||854(d|46538)())    (0||855(d|46573)())    (0||856(d|46636)())    (0||857(d|46702)())    (0||858(d|46716)())    (0||859(d|46717)())    (0||860(d|46745)())    (0||861(d|46752)())    (0||862(d|46762)())    (0||863(d|46857)())    (0||864(d|46902)())    (0||865(d|46938)())    (0||866(d|47000)())    (0||867(d|47067)())    (0||868(d|47080)())    (0||869(d|47081)())    (0||870(d|47112)())    (0||871(d|47119)())    (0||872(d|47133)())    (0||873(d|47207)())    (0||874(d|47266)())    (0||875(d|47303)())    (0||876(d|47364)())    (0||877(d|47434)())    (0||878(d|47444)())    (0||879(d|47445)())    (0||880(d|47477)())    (0||881(d|47484)())    (0||882(d|47592)())    (0||883(d|47630)())    (0||884(d|47668)())    (0||885(d|47728)())    (0||886(d|47798)())    (0||887(d|47815)())    (0||888(d|47816)())    (0||889(d|47842)())))))</t>
  </si>
  <si>
    <t>NCDOT I-40 Yadkin 5D P&amp;C (H+W)</t>
  </si>
  <si>
    <t>(0||CalendarData()(  (0||DaysOfWeek()(    (0||1()())    (0||2()(      (0||0(s|08:00|f|16:00)())))    (0||3()(      (0||0(s|08:00|f|16:00)())))    (0||4()(      (0||0(s|08:00|f|16:00)())))    (0||5()(      (0||0(s|08:00|f|16:00)())))    (0||6()(      (0||0(s|08:00|f|16:00)())))    (0||7()())))  (0||VIEW(ShowTotal|N)())  (0||Exceptions()(    (0||0(d|37076)())    (0||1(d|37137)())    (0||2(d|37217)())    (0||3(d|37218)())    (0||4(d|37249)())    (0||5(d|37250)())    (0||6(d|37251)())    (0||7(d|37252)())    (0||8(d|37253)())    (0||9(d|37256)())    (0||10(d|37257)())    (0||11(d|37403)())    (0||12(d|37441)())    (0||13(d|37442)())    (0||14(d|37501)())    (0||15(d|37588)())    (0||16(d|37589)())    (0||17(d|37615)())    (0||18(d|37616)())    (0||19(d|37617)())    (0||20(d|37620)())    (0||21(d|37621)())    (0||22(d|37622)())    (0||23(d|37767)())    (0||24(d|37806)())    (0||25(d|37865)())    (0||26(d|37952)())    (0||27(d|37953)())    (0||28(d|37980)())    (0||29(d|37981)())    (0||30(d|37984)())    (0||31(d|37985)())    (0||32(d|37986)())    (0||33(d|37987)())    (0||34(d|37988)())    (0||35(d|38138)())    (0||36(d|38173)())    (0||37(d|38236)())    (0||38(d|38316)())    (0||39(d|38317)())    (0||40(d|38345)())    (0||41(d|38348)())    (0||42(d|38349)())    (0||43(d|38350)())    (0||44(d|38351)())    (0||45(d|38352)())    (0||46(d|38502)())    (0||47(d|38537)())    (0||48(d|38600)())    (0||49(d|38680)())    (0||50(d|38681)())    (0||51(d|38712)())    (0||52(d|38713)())    (0||53(d|38714)())    (0||54(d|38715)())    (0||55(d|38716)())    (0||56(d|38719)())    (0||57(d|38866)())    (0||58(d|38901)())    (0||59(d|38902)())    (0||60(d|38964)())    (0||61(d|39044)())    (0||62(d|39045)())    (0||63(d|39076)())    (0||64(d|39077)())    (0||65(d|39078)())    (0||66(d|39079)())    (0||67(d|39080)())    (0||68(d|39083)())    (0||69(d|39230)())    (0||70(d|39267)())    (0||71(d|39328)())    (0||72(d|39408)())    (0||73(d|39409)())    (0||74(d|39441)())    (0||75(d|39442)())    (0||76(d|39443)())    (0||77(d|39444)())    (0||78(d|39447)())    (0||79(d|39448)())    (0||80(d|39594)())    (0||81(d|39633)())    (0||82(d|39692)())    (0||83(d|39779)())    (0||84(d|39780)())    (0||85(d|39807)())    (0||86(d|39808)())    (0||87(d|39811)())    (0||88(d|39812)())    (0||89(d|39813)())    (0||90(d|39814)())    (0||91(d|39958)())    (0||92(d|39997)())    (0||93(d|40063)())    (0||94(d|40143)())    (0||95(d|40144)())    (0||96(d|40172)())    (0||97(d|40175)())    (0||98(d|40176)())    (0||99(d|40177)())    (0||100(d|40178)())    (0||101(d|40179)())    (0||102(d|40329)())    (0||103(d|40364)())    (0||104(d|40427)())    (0||105(d|40507)())    (0||106(d|40508)())    (0||107(d|40536)())    (0||108(d|40539)())    (0||109(d|40540)())    (0||110(d|40541)())    (0||111(d|40542)())    (0||112(d|40543)())    (0||113(d|40693)())    (0||114(d|40728)())    (0||115(d|40791)())    (0||116(d|40871)())    (0||117(d|40872)())    (0||118(d|40903)())    (0||119(d|40904)())    (0||120(d|40905)())    (0||121(d|40906)())    (0||122(d|40907)())    (0||123(d|40910)())    (0||124(d|41057)())    (0||125(d|41094)())    (0||126(d|41155)())    (0||127(d|41235)())    (0||128(d|41236)())    (0||129(d|41268)())    (0||130(d|41269)())    (0||131(d|41270)())    (0||132(d|41271)())    (0||133(d|41274)())    (0||134(d|41275)())    (0||135(d|41421)())    (0||136(d|41459)())    (0||137(d|41519)())    (0||138(d|41599)())    (0||139(d|41600)())    (0||140(d|41633)())    (0||141(d|41634)())    (0||142(d|41635)())    (0||143(d|41638)())    (0||144(d|41639)())    (0||145(d|41640)())    (0||146(d|41785)())    (0||147(d|41824)())    (0||148(d|41883)())    (0||149(d|41963)())    (0||150(d|41964)())    (0||151(d|41998)())    (0||152(d|41999)())    (0||153(d|42002)())    (0||154(d|42003)())    (0||155(d|42004)())    (0||156(d|42005)())    (0||157(d|42149)())    (0||158(d|42920)())    (0||159(d|42935)())    (0||160(d|42942)())    (0||161(d|42955)())    (0||162(d|42963)())    (0||163(d|42971)())    (0||164(d|42977)())    (0||165(d|42982)())    (0||166(d|42991)())    (0||167(d|42998)())    (0||168(d|43032)())    (0||169(d|43033)())    (0||170(d|43040)())    (0||171(d|43047)())    (0||172(d|43049)())    (0||173(d|43062)())    (0||174(d|43063)())    (0||175(d|43076)())    (0||176(d|43082)())    (0||177(d|43090)())    (0||178(d|43094)())    (0||179(d|43098)())    (0||180(d|43101)())    (0||181(d|43115)())    (0||182(d|43124)())    (0||183(d|43131)())    (0||184(d|43152)())    (0||185(d|43159)())    (0||186(d|43173)())    (0||187(d|43179)())    (0||188(d|43185)())    (0||189(d|43189)())    (0||190(d|43192)())    (0||191(d|43200)())    (0||192(d|43208)())    (0||193(d|43221)())    (0||194(d|43228)())    (0||195(d|43235)())    (0||196(d|43248)())    (0||197(d|43264)())    (0||198(d|43271)())    (0||199(d|43278)())    (0||200(d|43285)())    (0||201(d|43304)())    (0||202(d|43311)())    (0||203(d|43318)())    (0||204(d|43326)())    (0||205(d|43334)())    (0||206(d|43342)())    (0||207(d|43346)())    (0||208(d|43356)())    (0||209(d|43357)())    (0||210(d|43396)())    (0||211(d|43403)())    (0||212(d|43405)())    (0||213(d|43412)())    (0||214(d|43416)())    (0||215(d|43426)())    (0||216(d|43427)())    (0||217(d|43441)())    (0||218(d|43447)())    (0||219(d|43454)())    (0||220(d|43459)())    (0||221(d|43462)())    (0||222(d|43466)())    (0||223(d|43479)())    (0||224(d|43488)())    (0||225(d|43495)())    (0||226(d|43515)())    (0||227(d|43522)())    (0||228(d|43525)())    (0||229(d|43531)())    (0||230(d|43537)())    (0||231(d|43572)())    (0||232(d|43574)())    (0||233(d|43578)())    (0||234(d|43584)())    (0||235(d|43595)())    (0||236(d|43601)())    (0||237(d|43607)())    (0||238(d|43612)())    (0||239(d|43620)())    (0||240(d|43628)())    (0||241(d|43636)())    (0||242(d|43650)())    (0||243(d|43669)())    (0||244(d|43676)())    (0||245(d|43682)())    (0||246(d|43690)())    (0||247(d|43698)())    (0||248(d|43706)())    (0||249(d|43710)())    (0||250(d|43721)())    (0||251(d|43728)())    (0||252(d|43760)())    (0||253(d|43766)())    (0||254(d|43775)())    (0||255(d|43780)())    (0||256(d|43782)())    (0||257(d|43790)())    (0||258(d|43791)())    (0||259(d|43801)())    (0||260(d|43809)())    (0||261(d|43817)())    (0||262(d|43824)())    (0||263(d|43825)())    (0||264(d|43831)())    (0||265(d|43843)())    (0||266(d|43854)())    (0||267(d|43860)())    (0||268(d|43880)())    (0||269(d|43887)())    (0||270(d|43892)())    (0||271(d|43900)())    (0||272(d|43908)())    (0||273(d|43931)())    (0||274(d|43936)())    (0||275(d|43942)())    (0||276(d|43948)())    (0||277(d|43952)())    (0||278(d|43959)())    (0||279(d|43966)())    (0||280(d|43976)())    (0||281(d|43985)())    (0||282(d|43992)())    (0||283(d|43999)())    (0||284(d|44015)())    (0||285(d|44033)())    (0||286(d|44039)())    (0||287(d|44056)())    (0||288(d|44062)())    (0||289(d|44067)())    (0||290(d|44068)())    (0||291(d|44081)())    (0||292(d|44097)())    (0||293(d|44104)())    (0||294(d|44106)())    (0||295(d|44112)())    (0||296(d|44146)())    (0||297(d|44158)())    (0||298(d|44161)())    (0||299(d|44162)())    (0||300(d|44165)())    (0||301(d|44166)())    (0||302(d|44174)())    (0||303(d|44182)())    (0||304(d|44188)())    (0||305(d|44190)())    (0||306(d|44197)())    (0||307(d|44207)())    (0||308(d|44221)())    (0||309(d|44222)())    (0||310(d|44232)())    (0||311(d|44238)())    (0||312(d|44256)())    (0||313(d|44264)())    (0||314(d|44272)())    (0||315(d|44288)())    (0||316(d|44299)())    (0||317(d|44306)())    (0||318(d|44313)())    (0||319(d|44319)())    (0||320(d|44327)())    (0||321(d|44335)())    (0||322(d|44347)())    (0||323(d|44356)())    (0||324(d|44364)())    (0||325(d|44372)())    (0||326(d|44382)())    (0||327(d|44398)())    (0||328(d|44405)())    (0||329(d|44412)())    (0||330(d|44419)())    (0||331(d|44426)())    (0||332(d|44433)())    (0||333(d|44441)())    (0||334(d|44445)())    (0||335(d|44448)())    (0||336(d|44487)())    (0||337(d|44494)())    (0||338(d|44509)())    (0||339(d|44511)())    (0||340(d|44516)())    (0||341(d|44525)())    (0||342(d|44526)())    (0||343(d|44531)())    (0||344(d|44532)())    (0||345(d|44538)())    (0||346(d|44545)())    (0||347(d|44554)())    (0||348(d|44561)())    (0||349(d|44571)())    (0||350(d|44587)())    (0||351(d|44588)())    (0||352(d|44601)())    (0||353(d|44608)())    (0||354(d|44636)())    (0||355(d|44642)())    (0||356(d|44648)())    (0||357(d|44656)())    (0||358(d|44664)())    (0||359(d|44666)())    (0||360(d|44672)())    (0||361(d|44684)())    (0||362(d|44691)())    (0||363(d|44698)())    (0||364(d|44711)())    (0||365(d|44728)())    (0||366(d|44735)())    (0||367(d|44742)())    (0||368(d|44746)())    (0||369(d|44760)())    (0||370(d|44761)())    (0||371(d|44778)())    (0||372(d|44784)())    (0||373(d|44791)())    (0||374(d|44798)())    (0||375(d|44809)())    (0||376(d|44818)())    (0||377(d|44819)())    (0||378(d|44852)())    (0||379(d|44859)())    (0||380(d|44872)())    (0||381(d|44876)())    (0||382(d|44880)())    (0||383(d|44889)())    (0||384(d|44890)())    (0||385(d|44902)())    (0||386(d|44903)())    (0||387(d|44909)())    (0||388(d|44910)())    (0||389(d|44921)())    (0||390(d|44928)())    (0||391(d|44939)())    (0||392(d|44942)())    (0||393(d|44945)())    (0||394(d|44971)())    (0||395(d|44978)())    (0||396(d|44988)())    (0||397(d|44994)())    (0||398(d|45000)())    (0||399(d|45023)())    (0||400(d|45028)())    (0||401(d|45034)())    (0||402(d|45040)())    (0||403(d|45054)())    (0||404(d|45055)())    (0||405(d|45056)())    (0||406(d|45075)())    (0||407(d|45091)())    (0||408(d|45098)())    (0||409(d|45105)())    (0||410(d|45111)())    (0||411(d|45124)())    (0||412(d|45125)())    (0||413(d|45159)())    (0||414(d|45160)())    (0||415(d|45161)())    (0||416(d|45166)())    (0||417(d|45173)())    (0||418(d|45176)())    (0||419(d|45183)())    (0||420(d|45224)())    (0||421(d|45225)())    (0||422(d|45240)())    (0||423(d|45251)())    (0||424(d|45253)())    (0||425(d|45254)())    (0||426(d|45258)())    (0||427(d|45266)())    (0||428(d|45267)())    (0||429(d|45268)())    (0||430(d|45275)())    (0||431(d|45285)())    (0||432(d|45292)())    (0||433(d|45306)())    (0||434(d|45380)())    (0||435(d|45439)())    (0||436(d|45477)())    (0||437(d|45537)())    (0||438(d|45607)())    (0||439(d|45617)())    (0||440(d|45618)())    (0||441(d|45651)())    (0||442(d|45658)())    (0||443(d|45670)())    (0||444(d|45765)())    (0||445(d|45803)())    (0||446(d|45842)())    (0||447(d|45901)())    (0||448(d|45972)())    (0||449(d|45988)())    (0||450(d|45989)())    (0||451(d|46016)())    (0||452(d|46023)())    (0||453(d|46034)())    (0||454(d|46115)())    (0||455(d|46167)())    (0||456(d|46206)())    (0||457(d|46272)())    (0||458(d|46337)())    (0||459(d|46352)())    (0||460(d|46353)())    (0||461(d|46381)())    (0||462(d|46388)())    (0||463(d|46398)())    (0||464(d|46472)())    (0||465(d|46538)())    (0||466(d|46573)())    (0||467(d|46636)())    (0||468(d|46702)())    (0||469(d|46716)())    (0||470(d|46717)())    (0||471(d|46745)())    (0||472(d|46752)())    (0||473(d|46762)())    (0||474(d|46857)())    (0||475(d|46902)())    (0||476(d|46938)())    (0||477(d|47000)())    (0||478(d|47067)())    (0||479(d|47080)())    (0||480(d|47081)())    (0||481(d|47112)())    (0||482(d|47119)())    (0||483(d|47133)())    (0||484(d|47207)())    (0||485(d|47266)())    (0||486(d|47303)())    (0||487(d|47364)())    (0||488(d|47434)())    (0||489(d|47444)())    (0||490(d|47445)())    (0||491(d|47477)())    (0||492(d|47484)())    (0||493(d|47592)())    (0||494(d|47630)())    (0||495(d|47668)())    (0||496(d|47728)())    (0||497(d|47798)())    (0||498(d|47815)())    (0||499(d|47816)())    (0||500(d|47842)())))))</t>
  </si>
  <si>
    <t>Weekends Only</t>
  </si>
  <si>
    <t>(0||CalendarData()(  (0||DaysOfWeek()(    (0||1()(      (0||0(s|08:00|f|16:00)())))    (0||2()())    (0||3()())    (0||4()())    (0||5()())    (0||6()(      (0||0(s|08:00|f|12:00)())      (0||1(s|13:00|f|17:00)())))    (0||7()(      (0||0(s|08:00|f|16:00)())))))  (0||VIEW(ShowTotal|Y)())  (0||Exceptions()(    (0||0(d|43217)())    (0||1(d|43218)())    (0||2(d|43219)())    (0||3(d|43245)())    (0||4(d|43246)())    (0||5(d|43247)())))))</t>
  </si>
  <si>
    <t>2D Weekend (H+SD)</t>
  </si>
  <si>
    <t>(0||CalendarData()(  (0||DaysOfWeek()(    (0||1()(      (0||0(s|08:00|f|16:00)())))    (0||2()())    (0||3()())    (0||4()())    (0||5()())    (0||6()())    (0||7()(      (0||0(s|08:00|f|16:00)())))))  (0||VIEW(ShowTotal|Y)())  (0||Exceptions()(    (0||0(d|42980)())    (0||1(d|42981)())    (0||2(d|43064)())    (0||3(d|43065)())    (0||4(d|43085)())    (0||5(d|43086)())    (0||6(d|43092)())    (0||7(d|43093)())    (0||8(d|43099)())    (0||9(d|43100)())    (0||10(d|43106)())    (0||11(d|43107)())    (0||12(d|43113)())    (0||13(d|43114)())    (0||14(d|43120)())    (0||15(d|43121)())    (0||16(d|43127)())    (0||17(d|43128)())    (0||18(d|43134)())    (0||19(d|43135)())    (0||20(d|43141)())    (0||21(d|43142)())    (0||22(d|43148)())    (0||23(d|43149)())    (0||24(d|43155)())    (0||25(d|43156)())    (0||26(d|43246)())    (0||27(d|43247)())    (0||28(d|43344)())    (0||29(d|43345)())    (0||30(d|43428)())    (0||31(d|43429)())    (0||32(d|43449)())    (0||33(d|43450)())    (0||34(d|43456)())    (0||35(d|43457)())    (0||36(d|43463)())    (0||37(d|43464)())    (0||38(d|43470)())    (0||39(d|43471)())    (0||40(d|43477)())    (0||41(d|43478)())    (0||42(d|43484)())    (0||43(d|43485)())    (0||44(d|43491)())    (0||45(d|43492)())    (0||46(d|43498)())    (0||47(d|43499)())    (0||48(d|43505)())    (0||49(d|43506)())    (0||50(d|43512)())    (0||51(d|43513)())    (0||52(d|43519)())    (0||53(d|43520)())    (0||54(d|43610)())    (0||55(d|43611)())    (0||56(d|43708)())    (0||57(d|43709)())    (0||58(d|43799)())    (0||59(d|43800)())    (0||60(d|43814)())    (0||61(d|43820)())    (0||62(d|43821)())    (0||63(d|43827)())    (0||64(d|43828)())    (0||65(d|43834)())    (0||66(d|43835)())    (0||67(d|43841)())    (0||68(d|43842)())    (0||69(d|43848)())    (0||70(d|43849)())    (0||71(d|43855)())    (0||72(d|43856)())    (0||73(d|43862)())    (0||74(d|43863)())    (0||75(d|43869)())    (0||76(d|43870)())    (0||77(d|43876)())    (0||78(d|43877)())    (0||79(d|43883)())    (0||80(d|43884)())    (0||81(d|43890)())    (0||82(d|43981)())    (0||83(d|43982)())    (0||84(d|44016)())    (0||85(d|44017)())    (0||86(d|44079)())    (0||87(d|44080)())    (0||88(d|44163)())    (0||89(d|44164)())    (0||90(d|44184)())    (0||91(d|44185)())    (0||92(d|44191)())    (0||93(d|44192)())    (0||94(d|44198)())    (0||95(d|44199)())    (0||96(d|44205)())    (0||97(d|44206)())    (0||98(d|44212)())    (0||99(d|44213)())    (0||100(d|44219)())    (0||101(d|44220)())    (0||102(d|44226)())    (0||103(d|44227)())    (0||104(d|44233)())    (0||105(d|44234)())    (0||106(d|44240)())    (0||107(d|44241)())    (0||108(d|44247)())    (0||109(d|44248)())    (0||110(d|44254)())    (0||111(d|44255)())))))</t>
  </si>
  <si>
    <t>7D</t>
  </si>
  <si>
    <t>(0||CalendarData()(  (0||DaysOfWeek()(    (0||1()(      (0||0(s|08:00|f|16:00)())))    (0||2()(      (0||0(s|08:00|f|16:00)())))    (0||3()(      (0||0(s|08:00|f|16:00)())))    (0||4()(      (0||0(s|08:00|f|16:00)())))    (0||5()(      (0||0(s|08:00|f|16:00)())))    (0||6()(      (0||0(s|08:00|f|16:00)())))    (0||7()(      (0||0(s|08:00|f|16:00)())))))  (0||VIEW(ShowTotal|N)())  (0||Exceptions()())))</t>
  </si>
  <si>
    <t>5D (H)</t>
  </si>
  <si>
    <t>5D Rd&amp;Ex (H+W)</t>
  </si>
  <si>
    <t>(0||CalendarData()(  (0||DaysOfWeek()(    (0||1()())    (0||2()(      (0||0(s|08:00|f|16:00)())))    (0||3()(      (0||0(s|08:00|f|16:00)())))    (0||4()(      (0||0(s|08:00|f|16:00)())))    (0||5()(      (0||0(s|08:00|f|16:00)())))    (0||6()(      (0||0(s|08:00|f|16:00)())))    (0||7()())))  (0||VIEW(ShowTotal|N)())  (0||Exceptions()(    (0||0(d|37076)())    (0||1(d|37137)())    (0||2(d|37217)())    (0||3(d|37218)())    (0||4(d|37249)())    (0||5(d|37250)())    (0||6(d|37251)())    (0||7(d|37252)())    (0||8(d|37253)())    (0||9(d|37256)())    (0||10(d|37257)())    (0||11(d|37403)())    (0||12(d|37441)())    (0||13(d|37442)())    (0||14(d|37501)())    (0||15(d|37588)())    (0||16(d|37589)())    (0||17(d|37615)())    (0||18(d|37616)())    (0||19(d|37617)())    (0||20(d|37620)())    (0||21(d|37621)())    (0||22(d|37622)())    (0||23(d|37767)())    (0||24(d|37806)())    (0||25(d|37865)())    (0||26(d|37952)())    (0||27(d|37953)())    (0||28(d|37980)())    (0||29(d|37981)())    (0||30(d|37984)())    (0||31(d|37985)())    (0||32(d|37986)())    (0||33(d|37987)())    (0||34(d|37988)())    (0||35(d|38138)())    (0||36(d|38173)())    (0||37(d|38236)())    (0||38(d|38316)())    (0||39(d|38317)())    (0||40(d|38345)())    (0||41(d|38348)())    (0||42(d|38349)())    (0||43(d|38350)())    (0||44(d|38351)())    (0||45(d|38352)())    (0||46(d|38502)())    (0||47(d|38537)())    (0||48(d|38600)())    (0||49(d|38680)())    (0||50(d|38681)())    (0||51(d|38712)())    (0||52(d|38713)())    (0||53(d|38714)())    (0||54(d|38715)())    (0||55(d|38716)())    (0||56(d|38719)())    (0||57(d|38866)())    (0||58(d|38901)())    (0||59(d|38902)())    (0||60(d|38964)())    (0||61(d|39044)())    (0||62(d|39045)())    (0||63(d|39076)())    (0||64(d|39077)())    (0||65(d|39078)())    (0||66(d|39079)())    (0||67(d|39080)())    (0||68(d|39083)())    (0||69(d|39230)())    (0||70(d|39267)())    (0||71(d|39328)())    (0||72(d|39408)())    (0||73(d|39409)())    (0||74(d|39441)())    (0||75(d|39442)())    (0||76(d|39443)())    (0||77(d|39444)())    (0||78(d|39447)())    (0||79(d|39448)())    (0||80(d|39594)())    (0||81(d|39633)())    (0||82(d|39692)())    (0||83(d|39779)())    (0||84(d|39780)())    (0||85(d|39807)())    (0||86(d|39808)())    (0||87(d|39811)())    (0||88(d|39812)())    (0||89(d|39813)())    (0||90(d|39814)())    (0||91(d|39958)())    (0||92(d|39997)())    (0||93(d|40063)())    (0||94(d|40143)())    (0||95(d|40144)())    (0||96(d|40172)())    (0||97(d|40175)())    (0||98(d|40176)())    (0||99(d|40177)())    (0||100(d|40178)())    (0||101(d|40179)())    (0||102(d|40329)())    (0||103(d|40364)())    (0||104(d|40427)())    (0||105(d|40507)())    (0||106(d|40508)())    (0||107(d|40536)())    (0||108(d|40539)())    (0||109(d|40540)())    (0||110(d|40541)())    (0||111(d|40542)())    (0||112(d|40543)())    (0||113(d|40693)())    (0||114(d|40728)())    (0||115(d|40791)())    (0||116(d|40871)())    (0||117(d|40872)())    (0||118(d|40903)())    (0||119(d|40904)())    (0||120(d|40905)())    (0||121(d|40906)())    (0||122(d|40907)())    (0||123(d|40910)())    (0||124(d|41057)())    (0||125(d|41094)())    (0||126(d|41155)())    (0||127(d|41235)())    (0||128(d|41236)())    (0||129(d|41268)())    (0||130(d|41269)())    (0||131(d|41270)())    (0||132(d|41271)())    (0||133(d|41274)())    (0||134(d|41275)())    (0||135(d|41421)())    (0||136(d|41459)())    (0||137(d|41519)())    (0||138(d|41599)())    (0||139(d|41600)())    (0||140(d|41633)())    (0||141(d|41634)())    (0||142(d|41635)())    (0||143(d|41638)())    (0||144(d|41639)())    (0||145(d|41640)())    (0||146(d|41785)())    (0||147(d|41824)())    (0||148(d|41883)())    (0||149(d|41963)())    (0||150(d|41964)())    (0||151(d|41998)())    (0||152(d|41999)())    (0||153(d|42002)())    (0||154(d|42003)())    (0||155(d|42004)())    (0||156(d|42005)())    (0||157(d|42149)())    (0||158(d|42920)())    (0||159(d|42922)())    (0||160(d|42923)())    (0||161(d|42928)())    (0||162(d|42929)())    (0||163(d|42934)())    (0||164(d|42935)())    (0||165(d|42941)())    (0||166(d|42948)())    (0||167(d|42949)())    (0||168(d|42955)())    (0||169(d|42956)())    (0||170(d|42962)())    (0||171(d|42963)())    (0||172(d|42964)())    (0||173(d|42982)())    (0||174(d|42984)())    (0||175(d|42991)())    (0||176(d|42998)())    (0||177(d|43005)())    (0||178(d|43006)())    (0||179(d|43011)())    (0||180(d|43018)())    (0||181(d|43025)())    (0||182(d|43032)())    (0||183(d|43033)())    (0||184(d|43039)())    (0||185(d|43045)())    (0||186(d|43046)())    (0||187(d|43047)())    (0||188(d|43049)())    (0||189(d|43052)())    (0||190(d|43053)())    (0||191(d|43059)())    (0||192(d|43060)())    (0||193(d|43062)())    (0||194(d|43063)())    (0||195(d|43066)())    (0||196(d|43073)())    (0||197(d|43074)())    (0||198(d|43075)())    (0||199(d|43080)())    (0||200(d|43081)())    (0||201(d|43082)())    (0||202(d|43083)())    (0||203(d|43089)())    (0||204(d|43090)())    (0||205(d|43091)())    (0||206(d|43094)())    (0||207(d|43096)())    (0||208(d|43097)())    (0||209(d|43098)())    (0||210(d|43101)())    (0||211(d|43103)())    (0||212(d|43110)())    (0||213(d|43111)())    (0||214(d|43115)())    (0||215(d|43117)())    (0||216(d|43118)())    (0||217(d|43124)())    (0||218(d|43125)())    (0||219(d|43130)())    (0||220(d|43131)())    (0||221(d|43136)())    (0||222(d|43137)())    (0||223(d|43138)())    (0||224(d|43139)())    (0||225(d|43144)())    (0||226(d|43145)())    (0||227(d|43151)())    (0||228(d|43152)())    (0||229(d|43158)())    (0||230(d|43159)())    (0||231(d|43164)())    (0||232(d|43171)())    (0||233(d|43172)())    (0||234(d|43174)())    (0||235(d|43179)())    (0||236(d|43180)())    (0||237(d|43181)())    (0||238(d|43186)())    (0||239(d|43187)())    (0||240(d|43189)())    (0||241(d|43193)())    (0||242(d|43200)())    (0||243(d|43207)())    (0||244(d|43214)())    (0||245(d|43215)())    (0||246(d|43223)())    (0||247(d|43230)())    (0||248(d|43236)())    (0||249(d|43237)())    (0||250(d|43244)())    (0||251(d|43248)())    (0||252(d|43251)())    (0||253(d|43256)())    (0||254(d|43257)())    (0||255(d|43263)())    (0||256(d|43264)())    (0||257(d|43270)())    (0||258(d|43271)())    (0||259(d|43272)())    (0||260(d|43285)())    (0||261(d|43291)())    (0||262(d|43292)())    (0||263(d|43298)())    (0||264(d|43299)())    (0||265(d|43305)())    (0||266(d|43306)())    (0||267(d|43312)())    (0||268(d|43313)())    (0||269(d|43319)())    (0||270(d|43320)())    (0||271(d|43326)())    (0||272(d|43327)())    (0||273(d|43333)())    (0||274(d|43340)())    (0||275(d|43346)())    (0||276(d|43349)())    (0||277(d|43356)())    (0||278(d|43363)())    (0||279(d|43369)())    (0||280(d|43370)())    (0||281(d|43376)())    (0||282(d|43383)())    (0||283(d|43390)())    (0||284(d|43397)())    (0||285(d|43403)())    (0||286(d|43404)())    (0||287(d|43411)())    (0||288(d|43412)())    (0||289(d|43416)())    (0||290(d|43418)())    (0||291(d|43419)())    (0||292(d|43424)())    (0||293(d|43426)())    (0||294(d|43427)())    (0||295(d|43431)())    (0||296(d|43432)())    (0||297(d|43433)())    (0||298(d|43439)())    (0||299(d|43440)())    (0||300(d|43444)())    (0||301(d|43445)())    (0||302(d|43446)())    (0||303(d|43447)())    (0||304(d|43451)())    (0||305(d|43452)())    (0||306(d|43453)())    (0||307(d|43454)())    (0||308(d|43458)())    (0||309(d|43459)())    (0||310(d|43460)())    (0||311(d|43461)())    (0||312(d|43466)())    (0||313(d|43468)())    (0||314(d|43474)())    (0||315(d|43475)())    (0||316(d|43479)())    (0||317(d|43481)())    (0||318(d|43482)())    (0||319(d|43487)())    (0||320(d|43488)())    (0||321(d|43493)())    (0||322(d|43494)())    (0||323(d|43501)())    (0||324(d|43502)())    (0||325(d|43503)())    (0||326(d|43504)())    (0||327(d|43509)())    (0||328(d|43510)())    (0||329(d|43511)())    (0||330(d|43516)())    (0||331(d|43517)())    (0||332(d|43524)())    (0||333(d|43529)())    (0||334(d|43530)())    (0||335(d|43531)())    (0||336(d|43538)())    (0||337(d|43539)())    (0||338(d|43543)())    (0||339(d|43544)())    (0||340(d|43545)())    (0||341(d|43546)())    (0||342(d|43557)())    (0||343(d|43564)())    (0||344(d|43571)())    (0||345(d|43574)())    (0||346(d|43578)())    (0||347(d|43585)())    (0||348(d|43592)())    (0||349(d|43593)())    (0||350(d|43599)())    (0||351(d|43600)())    (0||352(d|43608)())    (0||353(d|43609)())    (0||354(d|43612)())    (0||355(d|43620)())    (0||356(d|43627)())    (0||357(d|43634)())    (0||358(d|43635)())    (0||359(d|43641)())    (0||360(d|43642)())    (0||361(d|43648)())    (0||362(d|43650)())    (0||363(d|43656)())    (0||364(d|43662)())    (0||365(d|43663)())    (0||366(d|43664)())    (0||367(d|43669)())    (0||368(d|43676)())    (0||369(d|43682)())    (0||370(d|43689)())    (0||371(d|43690)())    (0||372(d|43691)())    (0||373(d|43697)())    (0||374(d|43698)())    (0||375(d|43704)())    (0||376(d|43710)())    (0||377(d|43714)())    (0||378(d|43720)())    (0||379(d|43726)())    (0||380(d|43732)())    (0||381(d|43733)())    (0||382(d|43746)())    (0||383(d|43747)())    (0||384(d|43753)())    (0||385(d|43754)())    (0||386(d|43760)())    (0||387(d|43761)())    (0||388(d|43775)())    (0||389(d|43776)())    (0||390(d|43777)())    (0||391(d|43780)())    (0||392(d|43781)())    (0||393(d|43782)())    (0||394(d|43788)())    (0||395(d|43790)())    (0||396(d|43791)())    (0||397(d|43795)())    (0||398(d|43796)())    (0||399(d|43802)())    (0||400(d|43803)())    (0||401(d|43808)())    (0||402(d|43809)())    (0||403(d|43810)())    (0||404(d|43811)())    (0||405(d|43815)())    (0||406(d|43816)())    (0||407(d|43817)())    (0||408(d|43822)())    (0||409(d|43823)())    (0||410(d|43824)())    (0||411(d|43829)())    (0||412(d|43830)())    (0||413(d|43831)())    (0||414(d|43832)())    (0||415(d|43839)())    (0||416(d|43843)())    (0||417(d|43845)())    (0||418(d|43846)())    (0||419(d|43852)())    (0||420(d|43853)())    (0||421(d|43859)())    (0||422(d|43860)())    (0||423(d|43861)())    (0||424(d|43864)())    (0||425(d|43866)())    (0||426(d|43871)())    (0||427(d|43873)())    (0||428(d|43879)())    (0||429(d|43880)())    (0||430(d|43881)())    (0||431(d|43886)())    (0||432(d|43887)())    (0||433(d|43888)())    (0||434(d|43895)())    (0||435(d|43902)())    (0||436(d|43903)())    (0||437(d|43908)())    (0||438(d|43909)())    (0||439(d|43914)())    (0||440(d|43915)())    (0||441(d|43920)())    (0||442(d|43921)())    (0||443(d|43928)())    (0||444(d|43931)())    (0||445(d|43935)())    (0||446(d|43942)())    (0||447(d|43949)())    (0||448(d|43950)())    (0||449(d|43957)())    (0||450(d|43958)())    (0||451(d|43964)())    (0||452(d|43965)())    (0||453(d|43971)())    (0||454(d|43972)())    (0||455(d|43976)())    (0||456(d|43984)())    (0||457(d|43985)())    (0||458(d|43991)())    (0||459(d|43998)())    (0||460(d|44005)())    (0||461(d|44012)())    (0||462(d|44013)())    (0||463(d|44015)())    (0||464(d|44019)())    (0||465(d|44020)())    (0||466(d|44027)())    (0||467(d|44034)())    (0||468(d|44040)())    (0||469(d|44041)())    (0||470(d|44047)())    (0||471(d|44054)())    (0||472(d|44055)())    (0||473(d|44061)())    (0||474(d|44062)())    (0||475(d|44063)())    (0||476(d|44068)())    (0||477(d|44081)())    (0||478(d|44085)())    (0||479(d|44091)())    (0||480(d|44095)())    (0||481(d|44097)())    (0||482(d|44103)())    (0||483(d|44105)())    (0||484(d|44113)())    (0||485(d|44119)())    (0||486(d|44123)())    (0||487(d|44125)())    (0||488(d|44131)())    (0||489(d|44137)())    (0||490(d|44138)())    (0||491(d|44144)())    (0||492(d|44145)())    (0||493(d|44146)())    (0||494(d|44151)())    (0||495(d|44152)())    (0||496(d|44153)())    (0||497(d|44154)())    (0||498(d|44161)())    (0||499(d|44162)())    (0||500(d|44169)())    (0||501(d|44172)())    (0||502(d|44173)())    (0||503(d|44174)())    (0||504(d|44175)())    (0||505(d|44176)())    (0||506(d|44181)())    (0||507(d|44188)())    (0||508(d|44189)())    (0||509(d|44190)())    (0||510(d|44193)())    (0||511(d|44194)())    (0||512(d|44195)())    (0||513(d|44196)())    (0||514(d|44197)())    (0||515(d|44204)())    (0||516(d|44207)())    (0||517(d|44209)())    (0||518(d|44210)())    (0||519(d|44211)())    (0||520(d|44216)())    (0||521(d|44217)())    (0||522(d|44222)())    (0||523(d|44223)())    (0||524(d|44224)())    (0||525(d|44231)())    (0||526(d|44232)())    (0||527(d|44235)())    (0||528(d|44236)())    (0||529(d|44239)())    (0||530(d|44243)())    (0||531(d|44244)())    (0||532(d|44246)())    (0||533(d|44252)())    (0||534(d|44253)())    (0||535(d|44259)())    (0||536(d|44260)())    (0||537(d|44267)())    (0||538(d|44273)())    (0||539(d|44274)())    (0||540(d|44279)())    (0||541(d|44280)())    (0||542(d|44284)())    (0||543(d|44285)())    (0||544(d|44288)())    (0||545(d|44298)())    (0||546(d|44299)())    (0||547(d|44306)())    (0||548(d|44307)())    (0||549(d|44315)())    (0||550(d|44322)())    (0||551(d|44323)())    (0||552(d|44329)())    (0||553(d|44330)())    (0||554(d|44334)())    (0||555(d|44335)())    (0||556(d|44347)())    (0||557(d|44358)())    (0||558(d|44365)())    (0||559(d|44370)())    (0||560(d|44371)())    (0||561(d|44375)())    (0||562(d|44376)())    (0||563(d|44378)())    (0||564(d|44382)())    (0||565(d|44385)())    (0||566(d|44392)())    (0||567(d|44397)())    (0||568(d|44399)())    (0||569(d|44405)())    (0||570(d|44406)())    (0||571(d|44413)())    (0||572(d|44419)())    (0||573(d|44421)())    (0||574(d|44424)())    (0||575(d|44425)())    (0||576(d|44428)())    (0||577(d|44432)())    (0||578(d|44442)())    (0||579(d|44445)())    (0||580(d|44448)())    (0||581(d|44454)())    (0||582(d|44460)())    (0||583(d|44466)())    (0||584(d|44476)())    (0||585(d|44477)())    (0||586(d|44481)())    (0||587(d|44482)())    (0||588(d|44487)())    (0||589(d|44494)())    (0||590(d|44502)())    (0||591(d|44509)())    (0||592(d|44511)())    (0||593(d|44516)())    (0||594(d|44517)())    (0||595(d|44523)())    (0||596(d|44524)())    (0||597(d|44525)())    (0||598(d|44526)())    (0||599(d|44529)())    (0||600(d|44530)())    (0||601(d|44531)())    (0||602(d|44532)())    (0||603(d|44533)())    (0||604(d|44537)())    (0||605(d|44538)())    (0||606(d|44539)())    (0||607(d|44540)())    (0||608(d|44544)())    (0||609(d|44551)())    (0||610(d|44554)())    (0||611(d|44557)())    (0||612(d|44558)())    (0||613(d|44559)())    (0||614(d|44560)())    (0||615(d|44561)())    (0||616(d|44568)())    (0||617(d|44571)())    (0||618(d|44574)())    (0||619(d|44575)())    (0||620(d|44580)())    (0||621(d|44581)())    (0||622(d|44582)())    (0||623(d|44586)())    (0||624(d|44587)())    (0||625(d|44592)())    (0||626(d|44593)())    (0||627(d|44594)())    (0||628(d|44601)())    (0||629(d|44602)())    (0||630(d|44609)())    (0||631(d|44610)())    (0||632(d|44613)())    (0||633(d|44614)())    (0||634(d|44615)())    (0||635(d|44620)())    (0||636(d|44621)())    (0||637(d|44623)())    (0||638(d|44627)())    (0||639(d|44630)())    (0||640(d|44635)())    (0||641(d|44637)())    (0||642(d|44643)())    (0||643(d|44644)())    (0||644(d|44651)())    (0||645(d|44652)())    (0||646(d|44658)())    (0||647(d|44664)())    (0||648(d|44666)())    (0||649(d|44670)())    (0||650(d|44676)())    (0||651(d|44686)())    (0||652(d|44693)())    (0||653(d|44700)())    (0||654(d|44705)())    (0||655(d|44706)())    (0||656(d|44707)())    (0||657(d|44711)())    (0||658(d|44719)())    (0||659(d|44727)())    (0||660(d|44735)())    (0||661(d|44740)())    (0||662(d|44741)())    (0||663(d|44742)())    (0||664(d|44743)())    (0||665(d|44746)())    (0||666(d|44749)())    (0||667(d|44750)())    (0||668(d|44755)())    (0||669(d|44756)())    (0||670(d|44761)())    (0||671(d|44767)())    (0||672(d|44774)())    (0||673(d|44782)())    (0||674(d|44790)())    (0||675(d|44796)())    (0||676(d|44798)())    (0||677(d|44803)())    (0||678(d|44804)())    (0||679(d|44806)())    (0||680(d|44809)())    (0||681(d|44812)())    (0||682(d|44818)())    (0||683(d|44824)())    (0||684(d|44830)())    (0||685(d|44838)())    (0||686(d|44839)())    (0||687(d|44845)())    (0||688(d|44846)())    (0||689(d|44847)())    (0||690(d|44853)())    (0||691(d|44854)())    (0||692(d|44858)())    (0||693(d|44859)())    (0||694(d|44860)())    (0||695(d|44866)())    (0||696(d|44873)())    (0||697(d|44876)())    (0||698(d|44880)())    (0||699(d|44881)())    (0||700(d|44887)())    (0||701(d|44888)())    (0||702(d|44889)())    (0||703(d|44890)())    (0||704(d|44894)())    (0||705(d|44895)())    (0||706(d|44896)())    (0||707(d|44897)())    (0||708(d|44903)())    (0||709(d|44904)())    (0||710(d|44908)())    (0||711(d|44909)())    (0||712(d|44910)())    (0||713(d|44911)())    (0||714(d|44915)())    (0||715(d|44916)())    (0||716(d|44917)())    (0||717(d|44918)())    (0||718(d|44921)())    (0||719(d|44925)())    (0||720(d|44928)())    (0||721(d|44930)())    (0||722(d|44931)())    (0||723(d|44939)())    (0||724(d|44942)())    (0||725(d|44943)())    (0||726(d|44944)())    (0||727(d|44946)())    (0||728(d|44951)())    (0||729(d|44952)())    (0||730(d|44953)())    (0||731(d|44959)())    (0||732(d|44960)())    (0||733(d|44966)())    (0||734(d|44967)())    (0||735(d|44972)())    (0||736(d|44973)())    (0||737(d|44977)())    (0||738(d|44978)())    (0||739(d|44979)())    (0||740(d|44984)())    (0||741(d|44988)())    (0||742(d|44994)())    (0||743(d|44995)())    (0||744(d|45000)())    (0||745(d|45001)())    (0||746(d|45006)())    (0||747(d|45007)())    (0||748(d|45008)())    (0||749(d|45012)())    (0||750(d|45019)())    (0||751(d|45023)())    (0||752(d|45027)())    (0||753(d|45035)())    (0||754(d|45043)())    (0||755(d|45044)())    (0||756(d|45047)())    (0||757(d|45049)())    (0||758(d|45054)())    (0||759(d|45056)())    (0||760(d|45062)())    (0||761(d|45069)())    (0||762(d|45075)())    (0||763(d|45078)())    (0||764(d|45079)())    (0||765(d|45084)())    (0||766(d|45090)())    (0||767(d|45096)())    (0||768(d|45103)())    (0||769(d|45111)())    (0||770(d|45113)())    (0||771(d|45114)())    (0||772(d|45120)())    (0||773(d|45126)())    (0||774(d|45127)())    (0||775(d|45131)())    (0||776(d|45132)())    (0||777(d|45145)())    (0||778(d|45146)())    (0||779(d|45153)())    (0||780(d|45154)())    (0||781(d|45161)())    (0||782(d|45162)())    (0||783(d|45163)())    (0||784(d|45173)())    (0||785(d|45189)())    (0||786(d|45190)())    (0||787(d|45191)())    (0||788(d|45194)())    (0||789(d|45195)())    (0||790(d|45204)())    (0||791(d|45205)())    (0||792(d|45211)())    (0||793(d|45217)())    (0||794(d|45223)())    (0||795(d|45229)())    (0||796(d|45231)())    (0||797(d|45232)())    (0||798(d|45237)())    (0||799(d|45238)())    (0||800(d|45240)())    (0||801(d|45243)())    (0||802(d|45244)())    (0||803(d|45250)())    (0||804(d|45253)())    (0||805(d|45254)())    (0||806(d|45257)())    (0||807(d|45264)())    (0||808(d|45265)())    (0||809(d|45266)())    (0||810(d|45267)())    (0||811(d|45271)())    (0||812(d|45273)())    (0||813(d|45274)())    (0||814(d|45275)())    (0||815(d|45280)())    (0||816(d|45281)())    (0||817(d|45282)())    (0||818(d|45285)())    (0||819(d|45287)())    (0||820(d|45289)())    (0||821(d|45292)())    (0||822(d|45306)())    (0||823(d|45380)())    (0||824(d|45439)())    (0||825(d|45477)())    (0||826(d|45537)())    (0||827(d|45607)())    (0||828(d|45617)())    (0||829(d|45618)())    (0||830(d|45651)())    (0||831(d|45658)())    (0||832(d|45670)())    (0||833(d|45765)())    (0||834(d|45803)())    (0||835(d|45842)())    (0||836(d|45901)())    (0||837(d|45972)())    (0||838(d|45988)())    (0||839(d|45989)())    (0||840(d|46016)())    (0||841(d|46023)())    (0||842(d|46034)())    (0||843(d|46115)())    (0||844(d|46167)())    (0||845(d|46206)())    (0||846(d|46272)())    (0||847(d|46337)())    (0||848(d|46352)())    (0||849(d|46353)())    (0||850(d|46381)())    (0||851(d|46388)())    (0||852(d|46398)())    (0||853(d|46472)())    (0||854(d|46538)())    (0||855(d|46573)())    (0||856(d|46636)())    (0||857(d|46702)())    (0||858(d|46716)())    (0||859(d|46717)())    (0||860(d|46745)())    (0||861(d|46752)())    (0||862(d|46762)())    (0||863(d|46857)())    (0||864(d|46902)())    (0||865(d|46938)())    (0||866(d|47000)())    (0||867(d|47067)())    (0||868(d|47080)())    (0||869(d|47081)())    (0||870(d|47112)())    (0||871(d|47119)())    (0||872(d|47133)())    (0||873(d|47207)())    (0||874(d|47266)())    (0||875(d|47303)())    (0||876(d|47364)())    (0||877(d|47434)())    (0||878(d|47444)())    (0||879(d|47445)())    (0||880(d|47477)())    (0||881(d|47484)())    (0||882(d|47592)())    (0||883(d|47630)())    (0||884(d|47668)())    (0||885(d|47728)())    (0||886(d|47798)())    (0||887(d|47815)())    (0||888(d|47816)())    (0||889(d|47842)())))))</t>
  </si>
  <si>
    <t>5D Pav (H+W+SD)</t>
  </si>
  <si>
    <t>(0||CalendarData()(  (0||DaysOfWeek()(    (0||1()())    (0||2()(      (0||0(s|08:00|f|16:00)())))    (0||3()(      (0||0(s|08:00|f|16:00)())))    (0||4()(      (0||0(s|08:00|f|16:00)())))    (0||5()(      (0||0(s|08:00|f|16:00)())))    (0||6()(      (0||0(s|08:00|f|16:00)())))    (0||7()())))  (0||VIEW(ShowTotal|N)())  (0||Exceptions()(    (0||0(d|37076)())    (0||1(d|37137)())    (0||2(d|37217)())    (0||3(d|37218)())    (0||4(d|37249)())    (0||5(d|37250)())    (0||6(d|37251)())    (0||7(d|37252)())    (0||8(d|37253)())    (0||9(d|37256)())    (0||10(d|37257)())    (0||11(d|37403)())    (0||12(d|37441)())    (0||13(d|37442)())    (0||14(d|37501)())    (0||15(d|37588)())    (0||16(d|37589)())    (0||17(d|37615)())    (0||18(d|37616)())    (0||19(d|37617)())    (0||20(d|37620)())    (0||21(d|37621)())    (0||22(d|37622)())    (0||23(d|37767)())    (0||24(d|37806)())    (0||25(d|37865)())    (0||26(d|37952)())    (0||27(d|37953)())    (0||28(d|37980)())    (0||29(d|37981)())    (0||30(d|37984)())    (0||31(d|37985)())    (0||32(d|37986)())    (0||33(d|37987)())    (0||34(d|37988)())    (0||35(d|38138)())    (0||36(d|38173)())    (0||37(d|38236)())    (0||38(d|38316)())    (0||39(d|38317)())    (0||40(d|38345)())    (0||41(d|38348)())    (0||42(d|38349)())    (0||43(d|38350)())    (0||44(d|38351)())    (0||45(d|38352)())    (0||46(d|38502)())    (0||47(d|38537)())    (0||48(d|38600)())    (0||49(d|38680)())    (0||50(d|38681)())    (0||51(d|38712)())    (0||52(d|38713)())    (0||53(d|38714)())    (0||54(d|38715)())    (0||55(d|38716)())    (0||56(d|38719)())    (0||57(d|38866)())    (0||58(d|38901)())    (0||59(d|38902)())    (0||60(d|38964)())    (0||61(d|39044)())    (0||62(d|39045)())    (0||63(d|39076)())    (0||64(d|39077)())    (0||65(d|39078)())    (0||66(d|39079)())    (0||67(d|39080)())    (0||68(d|39083)())    (0||69(d|39230)())    (0||70(d|39267)())    (0||71(d|39328)())    (0||72(d|39408)())    (0||73(d|39409)())    (0||74(d|39441)())    (0||75(d|39442)())    (0||76(d|39443)())    (0||77(d|39444)())    (0||78(d|39447)())    (0||79(d|39448)())    (0||80(d|39594)())    (0||81(d|39633)())    (0||82(d|39692)())    (0||83(d|39779)())    (0||84(d|39780)())    (0||85(d|39807)())    (0||86(d|39808)())    (0||87(d|39811)())    (0||88(d|39812)())    (0||89(d|39813)())    (0||90(d|39814)())    (0||91(d|39958)())    (0||92(d|39997)())    (0||93(d|40063)())    (0||94(d|40143)())    (0||95(d|40144)())    (0||96(d|40172)())    (0||97(d|40175)())    (0||98(d|40176)())    (0||99(d|40177)())    (0||100(d|40178)())    (0||101(d|40179)())    (0||102(d|40329)())    (0||103(d|40364)())    (0||104(d|40427)())    (0||105(d|40507)())    (0||106(d|40508)())    (0||107(d|40536)())    (0||108(d|40539)())    (0||109(d|40540)())    (0||110(d|40541)())    (0||111(d|40542)())    (0||112(d|40543)())    (0||113(d|40693)())    (0||114(d|40728)())    (0||115(d|40791)())    (0||116(d|40871)())    (0||117(d|40872)())    (0||118(d|40903)())    (0||119(d|40904)())    (0||120(d|40905)())    (0||121(d|40906)())    (0||122(d|40907)())    (0||123(d|40910)())    (0||124(d|41057)())    (0||125(d|41094)())    (0||126(d|41155)())    (0||127(d|41235)())    (0||128(d|41236)())    (0||129(d|41268)())    (0||130(d|41269)())    (0||131(d|41270)())    (0||132(d|41271)())    (0||133(d|41274)())    (0||134(d|41275)())    (0||135(d|41421)())    (0||136(d|41459)())    (0||137(d|41519)())    (0||138(d|41599)())    (0||139(d|41600)())    (0||140(d|41633)())    (0||141(d|41634)())    (0||142(d|41635)())    (0||143(d|41638)())    (0||144(d|41639)())    (0||145(d|41640)())    (0||146(d|41785)())    (0||147(d|41824)())    (0||148(d|41883)())    (0||149(d|41963)())    (0||150(d|41964)())    (0||151(d|41998)())    (0||152(d|41999)())    (0||153(d|42002)())    (0||154(d|42003)())    (0||155(d|42004)())    (0||156(d|42005)())    (0||157(d|42149)())    (0||158(d|42920)())    (0||159(d|42922)())    (0||160(d|42923)())    (0||161(d|42928)())    (0||162(d|42929)())    (0||163(d|42934)())    (0||164(d|42935)())    (0||165(d|42941)())    (0||166(d|42948)())    (0||167(d|42949)())    (0||168(d|42955)())    (0||169(d|42956)())    (0||170(d|42962)())    (0||171(d|42963)())    (0||172(d|42964)())    (0||173(d|42982)())    (0||174(d|42984)())    (0||175(d|42991)())    (0||176(d|42998)())    (0||177(d|43005)())    (0||178(d|43006)())    (0||179(d|43011)())    (0||180(d|43018)())    (0||181(d|43025)())    (0||182(d|43032)())    (0||183(d|43033)())    (0||184(d|43039)())    (0||185(d|43045)())    (0||186(d|43046)())    (0||187(d|43047)())    (0||188(d|43049)())    (0||189(d|43052)())    (0||190(d|43053)())    (0||191(d|43059)())    (0||192(d|43060)())    (0||193(d|43062)())    (0||194(d|43063)())    (0||195(d|43066)())    (0||196(d|43073)())    (0||197(d|43074)())    (0||198(d|43075)())    (0||199(d|43080)())    (0||200(d|43081)())    (0||201(d|43082)())    (0||202(d|43083)())    (0||203(d|43087)())    (0||204(d|43088)())    (0||205(d|43089)())    (0||206(d|43090)())    (0||207(d|43091)())    (0||208(d|43094)())    (0||209(d|43095)())    (0||210(d|43096)())    (0||211(d|43097)())    (0||212(d|43098)())    (0||213(d|43101)())    (0||214(d|43102)())    (0||215(d|43103)())    (0||216(d|43104)())    (0||217(d|43105)())    (0||218(d|43108)())    (0||219(d|43109)())    (0||220(d|43110)())    (0||221(d|43111)())    (0||222(d|43112)())    (0||223(d|43115)())    (0||224(d|43116)())    (0||225(d|43117)())    (0||226(d|43118)())    (0||227(d|43119)())    (0||228(d|43122)())    (0||229(d|43123)())    (0||230(d|43124)())    (0||231(d|43125)())    (0||232(d|43126)())    (0||233(d|43129)())    (0||234(d|43130)())    (0||235(d|43131)())    (0||236(d|43132)())    (0||237(d|43133)())    (0||238(d|43136)())    (0||239(d|43137)())    (0||240(d|43138)())    (0||241(d|43139)())    (0||242(d|43140)())    (0||243(d|43143)())    (0||244(d|43144)())    (0||245(d|43145)())    (0||246(d|43146)())    (0||247(d|43147)())    (0||248(d|43150)())    (0||249(d|43151)())    (0||250(d|43152)())    (0||251(d|43153)())    (0||252(d|43154)())    (0||253(d|43157)())    (0||254(d|43158)())    (0||255(d|43159)())    (0||256(d|43164)())    (0||257(d|43171)())    (0||258(d|43172)())    (0||259(d|43174)())    (0||260(d|43179)())    (0||261(d|43180)())    (0||262(d|43181)())    (0||263(d|43186)())    (0||264(d|43187)())    (0||265(d|43189)())    (0||266(d|43193)())    (0||267(d|43200)())    (0||268(d|43207)())    (0||269(d|43214)())    (0||270(d|43215)())    (0||271(d|43223)())    (0||272(d|43230)())    (0||273(d|43236)())    (0||274(d|43237)())    (0||275(d|43244)())    (0||276(d|43248)())    (0||277(d|43251)())    (0||278(d|43256)())    (0||279(d|43257)())    (0||280(d|43263)())    (0||281(d|43264)())    (0||282(d|43270)())    (0||283(d|43271)())    (0||284(d|43272)())    (0||285(d|43285)())    (0||286(d|43291)())    (0||287(d|43292)())    (0||288(d|43298)())    (0||289(d|43299)())    (0||290(d|43305)())    (0||291(d|43306)())    (0||292(d|43312)())    (0||293(d|43313)())    (0||294(d|43319)())    (0||295(d|43320)())    (0||296(d|43326)())    (0||297(d|43327)())    (0||298(d|43333)())    (0||299(d|43340)())    (0||300(d|43346)())    (0||301(d|43349)())    (0||302(d|43356)())    (0||303(d|43363)())    (0||304(d|43369)())    (0||305(d|43370)())    (0||306(d|43376)())    (0||307(d|43383)())    (0||308(d|43390)())    (0||309(d|43397)())    (0||310(d|43403)())    (0||311(d|43404)())    (0||312(d|43411)())    (0||313(d|43412)())    (0||314(d|43416)())    (0||315(d|43418)())    (0||316(d|43419)())    (0||317(d|43424)())    (0||318(d|43426)())    (0||319(d|43427)())    (0||320(d|43431)())    (0||321(d|43432)())    (0||322(d|43433)())    (0||323(d|43439)())    (0||324(d|43440)())    (0||325(d|43444)())    (0||326(d|43445)())    (0||327(d|43446)())    (0||328(d|43447)())    (0||329(d|43451)())    (0||330(d|43452)())    (0||331(d|43453)())    (0||332(d|43454)())    (0||333(d|43455)())    (0||334(d|43458)())    (0||335(d|43459)())    (0||336(d|43460)())    (0||337(d|43461)())    (0||338(d|43462)())    (0||339(d|43466)())    (0||340(d|43467)())    (0||341(d|43469)())    (0||342(d|43472)())    (0||343(d|43473)())    (0||344(d|43474)())    (0||345(d|43475)())    (0||346(d|43476)())    (0||347(d|43479)())    (0||348(d|43480)())    (0||349(d|43481)())    (0||350(d|43482)())    (0||351(d|43483)())    (0||352(d|43486)())    (0||353(d|43487)())    (0||354(d|43488)())    (0||355(d|43489)())    (0||356(d|43490)())    (0||357(d|43493)())    (0||358(d|43494)())    (0||359(d|43495)())    (0||360(d|43496)())    (0||361(d|43497)())    (0||362(d|43500)())    (0||363(d|43501)())    (0||364(d|43502)())    (0||365(d|43503)())    (0||366(d|43504)())    (0||367(d|43507)())    (0||368(d|43508)())    (0||369(d|43509)())    (0||370(d|43510)())    (0||371(d|43511)())    (0||372(d|43514)())    (0||373(d|43515)())    (0||374(d|43516)())    (0||375(d|43517)())    (0||376(d|43518)())    (0||377(d|43521)())    (0||378(d|43522)())    (0||379(d|43523)())    (0||380(d|43524)())    (0||381(d|43529)())    (0||382(d|43530)())    (0||383(d|43531)())    (0||384(d|43538)())    (0||385(d|43539)())    (0||386(d|43543)())    (0||387(d|43544)())    (0||388(d|43545)())    (0||389(d|43546)())    (0||390(d|43557)())    (0||391(d|43564)())    (0||392(d|43571)())    (0||393(d|43574)())    (0||394(d|43578)())    (0||395(d|43585)())    (0||396(d|43592)())    (0||397(d|43593)())    (0||398(d|43599)())    (0||399(d|43600)())    (0||400(d|43608)())    (0||401(d|43609)())    (0||402(d|43612)())    (0||403(d|43620)())    (0||404(d|43627)())    (0||405(d|43634)())    (0||406(d|43635)())    (0||407(d|43641)())    (0||408(d|43642)())    (0||409(d|43648)())    (0||410(d|43650)())    (0||411(d|43656)())    (0||412(d|43662)())    (0||413(d|43663)())    (0||414(d|43664)())    (0||415(d|43669)())    (0||416(d|43676)())    (0||417(d|43682)())    (0||418(d|43689)())    (0||419(d|43690)())    (0||420(d|43691)())    (0||421(d|43697)())    (0||422(d|43698)())    (0||423(d|43704)())    (0||424(d|43710)())    (0||425(d|43714)())    (0||426(d|43720)())    (0||427(d|43726)())    (0||428(d|43732)())    (0||429(d|43733)())    (0||430(d|43746)())    (0||431(d|43747)())    (0||432(d|43753)())    (0||433(d|43754)())    (0||434(d|43760)())    (0||435(d|43761)())    (0||436(d|43775)())    (0||437(d|43776)())    (0||438(d|43777)())    (0||439(d|43780)())    (0||440(d|43781)())    (0||441(d|43782)())    (0||442(d|43788)())    (0||443(d|43790)())    (0||444(d|43791)())    (0||445(d|43795)())    (0||446(d|43796)())    (0||447(d|43802)())    (0||448(d|43803)())    (0||449(d|43808)())    (0||450(d|43809)())    (0||451(d|43810)())    (0||452(d|43811)())    (0||453(d|43815)())    (0||454(d|43816)())    (0||455(d|43817)())    (0||456(d|43818)())    (0||457(d|43819)())    (0||458(d|43822)())    (0||459(d|43823)())    (0||460(d|43824)())    (0||461(d|43825)())    (0||462(d|43826)())    (0||463(d|43829)())    (0||464(d|43830)())    (0||465(d|43831)())    (0||466(d|43832)())    (0||467(d|43833)())    (0||468(d|43836)())    (0||469(d|43837)())    (0||470(d|43838)())    (0||471(d|43839)())    (0||472(d|43840)())    (0||473(d|43843)())    (0||474(d|43844)())    (0||475(d|43845)())    (0||476(d|43846)())    (0||477(d|43847)())    (0||478(d|43850)())    (0||479(d|43851)())    (0||480(d|43852)())    (0||481(d|43853)())    (0||482(d|43854)())    (0||483(d|43857)())    (0||484(d|43858)())    (0||485(d|43859)())    (0||486(d|43860)())    (0||487(d|43861)())    (0||488(d|43864)())    (0||489(d|43865)())    (0||490(d|43866)())    (0||491(d|43867)())    (0||492(d|43868)())    (0||493(d|43871)())    (0||494(d|43872)())    (0||495(d|43873)())    (0||496(d|43874)())    (0||497(d|43875)())    (0||498(d|43878)())    (0||499(d|43879)())    (0||500(d|43880)())    (0||501(d|43881)())    (0||502(d|43882)())    (0||503(d|43885)())    (0||504(d|43886)())    (0||505(d|43887)())    (0||506(d|43888)())    (0||507(d|43889)())    (0||508(d|43895)())    (0||509(d|43902)())    (0||510(d|43903)())    (0||511(d|43908)())    (0||512(d|43909)())    (0||513(d|43914)())    (0||514(d|43915)())    (0||515(d|43920)())    (0||516(d|43921)())    (0||517(d|43928)())    (0||518(d|43931)())    (0||519(d|43935)())    (0||520(d|43942)())    (0||521(d|43949)())    (0||522(d|43950)())    (0||523(d|43957)())    (0||524(d|43958)())    (0||525(d|43964)())    (0||526(d|43965)())    (0||527(d|43971)())    (0||528(d|43972)())    (0||529(d|43976)())    (0||530(d|43984)())    (0||531(d|43985)())    (0||532(d|43991)())    (0||533(d|43998)())    (0||534(d|44005)())    (0||535(d|44012)())    (0||536(d|44013)())    (0||537(d|44015)())    (0||538(d|44019)())    (0||539(d|44020)())    (0||540(d|44027)())    (0||541(d|44034)())    (0||542(d|44040)())    (0||543(d|44041)())    (0||544(d|44047)())    (0||545(d|44054)())    (0||546(d|44055)())    (0||547(d|44061)())    (0||548(d|44062)())    (0||549(d|44063)())    (0||550(d|44068)())    (0||551(d|44081)())    (0||552(d|44085)())    (0||553(d|44091)())    (0||554(d|44095)())    (0||555(d|44097)())    (0||556(d|44103)())    (0||557(d|44105)())    (0||558(d|44113)())    (0||559(d|44119)())    (0||560(d|44123)())    (0||561(d|44125)())    (0||562(d|44131)())    (0||563(d|44137)())    (0||564(d|44138)())    (0||565(d|44144)())    (0||566(d|44145)())    (0||567(d|44146)())    (0||568(d|44151)())    (0||569(d|44152)())    (0||570(d|44153)())    (0||571(d|44154)())    (0||572(d|44161)())    (0||573(d|44162)())    (0||574(d|44167)())    (0||575(d|44168)())    (0||576(d|44169)())    (0||577(d|44172)())    (0||578(d|44173)())    (0||579(d|44174)())    (0||580(d|44175)())    (0||581(d|44176)())    (0||582(d|44180)())    (0||583(d|44181)())    (0||584(d|44182)())    (0||585(d|44183)())    (0||586(d|44186)())    (0||587(d|44187)())    (0||588(d|44188)())    (0||589(d|44189)())    (0||590(d|44190)())    (0||591(d|44193)())    (0||592(d|44194)())    (0||593(d|44195)())    (0||594(d|44196)())    (0||595(d|44197)())    (0||596(d|44200)())    (0||597(d|44201)())    (0||598(d|44202)())    (0||599(d|44203)())    (0||600(d|44204)())    (0||601(d|44207)())    (0||602(d|44208)())    (0||603(d|44209)())    (0||604(d|44210)())    (0||605(d|44211)())    (0||606(d|44214)())    (0||607(d|44215)())    (0||608(d|44216)())    (0||609(d|44217)())    (0||610(d|44218)())    (0||611(d|44221)())    (0||612(d|44222)())    (0||613(d|44223)())    (0||614(d|44224)())    (0||615(d|44225)())    (0||616(d|44228)())    (0||617(d|44229)())    (0||618(d|44230)())    (0||619(d|44231)())    (0||620(d|44232)())    (0||621(d|44235)())    (0||622(d|44236)())    (0||623(d|44237)())    (0||624(d|44238)())    (0||625(d|44239)())    (0||626(d|44242)())    (0||627(d|44243)())    (0||628(d|44244)())    (0||629(d|44245)())    (0||630(d|44246)())    (0||631(d|44249)())    (0||632(d|44250)())    (0||633(d|44251)())    (0||634(d|44252)())    (0||635(d|44253)())    (0||636(d|44259)())    (0||637(d|44260)())    (0||638(d|44267)())    (0||639(d|44273)())    (0||640(d|44274)())    (0||641(d|44279)())    (0||642(d|44280)())    (0||643(d|44284)())    (0||644(d|44285)())    (0||645(d|44288)())    (0||646(d|44298)())    (0||647(d|44299)())    (0||648(d|44306)())    (0||649(d|44307)())    (0||650(d|44315)())    (0||651(d|44322)())    (0||652(d|44323)())    (0||653(d|44329)())    (0||654(d|44330)())    (0||655(d|44334)())    (0||656(d|44335)())    (0||657(d|44347)())    (0||658(d|44358)())    (0||659(d|44365)())    (0||660(d|44370)())    (0||661(d|44371)())    (0||662(d|44375)())    (0||663(d|44376)())    (0||664(d|44378)())    (0||665(d|44382)())    (0||666(d|44385)())    (0||667(d|44392)())    (0||668(d|44397)())    (0||669(d|44399)())    (0||670(d|44405)())    (0||671(d|44406)())    (0||672(d|44413)())    (0||673(d|44419)())    (0||674(d|44421)())    (0||675(d|44424)())    (0||676(d|44425)())    (0||677(d|44428)())    (0||678(d|44432)())    (0||679(d|44442)())    (0||680(d|44445)())    (0||681(d|44448)())    (0||682(d|44454)())    (0||683(d|44460)())    (0||684(d|44466)())    (0||685(d|44476)())    (0||686(d|44477)())    (0||687(d|44481)())    (0||688(d|44482)())    (0||689(d|44487)())    (0||690(d|44494)())    (0||691(d|44502)())    (0||692(d|44509)())    (0||693(d|44511)())    (0||694(d|44516)())    (0||695(d|44517)())    (0||696(d|44523)())    (0||697(d|44524)())    (0||698(d|44525)())    (0||699(d|44526)())    (0||700(d|44529)())    (0||701(d|44530)())    (0||702(d|44531)())    (0||703(d|44532)())    (0||704(d|44533)())    (0||705(d|44537)())    (0||706(d|44538)())    (0||707(d|44539)())    (0||708(d|44540)())    (0||709(d|44544)())    (0||710(d|44551)())    (0||711(d|44554)())    (0||712(d|44557)())    (0||713(d|44558)())    (0||714(d|44559)())    (0||715(d|44560)())    (0||716(d|44561)())    (0||717(d|44568)())    (0||718(d|44571)())    (0||719(d|44574)())    (0||720(d|44575)())    (0||721(d|44580)())    (0||722(d|44581)())    (0||723(d|44582)())    (0||724(d|44586)())    (0||725(d|44587)())    (0||726(d|44592)())    (0||727(d|44593)())    (0||728(d|44594)())    (0||729(d|44601)())    (0||730(d|44602)())    (0||731(d|44609)())    (0||732(d|44610)())    (0||733(d|44613)())    (0||734(d|44614)())    (0||735(d|44615)())    (0||736(d|44620)())    (0||737(d|44621)())    (0||738(d|44623)())    (0||739(d|44627)())    (0||740(d|44630)())    (0||741(d|44635)())    (0||742(d|44637)())    (0||743(d|44643)())    (0||744(d|44644)())    (0||745(d|44651)())    (0||746(d|44652)())    (0||747(d|44658)())    (0||748(d|44664)())    (0||749(d|44666)())    (0||750(d|44670)())    (0||751(d|44676)())    (0||752(d|44686)())    (0||753(d|44693)())    (0||754(d|44700)())    (0||755(d|44705)())    (0||756(d|44706)())    (0||757(d|44707)())    (0||758(d|44711)())    (0||759(d|44719)())    (0||760(d|44727)())    (0||761(d|44735)())    (0||762(d|44740)())    (0||763(d|44741)())    (0||764(d|44742)())    (0||765(d|44743)())    (0||766(d|44746)())    (0||767(d|44749)())    (0||768(d|44750)())    (0||769(d|44755)())    (0||770(d|44756)())    (0||771(d|44761)())    (0||772(d|44767)())    (0||773(d|44774)())    (0||774(d|44782)())    (0||775(d|44790)())    (0||776(d|44796)())    (0||777(d|44798)())    (0||778(d|44803)())    (0||779(d|44804)())    (0||780(d|44806)())    (0||781(d|44809)())    (0||782(d|44812)())    (0||783(d|44818)())    (0||784(d|44824)())    (0||785(d|44830)())    (0||786(d|44838)())    (0||787(d|44839)())    (0||788(d|44845)())    (0||789(d|44846)())    (0||790(d|44847)())    (0||791(d|44853)())    (0||792(d|44854)())    (0||793(d|44858)())    (0||794(d|44859)())    (0||795(d|44860)())    (0||796(d|44866)())    (0||797(d|44873)())    (0||798(d|44876)())    (0||799(d|44880)())    (0||800(d|44881)())    (0||801(d|44887)())    (0||802(d|44888)())    (0||803(d|44889)())    (0||804(d|44890)())    (0||805(d|44894)())    (0||806(d|44895)())    (0||807(d|44896)())    (0||808(d|44897)())    (0||809(d|44903)())    (0||810(d|44904)())    (0||811(d|44908)())    (0||812(d|44909)())    (0||813(d|44910)())    (0||814(d|44911)())    (0||815(d|44915)())    (0||816(d|44916)())    (0||817(d|44917)())    (0||818(d|44918)())    (0||819(d|44921)())    (0||820(d|44925)())    (0||821(d|44928)())    (0||822(d|44930)())    (0||823(d|44931)())    (0||824(d|44939)())    (0||825(d|44942)())    (0||826(d|44943)())    (0||827(d|44944)())    (0||828(d|44946)())    (0||829(d|44951)())    (0||830(d|44952)())    (0||831(d|44953)())    (0||832(d|44959)())    (0||833(d|44960)())    (0||834(d|44966)())    (0||835(d|44967)())    (0||836(d|44972)())    (0||837(d|44973)())    (0||838(d|44977)())    (0||839(d|44978)())    (0||840(d|44979)())    (0||841(d|44984)())    (0||842(d|44988)())    (0||843(d|44994)())    (0||844(d|44995)())    (0||845(d|45000)())    (0||846(d|45001)())    (0||847(d|45006)())    (0||848(d|45007)())    (0||849(d|45008)())    (0||850(d|45012)())    (0||851(d|45019)())    (0||852(d|45023)())    (0||853(d|45027)())    (0||854(d|45035)())    (0||855(d|45043)())    (0||856(d|45044)())    (0||857(d|45047)())    (0||858(d|45049)())    (0||859(d|45054)())    (0||860(d|45056)())    (0||861(d|45062)())    (0||862(d|45069)())    (0||863(d|45075)())    (0||864(d|45078)())    (0||865(d|45079)())    (0||866(d|45084)())    (0||867(d|45090)())    (0||868(d|45096)())    (0||869(d|45103)())    (0||870(d|45111)())    (0||871(d|45113)())    (0||872(d|45114)())    (0||873(d|45120)())    (0||874(d|45126)())    (0||875(d|45127)())    (0||876(d|45131)())    (0||877(d|45132)())    (0||878(d|45145)())    (0||879(d|45146)())    (0||880(d|45153)())    (0||881(d|45154)())    (0||882(d|45161)())    (0||883(d|45162)())    (0||884(d|45163)())    (0||885(d|45173)())    (0||886(d|45189)())    (0||887(d|45190)())    (0||888(d|45191)())    (0||889(d|45194)())    (0||890(d|45195)())    (0||891(d|45204)())    (0||892(d|45205)())    (0||893(d|45211)())    (0||894(d|45217)())    (0||895(d|45223)())    (0||896(d|45229)())    (0||897(d|45231)())    (0||898(d|45232)())    (0||899(d|45237)())    (0||900(d|45238)())    (0||901(d|45240)())    (0||902(d|45243)())    (0||903(d|45244)())    (0||904(d|45250)())    (0||905(d|45253)())    (0||906(d|45254)())    (0||907(d|45257)())    (0||908(d|45264)())    (0||909(d|45265)())    (0||910(d|45266)())    (0||911(d|45267)())    (0||912(d|45271)())    (0||913(d|45273)())    (0||914(d|45274)())    (0||915(d|45275)())    (0||916(d|45280)())    (0||917(d|45281)())    (0||918(d|45282)())    (0||919(d|45285)())    (0||920(d|45287)())    (0||921(d|45289)())    (0||922(d|45292)())    (0||923(d|45306)())    (0||924(d|45380)())    (0||925(d|45439)())    (0||926(d|45477)())    (0||927(d|45537)())    (0||928(d|45607)())    (0||929(d|45617)())    (0||930(d|45618)())    (0||931(d|45651)())    (0||932(d|45658)())    (0||933(d|45670)())    (0||934(d|45765)())    (0||935(d|45803)())    (0||936(d|45842)())    (0||937(d|45901)())    (0||938(d|45972)())    (0||939(d|45988)())    (0||940(d|45989)())    (0||941(d|46016)())    (0||942(d|46023)())    (0||943(d|46034)())    (0||944(d|46115)())    (0||945(d|46167)())    (0||946(d|46206)())    (0||947(d|46272)())    (0||948(d|46337)())    (0||949(d|46352)())    (0||950(d|46353)())    (0||951(d|46381)())    (0||952(d|46388)())    (0||953(d|46398)())    (0||954(d|46472)())    (0||955(d|46538)())    (0||956(d|46573)())    (0||957(d|46636)())    (0||958(d|46702)())    (0||959(d|46716)())    (0||960(d|46717)())    (0||961(d|46745)())    (0||962(d|46752)())    (0||963(d|46762)())    (0||964(d|46857)())    (0||965(d|46902)())    (0||966(d|46938)())    (0||967(d|47000)())    (0||968(d|47067)())    (0||969(d|47080)())    (0||970(d|47081)())    (0||971(d|47112)())    (0||972(d|47119)())    (0||973(d|47133)())    (0||974(d|47207)())    (0||975(d|47266)())    (0||976(d|47303)())    (0||977(d|47364)())    (0||978(d|47434)())    (0||979(d|47444)())    (0||980(d|47445)())    (0||981(d|47477)())    (0||982(d|47484)())    (0||983(d|47592)())    (0||984(d|47630)())    (0||985(d|47668)())    (0||986(d|47728)())    (0||987(d|47798)())    (0||988(d|47815)())    (0||989(d|47816)())    (0||990(d|47842)())))))</t>
  </si>
  <si>
    <t>(0||CalendarData()(  (0||DaysOfWeek()(    (0||1()())    (0||2()(      (0||0(s|08:00|f|16:00)())))    (0||3()(      (0||0(s|08:00|f|16:00)())))    (0||4()(      (0||0(s|08:00|f|16:00)())))    (0||5()(      (0||0(s|08:00|f|16:00)())))    (0||6()(      (0||0(s|08:00|f|16:00)())))    (0||7()())))  (0||VIEW(ShowTotal|N)())  (0||Exceptions()(    (0||0(d|37076)())    (0||1(d|37137)())    (0||2(d|37217)())    (0||3(d|37218)())    (0||4(d|37249)())    (0||5(d|37250)())    (0||6(d|37251)())    (0||7(d|37252)())    (0||8(d|37253)())    (0||9(d|37256)())    (0||10(d|37257)())    (0||11(d|37403)())    (0||12(d|37441)())    (0||13(d|37442)())    (0||14(d|37501)())    (0||15(d|37588)())    (0||16(d|37589)())    (0||17(d|37615)())    (0||18(d|37616)())    (0||19(d|37617)())    (0||20(d|37620)())    (0||21(d|37621)())    (0||22(d|37622)())    (0||23(d|37767)())    (0||24(d|37806)())    (0||25(d|37865)())    (0||26(d|37952)())    (0||27(d|37953)())    (0||28(d|37980)())    (0||29(d|37981)())    (0||30(d|37984)())    (0||31(d|37985)())    (0||32(d|37986)())    (0||33(d|37987)())    (0||34(d|37988)())    (0||35(d|38138)())    (0||36(d|38173)())    (0||37(d|38236)())    (0||38(d|38316)())    (0||39(d|38317)())    (0||40(d|38345)())    (0||41(d|38348)())    (0||42(d|38349)())    (0||43(d|38350)())    (0||44(d|38351)())    (0||45(d|38352)())    (0||46(d|38502)())    (0||47(d|38537)())    (0||48(d|38600)())    (0||49(d|38680)())    (0||50(d|38681)())    (0||51(d|38712)())    (0||52(d|38713)())    (0||53(d|38714)())    (0||54(d|38715)())    (0||55(d|38716)())    (0||56(d|38719)())    (0||57(d|38866)())    (0||58(d|38901)())    (0||59(d|38902)())    (0||60(d|38964)())    (0||61(d|39044)())    (0||62(d|39045)())    (0||63(d|39076)())    (0||64(d|39077)())    (0||65(d|39078)())    (0||66(d|39079)())    (0||67(d|39080)())    (0||68(d|39083)())    (0||69(d|39230)())    (0||70(d|39267)())    (0||71(d|39328)())    (0||72(d|39408)())    (0||73(d|39409)())    (0||74(d|39441)())    (0||75(d|39442)())    (0||76(d|39443)())    (0||77(d|39444)())    (0||78(d|39447)())    (0||79(d|39448)())    (0||80(d|39594)())    (0||81(d|39633)())    (0||82(d|39692)())    (0||83(d|39779)())    (0||84(d|39780)())    (0||85(d|39807)())    (0||86(d|39808)())    (0||87(d|39811)())    (0||88(d|39812)())    (0||89(d|39813)())    (0||90(d|39814)())    (0||91(d|39958)())    (0||92(d|39997)())    (0||93(d|40063)())    (0||94(d|40143)())    (0||95(d|40144)())    (0||96(d|40172)())    (0||97(d|40175)())    (0||98(d|40176)())    (0||99(d|40177)())    (0||100(d|40178)())    (0||101(d|40179)())    (0||102(d|40329)())    (0||103(d|40364)())    (0||104(d|40427)())    (0||105(d|40507)())    (0||106(d|40508)())    (0||107(d|40536)())    (0||108(d|40539)())    (0||109(d|40540)())    (0||110(d|40541)())    (0||111(d|40542)())    (0||112(d|40543)())    (0||113(d|40693)())    (0||114(d|40728)())    (0||115(d|40791)())    (0||116(d|40871)())    (0||117(d|40872)())    (0||118(d|40903)())    (0||119(d|40904)())    (0||120(d|40905)())    (0||121(d|40906)())    (0||122(d|40907)())    (0||123(d|40910)())    (0||124(d|41057)())    (0||125(d|41094)())    (0||126(d|41155)())    (0||127(d|41235)())    (0||128(d|41236)())    (0||129(d|41268)())    (0||130(d|41269)())    (0||131(d|41270)())    (0||132(d|41271)())    (0||133(d|41274)())    (0||134(d|41275)())    (0||135(d|41421)())    (0||136(d|41459)())    (0||137(d|41519)())    (0||138(d|41599)())    (0||139(d|41600)())    (0||140(d|41633)())    (0||141(d|41634)())    (0||142(d|41635)())    (0||143(d|41638)())    (0||144(d|41639)())    (0||145(d|41640)())    (0||146(d|41785)())    (0||147(d|41824)())    (0||148(d|41883)())    (0||149(d|41963)())    (0||150(d|41964)())    (0||151(d|41998)())    (0||152(d|41999)())    (0||153(d|42002)())    (0||154(d|42003)())    (0||155(d|42004)())    (0||156(d|42005)())    (0||157(d|42149)())    (0||158(d|42920)())    (0||159(d|42935)())    (0||160(d|42942)())    (0||161(d|42955)())    (0||162(d|42963)())    (0||163(d|42971)())    (0||164(d|42977)())    (0||165(d|42982)())    (0||166(d|42991)())    (0||167(d|42998)())    (0||168(d|43032)())    (0||169(d|43033)())    (0||170(d|43040)())    (0||171(d|43047)())    (0||172(d|43049)())    (0||173(d|43062)())    (0||174(d|43063)())    (0||175(d|43076)())    (0||176(d|43082)())    (0||177(d|43090)())    (0||178(d|43094)())    (0||179(d|43098)())    (0||180(d|43101)())    (0||181(d|43115)())    (0||182(d|43124)())    (0||183(d|43131)())    (0||184(d|43152)())    (0||185(d|43159)())    (0||186(d|43173)())    (0||187(d|43179)())    (0||188(d|43185)())    (0||189(d|43189)())    (0||190(d|43192)())    (0||191(d|43200)())    (0||192(d|43208)())    (0||193(d|43221)())    (0||194(d|43228)())    (0||195(d|43235)(      (0||0(s|08:00|f|16:00)())))    (0||196(d|43248)())    (0||197(d|43264)())    (0||198(d|43271)())    (0||199(d|43278)())    (0||200(d|43285)())    (0||201(d|43304)())    (0||202(d|43311)())    (0||203(d|43318)())    (0||204(d|43326)())    (0||205(d|43334)())    (0||206(d|43342)())    (0||207(d|43346)())    (0||208(d|43356)())    (0||209(d|43357)())    (0||210(d|43396)())    (0||211(d|43403)())    (0||212(d|43405)())    (0||213(d|43412)())    (0||214(d|43416)())    (0||215(d|43426)())    (0||216(d|43427)())    (0||217(d|43441)())    (0||218(d|43447)())    (0||219(d|43454)())    (0||220(d|43459)())    (0||221(d|43462)())    (0||222(d|43466)())    (0||223(d|43479)())    (0||224(d|43488)())    (0||225(d|43495)())    (0||226(d|43515)())    (0||227(d|43522)())    (0||228(d|43525)())    (0||229(d|43531)())    (0||230(d|43537)())    (0||231(d|43572)())    (0||232(d|43574)())    (0||233(d|43578)())    (0||234(d|43584)())    (0||235(d|43595)())    (0||236(d|43601)())    (0||237(d|43607)())    (0||238(d|43612)())    (0||239(d|43620)())    (0||240(d|43628)())    (0||241(d|43636)())    (0||242(d|43650)())    (0||243(d|43669)())    (0||244(d|43676)())    (0||245(d|43682)())    (0||246(d|43690)())    (0||247(d|43698)())    (0||248(d|43706)())    (0||249(d|43710)())    (0||250(d|43721)())    (0||251(d|43728)())    (0||252(d|43760)())    (0||253(d|43766)())    (0||254(d|43775)())    (0||255(d|43780)())    (0||256(d|43782)())    (0||257(d|43790)())    (0||258(d|43791)())    (0||259(d|43801)())    (0||260(d|43809)())    (0||261(d|43817)())    (0||262(d|43824)())    (0||263(d|43825)())    (0||264(d|43831)())    (0||265(d|43843)())    (0||266(d|43854)())    (0||267(d|43860)())    (0||268(d|43880)())    (0||269(d|43887)())    (0||270(d|43892)())    (0||271(d|43900)())    (0||272(d|43908)())    (0||273(d|43931)())    (0||274(d|43936)())    (0||275(d|43942)())    (0||276(d|43948)())    (0||277(d|43952)())    (0||278(d|43959)())    (0||279(d|43966)())    (0||280(d|43976)())    (0||281(d|43985)())    (0||282(d|43992)())    (0||283(d|43999)())    (0||284(d|44015)())    (0||285(d|44033)())    (0||286(d|44039)())    (0||287(d|44056)())    (0||288(d|44062)())    (0||289(d|44067)())    (0||290(d|44068)())    (0||291(d|44081)())    (0||292(d|44097)())    (0||293(d|44104)())    (0||294(d|44106)())    (0||295(d|44112)())    (0||296(d|44146)())    (0||297(d|44158)())    (0||298(d|44161)())    (0||299(d|44162)())    (0||300(d|44165)())    (0||301(d|44166)())    (0||302(d|44174)())    (0||303(d|44182)())    (0||304(d|44189)())    (0||305(d|44190)())    (0||306(d|44196)())    (0||307(d|44197)())    (0||308(d|44207)())    (0||309(d|44221)())    (0||310(d|44222)())    (0||311(d|44232)())    (0||312(d|44238)())    (0||313(d|44256)())    (0||314(d|44264)())    (0||315(d|44272)())    (0||316(d|44288)())    (0||317(d|44299)())    (0||318(d|44306)())    (0||319(d|44313)())    (0||320(d|44319)())    (0||321(d|44327)())    (0||322(d|44335)())    (0||323(d|44347)())    (0||324(d|44356)())    (0||325(d|44364)())    (0||326(d|44372)())    (0||327(d|44382)())    (0||328(d|44398)())    (0||329(d|44405)())    (0||330(d|44412)())    (0||331(d|44419)())    (0||332(d|44426)())    (0||333(d|44433)())    (0||334(d|44441)())    (0||335(d|44445)())    (0||336(d|44448)())    (0||337(d|44487)())    (0||338(d|44494)())    (0||339(d|44509)())    (0||340(d|44511)())    (0||341(d|44516)())    (0||342(d|44525)())    (0||343(d|44526)())    (0||344(d|44531)())    (0||345(d|44532)())    (0||346(d|44538)())    (0||347(d|44545)())    (0||348(d|44554)())    (0||349(d|44561)())    (0||350(d|44571)())    (0||351(d|44587)())    (0||352(d|44588)())    (0||353(d|44601)())    (0||354(d|44608)())    (0||355(d|44636)())    (0||356(d|44642)())    (0||357(d|44648)())    (0||358(d|44656)())    (0||359(d|44664)())    (0||360(d|44666)())    (0||361(d|44672)())    (0||362(d|44684)())    (0||363(d|44691)())    (0||364(d|44698)())    (0||365(d|44711)())    (0||366(d|44728)())    (0||367(d|44735)())    (0||368(d|44742)())    (0||369(d|44746)())    (0||370(d|44760)())    (0||371(d|44761)())    (0||372(d|44778)())    (0||373(d|44784)())    (0||374(d|44791)())    (0||375(d|44798)())    (0||376(d|44809)())    (0||377(d|44818)())    (0||378(d|44819)())    (0||379(d|44852)())    (0||380(d|44859)())    (0||381(d|44872)())    (0||382(d|44876)())    (0||383(d|44880)())    (0||384(d|44889)())    (0||385(d|44890)())    (0||386(d|44902)())    (0||387(d|44903)())    (0||388(d|44909)())    (0||389(d|44910)())    (0||390(d|44921)())    (0||391(d|44928)())    (0||392(d|44939)())    (0||393(d|44942)())    (0||394(d|44945)())    (0||395(d|44971)())    (0||396(d|44978)())    (0||397(d|44988)())    (0||398(d|44994)())    (0||399(d|45000)())    (0||400(d|45023)())    (0||401(d|45028)())    (0||402(d|45034)())    (0||403(d|45040)())    (0||404(d|45054)())    (0||405(d|45055)())    (0||406(d|45056)())    (0||407(d|45075)())    (0||408(d|45091)())    (0||409(d|45098)())    (0||410(d|45105)())    (0||411(d|45111)())    (0||412(d|45124)())    (0||413(d|45125)())    (0||414(d|45159)())    (0||415(d|45160)())    (0||416(d|45161)())    (0||417(d|45166)())    (0||418(d|45173)())    (0||419(d|45176)())    (0||420(d|45183)())    (0||421(d|45224)())    (0||422(d|45225)())    (0||423(d|45240)())    (0||424(d|45251)())    (0||425(d|45253)())    (0||426(d|45254)())    (0||427(d|45258)())    (0||428(d|45266)())    (0||429(d|45267)())    (0||430(d|45268)())    (0||431(d|45275)())    (0||432(d|45285)())    (0||433(d|45292)())    (0||434(d|45306)())    (0||435(d|45380)())    (0||436(d|45439)())    (0||437(d|45477)())    (0||438(d|45537)())    (0||439(d|45607)())    (0||440(d|45617)())    (0||441(d|45618)())    (0||442(d|45651)())    (0||443(d|45658)())    (0||444(d|45670)())    (0||445(d|45765)())    (0||446(d|45803)())    (0||447(d|45842)())    (0||448(d|45901)())    (0||449(d|45972)())    (0||450(d|45988)())    (0||451(d|45989)())    (0||452(d|46016)())    (0||453(d|46023)())    (0||454(d|46034)())    (0||455(d|46115)())    (0||456(d|46167)())    (0||457(d|46206)())    (0||458(d|46272)())    (0||459(d|46337)())    (0||460(d|46352)())    (0||461(d|46353)())    (0||462(d|46381)())    (0||463(d|46388)())    (0||464(d|46398)())    (0||465(d|46472)())    (0||466(d|46538)())    (0||467(d|46573)())    (0||468(d|46636)())    (0||469(d|46702)())    (0||470(d|46716)())    (0||471(d|46717)())    (0||472(d|46745)())    (0||473(d|46752)())    (0||474(d|46762)())    (0||475(d|46857)())    (0||476(d|46902)())    (0||477(d|46938)())    (0||478(d|47000)())    (0||479(d|47067)())    (0||480(d|47080)())    (0||481(d|47081)())    (0||482(d|47112)())    (0||483(d|47119)())    (0||484(d|47133)())    (0||485(d|47207)())    (0||486(d|47266)())    (0||487(d|47303)())    (0||488(d|47364)())    (0||489(d|47434)())    (0||490(d|47444)())    (0||491(d|47445)())    (0||492(d|47477)())    (0||493(d|47484)())    (0||494(d|47592)())    (0||495(d|47630)())    (0||496(d|47668)())    (0||497(d|47728)())    (0||498(d|47798)())    (0||499(d|47815)())    (0||500(d|47816)())    (0||501(d|47842)())))))</t>
  </si>
  <si>
    <t>Notes</t>
  </si>
  <si>
    <t>UwNZVpDFu0C7llPlJr/Ohg</t>
  </si>
  <si>
    <t>&lt;html&gt;  &lt;head&gt;      &lt;/head&gt;  &lt;body&gt;    I40 Widening / Yadkin (#2) River  &lt;/body&gt;&lt;/html&gt;</t>
  </si>
  <si>
    <t>CP_Drtn</t>
  </si>
  <si>
    <t>1074_2007A</t>
  </si>
  <si>
    <t>DmCKHqJyrkSamEmOgVtvlQ</t>
  </si>
  <si>
    <t>bhuha</t>
  </si>
  <si>
    <t>Schedule Impacts</t>
  </si>
  <si>
    <t>T5/GddcM/UmIPCwbLHc1+Q</t>
  </si>
  <si>
    <t>(Bridge Northern) Expansion Joints</t>
  </si>
  <si>
    <t>op04pC4C6kaKb0ymfFaYmg</t>
  </si>
  <si>
    <t>jtIkXPMfDUCqGtXpm758sQ</t>
  </si>
  <si>
    <t>(Bridge Northern) Approach Slabs and Barrier</t>
  </si>
  <si>
    <t>yGhsE44e4EKgxSAukAY0sw</t>
  </si>
  <si>
    <t>DKMfHipWl0aOyajaJdrbZw</t>
  </si>
  <si>
    <t>Span A to H</t>
  </si>
  <si>
    <t>fM9pH//6XUqdl/2ZHdq2Kg</t>
  </si>
  <si>
    <t>pZh/6bFTCU68vbkEU1Oy4g</t>
  </si>
  <si>
    <t>(Bridge Southern) Span A to H</t>
  </si>
  <si>
    <t>WbVBuRTNZ0SLB/4txD3Y7Q</t>
  </si>
  <si>
    <t>AcK9Ug90+k6i4brZT5bkSA</t>
  </si>
  <si>
    <t>(Bridge Southern) Span H (Bent 7 - East Abutment)</t>
  </si>
  <si>
    <t>J7MAEKYC0kq2A8YnfOLYGA</t>
  </si>
  <si>
    <t>39+2kbZmx0ukqT6s/E00jw</t>
  </si>
  <si>
    <t>(Bridge Southern) Span G (Bent 6- Bent 7)</t>
  </si>
  <si>
    <t>MgfLvASSkUWV+skB825P8Q</t>
  </si>
  <si>
    <t>Iokm1T11CEKoZczICo8T3A</t>
  </si>
  <si>
    <t>(Bridge Southern) Span F (Bent 5 - Bent 6) - River Span</t>
  </si>
  <si>
    <t>UUa+GAD6O0OiGULHZYdeYQ</t>
  </si>
  <si>
    <t>wkP3PstBYUCwPzR4lTn7Nw</t>
  </si>
  <si>
    <t>\</t>
  </si>
  <si>
    <t>(Bridge Southern) Span E (Bent 4 - Bent 5)</t>
  </si>
  <si>
    <t>i7TRLlKQ2UyT2g2aZ2cNAg</t>
  </si>
  <si>
    <t>bQlcZzIM1UqXOkhuusc38g</t>
  </si>
  <si>
    <t>(Bridge Southern) Span D (Bent 3 - Bent 4)</t>
  </si>
  <si>
    <t>JXYkBxF7n0acWly2zmiwyQ</t>
  </si>
  <si>
    <t>bDnFQRcM3EKOEWqTCEe5cw</t>
  </si>
  <si>
    <t>(Bridge Southern) Span C (Bent2 - Bent3)</t>
  </si>
  <si>
    <t>/NXwKX8MKUSFLfdgEw9seQ</t>
  </si>
  <si>
    <t>22/3gI20fUKk58fDt1dwqA</t>
  </si>
  <si>
    <t>(Bridge Southern) Span B (Bent 1- Bent 2)</t>
  </si>
  <si>
    <t>+5/6biZWAECfvqXXB6jzpA</t>
  </si>
  <si>
    <t>8RVUuUxplkmYo0dVSIIbXA</t>
  </si>
  <si>
    <t>(Bridge Southern) Span A (End Bent 1 - Bent1)</t>
  </si>
  <si>
    <t>0naDwZkP+kej7AsZOSh75A</t>
  </si>
  <si>
    <t>YQ0Kyhx5TUCPs2izCOen5A</t>
  </si>
  <si>
    <t>(Bridge Southern) Bent 7</t>
  </si>
  <si>
    <t>q9Hx4WUj9EmTt8tR1ee1CQ</t>
  </si>
  <si>
    <t>U0L3cTF/DEC6tq/WjBTObA</t>
  </si>
  <si>
    <t>(Bridge Southern) Bent 6</t>
  </si>
  <si>
    <t>Ex/46GhvDkGGuOyLT6leiw</t>
  </si>
  <si>
    <t>jT88TX0/BkydbRY+71rczg</t>
  </si>
  <si>
    <t>(Bridge Southern) Bent 5</t>
  </si>
  <si>
    <t>emwbuqDOREmjjk/+zZSU1w</t>
  </si>
  <si>
    <t>n1kOUuhy50yEcGVqb3m63w</t>
  </si>
  <si>
    <t>(Bridge Southern) Bent 4</t>
  </si>
  <si>
    <t>4/gdz9sFXkGmf8eS6J004Q</t>
  </si>
  <si>
    <t>3zVMPdTyWkCp4FnZrZ9IIg</t>
  </si>
  <si>
    <t>(Bridge Southern) Bent 3</t>
  </si>
  <si>
    <t>v8g0mQVwkE6ZfPBwuuR9kA</t>
  </si>
  <si>
    <t>pPTbbbUpGkeKdyQq0jMbVw</t>
  </si>
  <si>
    <t>(Bridge Southern) Bent 2</t>
  </si>
  <si>
    <t>oeYrqVA9ikiCLwJ6BySgDw</t>
  </si>
  <si>
    <t>m5mOlWUqjEm8BzilcQ33SQ</t>
  </si>
  <si>
    <t>(Bridge Southern) Bent 1</t>
  </si>
  <si>
    <t>b91cV4x2gkCIPWzDbTAt4A</t>
  </si>
  <si>
    <t>TVJscFtDVkKv5pwiJoXfAA</t>
  </si>
  <si>
    <t>(Bridge Southern) End Bent 1</t>
  </si>
  <si>
    <t>WbBr1q9/YEegd01wnSgZGg</t>
  </si>
  <si>
    <t>CpiHok99H0KqRtNS223TMA</t>
  </si>
  <si>
    <t>(Bridge Southern) End Bent 2</t>
  </si>
  <si>
    <t>BcH3p0hIIEq1HDeZWGu1Sw</t>
  </si>
  <si>
    <t>tl3WaGUrt0ODd9mVz9/lOQ</t>
  </si>
  <si>
    <t>(Bridge Middle) Span A to H</t>
  </si>
  <si>
    <t>pLfSZefth0+QUx2WOTxzFw</t>
  </si>
  <si>
    <t>/qehSzMZzUabyNc+qRqOSA</t>
  </si>
  <si>
    <t>(Bridge Middle) Span H (Bent 7 - East Abutment)</t>
  </si>
  <si>
    <t>t2WTK/YlJ0+RZ9LGX4ho1Q</t>
  </si>
  <si>
    <t>hI2R/mTN3ECalIz5EnCZpw</t>
  </si>
  <si>
    <t>(Bridge Middle) Span G (Bent 6- Bent 7)</t>
  </si>
  <si>
    <t>ABvEBL+PREGYVs4zwkQwmg</t>
  </si>
  <si>
    <t>VZLxoCbmQkC+QXT+dJsUYQ</t>
  </si>
  <si>
    <t>(Bridge Middle) Span F (Bent 5 - Bent 6) - River Span</t>
  </si>
  <si>
    <t>9Nv2WuFsT0GSzTfQJvjpZA</t>
  </si>
  <si>
    <t>kVNp9LdcP0iwzJVlI9UvCw</t>
  </si>
  <si>
    <t>(Bridge Middle) Span E (Bent 4 - Bent 5)</t>
  </si>
  <si>
    <t>Y3rMLuPTVkmbxWq44/sXag</t>
  </si>
  <si>
    <t>4nYjou4/zE+4bux1r4QY/A</t>
  </si>
  <si>
    <t>(Bridge Middle) Span D (Bent 3 - Bent 4)</t>
  </si>
  <si>
    <t>dl1YQer2UEmJdK23648J6w</t>
  </si>
  <si>
    <t>tUUoDj/rJ0inTkSPahEo1A</t>
  </si>
  <si>
    <t>(Bridge Middle) Span C (Bent2 - Bent3)</t>
  </si>
  <si>
    <t>/iRMgxSGXU+kD8uAwtwvow</t>
  </si>
  <si>
    <t>dH1s/UJoSUOENBSz35YNMw</t>
  </si>
  <si>
    <t>(Bridge Middle) Span B (Bent 1- Bent 2)</t>
  </si>
  <si>
    <t>87B8J+gocEuU9I/AeOhzyg</t>
  </si>
  <si>
    <t>ls8fZ8PpRUyVFqEvfznjuA</t>
  </si>
  <si>
    <t>(Bridge Middle) Span A (End Bent 1 - Bent1)</t>
  </si>
  <si>
    <t>4mCQoUJ3TEiC1Fx4nGN6ew</t>
  </si>
  <si>
    <t>(Bridge Middle) Bent 7</t>
  </si>
  <si>
    <t>zhdDzSLRNE6UCuWFoyqdTw</t>
  </si>
  <si>
    <t>y2qQkNaw4k+9ICwKpyFlDQ</t>
  </si>
  <si>
    <t>(Bridge Middle) Bent 6</t>
  </si>
  <si>
    <t>ldpDINdh9ECMlwZsIcnyFg</t>
  </si>
  <si>
    <t>14dNF7dIgEWzDJFjh5GeYA</t>
  </si>
  <si>
    <t>(Bridge Middle) Bent 5</t>
  </si>
  <si>
    <t>JWtMmzft8USncNYWo2Wy0A</t>
  </si>
  <si>
    <t>XM1jNEYrykie7EBowoS1Bw</t>
  </si>
  <si>
    <t>(Bridge Middle) Bent 4</t>
  </si>
  <si>
    <t>N6LPSU9Zx0W9uxHvmW2uzg</t>
  </si>
  <si>
    <t>EmwYdbUzw027XSTxsJUtaQ</t>
  </si>
  <si>
    <t>(Bridge Middle) Bent 3</t>
  </si>
  <si>
    <t>KqBWhpb9EUKZ/DNvriXNdg</t>
  </si>
  <si>
    <t>6feRK5GcmkmGDGHkYYH/dA</t>
  </si>
  <si>
    <t>(Bridge Middle) Bent 2</t>
  </si>
  <si>
    <t>o/ep2KJkI0uFBdcEEgzikw</t>
  </si>
  <si>
    <t>pWEXIuo0XUOaWUtJT6qD8w</t>
  </si>
  <si>
    <t>(Bridge Middle) Bent 1</t>
  </si>
  <si>
    <t>slF2hdh1bk6ETXXREyc8AA</t>
  </si>
  <si>
    <t>WXSVQvUFbk2BwyNATupucA</t>
  </si>
  <si>
    <t>(Bridge Middle) End Bent 1</t>
  </si>
  <si>
    <t>5SW4TSoRIU6/RNCaoP1AXg</t>
  </si>
  <si>
    <t>DXyxQ32JOUSwqJBz0QNBdw</t>
  </si>
  <si>
    <t>(Bridge Middle) End Bent 2</t>
  </si>
  <si>
    <t>F83lZUzbdk6Mx/WVQqW1Kw</t>
  </si>
  <si>
    <t>cTF0Lkjn3kiHPnPRr1uUcw</t>
  </si>
  <si>
    <t>(Bridge Northern) Span A to H</t>
  </si>
  <si>
    <t>trlEh8JbaUGyC2EyCpeYfQ</t>
  </si>
  <si>
    <t>Qj+9mEnBokekWp6KQqVPaA</t>
  </si>
  <si>
    <t>(Bridge Northern) Span H (Bent 7 - East Abutment)</t>
  </si>
  <si>
    <t>ew5ndvTZKkGEsjNgPa77DA</t>
  </si>
  <si>
    <t>Zr5UtE1b7EKiGQiLKJZzkg</t>
  </si>
  <si>
    <t>(Bridge Northern) Span G (Bent 6- Bent 7)</t>
  </si>
  <si>
    <t>d9GV3dMRjEqOrD3cnRP9tw</t>
  </si>
  <si>
    <t>e0O0O5VYFkGWsbDOng9zTw</t>
  </si>
  <si>
    <t>(Bridge Northern) Span F (Bent 5 - Bent 6) - River Span</t>
  </si>
  <si>
    <t>RHehxjSbykiSMFxaP9mGiQ</t>
  </si>
  <si>
    <t>iKqv1U+yvkuAgTHzu9n2PQ</t>
  </si>
  <si>
    <t>(Bridge Northern) Span E (Bent 4 - Bent 5)</t>
  </si>
  <si>
    <t>J331H1rrdUC/JbPGdbgMjA</t>
  </si>
  <si>
    <t>JnycD0m+ik+l42/LEZAneA</t>
  </si>
  <si>
    <t>(Bridge Northern) Span D (Bent 3 - Bent 4)</t>
  </si>
  <si>
    <t>xQSuluJfTkWTeH5vf2oCYg</t>
  </si>
  <si>
    <t>wkoUIlrAc0G30pTjHXOycA</t>
  </si>
  <si>
    <t>(Bridge Northern) Span C (Bent2 - Bent3)</t>
  </si>
  <si>
    <t>PglaTNsBsUaCXr7x9D0hjw</t>
  </si>
  <si>
    <t>KkCdGNI+pkqWGtm1VAoaQg</t>
  </si>
  <si>
    <t>(Bridge Northern) Span B (Bent 1- Bent 2)</t>
  </si>
  <si>
    <t>MbDREMfT+EeluBKA/IsWvw</t>
  </si>
  <si>
    <t>iILnviZsVkiNBbvXc3QY1Q</t>
  </si>
  <si>
    <t>(Bridge Northern) Span A (End Bent 1 - Bent1)</t>
  </si>
  <si>
    <t>eqPURiV+v0OYd6NRT8GdTQ</t>
  </si>
  <si>
    <t>xtaJnBNE7UaJ77lTgBB5Qg</t>
  </si>
  <si>
    <t>(Bridge Northern) Bent 7</t>
  </si>
  <si>
    <t>TZQhhLlM2U2Y/IfH5V7fjA</t>
  </si>
  <si>
    <t>8J+X6kPdsUGzn587BE7dHw</t>
  </si>
  <si>
    <t>(Bridge Northern) Bent 6</t>
  </si>
  <si>
    <t>zK9jgffUqUqceaVEVVN8jQ</t>
  </si>
  <si>
    <t>OY+MVU2+Lk+4HB/VOB0Oyg</t>
  </si>
  <si>
    <t>(Bridge Northern) Bent 5</t>
  </si>
  <si>
    <t>EY7/r6/F9UiP4a3VkrB8CA</t>
  </si>
  <si>
    <t>o4Gec7580UCLIlkn8/pLiQ</t>
  </si>
  <si>
    <t>(Bridge Northern) Bent 4</t>
  </si>
  <si>
    <t>VMuDjE+P/Eq4v/cGzJuNyw</t>
  </si>
  <si>
    <t>SrZ+5VBkI0uAC43WxSWXZw</t>
  </si>
  <si>
    <t>(Bridge Northern) Bent 3</t>
  </si>
  <si>
    <t>ppXuiZ3iBkS0YoEg9V0Vuw</t>
  </si>
  <si>
    <t>pO1HqcjrnE2w6/Rexbrsog</t>
  </si>
  <si>
    <t>(Bridge Northern) Bent 2</t>
  </si>
  <si>
    <t>Brs0juqxtUi0sczzlZ6Vxg</t>
  </si>
  <si>
    <t>JIZoQmylSUWAdhIUYSji3A</t>
  </si>
  <si>
    <t>(Bridge Northern) Bent 1</t>
  </si>
  <si>
    <t>o5b7d4UgaUGDKzRW/PHrLA</t>
  </si>
  <si>
    <t>kfwMuAJiiE2BBoGl+fN2sQ</t>
  </si>
  <si>
    <t>(Bridge Northern) End Bent 1</t>
  </si>
  <si>
    <t>ca9wQahJJUq7NngFtIeqqw</t>
  </si>
  <si>
    <t>MU+dXF5XI0KJNqWmPtEmLg</t>
  </si>
  <si>
    <t>(Bridge Northern) End Bent 2</t>
  </si>
  <si>
    <t>DnKw8qp4mkinfI9cuHoYYQ</t>
  </si>
  <si>
    <t>fakU+RmYhESA5rfQlS7tZg</t>
  </si>
  <si>
    <t>Area 3 - Bridge to End of Project (Sta.139+16 to Sta. 189+00)</t>
  </si>
  <si>
    <t>4a4nwKENCEyjlk9pw95Jzg</t>
  </si>
  <si>
    <t>nIO2HDxuG0SDl/qHUEzcZA</t>
  </si>
  <si>
    <t>Area 2 - NC 801 to Bridge (Sta. 90+00 to 128+00)</t>
  </si>
  <si>
    <t>HXqGL9bY4kyj3KYtwBjtnw</t>
  </si>
  <si>
    <t>xbBpr5+QX0KOwDnkOtZSXw</t>
  </si>
  <si>
    <t>Area 1 - Start of Projec to NC 801 (Sta. 14+75 to Sta. 90+00)</t>
  </si>
  <si>
    <t>bBNMnUQ6tkyYBNw0s8Eoog</t>
  </si>
  <si>
    <t>Rpy6zpFNDU6UVU6Rjhzi3A</t>
  </si>
  <si>
    <t>Area 1 - NC 801 to Start of Project (Sta 90+00 to 14+75)</t>
  </si>
  <si>
    <t>0phQWJCQvECxYaIKxOxpCw</t>
  </si>
  <si>
    <t>mYYW6muqI0et8TB3gfFp8A</t>
  </si>
  <si>
    <t>Area 2 - Bridge to NC 801 (Sta. 128+00 to Sta. 90+00)</t>
  </si>
  <si>
    <t>sHTwjWOu40+zRixAF2R+rQ</t>
  </si>
  <si>
    <t>2lswqVsujUKgHOrlXVoXhQ</t>
  </si>
  <si>
    <t>Area 3 - End of Project to Bridge (Sta. 189+00 to Sta. 139+16)</t>
  </si>
  <si>
    <t>KrhVFnBtIkybweWzrehl2A</t>
  </si>
  <si>
    <t>9U3y8WVUb0ybUJW/OzoX/w</t>
  </si>
  <si>
    <t>Superstructure Work</t>
  </si>
  <si>
    <t>1grqQI84x0OvK75wc8YX5w</t>
  </si>
  <si>
    <t>45rLPFDPXkmwZtxuRsmn6Q</t>
  </si>
  <si>
    <t>Bridge to End of Project (Sta.139+16 to Sta. 189+00)</t>
  </si>
  <si>
    <t>suksy1zoVkyQ6R+iUVrK7Q</t>
  </si>
  <si>
    <t>9NdkF1Cr00CHXrgami3lfA</t>
  </si>
  <si>
    <t>NC 801 to Bridge (Sta. 59+49 to 128+16)</t>
  </si>
  <si>
    <t>jXczHYASU0OghSzwrtNd3Q</t>
  </si>
  <si>
    <t>hbDQ7BtTcUmCFQcDWZyYrw</t>
  </si>
  <si>
    <t>Start of Projec to NC 801 (Sta. 14+75 to Sta. 59+49)</t>
  </si>
  <si>
    <t>CUuKH0LFVky754NeunpggA</t>
  </si>
  <si>
    <t>YMBQrwK3/E2TXWY6glFblg</t>
  </si>
  <si>
    <t>Crossover Area 2  (Sta. 108+56 to Sta.128+00)</t>
  </si>
  <si>
    <t>AhI2fK3oakmZa1u3HHXTKQ</t>
  </si>
  <si>
    <t>VF3rplR5ak6h4jL3p3AGqA</t>
  </si>
  <si>
    <t>Crossover Area 3 (Sta. 140+00 to Sta. 159+00)</t>
  </si>
  <si>
    <t>ivDUYzr5RUetsZ5+3ZVFRw</t>
  </si>
  <si>
    <t>ZGSnq5SGTEyOZ5PkdQ9yIg</t>
  </si>
  <si>
    <t>(Bridge Southern) Superstructure</t>
  </si>
  <si>
    <t>WqjkWWtC30Ox4P5q0PRnuA</t>
  </si>
  <si>
    <t>b1swWHGRZkit7N6h6hPraA</t>
  </si>
  <si>
    <t>(Bridge Southern) Substructure</t>
  </si>
  <si>
    <t>PHhavzgkKEGMo2xoVXjEWQ</t>
  </si>
  <si>
    <t>g7J8KNTto0q72+DxbVDm0Q</t>
  </si>
  <si>
    <t>Structural Demolition</t>
  </si>
  <si>
    <t>LE1Vj1Ga2UWqik+XD9bdlw</t>
  </si>
  <si>
    <t>wvysjekBIEyY/NES7vnBsQ</t>
  </si>
  <si>
    <t>End Bent Access Roadway &amp; Causeway</t>
  </si>
  <si>
    <t>QX3e5mU5E0i49AN62e+NjA</t>
  </si>
  <si>
    <t>PQ0GRFDxOUiG7Jxoeretag</t>
  </si>
  <si>
    <t>lZMlFABWbkmk2oawR8t8yg</t>
  </si>
  <si>
    <t>i5V8D4kOd0SD9p7B1YWumw</t>
  </si>
  <si>
    <t>hXmbEfACREePiI7/o7Gvsg</t>
  </si>
  <si>
    <t>XoXM5S5WjEiZlfiKVGQ7yQ</t>
  </si>
  <si>
    <t>jgV3B5AzVUKcqEkkYVhiqQ</t>
  </si>
  <si>
    <t>XB88TA2/5keQR+4c2ZfNFQ</t>
  </si>
  <si>
    <t>NC 801 to Start of Project (Sta 59+49 to 14+75)</t>
  </si>
  <si>
    <t>80bZTm3n1EG+H4Ey2LQhRA</t>
  </si>
  <si>
    <t>oZhvSQWaKEqCZmrtDYnQ9g</t>
  </si>
  <si>
    <t>Bridge to NC 801 (Sta. 128+16 to Sta. 59+49)</t>
  </si>
  <si>
    <t>Y3N317P+/kmB6kOfsAEv+A</t>
  </si>
  <si>
    <t>DlDWwfhGEkWkLsNAxUd8WQ</t>
  </si>
  <si>
    <t>End of Project to Bridge (Sta. 189+00 to Sta. 139+16)</t>
  </si>
  <si>
    <t>dpTyRWOYzUaPOLoZOPIdlw</t>
  </si>
  <si>
    <t>06YqnLjHckO+Sz/cKFaBfQ</t>
  </si>
  <si>
    <t>(Bridge Middle) Superstructure</t>
  </si>
  <si>
    <t>DEemMZQqvUK96nsIFlK9vg</t>
  </si>
  <si>
    <t>VdlkhChYJU2Es4T44jmJZw</t>
  </si>
  <si>
    <t>(Bridge Middle) Substructure</t>
  </si>
  <si>
    <t>mXfmJ8TmlU6dKa9+mulGLA</t>
  </si>
  <si>
    <t>eNsVup0dgkqNTQDs6vh47A</t>
  </si>
  <si>
    <t>CG3DdK7b9EOME6E6QVggxw</t>
  </si>
  <si>
    <t>snGSrEWiJEKyQq8tBu0haA</t>
  </si>
  <si>
    <t>N/lqv2YAAE+n2VFke4BMQw</t>
  </si>
  <si>
    <t>AFLq3DupyUqNUYKtwsmL0w</t>
  </si>
  <si>
    <t>Area 3 - Bridge to End of Project (Sta. 196+16 to Sta. 159+00)</t>
  </si>
  <si>
    <t>Dw7mYgSg2kWauOQRP/kC+w</t>
  </si>
  <si>
    <t>lkjZAKynNUuQq3bheKDNyA</t>
  </si>
  <si>
    <t>Area 2 - NC 801 to Bridge (Sta. 108+50 to Sta. 90+00)</t>
  </si>
  <si>
    <t>0skuPT5ff0WpYKQNqqAv6w</t>
  </si>
  <si>
    <t>gwmOgCEUXkyXbUy3ljI5pg</t>
  </si>
  <si>
    <t>Area 1 - Start of Projec to NC 801 (Sta 90+00 to 10+17)</t>
  </si>
  <si>
    <t>QOqPMlQyZ02EFsaUhnmc8g</t>
  </si>
  <si>
    <t>d58uVmMQz0+sUjYXQl3c3g</t>
  </si>
  <si>
    <t>Median Area 1A  (10+50 to 60+00)</t>
  </si>
  <si>
    <t>hOIlttcs+kiy03sSfs3BOg</t>
  </si>
  <si>
    <t>9P4jxvhOtkORxTJdw/+U0A</t>
  </si>
  <si>
    <t>(DEL)Median Area 2 (90+00 to 108+00)</t>
  </si>
  <si>
    <t>M0rWxkUn70qfQHzgxoq1HA</t>
  </si>
  <si>
    <t>y2KVWolcCU2i8Ert3CIENw</t>
  </si>
  <si>
    <t>Median Area 3  (157+00 to 194+90)</t>
  </si>
  <si>
    <t>pS9TvH4hkUiyMkYBUfWLpw</t>
  </si>
  <si>
    <t>iVYAMAsHO0SAOXgFkInBWA</t>
  </si>
  <si>
    <t>(Bridge Northern) Superstructure</t>
  </si>
  <si>
    <t>5t5w+VdU70GDycOH2WP5Fg</t>
  </si>
  <si>
    <t>ANyDbK/8rkOB8gchn84Ohg</t>
  </si>
  <si>
    <t>(Bridge Northern) Substructure</t>
  </si>
  <si>
    <t>Xlkec08iOkWH9iXBXkDr/Q</t>
  </si>
  <si>
    <t>mfm6BUS/+E+aIcop0tjdFg</t>
  </si>
  <si>
    <t>(Bridge Northern) End Bent Access &amp; Causeway</t>
  </si>
  <si>
    <t>WP8cd37SWk2RKzWnFoAozw</t>
  </si>
  <si>
    <t>Ca0rDyx1tEmR9fdEnmmicw</t>
  </si>
  <si>
    <t>(Bridge Northern) Drilled Shaft Test</t>
  </si>
  <si>
    <t>oJV2TLBNj02X2B3N/PdfSw</t>
  </si>
  <si>
    <t>icACwByz50W6/CAh8AU4pA</t>
  </si>
  <si>
    <t>Eastbound Area 3 (160+00 to Harper Ramp C)</t>
  </si>
  <si>
    <t>vzoz/Vyt6Uy2PzcWq8/NhQ</t>
  </si>
  <si>
    <t>mtwgPzC7cE+ot/NuxlTjiA</t>
  </si>
  <si>
    <t>Eastbound Area 2 (90+00 to 127+00)</t>
  </si>
  <si>
    <t>2ghfa9rK6UOZFOFYIe9mtA</t>
  </si>
  <si>
    <t>47HTovBUkkaVWKIKrHwFjg</t>
  </si>
  <si>
    <t>Eastbound 801 Ramp D to Ped Culvert</t>
  </si>
  <si>
    <t>1BWna4qlokuRN3SF7oONvA</t>
  </si>
  <si>
    <t>ViwOZotXDUq34yrBXJVWRA</t>
  </si>
  <si>
    <t>EB - Erosion and Clear &amp; Grub</t>
  </si>
  <si>
    <t>8GERmWuCTUK7Mw212WY88Q</t>
  </si>
  <si>
    <t>5hSN1ggGrEOkeq6/n7Y3Pw</t>
  </si>
  <si>
    <t>Westbound Ped Culvert to 801 Ramp A</t>
  </si>
  <si>
    <t>5eYlRMyhdUibhLvIJa0grQ</t>
  </si>
  <si>
    <t>Adz+dIvT7EmI+mAVMVQAtg</t>
  </si>
  <si>
    <t>Area 3 - End of Project to Bridge (Sta. 140+00 to Sta. 196+00)</t>
  </si>
  <si>
    <t>7ZOsqyNH7UavWK+z40NC3A</t>
  </si>
  <si>
    <t>JNq7zxRXpEmvLZ1URUbccA</t>
  </si>
  <si>
    <t>WB Area 2 (Sta. 128+00 to Sta. 90+00)</t>
  </si>
  <si>
    <t>n1orUZpkekSNf3L95uHZfQ</t>
  </si>
  <si>
    <t>2DnheaabUU27JPHPICmYpA</t>
  </si>
  <si>
    <t>WB - Erosion and Clear &amp; Grub</t>
  </si>
  <si>
    <t>YCm60X0GYUmvPohLnMF9Fg</t>
  </si>
  <si>
    <t>6je74ZUGOkaxVmDFIzMQ7Q</t>
  </si>
  <si>
    <t>Utility</t>
  </si>
  <si>
    <t>7n6EIX50BEKhP3AQmxyjNw</t>
  </si>
  <si>
    <t>GNuaU15SC0qpquPeamtc8Q</t>
  </si>
  <si>
    <t>Erosion</t>
  </si>
  <si>
    <t>GeYtvOopP06Yj3Tjv7SanQ</t>
  </si>
  <si>
    <t>WrEUMUCIRk2HapeHBdXkmQ</t>
  </si>
  <si>
    <t>Sign</t>
  </si>
  <si>
    <t>slT5UzSAfk+QSehVQAvZZg</t>
  </si>
  <si>
    <t>eD6DnXRwYkWy8wpRET+UfQ</t>
  </si>
  <si>
    <t>Lighting</t>
  </si>
  <si>
    <t>maRxCE6btkGYXc7fh9iObg</t>
  </si>
  <si>
    <t>uljh2R4RfEWjSjnHC26dhQ</t>
  </si>
  <si>
    <t>ITS</t>
  </si>
  <si>
    <t>HLI89Y9KakGslUOh/fbl1w</t>
  </si>
  <si>
    <t>qIJVFLW9Wkym2uWd+xfyYw</t>
  </si>
  <si>
    <t>Pavement Marking</t>
  </si>
  <si>
    <t>QJvo52++c0SSeMsd6pspvw</t>
  </si>
  <si>
    <t>uRuqHfdon0GM/T60AygO1Q</t>
  </si>
  <si>
    <t>Traffic Control</t>
  </si>
  <si>
    <t>i1fP+jHDHEm5vs3nQe7UAg</t>
  </si>
  <si>
    <t>P0gedC6vKkmPDQbZF2DZeA</t>
  </si>
  <si>
    <t>Noise</t>
  </si>
  <si>
    <t>1RhA1NxQckC0KEge6rtByg</t>
  </si>
  <si>
    <t>6GIw0tmDb0Ghc2stvZX7fQ</t>
  </si>
  <si>
    <t>JlQWcM8CqESbkMlwJ5NePg</t>
  </si>
  <si>
    <t>vUV9slytAkKoCaH+FI/N2A</t>
  </si>
  <si>
    <t>Structure</t>
  </si>
  <si>
    <t>RXtzy4B31UqcLrze22bvsQ</t>
  </si>
  <si>
    <t>wa1hbL2/YU+nHrPugkHOnA</t>
  </si>
  <si>
    <t>FEMA</t>
  </si>
  <si>
    <t>YjRU00pmz0KWiIZ24iiL5A</t>
  </si>
  <si>
    <t>qSi3d2ANBkWX0IH3XJzu9w</t>
  </si>
  <si>
    <t>Hydraulic</t>
  </si>
  <si>
    <t>vOgAPk+Aq0O6q41nvNU/bA</t>
  </si>
  <si>
    <t>vUOuFpJJMk+Y0o6FpTqPvw</t>
  </si>
  <si>
    <t>JzkV8Yr0n0e+LTPSxS/D7w</t>
  </si>
  <si>
    <t>2ImB/XRhPUu/4Z2KkU7RnQ</t>
  </si>
  <si>
    <t>Permit</t>
  </si>
  <si>
    <t>lxLkIXW4LU+kS40kCIh/LQ</t>
  </si>
  <si>
    <t>RSsZro+R7EGtvn+HtXGfdg</t>
  </si>
  <si>
    <t>DMS</t>
  </si>
  <si>
    <t>f0LaC12NIk2M/qd4zpfbzQ</t>
  </si>
  <si>
    <t>Eastbound Final Paving</t>
  </si>
  <si>
    <t>GYoe9Ir6oEeRJZQG7/VPNg</t>
  </si>
  <si>
    <t>y8qCj6N840eY2C1zw2l1zg</t>
  </si>
  <si>
    <t>Westbound Final Paving</t>
  </si>
  <si>
    <t>7JeEe9Ho6UKEASpzzkG7Dw</t>
  </si>
  <si>
    <t>B1dQxMuEbUGqilqrvE1dYg</t>
  </si>
  <si>
    <t>Bridge Construction (Southern Section)</t>
  </si>
  <si>
    <t>lERM3LBpF0SfsfnJeWBsrA</t>
  </si>
  <si>
    <t>yk329I1OgECwaMeZh1eLCA</t>
  </si>
  <si>
    <t>I-40 Eastbound-1</t>
  </si>
  <si>
    <t>g13IfGIxCk2y9j8rnT7iRg</t>
  </si>
  <si>
    <t>6bm6lP4/yU+wIVcLCucNLA</t>
  </si>
  <si>
    <t>Median Crossover Restoration</t>
  </si>
  <si>
    <t>4oECaeHoIEiwYGvvbmVoNQ</t>
  </si>
  <si>
    <t>i1xERN4sfEOrw9SnpHwERw</t>
  </si>
  <si>
    <t>AmgbtDvTlU69j+LvteJl8g</t>
  </si>
  <si>
    <t>vNRM84KJ302kXO9UAso6Mg</t>
  </si>
  <si>
    <t>Existing Eastbound Bridge Demo</t>
  </si>
  <si>
    <t>nuw35ffjbEal3MEh8qaIlg</t>
  </si>
  <si>
    <t>NCSRwU5atEmq5gllK8IpgQ</t>
  </si>
  <si>
    <t>RUK+zrmwMU2eEPGOSenqGw</t>
  </si>
  <si>
    <t>I-40 Eastbound</t>
  </si>
  <si>
    <t>lv6Ov084rkCSZNVNNXbfWg</t>
  </si>
  <si>
    <t>z6z0jzRV10aI05CNbfgLkw</t>
  </si>
  <si>
    <t>I-40 Westbound</t>
  </si>
  <si>
    <t>uigBCcLNG0aJB5INBZOawg</t>
  </si>
  <si>
    <t>e/rk/6SR7EKKPtiVwKzTQA</t>
  </si>
  <si>
    <t>Bridge Construction (Middle Section)</t>
  </si>
  <si>
    <t>Vd/YuurOjUy7uXswUn3/+g</t>
  </si>
  <si>
    <t>hDhy4eRii0qFgWjgCU1NIQ</t>
  </si>
  <si>
    <t>Existing Westbound Bridge Demo</t>
  </si>
  <si>
    <t>vyk1UZlbM02qDa+7HTy77Q</t>
  </si>
  <si>
    <t>s+PYY0t1kEiiFZyKHNfHaA</t>
  </si>
  <si>
    <t>I-40 Eastbound (old empty)</t>
  </si>
  <si>
    <t>xHEEXVvR+UKvGIjqBtk4gA</t>
  </si>
  <si>
    <t>mq98oGlNq0GLjXC1Df4HTQ</t>
  </si>
  <si>
    <t>Median Crossover Construction</t>
  </si>
  <si>
    <t>hjoq009HYk2N2jTpdgI4Nw</t>
  </si>
  <si>
    <t>/r0oFHYerEineJyEFNa9TA</t>
  </si>
  <si>
    <t>Bridge Construction (Northern Section)</t>
  </si>
  <si>
    <t>4+ta8u2eJkC5MYCJyuc2HA</t>
  </si>
  <si>
    <t>PTTeXdd2l02oql6Vezomow</t>
  </si>
  <si>
    <t>/VDE/Tjwb02tROYymRVOyw</t>
  </si>
  <si>
    <t>/KNYPHBRsE6HvSEoVMHOHQ</t>
  </si>
  <si>
    <t>Eastbound Area 1A Exterior Widening (Start to 801 Ramp D)</t>
  </si>
  <si>
    <t>AltnpEFDIkmdUpnwzvjDWA</t>
  </si>
  <si>
    <t>B7HHCqhTgkGmeEwq8Gr6Ng</t>
  </si>
  <si>
    <t>Westbound Exterior Wideing</t>
  </si>
  <si>
    <t>je0rkr3s1ki6OBlQb9OIyw</t>
  </si>
  <si>
    <t>3L7xR9iQd0um8Fm23NvY1Q</t>
  </si>
  <si>
    <t>Temporary Barrier Wall Phase 1</t>
  </si>
  <si>
    <t>P7v4uGTRTU6EfJyz+B24RQ</t>
  </si>
  <si>
    <t>b01mg2cz7kqI7UzUgGbPIA</t>
  </si>
  <si>
    <t>Right of Way Acquisition Activities</t>
  </si>
  <si>
    <t>HujR+lB400uxMco2mLZIzQ</t>
  </si>
  <si>
    <t>3RGWCdub30eoTijk7595uA</t>
  </si>
  <si>
    <t>Design and Permitting Activities</t>
  </si>
  <si>
    <t>2fPFeRrz0UalzjAm3YAYZA</t>
  </si>
  <si>
    <t>jlzmEAyDyEeP8P5DtJVRfQ</t>
  </si>
  <si>
    <t>Project Completion and Demobilization</t>
  </si>
  <si>
    <t>I9HgbdAPLUa1TnI1aRjIlA</t>
  </si>
  <si>
    <t>bXC9jpnNZ0qsxB5VEX8VYg</t>
  </si>
  <si>
    <t>Phase 5 (Final Paving)</t>
  </si>
  <si>
    <t>EBt/eWSZOUydSc7a61gUtA</t>
  </si>
  <si>
    <t>BF0YZ0sLoEK3voSZcWme+A</t>
  </si>
  <si>
    <t>Phase 4 (Median Barrier Work At Crossovers)</t>
  </si>
  <si>
    <t>JC7CYE6ZIka9RTw+vx6OLg</t>
  </si>
  <si>
    <t>gdOm6uR1EkazS7uQPQcndg</t>
  </si>
  <si>
    <t>Phase 3 (Median Construction &amp; Bridge Southern Section)</t>
  </si>
  <si>
    <t>NvZbdXD8akCHjsIujFqCSg</t>
  </si>
  <si>
    <t>IVE9mafqLkWzBPqWBACMhw</t>
  </si>
  <si>
    <t>Phase 2 (Exterior Widening, Crossover Construction &amp; Bridge Middle Section)</t>
  </si>
  <si>
    <t>ayjrPIc4DU6owNy51EWvVA</t>
  </si>
  <si>
    <t>wxGKDpKVGUe73AcvZ1Tg7g</t>
  </si>
  <si>
    <t>Phase 1A (Bridge Northern Section)</t>
  </si>
  <si>
    <t>O3gwErW5l0WFsj08HGNGDw</t>
  </si>
  <si>
    <t>QWQ3ee5pOESlWMuhiuIPMw</t>
  </si>
  <si>
    <t>Phase 1 (Exterior Widening &amp; Ramp Tie-In)</t>
  </si>
  <si>
    <t>07/ll0uNyE+mjAMGFOX8Mg</t>
  </si>
  <si>
    <t>vM98GQYhkUSofcJGRjUKAA</t>
  </si>
  <si>
    <t>kj5U3NVmaUKgfKqWwrMzcg</t>
  </si>
  <si>
    <t>Fabrication/Delivery</t>
  </si>
  <si>
    <t>Y2Xq/+ICRkmIwUjOKnC0+w</t>
  </si>
  <si>
    <t>4j2tPKL/4EuOW6fl6TQibA</t>
  </si>
  <si>
    <t>Txa+LQzuSEekit1VZgbJ3g</t>
  </si>
  <si>
    <t>QabfOok5S0mJUrWGguqGJQ</t>
  </si>
  <si>
    <t>uw+sAzlDjUWJS/F6mdAJlg</t>
  </si>
  <si>
    <t>jUKppUFYPkS6ey39+0wwyg</t>
  </si>
  <si>
    <t>Design Activities</t>
  </si>
  <si>
    <t>sw2djW++S0GeXRugrSy53w</t>
  </si>
  <si>
    <t>Q2XuFomHoUCMhDLq8ear3w</t>
  </si>
  <si>
    <t>Ramp Closing Milestones</t>
  </si>
  <si>
    <t>QUqTzp6kNU6Qfa1YhrlR+w</t>
  </si>
  <si>
    <t>0PkOIeDKHUukYD+GtWfkUA</t>
  </si>
  <si>
    <t>Phasing Milestones</t>
  </si>
  <si>
    <t>tEIMfpEF6EOJkWweiJyCGQ</t>
  </si>
  <si>
    <t>7VUEsJjlDU+45ydYaJWuag</t>
  </si>
  <si>
    <t>Design Milestones</t>
  </si>
  <si>
    <t>ddaFOkg3mEqJy9Jm7fec+A</t>
  </si>
  <si>
    <t>OEBWHDSIa06I31UPDJ7irw</t>
  </si>
  <si>
    <t>QKXcMLdu8k+C8jA13d849Q</t>
  </si>
  <si>
    <t>StYKYdoi/EiUcNYChsLH7w</t>
  </si>
  <si>
    <t>Preconstruction</t>
  </si>
  <si>
    <t>SLei0SFkEE29kSTdyO5VDA</t>
  </si>
  <si>
    <t>w/GxiCiv8kaQMJ0YOONimg</t>
  </si>
  <si>
    <t>je2zP66kPEuwgSAoQjGXwg</t>
  </si>
  <si>
    <t>VKBcNmKLHEGvpRyw0QJo6w</t>
  </si>
  <si>
    <t>Bid and Award</t>
  </si>
  <si>
    <t>DFyh3oVuv0ebPJlzN9/juw</t>
  </si>
  <si>
    <t>2iK1oW8PgEmnC9Atyn21eg</t>
  </si>
  <si>
    <t>1074_I-40 Widening from NC 801 to SR 1101 - Update July 2020 (DD_8/1/20)</t>
  </si>
  <si>
    <t>5Gm8JGn/CEW38rOldXQjLQ</t>
  </si>
  <si>
    <t>Median Construction</t>
  </si>
  <si>
    <t>kZwMNMGTB0+2mVoXTEroFA</t>
  </si>
  <si>
    <t>Crossover Area 2 (Sta. 108+50 to 128+00)</t>
  </si>
  <si>
    <t>ijf/BpsZVEO/0YVIVVMXxg</t>
  </si>
  <si>
    <t>Crossover Area 3 (Sta. 140+00 to 157+00)</t>
  </si>
  <si>
    <t>vinUuQsx5UyJ2INdV8inzw</t>
  </si>
  <si>
    <t>Construction Milestones</t>
  </si>
  <si>
    <t>iC3YOkSweUmt3nqMQ9Pmsg</t>
  </si>
  <si>
    <t>t2N2yKBxgUurhDDeiD9FzA</t>
  </si>
  <si>
    <t>SmMuVe7b1ECDifK41/Nbjw</t>
  </si>
  <si>
    <t>Westbound Area 1A Exterior Widening (801 Ramp A to Start)</t>
  </si>
  <si>
    <t>0hdwnOzxDEy8VDVT/ho3WA</t>
  </si>
  <si>
    <t>Westbound 801 Gore Widening</t>
  </si>
  <si>
    <t>jENUXrN+3UOLF64nduPrfA</t>
  </si>
  <si>
    <t>Westbound 801 Ramp B to 35+00</t>
  </si>
  <si>
    <t>VKW8cpwdLUar+C9sch2RnQ</t>
  </si>
  <si>
    <t>Westbound 41+00 to 10+50</t>
  </si>
  <si>
    <t>OXkp/cG/dE6EyIcdsS/LoQ</t>
  </si>
  <si>
    <t>Eastbound 35+00 to 801 Ramp C</t>
  </si>
  <si>
    <t>wHxJeo6vGEeHaAazJGr5Aw</t>
  </si>
  <si>
    <t>Eastbound 801 Gore Widening</t>
  </si>
  <si>
    <t>FwNDUF2D60mgvUkhv2nKaQ</t>
  </si>
  <si>
    <t>Eastbound 10+50 to 40+00</t>
  </si>
  <si>
    <t>ZwrBOSt8hE6g1pCNgihsDg</t>
  </si>
  <si>
    <t>Eastbound Harper Gore</t>
  </si>
  <si>
    <t>YzdvenXzD0ChQn5CySxpjQ</t>
  </si>
  <si>
    <t>Eastbound Area 3 Exterior Widening</t>
  </si>
  <si>
    <t>6UGYSEWnwEKR/L4tlSJkQA</t>
  </si>
  <si>
    <t>Westbound Area 3 Exterior Widening</t>
  </si>
  <si>
    <t>Sic10Mbs50+hCvbr/umziQ</t>
  </si>
  <si>
    <t>Westbound Harper Gore Widening</t>
  </si>
  <si>
    <t>KTrrG2vk8Um1gEx2vQYmBw</t>
  </si>
  <si>
    <t>Westbound Y1RPB NW-7 Widening</t>
  </si>
  <si>
    <t>FuMvh/52GUqVV6xz940OxA</t>
  </si>
  <si>
    <t>Westbound Noisewall 7</t>
  </si>
  <si>
    <t>1owao+DsMU6ffIZu4cuv8A</t>
  </si>
  <si>
    <t>Eastbound Area 2 and 3 Slope Grading</t>
  </si>
  <si>
    <t>xDiRstUl6UizuTqfCU+KiA</t>
  </si>
  <si>
    <t>Westbound Noisewall 1</t>
  </si>
  <si>
    <t>y65aVky4HECkcH8w1Y2Qlw</t>
  </si>
  <si>
    <t>Eastbound Area 3 Mill and Wedge</t>
  </si>
  <si>
    <t>VVZCbRjA106VKcULVvU4Vw</t>
  </si>
  <si>
    <t>Westbound Area 1B Mill and Wedge (60+00 to 90+00)</t>
  </si>
  <si>
    <t>PhzC4ggkI0yn6zMS2ILaTg</t>
  </si>
  <si>
    <t>Westbound Area 1A Mill and Wedge (10+50 to 60+00)</t>
  </si>
  <si>
    <t>qeXm4Fp5s0KovdEiNr/GMw</t>
  </si>
  <si>
    <t>Westbound Area 1B Exterior Widening (Ped Culvert to 801 Ramp A)</t>
  </si>
  <si>
    <t>akqH/lt3wkmlM210XZ3tLg</t>
  </si>
  <si>
    <t>Eastbound Area 1B Exterior Widening (801 Ramp D to Ped Culvert)</t>
  </si>
  <si>
    <t>dAm0vO0MREm1lLgaI34qog</t>
  </si>
  <si>
    <t>Eastbound Area 1B Mill and Wedge (60+00 to 90+00)</t>
  </si>
  <si>
    <t>WasCwm4ynUWEFctr0UZYhg</t>
  </si>
  <si>
    <t>Eastbound Area 1A Mill and Wedge (10+50 to 60+00)</t>
  </si>
  <si>
    <t>CrwkC1vGz0ynfWoo8LX/6g</t>
  </si>
  <si>
    <t>Median Area 1B (60+00 to 108+00)</t>
  </si>
  <si>
    <t>u6wtL5udSkmpSwNBXfdNyw</t>
  </si>
  <si>
    <t>Median East End SA#09 (183+00 to 210+00)</t>
  </si>
  <si>
    <t>4Kp6Anka0Eyeo3PunEiHgg</t>
  </si>
  <si>
    <t>Median Area 2 (117+00 to 127+00) - Old Median/Exterior</t>
  </si>
  <si>
    <t>hSO7NDpQa0C9547R1TqF4w</t>
  </si>
  <si>
    <t>io5UfBSKq02P1KDwYsWzrw</t>
  </si>
  <si>
    <t>1074 Slipform Barrier Crew</t>
  </si>
  <si>
    <t>1074_Barrier</t>
  </si>
  <si>
    <t>Dn+YeIUns0qMT26jev/hlg</t>
  </si>
  <si>
    <t>1074 Resources</t>
  </si>
  <si>
    <t>1074_Resources</t>
  </si>
  <si>
    <t>P2WEB-3530</t>
  </si>
  <si>
    <t>Median - Area 1A - STR 411-410 Jack &amp; Bore</t>
  </si>
  <si>
    <t>4Wg1jSF4QkevW7NQFjZTdg</t>
  </si>
  <si>
    <t>P2WEB-4190</t>
  </si>
  <si>
    <t>Median - Area 2- Class IV Subgrade Stabilization</t>
  </si>
  <si>
    <t>xTpXt2HfR0C4Jw1yV1LE3g</t>
  </si>
  <si>
    <t>P3B7-1180</t>
  </si>
  <si>
    <t>Bent 7 - CSL Testing and Approval - Drilled Pier 7 (NCDOT Requested)</t>
  </si>
  <si>
    <t>ZHCLNuHVJ0CQdO5yrIwO3A</t>
  </si>
  <si>
    <t>P3B4-1140</t>
  </si>
  <si>
    <t>Bent 4 - Splice Piles</t>
  </si>
  <si>
    <t>wnuvO4kTMUe+WgVIN5/Kmw</t>
  </si>
  <si>
    <t>P3MSA-1190</t>
  </si>
  <si>
    <t>Median - E. End SA - Overhead Sign H Submittal Review</t>
  </si>
  <si>
    <t>yyycFo2mZ06E6ZFsc/KuLg</t>
  </si>
  <si>
    <t>P3B6-1150</t>
  </si>
  <si>
    <t>Bent 6 - Reset Casing Blockouts In Causeway (2 EA)</t>
  </si>
  <si>
    <t>oNvYkx4TdE6tn5TsQKVa3g</t>
  </si>
  <si>
    <t>P3B7-1170</t>
  </si>
  <si>
    <t>Bent 7 - Construct Drilled Shaft 7</t>
  </si>
  <si>
    <t>kkL260S1TU66huZMnqqJyQ</t>
  </si>
  <si>
    <t>P3B7-1160</t>
  </si>
  <si>
    <t>Bent 7 - Construct Drilled Shaft 6</t>
  </si>
  <si>
    <t>vMv8nLFyG0iljRqZ8WpOhw</t>
  </si>
  <si>
    <t>P3B7-1150</t>
  </si>
  <si>
    <t>Bent 7 - Construct Drilled Shaft 5</t>
  </si>
  <si>
    <t>ct9GiQlilkyklYm9WCtWcw</t>
  </si>
  <si>
    <t>P3MSA-1180</t>
  </si>
  <si>
    <t>Median - E. End SA - Erect Overhead Sign H Structure</t>
  </si>
  <si>
    <t>gLxg/wLKKEWV4Nnb99aGvA</t>
  </si>
  <si>
    <t>P3MSA-1170</t>
  </si>
  <si>
    <t>Median - E. End SA - Removal of Existing OH Sign at Y1RPA (2 EA - Median &amp; WB)</t>
  </si>
  <si>
    <t>BOjl9JgXjkWq5KsbAiqASQ</t>
  </si>
  <si>
    <t>P3MSA-1160</t>
  </si>
  <si>
    <t>Median - E. End SA - Install Overhead Sign H Foundation - DEL</t>
  </si>
  <si>
    <t>UB7OUQnEU0WwvYft0waw4w</t>
  </si>
  <si>
    <t>P3MSA-1150</t>
  </si>
  <si>
    <t>SA#10 18"" CMP Upgrade at Sta. 196+70 RT - Jack &amp; Bore</t>
  </si>
  <si>
    <t>rrbxMPIl1kiOVuea00Vgqg</t>
  </si>
  <si>
    <t>P1AEB-4280</t>
  </si>
  <si>
    <t>EB - Area 1A - Backfill Gutter</t>
  </si>
  <si>
    <t>KRDcdvML7UChgSWytVpnQg</t>
  </si>
  <si>
    <t>P1AEB-4270</t>
  </si>
  <si>
    <t>EB - Area 1A - Install Shoulder Berm Gutter</t>
  </si>
  <si>
    <t>U6IAakQR3E2TqwvDUG+knQ</t>
  </si>
  <si>
    <t>P1AEB-4260</t>
  </si>
  <si>
    <t>EB - Area 1A - Install Shoulder Drain</t>
  </si>
  <si>
    <t>CPGgUw6I6kykLWY0OYK0rg</t>
  </si>
  <si>
    <t>P1AWB-4050</t>
  </si>
  <si>
    <t>WB - Area 1A - Backfill Gutter</t>
  </si>
  <si>
    <t>4KWdDZYPEk2KZzvRrEgwCA</t>
  </si>
  <si>
    <t>P1AWB-4030</t>
  </si>
  <si>
    <t>WB - Area 1A - Hand Pave for Curb - DEL</t>
  </si>
  <si>
    <t>Kwa42XSsRk+GfhGwyBg7TA</t>
  </si>
  <si>
    <t>P1AWB-4020</t>
  </si>
  <si>
    <t>WB - Area 1A - Install CSP and Grade Ditches</t>
  </si>
  <si>
    <t>K2GdN5NnRUiAXluZlmXIvg</t>
  </si>
  <si>
    <t>P1AWB-4010</t>
  </si>
  <si>
    <t>WB - Area 1A - Jack and Bore 18"" Pipe</t>
  </si>
  <si>
    <t>07CdOxiXEEiKjDkS9gpspg</t>
  </si>
  <si>
    <t>P1AWB-4000</t>
  </si>
  <si>
    <t>WB - Area 1A - Place 8"" ABC (98% Compaction)</t>
  </si>
  <si>
    <t>o7rmnfeESU6bWnwym/LlKg</t>
  </si>
  <si>
    <t>P3EB2-1220</t>
  </si>
  <si>
    <t>Span A - Cure Diaphragm</t>
  </si>
  <si>
    <t>QAb6TxVQUE+483/gQa6+VQ</t>
  </si>
  <si>
    <t>P3EB2-1210</t>
  </si>
  <si>
    <t>Span A - Closeup Diaphragm Forms &amp; Pour - PART 2</t>
  </si>
  <si>
    <t>h6RfX9oMTkeYO+JPjWojlQ</t>
  </si>
  <si>
    <t>P3SB-1160</t>
  </si>
  <si>
    <t>Span B - Cure Diaphragm</t>
  </si>
  <si>
    <t>vCfmI0CDBE+Hp15BPP0XHA</t>
  </si>
  <si>
    <t>P3SB-1150</t>
  </si>
  <si>
    <t>Span B - Closeup Diaphragm Forms &amp; Pour - PART 2</t>
  </si>
  <si>
    <t>DxTxlJj1S02dws8xodOv4A</t>
  </si>
  <si>
    <t>P3B3-1150</t>
  </si>
  <si>
    <t>Span C - Cure Diaphragm</t>
  </si>
  <si>
    <t>SnbrNgZZX0eEkCxWa8keIQ</t>
  </si>
  <si>
    <t>P3B3-1140</t>
  </si>
  <si>
    <t>Span C - Closeup Diaphragm Forms &amp; Pour - PART 2</t>
  </si>
  <si>
    <t>ZWW/C57SqkKpIpNQZRFxHw</t>
  </si>
  <si>
    <t>P3SD-1150</t>
  </si>
  <si>
    <t>Span D - Cure Diaphragm</t>
  </si>
  <si>
    <t>q3I/Z0/eYUGV4obYX9s5YQ</t>
  </si>
  <si>
    <t>P3SD-1140</t>
  </si>
  <si>
    <t>Span D - Closeup Diaphram Forms &amp; Pour - PART 2</t>
  </si>
  <si>
    <t>i1+WrAh+m0er+U7PevyjQg</t>
  </si>
  <si>
    <t>P3B5-1160</t>
  </si>
  <si>
    <t>Span E - Cure Diaphragm</t>
  </si>
  <si>
    <t>o6iZdHNFmU+OYY6OXmLfhA</t>
  </si>
  <si>
    <t>P3B5-1150</t>
  </si>
  <si>
    <t>Span E - Closeup Diaphragm Forms &amp; Pour - PART 2</t>
  </si>
  <si>
    <t>23MJ9sZ0okeOVzBCwBP9zA</t>
  </si>
  <si>
    <t>P3SF-1160</t>
  </si>
  <si>
    <t>Span F - Cure Diaphragm</t>
  </si>
  <si>
    <t>qzZWl95xcEGXYL3AdyUXwg</t>
  </si>
  <si>
    <t>P3SF-1150</t>
  </si>
  <si>
    <t>Span F - Closeup Diaphragm Forms &amp; Pour - Part 2</t>
  </si>
  <si>
    <t>2SYuOrLFRke7o9jf4SFA9g</t>
  </si>
  <si>
    <t>P3SG-1150</t>
  </si>
  <si>
    <t>Span G - Cure Diaphragm</t>
  </si>
  <si>
    <t>8NmRJmgV9E6PsN3IYBH3PA</t>
  </si>
  <si>
    <t>P3SG-1140</t>
  </si>
  <si>
    <t>Span G - Closeup Diaphragm Forms &amp; Pour - PART 2</t>
  </si>
  <si>
    <t>Q2zKknY60k2K5AVGlEJEEA</t>
  </si>
  <si>
    <t>P3SH-1150</t>
  </si>
  <si>
    <t>Span H - Cure Diapragm</t>
  </si>
  <si>
    <t>9PvVbOAA7UywrpBhxVS/yA</t>
  </si>
  <si>
    <t>P3SH-1140</t>
  </si>
  <si>
    <t>Span H - Closeup Diaphragm Forms &amp; Pour - PART 2</t>
  </si>
  <si>
    <t>k+8rqxWkekCSJurXCIANBw</t>
  </si>
  <si>
    <t>P3B7-1140</t>
  </si>
  <si>
    <t>Bent 7 - Geotech Drilling</t>
  </si>
  <si>
    <t>J2cblBEqnEmSyvu1HAEKdg</t>
  </si>
  <si>
    <t>P3B6-1140</t>
  </si>
  <si>
    <t>Bent 6 - Geotech Drilling</t>
  </si>
  <si>
    <t>CK80AWZvH0iBXxo0Rr9qzw</t>
  </si>
  <si>
    <t>P3B5-1140</t>
  </si>
  <si>
    <t>Bent 5 - Geotech Drilling</t>
  </si>
  <si>
    <t>oNkgiaKA3UqNQUTF1DRiNw</t>
  </si>
  <si>
    <t>P3CW-1070</t>
  </si>
  <si>
    <t>Bent 6 - Remove Causeway Demo Ring</t>
  </si>
  <si>
    <t>mPue5j8Fo06VKm+DyZOIww</t>
  </si>
  <si>
    <t>P3CW-1060</t>
  </si>
  <si>
    <t>Bent 5 - Remove Causeway Demo Ring</t>
  </si>
  <si>
    <t>K3n3LT0gNE6jQWVIykJbHg</t>
  </si>
  <si>
    <t>P3CW-1050</t>
  </si>
  <si>
    <t>Bent 6 - Causeway 100% &amp; Demo Ring</t>
  </si>
  <si>
    <t>OZzzoCcyA06jGGoQ47QSgA</t>
  </si>
  <si>
    <t>P3CW-1040</t>
  </si>
  <si>
    <t>Bent 5 - Install Causeway Demo Ring</t>
  </si>
  <si>
    <t>xhsnhG4ML0G8jSlrEO+iwA</t>
  </si>
  <si>
    <t>P1AWB-3430</t>
  </si>
  <si>
    <t>WB - Area 1B - Proof Roll and Finegrade</t>
  </si>
  <si>
    <t>ipKOcDmYXk296mpsOtOkmw</t>
  </si>
  <si>
    <t>P1AEB-3950</t>
  </si>
  <si>
    <t>EB - Area 1B - Cut/Fill Earthwork Restart</t>
  </si>
  <si>
    <t>xCnArVvjLU2JMV1X1tHSCw</t>
  </si>
  <si>
    <t>P1AWB-3990</t>
  </si>
  <si>
    <t>WB - Area 1A - Install Shoulder Drain</t>
  </si>
  <si>
    <t>YN86+tEH2UyUF3S7lMV3OA</t>
  </si>
  <si>
    <t>PB-2040</t>
  </si>
  <si>
    <t>Place Deck and Finish Pedestrian Bridge</t>
  </si>
  <si>
    <t>ovHqAVF/bEa8NVxfVbKh0Q</t>
  </si>
  <si>
    <t>PB-1050</t>
  </si>
  <si>
    <t>Pedestrian Bridge - EB - Settlement Monitoring</t>
  </si>
  <si>
    <t>rUtYQLAhpk2ffjgrRIXfKw</t>
  </si>
  <si>
    <t>P2WEB-4150</t>
  </si>
  <si>
    <t>Median - Area 2 - Lime Cure - DEL</t>
  </si>
  <si>
    <t>hZ1YevQ94kC/B5x1ROxSPw</t>
  </si>
  <si>
    <t>Svm6xf5xkEeQwhCaFk9lGQ</t>
  </si>
  <si>
    <t>P2WEB-4130</t>
  </si>
  <si>
    <t>Median - Area 2 - Proof Roll and Finegrade</t>
  </si>
  <si>
    <t>9ZyXWwOvL0q+cOBmkqLLqw</t>
  </si>
  <si>
    <t>+9eIAMTohkagBMHaeSuZAQ</t>
  </si>
  <si>
    <t>P2WEB-4120</t>
  </si>
  <si>
    <t>Median - Area 2 - Lime Testing - DEL</t>
  </si>
  <si>
    <t>DjqO1a7fQkqLao6bPt3ajw</t>
  </si>
  <si>
    <t>NGUPjBB3q0K5+qcn+q/4AQ</t>
  </si>
  <si>
    <t>P2WEB-4100</t>
  </si>
  <si>
    <t>Median - Area 2 - Move and Dry Stockpiled Material</t>
  </si>
  <si>
    <t>qb0u6x47Rkq978G91OzMbA</t>
  </si>
  <si>
    <t>UgVyjjomcEywTjn2kK7SXQ</t>
  </si>
  <si>
    <t>P2WEB-4110</t>
  </si>
  <si>
    <t>Median - Area 2 - Undercut and Place Embankment</t>
  </si>
  <si>
    <t>iPlmHcEJkk6z+jME5G3scQ</t>
  </si>
  <si>
    <t>nDB2Hwnd70ePDoQDxzOV/w</t>
  </si>
  <si>
    <t>P2WEB-4140</t>
  </si>
  <si>
    <t>Median - Area 2- Lime Subgrade Stabilization - DEL, add class IV</t>
  </si>
  <si>
    <t>h2wsXN5BB065WdmIFlLFNA</t>
  </si>
  <si>
    <t>oT+wNY68R0iwCfQs95pp2w</t>
  </si>
  <si>
    <t>P2WEB-4160</t>
  </si>
  <si>
    <t>Median - Area 2 - Place 8"" ABC (98% Compaction)</t>
  </si>
  <si>
    <t>izsSfkl5MkKmKR1KF/QLUg</t>
  </si>
  <si>
    <t>u49n6KNuVk6cBMJ2RSNhzA</t>
  </si>
  <si>
    <t>P2WEB-4170</t>
  </si>
  <si>
    <t>Median - Area 2 - Install Shoulder Drain</t>
  </si>
  <si>
    <t>SPdS89NWjUGY+PwJgcyjNQ</t>
  </si>
  <si>
    <t>enwSjPwTxkCFXSLz/Habjg</t>
  </si>
  <si>
    <t>P2WEB-4180</t>
  </si>
  <si>
    <t>Median - Area 2 - Install Asphalt Base and Intermediate</t>
  </si>
  <si>
    <t>a7g1yePiQU2uPlRfE6tzEg</t>
  </si>
  <si>
    <t>iOXfm6ZI5Ea/vjnWvvCUiQ</t>
  </si>
  <si>
    <t>P3MSA-1140</t>
  </si>
  <si>
    <t>Median - E. End SA - Remove Guardrail</t>
  </si>
  <si>
    <t>7wGrteuqCUuRuamA7vwj3Q</t>
  </si>
  <si>
    <t>P3MSA-1130</t>
  </si>
  <si>
    <t>Median - E. End SA - Mill and Pave EB/WB Travel Lanes (Intermediate Section)</t>
  </si>
  <si>
    <t>s0btM7RjwUSL4q8VMuYpbA</t>
  </si>
  <si>
    <t>P3MSA-1120</t>
  </si>
  <si>
    <t>Median - E. End SA - Removal Portable Concrete Barrier</t>
  </si>
  <si>
    <t>Ss3P4jO8UkigkyAbXW3R8w</t>
  </si>
  <si>
    <t>P3MSA-1110</t>
  </si>
  <si>
    <t>Median - E. End SA - Pave Surface Asphalt (Median)</t>
  </si>
  <si>
    <t>wlh2F27h9EqhEhoy34lH0A</t>
  </si>
  <si>
    <t>P3MSA-1100</t>
  </si>
  <si>
    <t>Median - E. End SA - Install Shoulder Drain</t>
  </si>
  <si>
    <t>G8NcAteCE06R0OxJLjpnEQ</t>
  </si>
  <si>
    <t>P3MSA-1090</t>
  </si>
  <si>
    <t>Median - E. End SA - Slipform Median Barrier Wall - Sta. 189+00 to 210+00 - 250' T WALL, 1,850' T1 WALL</t>
  </si>
  <si>
    <t>TyRsQ6hWE0mY6SAwaFoUow</t>
  </si>
  <si>
    <t>P3MSA-1080</t>
  </si>
  <si>
    <t>Median - E. End SA - Pave Intermediate Asphalt (Median)</t>
  </si>
  <si>
    <t>64qwJBJtSkqRrlX29UPlNw</t>
  </si>
  <si>
    <t>P3MSA-1070</t>
  </si>
  <si>
    <t>Median - E. End SA - Pave Base Asphalt (Median)</t>
  </si>
  <si>
    <t>yOdh4i8y4E+e5zoF7g3ydw</t>
  </si>
  <si>
    <t>P3MSA-1060</t>
  </si>
  <si>
    <t>Median - E. End SA - Install and Finegrade Class IV Stabilization (12in)</t>
  </si>
  <si>
    <t>HoBH45OVfEK90pli0lNPcA</t>
  </si>
  <si>
    <t>P3MSA-1050</t>
  </si>
  <si>
    <t>Median - E. End SA - Sawcut Edge of Existing EP -  NOT NEEDED</t>
  </si>
  <si>
    <t>y7uQuYytFEiLL17JvbiClA</t>
  </si>
  <si>
    <t>P3MSA-1040</t>
  </si>
  <si>
    <t>Median - E. End SA - Finegrade Subgrade</t>
  </si>
  <si>
    <t>GEaid3d+qkOfYC5kG3OO3w</t>
  </si>
  <si>
    <t>P3MSA-1020</t>
  </si>
  <si>
    <t>Median - E. End SA - Unclassified Excavation</t>
  </si>
  <si>
    <t>g0rNfrOFckWbJKSSEOkTDA</t>
  </si>
  <si>
    <t>P3MSA-1010</t>
  </si>
  <si>
    <t>Median - E. End SA - Install Drainage</t>
  </si>
  <si>
    <t>/CNDylvPP0OMvc5UwGkTvw</t>
  </si>
  <si>
    <t>P3MSA-1000</t>
  </si>
  <si>
    <t>Median - E. End SA - Set Portable Concrete Barrier</t>
  </si>
  <si>
    <t>CS_MSOA</t>
  </si>
  <si>
    <t>Dy3wqyXTm0O25MlwJaNBrg</t>
  </si>
  <si>
    <t>P2B2-TIA1.1</t>
  </si>
  <si>
    <t>Bent 2 - Pile 12 Delay</t>
  </si>
  <si>
    <t>tyHop7apOUaY//2KAe4ZwA</t>
  </si>
  <si>
    <t>P1AEB-3940</t>
  </si>
  <si>
    <t>EB - Area 2 - Remove Existing Concrete Roadway</t>
  </si>
  <si>
    <t>mspuYF+sXk2D+EgnbujvjA</t>
  </si>
  <si>
    <t>P3CW-1030</t>
  </si>
  <si>
    <t>Bent 6 - Scour Removal</t>
  </si>
  <si>
    <t>bK2+zwej4028QieS3zM2Tg</t>
  </si>
  <si>
    <t>P2B6-1140</t>
  </si>
  <si>
    <t>Bent 6 - Reset Cans and Install Causeway</t>
  </si>
  <si>
    <t>8A0meHMEPE+jjVOgk7HGrw</t>
  </si>
  <si>
    <t>P3B5-1130</t>
  </si>
  <si>
    <t>Span E - Mobilize Crawler Crane to Set Span E - DEL</t>
  </si>
  <si>
    <t>eabsG02kfkmT5NYzr6yToA</t>
  </si>
  <si>
    <t>P3SF-1140</t>
  </si>
  <si>
    <t>Span F - Mobilize Crawler Crane to Set Span F - DEL</t>
  </si>
  <si>
    <t>r3M6ETROk0iGvF0ZEik/NA</t>
  </si>
  <si>
    <t>P3D-4070</t>
  </si>
  <si>
    <t>Substructure Demo Bents 16 to 17</t>
  </si>
  <si>
    <t>vDQVPKgcHEimkpRRiltIHw</t>
  </si>
  <si>
    <t>NRhkfwH0hUycuwAEkxtKeg</t>
  </si>
  <si>
    <t>P3D-4100</t>
  </si>
  <si>
    <t>Substructure Demo Bents 18 to 19 and Endbent 2</t>
  </si>
  <si>
    <t>yhlAyRKe10W5b24ggf9/nA</t>
  </si>
  <si>
    <t>F6Jdl/e2aEGqfVztfuTr1A</t>
  </si>
  <si>
    <t>P3D-4090</t>
  </si>
  <si>
    <t>Superstructure Demo Spans 19 to 20</t>
  </si>
  <si>
    <t>z9qfVFtn50u/U6UYK1L8GQ</t>
  </si>
  <si>
    <t>y/apFLygEUmL3H+51fr0Vw</t>
  </si>
  <si>
    <t>P3D-4000</t>
  </si>
  <si>
    <t>Superstructure Demo Spans 14 to 18 (River Spans)</t>
  </si>
  <si>
    <t>FWbv3atvvUuagQRgczxaPQ</t>
  </si>
  <si>
    <t>qxtIIfiA50aqRxAPQBLTaw</t>
  </si>
  <si>
    <t>P3D-4080</t>
  </si>
  <si>
    <t>Substructure Demo Bents 6 to 10</t>
  </si>
  <si>
    <t>d1vF/nM5QEicGX0DP2I9Cg</t>
  </si>
  <si>
    <t>xNxBv+kSDkim3ekgHi47zg</t>
  </si>
  <si>
    <t>P3D-4060</t>
  </si>
  <si>
    <t>Substructure Demo Bents 1 to 5</t>
  </si>
  <si>
    <t>gCawVliwKkm6RL1IPOXVIw</t>
  </si>
  <si>
    <t>d/KmPtD3YUGQbP34HdFoVA</t>
  </si>
  <si>
    <t>P3D-4050</t>
  </si>
  <si>
    <t>Substructure Demo Endbent 1</t>
  </si>
  <si>
    <t>KP9kTTqpwE2QxLyRbx1FvA</t>
  </si>
  <si>
    <t>yZmKIEMREk+RzAaLjckFhA</t>
  </si>
  <si>
    <t>P3D-4030</t>
  </si>
  <si>
    <t>Superstructure Demo Spans 10 to 1</t>
  </si>
  <si>
    <t>59FgDxemiUKxvTLJq8kLAg</t>
  </si>
  <si>
    <t>cQ9U7soAw0GFdRTnAWqzXw</t>
  </si>
  <si>
    <t>P3D-4040</t>
  </si>
  <si>
    <t>Substructure Demo Bents 15 to 11</t>
  </si>
  <si>
    <t>1p4tshTtg0i/Wk0ByTnZfg</t>
  </si>
  <si>
    <t>hI373jDFAk2k2nW2oSX2wQ</t>
  </si>
  <si>
    <t>P3D-4020</t>
  </si>
  <si>
    <t>Superstructure Demo Span 11 (Night)</t>
  </si>
  <si>
    <t>C/2MM7ifXE2wYfW1q+BXnw</t>
  </si>
  <si>
    <t>ZuxBlkqtYUSLNX6dF+YoyA</t>
  </si>
  <si>
    <t>P3D-4010</t>
  </si>
  <si>
    <t>Superstructure Demo Spans 13 to 12</t>
  </si>
  <si>
    <t>/UxRjgduCECKksNIPGlUqg</t>
  </si>
  <si>
    <t>uxUMqWnrO0y9I174jbyNZA</t>
  </si>
  <si>
    <t>P1AWB-3980</t>
  </si>
  <si>
    <t>Completion of WB Area 1B Exterior Widening</t>
  </si>
  <si>
    <t>kqmf7qrTNkuol/hYfYPerA</t>
  </si>
  <si>
    <t>rNhN3Xrf7kKJclfkd8lg/w</t>
  </si>
  <si>
    <t>P2WEB-4090</t>
  </si>
  <si>
    <t>Median - Area 3 - Lime Cure</t>
  </si>
  <si>
    <t>vt1rQgqI9kmVXFmANwwcfA</t>
  </si>
  <si>
    <t>pvWPsqa9s0OKICinFaUtzA</t>
  </si>
  <si>
    <t>P2WEB-3410</t>
  </si>
  <si>
    <t>Median - Area 1A - Lime Cure</t>
  </si>
  <si>
    <t>P2WEB-4080</t>
  </si>
  <si>
    <t>Median - Area 1B - Lime Cure</t>
  </si>
  <si>
    <t>P2WEB-3990</t>
  </si>
  <si>
    <t>Median - Area 1B - Proof Roll and Finegrade</t>
  </si>
  <si>
    <t>2kh9sm0p2ECPSobdbhJ4bw</t>
  </si>
  <si>
    <t>P2WEB-3980</t>
  </si>
  <si>
    <t>Median - Area 1B - Lime Testing</t>
  </si>
  <si>
    <t>pys09ln450mDw/tb+xwlLA</t>
  </si>
  <si>
    <t>P2WEB-3960</t>
  </si>
  <si>
    <t>Median - Area 1B - Strip Topsoil</t>
  </si>
  <si>
    <t>iFthHW6fUk2pn1qWp2GJ5A</t>
  </si>
  <si>
    <t>P2WEB-3930</t>
  </si>
  <si>
    <t>Median - Area 1B - Remove Guardrail</t>
  </si>
  <si>
    <t>phq3X+afgUiR2ynoX8irxA</t>
  </si>
  <si>
    <t>XVKNApzLFk+k8a+6s+14pw</t>
  </si>
  <si>
    <t>P2WEB-3940</t>
  </si>
  <si>
    <t>Median - Area 1B - Demo Shoulders</t>
  </si>
  <si>
    <t>5rSi9XeLbkiOaDAYsNGgDA</t>
  </si>
  <si>
    <t>zSo6SmUSQEyKBNHtUP+vnw</t>
  </si>
  <si>
    <t>P2WEB-3970</t>
  </si>
  <si>
    <t>Median - Area 1B - Undercut and Place Embankment</t>
  </si>
  <si>
    <t>S4q/M8+kEUa9QdsnmbEm0w</t>
  </si>
  <si>
    <t>P2WEB-3950</t>
  </si>
  <si>
    <t>Median - Area 1B - Install Drainage</t>
  </si>
  <si>
    <t>1C5djodo/k+AYvgS1bHO2Q</t>
  </si>
  <si>
    <t>DaxeqcuJLkaWnoDfmfGc4Q</t>
  </si>
  <si>
    <t>P2WEB-4000</t>
  </si>
  <si>
    <t>Median - Area 1B - Lime Subgrade Stabilization</t>
  </si>
  <si>
    <t>gkwFEnafdE+3sphMEC51yg</t>
  </si>
  <si>
    <t>P2WEB-4010</t>
  </si>
  <si>
    <t>Median - Area 1B - Place 8"" ABC (98% Compaction)</t>
  </si>
  <si>
    <t>84yHJRnH+EeQY1l6rx2Wug</t>
  </si>
  <si>
    <t>P2WEB-4020</t>
  </si>
  <si>
    <t>Median - Area 1B - Install Shoulder Drain</t>
  </si>
  <si>
    <t>tF03tP3CX0u9kYus8++23A</t>
  </si>
  <si>
    <t>P2WEB-4030</t>
  </si>
  <si>
    <t>Median - Area 1B - Install Asphalt Base</t>
  </si>
  <si>
    <t>ziZ95IrV7kmBz8DYU0w8Lw</t>
  </si>
  <si>
    <t>P2WEB-4040</t>
  </si>
  <si>
    <t>Median - Area 1B - Slip Form Median Barrier Wall - 680' T WALL, 4,228' T1 WALL, 75' TRANS</t>
  </si>
  <si>
    <t>UOfGgPx7Jkyd7h09BDTMRA</t>
  </si>
  <si>
    <t>UO9PMEreWEKRjErjQZrpOw</t>
  </si>
  <si>
    <t>P2WEB-4050</t>
  </si>
  <si>
    <t>Median - Area 1B - Install Intermediate Course</t>
  </si>
  <si>
    <t>nD0nSBgXiUKxjQFN9aurZg</t>
  </si>
  <si>
    <t>D375qpUgj0arhDQXjyjjmQ</t>
  </si>
  <si>
    <t>P2WEB-4060</t>
  </si>
  <si>
    <t>Median - Area 1B - Install Surface Course</t>
  </si>
  <si>
    <t>cDwioj7moUK5EAY6AX0aGA</t>
  </si>
  <si>
    <t>X3SdAgw+2UWaIDTkzr1vVA</t>
  </si>
  <si>
    <t>P2WEB-4070</t>
  </si>
  <si>
    <t>Median - Area 1B - Remove Barrier Wall</t>
  </si>
  <si>
    <t>Zjzf2ws/kECDfy+2nu0byg</t>
  </si>
  <si>
    <t>/rwCeTRTIEWuS7EdEGY1WQ</t>
  </si>
  <si>
    <t>P1AEB-4250</t>
  </si>
  <si>
    <t>EB - Area 1A - Shoulder Strengthening Weekend - DEL</t>
  </si>
  <si>
    <t>UH3BPaePeESYYn05XiQx3Q</t>
  </si>
  <si>
    <t>P1AEB-4230</t>
  </si>
  <si>
    <t>EB - 801 Gore - Install Shoulder Drain</t>
  </si>
  <si>
    <t>4JQnb7Pa1k2xbhXe5Q8Ogw</t>
  </si>
  <si>
    <t>6k3sLIUEaUG0tcOzJneVbw</t>
  </si>
  <si>
    <t>P1AEB-4210</t>
  </si>
  <si>
    <t>EB - 801 Gore - Lime Cure</t>
  </si>
  <si>
    <t>9+IfOY5eq0C7y9tFkMOMLg</t>
  </si>
  <si>
    <t>IgLpdOpxz0WAOly+pmboYQ</t>
  </si>
  <si>
    <t>P1AEB-4190</t>
  </si>
  <si>
    <t>EB - 801 Gore - Excavate Widening Proof Roll and Finegrade</t>
  </si>
  <si>
    <t>uod1EDyW1E+cZ75+hP0YqQ</t>
  </si>
  <si>
    <t>c+obDS+gk0CcMFfOi68ZJA</t>
  </si>
  <si>
    <t>P1AEB-4180</t>
  </si>
  <si>
    <t>EB - 801 Gore - Lime Testing</t>
  </si>
  <si>
    <t>TcSqnwxqC0+I9ZXkH04pWA</t>
  </si>
  <si>
    <t>TIj0zxcHV0qTNyOXRkb+sw</t>
  </si>
  <si>
    <t>P1AEB-4200</t>
  </si>
  <si>
    <t>EB - 801 Gore - Lime Subgrade Stabilization</t>
  </si>
  <si>
    <t>DSk96d3kzUuExSzC7ocYLg</t>
  </si>
  <si>
    <t>QGDbIVOBEki8tJVAxKSVHg</t>
  </si>
  <si>
    <t>P1AEB-4220</t>
  </si>
  <si>
    <t>EB - 801 Gore - Place 8"" ABC (98% Compaction)</t>
  </si>
  <si>
    <t>f2abVGBJ/ESQSeopGXlH1g</t>
  </si>
  <si>
    <t>OFB47bR9xEq4yxy5ROOlCw</t>
  </si>
  <si>
    <t>P1AEB-4240</t>
  </si>
  <si>
    <t>EB - 801 Gore - Place 3"" Base Paving</t>
  </si>
  <si>
    <t>aSOL658yt0S9odsyOGFN1Q</t>
  </si>
  <si>
    <t>+9sIU3EyQUqLG3T3hg7GHg</t>
  </si>
  <si>
    <t>P1AEB-4170</t>
  </si>
  <si>
    <t>EB - 801 Gore - Strip Topsoil/Unsuitable and Balance Dirt</t>
  </si>
  <si>
    <t>kjtxWurd/k+Z9vAhjhKHsQ</t>
  </si>
  <si>
    <t>YXwmEpMeQUWQ4sB3shPxtQ</t>
  </si>
  <si>
    <t>P1AEB-4160</t>
  </si>
  <si>
    <t>EB - 801 Gore - Remove Existing Asphalt</t>
  </si>
  <si>
    <t>FSaF+THuxkaMUE8GiFbOMA</t>
  </si>
  <si>
    <t>CTtOZTYY+E2xcPHYUGFLYQ</t>
  </si>
  <si>
    <t>P1AEB-4150</t>
  </si>
  <si>
    <t>Q1YJC4XrdEW1/O++G5g0Jg</t>
  </si>
  <si>
    <t>3YVOmRx+BE2AM3I8WnXoZw</t>
  </si>
  <si>
    <t>P1AEB-4130</t>
  </si>
  <si>
    <t>gkDGw2zV30ieI7lXaj2Aew</t>
  </si>
  <si>
    <t>L8dOlI9ssU2ERo5JMNYE2A</t>
  </si>
  <si>
    <t>P1AEB-4110</t>
  </si>
  <si>
    <t>EB - Area 1A - Lime Cure</t>
  </si>
  <si>
    <t>t7a4e1U/30aMdg/MulOjkw</t>
  </si>
  <si>
    <t>CFMAxTopbU6K1vmQW6+OBw</t>
  </si>
  <si>
    <t>P1AEB-4090</t>
  </si>
  <si>
    <t>EB - Area 1A - Proof Roll and Finegrade</t>
  </si>
  <si>
    <t>0H2GL+n5vE+5YJKM9xzw8A</t>
  </si>
  <si>
    <t>k12nS9PhgEOSH0iPGZFqfA</t>
  </si>
  <si>
    <t>P1AEB-4080</t>
  </si>
  <si>
    <t>EB - Area 1A - Lime Testing</t>
  </si>
  <si>
    <t>6ixG5Eb6kkOc2fZy9UtMWQ</t>
  </si>
  <si>
    <t>pj9rEbHwc06llLPrh+atxQ</t>
  </si>
  <si>
    <t>P1AEB-4100</t>
  </si>
  <si>
    <t>EB - Area 1A - Lime Subgrade Stabilization</t>
  </si>
  <si>
    <t>D6FK2tw7O020lqrijo5/Ew</t>
  </si>
  <si>
    <t>GC7YAP9LvkWfoQrVSVVssw</t>
  </si>
  <si>
    <t>P1AEB-4120</t>
  </si>
  <si>
    <t>EB - Area 1A - Place 8"" ABC (98% Compaction)</t>
  </si>
  <si>
    <t>4pjRNoeJ+UmWN1mn9t5xFA</t>
  </si>
  <si>
    <t>JiO76c0uXkWb5gyRiOu4bg</t>
  </si>
  <si>
    <t>P1AEB-4140</t>
  </si>
  <si>
    <t>EB - Area 1A - Place 3"" Base Paving</t>
  </si>
  <si>
    <t>EfGgNW3yuEGB++JV7HHNQA</t>
  </si>
  <si>
    <t>l6PqF+Oe0UyQ7dT3OVWH/A</t>
  </si>
  <si>
    <t>P1AEB-4070</t>
  </si>
  <si>
    <t>EB - Area 1A - Unclassified Excavation and F/G Slopes</t>
  </si>
  <si>
    <t>pjWpoia1w0KRZ7I+Mtf7Zg</t>
  </si>
  <si>
    <t>3cBrPfUM/Ee+o1/rlhRRkA</t>
  </si>
  <si>
    <t>P1AEB-4060</t>
  </si>
  <si>
    <t>EB - Area 1A - Strip Topsoil and Unsuitable</t>
  </si>
  <si>
    <t>E+rns2NDSkq0XTXDwuChaQ</t>
  </si>
  <si>
    <t>bwEVcUqG3kK9MihJLBnyIA</t>
  </si>
  <si>
    <t>P1AEB-4050</t>
  </si>
  <si>
    <t>EB - Area 1A - Excavate and Install Class IV 10+50 to 19+00</t>
  </si>
  <si>
    <t>DNyefRwUTUq7K+tgNqCkBw</t>
  </si>
  <si>
    <t>P1AEB-4040</t>
  </si>
  <si>
    <t>EB - Area 1A - Install Guardrail</t>
  </si>
  <si>
    <t>sZHz+Kz6L0q5PgRDeeHKtQ</t>
  </si>
  <si>
    <t>XuMIMSbHZ0W6xwUSrYW6gw</t>
  </si>
  <si>
    <t>P1AEB-4030</t>
  </si>
  <si>
    <t>GwpY/f99QkiQlBI0t/qxBg</t>
  </si>
  <si>
    <t>vwzF83N1NUa8eByjq2OA8A</t>
  </si>
  <si>
    <t>P1AEB-4020</t>
  </si>
  <si>
    <t>EB - Area 1A - Hand Pave for Curb - DELETE</t>
  </si>
  <si>
    <t>lEsRl5dZ6UehhoZJ6E6B7w</t>
  </si>
  <si>
    <t>FWXKJ1UMGUi3RvsK4VZNUg</t>
  </si>
  <si>
    <t>P1AEB-4010</t>
  </si>
  <si>
    <t>EB - Area 1A - Backup Shoulder in Milling Areas</t>
  </si>
  <si>
    <t>SaFnY+TRl0qB0GD1vThSyA</t>
  </si>
  <si>
    <t>DYi5jxDQtkGjd/lr3wMkVw</t>
  </si>
  <si>
    <t>P1AEB-4000</t>
  </si>
  <si>
    <t>EB - Area 1A - Fill Shoulders and Build Slopes 15+00 to 19+00</t>
  </si>
  <si>
    <t>UdsSbKuaS0u56lnZs4d3QQ</t>
  </si>
  <si>
    <t>zsxsUyCKCUu+pExnrvWphQ</t>
  </si>
  <si>
    <t>P1AEB-3930</t>
  </si>
  <si>
    <t>EB - Area 1B - Place Expressway Gutter</t>
  </si>
  <si>
    <t>wC43ag2imkybjGFVvrO7og</t>
  </si>
  <si>
    <t>P1AEB-3910</t>
  </si>
  <si>
    <t>EB - Area 1A - Place 3"" Intermediate Asphalt and Wedging</t>
  </si>
  <si>
    <t>pJxkpfT2y0C9FDyGvtPQYw</t>
  </si>
  <si>
    <t>73IZtPROHE20EWptLmULsA</t>
  </si>
  <si>
    <t>P1AEB-3920</t>
  </si>
  <si>
    <t>EB - Area 1A - Place 1.5"" Surface Asphalt</t>
  </si>
  <si>
    <t>iHW8vJHGdk+sz7kepj2C6Q</t>
  </si>
  <si>
    <t>6wIpIETDmkSoRH5ZdDSyEw</t>
  </si>
  <si>
    <t>P1AEB-3890</t>
  </si>
  <si>
    <t>EB - Area 1A - Mill Exisiting Roadway</t>
  </si>
  <si>
    <t>mGuis8eXVEOeh4k5GpsuWQ</t>
  </si>
  <si>
    <t>xXxAimfe/E2kQmJttwqi/w</t>
  </si>
  <si>
    <t>P1AEB-3880</t>
  </si>
  <si>
    <t>EB - Area 1A - Remove Barrier</t>
  </si>
  <si>
    <t>LTN1CJs/WUe6zJLGzwZ6MA</t>
  </si>
  <si>
    <t>5XTBYRWdB0qFb7G/RVAeHg</t>
  </si>
  <si>
    <t>P1AEB-3900</t>
  </si>
  <si>
    <t>EB - Area 1A - Repair Exisiting Roadway</t>
  </si>
  <si>
    <t>dVfvtkIQGE2swI+QesdX4A</t>
  </si>
  <si>
    <t>XTstd9Lam0eHT+yoDXxp9A</t>
  </si>
  <si>
    <t>P1AEB-3870</t>
  </si>
  <si>
    <t>EB - Area 1B - Place 3"" Intermediate Asphalt</t>
  </si>
  <si>
    <t>TY53xluj8k+p2F6RXZB3aA</t>
  </si>
  <si>
    <t>P1A-1330</t>
  </si>
  <si>
    <t>EB - Area 1A - Clearing and Grubbing</t>
  </si>
  <si>
    <t>JCrRK7Qzq0iJNWzX1YDZ8w</t>
  </si>
  <si>
    <t>P1AWB-3970</t>
  </si>
  <si>
    <t>WB - Area 1A - Install Guardrail</t>
  </si>
  <si>
    <t>o8T38SPCREO87r+1aUnNaA</t>
  </si>
  <si>
    <t>P1AWB-3960</t>
  </si>
  <si>
    <t>WB - Area 1A - Install Shoulder Berm Gutter</t>
  </si>
  <si>
    <t>P1AWB-3950</t>
  </si>
  <si>
    <t>ABGyxm0eyEKdppmbDXx3ZQ</t>
  </si>
  <si>
    <t>P1AWB-3940</t>
  </si>
  <si>
    <t>WB - Area 1A - Install Class IV</t>
  </si>
  <si>
    <t>v1qgOY77d0KFaknYHtH99w</t>
  </si>
  <si>
    <t>P1AWB-3920</t>
  </si>
  <si>
    <t>WB - Area 1A - Place 3"" Intermediate Asphalt and Wedging</t>
  </si>
  <si>
    <t>Hh+aXjbO4kez3fDB6Qj9Tw</t>
  </si>
  <si>
    <t>+YGjCWtfBEG3Q+3QMPDUyQ</t>
  </si>
  <si>
    <t>P1AWB-3930</t>
  </si>
  <si>
    <t>WB - Area 1A - Place 1.5"" Surface Asphalt</t>
  </si>
  <si>
    <t>nvswc3Gg9ESge20fh+m9OQ</t>
  </si>
  <si>
    <t>cvuRSXTQjU6iDnm1whUUXQ</t>
  </si>
  <si>
    <t>P1AWB-3900</t>
  </si>
  <si>
    <t>WB - Area 1A - Mill Exisiting Roadway</t>
  </si>
  <si>
    <t>xBaQ4lXqNEyTf6Ke1Qq+2w</t>
  </si>
  <si>
    <t>RDAdx2MnT0WHH2T0TgLciw</t>
  </si>
  <si>
    <t>P1AWB-3890</t>
  </si>
  <si>
    <t>WB - Area 1A - Remove Barrier</t>
  </si>
  <si>
    <t>UBMkx26CakiRqCGiqs8V4g</t>
  </si>
  <si>
    <t>H3A1hNw/wkyaMXmlZw/efQ</t>
  </si>
  <si>
    <t>P1AWB-3910</t>
  </si>
  <si>
    <t>WB - Area 1A - Repair Exisiting Roadway</t>
  </si>
  <si>
    <t>vXZf4z0Im0aiQ8Ol+uhZrA</t>
  </si>
  <si>
    <t>yIufXFdQwES2/5x34ohF2w</t>
  </si>
  <si>
    <t>P1AWB-3880</t>
  </si>
  <si>
    <t>WB - Area 1B - Place Shoulder Berm Gutter</t>
  </si>
  <si>
    <t>tYLyx+Zpw0ethsVw9h1Waw</t>
  </si>
  <si>
    <t>P1AWB-3870</t>
  </si>
  <si>
    <t>WB - Area 1A - Excavate Widening</t>
  </si>
  <si>
    <t>1jD35RYfHEu2ruVFPmBWLQ</t>
  </si>
  <si>
    <t>P1AWB-3670</t>
  </si>
  <si>
    <t>WB - Area 1B - Install Single Face Barrier NW-1</t>
  </si>
  <si>
    <t>0pqkR4QivUSZysvOZ/mB5A</t>
  </si>
  <si>
    <t>P1AWB-3860</t>
  </si>
  <si>
    <t>WB - Area 1B - Noisewall 1 Install Backer and Seal Joints</t>
  </si>
  <si>
    <t>NkjVFcUC+kyo84Wfzxfk3Q</t>
  </si>
  <si>
    <t>eYDNUzcz80Gd8nOxOgPe6Q</t>
  </si>
  <si>
    <t>P1AWB-3850</t>
  </si>
  <si>
    <t>WB - Area 1B - Noisewall 1 Set Panels</t>
  </si>
  <si>
    <t>PjB6gksZSUqe/SQ2LOxS6g</t>
  </si>
  <si>
    <t>BGqcu904Y027BPkhV7tawA</t>
  </si>
  <si>
    <t>P1AWB-3840</t>
  </si>
  <si>
    <t>WB - Area 1B - Noisewall 1 Drill and Set Posts</t>
  </si>
  <si>
    <t>w+Yp1I/XNUuFLcNkoVYO6Q</t>
  </si>
  <si>
    <t>tlsIc5owTUyDCfs4rXSSrg</t>
  </si>
  <si>
    <t>P1AWB-3820</t>
  </si>
  <si>
    <t>P1AWB-3800</t>
  </si>
  <si>
    <t>WB - Area 1A -  Lime Cure</t>
  </si>
  <si>
    <t>P1AWB-3780</t>
  </si>
  <si>
    <t>WB - Area 1A - Build Remaining Fill and Finegrade</t>
  </si>
  <si>
    <t>P1AWB-3770</t>
  </si>
  <si>
    <t>WB - Area 1A -  Lime Testing</t>
  </si>
  <si>
    <t>P1AWB-3790</t>
  </si>
  <si>
    <t>WB - Area 1A - Lime Subgrade Stabilization</t>
  </si>
  <si>
    <t>P1AWB-3810</t>
  </si>
  <si>
    <t>P1AWB-3830</t>
  </si>
  <si>
    <t>WB - Area 1A - Place 3"" Base Paving</t>
  </si>
  <si>
    <t>P1AWB-3760</t>
  </si>
  <si>
    <t>WB - Area 1A - Unclassified Excavation and F/G Slopes</t>
  </si>
  <si>
    <t>P1AWB-3750</t>
  </si>
  <si>
    <t>3 WB - Area 1A - Strip Topsoil and Unsuitable</t>
  </si>
  <si>
    <t>P1AWB-3730</t>
  </si>
  <si>
    <t>WB - 801 Gore - Install Shoulder Drain</t>
  </si>
  <si>
    <t>v3vQGItAxU2v3E1tSqfbJA</t>
  </si>
  <si>
    <t>P1AWB-3710</t>
  </si>
  <si>
    <t>WB - 801 Gore - Lime Cure</t>
  </si>
  <si>
    <t>NF+G2vwgh0KsOVTetuJEag</t>
  </si>
  <si>
    <t>P1AWB-3690</t>
  </si>
  <si>
    <t>WB - 801 Gore - Excavate Widening Proof Roll and Finegrade</t>
  </si>
  <si>
    <t>8rwQfRjOREi6pYRx/3C2AA</t>
  </si>
  <si>
    <t>P1AWB-3680</t>
  </si>
  <si>
    <t>WB - 801 Gore - Lime Testing</t>
  </si>
  <si>
    <t>wK3TyANiN0CwLBgPKmTpTA</t>
  </si>
  <si>
    <t>P1AWB-3700</t>
  </si>
  <si>
    <t>WB - 801 Gore - Lime Subgrade Stabilization</t>
  </si>
  <si>
    <t>TQH++tc56EC7Zdobn/SBBg</t>
  </si>
  <si>
    <t>P1AWB-3720</t>
  </si>
  <si>
    <t>WB - 801 Gore - Place 8"" ABC (98% Compaction)</t>
  </si>
  <si>
    <t>z514QGv9r0KcjqAVOfaLSw</t>
  </si>
  <si>
    <t>P1AWB-3740</t>
  </si>
  <si>
    <t>WB - 801 Gore - Place 3"" Base Paving</t>
  </si>
  <si>
    <t>0fxRXhTJ6UaiAHxOsafb/w</t>
  </si>
  <si>
    <t>P1AWB-3660</t>
  </si>
  <si>
    <t>WB - 801 Gore - Balance Dirt</t>
  </si>
  <si>
    <t>P1AWB-3650</t>
  </si>
  <si>
    <t>WB - 801 Gore - Strip Topsoil and Unsuitable</t>
  </si>
  <si>
    <t>P2WEB-3920</t>
  </si>
  <si>
    <t>Crossover - Area 3 - Install Drainage Part 2 (154+00 to 160+00)</t>
  </si>
  <si>
    <t>SGRFkS3cVUCDkZCufMrdng</t>
  </si>
  <si>
    <t>P2WEB-3910</t>
  </si>
  <si>
    <t>Crossover - Area 3 - Remove WB Guardrail Part 2</t>
  </si>
  <si>
    <t>h9wxFUWOsU6PpK4bol+D1Q</t>
  </si>
  <si>
    <t>A1090</t>
  </si>
  <si>
    <t>EB - Area 3 - Shift Traffic to Outside for Crossover Construction</t>
  </si>
  <si>
    <t>PXullDlOPkiB7h8sZGiZXQ</t>
  </si>
  <si>
    <t>P1AEB-3860</t>
  </si>
  <si>
    <t>EB - Harper Gore - Pave 3in Base and Intermediate Asphalt</t>
  </si>
  <si>
    <t>P1AEB-3850</t>
  </si>
  <si>
    <t>EB - Harper Gore - Install 8in ABC and Finegrade</t>
  </si>
  <si>
    <t>P1AEB-3840</t>
  </si>
  <si>
    <t>EB - Harper Gore - Install 8in Class IV and Finegrade</t>
  </si>
  <si>
    <t>P1AEB-3830</t>
  </si>
  <si>
    <t>EB - Harper Gore - Excavate Widening</t>
  </si>
  <si>
    <t>P1AEB-3820</t>
  </si>
  <si>
    <t>EB - Harper Gore - Remove Existing Asphalt</t>
  </si>
  <si>
    <t>A1080</t>
  </si>
  <si>
    <t>WB - Area 3 - Set PCB Along Median</t>
  </si>
  <si>
    <t>8LEVmQoMX0yGTyJvXJyGXQ</t>
  </si>
  <si>
    <t>A1070</t>
  </si>
  <si>
    <t>WB - Area 3 - Remove Barrier Wall to Stockpile</t>
  </si>
  <si>
    <t>EKdgUHYu5UuOu56+V52Omg</t>
  </si>
  <si>
    <t>P1AWB-3640</t>
  </si>
  <si>
    <t>WB - Harper Gore - Pave 1.5in Surface Asphalt</t>
  </si>
  <si>
    <t>kbb8PUavz0ifeBQTB8I+rw</t>
  </si>
  <si>
    <t>P1AWB-3630</t>
  </si>
  <si>
    <t>WB - Harper Gore - Pave 3in Intermediate Asphalt</t>
  </si>
  <si>
    <t>244ZJ5nM90CG2QHxC1+FSQ</t>
  </si>
  <si>
    <t>P1AWB-3620</t>
  </si>
  <si>
    <t>WB - Harper Gore - Pave 3in Base Asphalt</t>
  </si>
  <si>
    <t>0Wq7liTbBkKloa0hvVf6xQ</t>
  </si>
  <si>
    <t>P1AWB-3550</t>
  </si>
  <si>
    <t>WB - Harper Gore - Watermain Relocation (SA)</t>
  </si>
  <si>
    <t>o/f9RVBoJU2VE9k8UWJ2TA</t>
  </si>
  <si>
    <t>A1060</t>
  </si>
  <si>
    <t>WB - Area 3 -  Shift Traffic to Outside for Crossover Construction</t>
  </si>
  <si>
    <t>NxCDQ7OYRU+KYT+tiOXaog</t>
  </si>
  <si>
    <t>P1AWB-1150</t>
  </si>
  <si>
    <t>WB - Y1RPB - Install Guardrail</t>
  </si>
  <si>
    <t>2cdrpEeCbUCH8gL0ELv0MQ</t>
  </si>
  <si>
    <t>P1AWB-3610</t>
  </si>
  <si>
    <t>WB - Y1RPB - Noisewall 7 Part 2 (Offroad) Install Backer and Seal Joints</t>
  </si>
  <si>
    <t>aqAZrbNe4UueXrWMj2fjTQ</t>
  </si>
  <si>
    <t>P1AWB-3600</t>
  </si>
  <si>
    <t>WB - Y1RPB - Noisewall 7 Part 2 (Offroad) Set Panels</t>
  </si>
  <si>
    <t>e9s7MU/M+USLWZUKtDwy8w</t>
  </si>
  <si>
    <t>P1AWB-3590</t>
  </si>
  <si>
    <t>WB - Y1RPB - Noisewall 7 Part 2 (Offroad)  Drill and Set Posts</t>
  </si>
  <si>
    <t>u3aKSb8+H0uoYxbt+SNu/A</t>
  </si>
  <si>
    <t>P1AWB-1140</t>
  </si>
  <si>
    <t>WB - Y1RPB - Place 1.5in Surface Asphalt</t>
  </si>
  <si>
    <t>U5Jcfg28skmwyoy2TT6RUw</t>
  </si>
  <si>
    <t>P1AWB-1130</t>
  </si>
  <si>
    <t>WB - Y1RPB - Place 2.5in Intermediate Asphalt</t>
  </si>
  <si>
    <t>ALnUbnGMPEmxv8txRHq03A</t>
  </si>
  <si>
    <t>P1AWB-1120</t>
  </si>
  <si>
    <t>WB - Y1RPB - Place 4in Base Asphalt</t>
  </si>
  <si>
    <t>lK1n37nlBEavLOvLAcjfBA</t>
  </si>
  <si>
    <t>P1AWB-1110</t>
  </si>
  <si>
    <t>WB - Y1RPB - Noisewall 7 Part 1 (Onroad) Install Backer and Seal Joints</t>
  </si>
  <si>
    <t>P1AWB-1100</t>
  </si>
  <si>
    <t>WB - Y1RPB - Noisewall 7 Part 1 (Onroad) Set Panels</t>
  </si>
  <si>
    <t>P1AWB-3540</t>
  </si>
  <si>
    <t>WB - Y1RPB - Install Single Face Barrier NW-7</t>
  </si>
  <si>
    <t>/Mf6mCihLU+udNsE+Nxasg</t>
  </si>
  <si>
    <t>P1AWB-3100</t>
  </si>
  <si>
    <t>WB - Y1RPB - Install 8in Class IV and Finegrade</t>
  </si>
  <si>
    <t>HrzuD2fXHESLzYY0+lfzZg</t>
  </si>
  <si>
    <t>P1AWB-3090</t>
  </si>
  <si>
    <t>WB - Y1RPB - Proofroll and Undercut</t>
  </si>
  <si>
    <t>XuubKaV280Ko+rRiIOyMiA</t>
  </si>
  <si>
    <t>P1AWB-3070</t>
  </si>
  <si>
    <t>WB - Y1RPB - Excavate Widening</t>
  </si>
  <si>
    <t>ZXyNfa9xXUqKOQMQ8NkXMQ</t>
  </si>
  <si>
    <t>P2B6-1130</t>
  </si>
  <si>
    <t>/jbcE5S4EEGVOX4GPbwTNw</t>
  </si>
  <si>
    <t>P2SF-1005</t>
  </si>
  <si>
    <t>Mobilize Crawler Crane to Set Span F</t>
  </si>
  <si>
    <t>LHPPcY7VCUGzLeRXt7oZsA</t>
  </si>
  <si>
    <t>P2SE-TIA1.1110</t>
  </si>
  <si>
    <t>(DEL) Span E - Mobilize Crawler Crane to Set Span E</t>
  </si>
  <si>
    <t>V/GtGY3BMUug2m7+Jwpokg</t>
  </si>
  <si>
    <t>P2D-TIA1.1100</t>
  </si>
  <si>
    <t>P2D-TIA1.1090</t>
  </si>
  <si>
    <t>P2D-TIA1.1080</t>
  </si>
  <si>
    <t>P2D-TIA1.1070</t>
  </si>
  <si>
    <t>P2D-TIA1.1060</t>
  </si>
  <si>
    <t>P2D-TIA1.1050</t>
  </si>
  <si>
    <t>P2D-TIA1.1040</t>
  </si>
  <si>
    <t>P2D-TIA1.1030</t>
  </si>
  <si>
    <t>P2D-TIA1.1020</t>
  </si>
  <si>
    <t>P2D-TIA1.1010</t>
  </si>
  <si>
    <t>P2D-TIA1.1000</t>
  </si>
  <si>
    <t>P1AWB-TIA2.1</t>
  </si>
  <si>
    <t>WB - Area 2 - CTABC Compaction Delay</t>
  </si>
  <si>
    <t>QTUjo+iWakyasB5XKKSQkw</t>
  </si>
  <si>
    <t>P2B7-TIA1.9</t>
  </si>
  <si>
    <t>(DEL)PH3 Bent 7 - Form/Reinforce/Pour Column 1 Ea</t>
  </si>
  <si>
    <t>JDtoAtTd6UKHudnLUbmtfA</t>
  </si>
  <si>
    <t>RnbyXmfem0m6HJ0qFQ02zQ</t>
  </si>
  <si>
    <t>P2B7-TIA1.8</t>
  </si>
  <si>
    <t>(DEL)PH3 Bent 7 - CSL Testing and Approval</t>
  </si>
  <si>
    <t>LhRBQ9yRa0qGdPRyFfL+wQ</t>
  </si>
  <si>
    <t>9usjEbDrYUiIwOBXPrQ4dA</t>
  </si>
  <si>
    <t>P2B7-TIA1.7</t>
  </si>
  <si>
    <t>(DEL)PH3 Bent 7 - Construct Drilled Shaft (1 Ea)</t>
  </si>
  <si>
    <t>uDKvydy5oEejF6wQu2lLtQ</t>
  </si>
  <si>
    <t>qGczdyLih0KQhpTC3EcK5g</t>
  </si>
  <si>
    <t>P2B6-TIA1.6</t>
  </si>
  <si>
    <t>PH3 Bent 6 - Form/Reinforce/Pour Column 1 Ea</t>
  </si>
  <si>
    <t>gJXJ5jp0NUefxkoIapOWCg</t>
  </si>
  <si>
    <t>P2B6-TIA1.5</t>
  </si>
  <si>
    <t>(DEL)PH3 Bent 6 - CSL Testing and Approval</t>
  </si>
  <si>
    <t>VRg3g6NnakSrii8Pax0UXQ</t>
  </si>
  <si>
    <t>P2B6-TIA1.4</t>
  </si>
  <si>
    <t>PH3 Bent 6 - Construct Drilled Shaft (1 Ea)</t>
  </si>
  <si>
    <t>CsgWye/ELEu4Vocn8bwv+A</t>
  </si>
  <si>
    <t>P2B5-TIA1.3</t>
  </si>
  <si>
    <t>PH3 Bent 5 - Form/Reinforce/Pour Column 1 Ea</t>
  </si>
  <si>
    <t>P2B5-TIA1.2</t>
  </si>
  <si>
    <t>(DEL)PH3 Bent 5 - CSL Testing and Approval</t>
  </si>
  <si>
    <t>P2B5-TIA1.1</t>
  </si>
  <si>
    <t>PH3 Bent 5 - Construct Drilled Shaft (1 Ea)</t>
  </si>
  <si>
    <t>A1050</t>
  </si>
  <si>
    <t>Completion of Median Construction</t>
  </si>
  <si>
    <t>LtPePaBkOEaX02Zab0+1Zw</t>
  </si>
  <si>
    <t>A1040</t>
  </si>
  <si>
    <t>Median Area 2 and 3 (Needed to End Contraflow)</t>
  </si>
  <si>
    <t>BBB5xabEVEqlAtwpss4EcA</t>
  </si>
  <si>
    <t>P2WEB-3070</t>
  </si>
  <si>
    <t>Phase 3 Traffic Shift (End Contraflow)</t>
  </si>
  <si>
    <t>C8yyIuI8wEqEcEJp7CNg7Q</t>
  </si>
  <si>
    <t>P1SH-1150</t>
  </si>
  <si>
    <t>Span H - Place Diaphragms (End Bent 2)</t>
  </si>
  <si>
    <t>tpFa+ERi3EWYYfvCX8N7Lg</t>
  </si>
  <si>
    <t>P1SH-1140</t>
  </si>
  <si>
    <t>Span H - Place Diaphragms (Bent 7)</t>
  </si>
  <si>
    <t>P1SG-1140</t>
  </si>
  <si>
    <t>Span G - Place Diaphragms (Bent 6)</t>
  </si>
  <si>
    <t>dd6wbdS93EGPkGAISuX0AA</t>
  </si>
  <si>
    <t>P1SF-1140</t>
  </si>
  <si>
    <t>Span F - Place Diaphragms (Bent 5)</t>
  </si>
  <si>
    <t>15dnSyfH2E+nPlmxdASXKg</t>
  </si>
  <si>
    <t>P1SE-1150</t>
  </si>
  <si>
    <t>Span E - Place Diaphragms (Bent 4)</t>
  </si>
  <si>
    <t>NVqEwo237kGqMrEh/72EnQ</t>
  </si>
  <si>
    <t>P1SD-1140</t>
  </si>
  <si>
    <t>Span D - Place Diaphragms (Bent 3)</t>
  </si>
  <si>
    <t>H/9d7HW6u02reeXogE0fhA</t>
  </si>
  <si>
    <t>P1SC-1140</t>
  </si>
  <si>
    <t>Span C - Place Diaphragms (Bent 2)</t>
  </si>
  <si>
    <t>HDSdzcewDEymdPltlr4iMg</t>
  </si>
  <si>
    <t>P1SB-1150</t>
  </si>
  <si>
    <t>Span B - Place Diaphragms (Bent 1)</t>
  </si>
  <si>
    <t>W+sWXbx9e0in4oymKddGjg</t>
  </si>
  <si>
    <t>P1SA-1140</t>
  </si>
  <si>
    <t>Span A - Place Diaphragms (End Bent 1)</t>
  </si>
  <si>
    <t>XlefSofe9kC+M45kQAXe8w</t>
  </si>
  <si>
    <t>P1AEB-3810</t>
  </si>
  <si>
    <t>(DEL)EB - Area 3 - Install Shoulder Drain</t>
  </si>
  <si>
    <t>6rJqQukEqEGnRoMlsi3OPg</t>
  </si>
  <si>
    <t>P1AEB-3800</t>
  </si>
  <si>
    <t>(DEL)EB - Area 3 - Lime Cure</t>
  </si>
  <si>
    <t>U9tJpLBsyUub5RLYqIZcwg</t>
  </si>
  <si>
    <t>P1AEB-3790</t>
  </si>
  <si>
    <t>(DEL)EB - Area 3 - Lime Testing</t>
  </si>
  <si>
    <t>Q1r2jevQnEiwrdLALqqYow</t>
  </si>
  <si>
    <t>P1AEB-3780</t>
  </si>
  <si>
    <t>(DEL)EB - Area 3 - Proof Roll and Finegrade</t>
  </si>
  <si>
    <t>hCSY3sxohEGW5IC8oUcFpQ</t>
  </si>
  <si>
    <t>P1AEB-3770</t>
  </si>
  <si>
    <t>(DEL)EB - Area 2 - Install Shoulder Drain</t>
  </si>
  <si>
    <t>XSOlHEVkDEOB5jkMjYwxuQ</t>
  </si>
  <si>
    <t>P1AEB-3760</t>
  </si>
  <si>
    <t>(DEL)EB - Area 2 - Proof Roll and Finegrade</t>
  </si>
  <si>
    <t>FooL7A56/0K68Ev+VdnhqA</t>
  </si>
  <si>
    <t>P1AEB-3750</t>
  </si>
  <si>
    <t>(DEL)EB - Area 2 - Lime Cure</t>
  </si>
  <si>
    <t>P1AEB-3740</t>
  </si>
  <si>
    <t>(DEL)EB - Area 2 - Lime Testing</t>
  </si>
  <si>
    <t>JcNIugg3XUyQvKVhOZvCOA</t>
  </si>
  <si>
    <t>P1AEB-3730</t>
  </si>
  <si>
    <t>EB - Area 1B - Install Shoulder Drain</t>
  </si>
  <si>
    <t>AORu3NxcGUqKUJ6tE0UbwA</t>
  </si>
  <si>
    <t>P1AEB-3720</t>
  </si>
  <si>
    <t>EB - Area 1B - Proof Roll and Finegrade</t>
  </si>
  <si>
    <t>xamYL1GP7ke6NFYtUYXwmw</t>
  </si>
  <si>
    <t>P1AEB-3710</t>
  </si>
  <si>
    <t>EB - Area 1B - Lime Cure</t>
  </si>
  <si>
    <t>s8L/4pnNF0yJXET0v9mZ4A</t>
  </si>
  <si>
    <t>P1AEB-3700</t>
  </si>
  <si>
    <t>EB - Area 1B - Lime Testing</t>
  </si>
  <si>
    <t>I5uHO1hy6U6Dh8G/1R65Ug</t>
  </si>
  <si>
    <t>P1AWB-3530</t>
  </si>
  <si>
    <t>WB - Area 1B - Install Shoulder Drain</t>
  </si>
  <si>
    <t>P1AWB-3420</t>
  </si>
  <si>
    <t>WB - Area 1B - Lime Cure</t>
  </si>
  <si>
    <t>P1AWB-3400</t>
  </si>
  <si>
    <t>P1AEB-3690</t>
  </si>
  <si>
    <t>Completion of EB Area 2 and 3 Slope Grading</t>
  </si>
  <si>
    <t>2Z42NFk52Eyk0cgD0AnlNw</t>
  </si>
  <si>
    <t>P1AWB-3390</t>
  </si>
  <si>
    <t>Completion of WB Area 3 Outside Widening</t>
  </si>
  <si>
    <t>QcAZG5LiD0qF47Mc7shlhA</t>
  </si>
  <si>
    <t>P1AWB-2180</t>
  </si>
  <si>
    <t>Completion of WB Area 2 Outside Widening</t>
  </si>
  <si>
    <t>3vgT/763MUCentR5i6uZig</t>
  </si>
  <si>
    <t>P1AEB-3500</t>
  </si>
  <si>
    <t>(DEL)Completion of EB Area 2 Outside Widening</t>
  </si>
  <si>
    <t>HqujdKQKI0awTRvtk/JGkg</t>
  </si>
  <si>
    <t>P1AEB-3410</t>
  </si>
  <si>
    <t>Completion of EB Area 1B Exterior Widening</t>
  </si>
  <si>
    <t>hGINQWF33kaXit1fN1bZvQ</t>
  </si>
  <si>
    <t>P1AWB-3290</t>
  </si>
  <si>
    <t>WB - Area 1B - Lime Testing</t>
  </si>
  <si>
    <t>P1AWB-2170</t>
  </si>
  <si>
    <t>WB - Area 2 - Lime Testing</t>
  </si>
  <si>
    <t>Oex1LepKBkS8sInYkQ+Kbg</t>
  </si>
  <si>
    <t>P1AWB-3580</t>
  </si>
  <si>
    <t>Completion of WB Area 1A Exterior Widening</t>
  </si>
  <si>
    <t>PC-1070</t>
  </si>
  <si>
    <t>Milestone: FBJV Project Substantial Completion (Rev. to 12/9/20 per EST 21, Plus 92d Pro Rata 3/11/21)</t>
  </si>
  <si>
    <t>8uohDmpUv064oj4jaIaInw</t>
  </si>
  <si>
    <t>dhMVEde3t0ag1FJAEE+yxA</t>
  </si>
  <si>
    <t>PC-1060</t>
  </si>
  <si>
    <t>Contractor's Float to FBJV Substantial Completion (LOE)</t>
  </si>
  <si>
    <t>Y7EkXCkkp0mXu0M8za35tw</t>
  </si>
  <si>
    <t>JRxvmOjaOE2GI5GZ3qwcnw</t>
  </si>
  <si>
    <t>PC-1050</t>
  </si>
  <si>
    <t>(DEL)Contractors Float to NCDOT Contract Completion Date</t>
  </si>
  <si>
    <t>P2R87WmZaUuj1KGDrDVqrw</t>
  </si>
  <si>
    <t>8eGvGjzUNUylSRCme9xYIA</t>
  </si>
  <si>
    <t>PC-1040</t>
  </si>
  <si>
    <t>(DEL)Milestone: NCDOT Contract Completion Date (11/21/21)</t>
  </si>
  <si>
    <t>fotEZhDM/kiAMICTgi3KIQ</t>
  </si>
  <si>
    <t>KgSLl0W99EamhbdbnjwcHw</t>
  </si>
  <si>
    <t>PC-1030</t>
  </si>
  <si>
    <t>FBJV Final Project Completion (Rev. to 1/19/21 per EST 21, Plus 92d Pro Rata 4/21/21)</t>
  </si>
  <si>
    <t>Y5EfRIqqX0u1DMJNj+vEBw</t>
  </si>
  <si>
    <t>l3843OQ+4kqy4JgZ2BAeYg</t>
  </si>
  <si>
    <t>PC-1010</t>
  </si>
  <si>
    <t>Perform Punchlist and Cleanup</t>
  </si>
  <si>
    <t>X63sjMTp0EuGAvLu2TNMxg</t>
  </si>
  <si>
    <t>F7LVRkgRdEST2hTYdzUIXw</t>
  </si>
  <si>
    <t>PC-1000</t>
  </si>
  <si>
    <t>Milestone: FBJV Substantial Completion Date (Rev. to 12/9/20 per EST 21, Plus 92d Pro Rata 3/11/21)</t>
  </si>
  <si>
    <t>4amdqrcl0kmwfWaVZ7jQGQ</t>
  </si>
  <si>
    <t>MS-1010</t>
  </si>
  <si>
    <t>Milestone: Start of Construction</t>
  </si>
  <si>
    <t>mgQa6s3wVE23X5uhRo5rZA</t>
  </si>
  <si>
    <t>dOZHU1b03UKwewucdQYgzg</t>
  </si>
  <si>
    <t>MS-1000</t>
  </si>
  <si>
    <t>Milestone: Date of Availability (8/28/17)</t>
  </si>
  <si>
    <t>zF0Cmhb1bEyjl7VH0hMTFQ</t>
  </si>
  <si>
    <t>4xMEvT60IEKTvKAP/Wpssw</t>
  </si>
  <si>
    <t>P2WEB-3900</t>
  </si>
  <si>
    <t>(DEL)Crossover - Area 3 - Temporary Traffic Shift EB (Sta. 150+00 to 158+00) Set PCB</t>
  </si>
  <si>
    <t>xAN5MdO4ZEeUJCV3Um37ZA</t>
  </si>
  <si>
    <t>tJIOPYtk3UWn2mOu2iWk7Q</t>
  </si>
  <si>
    <t>P2WEB-3890</t>
  </si>
  <si>
    <t>(DEL_ Crossover - Area 3 - Existing Concrete Repairs</t>
  </si>
  <si>
    <t>rw/DvrU/6EmQMF/djc3QbA</t>
  </si>
  <si>
    <t>P2WEB-3880</t>
  </si>
  <si>
    <t>Crossover - Area 3 - Wedge WB Travel Lanes</t>
  </si>
  <si>
    <t>l8dnm2k9JU6t4itWiQjLdA</t>
  </si>
  <si>
    <t>8AAzFwBN/EKyqRNp50dsxQ</t>
  </si>
  <si>
    <t>P2WEB-3870</t>
  </si>
  <si>
    <t>(DEL) Crossover - Area 3- Lime Cure Time</t>
  </si>
  <si>
    <t>8LyRwflv6kW4BppXn05QAg</t>
  </si>
  <si>
    <t>rUoYgDJfrEec+bJ7GZO6YA</t>
  </si>
  <si>
    <t>P2WEB-3860</t>
  </si>
  <si>
    <t>Crossover - Area 3 - Proof Roll and Finegrade</t>
  </si>
  <si>
    <t>ak0O9jymDEi2srWMPK3x1w</t>
  </si>
  <si>
    <t>ak0eY0TYJUCpjx3KCBYf0A</t>
  </si>
  <si>
    <t>P2WEB-3850</t>
  </si>
  <si>
    <t>Crossover - Area 3 - Lime Testing</t>
  </si>
  <si>
    <t>YnAf0OBAukWRg2Xqt6mFWg</t>
  </si>
  <si>
    <t>/JTloUQqokap+8nalovOlA</t>
  </si>
  <si>
    <t>P2WEB-3840</t>
  </si>
  <si>
    <t>Crossover - Area 3 - Strip Topsoil and Unsuitable</t>
  </si>
  <si>
    <t>eP8b0aXEo0yrsdFhgY9A3w</t>
  </si>
  <si>
    <t>pPNYvd6Ze0+69Gkt+AtIEw</t>
  </si>
  <si>
    <t>P2WEB-3830</t>
  </si>
  <si>
    <t>Crossover - Area 3 - Remove WB Guardrail Part 1</t>
  </si>
  <si>
    <t>KdtK27ep/U26v0ldqZ/M5A</t>
  </si>
  <si>
    <t>bftv8ywpmEmrChBt00yf0w</t>
  </si>
  <si>
    <t>P2WEB-3820</t>
  </si>
  <si>
    <t>(DEL) Crossover - Area 3 - Mill WB Shoulder and WB Travel Lanes</t>
  </si>
  <si>
    <t>0xVE1grvfkWLRLwrer8THg</t>
  </si>
  <si>
    <t>wAsloS3toU6rVfEDjg60yQ</t>
  </si>
  <si>
    <t>P2WEB-3810</t>
  </si>
  <si>
    <t>Crossover - Area 3 - Place Embankment</t>
  </si>
  <si>
    <t>v5sTiwJxgk2kNaVZS8c+9w</t>
  </si>
  <si>
    <t>WyszlIoB40eYz05QG6c7xQ</t>
  </si>
  <si>
    <t>P2WEB-3800</t>
  </si>
  <si>
    <t>Crossover - Area 3 - Install Drainage Part 1 (147+00 to 154+00)</t>
  </si>
  <si>
    <t>lOm1nH+hN0i8w82VJAOxqw</t>
  </si>
  <si>
    <t>TKy8jwsahkuGYNmChH43VA</t>
  </si>
  <si>
    <t>P2WEB-3790</t>
  </si>
  <si>
    <t>Crossover - Area 3 - Class IV Subgrade Stabilization</t>
  </si>
  <si>
    <t>pJFzR2PY7U+CJ/XLAizwGQ</t>
  </si>
  <si>
    <t>/xGljOMxy0CzEHtAtQDlyg</t>
  </si>
  <si>
    <t>P2WEB-3780</t>
  </si>
  <si>
    <t>Crossover - Area 3 - Place 8"" ABC (98% Compaction)</t>
  </si>
  <si>
    <t>EoC7DIzmJkyhO/2CyoBRig</t>
  </si>
  <si>
    <t>h4rndhOOF0udR2TKrycwsQ</t>
  </si>
  <si>
    <t>P2WEB-3770</t>
  </si>
  <si>
    <t>Crossover - Area 3 - Install Shoulder Drain</t>
  </si>
  <si>
    <t>V38mM7nza0GY3B3+rxYZew</t>
  </si>
  <si>
    <t>P6dRoPlkz06hASnxT9P9Nw</t>
  </si>
  <si>
    <t>P2WEB-3760</t>
  </si>
  <si>
    <t>Crossover - Area 3 - Install Asphalt Base</t>
  </si>
  <si>
    <t>BONZbLlbe0afzkE6bD30xA</t>
  </si>
  <si>
    <t>f2YhgvIN/kukiKpiECL8mA</t>
  </si>
  <si>
    <t>P2WEB-3750</t>
  </si>
  <si>
    <t>Crossover - Area 3 - Install Intermediate Course</t>
  </si>
  <si>
    <t>R4srAcRYXE6qNZZ1IYYsbg</t>
  </si>
  <si>
    <t>IxVQBKWIrU+yPQtYHcwjHA</t>
  </si>
  <si>
    <t>P2WEB-3740</t>
  </si>
  <si>
    <t>Crossover - Area 3 - Install Surface Course</t>
  </si>
  <si>
    <t>zZ0Q8pk1oUKR7pPuNl/zKw</t>
  </si>
  <si>
    <t>tZ+hKy/vykORh93icUZ1fg</t>
  </si>
  <si>
    <t>P2WEB-3730</t>
  </si>
  <si>
    <t>Crossover - Area 2 - Temporary Traffic Shift EB (Sta. 95+00 to 115+00) Set PCB</t>
  </si>
  <si>
    <t>P2WEB-3720</t>
  </si>
  <si>
    <t>Crossover - Area 2 - Mill and Existing Concrete Repairs</t>
  </si>
  <si>
    <t>P2WEB-3440</t>
  </si>
  <si>
    <t>Crossover - Area 2 - Wedge WB Travel Lanes</t>
  </si>
  <si>
    <t>P2WEB-3710</t>
  </si>
  <si>
    <t>Crossover - Area 2 - Lime Cure Time</t>
  </si>
  <si>
    <t>P2WEB-3700</t>
  </si>
  <si>
    <t>Crossover - Area 2 - Proof Roll and Finegrade</t>
  </si>
  <si>
    <t>AEuDTkVT2E6MImx/1UF1rQ</t>
  </si>
  <si>
    <t>P2WEB-3690</t>
  </si>
  <si>
    <t>Crossover - Area 2 - Lime Testing</t>
  </si>
  <si>
    <t>RNJyFrL+IkWxoKCSf5wqAw</t>
  </si>
  <si>
    <t>P2WEB-3680</t>
  </si>
  <si>
    <t>Crossover - Area 2 - Strip Topsoil and Unsuitable</t>
  </si>
  <si>
    <t>nRzxbaOQx0mGqtVKFti5IA</t>
  </si>
  <si>
    <t>P2WEB-3520</t>
  </si>
  <si>
    <t>Crossover - Area 2 - Remove WB Guardrail</t>
  </si>
  <si>
    <t>7cArsLOcUkul8GpHMPHlBQ</t>
  </si>
  <si>
    <t>P2WEB-3510</t>
  </si>
  <si>
    <t>Crossover - Area 2 - Mill WB Shoulder</t>
  </si>
  <si>
    <t>9anHuuQkM068CVnW6Gk2Hw</t>
  </si>
  <si>
    <t>P2WEB-3500</t>
  </si>
  <si>
    <t>Crossover - Area 2 - Place Embankment</t>
  </si>
  <si>
    <t>Nd0Vlu8FUkyiV/n/0ttG4A</t>
  </si>
  <si>
    <t>P2WEB-3490</t>
  </si>
  <si>
    <t>Crossover - Area 2 - Install Drainage</t>
  </si>
  <si>
    <t>ETesBVP8xUaBFVEzD1lvfw</t>
  </si>
  <si>
    <t>P2WEB-3480</t>
  </si>
  <si>
    <t>Crossover - Area 2 - Class IV Subgrade Stabilization</t>
  </si>
  <si>
    <t>lgSJc/PPvEGNRjUU89ACSw</t>
  </si>
  <si>
    <t>P2WEB-3470</t>
  </si>
  <si>
    <t>Crossover - Area 2 - Place 8"" ABC (98% Compaction)</t>
  </si>
  <si>
    <t>yI6j4mNYEk2W/BH14TFt7Q</t>
  </si>
  <si>
    <t>P2WEB-3460</t>
  </si>
  <si>
    <t>Crossover - Area 2 - Install Shoulder Drain</t>
  </si>
  <si>
    <t>FBI6LPDlfUip9LtCwOHibw</t>
  </si>
  <si>
    <t>P2WEB-3450</t>
  </si>
  <si>
    <t>Crossover - Area 2 - Install Asphalt Base</t>
  </si>
  <si>
    <t>qSKTwBtLekae4vUi+IS0SA</t>
  </si>
  <si>
    <t>P2WEB-3430</t>
  </si>
  <si>
    <t>Crossover - Area 2 - Install Intermediate Course</t>
  </si>
  <si>
    <t>BoAnltDB40+buxRLgjBsRQ</t>
  </si>
  <si>
    <t>P2WEB-3420</t>
  </si>
  <si>
    <t>Crossover - Area 2 - Install Surface Course</t>
  </si>
  <si>
    <t>zOgYpzUHxkOMaFMhNE97Uw</t>
  </si>
  <si>
    <t>P1AWB-3280</t>
  </si>
  <si>
    <t>WB - Phase 1 Intermediate Traffic Shift (Areas 2 and 3)</t>
  </si>
  <si>
    <t>U6ln0aIbcESM4FmaikrcmQ</t>
  </si>
  <si>
    <t>P2WEB-3400</t>
  </si>
  <si>
    <t>Median - Area 1A - Proof Roll and Finegrade</t>
  </si>
  <si>
    <t>P2WEB-3390</t>
  </si>
  <si>
    <t>Median - Area 1A - Lime Testing</t>
  </si>
  <si>
    <t>P2WEB-3380</t>
  </si>
  <si>
    <t>Median - Area 1A - Strip Topsoil</t>
  </si>
  <si>
    <t>P2WEB-3370</t>
  </si>
  <si>
    <t>(DEL)Median - Area 2 - Proof Roll and Finegrade</t>
  </si>
  <si>
    <t>P2WEB-3360</t>
  </si>
  <si>
    <t>(DEL)Median - Area 2 - Lime Testing</t>
  </si>
  <si>
    <t>P2WEB-3350</t>
  </si>
  <si>
    <t>(DEL)Median - Area 2 - Strip Topsoil</t>
  </si>
  <si>
    <t>P2WEB-1200</t>
  </si>
  <si>
    <t>Median - Area 3 - Lime Testing</t>
  </si>
  <si>
    <t>7dg5aVR27Ei2dCv9wa25+w</t>
  </si>
  <si>
    <t>P2WEB-1190</t>
  </si>
  <si>
    <t>Median - Area 3 - Proof Roll and Finegrade</t>
  </si>
  <si>
    <t>p4e4/68kiEiwK6MS3f8Vcg</t>
  </si>
  <si>
    <t>P2WEB-1080</t>
  </si>
  <si>
    <t>Median - Area 3 - Strip Topsoil</t>
  </si>
  <si>
    <t>x+aZIHg9WkGYG/Mxesws0A</t>
  </si>
  <si>
    <t>MS-3000</t>
  </si>
  <si>
    <t>Milestone: Start of Phase 1 (WB Exterior Shoulder Strengthening)</t>
  </si>
  <si>
    <t>5UQb7DwnK0ehc2lTkDxkYg</t>
  </si>
  <si>
    <t>ie6K7b/v9EytjxNv4aHm1A</t>
  </si>
  <si>
    <t>MS-3010</t>
  </si>
  <si>
    <t>Milestone: End of Phase 1 (WB Exterior Shoulder Strengthening)</t>
  </si>
  <si>
    <t>JU/GuJB01UOYWuKjQXJwSw</t>
  </si>
  <si>
    <t>7TYAljw8skiTevw7eGBBag</t>
  </si>
  <si>
    <t>MS-3020</t>
  </si>
  <si>
    <t>Milestone: Start of Phase 1A (WB Exterior Widening)</t>
  </si>
  <si>
    <t>vdN513RKFECTS/ohSMX6Vw</t>
  </si>
  <si>
    <t>RsS7JKufjkWRadgGo51gsQ</t>
  </si>
  <si>
    <t>MS-3030</t>
  </si>
  <si>
    <t>Milestone: End of WB Exterior Widening Areas 2 and 3</t>
  </si>
  <si>
    <t>I1IarvJdakCCZxEOqE/JbA</t>
  </si>
  <si>
    <t>wFkrr9BOGkKWcqa/gPtuxQ</t>
  </si>
  <si>
    <t>MS-3040</t>
  </si>
  <si>
    <t>Milestone: Start of Phase 2 (Bridge Middle Quarter)</t>
  </si>
  <si>
    <t>qbN7tHNKEUuPXgKDy6TNRA</t>
  </si>
  <si>
    <t>3Verm9j6Z0C/Kp3wAnyh3Q</t>
  </si>
  <si>
    <t>MS-3050</t>
  </si>
  <si>
    <t>Milestone: End of Phase 2 (Bridge Middle Quarter)</t>
  </si>
  <si>
    <t>o5FXil6JikyXTkCookCfcw</t>
  </si>
  <si>
    <t>XiEEnkt0lUauRr76NLYmtA</t>
  </si>
  <si>
    <t>MS-3060</t>
  </si>
  <si>
    <t>Milestone: Start of Median</t>
  </si>
  <si>
    <t>9BFtYyZeuk+cbvrs0ebipg</t>
  </si>
  <si>
    <t>frirVtCmx0m/tkRE6RKHrQ</t>
  </si>
  <si>
    <t>MS-3070</t>
  </si>
  <si>
    <t>Milestone: End of Median</t>
  </si>
  <si>
    <t>JJFPZl8jBkCW1IoZUoUdPg</t>
  </si>
  <si>
    <t>/cNAiVByCE2/N9zldN75Cw</t>
  </si>
  <si>
    <t>MS-3080</t>
  </si>
  <si>
    <t>Milestone: Start of Phase 4 (Final Configuration and Median Work)</t>
  </si>
  <si>
    <t>uKdZKwVQUUO7MtaKapqs+Q</t>
  </si>
  <si>
    <t>5TkST9KtE0O0HJ/moLkUCw</t>
  </si>
  <si>
    <t>MS-3090</t>
  </si>
  <si>
    <t>Milestone: End of Phase 4 (Final Configuration and Median Work)</t>
  </si>
  <si>
    <t>Njs6zDgpNkeQdZ6KBr6rMw</t>
  </si>
  <si>
    <t>7OyCfhXyY0iuuO7t8CcDpg</t>
  </si>
  <si>
    <t>MS-3100</t>
  </si>
  <si>
    <t>Milestone: Start of Phase 5 (Final Pave and Project Finishes)</t>
  </si>
  <si>
    <t>7K6l/14d+UufOfiQoZCwkg</t>
  </si>
  <si>
    <t>ZsINWXMj1kaw7Ap//2kSZw</t>
  </si>
  <si>
    <t>MS-3110</t>
  </si>
  <si>
    <t>Milestone: End of Phase 5 (Final Pave and Project Finishes)</t>
  </si>
  <si>
    <t>MjK9YbQfg0Ou1yttLU/3bw</t>
  </si>
  <si>
    <t>wKfMYflOi0K/qQ8V7FqxZg</t>
  </si>
  <si>
    <t>MS-2000</t>
  </si>
  <si>
    <t>Milestone: Start of Design and Permit Work</t>
  </si>
  <si>
    <t>F4gpUU/4oECIEdyteRad5w</t>
  </si>
  <si>
    <t>fh1kFOp0oEmBFlXrbElFHA</t>
  </si>
  <si>
    <t>MS-2010</t>
  </si>
  <si>
    <t>Milestone: End of Permit Work</t>
  </si>
  <si>
    <t>veOaqzSRRUKHuTsScBKtTg</t>
  </si>
  <si>
    <t>6hTha+TUpUq03TYJJkkGZQ</t>
  </si>
  <si>
    <t>MS-2020</t>
  </si>
  <si>
    <t>Milestone: Start of Right of Way &amp; Parcel Acquisition Work</t>
  </si>
  <si>
    <t>zX+bsELSokqFc3PM5+cVqQ</t>
  </si>
  <si>
    <t>MS-2030</t>
  </si>
  <si>
    <t>Milestone: End of Right of Way &amp; Parcel Acquisition Work</t>
  </si>
  <si>
    <t>wZYfYLWRk0esQUmY2G3LHA</t>
  </si>
  <si>
    <t>RbeuPgdeRESMovlc9FE1Aw</t>
  </si>
  <si>
    <t>MS-2015</t>
  </si>
  <si>
    <t>Milestone: End of Design Work</t>
  </si>
  <si>
    <t>Pj8syE8aEkKLFNIm+tVNRg</t>
  </si>
  <si>
    <t>oPB0Tf2NQk2Vg4cI9FEX1g</t>
  </si>
  <si>
    <t>A1000</t>
  </si>
  <si>
    <t>Submit Proposal (6/27/17)</t>
  </si>
  <si>
    <t>CS_MSO</t>
  </si>
  <si>
    <t>J1LSpuL8E0a1iwSDKkZ8yQ</t>
  </si>
  <si>
    <t>SuHIKQrEA0+Z/mIgxaW5bw</t>
  </si>
  <si>
    <t>A1010</t>
  </si>
  <si>
    <t>Technical Presentation (7/13/17)</t>
  </si>
  <si>
    <t>57QBWJWV4EiTJt6K9iBuug</t>
  </si>
  <si>
    <t>YG8t2C2JikKudRLmEL8vDA</t>
  </si>
  <si>
    <t>A1020</t>
  </si>
  <si>
    <t>NCDOT Opening of Proposal (7/18/17)</t>
  </si>
  <si>
    <t>CS_MEOA</t>
  </si>
  <si>
    <t>cdanChRly02nZGbLKLI5Dw</t>
  </si>
  <si>
    <t>H5fyzx/II0Cni6UGpQ223Q</t>
  </si>
  <si>
    <t>A1030</t>
  </si>
  <si>
    <t>Award of Project (8/3/17)</t>
  </si>
  <si>
    <t>HrYTa/N9/0e0tcUAdO4jRw</t>
  </si>
  <si>
    <t>lXQXLhOVR0Ga6rHod7wC5w</t>
  </si>
  <si>
    <t>B1000</t>
  </si>
  <si>
    <t>Mobilization to Site</t>
  </si>
  <si>
    <t>8Wx53crmrEaf3kXpztUZcg</t>
  </si>
  <si>
    <t>00tr0gz0YkedN8kZJipRoA</t>
  </si>
  <si>
    <t>B1010</t>
  </si>
  <si>
    <t>Setup Office and Staging Yard</t>
  </si>
  <si>
    <t>ydx2489OREaKAQFU8Urplw</t>
  </si>
  <si>
    <t>NFY4rgcJ0EK9oaF8wZCVMA</t>
  </si>
  <si>
    <t>B1020</t>
  </si>
  <si>
    <t>Perform Site Survey</t>
  </si>
  <si>
    <t>K5opt7JIXEiHPYWuTNd3tQ</t>
  </si>
  <si>
    <t>RiaAnp5CB0qm9OTYpwHnkQ</t>
  </si>
  <si>
    <t>B1030</t>
  </si>
  <si>
    <t>Start of Construction</t>
  </si>
  <si>
    <t>CS_ALAP</t>
  </si>
  <si>
    <t>AOCXO1PnIUO/N9jyiAfP1g</t>
  </si>
  <si>
    <t>x8SkCb98hE6kqdjGmsqCbQ</t>
  </si>
  <si>
    <t>P1WB-0910</t>
  </si>
  <si>
    <t>Phase 1 Setup WB &amp; EB MOT Signage</t>
  </si>
  <si>
    <t>gKJ7RuFkFEWYljlJ+5o+Zw</t>
  </si>
  <si>
    <t>Wvkxuwq1pUCFWbqxuw+8UA</t>
  </si>
  <si>
    <t>P1S-0900</t>
  </si>
  <si>
    <t>Start of Phase 1A Bridge Work</t>
  </si>
  <si>
    <t>qhqkO3RG60SECjBLu33x3Q</t>
  </si>
  <si>
    <t>9uP1q99EJkCFCUV3D5esTA</t>
  </si>
  <si>
    <t>P1CW-1020</t>
  </si>
  <si>
    <t>Extend Causeway for Demolition prior to Phase 2 Bent 5</t>
  </si>
  <si>
    <t>Cv5NNazPPkmRZHvV61GqFw</t>
  </si>
  <si>
    <t>mkmznUm1T0a0bZFfniga7g</t>
  </si>
  <si>
    <t>P1CW-1010</t>
  </si>
  <si>
    <t>Construct Access Roadway/Causeway for Phase 1A Bent 6</t>
  </si>
  <si>
    <t>PW+cX36tqkSjBLNPCCcKcQ</t>
  </si>
  <si>
    <t>IxSjnaSSNUGxuaQLG7WTmg</t>
  </si>
  <si>
    <t>P1EB1-1000</t>
  </si>
  <si>
    <t>EB 1  - Mob Equipment and Material</t>
  </si>
  <si>
    <t>hrDsINatc0iOthRQU5CGoQ</t>
  </si>
  <si>
    <t>HEaroy/GMUyAYTuzqDyWiA</t>
  </si>
  <si>
    <t>P1EB1-1010</t>
  </si>
  <si>
    <t>EB 1 - Drive Battered Pile</t>
  </si>
  <si>
    <t>xPZyzkJ8eEuxr1zUG6d4IQ</t>
  </si>
  <si>
    <t>DZApoj/fxUOW3Z1D9KgeRw</t>
  </si>
  <si>
    <t>P1EB1-1020</t>
  </si>
  <si>
    <t>EB 1 - Form 1 Side of Cap &amp; Walls</t>
  </si>
  <si>
    <t>kvWGXoRHykKiJ14zVbfofg</t>
  </si>
  <si>
    <t>i8XlOxP8TESMHZuwWFKtKw</t>
  </si>
  <si>
    <t>P1EB1-1040</t>
  </si>
  <si>
    <t>EB 1 - Cure Backwall</t>
  </si>
  <si>
    <t>e8SFHEret0a7BRVqxEV2JQ</t>
  </si>
  <si>
    <t>EtlJdGNSLEGMT7H8jC02Mw</t>
  </si>
  <si>
    <t>P1EB1-1030</t>
  </si>
  <si>
    <t>EB 1 - Form Remainder of Walls</t>
  </si>
  <si>
    <t>+OU8Wwvc6UOPsJma1p/c4Q</t>
  </si>
  <si>
    <t>xcZhtn1o5EiiLt9p3Y1MdA</t>
  </si>
  <si>
    <t>P1B1-1000</t>
  </si>
  <si>
    <t>Bent 1 - Drive Pipe Piles (6 Each)</t>
  </si>
  <si>
    <t>1SEnj51x5UONmQw4FglB6Q</t>
  </si>
  <si>
    <t>WUm3JobDYUesRpEdKIhgzQ</t>
  </si>
  <si>
    <t>P1B1-1020</t>
  </si>
  <si>
    <t>Bent 1 - Cure Bent Cap</t>
  </si>
  <si>
    <t>XEwxJMaLEk+UPECbRog+qw</t>
  </si>
  <si>
    <t>gtc/c8IDDkOEQu92B0rtDQ</t>
  </si>
  <si>
    <t>P1B1-1010</t>
  </si>
  <si>
    <t>Bent 1 - Form Pile Plugs &amp; 1 Side Bent Cap</t>
  </si>
  <si>
    <t>vO9q5p5qXUGqtyqMTc3ssA</t>
  </si>
  <si>
    <t>O6xFzYxdcUam0Rdh+O9eFQ</t>
  </si>
  <si>
    <t>P1B2-1000</t>
  </si>
  <si>
    <t>Bent 2 - Drive Pipe Piles (6 Each)</t>
  </si>
  <si>
    <t>qJQ0iAmKZEaWwsbcROcjAQ</t>
  </si>
  <si>
    <t>rUietCDJg0KpruP+shDnsw</t>
  </si>
  <si>
    <t>P1B2-1020</t>
  </si>
  <si>
    <t>Bent 2 - Cure Bent Cap</t>
  </si>
  <si>
    <t>XSRnwIp5w0aYJBkXwp3T+Q</t>
  </si>
  <si>
    <t>7qP865HYukqxg8WO8tEFMg</t>
  </si>
  <si>
    <t>P1B2-1010</t>
  </si>
  <si>
    <t>Bent 2 - Form Pile Plugs &amp; 1 Side Bent Cap</t>
  </si>
  <si>
    <t>KDWfk5NOYEaBrrYdd83BqQ</t>
  </si>
  <si>
    <t>ste+C7oFDECEYnsjn1EVeA</t>
  </si>
  <si>
    <t>P1B3-1000</t>
  </si>
  <si>
    <t>Bent 3 - Drive Pipe Piles (6 Each)</t>
  </si>
  <si>
    <t>Yi7PmEtmPUik1PPgfEMI8A</t>
  </si>
  <si>
    <t>XiFoasouQECM772YHeEVjg</t>
  </si>
  <si>
    <t>P1B3-1020</t>
  </si>
  <si>
    <t>Bent 3 - Cure Bent Cap</t>
  </si>
  <si>
    <t>eAm7Tuwd4kqqwPZcU/h+KA</t>
  </si>
  <si>
    <t>xLful6Qu8k63G6BVwXU4vw</t>
  </si>
  <si>
    <t>P1B3-1010</t>
  </si>
  <si>
    <t>Bent 3 - Form Pile Plugs &amp; 1 Side Bent Cap</t>
  </si>
  <si>
    <t>C8zGBoPXa0SlTxHr5G2U1A</t>
  </si>
  <si>
    <t>xq71LcaN80SHINmrkbwhsw</t>
  </si>
  <si>
    <t>P1B4-1000</t>
  </si>
  <si>
    <t>Bent 4 - Drive Pipe Piles (6 Each)</t>
  </si>
  <si>
    <t>iFmG5eOnaU+39Vyk+p2JxQ</t>
  </si>
  <si>
    <t>JbJGE19xc0+mepPCo4pMdA</t>
  </si>
  <si>
    <t>P1B4-1020</t>
  </si>
  <si>
    <t>Bent 4 - Cure Bent Cap</t>
  </si>
  <si>
    <t>0auQfqsi3kaThUUWHT6G9A</t>
  </si>
  <si>
    <t>g7h0TiAM6UuSIvnvLpglbA</t>
  </si>
  <si>
    <t>P1B4-1010</t>
  </si>
  <si>
    <t>Bent 4 - Form Pile Plugs &amp; 1 Side Bent Cap</t>
  </si>
  <si>
    <t>MNQxkrzRuEepfnOKRxek2A</t>
  </si>
  <si>
    <t>Z95RbK9NCkqijyq4x8urIg</t>
  </si>
  <si>
    <t>P1B5-1000</t>
  </si>
  <si>
    <t>Bent 5 - Construct Drilled Shafts (2 Ea)</t>
  </si>
  <si>
    <t>4Zqmoo6OtEKvuxR8SB4kEA</t>
  </si>
  <si>
    <t>31EPumxjrEqiL6Kvyr66Lg</t>
  </si>
  <si>
    <t>P1B5-1010</t>
  </si>
  <si>
    <t>Bent 5 - Form Bent Columns 2 Ea</t>
  </si>
  <si>
    <t>EpJ+dm8AjkWYPPyzarebwA</t>
  </si>
  <si>
    <t>neKA6WqLPUGjaEytLuBhJQ</t>
  </si>
  <si>
    <t>P1B5-1030</t>
  </si>
  <si>
    <t>Bent 5 - Cure Cap Body</t>
  </si>
  <si>
    <t>4pYY3UleakyFmsoieu0PNQ</t>
  </si>
  <si>
    <t>8o88lfF4l025KHDP1sTLAw</t>
  </si>
  <si>
    <t>P1B5-1020</t>
  </si>
  <si>
    <t>Bent 5 - Form Cap Body/Beamseats</t>
  </si>
  <si>
    <t>37uALg0WDEOdC6NZeyaQPw</t>
  </si>
  <si>
    <t>46/+jZE6uEOKwutufrF50A</t>
  </si>
  <si>
    <t>P1B5-1015</t>
  </si>
  <si>
    <t>Bent 5 - Cure Bent Columns</t>
  </si>
  <si>
    <t>Nps8dCwhX0OkF7b/Sb6L8A</t>
  </si>
  <si>
    <t>tYNxU4nZq0+xpBnyvS9xkA</t>
  </si>
  <si>
    <t>P1B6-1000</t>
  </si>
  <si>
    <t>Bent 6 - Construct Drilled Shafts (2 Each)</t>
  </si>
  <si>
    <t>j0OjzYSVqk2G9gdkuG/oZA</t>
  </si>
  <si>
    <t>hME6sI6IfEmnrdBW3FtSMg</t>
  </si>
  <si>
    <t>P1B6-1010</t>
  </si>
  <si>
    <t>Bent 6 - Form Bent Columns 2 Ea</t>
  </si>
  <si>
    <t>81CESMdV3EeKS+a7M5C2Mg</t>
  </si>
  <si>
    <t>quXRK+I9pkufXDy7nMx9jA</t>
  </si>
  <si>
    <t>P1B6-1030</t>
  </si>
  <si>
    <t>Bent 6 - Cure Cap Body/Strip Beamseat Formwork/Grind, Point &amp; Patch</t>
  </si>
  <si>
    <t>8o2r+wA1pU6Sjm3Cuv/d4w</t>
  </si>
  <si>
    <t>q5K/Qm2Hy02ABBYkor0jeg</t>
  </si>
  <si>
    <t>P1B6-1020</t>
  </si>
  <si>
    <t>Bent 6 - Form Cap Body/Beamseats</t>
  </si>
  <si>
    <t>xO+IawaPIU6H+FEzNtfA0w</t>
  </si>
  <si>
    <t>P1B6-1015</t>
  </si>
  <si>
    <t>Bent 6 - Cure Bent Columns</t>
  </si>
  <si>
    <t>Ziv6eO2P3EqVE03R2iI5Og</t>
  </si>
  <si>
    <t>ksr2BJa9TEOKNMcqXPgzpw</t>
  </si>
  <si>
    <t>P1B7-1000</t>
  </si>
  <si>
    <t>Bent 7 - Construct Drilled Shafts (2 Each)</t>
  </si>
  <si>
    <t>80sl554FAEu+qxnphWqLKA</t>
  </si>
  <si>
    <t>4oM0aic6OkKyzksd5ooPYQ</t>
  </si>
  <si>
    <t>P1B7-1030</t>
  </si>
  <si>
    <t>Bent 7 - Cure Bent Cap/Grind, Point &amp; Patch/Strip Beam Seat Formwork</t>
  </si>
  <si>
    <t>A3FMptImRUCXIowIlnomqQ</t>
  </si>
  <si>
    <t>A1lo1tVVlkqF6ENnqs9hTg</t>
  </si>
  <si>
    <t>P1B7-1010</t>
  </si>
  <si>
    <t>Bent 7 - Form Bent Columns 2 Ea</t>
  </si>
  <si>
    <t>5dEYlvjzdkGrICS935zobA</t>
  </si>
  <si>
    <t>XtumzlbX2UCQpWbB1dHI9A</t>
  </si>
  <si>
    <t>P1B7-1020</t>
  </si>
  <si>
    <t>Bent 7 - Form Cap Body/Beamseats</t>
  </si>
  <si>
    <t>S7gZCPPMekOWuwpqf9MuTQ</t>
  </si>
  <si>
    <t>1l68Rj9vYUq3zOQXqkSi8w</t>
  </si>
  <si>
    <t>P1B7-1015</t>
  </si>
  <si>
    <t>Bent 7 - Cure Bent Columns</t>
  </si>
  <si>
    <t>/NmF5HwA8EO1yVDr3XFGAw</t>
  </si>
  <si>
    <t>0B97yi4/7UeFkcT+2XMSOA</t>
  </si>
  <si>
    <t>P1EB2-1000</t>
  </si>
  <si>
    <t>EB 2  - Prep Site/Mob Equipment and Material</t>
  </si>
  <si>
    <t>C6g0978QwE6qzQlFArJEfQ</t>
  </si>
  <si>
    <t>xzuLl5Yfa0usnR/EwXting</t>
  </si>
  <si>
    <t>P1EB2-1010</t>
  </si>
  <si>
    <t>EB 2 - Drive Battered H-Piles</t>
  </si>
  <si>
    <t>yhksPUzAWkurXeDa88hDOA</t>
  </si>
  <si>
    <t>1d76mZNfNEmpB4Mo1RBENg</t>
  </si>
  <si>
    <t>P1EB2-1020</t>
  </si>
  <si>
    <t>EB 2 - Form 1 Side of Cap &amp; Walls</t>
  </si>
  <si>
    <t>By2E+f2uN0C+a2R4FlgOYQ</t>
  </si>
  <si>
    <t>ixiH4LiGNEuucUCoujyVpQ</t>
  </si>
  <si>
    <t>P1EB2-1040</t>
  </si>
  <si>
    <t>EB 2 - Cure Backwall</t>
  </si>
  <si>
    <t>Ent63iNGPEm5liOsdgI1Ww</t>
  </si>
  <si>
    <t>5SkepAsYDkOqL4NgVACxJA</t>
  </si>
  <si>
    <t>P1EB2-1030</t>
  </si>
  <si>
    <t>EB 2 - Form Remainder of Walls</t>
  </si>
  <si>
    <t>HseK4wUedEKlzfrfSrp3Wg</t>
  </si>
  <si>
    <t>peUt1v/8akeyNEKNBFuOfQ</t>
  </si>
  <si>
    <t>P1SA-1010</t>
  </si>
  <si>
    <t>Span A - Erect Concrete Girders &amp; Cross-Bracing (4 Each)</t>
  </si>
  <si>
    <t>zuJIYyV+AkONJdWXwvA+oA</t>
  </si>
  <si>
    <t>9quRmcZ2MkC3XkKKLZN9RA</t>
  </si>
  <si>
    <t>P1SA-1020</t>
  </si>
  <si>
    <t>Span A - Form Walkway Along Exterior North Girder</t>
  </si>
  <si>
    <t>suSa5iHFuUaadIKX/JmHWw</t>
  </si>
  <si>
    <t>HKmh4TMK5E+231RArytr2A</t>
  </si>
  <si>
    <t>P1SA-1030</t>
  </si>
  <si>
    <t>Span A - Install SIP Deck Forms</t>
  </si>
  <si>
    <t>0BBaa8qi+E2KKeHMML3awQ</t>
  </si>
  <si>
    <t>ExzOTTrP00yGs1TA/o5qmA</t>
  </si>
  <si>
    <t>P1SA-1040</t>
  </si>
  <si>
    <t>Span A - Reinforce Deck &amp; Diaphragm</t>
  </si>
  <si>
    <t>J/0oYQPvk0GAtSnRePLrag</t>
  </si>
  <si>
    <t>pib+J1NHA0i3V8K6kRz+cA</t>
  </si>
  <si>
    <t>P1SA-1050</t>
  </si>
  <si>
    <t>Span A - Place Deck</t>
  </si>
  <si>
    <t>34aj5eDQ5k+C5pkDUfq59w</t>
  </si>
  <si>
    <t>BzfA/xTFoUSrcmwUkpFO7g</t>
  </si>
  <si>
    <t>P1SA-1060</t>
  </si>
  <si>
    <t>Span A - Cure Deck</t>
  </si>
  <si>
    <t>AVciwNq+IEGaIwKiJQBguA</t>
  </si>
  <si>
    <t>tIu7fvHCqUq2z//k/nDjKw</t>
  </si>
  <si>
    <t>P1SB-1010</t>
  </si>
  <si>
    <t>Span B - Erect Concrete Girders &amp; Cross-Bracing (4 Each)</t>
  </si>
  <si>
    <t>YDBJts1CEUO2FGVwzhc18w</t>
  </si>
  <si>
    <t>3V7/VKed8USSGNkK4+HdWQ</t>
  </si>
  <si>
    <t>P1SB-1020</t>
  </si>
  <si>
    <t>Span B - Form Walkway Along Exterior North Girder</t>
  </si>
  <si>
    <t>3NdSIvm5+UqHkDYgAJgXgA</t>
  </si>
  <si>
    <t>hu7CObgZ/UODWzFtXDvvMw</t>
  </si>
  <si>
    <t>P1SB-1030</t>
  </si>
  <si>
    <t>Span B - Install SIP Deck Forms</t>
  </si>
  <si>
    <t>p/JWK/YnvUGrMlKLLpBizw</t>
  </si>
  <si>
    <t>sSmoO3X15k66nmxb+OigFg</t>
  </si>
  <si>
    <t>P1SB-1040</t>
  </si>
  <si>
    <t>Span B - Reinforce Deck &amp; Diaphragms</t>
  </si>
  <si>
    <t>6AcyhvfjR0CT7PvpvGXBtQ</t>
  </si>
  <si>
    <t>V9wTBDsRdUCkboqrKshUiA</t>
  </si>
  <si>
    <t>P1SB-1050</t>
  </si>
  <si>
    <t>Span B - Place Deck</t>
  </si>
  <si>
    <t>gmO/Lf6i7ku9hwa1fqpTbQ</t>
  </si>
  <si>
    <t>HDqR7nlqrE+ga6+FMD/ohQ</t>
  </si>
  <si>
    <t>P1SB-1060</t>
  </si>
  <si>
    <t>Span B - Cure Deck</t>
  </si>
  <si>
    <t>xLUYuGADm0CWKLi/1P/XVw</t>
  </si>
  <si>
    <t>ogPDamneRE28xOWkZzNgpA</t>
  </si>
  <si>
    <t>P1SC-1010</t>
  </si>
  <si>
    <t>Span C - Erect Concrete Girders &amp; Cross-Bracing (4 Each)</t>
  </si>
  <si>
    <t>04t7yu4dOUiF68DTBu+hKg</t>
  </si>
  <si>
    <t>44Ylg/+XTk+dV3AXR9b+0A</t>
  </si>
  <si>
    <t>P1SC-1020</t>
  </si>
  <si>
    <t>Span C - Form Walkway Along Exterior North Girder</t>
  </si>
  <si>
    <t>9vBUb4id/EuPzk5o3fsQzQ</t>
  </si>
  <si>
    <t>3bW1rEInQU6vYPnKOSS73Q</t>
  </si>
  <si>
    <t>P1SC-1030</t>
  </si>
  <si>
    <t>Span C - Install SIP Deck Forms</t>
  </si>
  <si>
    <t>NGtMqwjhuUy0owbQI7F7/g</t>
  </si>
  <si>
    <t>7bmJKlucaESQfhQoKaofig</t>
  </si>
  <si>
    <t>P1SC-1040</t>
  </si>
  <si>
    <t>Span C - Reinforce Deck &amp; Diaphgrams</t>
  </si>
  <si>
    <t>Yw9KiflKJE6fUsu+3M9Q6g</t>
  </si>
  <si>
    <t>jqvjYHEm606+4hj144p9aw</t>
  </si>
  <si>
    <t>P1SC-1050</t>
  </si>
  <si>
    <t>Span C - Place Deck</t>
  </si>
  <si>
    <t>1VhPDI+tP0iKcuBG+FAQgw</t>
  </si>
  <si>
    <t>BGBVjcImF0aSZscQkUg+Vw</t>
  </si>
  <si>
    <t>P1SC-1060</t>
  </si>
  <si>
    <t>Span C - Cure Deck</t>
  </si>
  <si>
    <t>TuiuZPGRjkK9WAma67+B+g</t>
  </si>
  <si>
    <t>OIQyNlULVkebWcBxV3gfuw</t>
  </si>
  <si>
    <t>P1SD-1010</t>
  </si>
  <si>
    <t>Span D - Erect Concrete Girders &amp; Cross-Bracing (4 Each)</t>
  </si>
  <si>
    <t>YVBRJBWdfUOoRu8h2aGe5Q</t>
  </si>
  <si>
    <t>VTQdo/4eX0CgcWtpxV4Raw</t>
  </si>
  <si>
    <t>P1SD-1020</t>
  </si>
  <si>
    <t>Span D - Form Walkway Along Exterior North Girder</t>
  </si>
  <si>
    <t>itiYfDoz1EGqzhyYJIjbXA</t>
  </si>
  <si>
    <t>KOAacz3680qifQu5OJ5J1A</t>
  </si>
  <si>
    <t>P1SD-1030</t>
  </si>
  <si>
    <t>Span D - Install SIP Deck Forms</t>
  </si>
  <si>
    <t>9ucRnrFujUumWbbdGoDHxA</t>
  </si>
  <si>
    <t>5Xc3BwlrWUSOcUgsqk/gbQ</t>
  </si>
  <si>
    <t>P1SD-1040</t>
  </si>
  <si>
    <t>Span D - Reinforce Deck &amp; Diaphgrams</t>
  </si>
  <si>
    <t>NIKjwGhwkkuFnGKWHAsJ9Q</t>
  </si>
  <si>
    <t>eiPrcoskvEKMnx9lRYGOFg</t>
  </si>
  <si>
    <t>P1SD-1050</t>
  </si>
  <si>
    <t>Span D - Place Deck</t>
  </si>
  <si>
    <t>BSulqTdBDU69NrZ+Rc9UMQ</t>
  </si>
  <si>
    <t>6Tfh0rj4pECEnpJcjI3lEA</t>
  </si>
  <si>
    <t>P1SD-1060</t>
  </si>
  <si>
    <t>Span D - Cure Deck</t>
  </si>
  <si>
    <t>1l4sLrl0ikiJgDZYv74vog</t>
  </si>
  <si>
    <t>u8ELOlttZUSiEU5CPbivWg</t>
  </si>
  <si>
    <t>P1SE-1010</t>
  </si>
  <si>
    <t>Span E - Erect Concrete Girders &amp; Cross-Bracing (4 Each)</t>
  </si>
  <si>
    <t>yV5Kyd1WOUy7ieggJmGpfg</t>
  </si>
  <si>
    <t>8hxqd7envEKBdZTnGpPipg</t>
  </si>
  <si>
    <t>P1SE-1020</t>
  </si>
  <si>
    <t>Span E - Form Walkway Along Exterior North Girder</t>
  </si>
  <si>
    <t>YNtCIhRnPkmu/tyEGUDZUA</t>
  </si>
  <si>
    <t>gI44GGDGc068D1mhaC8uzQ</t>
  </si>
  <si>
    <t>P1SE-1030</t>
  </si>
  <si>
    <t>Span E - Install SIP Deck Forms</t>
  </si>
  <si>
    <t>HjAwoUrwMEuajA9plLqa8g</t>
  </si>
  <si>
    <t>VxIiljg7f0WU7mMaFRs9aA</t>
  </si>
  <si>
    <t>P1SE-1040</t>
  </si>
  <si>
    <t>Span E - Reinforce Deck &amp; Diaphragms</t>
  </si>
  <si>
    <t>/leq0xVn70ye6y4yFPdqrw</t>
  </si>
  <si>
    <t>8ZlIMhMTjUaTHOq3bV3E2Q</t>
  </si>
  <si>
    <t>P1SE-1050</t>
  </si>
  <si>
    <t>Span E - Place Deck</t>
  </si>
  <si>
    <t>UjaEzgz400q7ULqe6fXyPQ</t>
  </si>
  <si>
    <t>nXBkYL/Qwk+wN4JH/ZABWg</t>
  </si>
  <si>
    <t>P1SE-1060</t>
  </si>
  <si>
    <t>Span E - Cure Deck</t>
  </si>
  <si>
    <t>d0Lxysijl0O+mThgyViM+g</t>
  </si>
  <si>
    <t>ErDpwwfdE02/FKXRqvxS9g</t>
  </si>
  <si>
    <t>P1SF-1010</t>
  </si>
  <si>
    <t>Span F - Erect Concrete Girders &amp; Cross-Bracing (4 Each)</t>
  </si>
  <si>
    <t>r0e60SDjf0eJAToCI20iqA</t>
  </si>
  <si>
    <t>K4QIkAk8VkOdNJ6v1Vd++Q</t>
  </si>
  <si>
    <t>P1SF-1020</t>
  </si>
  <si>
    <t>Span F - Form Walkway Along Exterior North Girder</t>
  </si>
  <si>
    <t>MX4miGctU0i+d00+GQnurw</t>
  </si>
  <si>
    <t>zFNoFTYywk2acmRYs+T+cw</t>
  </si>
  <si>
    <t>P1SF-1030</t>
  </si>
  <si>
    <t>Span F - Install SIP Deck Forms</t>
  </si>
  <si>
    <t>0lGXN3WG8UusPqxs9IWumA</t>
  </si>
  <si>
    <t>w3M5WW7JoEeP+6j21Sc/Yw</t>
  </si>
  <si>
    <t>P1SF-1040</t>
  </si>
  <si>
    <t>Span F - Reinforce Deck &amp; Diaphragms</t>
  </si>
  <si>
    <t>V/P5p4k2/0akEVPmeBFTTA</t>
  </si>
  <si>
    <t>EEDWxuYeGk23TYijHNqUuA</t>
  </si>
  <si>
    <t>P1SF-1050</t>
  </si>
  <si>
    <t>Span F - Place Deck</t>
  </si>
  <si>
    <t>LDaedHbWx0mkaB33px0t1g</t>
  </si>
  <si>
    <t>p3QjZr6k50eQT1y+3jXA9w</t>
  </si>
  <si>
    <t>P1SF-1060</t>
  </si>
  <si>
    <t>Span F - Cure Deck</t>
  </si>
  <si>
    <t>dThey4thtkWcLtB778h6VQ</t>
  </si>
  <si>
    <t>7bC7ofnsmE+nPhdIqnjAoQ</t>
  </si>
  <si>
    <t>P1SG-1010</t>
  </si>
  <si>
    <t>Span G - Erect Concrete Girders &amp; Cross-Bracing (4 Each)</t>
  </si>
  <si>
    <t>QDd0ZN5gw0iMODrHkQzFMg</t>
  </si>
  <si>
    <t>jM1tJkoXKUy/NYzsqzztNA</t>
  </si>
  <si>
    <t>P1SG-1020</t>
  </si>
  <si>
    <t>Span G - Form Walkway Along Exterior North Girder</t>
  </si>
  <si>
    <t>JcWCPZFt9kuIdj2GSjkaTA</t>
  </si>
  <si>
    <t>YAkdoW5KME2wLuluDWj6hw</t>
  </si>
  <si>
    <t>P1SG-1030</t>
  </si>
  <si>
    <t>Span G - Install SIP Deck Forms</t>
  </si>
  <si>
    <t>dbP+wiI9xkaYxovLzph7Jw</t>
  </si>
  <si>
    <t>reXnuMxmM0i9O56uRhhYjA</t>
  </si>
  <si>
    <t>P1SG-1040</t>
  </si>
  <si>
    <t>Span G - Reinforce Deck &amp; Diaphragms</t>
  </si>
  <si>
    <t>WwD3spzdGEily0I94c7SaA</t>
  </si>
  <si>
    <t>khJw3VblE0Cy/TBBgMoxlQ</t>
  </si>
  <si>
    <t>P1SG-1050</t>
  </si>
  <si>
    <t>Span G - Place Deck</t>
  </si>
  <si>
    <t>pzZjkGHk10ug9f0ez7FjQg</t>
  </si>
  <si>
    <t>ZoItz9ORLE6vzUn9tZkJlA</t>
  </si>
  <si>
    <t>P1SG-1060</t>
  </si>
  <si>
    <t>Span G - Cure Deck</t>
  </si>
  <si>
    <t>KsNftvCsyEGN7Xml1tZjmA</t>
  </si>
  <si>
    <t>3C2eBOn6MEGmyd2oYMiolg</t>
  </si>
  <si>
    <t>P1SH-1010</t>
  </si>
  <si>
    <t>Span H - Erect Concrete Girders &amp; Cross-Bracing (4 Each)</t>
  </si>
  <si>
    <t>cUNtWlbZXEuMWm9L6kGx8A</t>
  </si>
  <si>
    <t>oJsGIHZF4EyzEqxu4yJRwg</t>
  </si>
  <si>
    <t>P1SH-1020</t>
  </si>
  <si>
    <t>Span H - Form Walkway Along Exterior North Girder</t>
  </si>
  <si>
    <t>sgQfqkLmKUKl+cpqb2oSAg</t>
  </si>
  <si>
    <t>VwiRS4Z5BkymK5evWO/84Q</t>
  </si>
  <si>
    <t>P1SH-1030</t>
  </si>
  <si>
    <t>Span H - Install SIP Deck Forms</t>
  </si>
  <si>
    <t>gTMl8kdphE+bsZ3aR+0flQ</t>
  </si>
  <si>
    <t>bnoqHJeu+U+mpAESQkHfoA</t>
  </si>
  <si>
    <t>P1SH-1040</t>
  </si>
  <si>
    <t>Span H - Reinforce Deck &amp; Diaphgrams</t>
  </si>
  <si>
    <t>KLK3FoO4YEKJ7VSwEfyORw</t>
  </si>
  <si>
    <t>sGDa/2AlNECtqNc9nYW/FQ</t>
  </si>
  <si>
    <t>P1SH-1050</t>
  </si>
  <si>
    <t>Span H - Place Deck</t>
  </si>
  <si>
    <t>vKIaGg9KuE+M8TLIZ0E2dg</t>
  </si>
  <si>
    <t>/pStE5ii8EiwoiFwBael9Q</t>
  </si>
  <si>
    <t>P1SH-1060</t>
  </si>
  <si>
    <t>Span H - Cure Deck</t>
  </si>
  <si>
    <t>DrIp7nyfO02APnbIgcndyw</t>
  </si>
  <si>
    <t>dFLqbLQ5SUyou4lK7yVv4Q</t>
  </si>
  <si>
    <t>P1S-1010</t>
  </si>
  <si>
    <t>Span A to H - Slip Form Parapet Concrete Barrier Rail (Northern Section)</t>
  </si>
  <si>
    <t>A8ZD5vYs5UGDC034M/FLNA</t>
  </si>
  <si>
    <t>GzN7kjqH3EioBNPveTmguQ</t>
  </si>
  <si>
    <t>P1S-1020</t>
  </si>
  <si>
    <t>Phase 1 - Groove Deck</t>
  </si>
  <si>
    <t>iAnmGrnU9keDtmvppuTeLQ</t>
  </si>
  <si>
    <t>ucRR+qNH2kCgkILrWRSrgg</t>
  </si>
  <si>
    <t>P1S-1040</t>
  </si>
  <si>
    <t>Completion of Phase 1 Bridge Work</t>
  </si>
  <si>
    <t>ofMDxsdtm0W0sjUz1V6raA</t>
  </si>
  <si>
    <t>vGb4ypTUfEGjVcMYrITmCA</t>
  </si>
  <si>
    <t>P1S-1000</t>
  </si>
  <si>
    <t>Span A to H - Bolt Down Barrier Wall (1,100 LF)</t>
  </si>
  <si>
    <t>ItnfPvVxHEGy28+MImoIDg</t>
  </si>
  <si>
    <t>7mAt4JENEEintQWgOt5lgA</t>
  </si>
  <si>
    <t>P1A-1000</t>
  </si>
  <si>
    <t>Start of Phase 1A Exterior Shoulder Widening (Permit 4C Approval)</t>
  </si>
  <si>
    <t>ejoTHSGUPUyq9vELG+nsdw</t>
  </si>
  <si>
    <t>4kpzd+UgJkKLiHptm8vErg</t>
  </si>
  <si>
    <t>P1AWB-1050</t>
  </si>
  <si>
    <t>WB - Ramp Y1RPA Tie-in Work</t>
  </si>
  <si>
    <t>uldnxd+0Hk+f5mB7hH+49w</t>
  </si>
  <si>
    <t>H4k3ONekQ0CO59H9MawiSg</t>
  </si>
  <si>
    <t>P1AWB-1060</t>
  </si>
  <si>
    <t>WB - Ramp Y1RPB Tie-in Work</t>
  </si>
  <si>
    <t>UainuMBwm0GuqNWDEfXtZQ</t>
  </si>
  <si>
    <t>fzNChE52tUyv/hRnue82cg</t>
  </si>
  <si>
    <t>P1AWB-1040</t>
  </si>
  <si>
    <t>WB - Construct Noise Wall Sta 144+51 - 151 (840 LF) NW5</t>
  </si>
  <si>
    <t>SGUm62KizkGovz2d9LH0gA</t>
  </si>
  <si>
    <t>t4uQq7AEPES7+v7i7uIWxw</t>
  </si>
  <si>
    <t>P1AWB-2040</t>
  </si>
  <si>
    <t>WB - Ramp YRPA Tie-in Work</t>
  </si>
  <si>
    <t>8bdb3zBvk0W50eSnYP81JA</t>
  </si>
  <si>
    <t>GKu5d0hbQEeydGh+TZRdfw</t>
  </si>
  <si>
    <t>P1AWB-2039</t>
  </si>
  <si>
    <t>(DEL)WB - Construct Noise Walls Sta 72+00 - 85+22 NW1</t>
  </si>
  <si>
    <t>sCd9V7dpc0yF5EF0+Y9KVw</t>
  </si>
  <si>
    <t>pXL2IghLAkmJ+v54TEeUYQ</t>
  </si>
  <si>
    <t>P1AWB-3060</t>
  </si>
  <si>
    <t>WB - Ramp YLPB Tie-in Work</t>
  </si>
  <si>
    <t>xO89um/lF0ahL82p+zIOSw</t>
  </si>
  <si>
    <t>/95hCC08u0+Pen6mbiAucA</t>
  </si>
  <si>
    <t>P1AWB-3080</t>
  </si>
  <si>
    <t>WB - Ramp YRPB Tie-in Work</t>
  </si>
  <si>
    <t>GstrYz2knkCPy1sEoPLKKA</t>
  </si>
  <si>
    <t>jmmL2nvg1Uuh3rasdYtFyQ</t>
  </si>
  <si>
    <t>P1AWB-3110</t>
  </si>
  <si>
    <t>WB - Completion of WB Exterior Widening Areas 2 and 3</t>
  </si>
  <si>
    <t>gMXXTkxEs0iFMimOK9urvw</t>
  </si>
  <si>
    <t>XEpMOh0H6USxSayVNHK/ig</t>
  </si>
  <si>
    <t>P1AEB-1040</t>
  </si>
  <si>
    <t>EB - Ramp YRPC Tie-in Work</t>
  </si>
  <si>
    <t>Qo+yqzKcXE+3P0vHavZCVA</t>
  </si>
  <si>
    <t>7Kgydyc6bUKyreP07l4Vyw</t>
  </si>
  <si>
    <t>P1AEB-3140</t>
  </si>
  <si>
    <t>EB - Area 1B - Ramp YRPD Tie-in Work</t>
  </si>
  <si>
    <t>ESVI8XPb8E6BdvOPIecI5w</t>
  </si>
  <si>
    <t>UickyvZDn06AZsrVBszl/g</t>
  </si>
  <si>
    <t>P1AEB-3135</t>
  </si>
  <si>
    <t>EB - Construct Noise Walls Sta 139+42 - 151+00 (After Shift) NW6</t>
  </si>
  <si>
    <t>CWJaf20SmUO+9HrGFoFo0g</t>
  </si>
  <si>
    <t>HaB0SNXoEkWBMjstF6UfIA</t>
  </si>
  <si>
    <t>P1AEB-3040</t>
  </si>
  <si>
    <t>EB - Area 3 - Ramp Y1RPC</t>
  </si>
  <si>
    <t>sS+/pQgEeEmWIfl54cdFiQ</t>
  </si>
  <si>
    <t>i/Qno9Ta00i7cDOlRA8dzg</t>
  </si>
  <si>
    <t>P1AEB-3050</t>
  </si>
  <si>
    <t>EB - Area 3 - Ramp Y1RPD</t>
  </si>
  <si>
    <t>xNTN25HmqkKacJdwXmXaeA</t>
  </si>
  <si>
    <t>WSJfG+1zB0CA+Nd7AHv4sQ</t>
  </si>
  <si>
    <t>P1AEB-3170</t>
  </si>
  <si>
    <t>Completion of EB Area 1A Exterior Widening</t>
  </si>
  <si>
    <t>8IKQCLFtf0Cbsm+YsvbvFA</t>
  </si>
  <si>
    <t>vO0qP/HON06k0tC02R78BA</t>
  </si>
  <si>
    <t>P1AEB-3180</t>
  </si>
  <si>
    <t>(DEL) EB - End of Phase 1A Exterior Shoulder Widening</t>
  </si>
  <si>
    <t>U0HIcHPkJ0ujbNIa+vU41Q</t>
  </si>
  <si>
    <t>3UPg4dyD6UW1ffCQFW+zmw</t>
  </si>
  <si>
    <t>PB-1010</t>
  </si>
  <si>
    <t>Pedestrian Bridge - WB - Construct MSE Wall for Abutment</t>
  </si>
  <si>
    <t>jtfi5Bhp0kaH/UCwPh/ILA</t>
  </si>
  <si>
    <t>FyB/CsdvwEC+neulGP7w3Q</t>
  </si>
  <si>
    <t>PB-1020</t>
  </si>
  <si>
    <t>Pedestrian Bridge - WB - Construct Pedestrian Bridge Abutment</t>
  </si>
  <si>
    <t>nPQQYm/87EqTmju3EWThJw</t>
  </si>
  <si>
    <t>q0M5AWT38UCvXQvsTT/DIg</t>
  </si>
  <si>
    <t>PB-1030</t>
  </si>
  <si>
    <t>Pedestrian Bridge - EB - Construct MSE Wall for Abutment</t>
  </si>
  <si>
    <t>iAsW+7eazkmbKE78CEdIDw</t>
  </si>
  <si>
    <t>3D/2gLVGIkW4RfR0+bpxbQ</t>
  </si>
  <si>
    <t>PB-1040</t>
  </si>
  <si>
    <t>Pedestrian Bridge - EB - Construct Pedestrian Bridge Abutment</t>
  </si>
  <si>
    <t>Bvrx5diYJEKAsBJO4q/PFQ</t>
  </si>
  <si>
    <t>ZTC/ndL0vky0PsSVJP8kTQ</t>
  </si>
  <si>
    <t>PB-1000</t>
  </si>
  <si>
    <t>(DEL)Pedestrian Bridge - Removal (East Abut)</t>
  </si>
  <si>
    <t>Z94gO3tGJk6PsrGucAt0VQ</t>
  </si>
  <si>
    <t>R8tDoAQI8UOmfk4AY8EZXA</t>
  </si>
  <si>
    <t>PB-1003</t>
  </si>
  <si>
    <t>Pedestrian Bridge - Removal of Abutments</t>
  </si>
  <si>
    <t>/FGom/ID0U+Znj+3+qapJg</t>
  </si>
  <si>
    <t>91pMYso9d0KEfdke1Prs1Q</t>
  </si>
  <si>
    <t>P2-1000</t>
  </si>
  <si>
    <t>Start of Phase 2 Crossover Work 3600 LF (Sta. 108+00 to 157+00)</t>
  </si>
  <si>
    <t>28OtbcjZr0CIqll7IeUjIQ</t>
  </si>
  <si>
    <t>F01s6LwbvUW0T+fDt7A9yQ</t>
  </si>
  <si>
    <t>P2WEB-3100</t>
  </si>
  <si>
    <t>Completion of Phase 2 Crossover Work 3600 LF (Sta. 108+00 to 157+00)</t>
  </si>
  <si>
    <t>SIvDk3l9F0ywizt6JjhMew</t>
  </si>
  <si>
    <t>nq21syEt70e6n1Vt+vWl9A</t>
  </si>
  <si>
    <t>P2CW-1020</t>
  </si>
  <si>
    <t>(DEL)Construct Causeway for Demolition/Bridge Work for Phase 2</t>
  </si>
  <si>
    <t>iw6Gs/PGpkuf+ZOBDyaIiA</t>
  </si>
  <si>
    <t>1ab6wOIfJ0+slMjpLu1qSw</t>
  </si>
  <si>
    <t>P2D-1005</t>
  </si>
  <si>
    <t>Start of Phase 2 Bridge Demolition</t>
  </si>
  <si>
    <t>SzzoHiLtEkaAQpl6SlghyA</t>
  </si>
  <si>
    <t>peNCS53aIk+XZOOyuzC7CQ</t>
  </si>
  <si>
    <t>P2D-1010</t>
  </si>
  <si>
    <t>(DEL)Span R to U - Demolition (Bents 6, 7, &amp; EB2)</t>
  </si>
  <si>
    <t>8ewrd1FYokyPTwACC23a/g</t>
  </si>
  <si>
    <t>k96NiuW2C0G6Gvuz+Z6tAQ</t>
  </si>
  <si>
    <t>P2D-1020</t>
  </si>
  <si>
    <t>(DEL)Span P to Q - Demolition (Bent 5)</t>
  </si>
  <si>
    <t>HmQNYkwh6Emu9GU/rymANA</t>
  </si>
  <si>
    <t>KJdD4ScfQkWtIIaU0jzGWg</t>
  </si>
  <si>
    <t>P2D-1030</t>
  </si>
  <si>
    <t>(DEL)Span N to O - Demolition (Bent 4)</t>
  </si>
  <si>
    <t>5o3o5vdZM0aHE4J3FRDeEw</t>
  </si>
  <si>
    <t>xVoDB7W7h0i4vCZfVZTvxg</t>
  </si>
  <si>
    <t>P2D-1040</t>
  </si>
  <si>
    <t>(DEL)Span L to M - Demolition (None)</t>
  </si>
  <si>
    <t>RtOEfvI0qUGI8UNK4GN4IQ</t>
  </si>
  <si>
    <t>cgBSr3QnWE6DLJMF+0VKpw</t>
  </si>
  <si>
    <t>P2D-1050</t>
  </si>
  <si>
    <t>(DEL)Span I to K - Demolition (Bent 3)</t>
  </si>
  <si>
    <t>aw+Jq6rQI0+TbYXlbib0dg</t>
  </si>
  <si>
    <t>y93Hd3syjkCSeL8Z0AmTEw</t>
  </si>
  <si>
    <t>P2D-1060</t>
  </si>
  <si>
    <t>(DEL)Span F to H - Demolition (Bent 2)</t>
  </si>
  <si>
    <t>3yKsDjmJ00qQgDVriTQsoQ</t>
  </si>
  <si>
    <t>rM1lCDJAp02m23RMq7tlXw</t>
  </si>
  <si>
    <t>P2D-1070</t>
  </si>
  <si>
    <t>(DEL)Span C to E - Demolition (Bent 1)</t>
  </si>
  <si>
    <t>yylOlUFh+kynAUjWAU84wA</t>
  </si>
  <si>
    <t>cb7+WhJNNEW7wavbr41EyA</t>
  </si>
  <si>
    <t>P2D-1080</t>
  </si>
  <si>
    <t>(DEL)Span A to B - Demolition (EB1)</t>
  </si>
  <si>
    <t>VMvDg5msg0C3C4yxDtaWbA</t>
  </si>
  <si>
    <t>4aDS/0/2lU61XsCLj9CNBA</t>
  </si>
  <si>
    <t>P2D-1090</t>
  </si>
  <si>
    <t>Completion of Phase 2 Bridge Demolition</t>
  </si>
  <si>
    <t>fXVP6auW+kKx3wcN9e7jIA</t>
  </si>
  <si>
    <t>onsMkAvkz0e9jSV6F45Ibw</t>
  </si>
  <si>
    <t>P2S-0800</t>
  </si>
  <si>
    <t>Start of Phase 2 Bridge Work</t>
  </si>
  <si>
    <t>dESH1s5UwUqZWL7iOg1Vrg</t>
  </si>
  <si>
    <t>p2kbm0ly1ka6Tp3Wni8iLw</t>
  </si>
  <si>
    <t>P2S-1000</t>
  </si>
  <si>
    <t>Span A to H - Perform Closure Pour</t>
  </si>
  <si>
    <t>ItUFRlfsiUSF9G5HnKeWyw</t>
  </si>
  <si>
    <t>/UvskvKU10K6Hclar1uLwg</t>
  </si>
  <si>
    <t>P2S-1010</t>
  </si>
  <si>
    <t>Span A to H - Groove Deck</t>
  </si>
  <si>
    <t>v9g4JQ/xME6P6SEuEOYJnw</t>
  </si>
  <si>
    <t>85Xp4+oKGE2AKzVZvnvXyw</t>
  </si>
  <si>
    <t>P2S-1020</t>
  </si>
  <si>
    <t>(DEL)Span A to H - Perform Miscellaneous Bridge Deck Work</t>
  </si>
  <si>
    <t>9Emt48F5mUia1WtmPVzkPA</t>
  </si>
  <si>
    <t>iG6dB21QQU+RP5XkEzWMCg</t>
  </si>
  <si>
    <t>P2S-1030</t>
  </si>
  <si>
    <t>Completion of Phase 2 Bridge Work</t>
  </si>
  <si>
    <t>h4nq21foM02qh6H51PWt6A</t>
  </si>
  <si>
    <t>jVnScvzOR0WP6C5bfhY5bQ</t>
  </si>
  <si>
    <t>P2WEB-3060</t>
  </si>
  <si>
    <t>Phase 3 Traffic Shift (Start Contraflow)</t>
  </si>
  <si>
    <t>7hNHWV7QtUy53Od0TYu7bg</t>
  </si>
  <si>
    <t>JF3+5UBhX0mwmXUCyD6IDw</t>
  </si>
  <si>
    <t>P2S-1040</t>
  </si>
  <si>
    <t>End of Phase 2 Bridge Construction</t>
  </si>
  <si>
    <t>KfIMIKkx60isuF3z8PzJ0g</t>
  </si>
  <si>
    <t>Cmf1pP88SEWOSiMvUydqZA</t>
  </si>
  <si>
    <t>P3CW-1020</t>
  </si>
  <si>
    <t>Bent 5 - Relocate Causeway From Phase 2 100%</t>
  </si>
  <si>
    <t>GX5j10C90kmoglBg8tHHAA</t>
  </si>
  <si>
    <t>uscpvyfXBEGIfqh7PGAuaQ</t>
  </si>
  <si>
    <t>P3CW-1010</t>
  </si>
  <si>
    <t>Bent 6 - Relocate Causeway From Phase 2 50%</t>
  </si>
  <si>
    <t>C2mqpZ7w7U6lKi5Ipo0LNA</t>
  </si>
  <si>
    <t>/MlSCCHloECoLkMlPakI/w</t>
  </si>
  <si>
    <t>P3CW-1000</t>
  </si>
  <si>
    <t>Phase 3 End Bent Access Roadway &amp; Causeway Construction DELETE</t>
  </si>
  <si>
    <t>LTi1bOcvfU6v+fAs9iJVLQ</t>
  </si>
  <si>
    <t>0quYRLxoWk62Wb7MIjw/zw</t>
  </si>
  <si>
    <t>P3D-1010</t>
  </si>
  <si>
    <t>Start of Phase 3 Bridge Demolition</t>
  </si>
  <si>
    <t>yTiyYyQ7FUyN2x3/n1JHhg</t>
  </si>
  <si>
    <t>Jf3mz4RDxkei+csdgf8REw</t>
  </si>
  <si>
    <t>P3D-1020</t>
  </si>
  <si>
    <t>4588VWFxf0ifagc2JInv1A</t>
  </si>
  <si>
    <t>GClPm45y/E+uyqOVDzxZkQ</t>
  </si>
  <si>
    <t>P3D-1030</t>
  </si>
  <si>
    <t>8lWPcMOgUEaz5ZyS2RCeiQ</t>
  </si>
  <si>
    <t>Va3uWg8ITU20ercYc8/ubw</t>
  </si>
  <si>
    <t>P3D-1040</t>
  </si>
  <si>
    <t>aqmNDccvskeneIHfWaPWdg</t>
  </si>
  <si>
    <t>ow4r0j+6VkaX07T5xq8Gkg</t>
  </si>
  <si>
    <t>P3D-1050</t>
  </si>
  <si>
    <t>J3cOPya4IUe7CMucO9E6tw</t>
  </si>
  <si>
    <t>crl/lNPJZUi7rew+BWhOmg</t>
  </si>
  <si>
    <t>P3D-1060</t>
  </si>
  <si>
    <t>dyNiyHLYm0q8V9bFzH0qWA</t>
  </si>
  <si>
    <t>Bx3AE6yaqEu8HoEZP2vBHw</t>
  </si>
  <si>
    <t>P3D-1070</t>
  </si>
  <si>
    <t>W60+YotVR0ipJEAYafdEtw</t>
  </si>
  <si>
    <t>2oBFdTO54UOChvA3VzD1Qw</t>
  </si>
  <si>
    <t>P3D-1080</t>
  </si>
  <si>
    <t>RV45ZaS6REG5fDv++yt8aQ</t>
  </si>
  <si>
    <t>P3D-1090</t>
  </si>
  <si>
    <t>l6bdAVDvWkm1vzKcA7PVUg</t>
  </si>
  <si>
    <t>JI9B/RwkykevNGhz4ijHEA</t>
  </si>
  <si>
    <t>P3D-1100</t>
  </si>
  <si>
    <t>Completion of Phase 3 Bridge Demolition</t>
  </si>
  <si>
    <t>dGHHy0c7EUScxQnIppcHCQ</t>
  </si>
  <si>
    <t>MuKqDG5vQk6DUqGU9LP+uQ</t>
  </si>
  <si>
    <t>PB-2010</t>
  </si>
  <si>
    <t>Assemble Pedestrian Bridge</t>
  </si>
  <si>
    <t>Kur0DRJ/iEScHEx83cJjOQ</t>
  </si>
  <si>
    <t>x7tSWF45tE6Zdg5AM0VmGg</t>
  </si>
  <si>
    <t>PB-2020</t>
  </si>
  <si>
    <t>Erect Pedestrian Bridge</t>
  </si>
  <si>
    <t>fhuTGGJoZUyIuukDGIa6mA</t>
  </si>
  <si>
    <t>LeXuw7Bne0eaXXoPjG2tZQ</t>
  </si>
  <si>
    <t>P4-1000</t>
  </si>
  <si>
    <t>Start of Phase 4 Median Barrier Work At Crossovers and Bridge</t>
  </si>
  <si>
    <t>krmw6F9Sj0mUSVRcccEUgQ</t>
  </si>
  <si>
    <t>S33HtGCvDUSkIHzeHvDZrg</t>
  </si>
  <si>
    <t>P4-1010</t>
  </si>
  <si>
    <t>(DEL)Phase 4 Median Barrier Work At Crossovers and Bridge</t>
  </si>
  <si>
    <t>CDkuVyRsRECBv1vVA3ZZkA</t>
  </si>
  <si>
    <t>iOnjCLGZ+kmq8k736//1RA</t>
  </si>
  <si>
    <t>P4S-1020</t>
  </si>
  <si>
    <t>(DEL) Remove MOT Devices and Shift Traffic to Normal</t>
  </si>
  <si>
    <t>13oU9IwM20Ga2ZM5znENiA</t>
  </si>
  <si>
    <t>8kNF9fXajUqNhIOr5ZbZXw</t>
  </si>
  <si>
    <t>P4S-1030</t>
  </si>
  <si>
    <t>End of Phase 4 Median Barrier Work at Crossovers and Bridge</t>
  </si>
  <si>
    <t>gv+W7dX2U0ae9hz2MonSzg</t>
  </si>
  <si>
    <t>ltX/2I72Y0qniTXzCjUJug</t>
  </si>
  <si>
    <t>P4S-1010</t>
  </si>
  <si>
    <t>Completion of Crossover Restoration</t>
  </si>
  <si>
    <t>HucXVaL5+EyAPHJ87BFvKA</t>
  </si>
  <si>
    <t>4vsS3ucDMk2c9r44DxggaA</t>
  </si>
  <si>
    <t>P4S-1000</t>
  </si>
  <si>
    <t>(DEL)Span A to H - Slip Form  Median Barrier at Approaches</t>
  </si>
  <si>
    <t>8Ai65QTVSEyEyvgtP/hLsw</t>
  </si>
  <si>
    <t>T2I1M1xReEuIV7hOinnoGA</t>
  </si>
  <si>
    <t>P4S-0900</t>
  </si>
  <si>
    <t>(DEL)Construct Bridge Deck Median Barrier</t>
  </si>
  <si>
    <t>yMb5MYOYv0mfOWR39ImAAw</t>
  </si>
  <si>
    <t>yBfU2qS5akWnJaC7QiL3JA</t>
  </si>
  <si>
    <t>P5WB-1000</t>
  </si>
  <si>
    <t>Start of Phase 5 Final Pave</t>
  </si>
  <si>
    <t>gw84gIwCkEmZ9kYfKkzAtw</t>
  </si>
  <si>
    <t>axHw2fImw0W+0vt5cXz1KA</t>
  </si>
  <si>
    <t>P5WB-1010</t>
  </si>
  <si>
    <t>WB - Final Pave</t>
  </si>
  <si>
    <t>NvwlFJZdoUyNKOb3bq4tSw</t>
  </si>
  <si>
    <t>jtRHdc1ZIUiiwQj8ljQMbg</t>
  </si>
  <si>
    <t>P5WB-9000</t>
  </si>
  <si>
    <t>EB - Final Pave</t>
  </si>
  <si>
    <t>SMIbuz6VCEu0Hk/IVQX1fw</t>
  </si>
  <si>
    <t>ittMrtzxAUeZM1KbWQAUag</t>
  </si>
  <si>
    <t>P5WB-1020</t>
  </si>
  <si>
    <t>(DEL)WB - Perform Final Pave (0.94 Mile)</t>
  </si>
  <si>
    <t>6OoX6HRpMUqFnDlACBvM4Q</t>
  </si>
  <si>
    <t>ebAPW4gQVky3eHboB09DXw</t>
  </si>
  <si>
    <t>P4WB-2000</t>
  </si>
  <si>
    <t>(DEL)WB - Perform Final Pave (1.3 Mile)</t>
  </si>
  <si>
    <t>7sROVEfkW02rgp6Xg8Z67Q</t>
  </si>
  <si>
    <t>I8o0H66yRkiKi+1GVifg6Q</t>
  </si>
  <si>
    <t>P4WB-3000</t>
  </si>
  <si>
    <t>(DEL)WB - Perform Final Pave (0.85 Mile)</t>
  </si>
  <si>
    <t>VbeHk14pFk6pKs0gac2lJQ</t>
  </si>
  <si>
    <t>rJ8TPR/kC0aHfZ3eeX0keg</t>
  </si>
  <si>
    <t>P5EB-1000</t>
  </si>
  <si>
    <t>xSV0InyBCUmby8DLwe8ETQ</t>
  </si>
  <si>
    <t>qK3AxWLLgku2dSqx9yeV0g</t>
  </si>
  <si>
    <t>P5EB-2000</t>
  </si>
  <si>
    <t>cGvosbj7u0aYDkjie2ZhXw</t>
  </si>
  <si>
    <t>nzZz6pSUYUeJJGw9tKWKHA</t>
  </si>
  <si>
    <t>P5EB-3000</t>
  </si>
  <si>
    <t>wmjOIlS2YkGyOWRo1H7BzA</t>
  </si>
  <si>
    <t>/03xcnYZQEGxLkOQTnoLBA</t>
  </si>
  <si>
    <t>P5EB-3010</t>
  </si>
  <si>
    <t>End of Phase 5 Final Pave</t>
  </si>
  <si>
    <t>P517jaReuEaXoCQC9gmq3w</t>
  </si>
  <si>
    <t>opy5zSqff0WL8hfmSTn3QQ</t>
  </si>
  <si>
    <t>DA-1000</t>
  </si>
  <si>
    <t>Preliminary Design / Prepare / Submit / Approval of Permits</t>
  </si>
  <si>
    <t>WVgfhBwPDki5FMlQcmmdFQ</t>
  </si>
  <si>
    <t>V84a1wfDG0WuIFnWhEGUew</t>
  </si>
  <si>
    <t>DA-1000.020</t>
  </si>
  <si>
    <t>Hold 4B Meeting (12/13/17)</t>
  </si>
  <si>
    <t>juM1fPMgeUmSsy7vmfN0QQ</t>
  </si>
  <si>
    <t>tGLlDiANhkKQag9uxTGJ/Q</t>
  </si>
  <si>
    <t>DA-1000.040</t>
  </si>
  <si>
    <t>Hold 4C Meeting (2/14/18)</t>
  </si>
  <si>
    <t>R9xaz3kzR0yz1xkYBZgAjQ</t>
  </si>
  <si>
    <t>j4QOyVsA40Ocr7kO4lX2IA</t>
  </si>
  <si>
    <t>DA-1900</t>
  </si>
  <si>
    <t>Completion of Permit Work</t>
  </si>
  <si>
    <t>S4Spvq678kGhZpOH+JnHkw</t>
  </si>
  <si>
    <t>cdudZxYNeE2/23S4AImEDQ</t>
  </si>
  <si>
    <t>DA-1000.060</t>
  </si>
  <si>
    <t>Receive 4C Permit from Agency</t>
  </si>
  <si>
    <t>PUSDGQ0Dc0iaZWSXAcA2xQ</t>
  </si>
  <si>
    <t>ACczXDVRbk+cq+9TOwwS2A</t>
  </si>
  <si>
    <t>DA-1000.010</t>
  </si>
  <si>
    <t>4B Meeting Preparation</t>
  </si>
  <si>
    <t>G4IK9ae+MEisd9g0DZjzPg</t>
  </si>
  <si>
    <t>b7DN6DGyv0S0ZopqYftQ5A</t>
  </si>
  <si>
    <t>DA-1000.030</t>
  </si>
  <si>
    <t>4C Meeting Preparation</t>
  </si>
  <si>
    <t>splIKz/dukmny9UUNOQjCw</t>
  </si>
  <si>
    <t>WUYE9FUR60+jGULYOZ017Q</t>
  </si>
  <si>
    <t>DA-1000.050</t>
  </si>
  <si>
    <t>Prepare and Submit Permits</t>
  </si>
  <si>
    <t>Mio9CI86gEij940d1FNxMg</t>
  </si>
  <si>
    <t>WHOvJwUHu0e1qCXssX2btw</t>
  </si>
  <si>
    <t>DA-1060</t>
  </si>
  <si>
    <t>Roadway Design</t>
  </si>
  <si>
    <t>aDxjSliJmUqz5ZKte5LqgQ</t>
  </si>
  <si>
    <t>GA/Avq/0A0WfHhxHyFzEqA</t>
  </si>
  <si>
    <t>DA-1060.010</t>
  </si>
  <si>
    <t>(DEL)Temporary Roadway Alignments</t>
  </si>
  <si>
    <t>gDoc2e4zZUa6Vt4a8g+O3g</t>
  </si>
  <si>
    <t>e9ld+wvoDE2m3nbobKzZZw</t>
  </si>
  <si>
    <t>DA-1060.020</t>
  </si>
  <si>
    <t>Roadway Design Criteria &amp; Structure Recs</t>
  </si>
  <si>
    <t>A0RiDQWgbUeZR7t4rTqhzg</t>
  </si>
  <si>
    <t>vomZ2kAlNk27EcjveN1Drw</t>
  </si>
  <si>
    <t>DA-1060.030</t>
  </si>
  <si>
    <t>Preliminary Roadway Plans</t>
  </si>
  <si>
    <t>zg1TIeDFgUGe5lsho0bxWw</t>
  </si>
  <si>
    <t>zKarKhCwe0OuvT35oaEP0g</t>
  </si>
  <si>
    <t>DA-1060.040</t>
  </si>
  <si>
    <t>Right of Way Plans</t>
  </si>
  <si>
    <t>RPrvQvtHFkqiFwF8d3rHHQ</t>
  </si>
  <si>
    <t>oQozu5W1AUic7c1GWuAJvw</t>
  </si>
  <si>
    <t>DA-1060.050</t>
  </si>
  <si>
    <t>Final Roadway Plans (Submitted to NCDOT 2/19/18)</t>
  </si>
  <si>
    <t>Scbo/YHyJE+b2+dVdYRF8w</t>
  </si>
  <si>
    <t>vt/Cj83wfkip22yre7Whvg</t>
  </si>
  <si>
    <t>DA-1060.060</t>
  </si>
  <si>
    <t>RFC Roadway Plans</t>
  </si>
  <si>
    <t>eGKA0LpxIE2HQFff9P9csg</t>
  </si>
  <si>
    <t>KVR+G2w/RkCmE4+fLYn/5w</t>
  </si>
  <si>
    <t>DA-1065</t>
  </si>
  <si>
    <t>(DEL)Pavement Design</t>
  </si>
  <si>
    <t>suO7z7NPC06UPBVv1BgrUA</t>
  </si>
  <si>
    <t>ycDYzaKRWUSspkWVATjn9w</t>
  </si>
  <si>
    <t>DA-1070</t>
  </si>
  <si>
    <t>Hydraulic Design</t>
  </si>
  <si>
    <t>8w0RrVcJxEmuqiGHlUKgsA</t>
  </si>
  <si>
    <t>FD/OliOne0qvtzQvE96oEQ</t>
  </si>
  <si>
    <t>DA-1070.010</t>
  </si>
  <si>
    <t>Bridge/Culvert Survey Reports (BSR/CSRs)</t>
  </si>
  <si>
    <t>rgT2dnNu20KGtsZfTSV0ig</t>
  </si>
  <si>
    <t>lyKfUjBZrEyUTHNKLuV6yA</t>
  </si>
  <si>
    <t>DA-1070.030</t>
  </si>
  <si>
    <t>100% Hydraulics Design</t>
  </si>
  <si>
    <t>CvISoMFTYE+cvSURDVrq2Q</t>
  </si>
  <si>
    <t>/bgnp8MOZUGDvudDzDetIA</t>
  </si>
  <si>
    <t>DA-1075</t>
  </si>
  <si>
    <t>FEMA Compliance</t>
  </si>
  <si>
    <t>JwA5h/XHeEuwFjMp2q2bng</t>
  </si>
  <si>
    <t>Q4yb7nXNxEylG5aiyiiltw</t>
  </si>
  <si>
    <t>DA-1080.010</t>
  </si>
  <si>
    <t>I-40 Bridge Over Yadkin River (Preliminary General Drawings)</t>
  </si>
  <si>
    <t>oAY4hIsktkeANAg4g7/Zkg</t>
  </si>
  <si>
    <t>8qn7Dp7WYk2PHDoKNH7zKQ</t>
  </si>
  <si>
    <t>DA-1080.020</t>
  </si>
  <si>
    <t>I-40 Bridge Over Yadkin River (Final Plans)</t>
  </si>
  <si>
    <t>wwDpMfRqrkW8QwkgW3LXSw</t>
  </si>
  <si>
    <t>V6Bh6Vqnvka+lcyqoyBYCg</t>
  </si>
  <si>
    <t>DA-1080.030</t>
  </si>
  <si>
    <t>I-40 Bridge Over Yadkin River (RFC Plans)</t>
  </si>
  <si>
    <t>DXv94SlCikin57bgJK2cng</t>
  </si>
  <si>
    <t>kQsC3xqriUSLlW64Lf6V4Q</t>
  </si>
  <si>
    <t>DA-1080.040</t>
  </si>
  <si>
    <t>Pedestrian Bridge (Preliminary General Drawings)</t>
  </si>
  <si>
    <t>OLAac7TG8UeTYVxHtDj9Hg</t>
  </si>
  <si>
    <t>fl2CcgAUb0eipg+mva/x8w</t>
  </si>
  <si>
    <t>DA-1080.050</t>
  </si>
  <si>
    <t>Pedestrian Bridge (Final Bridge Superstructure Plans by Pre-fabricator)</t>
  </si>
  <si>
    <t>6+EQ0EeKbUKs8IFmJBn4gg</t>
  </si>
  <si>
    <t>kaL0ahHalUuY+Qs8QGFIcg</t>
  </si>
  <si>
    <t>DA-1080.060</t>
  </si>
  <si>
    <t>Pedestrian Bridge (RFC Bridge Superstructure Plans by Pre-fabricator)</t>
  </si>
  <si>
    <t>C9kCr3QeoEGkRS9xjyFxdg</t>
  </si>
  <si>
    <t>OT7vjsI0eUCSGCM+8b8j6A</t>
  </si>
  <si>
    <t>DA-1080.070</t>
  </si>
  <si>
    <t>Pedestrian Bridge (Final Bridge Substructure Plans by RK&amp;K)</t>
  </si>
  <si>
    <t>WvCmIl81SEyZtb59ZY4MjQ</t>
  </si>
  <si>
    <t>KN913MWI8UyjdZ6t0VTi2Q</t>
  </si>
  <si>
    <t>DA-1080.080</t>
  </si>
  <si>
    <t>Pedestrian Bridge (RFC Bridge Substructure Plans by RK&amp;K)</t>
  </si>
  <si>
    <t>E5WdF1GtPE+QlY8g6DjpVQ</t>
  </si>
  <si>
    <t>G1sgB3pjNEa6ENJZ2JxrGA</t>
  </si>
  <si>
    <t>DA-1080.090</t>
  </si>
  <si>
    <t>Pedestrian Bridge Culvert Extension (General Drawings)</t>
  </si>
  <si>
    <t>SdAX1XaXxEOSmQCi6Tspsw</t>
  </si>
  <si>
    <t>FQ3VmB8700eiVexK+su7Uw</t>
  </si>
  <si>
    <t>DA-1080.100</t>
  </si>
  <si>
    <t>Pedestrian Bridge Culvert Extension (RFC Plans)</t>
  </si>
  <si>
    <t>HjYifeLhLEipLHnLbVk6Zw</t>
  </si>
  <si>
    <t>XyY3iB702U+2N5KhoJREag</t>
  </si>
  <si>
    <t>DA-1090.010</t>
  </si>
  <si>
    <t>Structure Foundation Recs Report (I-40 over Yadkin River)</t>
  </si>
  <si>
    <t>/0nrOJqdW0WCuLBp/E6uxQ</t>
  </si>
  <si>
    <t>9oVGCBaTl0a34RTP1rhhOw</t>
  </si>
  <si>
    <t>DA-1090.020</t>
  </si>
  <si>
    <t>Structure Foundation Recs Report (Pedestrian Bridge)</t>
  </si>
  <si>
    <t>rwA9DGCcSkCR1XeDzW69Cg</t>
  </si>
  <si>
    <t>8TQOXFJr6U2N4rbaCa/89Q</t>
  </si>
  <si>
    <t>DA-1090.030</t>
  </si>
  <si>
    <t>Structure Foundation Recs Report (Pedestrian Culvert)</t>
  </si>
  <si>
    <t>Ex+tUgNftU+r22s0+nomZw</t>
  </si>
  <si>
    <t>PoKbYKKgEEGGVyrDchwCHw</t>
  </si>
  <si>
    <t>DA-1090.040</t>
  </si>
  <si>
    <t>Structure Foundation Recs Report (Pedestrian Bridge - MSE Wall)</t>
  </si>
  <si>
    <t>X8iNDwuHR0St+0D3GOS5SA</t>
  </si>
  <si>
    <t>cNeVo3pwQE6jdi3u+KsFeg</t>
  </si>
  <si>
    <t>DA-1090.050</t>
  </si>
  <si>
    <t>Structure Foundation Recs Report (Sound Barrier Wall)</t>
  </si>
  <si>
    <t>NUxnwy0uS0q4wsP79cvZdQ</t>
  </si>
  <si>
    <t>v0UHsDpY2kyzb1y0ubf1/Q</t>
  </si>
  <si>
    <t>DA-1090.060</t>
  </si>
  <si>
    <t>Roadway Foundation Recs Report (Including Field Investigations)</t>
  </si>
  <si>
    <t>gvaHosJ8PUqvw88N8mzAog</t>
  </si>
  <si>
    <t>Ff5xiwK0Pk+KjGDYaLqLXw</t>
  </si>
  <si>
    <t>DA-1110.010</t>
  </si>
  <si>
    <t>Traffic Control Staging Concept</t>
  </si>
  <si>
    <t>Nz3o/rV5HU+iXch6TOu4BA</t>
  </si>
  <si>
    <t>WGXO//uttES/SRdOYzxkcA</t>
  </si>
  <si>
    <t>DA-1110.020</t>
  </si>
  <si>
    <t>Traffic Control Phase Submittal</t>
  </si>
  <si>
    <t>pHLd5s95IUehktbuH+m1Fg</t>
  </si>
  <si>
    <t>DA-1110.030</t>
  </si>
  <si>
    <t>Traffic Control RFC Plans</t>
  </si>
  <si>
    <t>6n7GNQR8JUW98NNZzR4pag</t>
  </si>
  <si>
    <t>dsrZg25eIkGLvnZ8istyzw</t>
  </si>
  <si>
    <t>DA-1130.010</t>
  </si>
  <si>
    <t>Preliminary ITS Plans</t>
  </si>
  <si>
    <t>YYVILr3s2066tDqj6ojNWg</t>
  </si>
  <si>
    <t>Aw7KJqZgjEOxvKh9St5YsA</t>
  </si>
  <si>
    <t>DA-1130.020</t>
  </si>
  <si>
    <t>50% ITS Plans</t>
  </si>
  <si>
    <t>XqFEccorGkG1G7KIjeja/A</t>
  </si>
  <si>
    <t>1w7rRmJaTki54TaXLqGhag</t>
  </si>
  <si>
    <t>DA-1130.030</t>
  </si>
  <si>
    <t>RFC ITS Plans</t>
  </si>
  <si>
    <t>XFN8ZbqMIk2p9Smo52Tb/A</t>
  </si>
  <si>
    <t>DE33DEX3V0yXVna5Ti3uUg</t>
  </si>
  <si>
    <t>DA-1140.010</t>
  </si>
  <si>
    <t>Final Pedestrian Lighting Plans</t>
  </si>
  <si>
    <t>yQwanYtxDky5Sg1TGWpA0w</t>
  </si>
  <si>
    <t>1C/XvbmXck+OEJbPXzQhtQ</t>
  </si>
  <si>
    <t>DA-1140.020</t>
  </si>
  <si>
    <t>RFC Pedestrian Lighting Plans</t>
  </si>
  <si>
    <t>m7h5OfvV5EWApNkd+LIE+Q</t>
  </si>
  <si>
    <t>rfpehVKTGEe2FhFc2+agZg</t>
  </si>
  <si>
    <t>DA-1150.010</t>
  </si>
  <si>
    <t>25% Preliminary Signing Plans</t>
  </si>
  <si>
    <t>ftzGXPSibkaFlQTKhz6m3Q</t>
  </si>
  <si>
    <t>fPUKDLOASkmx96TBM0DXyQ</t>
  </si>
  <si>
    <t>DA-1150.020</t>
  </si>
  <si>
    <t>50% Initial Signing Plans</t>
  </si>
  <si>
    <t>UBBEtHYll0Gf+dv5xRwORQ</t>
  </si>
  <si>
    <t>cGr97Nuy20OpOp9N63kRqQ</t>
  </si>
  <si>
    <t>DA-1150.030</t>
  </si>
  <si>
    <t>90% Interim Signing Plans</t>
  </si>
  <si>
    <t>Ze4VlLDTAkiZbpI+PX17MQ</t>
  </si>
  <si>
    <t>ghp5UwydpkqDRlZp3BHOOQ</t>
  </si>
  <si>
    <t>DA-1150.040</t>
  </si>
  <si>
    <t>100% Final Signing Plans (Including Project Special Provisions)</t>
  </si>
  <si>
    <t>4OMICTKji0+n7WamIXdWeQ</t>
  </si>
  <si>
    <t>4nseDG1ocUK3mnD3w4l95g</t>
  </si>
  <si>
    <t>DA-1150.050</t>
  </si>
  <si>
    <t>RFC Signing Plans (Including Project Special Provisions)</t>
  </si>
  <si>
    <t>12yTp+8MaEWT0VN/wMg8Pw</t>
  </si>
  <si>
    <t>nJG0Iekg10O7raNLt+MraA</t>
  </si>
  <si>
    <t>DA-1160.010</t>
  </si>
  <si>
    <t>75 % Clearing &amp; Grubbing and Final Grade EC Plans</t>
  </si>
  <si>
    <t>4XTzuxy5ZkaOrMlPdY8ODg</t>
  </si>
  <si>
    <t>3sm7+9rIlE+zVp0MBQgH3w</t>
  </si>
  <si>
    <t>DA-1160.020</t>
  </si>
  <si>
    <t>100% Clearing &amp; Grubbing (Including Project Special Provisions)</t>
  </si>
  <si>
    <t>GaeIm2PazEmcyl4kMgxV1Q</t>
  </si>
  <si>
    <t>aF8m4Phccka4NjSVON7ImQ</t>
  </si>
  <si>
    <t>DA-1160.030</t>
  </si>
  <si>
    <t>RFC Clearing &amp; Grubbing and Final Grade EC Plans</t>
  </si>
  <si>
    <t>oJo2CsD6SE2uIxjXciN10Q</t>
  </si>
  <si>
    <t>moTDRCKSWEyL33dJdB2FCQ</t>
  </si>
  <si>
    <t>DA-1170.010</t>
  </si>
  <si>
    <t>Water Relocation - Davie County (Preliminary Water Plans)</t>
  </si>
  <si>
    <t>9dntHmQDwU2MjEX1Z9JSRQ</t>
  </si>
  <si>
    <t>KXNXp+kiVkuc7OvkmX7iXQ</t>
  </si>
  <si>
    <t>DA-1170.020</t>
  </si>
  <si>
    <t>Water Relocation - Davie County (Water Permit) (Not needed, actualize)</t>
  </si>
  <si>
    <t>Ut1Pxx9i1Eqdhg2oX0jTTw</t>
  </si>
  <si>
    <t>pccVXu/ZT06+WiA65lS2xg</t>
  </si>
  <si>
    <t>DA-1170.030</t>
  </si>
  <si>
    <t>Water Relocation - Davie County (RFC Water Plans to NCDOT/Davie County)</t>
  </si>
  <si>
    <t>1iKuEC30mUe4cE26oplmuw</t>
  </si>
  <si>
    <t>/zVYhl5aOkOz/VCZ4u859g</t>
  </si>
  <si>
    <t>DA-1910</t>
  </si>
  <si>
    <t>Completion of Design Work</t>
  </si>
  <si>
    <t>BvKtikxQ+EWhKgjOhIZUJg</t>
  </si>
  <si>
    <t>kYwL6eZxcEetaVM2IMkCvQ</t>
  </si>
  <si>
    <t>DA-1120.010</t>
  </si>
  <si>
    <t>Preliminary Pavement Marking Plans</t>
  </si>
  <si>
    <t>+0ySmTwgAUK+yKj8B9UsVg</t>
  </si>
  <si>
    <t>UXB1agIB60qMhqUG54tgWw</t>
  </si>
  <si>
    <t>DA-1120.020</t>
  </si>
  <si>
    <t>Final Pavement Marking Plans</t>
  </si>
  <si>
    <t>GUmCG+cFaEaduwYlZ/9IdA</t>
  </si>
  <si>
    <t>hAzZZMYwlUq7+0naiLFFuw</t>
  </si>
  <si>
    <t>DA-1120.030</t>
  </si>
  <si>
    <t>RFC Pavement Marking Plans</t>
  </si>
  <si>
    <t>USCzuAgLIUSLCux1uZYrcA</t>
  </si>
  <si>
    <t>LBhTvE2Kxk2k52shck2VSA</t>
  </si>
  <si>
    <t>DA-1100</t>
  </si>
  <si>
    <t>Noise Design (Draft Noise Report)</t>
  </si>
  <si>
    <t>AWhYnVN010SdxqHh5cq83A</t>
  </si>
  <si>
    <t>fNV/Ws+V3U29NoL99B7scA</t>
  </si>
  <si>
    <t>RW-1000</t>
  </si>
  <si>
    <t>Generate / Submit / Approval of Right of Way Plans</t>
  </si>
  <si>
    <t>RSyR92MrVk+2BSDL1Gps2Q</t>
  </si>
  <si>
    <t>a5DzHvT6p0C2MwmhuKoxMQ</t>
  </si>
  <si>
    <t>RW-1010</t>
  </si>
  <si>
    <t>Parcel Acquisitions (Assumed 8 Months)</t>
  </si>
  <si>
    <t>o2f1NgrGK0CZ+g4XQuiptw</t>
  </si>
  <si>
    <t>ecROJ67t20yle2Xt0IdWyQ</t>
  </si>
  <si>
    <t>RW-1020</t>
  </si>
  <si>
    <t>Completion of Right of Way and Parcel Acquisition Work</t>
  </si>
  <si>
    <t>RkWAOla8/0yXzY1RQNHzlw</t>
  </si>
  <si>
    <t>sFYtyuxat0OXf8Ecp7BEPQ</t>
  </si>
  <si>
    <t>B1040</t>
  </si>
  <si>
    <t>Start of Pre-Phase 1 Construction</t>
  </si>
  <si>
    <t>DAXU9/UvIEyaj9xwsCVcHg</t>
  </si>
  <si>
    <t>2tkSv8XvnEWtW5nGhmflJg</t>
  </si>
  <si>
    <t>P1EB2-1050</t>
  </si>
  <si>
    <t>EB 2 - Reinforce Cap &amp; Walls</t>
  </si>
  <si>
    <t>ftlRQwoHm0iwPmDDlqg8Rg</t>
  </si>
  <si>
    <t>BIVLOHTlxUiLiW/zO4RHoA</t>
  </si>
  <si>
    <t>P1EB2-1060</t>
  </si>
  <si>
    <t>EB 2 - Place Cap/Beamseats</t>
  </si>
  <si>
    <t>Fj4CtRzMWEWOR4aoUeTgdg</t>
  </si>
  <si>
    <t>mgsxlSoIyk+t9E8ncK7LXQ</t>
  </si>
  <si>
    <t>P1EB2-1070</t>
  </si>
  <si>
    <t>EB 2 - Cure Cap/Beamseats</t>
  </si>
  <si>
    <t>h32YEXu090GuBO8TdWJbCg</t>
  </si>
  <si>
    <t>P1EB2-1090</t>
  </si>
  <si>
    <t>EB 2 - Place Backwall</t>
  </si>
  <si>
    <t>On19MipReEus4QHfrKrGGg</t>
  </si>
  <si>
    <t>ntKXw6/DNUmiIRVJRmaluw</t>
  </si>
  <si>
    <t>P1EB1-1050</t>
  </si>
  <si>
    <t>EB 1 - Reinforce Cap &amp; Walls</t>
  </si>
  <si>
    <t>dSvoSbEpak6gARhuqeugpQ</t>
  </si>
  <si>
    <t>EGQLlUn3Ok2dcjOrcxO36Q</t>
  </si>
  <si>
    <t>P1EB1-1060</t>
  </si>
  <si>
    <t>EB 1 - Place Cap/Beamseats</t>
  </si>
  <si>
    <t>ts8YFKhLoE2IboNSf38G/w</t>
  </si>
  <si>
    <t>hu++4MHQzEymwHX0oWJ/bA</t>
  </si>
  <si>
    <t>P1EB1-1070</t>
  </si>
  <si>
    <t>EB 1 - Cure Cap/Beamseats</t>
  </si>
  <si>
    <t>Ea6XjOt10EOvs2DmjTTGJA</t>
  </si>
  <si>
    <t>F8zBT7Awd0KxI7sxx2Ff7A</t>
  </si>
  <si>
    <t>P1EB1-1080</t>
  </si>
  <si>
    <t>EB 1 - Place Backwall</t>
  </si>
  <si>
    <t>QBrCdcHOUkGsjL0CT+b+mQ</t>
  </si>
  <si>
    <t>dvhbsEMAOEagxkVw1ieGfg</t>
  </si>
  <si>
    <t>P1B1-1030</t>
  </si>
  <si>
    <t>Bent 1 - Reinforce Pile Plugs &amp; Bent Cap</t>
  </si>
  <si>
    <t>9qjFXTUtUkuYUSJvE8MSfA</t>
  </si>
  <si>
    <t>QvEc8T2zkEGSbuF3lJ+Phg</t>
  </si>
  <si>
    <t>P1B1-1040</t>
  </si>
  <si>
    <t>Bent 1 - Place Plugs/Caps/Beamseats</t>
  </si>
  <si>
    <t>pXY0jx5eBU6E/L2FaEIkXQ</t>
  </si>
  <si>
    <t>JmlP+LxBD02cWpFYy4vlAQ</t>
  </si>
  <si>
    <t>P1B2-1030</t>
  </si>
  <si>
    <t>Bent 2 - Reinforce Pile Plugs &amp; Bent Cap</t>
  </si>
  <si>
    <t>hKTpH36HBkagAlOU5ySttA</t>
  </si>
  <si>
    <t>SGRGRlPLSkScKWG+2A+JVA</t>
  </si>
  <si>
    <t>P1B2-1040</t>
  </si>
  <si>
    <t>Bent 2 - Place Plugs/Caps/Beamseats</t>
  </si>
  <si>
    <t>JFWMOBtM3kucTRn11/00PA</t>
  </si>
  <si>
    <t>QesCdqU150aS7fGHQPVagA</t>
  </si>
  <si>
    <t>P1B3-1030</t>
  </si>
  <si>
    <t>Bent 3 - Reinforce Pile Plugs &amp; Bent Cap</t>
  </si>
  <si>
    <t>zK6mBacQ5EinlrYEwRdqEw</t>
  </si>
  <si>
    <t>Iodv5YI9+EWMcAfO7+gciQ</t>
  </si>
  <si>
    <t>P1B3-1040</t>
  </si>
  <si>
    <t>Bent 3 - Place Plugs/Caps/Beamseats</t>
  </si>
  <si>
    <t>IEqeyetR4k28HHiTv5FRmg</t>
  </si>
  <si>
    <t>Yk41sCVhfUCJQH1qqcz/4A</t>
  </si>
  <si>
    <t>P1B4-1030</t>
  </si>
  <si>
    <t>Bent 4 - Reinforce Pile Plugs &amp; Bent Cap</t>
  </si>
  <si>
    <t>B9h0OXqGHUKs+bxxD8EH0A</t>
  </si>
  <si>
    <t>fT6wqNHWXk6e/t6hBGL/cA</t>
  </si>
  <si>
    <t>P1B4-1040</t>
  </si>
  <si>
    <t>Bent 4 - Place Plugs/Caps/Beamseats</t>
  </si>
  <si>
    <t>FuJX+yc+50GttCJcrUxHQQ</t>
  </si>
  <si>
    <t>gqGQe3Ui80ePFncvCNoBDQ</t>
  </si>
  <si>
    <t>P1B7-1040</t>
  </si>
  <si>
    <t>Bent 7 - Reinforce Bent Columns 2 Ea</t>
  </si>
  <si>
    <t>4m1CvP9zckGeOWb8dVnRmg</t>
  </si>
  <si>
    <t>sbMjIl1YjkG0rYSPlBMjHw</t>
  </si>
  <si>
    <t>P1B7-1050</t>
  </si>
  <si>
    <t>Bent 7 - Place Bent Columns 2 Ea</t>
  </si>
  <si>
    <t>sQpgHSN72kKPBcfY2r9G2w</t>
  </si>
  <si>
    <t>fHitwvQSrkGDgposfosw0A</t>
  </si>
  <si>
    <t>P1B7-1060</t>
  </si>
  <si>
    <t>Bent 7 - Reinforce Bent Cap</t>
  </si>
  <si>
    <t>s3JuVh2Q9Ei9SaCXSHqgog</t>
  </si>
  <si>
    <t>BiIvRMxSk0yZI+qe+H8ZTA</t>
  </si>
  <si>
    <t>P1B7-1070</t>
  </si>
  <si>
    <t>Bent 7 - Place Bent Cap</t>
  </si>
  <si>
    <t>nYEaPcOU+k6fADnuzTqJEA</t>
  </si>
  <si>
    <t>TORSuc5+Hk+8e95LESTbSg</t>
  </si>
  <si>
    <t>P1B6-1040</t>
  </si>
  <si>
    <t>Bent 6 - Reinforce Bent Columns 2 Ea</t>
  </si>
  <si>
    <t>W6gMxLaiVk++c1+AznvbxQ</t>
  </si>
  <si>
    <t>hnBEfgSCHEqYyei0ZcJzVA</t>
  </si>
  <si>
    <t>P1B6-1050</t>
  </si>
  <si>
    <t>Bent 6 - Place Bent Columns 2 Ea</t>
  </si>
  <si>
    <t>487Yc2qTtkiOdh8/+F7v4A</t>
  </si>
  <si>
    <t>g6aMHatxkUWE5BgbQ5KvrQ</t>
  </si>
  <si>
    <t>P1B6-1060</t>
  </si>
  <si>
    <t>Bent 6 - Reinforce Bent Cap</t>
  </si>
  <si>
    <t>phjDBds2z0Ot3kbjXdtmsw</t>
  </si>
  <si>
    <t>l9bi74KEh0mjYqU4M0kPPw</t>
  </si>
  <si>
    <t>P1B6-1070</t>
  </si>
  <si>
    <t>Bent 6 - Place Bent Cap</t>
  </si>
  <si>
    <t>rwBnWSHMkEerSYgNftX4YQ</t>
  </si>
  <si>
    <t>6cI2MReJIkG/4qoTJR06vw</t>
  </si>
  <si>
    <t>P1B5-1040</t>
  </si>
  <si>
    <t>Bent 5 - Reinforce Bent Columns 2 Ea</t>
  </si>
  <si>
    <t>6vYRtJFirUGRkD9p+0SWPA</t>
  </si>
  <si>
    <t>YrpogS4wgE2BLE2HmnrOaQ</t>
  </si>
  <si>
    <t>P1B5-1050</t>
  </si>
  <si>
    <t>Bent 5 - Place Bent Columns 2 Ea</t>
  </si>
  <si>
    <t>BI85VQnIxEmnUlxMRZ2ZMg</t>
  </si>
  <si>
    <t>0C82IiKcA0+vIgG9PFJ79g</t>
  </si>
  <si>
    <t>P1B5-1060</t>
  </si>
  <si>
    <t>Bent 5 - Reinforce Bent Cap</t>
  </si>
  <si>
    <t>5ZbXyQj/LEmmYSMwDXXFgA</t>
  </si>
  <si>
    <t>PpOMBoAY8UajYqmN8n7SnQ</t>
  </si>
  <si>
    <t>P1B5-1070</t>
  </si>
  <si>
    <t>Bent 5 - Place Bent Cap</t>
  </si>
  <si>
    <t>HABdsqOWaECP0Sbnio9b1A</t>
  </si>
  <si>
    <t>O7n/ZMa9202erfR/sSEA0A</t>
  </si>
  <si>
    <t>P1A-1040</t>
  </si>
  <si>
    <t>WB - Area 3 - Weekend 1 Mill and Pave Operation (7' 6"" Shoulder)</t>
  </si>
  <si>
    <t>aeXJvc4D5U2ZMAun6oJW5Q</t>
  </si>
  <si>
    <t>ERJLd+29cEaS/vUtckr4yg</t>
  </si>
  <si>
    <t>P1A-1050</t>
  </si>
  <si>
    <t>WB - Area 2 - Weekend 2 Mill and Pave Operation (7' 6"" Shoulder)</t>
  </si>
  <si>
    <t>33syqx5r5E6/FMQpODKfEg</t>
  </si>
  <si>
    <t>0lYCVd3eGUa5SHAGHFtnfg</t>
  </si>
  <si>
    <t>P1A-1060</t>
  </si>
  <si>
    <t>WB - Area 1 - Weekend 3 Mill and Pave Operation (7' 6"" Shoulder)</t>
  </si>
  <si>
    <t>bb9j6OGQVU6/8dkYINt0HQ</t>
  </si>
  <si>
    <t>EdDeOvop3keF28fXcsPCRw</t>
  </si>
  <si>
    <t>P1A-1080</t>
  </si>
  <si>
    <t>EB - Area 1 - Weekend 1 Mill and Pave Operation (7' 6"" Shoulder)</t>
  </si>
  <si>
    <t>4n3yGnLSSE2Hbgr6as2glA</t>
  </si>
  <si>
    <t>iHcnuvYvUUqEv1rKz6PT/g</t>
  </si>
  <si>
    <t>P1A-1090</t>
  </si>
  <si>
    <t>EB - Area 2 - Weekend 2 Mill and Pave Operation (7' 6"" Shoulder)</t>
  </si>
  <si>
    <t>YBk+AQXqPUiU6iKL14wx+g</t>
  </si>
  <si>
    <t>Hz3y1/fpwkqGDe9O65ZpdQ</t>
  </si>
  <si>
    <t>P1A-1100</t>
  </si>
  <si>
    <t>EB - Area 3 - Weekend 3 Mill and Pave Operation (7' 6"" Shoulder)</t>
  </si>
  <si>
    <t>DP1zyRI9CEy6lRavYTTbEg</t>
  </si>
  <si>
    <t>t2gY0q1yLUmKHV51Ma23bw</t>
  </si>
  <si>
    <t>P1A-1070</t>
  </si>
  <si>
    <t>WB - Install Temporary Barrier Wall (Between Weekends 2 &amp; 3)</t>
  </si>
  <si>
    <t>MaG066eaPkOZLBG00mbdfg</t>
  </si>
  <si>
    <t>igGZd1mFUUKnWX5r1zlQ6A</t>
  </si>
  <si>
    <t>P1A-1110</t>
  </si>
  <si>
    <t>EB - Install Temporary Barrier Wall ((Between Weekends 1 &amp; 2)</t>
  </si>
  <si>
    <t>YYx3T0tzzE6mi3/nDJEy2A</t>
  </si>
  <si>
    <t>dtatPcxp/k6GhWDrSFBtRQ</t>
  </si>
  <si>
    <t>P1A-1120</t>
  </si>
  <si>
    <t>EB - Install Temporary Barrier Wall (After Weekend EB 3)</t>
  </si>
  <si>
    <t>USo+BynLs06sS6XQK5kXIA</t>
  </si>
  <si>
    <t>W53bDrYIp02cESjCmZP7jA</t>
  </si>
  <si>
    <t>P1A-1130</t>
  </si>
  <si>
    <t>WB - Area 2 - Clear and Grub</t>
  </si>
  <si>
    <t>pJ4goUlByUKRYIkI54pqNw</t>
  </si>
  <si>
    <t>VmS5ix6EjE+XbTFiRNRRaQ</t>
  </si>
  <si>
    <t>P1A-1140</t>
  </si>
  <si>
    <t>WB - Area 2 - Erosion Control Initial</t>
  </si>
  <si>
    <t>FAMGOTJlqkWWwoPv2R7klg</t>
  </si>
  <si>
    <t>c2/fpsloyE+sZ5sBsMX6jw</t>
  </si>
  <si>
    <t>P1A-1150</t>
  </si>
  <si>
    <t>WB - Area 2 - Erosion Control Final</t>
  </si>
  <si>
    <t>9XdF4DLdJEeAeK0qdvzTeQ</t>
  </si>
  <si>
    <t>4F0H/MLVWk+s4jFEz5IJNw</t>
  </si>
  <si>
    <t>P1A-1170</t>
  </si>
  <si>
    <t>WB - Area 1 - Clear and Grub</t>
  </si>
  <si>
    <t>8DdE7TI6FEu1JmO34zbQ9w</t>
  </si>
  <si>
    <t>SpVITGnJykyHjLajInK0dQ</t>
  </si>
  <si>
    <t>P1A-1160</t>
  </si>
  <si>
    <t>WB - Area 1 - Erosion Control Initial</t>
  </si>
  <si>
    <t>c3rWdTzva0GOQGDCSKAAVA</t>
  </si>
  <si>
    <t>7dYEjJ3q9Uaetex0UQ73WQ</t>
  </si>
  <si>
    <t>P1A-1180</t>
  </si>
  <si>
    <t>WB - Area 1 - Erosion Control Final</t>
  </si>
  <si>
    <t>B0FHKfDHWUaYCgQphop4+A</t>
  </si>
  <si>
    <t>jv7CsOHDtkOEtLJsTtYXag</t>
  </si>
  <si>
    <t>P1A-1200</t>
  </si>
  <si>
    <t>WB - Area 3 - Clear and Grub</t>
  </si>
  <si>
    <t>fP3RkQ0wEEq3XPG45oRgsg</t>
  </si>
  <si>
    <t>7atZLLbYaE6kVnCKoMOC3g</t>
  </si>
  <si>
    <t>P1A-1190</t>
  </si>
  <si>
    <t>WB - Area 3 - Erosion Control Initial</t>
  </si>
  <si>
    <t>vkb+/LS/qkeO4OJMg3vaAw</t>
  </si>
  <si>
    <t>YuQwsMw6vECwZF3s5lBy/A</t>
  </si>
  <si>
    <t>P1A-1210</t>
  </si>
  <si>
    <t>WB - Area 3 - Erosion Control Final</t>
  </si>
  <si>
    <t>xlqJHKZcr0yipZkE4YoHbA</t>
  </si>
  <si>
    <t>ak3fzapjrkeoUY6P08GCtg</t>
  </si>
  <si>
    <t>P1A-1230</t>
  </si>
  <si>
    <t>(DEL)EB - Area 2 - Clear and Grub</t>
  </si>
  <si>
    <t>wczVoJClYEu5C9ZjxaCAGA</t>
  </si>
  <si>
    <t>urZlLMp+l0m3blDircrrRQ</t>
  </si>
  <si>
    <t>P1A-1220</t>
  </si>
  <si>
    <t>(DEL)EB - Area 2 - Erosion Control Initial</t>
  </si>
  <si>
    <t>5/8bDWXPqEOSyixhaZ4EQA</t>
  </si>
  <si>
    <t>Kc/mC84JMUK/iHZchQ3wqA</t>
  </si>
  <si>
    <t>P1A-1240</t>
  </si>
  <si>
    <t>(DEL)EB - Area 2 - Erosion Control Final</t>
  </si>
  <si>
    <t>hGpX62sjKEy4Q+ZE7aq+qA</t>
  </si>
  <si>
    <t>L6FZ2JozgkGKfpwwyDMCJA</t>
  </si>
  <si>
    <t>P1A-1260</t>
  </si>
  <si>
    <t>EB - Clearing and Grubbing (Areas 2 and 3)</t>
  </si>
  <si>
    <t>bA3UHcaUYEScn1vwwD4Kqg</t>
  </si>
  <si>
    <t>CB4fMHor/kacRyJF/LSTgA</t>
  </si>
  <si>
    <t>P1A-1250</t>
  </si>
  <si>
    <t>(DEL)EB - Area 1 - Erosion Control Initial</t>
  </si>
  <si>
    <t>0mGzTpr8wkO2EhiXDFyuIg</t>
  </si>
  <si>
    <t>lS2REL3/wEiYGAhhLJ6vPw</t>
  </si>
  <si>
    <t>P1A-1270</t>
  </si>
  <si>
    <t>(DEL)EB - Area 1 - Erosion Control Final</t>
  </si>
  <si>
    <t>q8bS7qv06km8EyQBXnlLzA</t>
  </si>
  <si>
    <t>CSBm2fdBZ0y31wQ6ZTmKFQ</t>
  </si>
  <si>
    <t>P1A-1290</t>
  </si>
  <si>
    <t>(DEL)EB - Area 3 - Clear and Grub</t>
  </si>
  <si>
    <t>QTRQ204DQU+PFUe11HFV3A</t>
  </si>
  <si>
    <t>KOG5wz3LJUGWjKlpIzGEUw</t>
  </si>
  <si>
    <t>P1A-1280</t>
  </si>
  <si>
    <t>(DEL)EB - Area 3 - Erosion Control Initial</t>
  </si>
  <si>
    <t>kEAskDMgtkqF5TyphLSOUw</t>
  </si>
  <si>
    <t>Tiv1ia0M0Um98e5Gl1U/uw</t>
  </si>
  <si>
    <t>P1A-1300</t>
  </si>
  <si>
    <t>(DEL)EB - Area 3 - Erosion Control Final</t>
  </si>
  <si>
    <t>0axwIYC7uEOzuWSTlMSFgQ</t>
  </si>
  <si>
    <t>EEEcfs1sPUGJPGoE6jjSHw</t>
  </si>
  <si>
    <t>P1AWB-2050</t>
  </si>
  <si>
    <t>WB - Area 2 - Install Bottom Drainage Boxes and Pipe</t>
  </si>
  <si>
    <t>KubNxaO+MES029Cy1cUk+w</t>
  </si>
  <si>
    <t>jXtdPfcuD0mVwtWnZqZ7vA</t>
  </si>
  <si>
    <t>P1AWB-2060</t>
  </si>
  <si>
    <t>WB - Area 2 - Cut/Fill Earthwork (Unclassified)</t>
  </si>
  <si>
    <t>eZJ2HGuavUe9L9DSuoQEMQ</t>
  </si>
  <si>
    <t>yYVFhcyN3EaRcr87NeowWg</t>
  </si>
  <si>
    <t>P1AWB-2070</t>
  </si>
  <si>
    <t>WB - Area 2- Install Top Drainage Boxes and Pipe</t>
  </si>
  <si>
    <t>qhVakX9gA0ScvwHHYCFY3w</t>
  </si>
  <si>
    <t>xxJ9ByJemkKis60bSwMaKg</t>
  </si>
  <si>
    <t>P1AWB-2090</t>
  </si>
  <si>
    <t>WB - Area 2 - Subgrade Stabilization</t>
  </si>
  <si>
    <t>xjP/m9YojUagkQipqxbDqw</t>
  </si>
  <si>
    <t>f6m2bbwPwEW+9lSzuZwEdQ</t>
  </si>
  <si>
    <t>P1AWB-2100</t>
  </si>
  <si>
    <t>WB - Area 2 - Place 8"" ABC (98% Compaction)</t>
  </si>
  <si>
    <t>SzIstS/GL0iv3/zGkGfLag</t>
  </si>
  <si>
    <t>5/dcskv3w0WZODTOTPUKkg</t>
  </si>
  <si>
    <t>P1AWB-2110</t>
  </si>
  <si>
    <t>WB - Area 2 - Place 3"" Base Paving</t>
  </si>
  <si>
    <t>q0S0/gTk1Eq7zlQQY29NpA</t>
  </si>
  <si>
    <t>OQ8sZPNJEkeErf2VzIY++g</t>
  </si>
  <si>
    <t>P1AWB-2120</t>
  </si>
  <si>
    <t>WB - Area 2 - Place 3"" Intermediate Paving</t>
  </si>
  <si>
    <t>j4XlXu8BnkqbG0s9GzE3OQ</t>
  </si>
  <si>
    <t>P1AWB-2130</t>
  </si>
  <si>
    <t>WB - Area 2 - Place 1.5"" Surface Paving</t>
  </si>
  <si>
    <t>Js8ZpS+1IEOdrjXBt2lUyA</t>
  </si>
  <si>
    <t>yVHpAKVUVUiyrM6Apq1FyA</t>
  </si>
  <si>
    <t>P1AWB-3120</t>
  </si>
  <si>
    <t>WB - Area 3 - Install Bottom Drainage Boxes and Pipe</t>
  </si>
  <si>
    <t>Yr/snZExvk6+sKBdtxOnRA</t>
  </si>
  <si>
    <t>shDyJO0/W0WkFGJ0ebnBYQ</t>
  </si>
  <si>
    <t>P1AWB-3130</t>
  </si>
  <si>
    <t>WB - Area 3 - Cut/Fill Earthwork (Unclassified)</t>
  </si>
  <si>
    <t>C0VQ17XenkCLPZYwooVaTw</t>
  </si>
  <si>
    <t>vWhbe9lXA0CXNfzgvEF30w</t>
  </si>
  <si>
    <t>P1AWB-3140</t>
  </si>
  <si>
    <t>WB - Area 3 - Install Top Drainage Boxes and Pipe</t>
  </si>
  <si>
    <t>wesnG3x4lUur8rgLpkcwXw</t>
  </si>
  <si>
    <t>rPnBZN7DhUuwtGgz/6kkUw</t>
  </si>
  <si>
    <t>P1AWB-3150</t>
  </si>
  <si>
    <t>WB - Area 3 - Place Class IV Stabilization</t>
  </si>
  <si>
    <t>c7LztS+58ki0MLl02d3yFA</t>
  </si>
  <si>
    <t>lN/lyaQop0OkC35aBIUX9A</t>
  </si>
  <si>
    <t>P1AWB-3160</t>
  </si>
  <si>
    <t>WB - Area 3 - Place 8"" ABC (98% Compaction)</t>
  </si>
  <si>
    <t>0xh5Mjunx0+FfidXACsKkw</t>
  </si>
  <si>
    <t>CglUAzzvtkGyMqsVMXg2Bw</t>
  </si>
  <si>
    <t>P1AWB-3170</t>
  </si>
  <si>
    <t>WB - Area 3 - Place 3"" Base Paving</t>
  </si>
  <si>
    <t>RGxV434/cUWVVra1dBI8wg</t>
  </si>
  <si>
    <t>tXYffGH+h0qRxyDYKIaRfg</t>
  </si>
  <si>
    <t>P1AWB-3180</t>
  </si>
  <si>
    <t>WB - Area 3 - Place 3"" Intermediate Paving</t>
  </si>
  <si>
    <t>JWxEqr3NLU2Uts6YVWF78A</t>
  </si>
  <si>
    <t>x2oX2oJpr0iwXKU9BAZOhw</t>
  </si>
  <si>
    <t>P1AWB-3190</t>
  </si>
  <si>
    <t>WB - Area 3 - Place 1.5"" Surface Paving</t>
  </si>
  <si>
    <t>C/TzAveoBEWbm4epYk6XYw</t>
  </si>
  <si>
    <t>wrLY+44pzUGQDsAAJ123VQ</t>
  </si>
  <si>
    <t>P1AWB-3200</t>
  </si>
  <si>
    <t>WB - Area 1 - Install Drainage Boxes and Pipe</t>
  </si>
  <si>
    <t>bHljnv0z302SjyjO1x8oOQ</t>
  </si>
  <si>
    <t>cT98xGtll06czeqzBaRNRQ</t>
  </si>
  <si>
    <t>P1AWB-3210</t>
  </si>
  <si>
    <t>1 WB - Area 1B - Unclassified Excavation</t>
  </si>
  <si>
    <t>fAgVnblXQEWNKyHYwl+3tw</t>
  </si>
  <si>
    <t>r8DaasRMv0m07o2CLyktFQ</t>
  </si>
  <si>
    <t>P1AWB-3220</t>
  </si>
  <si>
    <t>(DEL) WB - Area 1- Install Top Drainage Boxes and Pipe</t>
  </si>
  <si>
    <t>N7/NMA4ag0WaFRsvdu2UIg</t>
  </si>
  <si>
    <t>0Sx3QGfNYUK7W66nZLJsnw</t>
  </si>
  <si>
    <t>P1AWB-3230</t>
  </si>
  <si>
    <t>WB - Area 1B - Lime Subgrade Stabilization</t>
  </si>
  <si>
    <t>zUJ/H3iQxUWIsfd7qiROiQ</t>
  </si>
  <si>
    <t>P1AWB-3240</t>
  </si>
  <si>
    <t>WB - Area 1B - Place 8"" ABC (98% Compaction)</t>
  </si>
  <si>
    <t>7q17cg+8wkCOk8SfxeuiBQ</t>
  </si>
  <si>
    <t>P1AWB-3250</t>
  </si>
  <si>
    <t>WB - Area 1B - Place 3"" Base Paving</t>
  </si>
  <si>
    <t>fn4WJ140pkiU0fpHqpNQWA</t>
  </si>
  <si>
    <t>P1AWB-3260</t>
  </si>
  <si>
    <t>WB - Area 1B - Place 3"" Intermediate Asphalt and Wedging</t>
  </si>
  <si>
    <t>414zOe8tQ0SCDn0wkTYZkw</t>
  </si>
  <si>
    <t>P1AWB-3270</t>
  </si>
  <si>
    <t>WB - Area 1B - Place 1.5"" Surface Asphalt</t>
  </si>
  <si>
    <t>51gRTTAZNEeuufkglzdg+g</t>
  </si>
  <si>
    <t>DA-1080.120</t>
  </si>
  <si>
    <t>Procurement - Pipe Pile</t>
  </si>
  <si>
    <t>jfWq2mGEo0WmgJzFCNJKdg</t>
  </si>
  <si>
    <t>mZ518Y+4ik2okXaQSL/IDA</t>
  </si>
  <si>
    <t>DA-1080.130</t>
  </si>
  <si>
    <t>Procurement - H-Pile</t>
  </si>
  <si>
    <t>DGXGCmydzku63Xl3vKdaAw</t>
  </si>
  <si>
    <t>VsnATz19x0OeoTARJvdTpg</t>
  </si>
  <si>
    <t>DA-1080.140</t>
  </si>
  <si>
    <t>Procurement - Drilled Shaft</t>
  </si>
  <si>
    <t>NAOvn4zXj0+FjxISVQkp+Q</t>
  </si>
  <si>
    <t>iUVo77sSbkGJfVB0ANBUlw</t>
  </si>
  <si>
    <t>DA-1080.150</t>
  </si>
  <si>
    <t>Procurement - Girders</t>
  </si>
  <si>
    <t>fBPmNU2aUEm3+IRtqZnf8w</t>
  </si>
  <si>
    <t>J1p3PUcxjkugUM2G01XwqA</t>
  </si>
  <si>
    <t>DA-1080.160</t>
  </si>
  <si>
    <t>Procurement - Rebar Sub</t>
  </si>
  <si>
    <t>a9BHdYRWv0O8ombP2MgIZA</t>
  </si>
  <si>
    <t>DPsaRWJ9PEuNZocOal8SlQ</t>
  </si>
  <si>
    <t>P1AWB-3300</t>
  </si>
  <si>
    <t>WB - Area 1 - Jack &amp; Bore Sta 84+00 (48"")</t>
  </si>
  <si>
    <t>g1UhoZjMkkqgNgpjllv7nQ</t>
  </si>
  <si>
    <t>RSQtCAmNNEe6f7/QQ4J+HQ</t>
  </si>
  <si>
    <t>P1AEB-3310</t>
  </si>
  <si>
    <t>EB - Area 1 - Install Drainage Boxes and Pipe</t>
  </si>
  <si>
    <t>FTGMOULRZkO3k2TGWzpL3Q</t>
  </si>
  <si>
    <t>J337m6bmEkqZkJgLNgE94Q</t>
  </si>
  <si>
    <t>P1AEB-3330</t>
  </si>
  <si>
    <t>EB - Area 1B - Cut/Fill Earthwork (Unclassified)</t>
  </si>
  <si>
    <t>wbBptqRP/kum+YHlNQy5DQ</t>
  </si>
  <si>
    <t>WjYsMkAP9kqr0VZ5J01xfA</t>
  </si>
  <si>
    <t>P1AEB-3350</t>
  </si>
  <si>
    <t>(DEL)EB - Area 1- Install Top Drainage Boxes and Pipe</t>
  </si>
  <si>
    <t>NsVAgr9EMUGuDVZD4uxd6w</t>
  </si>
  <si>
    <t>1Cx6SRePA02ykrDqQcxqKw</t>
  </si>
  <si>
    <t>P1AEB-3340</t>
  </si>
  <si>
    <t>EB - Area 1B - Lime Subgrade Stabilization</t>
  </si>
  <si>
    <t>6l36qNANe0KGH6n06XywUA</t>
  </si>
  <si>
    <t>h7cKinzSBEaPVqjVlnMEyA</t>
  </si>
  <si>
    <t>P1AEB-3360</t>
  </si>
  <si>
    <t>EB - Area 1B - Place 8"" ABC (98% Compaction)</t>
  </si>
  <si>
    <t>wPOzSnGwu0OyZlYP9jTpug</t>
  </si>
  <si>
    <t>PeePioTDYEyKPBjZX4umGQ</t>
  </si>
  <si>
    <t>P1AEB-3370</t>
  </si>
  <si>
    <t>EB - Area 1B - Place 3"" Base Asphalt</t>
  </si>
  <si>
    <t>0Bf4/aWg10qhn38munTTqQ</t>
  </si>
  <si>
    <t>9UKKcr/jk0GDYzqEGYn75Q</t>
  </si>
  <si>
    <t>P1AEB-3380</t>
  </si>
  <si>
    <t>EB - Area 1B - Place 3"" Intermediate Asphalt and Wedging</t>
  </si>
  <si>
    <t>ftmoHt2ZYkaVvOB5jkhd5g</t>
  </si>
  <si>
    <t>P1AEB-3390</t>
  </si>
  <si>
    <t>EB - Area 1B - Place 1.5"" Surface Asphalt</t>
  </si>
  <si>
    <t>zAP7+guHHk6LeSknKGyUuQ</t>
  </si>
  <si>
    <t>P1AEB-3400</t>
  </si>
  <si>
    <t>EB - Area 2 - Install Drainage Boxes and Pipe</t>
  </si>
  <si>
    <t>fyAKA/N4Pk6eB3AAuZQcVg</t>
  </si>
  <si>
    <t>SLiKioxfSESGKNrIY1GgyA</t>
  </si>
  <si>
    <t>P1AEB-3420</t>
  </si>
  <si>
    <t>EB - Area 2 - Cut/Fill Earthwork and Grade Slopes</t>
  </si>
  <si>
    <t>eUbkfS7oCUS+QkN0pTBjrA</t>
  </si>
  <si>
    <t>psGPbLbo90i7DYkQYgeHwQ</t>
  </si>
  <si>
    <t>P1AEB-3440</t>
  </si>
  <si>
    <t>(DEL)EB - Area 2 - Install Top Drainage Boxes and Pipe</t>
  </si>
  <si>
    <t>r15ZlqAtDkicCywSsnHG6A</t>
  </si>
  <si>
    <t>t5wqQzSp+06LYe+zLkwXXg</t>
  </si>
  <si>
    <t>P1AEB-3430</t>
  </si>
  <si>
    <t>(DEL)EB - Area 2 - Place Lime Stabilization</t>
  </si>
  <si>
    <t>kWRg0X7S6EeSjvB9l5JQtA</t>
  </si>
  <si>
    <t>XWWD5itTyk6uAxhGS/v+1Q</t>
  </si>
  <si>
    <t>P1AEB-3450</t>
  </si>
  <si>
    <t>(DEL)EB - Area 2 - Place 8"" ABC (98% Compaction)</t>
  </si>
  <si>
    <t>asTJOElsNU6Pl38fDD6nxA</t>
  </si>
  <si>
    <t>Tn3+0uv4gU+m8BJGP0/y0Q</t>
  </si>
  <si>
    <t>P1AEB-3460</t>
  </si>
  <si>
    <t>(DEL)EB - Area 2 - Place 3"" Base Paving</t>
  </si>
  <si>
    <t>f160M7IF3E6aMwazcd0Mgw</t>
  </si>
  <si>
    <t>zDZhcFEXRk26La6IZZwTRQ</t>
  </si>
  <si>
    <t>P1AEB-3470</t>
  </si>
  <si>
    <t>(DEL)EB - Area 2 - Place 3"" Intermediate Paving</t>
  </si>
  <si>
    <t>RvMnfiiFlEGPhoFdIE1olw</t>
  </si>
  <si>
    <t>qpgvELokkUaVTSQBHjaYYg</t>
  </si>
  <si>
    <t>P1AEB-3480</t>
  </si>
  <si>
    <t>(DEL)EB - Area 2 - Place 1.5"" Surface Paving</t>
  </si>
  <si>
    <t>K9LN/9YBOEqdoX+dNe2bzQ</t>
  </si>
  <si>
    <t>Yod99ZXXuUq4dqphEQbFPw</t>
  </si>
  <si>
    <t>P1AEB-3490</t>
  </si>
  <si>
    <t>EB - Area 3 - Install Drainage Boxes and Pipe</t>
  </si>
  <si>
    <t>RLHhFtevgkiP+wuVwuMJog</t>
  </si>
  <si>
    <t>zu/FbNbHIEmVkR3MPW2zMA</t>
  </si>
  <si>
    <t>P1AEB-3510</t>
  </si>
  <si>
    <t>EB - Area 3 - Cut/Fill Earthwork and Grade Slopes</t>
  </si>
  <si>
    <t>FiRClqZ07EeCwe4kZ3rkZQ</t>
  </si>
  <si>
    <t>aY+bvMSM3keZybwZ/SYJoA</t>
  </si>
  <si>
    <t>P1AEB-3530</t>
  </si>
  <si>
    <t>(DEL) EB - Area 3 - Install Top Drainage Boxes and Pipe</t>
  </si>
  <si>
    <t>Lso82SCjoEGXPvqgcTvyuw</t>
  </si>
  <si>
    <t>aPwZe9lfI0qJXjMSA7i0mQ</t>
  </si>
  <si>
    <t>P1AEB-3520</t>
  </si>
  <si>
    <t>(DEL)EB - Area 3 - Place Lime Stabilization</t>
  </si>
  <si>
    <t>HOeWUvaMZESddicWJn0dBA</t>
  </si>
  <si>
    <t>d3ZyDzOQtUKzAlG6ujolSg</t>
  </si>
  <si>
    <t>P1AEB-3540</t>
  </si>
  <si>
    <t>(DEL)EB - Area 3 - Place 8"" ABC (98% Compaction)</t>
  </si>
  <si>
    <t>VrJ+ppUzDUep5xqlpDXHnQ</t>
  </si>
  <si>
    <t>Rslvv9DIF0y0nggA2D91Lg</t>
  </si>
  <si>
    <t>P1AEB-3550</t>
  </si>
  <si>
    <t>(DEL)EB - Area 3 - Place 3"" Base Paving</t>
  </si>
  <si>
    <t>unySl6n/tkefUS7P5TUHrQ</t>
  </si>
  <si>
    <t>gCbOzf6MIU2tlQbXnUs1ng</t>
  </si>
  <si>
    <t>P1AEB-3560</t>
  </si>
  <si>
    <t>EB - Area 3 - Place 3"" Intermediate Asphalt and Wedging</t>
  </si>
  <si>
    <t>hcQvVeQL4U2sk/ig+yVUmg</t>
  </si>
  <si>
    <t>Wxx3DPU/X0mghusIdX4O/w</t>
  </si>
  <si>
    <t>P1AEB-3570</t>
  </si>
  <si>
    <t>EB - Area 3 - Place 1.5"" Surface Asphalt</t>
  </si>
  <si>
    <t>vJ2vuzuJ3EmbSYKKfmwAdQ</t>
  </si>
  <si>
    <t>0Lj20FGHW0aB8/dYNn+04w</t>
  </si>
  <si>
    <t>P1AWB-2190</t>
  </si>
  <si>
    <t>WB - Area 2 - Mill Exisiting Roadway (Qty:  7,000 SY)</t>
  </si>
  <si>
    <t>S/EmHr07Rk6JxGnKn/2Dmw</t>
  </si>
  <si>
    <t>HV/sjjlfQEqRSn/ehCvzDw</t>
  </si>
  <si>
    <t>P1AWB-2200</t>
  </si>
  <si>
    <t>WB - Area 2 - Install Barrier</t>
  </si>
  <si>
    <t>77golK6d/0G5tUQUs/imXA</t>
  </si>
  <si>
    <t>PNzCFQIkgkCYdeby01VEBw</t>
  </si>
  <si>
    <t>P1AWB-3320</t>
  </si>
  <si>
    <t>WB - Area 3 - Mill Exisiting Roadway (Qty:  7,040 SY)</t>
  </si>
  <si>
    <t>aXKe0MjvpUuF6C5HRMkIPg</t>
  </si>
  <si>
    <t>K/Fur9dGFU6Em2b1ogs4Aw</t>
  </si>
  <si>
    <t>P1AWB-3310</t>
  </si>
  <si>
    <t>WB - Area 3 - Install Barrier</t>
  </si>
  <si>
    <t>/UMxS16x6kaeJfIyHAhImQ</t>
  </si>
  <si>
    <t>A9hotIxctk2wHYD7yJletA</t>
  </si>
  <si>
    <t>P1AWB-3330</t>
  </si>
  <si>
    <t>WB - Area 3 - Repair Exisiting Roadway (Qty:  20,000 SY)</t>
  </si>
  <si>
    <t>pacJoygi+0+7Eal+8L/XWQ</t>
  </si>
  <si>
    <t>DtskPvxJdEG5vxF/31hfIA</t>
  </si>
  <si>
    <t>P1AWB-2210</t>
  </si>
  <si>
    <t>WB - Area 2 - Repair Exisiting Roadway (Qty:  26,500 SY)</t>
  </si>
  <si>
    <t>Dm/pvX4X9k+Uz1Vfs2n5hQ</t>
  </si>
  <si>
    <t>1EJH7/zRc0qeWkOxYzH/BQ</t>
  </si>
  <si>
    <t>P1AWB-3350</t>
  </si>
  <si>
    <t>WB - Area 1B - Mill Exisiting Roadway</t>
  </si>
  <si>
    <t>KZ0v1PLfy0CJEfbm8OtCsw</t>
  </si>
  <si>
    <t>P1AWB-3340</t>
  </si>
  <si>
    <t>WB - Area 1B - Remove Barrier</t>
  </si>
  <si>
    <t>AtpMsotQz0OM2lDv6w6HKQ</t>
  </si>
  <si>
    <t>P1AWB-3360</t>
  </si>
  <si>
    <t>WB - Area 1B - Repair Exisiting Roadway</t>
  </si>
  <si>
    <t>j2U+RFWGckasY0oz4Wbnxg</t>
  </si>
  <si>
    <t>P1B5-1080</t>
  </si>
  <si>
    <t>Span E - Bent 5 - Install Bearings</t>
  </si>
  <si>
    <t>0pIbY4Wdp0qywGtzHi1FRg</t>
  </si>
  <si>
    <t>mPmV3YHFbUm0KbBeUeGihw</t>
  </si>
  <si>
    <t>P1B6-1080</t>
  </si>
  <si>
    <t>Span F - Bent 6 - Install Bearings</t>
  </si>
  <si>
    <t>2B7zrDCKAEKIp4CrhgzQJg</t>
  </si>
  <si>
    <t>DG/xK/jz7Eaa3mUvdV1NsA</t>
  </si>
  <si>
    <t>P1B7-1080</t>
  </si>
  <si>
    <t>Span G - Bent 7 - Install Bearings</t>
  </si>
  <si>
    <t>4kRkGycOvE2TL0HgIVuxFg</t>
  </si>
  <si>
    <t>JSNdqaomD0ieEt121TzCjg</t>
  </si>
  <si>
    <t>P1B4-1050</t>
  </si>
  <si>
    <t>Span D - Bent 4 - Install Bearings</t>
  </si>
  <si>
    <t>w+xM6JKBtkapgXwcfnyy+A</t>
  </si>
  <si>
    <t>S8+5Vg/Wi0KQD9V/nJXBgw</t>
  </si>
  <si>
    <t>P1B3-1050</t>
  </si>
  <si>
    <t>Span C - Bent 3 - Install Bearings</t>
  </si>
  <si>
    <t>FS1/zYE23Em28VLkQPjoiw</t>
  </si>
  <si>
    <t>k4AXH0JIZUe0cTVfpfttcg</t>
  </si>
  <si>
    <t>P1B1-1050</t>
  </si>
  <si>
    <t>Span A - Bent 1 - Install Bearings</t>
  </si>
  <si>
    <t>J6IDfeX5hE+7/WH6V/RwbQ</t>
  </si>
  <si>
    <t>mXUuDyUudEi/FUHkryb0pw</t>
  </si>
  <si>
    <t>P1B2-1050</t>
  </si>
  <si>
    <t>Span B - Bent 2 - Install Bearings</t>
  </si>
  <si>
    <t>1ufjkJs32028n2l+zzwQ1w</t>
  </si>
  <si>
    <t>kDZbJXdqwk+3fqR0UqX1PQ</t>
  </si>
  <si>
    <t>P1EB2-1110</t>
  </si>
  <si>
    <t>EB 2 - Strip Cap/Wall Formwork</t>
  </si>
  <si>
    <t>LXRIqQ46Nk+fsa8gGUHmCQ</t>
  </si>
  <si>
    <t>JlFXWz6h5EO93u+qHK68kA</t>
  </si>
  <si>
    <t>P1EB2-1120</t>
  </si>
  <si>
    <t>EB 2 - Point/Patch Cap &amp; Walls</t>
  </si>
  <si>
    <t>eXSNkEGtPUSlkw/e7liZQQ</t>
  </si>
  <si>
    <t>1PGWEAHfnEiwrpX8Ji5SAg</t>
  </si>
  <si>
    <t>P1EB2-1150</t>
  </si>
  <si>
    <t>Span H - EB 2 - Install Bearings</t>
  </si>
  <si>
    <t>sEij5cCWU0OPJnVF0CZ05w</t>
  </si>
  <si>
    <t>t+T4QhdVA0KptfxT/mPwbQ</t>
  </si>
  <si>
    <t>P1EB2-1160</t>
  </si>
  <si>
    <t>EB 1 - Strip Cap/Wall Formwork</t>
  </si>
  <si>
    <t>QpevI6/dvkSOEGPaKMgm9Q</t>
  </si>
  <si>
    <t>fwluaeQV106h1PAjz5J1aQ</t>
  </si>
  <si>
    <t>P1EB2-1170</t>
  </si>
  <si>
    <t>EB 1 - Point/Patch Cap &amp; Walls</t>
  </si>
  <si>
    <t>FllbbjMui0WgKKlNOEXKAQ</t>
  </si>
  <si>
    <t>baUpeoT2CECP6V5HwVA6PQ</t>
  </si>
  <si>
    <t>P1EB2-1200</t>
  </si>
  <si>
    <t>Span A - EB 1 - Install Bearings</t>
  </si>
  <si>
    <t>TTyZ1La/cEGGA6kl9sEsdA</t>
  </si>
  <si>
    <t>Kwa6QIoXIEa5U8+6I+faWA</t>
  </si>
  <si>
    <t>DA-1080.180</t>
  </si>
  <si>
    <t>Procurement - Bearings/Anchor Bolts</t>
  </si>
  <si>
    <t>WO4zPAn9L06jBzg4tE/1zA</t>
  </si>
  <si>
    <t>H1bWP+bm/EODCaFa6FQCVA</t>
  </si>
  <si>
    <t>DA-1080.190</t>
  </si>
  <si>
    <t>Procurement - Expansion Joints</t>
  </si>
  <si>
    <t>d45OysNtYkWzsKE6r+zOMA</t>
  </si>
  <si>
    <t>yv75hpV8kEeJcdBQjnW4uA</t>
  </si>
  <si>
    <t>DA-1080.200</t>
  </si>
  <si>
    <t>Procurement - SIP Decking</t>
  </si>
  <si>
    <t>XXCPOHIv5Ui8B3XIAB7I5g</t>
  </si>
  <si>
    <t>/bPe/AN08k6V5Fh5OFk3Fw</t>
  </si>
  <si>
    <t>DA-1080.210</t>
  </si>
  <si>
    <t>Submit Work Plan - Pipe Pile</t>
  </si>
  <si>
    <t>BsU86dnAaE+20NOKTbbqKQ</t>
  </si>
  <si>
    <t>mbIYWM9dX0qM0xgHfvCW1Q</t>
  </si>
  <si>
    <t>DA-1080.220</t>
  </si>
  <si>
    <t>Submit Work Plan - H-Pile</t>
  </si>
  <si>
    <t>meZeZ22/jke/r58GkWkwxw</t>
  </si>
  <si>
    <t>h4Y2GtObt0CsS68JOZzs7Q</t>
  </si>
  <si>
    <t>DA-1080.230</t>
  </si>
  <si>
    <t>Submit Drilled Pier Plan Submittal - Drilled Shaft</t>
  </si>
  <si>
    <t>UTWaEjFpxkWR8kXs4nC9jQ</t>
  </si>
  <si>
    <t>pswKD5U6Cky6rFUXmUwncg</t>
  </si>
  <si>
    <t>DA-1080.240</t>
  </si>
  <si>
    <t>Submit Shop Drawings - Girders</t>
  </si>
  <si>
    <t>42puzvyLGkGK1ZQWn1Wvig</t>
  </si>
  <si>
    <t>7SxiSDqOSEK7Rc+N79XnTg</t>
  </si>
  <si>
    <t>DA-1080.250</t>
  </si>
  <si>
    <t>(DEL) Submit Shop Drawings - Rebar</t>
  </si>
  <si>
    <t>lmDOEzLNy0aq9nfPz0JLxA</t>
  </si>
  <si>
    <t>uYzxC4+huEqyjfOzAKxKBQ</t>
  </si>
  <si>
    <t>DA-1080.260</t>
  </si>
  <si>
    <t>Submit Shop Drawings - Bearings/Anchor Bolts</t>
  </si>
  <si>
    <t>sjYhV9PF4ka5JrGOUS5clw</t>
  </si>
  <si>
    <t>i9W36D5zoECJIAwyfi5/oQ</t>
  </si>
  <si>
    <t>DA-1080.270</t>
  </si>
  <si>
    <t>Submit Shop Drawings - Expansion Joints</t>
  </si>
  <si>
    <t>tWAlTx+HhUe+I/HfAb2l/g</t>
  </si>
  <si>
    <t>UAuhHCJm/EK7Fi1Nb7s3+g</t>
  </si>
  <si>
    <t>DA-1080.280</t>
  </si>
  <si>
    <t>Submit Shop Drawings - SIP Decking</t>
  </si>
  <si>
    <t>mctdFZRlRkK5CmQZGH07RQ</t>
  </si>
  <si>
    <t>YuVRU6rLKUOeKyBUlRA73g</t>
  </si>
  <si>
    <t>DA-1080.290</t>
  </si>
  <si>
    <t>Review/Approval Work Plan - Pipe Pile</t>
  </si>
  <si>
    <t>R4/LZVN2I0G2lfd8U05sCA</t>
  </si>
  <si>
    <t>oBUqroC9xUSAQF3uLza6XA</t>
  </si>
  <si>
    <t>DA-1080.300</t>
  </si>
  <si>
    <t>Review/Approval Work Plan - H-Pile</t>
  </si>
  <si>
    <t>CnLvb6bdjUqaDxxXAKk+7w</t>
  </si>
  <si>
    <t>pBBWpjbrtUmjhC8Oz6nqSA</t>
  </si>
  <si>
    <t>DA-1080.310</t>
  </si>
  <si>
    <t>Review/Approval Drilled Pier Plan Submittal  - Drilled Shaft</t>
  </si>
  <si>
    <t>rot/tJ7HGku+sbl6nhSeKA</t>
  </si>
  <si>
    <t>4+jTBE5DWUaAxtNADrWCHw</t>
  </si>
  <si>
    <t>DA-1080.320</t>
  </si>
  <si>
    <t>Review/Approval Shop Drawings - Girders</t>
  </si>
  <si>
    <t>3cmwpceCikWuasxP9is6xA</t>
  </si>
  <si>
    <t>o+IUs4HFMU6N1mwscv6wHg</t>
  </si>
  <si>
    <t>DA-1080.330</t>
  </si>
  <si>
    <t>(DEL) Review/Approval Shop Drawings - Rebar</t>
  </si>
  <si>
    <t>wfxXcywBVEiK+o7jmSyz9A</t>
  </si>
  <si>
    <t>7XXf/lHnUk6G55W1fX5QaA</t>
  </si>
  <si>
    <t>DA-1080.340</t>
  </si>
  <si>
    <t>Review/Approval Shop Drawings - Bearings/Anchor Bolts</t>
  </si>
  <si>
    <t>xpfUn0hyYUihWX2LgYtuFw</t>
  </si>
  <si>
    <t>Fcu+sGjQgEWO6Mxm/fd/MA</t>
  </si>
  <si>
    <t>DA-1080.350</t>
  </si>
  <si>
    <t>Review/Approval Shop Drawings - Expansion Joints</t>
  </si>
  <si>
    <t>DMT9IS2w8ECUNPKo5bRs1g</t>
  </si>
  <si>
    <t>Q8PzZGAqnkq4a5kDbePAIQ</t>
  </si>
  <si>
    <t>DA-1080.360</t>
  </si>
  <si>
    <t>Review/Approval Shop Drawings - SIP Decking</t>
  </si>
  <si>
    <t>fozkA78zwUy82fvgEbUMmg</t>
  </si>
  <si>
    <t>TWnkkY9GNUSLsB/PhMpUCA</t>
  </si>
  <si>
    <t>DA-1080.370</t>
  </si>
  <si>
    <t>Fabricate/Deliver - Pipe Pile</t>
  </si>
  <si>
    <t>svtRJjLf/Eqdu4bfic2pRQ</t>
  </si>
  <si>
    <t>gnvy3FT1aEe6GgFo4MEBKw</t>
  </si>
  <si>
    <t>DA-1080.380</t>
  </si>
  <si>
    <t>Fabricate/Deliver - H-Pile</t>
  </si>
  <si>
    <t>eQzUYl+d2UO/gHLcegdhPg</t>
  </si>
  <si>
    <t>WzLIiQkpCk++sATu9YnjtQ</t>
  </si>
  <si>
    <t>DA-1080.400</t>
  </si>
  <si>
    <t>Fabricate/Deliver - Girders</t>
  </si>
  <si>
    <t>TXk1G9mkKkOhTPUPKTPEUg</t>
  </si>
  <si>
    <t>WiL2//Lg/UaPR5PDAQc0XA</t>
  </si>
  <si>
    <t>DA-1080.420</t>
  </si>
  <si>
    <t>Fabricate/Deliver - Bearings/Anchor Bolts</t>
  </si>
  <si>
    <t>tk89wiZmUkyMEm/7Gax3Fw</t>
  </si>
  <si>
    <t>HLCeaUfZFk+4aavZXGHcnA</t>
  </si>
  <si>
    <t>DA-1080.430</t>
  </si>
  <si>
    <t>Fabricate/Deliver - Expansion Joints</t>
  </si>
  <si>
    <t>NImOU9pegU65HCsN/axiPQ</t>
  </si>
  <si>
    <t>vjFT9ZQEFUq0G9hhS+jbRw</t>
  </si>
  <si>
    <t>DA-1080.440</t>
  </si>
  <si>
    <t>Fabricate/Deliver - SIP Decking</t>
  </si>
  <si>
    <t>aKDFToGjtEyo4a/QL/pkhw</t>
  </si>
  <si>
    <t>EXUw24WsYUy1sPdMprrcKQ</t>
  </si>
  <si>
    <t>P1S-1050</t>
  </si>
  <si>
    <t>End Bent 1 - Form Approach Slab</t>
  </si>
  <si>
    <t>9js0Tq3otEKUuyGVQ8rU6w</t>
  </si>
  <si>
    <t>Czfs8/Zj906tscFxVyVyEA</t>
  </si>
  <si>
    <t>P1S-1060</t>
  </si>
  <si>
    <t>End Bent 1 - Rebar Approach Slab</t>
  </si>
  <si>
    <t>onx9cABSwEajpPcgfZ/tXg</t>
  </si>
  <si>
    <t>UyQyvMPZ6ECOLo3KqLjtXQ</t>
  </si>
  <si>
    <t>P1S-1070</t>
  </si>
  <si>
    <t>End Bent 1 - Place Approach Slab</t>
  </si>
  <si>
    <t>CC9+Z7gqyEiAzXcLF2vYwQ</t>
  </si>
  <si>
    <t>hOdKyb0gTkCOkhqSYlOwIw</t>
  </si>
  <si>
    <t>P1S-1080</t>
  </si>
  <si>
    <t>End Bent 1 - Cure Approach Slab</t>
  </si>
  <si>
    <t>exRSdvpfCEangjZf0ljmYA</t>
  </si>
  <si>
    <t>tgOxBSZrMk+7qK4dp9PSbg</t>
  </si>
  <si>
    <t>P1S-1090</t>
  </si>
  <si>
    <t>End Bent 1 - Strip Approach Slab</t>
  </si>
  <si>
    <t>LbyFG/n4xEWuPSZP5+W0pg</t>
  </si>
  <si>
    <t>WX72tXUn6UOC/T5yyUqJQQ</t>
  </si>
  <si>
    <t>P1S-1100</t>
  </si>
  <si>
    <t>End Bent 2 - Form Approach Slab</t>
  </si>
  <si>
    <t>RrQ8UZOtTUuRiAIG6l7LQw</t>
  </si>
  <si>
    <t>Yx6HlNB03EarJip2eb09Kw</t>
  </si>
  <si>
    <t>P1S-1110</t>
  </si>
  <si>
    <t>End Bent 2 - Rebar Approach Slab</t>
  </si>
  <si>
    <t>sNfeuhgyEkO+zSaij1I+BA</t>
  </si>
  <si>
    <t>AM58Bac/d0eJ0S6I7rrFyA</t>
  </si>
  <si>
    <t>P1S-1120</t>
  </si>
  <si>
    <t>End Bent 2 - Place Approach Slab</t>
  </si>
  <si>
    <t>JDsGM56epUSuPMgpJE+4uA</t>
  </si>
  <si>
    <t>PbWm8R6PoUmYW1GRakjnHA</t>
  </si>
  <si>
    <t>P1S-1130</t>
  </si>
  <si>
    <t>End Bent 2 - Cure Approach Slab</t>
  </si>
  <si>
    <t>GhKk721wFk+7+Ei48gILjQ</t>
  </si>
  <si>
    <t>yaEda6/gY0CzHU8P9oXzpA</t>
  </si>
  <si>
    <t>P1S-1140</t>
  </si>
  <si>
    <t>End Bent 2 - Strip Approach Slab</t>
  </si>
  <si>
    <t>1b6zwGK9jkiAaXwdhhVqJA</t>
  </si>
  <si>
    <t>tXwaE7qmrkWLWtG7LtkDZQ</t>
  </si>
  <si>
    <t>P1EB2-1210</t>
  </si>
  <si>
    <t>EB 2 - Place Rip Rap</t>
  </si>
  <si>
    <t>FfQEhROrpECWHWaF6LUtBA</t>
  </si>
  <si>
    <t>GP5kxVTzI0utZgJchVCYmA</t>
  </si>
  <si>
    <t>P1EB1-1100</t>
  </si>
  <si>
    <t>EB 1 - Fine Grade for Rip Rap</t>
  </si>
  <si>
    <t>VsnJ6JgPlEaKSW5VxiPGrQ</t>
  </si>
  <si>
    <t>Sks6c9cs8EqkFH9oi2JP8g</t>
  </si>
  <si>
    <t>P1EB1-1110</t>
  </si>
  <si>
    <t>EB 1 - Place Rip Rap</t>
  </si>
  <si>
    <t>/w+5EQqid0CJENEY0Exnog</t>
  </si>
  <si>
    <t>zc6jndQH5UGLwIbdF7096g</t>
  </si>
  <si>
    <t>P1EB2-1220</t>
  </si>
  <si>
    <t>EB 2 - Fine Grade for Rip Rap</t>
  </si>
  <si>
    <t>/dLhoEilfEmJSXAEQZH1ng</t>
  </si>
  <si>
    <t>LWiEYY5r5k6rakRTCD/YuA</t>
  </si>
  <si>
    <t>DA-1080.450</t>
  </si>
  <si>
    <t>Procurement - Milling Sub</t>
  </si>
  <si>
    <t>sIJjhOf8ZU+UkOda08CoPg</t>
  </si>
  <si>
    <t>5CphlscFZUGFCJv58PeUfA</t>
  </si>
  <si>
    <t>DA-1080.460</t>
  </si>
  <si>
    <t>Procurement - Paving Sub</t>
  </si>
  <si>
    <t>zmxj1JU++UCvfmqDe/htoA</t>
  </si>
  <si>
    <t>/T3D7MYxYkOh0ukrFJmO/Q</t>
  </si>
  <si>
    <t>DA-1080.470</t>
  </si>
  <si>
    <t>Procurement - Temporary Barrier Wall Sub</t>
  </si>
  <si>
    <t>geN+Qr1pjESv4OMcCBOIVQ</t>
  </si>
  <si>
    <t>RjrgmlYLoUiGOv+HUPZJrA</t>
  </si>
  <si>
    <t>DA-1080.480</t>
  </si>
  <si>
    <t>Procurement - Sound Barrier Wall Sub</t>
  </si>
  <si>
    <t>qm5JI7TPjE+oXKDeRc0PLA</t>
  </si>
  <si>
    <t>FQvtLOh8rEibIo7pRGRQrQ</t>
  </si>
  <si>
    <t>DA-1080.490</t>
  </si>
  <si>
    <t>Procurement - MSE Wall Sub</t>
  </si>
  <si>
    <t>KajGh4+wX0qy1K8t2BEqJQ</t>
  </si>
  <si>
    <t>ZtBMNG1R7kGh+rGvHTuGtw</t>
  </si>
  <si>
    <t>DA-1080.530</t>
  </si>
  <si>
    <t>Submit Shop Drawings - Sound Barrier Wall Sub</t>
  </si>
  <si>
    <t>eD+18Zvc/0iauw/1TN7YsQ</t>
  </si>
  <si>
    <t>FG9DsPsV/Uepmeh5XK3/cw</t>
  </si>
  <si>
    <t>DA-1080.540</t>
  </si>
  <si>
    <t>Submit Shop Drawings - MSE Wall Sub</t>
  </si>
  <si>
    <t>Lq++y+OEgUCfZBagdFcziA</t>
  </si>
  <si>
    <t>zYXRuVArCECEaeoH4o+H+Q</t>
  </si>
  <si>
    <t>DA-1080.550</t>
  </si>
  <si>
    <t>Procurement - ITS/DMS Sub</t>
  </si>
  <si>
    <t>3MFreL43VEWzq8xrB/UtYA</t>
  </si>
  <si>
    <t>pToMHdFkb027QAvXLRfFnA</t>
  </si>
  <si>
    <t>DA-1080.560</t>
  </si>
  <si>
    <t>Procurement - Signage Sub</t>
  </si>
  <si>
    <t>9YuTtb2CpkiYdey+PcPkuA</t>
  </si>
  <si>
    <t>Bkhfyl0+q0eH0GiUaEexWA</t>
  </si>
  <si>
    <t>DA-1080.570</t>
  </si>
  <si>
    <t>Procurement - Pedestrian Bridge</t>
  </si>
  <si>
    <t>qPDPkWMYD06oJNPEUMdUiw</t>
  </si>
  <si>
    <t>E7YKBLeceEG1L4Qxpo5vuA</t>
  </si>
  <si>
    <t>DA-1080.580</t>
  </si>
  <si>
    <t>Procurement - Lighting/Electrical Sub</t>
  </si>
  <si>
    <t>HUqh49jmWEiC8BY//DYoYQ</t>
  </si>
  <si>
    <t>aTZ/J4hspEu02JPPYaoFeA</t>
  </si>
  <si>
    <t>DA-1080.590</t>
  </si>
  <si>
    <t>Submit Shop Drawings - Signage</t>
  </si>
  <si>
    <t>E69RRcWysk2gY0gDVLcmpQ</t>
  </si>
  <si>
    <t>1cKYewrSy0GWaTN8hSLXcA</t>
  </si>
  <si>
    <t>DA-1080.600</t>
  </si>
  <si>
    <t>Submit Shop Drawings - ITS/DMS</t>
  </si>
  <si>
    <t>z7lhknN+4UGTnVQXt3YIrg</t>
  </si>
  <si>
    <t>Ty5EI2rrskmcZ8NU5xbXkA</t>
  </si>
  <si>
    <t>DA-1080.610</t>
  </si>
  <si>
    <t>Submit Shop Drawings - Lighting/Electrical</t>
  </si>
  <si>
    <t>Pk53C5NXGkCOOsfQRyl8fg</t>
  </si>
  <si>
    <t>4F/XGANEtEGLyDQ+UiRKNQ</t>
  </si>
  <si>
    <t>DA-1080.620</t>
  </si>
  <si>
    <t>Submit Shop Drawings - Pedestrian Bridge</t>
  </si>
  <si>
    <t>R36Lh6X78kWvuP/LTswYMw</t>
  </si>
  <si>
    <t>I2cIrD6KR0+QRnkh7iVDtw</t>
  </si>
  <si>
    <t>DA-1080.500</t>
  </si>
  <si>
    <t>Procurement:  Jack and Bore Sub</t>
  </si>
  <si>
    <t>c4EDAoYxo0y/JamRVdYAFQ</t>
  </si>
  <si>
    <t>GhF0yejSpke/yw3hGmzKAg</t>
  </si>
  <si>
    <t>DA-1080.630</t>
  </si>
  <si>
    <t>Procurement:  Stabilization Sub</t>
  </si>
  <si>
    <t>aL1LtCsztkGksyfYhSz43g</t>
  </si>
  <si>
    <t>XWXLs1TVWEKB8nT+BDyokg</t>
  </si>
  <si>
    <t>DA-1080.640</t>
  </si>
  <si>
    <t>Procurement - Slip Form Barrier Wall Sub</t>
  </si>
  <si>
    <t>FYUkMK/PkkWYd8f0s+mxEw</t>
  </si>
  <si>
    <t>GTBRZgmNtEmn8q/SMFJG+A</t>
  </si>
  <si>
    <t>P1AWB-3370</t>
  </si>
  <si>
    <t>WB - Area 1 - Jack &amp; Bore Sta 68+00 (48"")</t>
  </si>
  <si>
    <t>bye4jYf1IUGvQdsi2m61Fg</t>
  </si>
  <si>
    <t>2ikJKSeoUEe/68cpvxLIWQ</t>
  </si>
  <si>
    <t>P1AWB-3380</t>
  </si>
  <si>
    <t>WB - Area 1 - Jack &amp; Bore Sta 49+00 (54"")</t>
  </si>
  <si>
    <t>sEZLEqjBm0e4ZGtMUyHb8g</t>
  </si>
  <si>
    <t>mhqF/HT96Ui/SPSXm8NgHA</t>
  </si>
  <si>
    <t>P1AWB-3410</t>
  </si>
  <si>
    <t>WB - Area 1 - Jack &amp; Bore Sta 88+00 (30"")</t>
  </si>
  <si>
    <t>p0jYxr03FUGwpUi9ryi8Ng</t>
  </si>
  <si>
    <t>0b2qEC0gqkyQwXbYQrb9VQ</t>
  </si>
  <si>
    <t>MS-3120</t>
  </si>
  <si>
    <t>Milestone: Start of Phase 1 (Bridge Northern Quarter)</t>
  </si>
  <si>
    <t>pLRBfL1E6U6HRc1Vt3pVHw</t>
  </si>
  <si>
    <t>KO0uG9onIECUEHoKrEfAcQ</t>
  </si>
  <si>
    <t>MS-3130</t>
  </si>
  <si>
    <t>Milestone: End of Phase 1 (Bridge Northern Quarter)</t>
  </si>
  <si>
    <t>7dDuABTxmUKoSerBHEk34w</t>
  </si>
  <si>
    <t>PrkuYmL/HUy/1EFjv6OLUA</t>
  </si>
  <si>
    <t>MS-3140</t>
  </si>
  <si>
    <t>Milestone: Start of Crossover Construction</t>
  </si>
  <si>
    <t>tZJAN48RnE6ysR/uexLuxQ</t>
  </si>
  <si>
    <t>+9W9h/jEGEegPtFelHrPig</t>
  </si>
  <si>
    <t>MS-3150</t>
  </si>
  <si>
    <t>Milestone: End of Crossover Construction</t>
  </si>
  <si>
    <t>w9/9sMdQC0KVSsShZkZmCg</t>
  </si>
  <si>
    <t>egvC2TQNlkSEa49+CzNIBQ</t>
  </si>
  <si>
    <t>MS-3160</t>
  </si>
  <si>
    <t>Milestone: Start of Phase 3 (Bridge Southern Half)</t>
  </si>
  <si>
    <t>aLCnHqCznU6hEAtlbVNrpA</t>
  </si>
  <si>
    <t>tjJGy5D5GkKitAVnp5vC2w</t>
  </si>
  <si>
    <t>MS-3170</t>
  </si>
  <si>
    <t>Milestone: End of Phase 3 (Bridge Southern Half)</t>
  </si>
  <si>
    <t>N0QKHJJzh0mEc6LqXNYKJw</t>
  </si>
  <si>
    <t>uoHdjYW9fEqH+bSiuebczQ</t>
  </si>
  <si>
    <t>MS-4090</t>
  </si>
  <si>
    <t>Milestone: Start of Phase 1 (EB Exterior Shoulder Strengthening)</t>
  </si>
  <si>
    <t>BSIZ8snRwEW/kcEVVOn9xA</t>
  </si>
  <si>
    <t>lyhzhLpQiE6at6ixNxEleA</t>
  </si>
  <si>
    <t>MS-4100</t>
  </si>
  <si>
    <t>Milestone: End of Phase 1 (EB Exterior Shoulder Strengthening)</t>
  </si>
  <si>
    <t>wVaGLI4NaE22W6nRat+W5g</t>
  </si>
  <si>
    <t>bpcHkMO2V0iAP8naSibTFw</t>
  </si>
  <si>
    <t>MS-4110</t>
  </si>
  <si>
    <t>Milestone: Start of EB Exterior Widening</t>
  </si>
  <si>
    <t>v8vSZtUQGkCvkkkWFguMzA</t>
  </si>
  <si>
    <t>Ll6ztKZ4nUGigpaTaeGCkw</t>
  </si>
  <si>
    <t>MS-4120</t>
  </si>
  <si>
    <t>Milestone: End of EB Exterior Widening</t>
  </si>
  <si>
    <t>xvRVcGoEwEmSYwt+h/T4ug</t>
  </si>
  <si>
    <t>jhoRAZpWh0emor2nwTm7Yw</t>
  </si>
  <si>
    <t>MS-3180</t>
  </si>
  <si>
    <t>Milestone:  Phase 3 ICT (268 Days, 12/1/2020) - Start of Phase 3 to End of Phase 3 (Level of Effort)</t>
  </si>
  <si>
    <t>HdiCIZsNskGYAy1BYt/iOw</t>
  </si>
  <si>
    <t>5z2LRjt0MUqdPGeaTqE9+Q</t>
  </si>
  <si>
    <t>P1A-1310</t>
  </si>
  <si>
    <t>(DEL) WB &amp; EB - Install Construction Signs</t>
  </si>
  <si>
    <t>7Ci3AZfLDkOzItw7Xb2rsw</t>
  </si>
  <si>
    <t>V7nsPofPaECZZJLM9xh/lw</t>
  </si>
  <si>
    <t>P1AEB-3145</t>
  </si>
  <si>
    <t>EB - Construct Noise Walls Sta 151+00 - 169+12 (Prior to Shift) NW6</t>
  </si>
  <si>
    <t>Xi/0Bfrh5E2usg0zvtP0Sg</t>
  </si>
  <si>
    <t>mlMVgJO/4UyLy7YDT+L1cQ</t>
  </si>
  <si>
    <t>P2CW-1030</t>
  </si>
  <si>
    <t>(DEL)Remove Causeway</t>
  </si>
  <si>
    <t>NDtY5cdlk0itEPt1dZdHWw</t>
  </si>
  <si>
    <t>oNMl8CJS+k6VECxzecZRNw</t>
  </si>
  <si>
    <t>P1AEB-3445</t>
  </si>
  <si>
    <t>EB - Area 1B - Mill Exisiting Roadway</t>
  </si>
  <si>
    <t>7/fsqBBiR0ahJ1azDn4tlA</t>
  </si>
  <si>
    <t>P1AEB-3435</t>
  </si>
  <si>
    <t>EB - Area 1B - Remove Barrier</t>
  </si>
  <si>
    <t>pTskRnPLhECTo983/mU0Bg</t>
  </si>
  <si>
    <t>P1AEB-3455</t>
  </si>
  <si>
    <t>EB - Area 1B - Repair Exisiting Roadway</t>
  </si>
  <si>
    <t>a/s4X7mozU61K0yHcWRKZw</t>
  </si>
  <si>
    <t>P1AWB-3470</t>
  </si>
  <si>
    <t>(DEL)EB - Area 2 - Mill Exisiting Roadway</t>
  </si>
  <si>
    <t>G0UIrb2oGEWhYMyMA5n4Tg</t>
  </si>
  <si>
    <t>2R4dvmDJbUyeUdPRBeqR6w</t>
  </si>
  <si>
    <t>P1AWB-3460</t>
  </si>
  <si>
    <t>(DEL)EB - Area 2 - Remove Barrier</t>
  </si>
  <si>
    <t>M4jdAQXK/EaNNuaoCoPYBQ</t>
  </si>
  <si>
    <t>wKhD5L2ATUqGQqTx4UYzVA</t>
  </si>
  <si>
    <t>P1AWB-3480</t>
  </si>
  <si>
    <t>(DEL)EB - Area 2 - Repair Exisiting Roadway</t>
  </si>
  <si>
    <t>niDRiyZ4n06IsZJwsfIiPg</t>
  </si>
  <si>
    <t>5P0kplk4R0yIqH9KRa2H7w</t>
  </si>
  <si>
    <t>P1AWB-3500</t>
  </si>
  <si>
    <t>EB - Area 3 - Mill Exisiting Roadway</t>
  </si>
  <si>
    <t>yjBqv0ozIkqkH2+Zj+CJ2w</t>
  </si>
  <si>
    <t>L6VRJW3R7k+8F2FEkP+eIA</t>
  </si>
  <si>
    <t>P1AWB-3490</t>
  </si>
  <si>
    <t>EB - Area 3 - Remove Barrier</t>
  </si>
  <si>
    <t>njIsukf76ku7GLeB1wgFUw</t>
  </si>
  <si>
    <t>JhqhM6BnRkCMYI6WnU8prA</t>
  </si>
  <si>
    <t>P1AWB-3510</t>
  </si>
  <si>
    <t>EB - Area 3 - Repair Exisiting Roadway</t>
  </si>
  <si>
    <t>nuRKS2+28UaoV1UnQCKRAQ</t>
  </si>
  <si>
    <t>CsktDwrmXkKgcyF3KtWfVQ</t>
  </si>
  <si>
    <t>P2-1020</t>
  </si>
  <si>
    <t>(DEL) Crossover Construction (DET_1 &amp; DET_2)</t>
  </si>
  <si>
    <t>cfLQFq+7x0Wj1TCJAHfGlQ</t>
  </si>
  <si>
    <t>v+M0mbE1nkKx8bp41fioZA</t>
  </si>
  <si>
    <t>P2-1030</t>
  </si>
  <si>
    <t>(DEL) Traffic Shift Work that needs to be done before Starting Phase 3</t>
  </si>
  <si>
    <t>R2Nb4NU2J0atnu3kWZiPXA</t>
  </si>
  <si>
    <t>aK+CUdWYnkyB4XBntraytg</t>
  </si>
  <si>
    <t>PB-2030</t>
  </si>
  <si>
    <t>(DEL) Median Work for Phase 3 (Sta 117+00 - Sta 148+00)</t>
  </si>
  <si>
    <t>Hg2X19SV5kK96OwyanyPiA</t>
  </si>
  <si>
    <t>yFypELSIH0i0vTvspsSmHQ</t>
  </si>
  <si>
    <t>P1EB2-1100</t>
  </si>
  <si>
    <t>EB 2 - Rig Up for Pile Driving</t>
  </si>
  <si>
    <t>AKIFsm+KjUawQyVFxb5ghw</t>
  </si>
  <si>
    <t>DRucPRRL8Uua65/ArYHraA</t>
  </si>
  <si>
    <t>P1EB2-1230</t>
  </si>
  <si>
    <t>EB 2 - Drive Temporary Shoring</t>
  </si>
  <si>
    <t>/2B4zvJ74Uqy5kGYueb1oQ</t>
  </si>
  <si>
    <t>V4RN0ko7BUObUUnY+l2XZQ</t>
  </si>
  <si>
    <t>P1EB2-1240</t>
  </si>
  <si>
    <t>EB 2 - Drive Plumb H-Piles</t>
  </si>
  <si>
    <t>SaHkkaETukuYY7I2HOLT+w</t>
  </si>
  <si>
    <t>3tu0fGGonU6E+h8b7LnYmA</t>
  </si>
  <si>
    <t>P1EB2-1250</t>
  </si>
  <si>
    <t>EB 2 - Install Sleepers &amp; Fine Grade to Bottom of Cap</t>
  </si>
  <si>
    <t>x9CoCcklREGtS41AeugjhA</t>
  </si>
  <si>
    <t>GcWHqZVc4EKSZnh6aiClww</t>
  </si>
  <si>
    <t>P1EB2-1260</t>
  </si>
  <si>
    <t>EB 2 - Complete Cap/Beamseat Formwork</t>
  </si>
  <si>
    <t>xgSZ4fYMiUSLdW/WnVROIA</t>
  </si>
  <si>
    <t>m8SqTXtDzUiITut4CGDrqg</t>
  </si>
  <si>
    <t>P1EB1-1120</t>
  </si>
  <si>
    <t>EB 1 - Drive Temporary Shoring</t>
  </si>
  <si>
    <t>PbgdaPNkQ0uKeGc+diErKw</t>
  </si>
  <si>
    <t>EnYqW/Ab8EaAeADLywdvxA</t>
  </si>
  <si>
    <t>P1EB1-1140</t>
  </si>
  <si>
    <t>EB 1 - Rig Up for Pile Driving</t>
  </si>
  <si>
    <t>X8PrSVOZZkGOWDFNA9UZAg</t>
  </si>
  <si>
    <t>6Rm5eLttdUy4SIH3wzImzA</t>
  </si>
  <si>
    <t>P1EB1-1150</t>
  </si>
  <si>
    <t>EB 1 - Drive Plumb H-Pile</t>
  </si>
  <si>
    <t>uj8tYrnHqUijvQlyIN6Xrw</t>
  </si>
  <si>
    <t>LRUr1R8FQ0OQSMS09sK6rg</t>
  </si>
  <si>
    <t>P1CW-1030</t>
  </si>
  <si>
    <t>Construct Access Roadway/Causeway for Phase 1A Bent 5</t>
  </si>
  <si>
    <t>kbGcTn8j9UWh5KSMfss1yg</t>
  </si>
  <si>
    <t>x/Hm523G4ESoe7v/ykdUxA</t>
  </si>
  <si>
    <t>P1CW-1040</t>
  </si>
  <si>
    <t>Extend Causeway for Demolition prior to Phase 2 Bent 6</t>
  </si>
  <si>
    <t>fKuk4exY90Wmhdwkq6R21w</t>
  </si>
  <si>
    <t>P1EB1-1130</t>
  </si>
  <si>
    <t>EB 1 - Install Sleepers &amp; Fine Grade to Bottom of Cap</t>
  </si>
  <si>
    <t>0MEBN4FRsEKo0QdpNNEdqQ</t>
  </si>
  <si>
    <t>cFPQPlV9DUSc9ijXXg1Now</t>
  </si>
  <si>
    <t>P1EB1-1160</t>
  </si>
  <si>
    <t>EB 1 - Complete Cap/Beamseat Formwork</t>
  </si>
  <si>
    <t>26pRDKgigkKWeT+pmL9RCg</t>
  </si>
  <si>
    <t>n6ob0fHmlUq1uwJf3yjWTw</t>
  </si>
  <si>
    <t>P1B1-1060</t>
  </si>
  <si>
    <t>Bent 1 - Mob Equipment</t>
  </si>
  <si>
    <t>KfLiJUWit0aWJ0SeMxT6Lg</t>
  </si>
  <si>
    <t>rPF36d2yD0SX7Ti8qLfmjw</t>
  </si>
  <si>
    <t>P1B1-1070</t>
  </si>
  <si>
    <t>Bent 1 - Install Pile Template and Remove</t>
  </si>
  <si>
    <t>0A0kKMTtGkG1lKxLytLPUw</t>
  </si>
  <si>
    <t>M9JJszF2m0ytGTXActX9qQ</t>
  </si>
  <si>
    <t>P1B1-1080</t>
  </si>
  <si>
    <t>Bent 1 - Cut Pipe Pile/Remove Template and Move</t>
  </si>
  <si>
    <t>mtQrXxdHEUi+Ow45iDwEDA</t>
  </si>
  <si>
    <t>vYUyTH/eUEWmTE5MMlr28Q</t>
  </si>
  <si>
    <t>P1B1-1090</t>
  </si>
  <si>
    <t>Bent 1 - Install Cap Bottom Supports/Form Cap Bottom</t>
  </si>
  <si>
    <t>GrocKmWRm062MOP8wxoUNw</t>
  </si>
  <si>
    <t>7XDxmAoQJEy/J3nboIDhVQ</t>
  </si>
  <si>
    <t>P1B1-1100</t>
  </si>
  <si>
    <t>Bent 1 - Complete Cap Body/Beamseat Formwork</t>
  </si>
  <si>
    <t>wyr8OhMgw0Sj5jEwS/M7kw</t>
  </si>
  <si>
    <t>8WFIia0qoUyFbbUIv3CVkA</t>
  </si>
  <si>
    <t>P1B1-1110</t>
  </si>
  <si>
    <t>Bent 1 - Point/Patch Cap Body/Grind Beamseats</t>
  </si>
  <si>
    <t>FRb7O6phWEq9mDehFbjiYg</t>
  </si>
  <si>
    <t>y/W4xvxOrkqiAuWKxDQ47g</t>
  </si>
  <si>
    <t>P1B1-1120</t>
  </si>
  <si>
    <t>Bent 1 - Strip Cap Bottom Formwork/Move to Bent 3</t>
  </si>
  <si>
    <t>Q0MY6sJKQ0+He4dcZI3JqA</t>
  </si>
  <si>
    <t>fZHnjdXjUU2scXZrLR5w/Q</t>
  </si>
  <si>
    <t>P1B2-1060</t>
  </si>
  <si>
    <t>Bent 2 - Mob Equipment</t>
  </si>
  <si>
    <t>AzCCPHwMlUa20DFrQ0IFqQ</t>
  </si>
  <si>
    <t>KtN2tsHq6EuTJC+do4jV1Q</t>
  </si>
  <si>
    <t>P1B2-1070</t>
  </si>
  <si>
    <t>Bent 2 - Install Pile Template and Remove</t>
  </si>
  <si>
    <t>NX3GtR4SVUyYJacmDH0eLA</t>
  </si>
  <si>
    <t>qw4fvqRkm0m6U5lnDFQK8Q</t>
  </si>
  <si>
    <t>P1B2-1080</t>
  </si>
  <si>
    <t>Bent 2 - Cut Pipe Pile/Remove Template and Move</t>
  </si>
  <si>
    <t>7Qh6F0SRzEusfdrYdIKZSA</t>
  </si>
  <si>
    <t>cg/ExpnuFUiHVtXtodt7sA</t>
  </si>
  <si>
    <t>P1B2-1090</t>
  </si>
  <si>
    <t>Bent 2 - Install Cap Bottom Supports/Form Cap Bottom</t>
  </si>
  <si>
    <t>ilkOea1AhE6g5x0oNMmkeQ</t>
  </si>
  <si>
    <t>fBEMau7TrUqj7nAzU1JHUw</t>
  </si>
  <si>
    <t>P1B2-1100</t>
  </si>
  <si>
    <t>Bent 2 - Point/Patch Cap Body/Grind Beamseats</t>
  </si>
  <si>
    <t>+4RXheDTNk+rX9qSWo9RMQ</t>
  </si>
  <si>
    <t>1W1Xx7Uo2kuhxtVSrFY5vA</t>
  </si>
  <si>
    <t>P1B2-1110</t>
  </si>
  <si>
    <t>Bent 2 - Strip Cap Bottom Formwork/Move to Bent 4</t>
  </si>
  <si>
    <t>ue87HeYBQ06rKVQhNxuNgg</t>
  </si>
  <si>
    <t>Tr5hFXevV064bHituhKGmw</t>
  </si>
  <si>
    <t>P1B3-1060</t>
  </si>
  <si>
    <t>Bent 3 - Mob Equipment</t>
  </si>
  <si>
    <t>gJ/RNx7VEUea+724ZIGHMg</t>
  </si>
  <si>
    <t>ZoCuRaMEXUe/gRejIv90Dg</t>
  </si>
  <si>
    <t>P1B3-1070</t>
  </si>
  <si>
    <t>Bent 3 - Install Pile Template and Remove</t>
  </si>
  <si>
    <t>Hiv0c4iaNk+wHoBXT0AB5Q</t>
  </si>
  <si>
    <t>4wW9Chnd8E2obxWxrHz61A</t>
  </si>
  <si>
    <t>P1B3-1080</t>
  </si>
  <si>
    <t>Bent 3 - Cut Pipe Pile/Remove Template and Move</t>
  </si>
  <si>
    <t>QNgWwiOQw0e+DuKjacjVgw</t>
  </si>
  <si>
    <t>CpSjS/AAK0ee4pYeP/r2rg</t>
  </si>
  <si>
    <t>P1B3-1090</t>
  </si>
  <si>
    <t>Bent 3 - Install Cap Bottom Supports/Form Cap Bottom</t>
  </si>
  <si>
    <t>QALMhpVhDU+jwORkY7qpuA</t>
  </si>
  <si>
    <t>B+2B4QOpVEOSxdQyLzk1OQ</t>
  </si>
  <si>
    <t>P1B3-1100</t>
  </si>
  <si>
    <t>Bent 3 - Point/Patch Cap Body/Grind Beamseats</t>
  </si>
  <si>
    <t>q5Idp1K9OEODKsoht6RQ7g</t>
  </si>
  <si>
    <t>QbVBPZ/CY02f5irqPWy0Mw</t>
  </si>
  <si>
    <t>P1B3-1110</t>
  </si>
  <si>
    <t>Bent 3 - Strip Cap Bottom Formwork/Move</t>
  </si>
  <si>
    <t>CrnKYUvJxUOE/rGBrrMkcg</t>
  </si>
  <si>
    <t>9s13sdOA/U6+J+XAUD6mkg</t>
  </si>
  <si>
    <t>P1B4-1060</t>
  </si>
  <si>
    <t>Bent 4 - Mob Equipment</t>
  </si>
  <si>
    <t>iPYxUmGbE0OLa6VIDFNQiw</t>
  </si>
  <si>
    <t>LW1xAEmqREypvaG/wZfVSg</t>
  </si>
  <si>
    <t>P1B4-1070</t>
  </si>
  <si>
    <t>Bent 4 - Install Pile Template and Remove</t>
  </si>
  <si>
    <t>PRRA/Q6Ch0y3f6a+IiZPwg</t>
  </si>
  <si>
    <t>82MfcKgCxUKCVTWfGbIJIg</t>
  </si>
  <si>
    <t>P1B4-1080</t>
  </si>
  <si>
    <t>Bent 4 - Cut Pipe Pile/Remove Template</t>
  </si>
  <si>
    <t>yfN2A/LL6UuclKYzZHg0LA</t>
  </si>
  <si>
    <t>yKJChXQBD06CmSwoGH83oA</t>
  </si>
  <si>
    <t>P1B4-1090</t>
  </si>
  <si>
    <t>Bent 4 - Install Cap Bottom Supports/Form Cap Bottom</t>
  </si>
  <si>
    <t>xbBqNwd5gE6Dmm8zUaWbgQ</t>
  </si>
  <si>
    <t>NPU5gmZ4zEW03S9ffjeDXw</t>
  </si>
  <si>
    <t>P1B4-1100</t>
  </si>
  <si>
    <t>Bent 4 - Strip Cap Bottom Formwork/Move to Bent 3</t>
  </si>
  <si>
    <t>2LY5EAUhbEWjUMNR+lnqPQ</t>
  </si>
  <si>
    <t>LT1tKYazBUmtbhLzW5u+Qw</t>
  </si>
  <si>
    <t>P1B4-1110</t>
  </si>
  <si>
    <t>Bent 4 - Point/Patch Cap Body/Grind Beamseats</t>
  </si>
  <si>
    <t>Qi3Iuj/RvkSyeSMx2vyMsw</t>
  </si>
  <si>
    <t>W5ZWXi9+wUScvfBId9nkHA</t>
  </si>
  <si>
    <t>P1SB-1070</t>
  </si>
  <si>
    <t>Span B - Bent 1 - Install Bearings</t>
  </si>
  <si>
    <t>tTE3Rxic0UOuRsx23qLMpA</t>
  </si>
  <si>
    <t>EArW1hXLu0qcHJdMJE1sDg</t>
  </si>
  <si>
    <t>P1B3-1120</t>
  </si>
  <si>
    <t>Span C - Bent 2 - Install Bearings</t>
  </si>
  <si>
    <t>o77ZYHL6zUG5F6inBILfJA</t>
  </si>
  <si>
    <t>DLdb1Mm8HkKD0or4A1zHBA</t>
  </si>
  <si>
    <t>P1B4-1120</t>
  </si>
  <si>
    <t>Span D - Bent 3 - Install Bearings</t>
  </si>
  <si>
    <t>oMWlM2ufvkmWv5p/HExr8g</t>
  </si>
  <si>
    <t>RSETNRL3+kKSVK2u2ECu6w</t>
  </si>
  <si>
    <t>P1SE-1070</t>
  </si>
  <si>
    <t>Span E - Bent 4 - Install Bearings</t>
  </si>
  <si>
    <t>hEd2EkCTQUGAF26nTX8+EQ</t>
  </si>
  <si>
    <t>bOF16cTdZ0CzJU3mvMxjNQ</t>
  </si>
  <si>
    <t>P1B5-1090</t>
  </si>
  <si>
    <t>Bent 5 - Mob Drilling Subcontractor / Crawler Crane</t>
  </si>
  <si>
    <t>yJvrxIU9AUCGaOuFSGzSlg</t>
  </si>
  <si>
    <t>nTxclwSFdEia7RF5pUVZPg</t>
  </si>
  <si>
    <t>P1B5-1025</t>
  </si>
  <si>
    <t>Bent 5 - Install Cap Bottom Supports/Form Cap Bottom</t>
  </si>
  <si>
    <t>w818jQSOUUS3s6sgSBeWWw</t>
  </si>
  <si>
    <t>cTT4u5buUkmYBtr9dyLQRg</t>
  </si>
  <si>
    <t>P1B5-1100</t>
  </si>
  <si>
    <t>Bent 5 - CSL Testing and Approval</t>
  </si>
  <si>
    <t>X8c3zh94XEa/oeoiLXpN1Q</t>
  </si>
  <si>
    <t>CJeTB1ftIE6Q+eEYXS4U/A</t>
  </si>
  <si>
    <t>P1B5-1110</t>
  </si>
  <si>
    <t>Bent 5 - Strip Cap Bottom Formwork and Beam Seat Formwork and Move to Bent 7</t>
  </si>
  <si>
    <t>8Kh62Zmgc06yc7Tpj6dsmw</t>
  </si>
  <si>
    <t>J9sNBByIpk6UWnPNsz8WfA</t>
  </si>
  <si>
    <t>P1B5-1035</t>
  </si>
  <si>
    <t>Bent 5 - Strip Column Form and Move to Bent 6</t>
  </si>
  <si>
    <t>YTM8Da1zO0GQxBDBjLh06w</t>
  </si>
  <si>
    <t>9A+EFzhUlke6DiGyvj9gzg</t>
  </si>
  <si>
    <t>P1B6-1090</t>
  </si>
  <si>
    <t>Bent 6 - Mob Drilling Sub</t>
  </si>
  <si>
    <t>BzDkbCLLF0eeY5+UOgDybw</t>
  </si>
  <si>
    <t>iN8zJc7u8ky+WLsjr4Y/gQ</t>
  </si>
  <si>
    <t>P1B6-1100</t>
  </si>
  <si>
    <t>Bent 6 - CSL Testing and Approval</t>
  </si>
  <si>
    <t>ziEnfbBRU0e3pLQWRbvsQw</t>
  </si>
  <si>
    <t>Urr5S3+1/UWAFD1/CHTosw</t>
  </si>
  <si>
    <t>P1B6-1025</t>
  </si>
  <si>
    <t>Bent 6 - Strip Column Form and Move to Bent 7</t>
  </si>
  <si>
    <t>rNrj2HUT5kO6dFYdomE3qA</t>
  </si>
  <si>
    <t>Fo9i653zUkm7YSlHyrbPXw</t>
  </si>
  <si>
    <t>P1B6-1035</t>
  </si>
  <si>
    <t>Bent 6 - Install Cap Bottom Supports/Form Cap Bottom</t>
  </si>
  <si>
    <t>nV/4AVXYqUiKJuv95ClzNQ</t>
  </si>
  <si>
    <t>NdzmwquaP0ip8MnwvYf7lw</t>
  </si>
  <si>
    <t>P1B6-1110</t>
  </si>
  <si>
    <t>Bent 6 - Strip Cap Bottom Formwork</t>
  </si>
  <si>
    <t>WbTTHGQQx02P8eon/FAldg</t>
  </si>
  <si>
    <t>xXHRqAhzPU2eCTKdILEKfA</t>
  </si>
  <si>
    <t>P1B7-1090</t>
  </si>
  <si>
    <t>Bent 7 - Mob Drilling Sub</t>
  </si>
  <si>
    <t>43m+ypj5kk+Io/7PHa4FNA</t>
  </si>
  <si>
    <t>5LZ+CnrJXUaRv3BSkzv8Pg</t>
  </si>
  <si>
    <t>P1B7-1100</t>
  </si>
  <si>
    <t>Bent 7 - CSL Testing and Approval</t>
  </si>
  <si>
    <t>H82qWvxrIk66+YUGdMe42w</t>
  </si>
  <si>
    <t>g19MD3gJO0mfLLZgZ7YRkg</t>
  </si>
  <si>
    <t>P1B7-1025</t>
  </si>
  <si>
    <t>Bent 7 - Strip Column Form</t>
  </si>
  <si>
    <t>8a3o5KBUZEa+ea28rmeLmA</t>
  </si>
  <si>
    <t>lMQLerZcVkObzGbjM2EgNw</t>
  </si>
  <si>
    <t>P1B7-1035</t>
  </si>
  <si>
    <t>Bent 7 - Install Cap Bottom Supports/Form Cap Bottom</t>
  </si>
  <si>
    <t>W9DfS3BzVkehLVdF+AS2MA</t>
  </si>
  <si>
    <t>Ey6OEPLkqEqF6oq61M7JiQ</t>
  </si>
  <si>
    <t>P1B7-1110</t>
  </si>
  <si>
    <t>Bent 7 - Strip Cap Bottom Formwork</t>
  </si>
  <si>
    <t>ho4egfyll0S86fmePYQO5w</t>
  </si>
  <si>
    <t>/TPtjgVn2kmWhRx5ukZB2g</t>
  </si>
  <si>
    <t>P1B6-1120</t>
  </si>
  <si>
    <t>Span F - Bent 5 - Install Bearings</t>
  </si>
  <si>
    <t>H2Zqq/JPt0alPdW3CzP5Wg</t>
  </si>
  <si>
    <t>SLnIs3ud+0Cocg0YCfnusg</t>
  </si>
  <si>
    <t>P1B7-1120</t>
  </si>
  <si>
    <t>Span G - Bent 6 - Install Bearings</t>
  </si>
  <si>
    <t>6+/qF8V3hkCMsJWxq7U7rA</t>
  </si>
  <si>
    <t>K4/5U2hq1kiwOeSkSpk7OQ</t>
  </si>
  <si>
    <t>P1EB2-1180</t>
  </si>
  <si>
    <t>Span H - Bent 7 - Install Bearings</t>
  </si>
  <si>
    <t>TPHjkCBfTEun1QacVU+1Mg</t>
  </si>
  <si>
    <t>H8qWHzP+00K/vzhNK3t9LA</t>
  </si>
  <si>
    <t>P1SA-1070</t>
  </si>
  <si>
    <t>Span A - Form Overhang System Along Interior South Girder</t>
  </si>
  <si>
    <t>qMRnSy4ytEKop2Hb9imEgA</t>
  </si>
  <si>
    <t>XHtXb1rw/E+cLJd1x+xDUg</t>
  </si>
  <si>
    <t>P1SA-1080</t>
  </si>
  <si>
    <t>Span A - Form Deck Bulkhead for Rebar Protrusion (South Girder)</t>
  </si>
  <si>
    <t>fH50CVMe1E+3ShUJ3v612g</t>
  </si>
  <si>
    <t>dThXwH5pfkOJ3EIYzl0PmQ</t>
  </si>
  <si>
    <t>P1SA-1090</t>
  </si>
  <si>
    <t>Span A - Form Diaphragm at Caps</t>
  </si>
  <si>
    <t>NQczxCjjHU6u0K32YY7l0w</t>
  </si>
  <si>
    <t>p6GkXnE5B0ahK0JbLvepwg</t>
  </si>
  <si>
    <t>P1SA-1100</t>
  </si>
  <si>
    <t>Span A - Set/Grade Bidwell &amp; Preliminary Dry-Run</t>
  </si>
  <si>
    <t>eyHZduzi9k6TbvaZqA44ug</t>
  </si>
  <si>
    <t>nC4/YslspkeCCUrTO1c/ig</t>
  </si>
  <si>
    <t>P1SA-1110</t>
  </si>
  <si>
    <t>Span A - Form Bulkheads to Grade &amp; Dry-Run w/ NCDOT</t>
  </si>
  <si>
    <t>vadlX22MGUaA36uY7FmNPA</t>
  </si>
  <si>
    <t>34yroOrA9EuToQEgE5ZHAQ</t>
  </si>
  <si>
    <t>P1SA-1120</t>
  </si>
  <si>
    <t>Span A - Remove Exterior Walkway/Point &amp; Patch</t>
  </si>
  <si>
    <t>1PY4ua3Z8EuG9WB9DSkcfA</t>
  </si>
  <si>
    <t>onjE2kp+bUyVpsnp2Mol5A</t>
  </si>
  <si>
    <t>P1SA-1130</t>
  </si>
  <si>
    <t>Span A - Remove Diaphragm Formwork/Point &amp; Patch</t>
  </si>
  <si>
    <t>xyAfh8qFcE2dNaFVOUTlBQ</t>
  </si>
  <si>
    <t>P1SB-1080</t>
  </si>
  <si>
    <t>Span B - Form Overhang System Along Interior South Girder</t>
  </si>
  <si>
    <t>Thk2PY/oWU6oIQE9GlMitw</t>
  </si>
  <si>
    <t>By8zYLI/ak2d4GtMWzGg5w</t>
  </si>
  <si>
    <t>P1SB-1090</t>
  </si>
  <si>
    <t>Span B - Form Deck Bulkhead for Rebar Protrusion (South Girder)</t>
  </si>
  <si>
    <t>w7aF5JqSd0ykyjRVICnwwQ</t>
  </si>
  <si>
    <t>wclxxMyCoUWsONDZ+ZYYzA</t>
  </si>
  <si>
    <t>P1SB-1100</t>
  </si>
  <si>
    <t>Span B - Form Diaphragm at Caps</t>
  </si>
  <si>
    <t>85gZiSNZw0eWP/exraUlEg</t>
  </si>
  <si>
    <t>jfaBfOg8fUqnjzaYAF6zew</t>
  </si>
  <si>
    <t>P1SB-1110</t>
  </si>
  <si>
    <t>Span B - Set/Grade Bidwell &amp; Preliminary Dry-Run</t>
  </si>
  <si>
    <t>wvzMg2DmqU+TFV2yWC8jsw</t>
  </si>
  <si>
    <t>TMKGCTRAAkmVQZ2FWI+csA</t>
  </si>
  <si>
    <t>P1SB-1120</t>
  </si>
  <si>
    <t>Span B - Form Bulkheads to Grade &amp; Dry-Run w/ NCDOT</t>
  </si>
  <si>
    <t>qKZazSB8EkK9wyV8vcdOMQ</t>
  </si>
  <si>
    <t>P1SB-1130</t>
  </si>
  <si>
    <t>Span B - Remove Exterior Walkway/Point &amp; Patch</t>
  </si>
  <si>
    <t>qjxrQ3XABE6mPJQvG/6PTA</t>
  </si>
  <si>
    <t>wqG6mybobkKIixo7a39HjQ</t>
  </si>
  <si>
    <t>P1SB-1140</t>
  </si>
  <si>
    <t>Span B - Remove Diaphragm Formwork/Point &amp; Patch</t>
  </si>
  <si>
    <t>/QbHovsLx0mwuXj3knE2wg</t>
  </si>
  <si>
    <t>kJod2C5ra0CyuGgW/fRuxA</t>
  </si>
  <si>
    <t>P1SC-1070</t>
  </si>
  <si>
    <t>Span C - Form Overhang System Along Interior South Girder</t>
  </si>
  <si>
    <t>2oRXKsURzkqNvJj457as6w</t>
  </si>
  <si>
    <t>l3in50UqA02G3c9KnQdo3w</t>
  </si>
  <si>
    <t>P1SC-1080</t>
  </si>
  <si>
    <t>Span C - Form Deck Bulkhead for Rebar Protrusion (South Girder)</t>
  </si>
  <si>
    <t>0Qc1WTgE9Ui5FvpAXi5lFg</t>
  </si>
  <si>
    <t>NGzxxJQ0fkGYE17WzGW/xw</t>
  </si>
  <si>
    <t>P1SC-1090</t>
  </si>
  <si>
    <t>Span C - Form Diaphragm at Caps</t>
  </si>
  <si>
    <t>PH60kcWd3k+qdX+Cs2cp5w</t>
  </si>
  <si>
    <t>Sbhmj2yJlECZ2iruCn2crg</t>
  </si>
  <si>
    <t>P1SC-1100</t>
  </si>
  <si>
    <t>Span C - Set/Grade Bidwell &amp; Preliminary Dry-Run</t>
  </si>
  <si>
    <t>q8SOXjM9G0mH/idFL2+uUA</t>
  </si>
  <si>
    <t>eeHQt+NbdkaYOysjToU9GA</t>
  </si>
  <si>
    <t>P1SC-1110</t>
  </si>
  <si>
    <t>Span C - Form Bulkheads to Grade &amp; Dry-Run w/ NCDOT</t>
  </si>
  <si>
    <t>M7Q+YLjOg0OqfZNPsHGFZA</t>
  </si>
  <si>
    <t>IBqLShTQDUCPJNdIDB+kSA</t>
  </si>
  <si>
    <t>P1SC-1120</t>
  </si>
  <si>
    <t>Span C - Remove Exterior Walkway/Point &amp; Patch</t>
  </si>
  <si>
    <t>XanT1KQ4UEm68qASMEF5CA</t>
  </si>
  <si>
    <t>BhZk/veBcEOC57FFW13FIA</t>
  </si>
  <si>
    <t>P1SC-1130</t>
  </si>
  <si>
    <t>Span C - Remove Diaphragm Formwork/Point &amp; Patch</t>
  </si>
  <si>
    <t>+W+I2GXSpEW+3eUoacwidg</t>
  </si>
  <si>
    <t>puARfLBFUUmVoekDm6bkNA</t>
  </si>
  <si>
    <t>P1SD-1070</t>
  </si>
  <si>
    <t>Span D - Form Overhang System Along Interior South Girder</t>
  </si>
  <si>
    <t>zbtneorEe0qd9yzj43jlNw</t>
  </si>
  <si>
    <t>P1SD-1080</t>
  </si>
  <si>
    <t>Span D - Form Deck Bulkhead for Rebar Protrusion (South Girder)</t>
  </si>
  <si>
    <t>ekFqoHB4W0+hPyiniv/p0Q</t>
  </si>
  <si>
    <t>dNhB+0O3SUWxfy7187TMdQ</t>
  </si>
  <si>
    <t>P1SD-1090</t>
  </si>
  <si>
    <t>Span D - Form Diaphragm at Caps</t>
  </si>
  <si>
    <t>i2EPPDWFTUS8rG0fklRG0A</t>
  </si>
  <si>
    <t>uC8Ii0H7Ckukv3xfU8Hbhg</t>
  </si>
  <si>
    <t>P1SD-1100</t>
  </si>
  <si>
    <t>Span D - Set/Grade Bidwell &amp; Preliminary Dry-Run</t>
  </si>
  <si>
    <t>47xHjMCut0GKqaWBIQh9PQ</t>
  </si>
  <si>
    <t>GaM7U6FZyEK/wN3MkkkxuQ</t>
  </si>
  <si>
    <t>P1SD-1110</t>
  </si>
  <si>
    <t>Span D - Form Bulkheads to Grade &amp; Dry-Run w/ NCDOT</t>
  </si>
  <si>
    <t>zblp4hQ+q02yx9Vmrr+0rQ</t>
  </si>
  <si>
    <t>IRwGh0qU0k+XP0Fyh2bzZw</t>
  </si>
  <si>
    <t>P1SD-1120</t>
  </si>
  <si>
    <t>Span D - Remove Exterior Walkway/Point &amp; Patch</t>
  </si>
  <si>
    <t>/TRr67U2skGC5RERb6tWbw</t>
  </si>
  <si>
    <t>lswTHR4pQ0qjRgjWpKiYGw</t>
  </si>
  <si>
    <t>P1SD-1130</t>
  </si>
  <si>
    <t>Span D - Remove Diaphragm Formwork/Point &amp; Patch</t>
  </si>
  <si>
    <t>iIkagKIoPkaHhAtGYFl89w</t>
  </si>
  <si>
    <t>/4KhsiNef02iG6j97MFWTw</t>
  </si>
  <si>
    <t>P1SE-1080</t>
  </si>
  <si>
    <t>Span E - Form Overhang System Along Interior South Girder</t>
  </si>
  <si>
    <t>edYZhy9MOEqdkIJV3+qG7w</t>
  </si>
  <si>
    <t>CmIyDqs4YEaoFqbH7pkyFQ</t>
  </si>
  <si>
    <t>P1SE-1090</t>
  </si>
  <si>
    <t>Span E - Form Deck Bulkhead for Rebar Protrusion (South Girder)</t>
  </si>
  <si>
    <t>X0mnKJVegkyY60RP06soJw</t>
  </si>
  <si>
    <t>iUknUeqMOkyfAr8Z6gAA1w</t>
  </si>
  <si>
    <t>P1SE-1100</t>
  </si>
  <si>
    <t>Span E- Form Diaphragm at Caps</t>
  </si>
  <si>
    <t>BoSneGRsf06P5QaXFb7EYA</t>
  </si>
  <si>
    <t>OPED8oYdGEqyz92pzbUMzg</t>
  </si>
  <si>
    <t>P1SE-1110</t>
  </si>
  <si>
    <t>Span E - Set/Grade Bidwell &amp; Preliminary Dry-Run</t>
  </si>
  <si>
    <t>tMYcHY/6FEGB4bXaP+xjSg</t>
  </si>
  <si>
    <t>FXtm2p5vZUKKWNZVNCdrYQ</t>
  </si>
  <si>
    <t>P1SE-1120</t>
  </si>
  <si>
    <t>Span E - Form Bulkheads to Grade &amp; Dry-Run w/ NCDOT</t>
  </si>
  <si>
    <t>12AwgkEBSEa4vHsLvU7VJg</t>
  </si>
  <si>
    <t>yg9fJHM5v0iRi3N+zGZTsw</t>
  </si>
  <si>
    <t>P1SE-1130</t>
  </si>
  <si>
    <t>Span E - Remove Exterior Walkway/Point &amp; Patch</t>
  </si>
  <si>
    <t>5KcHaWHxKkyu7xw4H+e9Kg</t>
  </si>
  <si>
    <t>MNsDObSYikKD3HdX3x2IKw</t>
  </si>
  <si>
    <t>P1SE-1140</t>
  </si>
  <si>
    <t>Span E - Remove Diaphragm Formwork/Point &amp; Patch</t>
  </si>
  <si>
    <t>fgPUFojJhUWGDAmzstMogg</t>
  </si>
  <si>
    <t>xE1oxyFPH02u8YlqTri/8Q</t>
  </si>
  <si>
    <t>P1SF-1070</t>
  </si>
  <si>
    <t>Span F - Remove Exterior Walkway/Point &amp; Patch</t>
  </si>
  <si>
    <t>gozvuFWkJEKFIs1yiKVypQ</t>
  </si>
  <si>
    <t>YSeeuEpeaES8ticpXToZDQ</t>
  </si>
  <si>
    <t>P1SF-1080</t>
  </si>
  <si>
    <t>Span F - Remove Diaphragm Formwork/Point &amp; Patch</t>
  </si>
  <si>
    <t>PSnpM1kISkK9AAdkMQ0t4g</t>
  </si>
  <si>
    <t>T+bLLq135EO8rNtzruyZiA</t>
  </si>
  <si>
    <t>P1SF-1090</t>
  </si>
  <si>
    <t>Span F - Form Overhang System Along Interior South Girder</t>
  </si>
  <si>
    <t>uz2nSmOF0EC1lWH4cjj3yg</t>
  </si>
  <si>
    <t>HOLjNonYREqTeYOY6JxgDQ</t>
  </si>
  <si>
    <t>P1SF-1100</t>
  </si>
  <si>
    <t>Span F - Form Deck Bulkhead for Rebar Protrusion (South Girder)</t>
  </si>
  <si>
    <t>0ugGQVxmA0aRgluu/L68dw</t>
  </si>
  <si>
    <t>V/URMmZtYUiA+epd2IGIiw</t>
  </si>
  <si>
    <t>P1SF-1110</t>
  </si>
  <si>
    <t>Span F - Form Diaphragm at Caps</t>
  </si>
  <si>
    <t>LOgr5j2ExUKBKqjKNNaekQ</t>
  </si>
  <si>
    <t>0ZSW0U7eTUCsSNGDYiun8g</t>
  </si>
  <si>
    <t>P1SF-1120</t>
  </si>
  <si>
    <t>Span F - Set/Grade Bidwell &amp; Preliminary Dry-Run</t>
  </si>
  <si>
    <t>wRE8+ZuE5E+GYYgYBAm97w</t>
  </si>
  <si>
    <t>xfU2F3SkEkWzKnF9/k1XDg</t>
  </si>
  <si>
    <t>P1SF-1130</t>
  </si>
  <si>
    <t>Span F - Form Bulkheads to Grade &amp; Dry-Run w/ NCDOT</t>
  </si>
  <si>
    <t>rKzXvyzLq0SMaSSkfWnpNQ</t>
  </si>
  <si>
    <t>7IsHIe+mpkSDEd2x8LjwbA</t>
  </si>
  <si>
    <t>P1SG-1070</t>
  </si>
  <si>
    <t>Span G - Remove Exterior Walkway/Point &amp; Patch</t>
  </si>
  <si>
    <t>iKwmhNRAhk63DZmAEA6o0g</t>
  </si>
  <si>
    <t>V2WDMW733kWEr9UccZQbOg</t>
  </si>
  <si>
    <t>P1SG-1080</t>
  </si>
  <si>
    <t>Span G - Remove Diaphragm Formwork/Point &amp; Patch</t>
  </si>
  <si>
    <t>pJrcWXc3qU63CXbmFGp8KA</t>
  </si>
  <si>
    <t>xy4Sws8XbUOO/yXAEjjuig</t>
  </si>
  <si>
    <t>P1SG-1090</t>
  </si>
  <si>
    <t>Span G - Set/Grade Bidwell &amp; Preliminary Dry-Run</t>
  </si>
  <si>
    <t>PoM/VT4J1EaYKhrNuK1krA</t>
  </si>
  <si>
    <t>5CMsp8xgUESLFn0VCO8Rwg</t>
  </si>
  <si>
    <t>P1SG-1100</t>
  </si>
  <si>
    <t>Span G - Form Bulkheads to Grade &amp; Dry-Run w/ NCDOT</t>
  </si>
  <si>
    <t>pIcjsm/6hEWlZBWNjwisBg</t>
  </si>
  <si>
    <t>5ezm6GFp5U+s6rzURcEAyw</t>
  </si>
  <si>
    <t>P1SG-1110</t>
  </si>
  <si>
    <t>Span G - Form Overhang System Along Interior South Girder</t>
  </si>
  <si>
    <t>eVfsBx6DQ0WOE42wy/b0uQ</t>
  </si>
  <si>
    <t>RHjnpilWaUCZVz5hctyCMw</t>
  </si>
  <si>
    <t>P1SG-1120</t>
  </si>
  <si>
    <t>Span G - Form Deck Bulkhead for Rebar Protrusion (South Girder)</t>
  </si>
  <si>
    <t>DSL9p8dgrkCE8gbVM7ZYAA</t>
  </si>
  <si>
    <t>YgyFmbMA80K6uNuPjQye3Q</t>
  </si>
  <si>
    <t>P1SG-1130</t>
  </si>
  <si>
    <t>Span G - Form Diaphragm at Caps</t>
  </si>
  <si>
    <t>EGXKI+AytUWO5UPGaMD/nA</t>
  </si>
  <si>
    <t>XR+JMQ2FwEyZkENzrezq7g</t>
  </si>
  <si>
    <t>P1SH-1070</t>
  </si>
  <si>
    <t>Span H - Remove Exterior Walkway/Point &amp; Patch</t>
  </si>
  <si>
    <t>J2qmt3cG40uLpGWK9+Xpug</t>
  </si>
  <si>
    <t>J9S7Hxg2ekyIT06N5PFBrA</t>
  </si>
  <si>
    <t>P1SH-1080</t>
  </si>
  <si>
    <t>Span H - Remove Diaphragm Formwork/Point &amp; Patch</t>
  </si>
  <si>
    <t>yAcUWS9Bxkah4Sy1EFuLNw</t>
  </si>
  <si>
    <t>/zj0QitVQU+mVthZOqWRDQ</t>
  </si>
  <si>
    <t>P1SH-1090</t>
  </si>
  <si>
    <t>Span H - Form Overhang System Along Interior South Girder</t>
  </si>
  <si>
    <t>blMv8qD/k02N+jJY5nyl4A</t>
  </si>
  <si>
    <t>CNWOcdGCN0yd+mylDGWC7Q</t>
  </si>
  <si>
    <t>P1SH-1100</t>
  </si>
  <si>
    <t>Span H - Form Deck Bulkhead for Rebar Protrusion (South Girder)</t>
  </si>
  <si>
    <t>bdDEGn4PZkqSuzVfZ0XXMA</t>
  </si>
  <si>
    <t>zmtLPzIphUaksL79jt2ccw</t>
  </si>
  <si>
    <t>P1SH-1110</t>
  </si>
  <si>
    <t>Span H - Form Diaphragm at Caps</t>
  </si>
  <si>
    <t>KguDlGwQHUuiZaQxn6odpg</t>
  </si>
  <si>
    <t>mb0b5hcwCEiDL7MQtkBZyg</t>
  </si>
  <si>
    <t>P1SH-1120</t>
  </si>
  <si>
    <t>Span H - Set/Grade Bidwell &amp; Preliminary Dry-Run</t>
  </si>
  <si>
    <t>x25fHYiD10e7oSajfJuQ8Q</t>
  </si>
  <si>
    <t>2Y1phoZ6EU+ITKLtb/kaHQ</t>
  </si>
  <si>
    <t>P1SH-1130</t>
  </si>
  <si>
    <t>Span H - Form Bulkheads to Grade &amp; Dry-Run w/ NCDOT</t>
  </si>
  <si>
    <t>9TVbwQW7X0eUda4mP2abjA</t>
  </si>
  <si>
    <t>I3P8XsRuKEWumcpfL7zeYA</t>
  </si>
  <si>
    <t>P1S-1030</t>
  </si>
  <si>
    <t>Span A - EB 1 - Install Expansion Joint</t>
  </si>
  <si>
    <t>WYJse+yQcUCd55Bggjl6DQ</t>
  </si>
  <si>
    <t>HFojNFiQb0i8+Ld3WasrIQ</t>
  </si>
  <si>
    <t>P1S-1150</t>
  </si>
  <si>
    <t>Span B/C - Bent 2 -  Install Expansion Joint</t>
  </si>
  <si>
    <t>1qEonQMn2UKPybgiQ4nhjQ</t>
  </si>
  <si>
    <t>1pjJ8vKv9EmjoJyMFRdYCg</t>
  </si>
  <si>
    <t>P1S-1160</t>
  </si>
  <si>
    <t>Span E/F - Bent 5 - Install Expansion Joint</t>
  </si>
  <si>
    <t>tsNJoaxs0k+XwZIiiwW7hA</t>
  </si>
  <si>
    <t>7uBsGeyukUCEwANXTciTXQ</t>
  </si>
  <si>
    <t>P1S-1170</t>
  </si>
  <si>
    <t>Span H - EB2 - Install Expansion Joint</t>
  </si>
  <si>
    <t>u/Dwf1D+EUGPeJDe5D6N1g</t>
  </si>
  <si>
    <t>OhR6rOfqm0aXi97jqHP3CQ</t>
  </si>
  <si>
    <t>P2EB2-1270</t>
  </si>
  <si>
    <t>tcu/x5lJPE2pUVEmQeZJpw</t>
  </si>
  <si>
    <t>xCzlKwTFLkaQ4Ilw3gzBUw</t>
  </si>
  <si>
    <t>P2EB2-1310</t>
  </si>
  <si>
    <t>i8MLSzhfEE+DvhTIrncORQ</t>
  </si>
  <si>
    <t>AdYgoXOoYUO/q0TJZlAqLA</t>
  </si>
  <si>
    <t>P2EB2-1330</t>
  </si>
  <si>
    <t>cagceQdS3UykemUCmdRuEw</t>
  </si>
  <si>
    <t>iDk+Epk8xE24PzidzIK0SQ</t>
  </si>
  <si>
    <t>P2EB2-1400</t>
  </si>
  <si>
    <t>NcL1u/HkrUeonIRnyCSb2A</t>
  </si>
  <si>
    <t>N8NW4BVpykKZT8dufr3KUQ</t>
  </si>
  <si>
    <t>P2EB2-1380</t>
  </si>
  <si>
    <t>80at7R1ZCEGlOqakrEMGwg</t>
  </si>
  <si>
    <t>YvFEkDZDoEq2kKv4vxuOBQ</t>
  </si>
  <si>
    <t>P2EB2-1340</t>
  </si>
  <si>
    <t>DTHBU50CmkayY+hCLxQy5Q</t>
  </si>
  <si>
    <t>9PRsHeDMcU2F2Nnc8o67QA</t>
  </si>
  <si>
    <t>P2EB2-1360</t>
  </si>
  <si>
    <t>1W9A3NZvFEue7eSfx8pb8w</t>
  </si>
  <si>
    <t>fefECKMLnE6FVilihM9Jlw</t>
  </si>
  <si>
    <t>P2EB2-1370</t>
  </si>
  <si>
    <t>k2fpFVrXfU2qqTYLKEe8Xw</t>
  </si>
  <si>
    <t>Sp0BcXFS/ka5WEJ8WxEhIg</t>
  </si>
  <si>
    <t>P2EB2-1390</t>
  </si>
  <si>
    <t>xoM/llt7c0WAS9UTFAy+zQ</t>
  </si>
  <si>
    <t>Neiv/dyxNkmiTu0VQTodcw</t>
  </si>
  <si>
    <t>P2EB2-1410</t>
  </si>
  <si>
    <t>hkYzQYwJokaTPn7PSxQEXQ</t>
  </si>
  <si>
    <t>asFXq3vXL0GRiC53sLo5Fw</t>
  </si>
  <si>
    <t>P2EB2-1420</t>
  </si>
  <si>
    <t>vsY2daqXk0CRN8Ck0dQE5g</t>
  </si>
  <si>
    <t>mNMhI/JCTUqpmSDGtCh0sQ</t>
  </si>
  <si>
    <t>P2EB2-1440</t>
  </si>
  <si>
    <t>(DEL)EB 2 - Form, Place, Strip Slope Paving</t>
  </si>
  <si>
    <t>8FEXhvABrUqo2ZkdbHlwsg</t>
  </si>
  <si>
    <t>djN9lXqpGkq3q0ldDPISxg</t>
  </si>
  <si>
    <t>P2EB2-1430</t>
  </si>
  <si>
    <t>EB 2 - Fine Grade/Slope Paving</t>
  </si>
  <si>
    <t>PAXOL2GgDky9YT22Iy27ag</t>
  </si>
  <si>
    <t>bcbwyqcI9kyS9XhEB99qgg</t>
  </si>
  <si>
    <t>P2EB2-1290</t>
  </si>
  <si>
    <t>dyKvIfKvqEiqrjqPT1gPBg</t>
  </si>
  <si>
    <t>AE96vMBNo0iWY9ighIvJbw</t>
  </si>
  <si>
    <t>P2EB2-1280</t>
  </si>
  <si>
    <t>ZS+PrJilSUCgk2ZpO5TGdQ</t>
  </si>
  <si>
    <t>qjCrRGSD30KjOrsPRsVjVA</t>
  </si>
  <si>
    <t>P2EB2-1300</t>
  </si>
  <si>
    <t>eIBtUZzFzU2GQmgbwYyZnA</t>
  </si>
  <si>
    <t>ZVVj6jzCDUSN8x9aqkiwpA</t>
  </si>
  <si>
    <t>P2EB2-1320</t>
  </si>
  <si>
    <t>5f4XUm8yx0eXyEm7pP24lw</t>
  </si>
  <si>
    <t>FISRHTAeBE2i88eC7ZRCjQ</t>
  </si>
  <si>
    <t>P2EB2-1350</t>
  </si>
  <si>
    <t>vtUkUfdoJ0+G3vgkB9MYEA</t>
  </si>
  <si>
    <t>SgNyIKMKgECcZ2EuwLj9xQ</t>
  </si>
  <si>
    <t>P2EB1-1000</t>
  </si>
  <si>
    <t>L2lVdzeY6UeygQPMjLNFGA</t>
  </si>
  <si>
    <t>zd6t9X/U4USxu8n1STIb5w</t>
  </si>
  <si>
    <t>P2EB1-1005</t>
  </si>
  <si>
    <t>pFmrbNNViEiqEjV9QF5eRA</t>
  </si>
  <si>
    <t>JisRLp3eB0GxdysuhUsNEg</t>
  </si>
  <si>
    <t>P2EB1-1020</t>
  </si>
  <si>
    <t>/OrvElQDoUKiKGyc8UWn1A</t>
  </si>
  <si>
    <t>oP7KsS8RZU+P69hWvSszUA</t>
  </si>
  <si>
    <t>P2EB1-1040</t>
  </si>
  <si>
    <t>tt/0Gz6X/UeZbpSVK48j2Q</t>
  </si>
  <si>
    <t>SiaWq5ZEAUOFYqT/7f/kjg</t>
  </si>
  <si>
    <t>P2EB1-1030</t>
  </si>
  <si>
    <t>MtpZeMNnIEKare2Fk/LAxg</t>
  </si>
  <si>
    <t>jfO2C6rsVU2U1idz7HrhYg</t>
  </si>
  <si>
    <t>P2EB1-1050</t>
  </si>
  <si>
    <t>lLz44wQQEUi9cVE6OALaaw</t>
  </si>
  <si>
    <t>HJYmlhlXpkiSWfsep8pbrQ</t>
  </si>
  <si>
    <t>P2EB1-1060</t>
  </si>
  <si>
    <t>Cj5NHCQjg0mqKlDNoZ+sIg</t>
  </si>
  <si>
    <t>uRpNqf/24EGoSMJ8I31yGg</t>
  </si>
  <si>
    <t>P2EB1-1070</t>
  </si>
  <si>
    <t>UVjTm+TF2EeC9dU6Qkj9xg</t>
  </si>
  <si>
    <t>QNKxptlhaEWCBVOCXSpfkQ</t>
  </si>
  <si>
    <t>P2EB1-1080</t>
  </si>
  <si>
    <t>t+CrrzHWLUe4ZCmmodLSDA</t>
  </si>
  <si>
    <t>/UgqFlGUIkmKs471v8qdPg</t>
  </si>
  <si>
    <t>P2EB2-1160</t>
  </si>
  <si>
    <t>KorDGyhHyEi0grpTggvmlA</t>
  </si>
  <si>
    <t>FXyX9xsxLEG5ROwBhg8o9w</t>
  </si>
  <si>
    <t>P2EB2-1170</t>
  </si>
  <si>
    <t>9vKDMhxN4kWwV029NiVfWQ</t>
  </si>
  <si>
    <t>u68/am8l7Ey+kY6x2+340w</t>
  </si>
  <si>
    <t>P2EB1-1100</t>
  </si>
  <si>
    <t>EB 1 - Fine Grade/Slope Paving</t>
  </si>
  <si>
    <t>FCNPgOXPrEyUnagZcZsnNw</t>
  </si>
  <si>
    <t>pjeTyddbukaFajhEl1+yfQ</t>
  </si>
  <si>
    <t>P2EB1-1110</t>
  </si>
  <si>
    <t>(DEL) EB 1 - Form, Pour, and Strip Slope Paving</t>
  </si>
  <si>
    <t>ilgsiusNi0iFlPhGuNKkjA</t>
  </si>
  <si>
    <t>ltVH/nN8rkOozpM2pvditw</t>
  </si>
  <si>
    <t>P2EB1-1120</t>
  </si>
  <si>
    <t>EB 1 - Install Basket Wall</t>
  </si>
  <si>
    <t>nxebJnqBMUe1hYd2RW2Dpw</t>
  </si>
  <si>
    <t>KKSu9wJFZEWRCqsmebBd3g</t>
  </si>
  <si>
    <t>P2EB1-1140</t>
  </si>
  <si>
    <t>bxLadYRw206PLEsGcNC1jw</t>
  </si>
  <si>
    <t>0Gziaj6gckO9WvpJqL5gzw</t>
  </si>
  <si>
    <t>P2EB1-1150</t>
  </si>
  <si>
    <t>dd3uIF2SVEasLcUcD52xyQ</t>
  </si>
  <si>
    <t>P2EB1-1130</t>
  </si>
  <si>
    <t>uM+jJ0bVxUi8zit/asX0Tw</t>
  </si>
  <si>
    <t>c+BlqzODAEWndyKwA6KU+A</t>
  </si>
  <si>
    <t>P2EB1-1160</t>
  </si>
  <si>
    <t>S8tFf/0f10KesXwlQXVtHA</t>
  </si>
  <si>
    <t>P2B1-1000</t>
  </si>
  <si>
    <t>GscxohHzaUOaoqk3de6iig</t>
  </si>
  <si>
    <t>zBFActgMckG5x4t/Y1jokA</t>
  </si>
  <si>
    <t>P2B1-1020</t>
  </si>
  <si>
    <t>MGcKa26oaUyuRTuzcopcXw</t>
  </si>
  <si>
    <t>H/eIRdxjSkeTi49L85QlYA</t>
  </si>
  <si>
    <t>P2B1-1010</t>
  </si>
  <si>
    <t>DF6U/tkuy0iIODL971CjFA</t>
  </si>
  <si>
    <t>SP3yhjw3A0WBJ7WdyIYeAw</t>
  </si>
  <si>
    <t>P2B1-1030</t>
  </si>
  <si>
    <t>GuN4xQS7YEWD/8txhYo3nw</t>
  </si>
  <si>
    <t>Xkv12tCviUiXaPO+isnaqQ</t>
  </si>
  <si>
    <t>P2B1-1040</t>
  </si>
  <si>
    <t>Hg8+I2y5sEmIIgzxSU3qTQ</t>
  </si>
  <si>
    <t>zPxeWHDfoUGjHLqnQhON1g</t>
  </si>
  <si>
    <t>P2B1-1060</t>
  </si>
  <si>
    <t>Bent 1 - Mob Equipment from Bent 2</t>
  </si>
  <si>
    <t>ZCKGlMxaOUq18lvg57biXw</t>
  </si>
  <si>
    <t>/R2966pGDkSkW/P5MfZsiA</t>
  </si>
  <si>
    <t>P2B1-1070</t>
  </si>
  <si>
    <t>Bent 1 - Install Pile Template</t>
  </si>
  <si>
    <t>6VTL5KwdlkaQWzoSED1DTw</t>
  </si>
  <si>
    <t>lx6mCj3SwUqxS5rJy8cOrw</t>
  </si>
  <si>
    <t>P2B1-1080</t>
  </si>
  <si>
    <t>Bent 1 - Cut Pipe Pile/Remove Template and Move to Bent 3</t>
  </si>
  <si>
    <t>1HJlM4QxUECVQlUqSv6wMw</t>
  </si>
  <si>
    <t>1uRQXwkXPUWAU054Y7hD5A</t>
  </si>
  <si>
    <t>P2B1-1090</t>
  </si>
  <si>
    <t>/RgzAt8IiEe1RMlBNtN9cQ</t>
  </si>
  <si>
    <t>6dG9gB99Akq4kznDvgSbdA</t>
  </si>
  <si>
    <t>P2B1-1100</t>
  </si>
  <si>
    <t>kq3gqLq5nEG+QJWvm3fjCw</t>
  </si>
  <si>
    <t>ledDfUyM/ESEc7KpABtreg</t>
  </si>
  <si>
    <t>P2B1-1110</t>
  </si>
  <si>
    <t>GN3IBrh5K0ypn28wlNJWHQ</t>
  </si>
  <si>
    <t>yirpLyaeUkOmSUiecDfCzg</t>
  </si>
  <si>
    <t>P2B1-1120</t>
  </si>
  <si>
    <t>NgvDXzV+jE+2SVfqpt1xBA</t>
  </si>
  <si>
    <t>HlsHtmYhMkCS3bk3Ef9yHg</t>
  </si>
  <si>
    <t>P2B2-1000</t>
  </si>
  <si>
    <t>yh23v8bqkUyEIGW+e/Ogmg</t>
  </si>
  <si>
    <t>0iAxPTNHWESzKinBU7ws4A</t>
  </si>
  <si>
    <t>P2B2-1020</t>
  </si>
  <si>
    <t>gWczPe9Bzkean06G/O5LBw</t>
  </si>
  <si>
    <t>8Wp10pjNLESkFYJSrEo8Mw</t>
  </si>
  <si>
    <t>P2B2-1010</t>
  </si>
  <si>
    <t>QMj/tuK9/UOxLnqNrEyiSw</t>
  </si>
  <si>
    <t>IhtIQYRXFEmsyxYf8Y1m5A</t>
  </si>
  <si>
    <t>P2B2-1030</t>
  </si>
  <si>
    <t>seLWjIsfIE2uikNT/BBRSw</t>
  </si>
  <si>
    <t>bAHlBLAx40eu8HN8dDTAsw</t>
  </si>
  <si>
    <t>P2B2-1040</t>
  </si>
  <si>
    <t>QnowV3H8D0uEirgEfgB4NA</t>
  </si>
  <si>
    <t>nvWfTTPgdUmo2f8ytGeGLA</t>
  </si>
  <si>
    <t>P2B2-1060</t>
  </si>
  <si>
    <t>Bent 2 - Mob Equipment from Endbent 1</t>
  </si>
  <si>
    <t>7drgw7NoNkm0vNzz7tvU1g</t>
  </si>
  <si>
    <t>Xi6j+x6N10Wtds65DPud5w</t>
  </si>
  <si>
    <t>P2B2-1070</t>
  </si>
  <si>
    <t>Bent 2 - Install Pile Template</t>
  </si>
  <si>
    <t>ZIWDBxW+n0il0JEnZksUCQ</t>
  </si>
  <si>
    <t>TUHZS95B7UKhJ4UxFGzWrg</t>
  </si>
  <si>
    <t>P2B2-1080</t>
  </si>
  <si>
    <t>Bent 2 - Cut Pipe Pile/Remove Template and Move to Bent 1</t>
  </si>
  <si>
    <t>oiNLXWzatkmMvB1p0hb+4w</t>
  </si>
  <si>
    <t>qibxAfqSukuZRV+VmKNgPA</t>
  </si>
  <si>
    <t>P2B2-1090</t>
  </si>
  <si>
    <t>/Qtpa5DV00SF1peza0yw7w</t>
  </si>
  <si>
    <t>hp76sypYZECotNrAWuVrIQ</t>
  </si>
  <si>
    <t>P2B2-1100</t>
  </si>
  <si>
    <t>e/cb694Fu0edatqTy5hGHw</t>
  </si>
  <si>
    <t>oHqRl3GARE6n4CBwE4mKTQ</t>
  </si>
  <si>
    <t>P2B2-1110</t>
  </si>
  <si>
    <t>O6u0zwXYj0mZByKVSWy0mg</t>
  </si>
  <si>
    <t>v3htwCgVV0+ndP1zGU9woQ</t>
  </si>
  <si>
    <t>P2B3-1000</t>
  </si>
  <si>
    <t>FT7bhG4cJkSQL+bzU8Z3og</t>
  </si>
  <si>
    <t>P2B3-1020</t>
  </si>
  <si>
    <t>qsgp0fCwpEan90KlREmL6w</t>
  </si>
  <si>
    <t>mXGA4f97H0iB6KnItAZxYg</t>
  </si>
  <si>
    <t>P2B3-1010</t>
  </si>
  <si>
    <t>MyYUqaD2rEyDhPdkiBEVFA</t>
  </si>
  <si>
    <t>kmKvfy5/fEeInlocplhhBw</t>
  </si>
  <si>
    <t>P2B3-1030</t>
  </si>
  <si>
    <t>gPFv2PHrI0eXmcjNwGEsZg</t>
  </si>
  <si>
    <t>23cCMbt8vU2innngc7tpGQ</t>
  </si>
  <si>
    <t>P2B3-1040</t>
  </si>
  <si>
    <t>0VHJF2JiEUq2gDQ8YlghnQ</t>
  </si>
  <si>
    <t>NpJzRik6PUeGBy8xKrHywQ</t>
  </si>
  <si>
    <t>P2B3-1060</t>
  </si>
  <si>
    <t>Bent 3 - Mob Equipment from Bent 1</t>
  </si>
  <si>
    <t>T5wS8ohrJk2kTtpdTRNN+w</t>
  </si>
  <si>
    <t>KWN1mnaYYUyvzWX87XA1dg</t>
  </si>
  <si>
    <t>P2B3-1070</t>
  </si>
  <si>
    <t>Bent 3 - Install Pile Template</t>
  </si>
  <si>
    <t>wH6vmx/0cEyf4HAxft9F0A</t>
  </si>
  <si>
    <t>LvSNxQbjIEONrQbrtijgww</t>
  </si>
  <si>
    <t>P2B3-1080</t>
  </si>
  <si>
    <t>Bent 3 - Cut Pipe Pile/Remove Template and Move to Bent 4</t>
  </si>
  <si>
    <t>2MuaFwZcFEOOw4MhUblvsA</t>
  </si>
  <si>
    <t>P2B3-1090</t>
  </si>
  <si>
    <t>nsK5R9e9rUieEuEOZiTWJw</t>
  </si>
  <si>
    <t>ZlUU0NSKvEaHknNrgpS1WQ</t>
  </si>
  <si>
    <t>P2B3-1100</t>
  </si>
  <si>
    <t>xCdUyFW9YUqQP8hSk2EDBw</t>
  </si>
  <si>
    <t>fRHD0esu4kCeVHbiaZf/6g</t>
  </si>
  <si>
    <t>P2B3-1110</t>
  </si>
  <si>
    <t>Bent 3 - Strip Cap Bottom Formwork/Move to Bent ?</t>
  </si>
  <si>
    <t>3E/7cXtHdkiJ1k34OJNiPw</t>
  </si>
  <si>
    <t>DaIPqqvnLEyqa/fw9vMw/g</t>
  </si>
  <si>
    <t>P2B4-1000</t>
  </si>
  <si>
    <t>anBhFB2fpEuYqITZK3FlJA</t>
  </si>
  <si>
    <t>L0ip4uZ+a0W7uvWUT+t/HQ</t>
  </si>
  <si>
    <t>P2B4-1020</t>
  </si>
  <si>
    <t>xdxkApphU0SB1CXkJz5tSQ</t>
  </si>
  <si>
    <t>x/+YYZXN8kmm+oVlQmoeRw</t>
  </si>
  <si>
    <t>P2B4-1010</t>
  </si>
  <si>
    <t>9G2lLmP+QUG2FsvJvqF5Nw</t>
  </si>
  <si>
    <t>ubeCVqgBzEmcig1w7SJlTg</t>
  </si>
  <si>
    <t>P2B4-1030</t>
  </si>
  <si>
    <t>9vSZCPaqHUqgCO3/9/Qf0w</t>
  </si>
  <si>
    <t>qfYj59OYwkmIP85jyzli8Q</t>
  </si>
  <si>
    <t>P2B4-1040</t>
  </si>
  <si>
    <t>2GaB7jRk+ESpQw3oABkweg</t>
  </si>
  <si>
    <t>P2B4-1060</t>
  </si>
  <si>
    <t>Bent 4 - Mob Pile Driving Equipment</t>
  </si>
  <si>
    <t>UVFp/PoPrkCHRBJpO4OKWg</t>
  </si>
  <si>
    <t>PPB+Kg99o0aOIgE+6g2M1g</t>
  </si>
  <si>
    <t>P2B4-1070</t>
  </si>
  <si>
    <t>Bent 4 - Install Pile Template</t>
  </si>
  <si>
    <t>SKhQXx63Zk6FgkzEMBjRow</t>
  </si>
  <si>
    <t>Yw//3AeJskyrxoVByFS40Q</t>
  </si>
  <si>
    <t>P2B4-1080</t>
  </si>
  <si>
    <t>dIhHS19HkUmz/jNJ5eiSGA</t>
  </si>
  <si>
    <t>v82asSBWQkK77JWmpYR1dg</t>
  </si>
  <si>
    <t>P2B4-1090</t>
  </si>
  <si>
    <t>Mxpg3OZ66E+sSpWup6GqLQ</t>
  </si>
  <si>
    <t>01S87R6RX0qHPv2NV2zpYw</t>
  </si>
  <si>
    <t>P2B4-1100</t>
  </si>
  <si>
    <t>IvLDYt6tuEaydJRQZUNoBg</t>
  </si>
  <si>
    <t>H8ZgpVdoY0qqGvS9f6EhVA</t>
  </si>
  <si>
    <t>P2B4-1110</t>
  </si>
  <si>
    <t>Z8/cay9uAkqWGAv51I6aLg</t>
  </si>
  <si>
    <t>PUGLw4eFzEirFqlTKN7X9Q</t>
  </si>
  <si>
    <t>P2B5-1000</t>
  </si>
  <si>
    <t>47eW4Ku5A0+4E9aUSZOf7w</t>
  </si>
  <si>
    <t>4RIHZLocukO12l//M79gLg</t>
  </si>
  <si>
    <t>P2B5-1010</t>
  </si>
  <si>
    <t>3Qn12gEJmkeV5E6HKhAGGg</t>
  </si>
  <si>
    <t>gK062GGyu0aiEDaBYlVu2A</t>
  </si>
  <si>
    <t>P2B5-1030</t>
  </si>
  <si>
    <t>Bent 5 - Cure Cap Body/Beamseat Formwork</t>
  </si>
  <si>
    <t>S+xFEdcz2EC2rV4U8xCYRA</t>
  </si>
  <si>
    <t>ZLBCuZeJ/0Ow6h1P498t5A</t>
  </si>
  <si>
    <t>P2B5-1020</t>
  </si>
  <si>
    <t>So6B4bP1VkGYQd6blsvHSw</t>
  </si>
  <si>
    <t>oxIH+2/ac0OmBws+0rXcUg</t>
  </si>
  <si>
    <t>P2B5-1015</t>
  </si>
  <si>
    <t>nYuuaApKkke8KyZ2CV8BrQ</t>
  </si>
  <si>
    <t>NwT2GchqF0WfIHk8LrbbkQ</t>
  </si>
  <si>
    <t>P2B5-1040</t>
  </si>
  <si>
    <t>em77K8j0FE+Vc8tbMY44Ag</t>
  </si>
  <si>
    <t>ljy/P45O4U64uuVhGw5cLA</t>
  </si>
  <si>
    <t>P2B5-1050</t>
  </si>
  <si>
    <t>uU20e8UUgE++LHQ/dA8JVA</t>
  </si>
  <si>
    <t>lNEJy3y4YEqKtZdUA4cdkQ</t>
  </si>
  <si>
    <t>P2B5-1060</t>
  </si>
  <si>
    <t>Xuc4ukRAvUeO+cJgNC2xTw</t>
  </si>
  <si>
    <t>dG6Fm974c0ulutuOYgqSYg</t>
  </si>
  <si>
    <t>P2B5-1070</t>
  </si>
  <si>
    <t>rhDLdJxXJU2muGgCpKVhvQ</t>
  </si>
  <si>
    <t>JoJ1ml5jeUC4tQqxsfSShg</t>
  </si>
  <si>
    <t>P2B5-1090</t>
  </si>
  <si>
    <t>OJkPjRguhk6KHd/5dwaPuQ</t>
  </si>
  <si>
    <t>nXC2tPksZkexGserPmYt9w</t>
  </si>
  <si>
    <t>P2B5-1025</t>
  </si>
  <si>
    <t>gV6IGj15DEOOrP3z3XR7KQ</t>
  </si>
  <si>
    <t>EzErtU8GIkukyFG457EbNA</t>
  </si>
  <si>
    <t>P2B5-1100</t>
  </si>
  <si>
    <t>Iw75lWXQoEGBR7uE6sxJnA</t>
  </si>
  <si>
    <t>oI4ZsZRIu0untwmGymr7sQ</t>
  </si>
  <si>
    <t>P2B5-1110</t>
  </si>
  <si>
    <t>Bent 5 - Strip Cap Bottom Formwork and Move to Bent 7</t>
  </si>
  <si>
    <t>bAR94eecxEG7ZkmoEJN0VQ</t>
  </si>
  <si>
    <t>DbA4ShQCPUazn6chtKZ+DA</t>
  </si>
  <si>
    <t>P2B5-1035</t>
  </si>
  <si>
    <t>/s7x47knRkajK6w92z2wtA</t>
  </si>
  <si>
    <t>WPnFz2xE8kyrFnzAjzZkow</t>
  </si>
  <si>
    <t>P2B6-1000</t>
  </si>
  <si>
    <t>I2C1nZhMB0asYnqyafIxSQ</t>
  </si>
  <si>
    <t>8/bNZZaC8ECYLFWkxcWTJw</t>
  </si>
  <si>
    <t>P2B6-1010</t>
  </si>
  <si>
    <t>N83DAAnErkaaG60cmjr+bA</t>
  </si>
  <si>
    <t>aOSKg1HeTUS+8hL5sXS18A</t>
  </si>
  <si>
    <t>P2B6-1030</t>
  </si>
  <si>
    <t>Bent 6 - Cure Cap Body/Beamseat Formwork</t>
  </si>
  <si>
    <t>rER65OlhwUaNj5eZV3RXEg</t>
  </si>
  <si>
    <t>cnxiUttlSkOaEKn4ck9Mmw</t>
  </si>
  <si>
    <t>P2B6-1020</t>
  </si>
  <si>
    <t>qB3QofOVy0i9HfE4QSSovA</t>
  </si>
  <si>
    <t>y6/oVq3rAEyJni9Sd3mIJQ</t>
  </si>
  <si>
    <t>P2B6-1015</t>
  </si>
  <si>
    <t>H4nyOIhhNUi/hhBmRlghQw</t>
  </si>
  <si>
    <t>3D/uVAtu6kO9LH73EaeiYQ</t>
  </si>
  <si>
    <t>P2B6-1040</t>
  </si>
  <si>
    <t>Lko2Co6wikWyyswNGz2aEA</t>
  </si>
  <si>
    <t>Kw+ewEohk0WgJkY1XLFObw</t>
  </si>
  <si>
    <t>P2B6-1050</t>
  </si>
  <si>
    <t>T9nqH9s3eUO4RlWUYYFX1w</t>
  </si>
  <si>
    <t>BY99I7wAKkyZGT/yhe+UZA</t>
  </si>
  <si>
    <t>P2B6-1060</t>
  </si>
  <si>
    <t>aInjm5ZJZEOnOQ99WdR7nA</t>
  </si>
  <si>
    <t>k9ad45YDWUCIP4GqCbIrXQ</t>
  </si>
  <si>
    <t>P2B6-1070</t>
  </si>
  <si>
    <t>YK5NLUnCzEe+kG+0/N9MXg</t>
  </si>
  <si>
    <t>HG+GP9ccykWme7+mGnrzzw</t>
  </si>
  <si>
    <t>P2B6-1090</t>
  </si>
  <si>
    <t>vf7VMcZ900mPeptPfbVQCw</t>
  </si>
  <si>
    <t>2UB6pV5bnEiYA4a510utrg</t>
  </si>
  <si>
    <t>P2B6-1100</t>
  </si>
  <si>
    <t>kLT8aoftdUeVTA5tfUCSxg</t>
  </si>
  <si>
    <t>2HQ9uIs7WkyTbbCAZem9Qw</t>
  </si>
  <si>
    <t>P2B6-1025</t>
  </si>
  <si>
    <t>Qj9hWEYUekmY17quj7X70A</t>
  </si>
  <si>
    <t>8Aau6wdN5Eizc0f5cPKE3g</t>
  </si>
  <si>
    <t>P2B6-1035</t>
  </si>
  <si>
    <t>xAT9C+zmfUGrEakmHdNz7w</t>
  </si>
  <si>
    <t>nkPmlkxxGk2g/HqeUxahZQ</t>
  </si>
  <si>
    <t>P2B6-1110</t>
  </si>
  <si>
    <t>xid5mgLBp0u0yliXQb7cSA</t>
  </si>
  <si>
    <t>W61xDqhXokSP44/DaUuEZg</t>
  </si>
  <si>
    <t>P2B7-1000</t>
  </si>
  <si>
    <t>UUuJ8SGMT0ulSMdaLhvvuw</t>
  </si>
  <si>
    <t>/BlM5U3YBkayjUfuzKeFjw</t>
  </si>
  <si>
    <t>P2B7-1030</t>
  </si>
  <si>
    <t>Bent 7 - Cure Bent Cap</t>
  </si>
  <si>
    <t>RgwJ6IiSBkO35EIQpllTsQ</t>
  </si>
  <si>
    <t>6TE1YX0I+U+OwIAaS2z+tw</t>
  </si>
  <si>
    <t>P2B7-1010</t>
  </si>
  <si>
    <t>5W1sTBpVM0GFGvj00PUkqg</t>
  </si>
  <si>
    <t>zZS3Z1NQm0mp1TrBgu/U8Q</t>
  </si>
  <si>
    <t>P2B7-1020</t>
  </si>
  <si>
    <t>ibH3FezuaEy/x8j1mS9j1g</t>
  </si>
  <si>
    <t>FG65z5g0Uk6hKEcgBKOT/g</t>
  </si>
  <si>
    <t>P2B7-1015</t>
  </si>
  <si>
    <t>hMtndfjLVEOfGoHMYg9tXw</t>
  </si>
  <si>
    <t>05jeKElXU0qKdIdIrGPPIw</t>
  </si>
  <si>
    <t>P2B7-1040</t>
  </si>
  <si>
    <t>jfIwc7IxdEiST8MXMNHNpw</t>
  </si>
  <si>
    <t>b4wzRiV8Y0CQjXWAumtqYQ</t>
  </si>
  <si>
    <t>P2B7-1050</t>
  </si>
  <si>
    <t>D/GW38XSLE2u2grMR1Fw4A</t>
  </si>
  <si>
    <t>Hw0Tpfy1M02E4n/2GRWLYg</t>
  </si>
  <si>
    <t>P2B7-1060</t>
  </si>
  <si>
    <t>korNxmOLxUiBIhzF74TjrA</t>
  </si>
  <si>
    <t>RktbhIhcJ0+dEzLBWD71Sw</t>
  </si>
  <si>
    <t>P2B7-1070</t>
  </si>
  <si>
    <t>lZyWVwMnc0e7WfvdAIeFZw</t>
  </si>
  <si>
    <t>cVtt/KLnzUazheTfOlzsMw</t>
  </si>
  <si>
    <t>P2B7-1090</t>
  </si>
  <si>
    <t>6iwt9GtZhU6usW4QX9Zlmg</t>
  </si>
  <si>
    <t>64/BsqbmS0m7giVdQA3mFA</t>
  </si>
  <si>
    <t>P2B7-1100</t>
  </si>
  <si>
    <t>sgC0Nc+Ka0idvMtfESzWJA</t>
  </si>
  <si>
    <t>G9CJeIArfUuvImFcvIgVjA</t>
  </si>
  <si>
    <t>P2B7-1025</t>
  </si>
  <si>
    <t>nT8SuihoNUex0qTnB8dkvQ</t>
  </si>
  <si>
    <t>M8UiKoGYZUS/rv0c7Mc+kg</t>
  </si>
  <si>
    <t>P2B7-1035</t>
  </si>
  <si>
    <t>8chpDXuge0GX0XTpTsI7OA</t>
  </si>
  <si>
    <t>VxpXBsfX00e9CVKybqzHQQ</t>
  </si>
  <si>
    <t>P2B7-1110</t>
  </si>
  <si>
    <t>pIV42kXdEkSQvBAgM5xtCw</t>
  </si>
  <si>
    <t>fDEGoXrJG0WYPrlGTx0Y4g</t>
  </si>
  <si>
    <t>P2SA-1010</t>
  </si>
  <si>
    <t>OwJUUBJNV06V7VFt4f4sHA</t>
  </si>
  <si>
    <t>FV/rrseYqEeJO7B3YPD8Cw</t>
  </si>
  <si>
    <t>P2SA-1020</t>
  </si>
  <si>
    <t>dVvvKCuTb0q4umdQ7oEpUw</t>
  </si>
  <si>
    <t>TUKfXAWmIEaSi/DQ2ueMbA</t>
  </si>
  <si>
    <t>P2SA-1030</t>
  </si>
  <si>
    <t>YVnA1pqpAU+kz9MoYnEWlA</t>
  </si>
  <si>
    <t>BJvjv6/6p0WRTUnlotdKBg</t>
  </si>
  <si>
    <t>P2SA-1040</t>
  </si>
  <si>
    <t>flgwfnV9gEqWYVReTubrXA</t>
  </si>
  <si>
    <t>Bj2ndtCkTE6CvvZmvV7n0g</t>
  </si>
  <si>
    <t>P2SA-1050</t>
  </si>
  <si>
    <t>Span A - Place Deck &amp; Diaphragms</t>
  </si>
  <si>
    <t>2UGypmgy4kSQ8Wjn17/fSQ</t>
  </si>
  <si>
    <t>XhZmgbnG2kCbEOCqSDI31A</t>
  </si>
  <si>
    <t>P2SA-1060</t>
  </si>
  <si>
    <t>LvlOGeBYQkmJlEB015yG1A</t>
  </si>
  <si>
    <t>wiVDO4lArkqudT2jpIeGVQ</t>
  </si>
  <si>
    <t>P2B1-1050</t>
  </si>
  <si>
    <t>biccZGRrCUqXY5Q2uTzkHA</t>
  </si>
  <si>
    <t>UDHvSvOkX06yqbLVEYzxDw</t>
  </si>
  <si>
    <t>P2EB2-1200</t>
  </si>
  <si>
    <t>A7y0v+b/qU6vvZU3PhGbuw</t>
  </si>
  <si>
    <t>gAQLUDWITUueHEOSGcNUQQ</t>
  </si>
  <si>
    <t>P2SA-1070</t>
  </si>
  <si>
    <t>DWh3WmBYX0mOddoti99HDw</t>
  </si>
  <si>
    <t>CgnRnPCF7kut7shjHBYR1g</t>
  </si>
  <si>
    <t>P2SA-1080</t>
  </si>
  <si>
    <t>257BVMzbikKhNm3H4sgIjg</t>
  </si>
  <si>
    <t>gQiJbq5+sUKnJOal3SKWWA</t>
  </si>
  <si>
    <t>P2SA-1090</t>
  </si>
  <si>
    <t>p3KHTgiCZkm6295sklT5WA</t>
  </si>
  <si>
    <t>6J36FGUdi0yZIAvAV1GDTg</t>
  </si>
  <si>
    <t>P2SA-1100</t>
  </si>
  <si>
    <t>6+QJi71mGkGrwcuPVuIqKw</t>
  </si>
  <si>
    <t>xL4L5Z88tEOF9S2qXPOzeA</t>
  </si>
  <si>
    <t>P2SA-1110</t>
  </si>
  <si>
    <t>Qc5uQXmu9US800etMy6ERQ</t>
  </si>
  <si>
    <t>rFn01mmyJk2tdiZwTrg2Yw</t>
  </si>
  <si>
    <t>P2SA-1120</t>
  </si>
  <si>
    <t>Span A - Remove Interior Deck Overhang/Exterior Walkway/Point &amp; Patch</t>
  </si>
  <si>
    <t>K6jURr2BcUaQ7Ti2cHQs4g</t>
  </si>
  <si>
    <t>6/yEI/lQX0+FePneuFW1JQ</t>
  </si>
  <si>
    <t>P2SA-1130</t>
  </si>
  <si>
    <t>4qgL1TH+BEqCDZtaPtChQA</t>
  </si>
  <si>
    <t>Jh2Peg6i5kCAX+ER/RVwHw</t>
  </si>
  <si>
    <t>P2SB-1010</t>
  </si>
  <si>
    <t>JZhUiQZCbEy1Jo2bxLvWsg</t>
  </si>
  <si>
    <t>j/i/acXkVku6Pq/2vtrpeA</t>
  </si>
  <si>
    <t>P2SB-1020</t>
  </si>
  <si>
    <t>r1lkrLkNdUeQGz/IxMIsRg</t>
  </si>
  <si>
    <t>UDmF+Lfu1kWr8/Tb6GVy8A</t>
  </si>
  <si>
    <t>P2SB-1030</t>
  </si>
  <si>
    <t>dJt3lj7MLkeeDj09NXTXBQ</t>
  </si>
  <si>
    <t>QP02l/FJS0qoc+Y4E8CUNg</t>
  </si>
  <si>
    <t>P2SB-1040</t>
  </si>
  <si>
    <t>AobSLa+sOkaMUzz3M39N9Q</t>
  </si>
  <si>
    <t>OzLrJ8ZLqkWwBxdHckZZzw</t>
  </si>
  <si>
    <t>P2SB-1050</t>
  </si>
  <si>
    <t>Span B - Place Deck &amp; Diaphragms</t>
  </si>
  <si>
    <t>LHG2NHBCVESQCTtBMhar3A</t>
  </si>
  <si>
    <t>B2M4yFI6H0yk571aLHJVLg</t>
  </si>
  <si>
    <t>P2SB-1060</t>
  </si>
  <si>
    <t>56Sn97ZDLkKJdcZadBq9Qw</t>
  </si>
  <si>
    <t>nb4nSlzBL0ObXSs3uoZsaQ</t>
  </si>
  <si>
    <t>P2B2-1050</t>
  </si>
  <si>
    <t>knYBA/yrmUaMzaLiizTnQw</t>
  </si>
  <si>
    <t>1qWinjv6i0C+0ui1PbfE9w</t>
  </si>
  <si>
    <t>P2SB-1070</t>
  </si>
  <si>
    <t>p6XkTwUTgEW5yfRXM8AapQ</t>
  </si>
  <si>
    <t>WTtL4n3/SUeoIpm44QExEg</t>
  </si>
  <si>
    <t>P2SB-1080</t>
  </si>
  <si>
    <t>7fez19JHakKZKdvezO/Gfw</t>
  </si>
  <si>
    <t>yeiTKDaziky4kcaMSt0p/A</t>
  </si>
  <si>
    <t>P2SB-1090</t>
  </si>
  <si>
    <t>5biMl5jxc0aXQw57P159UQ</t>
  </si>
  <si>
    <t>m+WEyAfO4ESdCd0na93LaQ</t>
  </si>
  <si>
    <t>P2SB-1100</t>
  </si>
  <si>
    <t>iImDom5ubkWMSStGF40pRA</t>
  </si>
  <si>
    <t>YhZUGgRMZkavlTBcLYvTvA</t>
  </si>
  <si>
    <t>P2SB-1110</t>
  </si>
  <si>
    <t>CFslvhr9fEqQoej7x6fT7w</t>
  </si>
  <si>
    <t>y/rPPq+4+0qQ6OqNgFjGzQ</t>
  </si>
  <si>
    <t>P2SB-1120</t>
  </si>
  <si>
    <t>N86Qqhli3UakyY7W/xXKFA</t>
  </si>
  <si>
    <t>nZLn5Snhckm6UanKeMuYqA</t>
  </si>
  <si>
    <t>P2SB-1130</t>
  </si>
  <si>
    <t>Span B - Remove Interior Deck Overhang/Exterior Walkway/Point &amp; Patch</t>
  </si>
  <si>
    <t>x040oIc/WUeHIJAgIvF50g</t>
  </si>
  <si>
    <t>P2SB-1140</t>
  </si>
  <si>
    <t>MIfgBlPxu0qwj3g3AKV9Hg</t>
  </si>
  <si>
    <t>LpQHW9aweE6ZFC3VkmBe9w</t>
  </si>
  <si>
    <t>P2SC-1010</t>
  </si>
  <si>
    <t>rvqhMK/O70mLWjc7D1Qw7A</t>
  </si>
  <si>
    <t>lHyAKDBUU0O39stwIsm98Q</t>
  </si>
  <si>
    <t>P2SC-1020</t>
  </si>
  <si>
    <t>(DEL)Span C - Form Walkway Along Exterior North Girder</t>
  </si>
  <si>
    <t>pZA9vxVKf0icDFFDPUjdYw</t>
  </si>
  <si>
    <t>P2SC-1030</t>
  </si>
  <si>
    <t>P/YjA3pZ0UyjEAsErm8SPA</t>
  </si>
  <si>
    <t>1qt9YlAdAUKJHR3zYLQV+w</t>
  </si>
  <si>
    <t>P2SC-1040</t>
  </si>
  <si>
    <t>NXKQLXad4Ui3QEauNbezHA</t>
  </si>
  <si>
    <t>POSbOe6gOEu0bXrkAsb5Yw</t>
  </si>
  <si>
    <t>P2SC-1050</t>
  </si>
  <si>
    <t>Span C - Place Deck &amp; Diaphragms</t>
  </si>
  <si>
    <t>nVikKNarAkaGrrGgDmKSVw</t>
  </si>
  <si>
    <t>CxoXCquioESDM4nJSx8Irg</t>
  </si>
  <si>
    <t>P2SC-1060</t>
  </si>
  <si>
    <t>Jr9vZEk4Mk6x4dPZdsuC3g</t>
  </si>
  <si>
    <t>j1BEunlK2EGpkwkbCFbmNA</t>
  </si>
  <si>
    <t>P2B3-1050</t>
  </si>
  <si>
    <t>Swu5rJldwkaLPIrBdqDGEw</t>
  </si>
  <si>
    <t>5cA92407ska83u9iWlJzXw</t>
  </si>
  <si>
    <t>P2B3-1120</t>
  </si>
  <si>
    <t>ufFgEW0wjEC1y6z9xUbjDg</t>
  </si>
  <si>
    <t>f1SQpEH/sUCFYIXqXxpRTg</t>
  </si>
  <si>
    <t>P2SC-1070</t>
  </si>
  <si>
    <t>Ko7Cf+ih80K3Uhanh8S2bg</t>
  </si>
  <si>
    <t>0g7yUq5P302Lp7WFKhnmQw</t>
  </si>
  <si>
    <t>P2SC-1080</t>
  </si>
  <si>
    <t>UQYiO/lndUWQLF3YYwUKuA</t>
  </si>
  <si>
    <t>D/dN+TIM30eSaFJI36NA+Q</t>
  </si>
  <si>
    <t>P2SC-1090</t>
  </si>
  <si>
    <t>1DiJmnwwdk+nKoWCkSbWqQ</t>
  </si>
  <si>
    <t>p6LcWSYKFE6Y6ls0+WZk8g</t>
  </si>
  <si>
    <t>P2SC-1100</t>
  </si>
  <si>
    <t>xk9FEwiAfEOvRZscK9f/Aw</t>
  </si>
  <si>
    <t>i2i/3GZk7EOZK2qMAKxefQ</t>
  </si>
  <si>
    <t>P2SC-1110</t>
  </si>
  <si>
    <t>sQHjPy94X0GWW0vli6JpiA</t>
  </si>
  <si>
    <t>3vXWY/qapkqvyccpd5Pfvw</t>
  </si>
  <si>
    <t>P2SC-1120</t>
  </si>
  <si>
    <t>Span C - Remove Interior Deck Overhang/Exterior Walkway/Point &amp; Patch</t>
  </si>
  <si>
    <t>666KOXSdbECdCkMf31kz5w</t>
  </si>
  <si>
    <t>8AHTnMMdlUG2qNlAitXnjw</t>
  </si>
  <si>
    <t>P2SC-1130</t>
  </si>
  <si>
    <t>J8UUmD+PMkGfzDZ6PQECYw</t>
  </si>
  <si>
    <t>9FGYqwR1f0WhQoa6qrq5JA</t>
  </si>
  <si>
    <t>P2SD-1010</t>
  </si>
  <si>
    <t>AxV2O9ym3kK9NaGwXMxv/Q</t>
  </si>
  <si>
    <t>m81VzyHkw0KIMaLM+XKb5g</t>
  </si>
  <si>
    <t>P2SD-1020</t>
  </si>
  <si>
    <t>zcmGd7b9BE+LiSkr+ayj9g</t>
  </si>
  <si>
    <t>4S9YV/cK9kWTDyxURfsaUQ</t>
  </si>
  <si>
    <t>P2SD-1030</t>
  </si>
  <si>
    <t>N/dD808aWkaViKVPxZ+aJg</t>
  </si>
  <si>
    <t>wRB+cFrRGkWUg+swb9VVzw</t>
  </si>
  <si>
    <t>P2SD-1040</t>
  </si>
  <si>
    <t>Xck1QXa+m0OqtmJhfhyQzg</t>
  </si>
  <si>
    <t>81tIpgZjjkGGrNaSiQ9TxQ</t>
  </si>
  <si>
    <t>P2SD-1050</t>
  </si>
  <si>
    <t>Span D - Place Deck &amp; Diaphragms</t>
  </si>
  <si>
    <t>iiXkJoiT7ky/HRs1I6ypPw</t>
  </si>
  <si>
    <t>g+L22+JbZUCUgS42U9HSzA</t>
  </si>
  <si>
    <t>P2SD-1060</t>
  </si>
  <si>
    <t>EOrWgm2rbkaAzU6U3/IK/g</t>
  </si>
  <si>
    <t>ZpuwXWvXxE+cdfCoK3fh9w</t>
  </si>
  <si>
    <t>P2B4-1050</t>
  </si>
  <si>
    <t>rocr+EENaEOMJ2G7Yx27rQ</t>
  </si>
  <si>
    <t>sr6utF84Fki80nTz22jolw</t>
  </si>
  <si>
    <t>P2B4-1120</t>
  </si>
  <si>
    <t>9RhHw9oeWkaiy0CguGxwaA</t>
  </si>
  <si>
    <t>YtdVuwUet0m5G/FkWfhYYA</t>
  </si>
  <si>
    <t>P2SD-1070</t>
  </si>
  <si>
    <t>rHmmfMzsvUupCrB8t7flpQ</t>
  </si>
  <si>
    <t>zd+Uu4Gf0keSrunnamqdYw</t>
  </si>
  <si>
    <t>P2SD-1080</t>
  </si>
  <si>
    <t>fNbICGmPCEahM5UADwof+w</t>
  </si>
  <si>
    <t>TyWeERFJIEe8YsW2Kjmc7w</t>
  </si>
  <si>
    <t>P2SD-1090</t>
  </si>
  <si>
    <t>vFPZC/rdxUSSleGXDfOoDg</t>
  </si>
  <si>
    <t>bjssS89v4ESDJFGX99j4RA</t>
  </si>
  <si>
    <t>P2SD-1100</t>
  </si>
  <si>
    <t>NvsdV5GNw0uQ8JNcZZ6yEg</t>
  </si>
  <si>
    <t>jxbBvGIlukq0E9xcGX8fzA</t>
  </si>
  <si>
    <t>P2SD-1110</t>
  </si>
  <si>
    <t>qOpjGqdH5k+tkg4DekgYeA</t>
  </si>
  <si>
    <t>fWWzmblRkke2xDg/JD0isQ</t>
  </si>
  <si>
    <t>P2SD-1120</t>
  </si>
  <si>
    <t>Span D - Remove Interior Deck Overhang/Exterior Walkway/Point &amp; Patch</t>
  </si>
  <si>
    <t>nWElcu4/ukajqvAyjtvMTg</t>
  </si>
  <si>
    <t>H9/cuhNpukG11Vx8docoXg</t>
  </si>
  <si>
    <t>P2SD-1130</t>
  </si>
  <si>
    <t>3Udsmu6Q+kuF+TQg+nYEDw</t>
  </si>
  <si>
    <t>/IozIf1j4EOtZvnLyZWRLg</t>
  </si>
  <si>
    <t>P2SE-1010</t>
  </si>
  <si>
    <t>QbU9/NqJm0mlb4ZXJUhtWA</t>
  </si>
  <si>
    <t>feo+38Z8bEauEBvL+dm1LA</t>
  </si>
  <si>
    <t>P2SE-1020</t>
  </si>
  <si>
    <t>UGVlDvrUz02wQPXQCPgoVQ</t>
  </si>
  <si>
    <t>g9593v4RKE+xwOX52WkyPQ</t>
  </si>
  <si>
    <t>P2SE-1030</t>
  </si>
  <si>
    <t>78S6prdROEaD7J6jJzBfhQ</t>
  </si>
  <si>
    <t>nLmnenQAm0SkNzvL8nTUSA</t>
  </si>
  <si>
    <t>P2SE-1040</t>
  </si>
  <si>
    <t>jvx5OnzqtkGamBoByfOP/w</t>
  </si>
  <si>
    <t>MoHP0RaXYUu5bo40N1Evqg</t>
  </si>
  <si>
    <t>P2SE-1050</t>
  </si>
  <si>
    <t>Span E - Place Deck &amp; Diaphragms</t>
  </si>
  <si>
    <t>dO3yqNLcDE6e0OkpXC3pEA</t>
  </si>
  <si>
    <t>uq8x+t0vx0GdeV7Up61wFQ</t>
  </si>
  <si>
    <t>P2SE-1060</t>
  </si>
  <si>
    <t>FVz/j5xwmEuKuORLA8xYWg</t>
  </si>
  <si>
    <t>tYPvPry+60OwRLb7vO832g</t>
  </si>
  <si>
    <t>P2B5-1080</t>
  </si>
  <si>
    <t>b4iVmcTxd0q6wIKP8+nNfw</t>
  </si>
  <si>
    <t>FnyKQ5ZBCkuVq7uCDCid1Q</t>
  </si>
  <si>
    <t>P2SE-1070</t>
  </si>
  <si>
    <t>itJAvtBbYEeu4yic+JAsdQ</t>
  </si>
  <si>
    <t>yyqFmaWhnU+NmxT6J2dCHA</t>
  </si>
  <si>
    <t>P2SE-1080</t>
  </si>
  <si>
    <t>sTBqh6G4T0WK1ThAD2REJw</t>
  </si>
  <si>
    <t>i8+JbwxB9U24oCnz9s1KVw</t>
  </si>
  <si>
    <t>P2SE-1090</t>
  </si>
  <si>
    <t>DAqwA2S/YkizwBU0MctUrg</t>
  </si>
  <si>
    <t>d0ahOR00RkWcdyvE97ob+g</t>
  </si>
  <si>
    <t>P2SE-1100</t>
  </si>
  <si>
    <t>0Pr5V3rHu0SarRy2yJ37Jw</t>
  </si>
  <si>
    <t>L2G1da+R0Ua+2gvaiaV1eA</t>
  </si>
  <si>
    <t>P2SE-1110</t>
  </si>
  <si>
    <t>Mi5FhWaVBEKLiSUYqfo21Q</t>
  </si>
  <si>
    <t>WCLwh/wqLUazyHY/k9qpwg</t>
  </si>
  <si>
    <t>P2SE-1120</t>
  </si>
  <si>
    <t>KyMRxusXKEui3JyBDxfsrA</t>
  </si>
  <si>
    <t>1MTODnjpFEawoDSJJuE3Vw</t>
  </si>
  <si>
    <t>P2SE-1130</t>
  </si>
  <si>
    <t>Span E - Remove Interior Deck Overhang/Exterior Walkway/Point &amp; Patch</t>
  </si>
  <si>
    <t>I6RJzpOB1E2HZOx20z4JIg</t>
  </si>
  <si>
    <t>8TJBHFNhekGK7NidZleddg</t>
  </si>
  <si>
    <t>P2SE-1140</t>
  </si>
  <si>
    <t>/LmvZDbFKEKO8A7Qsns3Hw</t>
  </si>
  <si>
    <t>Unlcy5etHUihVoZflJ+1ZA</t>
  </si>
  <si>
    <t>P2SF-1010</t>
  </si>
  <si>
    <t>tg0SR/1tlk+K/JmgjpYI6g</t>
  </si>
  <si>
    <t>Kxf9u/zahE6Rd/zp2YZi8w</t>
  </si>
  <si>
    <t>P2SF-1020</t>
  </si>
  <si>
    <t>PxgptO+QIUyO5Y4r3ViB0g</t>
  </si>
  <si>
    <t>gLC45aQojEGwt6qC47h4xw</t>
  </si>
  <si>
    <t>P2SF-1030</t>
  </si>
  <si>
    <t>DF51QA4r60KPDd6GIEQThQ</t>
  </si>
  <si>
    <t>2cHdhjOtXEyr4PetLet/fQ</t>
  </si>
  <si>
    <t>P2SF-1040</t>
  </si>
  <si>
    <t>a/dhOdVcMU2CxjyXEzE75Q</t>
  </si>
  <si>
    <t>1FwZTzMuAk+bef6BhlxT8g</t>
  </si>
  <si>
    <t>P2SF-1050</t>
  </si>
  <si>
    <t>Span F - Place Deck &amp; Diaphragms</t>
  </si>
  <si>
    <t>po/kAC98eUemqH2hi5NrlQ</t>
  </si>
  <si>
    <t>NdK2ndPP5ECHljrNlG19IA</t>
  </si>
  <si>
    <t>P2SF-1060</t>
  </si>
  <si>
    <t>uvMnTABZ3024BfYRrxpYNA</t>
  </si>
  <si>
    <t>rgHwRNKHgE6BkxMLR1BhOQ</t>
  </si>
  <si>
    <t>P2B6-1080</t>
  </si>
  <si>
    <t>Oj9V86iOrES0qChZ34jPOg</t>
  </si>
  <si>
    <t>wutEqQI0W0yKM0PnKG/bbQ</t>
  </si>
  <si>
    <t>P2B6-1120</t>
  </si>
  <si>
    <t>f5cAkdruw02Ip4fQFRv/7w</t>
  </si>
  <si>
    <t>FpTqS2FdoUyXKaF2u6N4hw</t>
  </si>
  <si>
    <t>P2SF-1070</t>
  </si>
  <si>
    <t>Span F - Remove Interior Deck Overhang/Exterior Walkway/Point &amp; Patch</t>
  </si>
  <si>
    <t>WVzbnib+YEGjQul6IbfIfQ</t>
  </si>
  <si>
    <t>1HY0Z020PUCkDIkXLKeqrQ</t>
  </si>
  <si>
    <t>P2SF-1080</t>
  </si>
  <si>
    <t>BSdQY8gq/UyPAMGwVTY1xw</t>
  </si>
  <si>
    <t>9pkeKPlBU0mH6sjKyRX7xw</t>
  </si>
  <si>
    <t>P2SF-1090</t>
  </si>
  <si>
    <t>Mfu+p1lRfEC1TijvpDlMqA</t>
  </si>
  <si>
    <t>7gk6Pn2Xx0OLKQd0vaFoHg</t>
  </si>
  <si>
    <t>P2SF-1100</t>
  </si>
  <si>
    <t>/GNMVbO8802pHFo9SSd/Zw</t>
  </si>
  <si>
    <t>O0Q+huxwf0q8IrUPHqK+Iw</t>
  </si>
  <si>
    <t>P2SF-1110</t>
  </si>
  <si>
    <t>WdJc1ryaK0S2HUl9WP/Ryg</t>
  </si>
  <si>
    <t>Ycc/E43g4ky7w60HMNVc5Q</t>
  </si>
  <si>
    <t>P2SF-1120</t>
  </si>
  <si>
    <t>nqausOy1IEiUW/g1xArCZw</t>
  </si>
  <si>
    <t>zEKilt0nikakEpwFNxTPvQ</t>
  </si>
  <si>
    <t>P2SF-1130</t>
  </si>
  <si>
    <t>hgmdbjAoV0C2AzaZIRfzJw</t>
  </si>
  <si>
    <t>b1BX6sOZ7EaUoeKnRqV90w</t>
  </si>
  <si>
    <t>P2SG-1010</t>
  </si>
  <si>
    <t>2DSjBL790Uy8mZdiCSEkAQ</t>
  </si>
  <si>
    <t>RtCEu+cDQkq+SfeSWfIzTg</t>
  </si>
  <si>
    <t>P2SG-1020</t>
  </si>
  <si>
    <t>F6KMtvDSNUes1ha12tJseQ</t>
  </si>
  <si>
    <t>lTOYHJjczUKuI1QSDkIZ6w</t>
  </si>
  <si>
    <t>P2SG-1030</t>
  </si>
  <si>
    <t>51ymdHVVNEeQh8iTbSKvFg</t>
  </si>
  <si>
    <t>krPJ+gUJrUeDq6B00SgKsQ</t>
  </si>
  <si>
    <t>P2SG-1040</t>
  </si>
  <si>
    <t>XozbYivhxUuA/pdJHJHs2A</t>
  </si>
  <si>
    <t>nrTPkB71g06md2WdmX9unA</t>
  </si>
  <si>
    <t>P2SG-1050</t>
  </si>
  <si>
    <t>Span G - Place Deck &amp; Diaphragms</t>
  </si>
  <si>
    <t>4UiEaEvXF0Sx3NIvagJuzA</t>
  </si>
  <si>
    <t>pbUCnBogYUaKC6ggQt/9/Q</t>
  </si>
  <si>
    <t>P2SG-1060</t>
  </si>
  <si>
    <t>AgZN5Z1jAUGupkvqgNTtRA</t>
  </si>
  <si>
    <t>Lju/9v+wcEyL+UmrF/3UHw</t>
  </si>
  <si>
    <t>P2B7-1080</t>
  </si>
  <si>
    <t>RA6c9hTMP0ClSK9a8XnSMQ</t>
  </si>
  <si>
    <t>nEfxKl/ByUKNHT/gk7IV4Q</t>
  </si>
  <si>
    <t>P2B7-1120</t>
  </si>
  <si>
    <t>Hu8tWzkX/E+K1YxUgJlLpA</t>
  </si>
  <si>
    <t>htd8ez6XnEqJAtePgcFnlQ</t>
  </si>
  <si>
    <t>P2SG-1070</t>
  </si>
  <si>
    <t>Span G - Remove Interior Deck Overhang/Exterior Walkway/Point &amp; Patch</t>
  </si>
  <si>
    <t>1TUhgfeYh0Oh2Wa6fTXsbQ</t>
  </si>
  <si>
    <t>IOjs8xtZeES6zRr7k0x62g</t>
  </si>
  <si>
    <t>P2SG-1080</t>
  </si>
  <si>
    <t>73jn4qhrzUSARgCAPWej/g</t>
  </si>
  <si>
    <t>KWr9cjzSh0S2uHvr4HVcOQ</t>
  </si>
  <si>
    <t>P2SG-1090</t>
  </si>
  <si>
    <t>fpSEymvwwkGe6oUZ/JWOtg</t>
  </si>
  <si>
    <t>GZN8ZVKpukupvPN4e5jMSg</t>
  </si>
  <si>
    <t>P2SG-1100</t>
  </si>
  <si>
    <t>73097gqI40WQv/TtRLPwbg</t>
  </si>
  <si>
    <t>65wJh9qCLUCZHk3/V3I8HQ</t>
  </si>
  <si>
    <t>P2SG-1110</t>
  </si>
  <si>
    <t>xIfeGOXbBkGyo8KcbyDuqg</t>
  </si>
  <si>
    <t>q39/J4eO+kGCRtgBCB8Ddw</t>
  </si>
  <si>
    <t>P2SG-1120</t>
  </si>
  <si>
    <t>B+XPk4pz70ewcg6iddvkdg</t>
  </si>
  <si>
    <t>7j4/+8DTlk2OpS8erZy0zg</t>
  </si>
  <si>
    <t>P2SG-1130</t>
  </si>
  <si>
    <t>RX3ex1oGQ0GAzduSa5FIow</t>
  </si>
  <si>
    <t>lPLsZJKRS0efLvbRjWzFdA</t>
  </si>
  <si>
    <t>P2SH-1010</t>
  </si>
  <si>
    <t>6i9YiEzLk02IB4FPABW/fQ</t>
  </si>
  <si>
    <t>fcgERora0kGjCSo14A7q6g</t>
  </si>
  <si>
    <t>P2SH-1020</t>
  </si>
  <si>
    <t>OMm2WomxyUKSdkchvtM2lw</t>
  </si>
  <si>
    <t>d+7D+pkH3EqNn4R2TtL2CA</t>
  </si>
  <si>
    <t>P2SH-1030</t>
  </si>
  <si>
    <t>rtBiZ0R9OkSfKudHFtwxWQ</t>
  </si>
  <si>
    <t>LzEgOcJS5EWIjPZg0iM4qw</t>
  </si>
  <si>
    <t>P2SH-1040</t>
  </si>
  <si>
    <t>VeSqstZV+0GoFcbmRbn79A</t>
  </si>
  <si>
    <t>drCBwwi+lUezLM1r8Wl55Q</t>
  </si>
  <si>
    <t>P2SH-1050</t>
  </si>
  <si>
    <t>Span H - Place Deck &amp; Diaphragms</t>
  </si>
  <si>
    <t>ff0Q8uMhiE6DY3ISa7jk1Q</t>
  </si>
  <si>
    <t>JDTBu4RncU6t+hDpDDQkkA</t>
  </si>
  <si>
    <t>P2SH-1060</t>
  </si>
  <si>
    <t>EoUmGUxKHUCILfwvVcryWQ</t>
  </si>
  <si>
    <t>jB1kdH/y1UmHGx7cYhn2Uw</t>
  </si>
  <si>
    <t>P2EB2-1150</t>
  </si>
  <si>
    <t>a7RzdfNAwk2Iea3Vb0gE4g</t>
  </si>
  <si>
    <t>zbovjPIw8kikj8H6FaIdDA</t>
  </si>
  <si>
    <t>P2EB2-1180</t>
  </si>
  <si>
    <t>8GPnM3Sg4UWLaD7cLcl5rQ</t>
  </si>
  <si>
    <t>SOQD/XeL10yF/Lg3cptbAw</t>
  </si>
  <si>
    <t>P2SH-1070</t>
  </si>
  <si>
    <t>Span H - Remove Interior Deck Overhang/Exterior Walkway/Point &amp; Patch</t>
  </si>
  <si>
    <t>PkiDeAjLU0qeEl+I1B/GVg</t>
  </si>
  <si>
    <t>yZ4wOsqTK0+k3gJUuDaLNQ</t>
  </si>
  <si>
    <t>P2SH-1080</t>
  </si>
  <si>
    <t>GjbmQPcAi06mw88ghjsOCQ</t>
  </si>
  <si>
    <t>UAjydc0cnkqNfKBjeMTdeg</t>
  </si>
  <si>
    <t>P2SH-1090</t>
  </si>
  <si>
    <t>LPvuHqZALk6NdR4nMNMWYA</t>
  </si>
  <si>
    <t>tUSC8iYf1Uma3bmALG5haA</t>
  </si>
  <si>
    <t>P2SH-1100</t>
  </si>
  <si>
    <t>Omi1iJ7RqUC5EAyBzUzsYg</t>
  </si>
  <si>
    <t>9gnrNozHtkS8NEdiXn9Lpw</t>
  </si>
  <si>
    <t>P2SH-1110</t>
  </si>
  <si>
    <t>E+bAUp9zn06D/lQRdBr1rg</t>
  </si>
  <si>
    <t>KE1r/H+cTkK8Tebojmsimw</t>
  </si>
  <si>
    <t>P2SH-1120</t>
  </si>
  <si>
    <t>Bc1nENFNcUateuTlHzi7WA</t>
  </si>
  <si>
    <t>kLGK/Y52402XcON0jPnM9g</t>
  </si>
  <si>
    <t>P2SH-1130</t>
  </si>
  <si>
    <t>0uVEm9tXUEq90i659+P7KA</t>
  </si>
  <si>
    <t>wM6atzeDFkuuN872ZN7szw</t>
  </si>
  <si>
    <t>P2WEB-1030</t>
  </si>
  <si>
    <t>Median - Area 3 - Remove Guardrail</t>
  </si>
  <si>
    <t>Ri7q5IlUOkWrpaeB3IsxWg</t>
  </si>
  <si>
    <t>flctaq7FjES1vuQxXXAkCg</t>
  </si>
  <si>
    <t>P2WEB-1050</t>
  </si>
  <si>
    <t>Median - Area 3 - Demo Shoulder</t>
  </si>
  <si>
    <t>k3t1+xJpXUey0S/q1G+2hw</t>
  </si>
  <si>
    <t>jk/HwMisKkmlwMQK8c+43A</t>
  </si>
  <si>
    <t>P2WEB-1060</t>
  </si>
  <si>
    <t>Median - Area 3 - Undercut and Place Embankment</t>
  </si>
  <si>
    <t>elE2787bbE68UECRS65AUQ</t>
  </si>
  <si>
    <t>/1Ex26/NlE+0yrS0/u7X6w</t>
  </si>
  <si>
    <t>P2WEB-1070</t>
  </si>
  <si>
    <t>Median - Area 3 - Install Drainage</t>
  </si>
  <si>
    <t>7XWhmtx93U2PoTRNSlQaRw</t>
  </si>
  <si>
    <t>2sygJG0qrU+F1hwzsN+ckg</t>
  </si>
  <si>
    <t>P2WEB-1110</t>
  </si>
  <si>
    <t>Median - Area 3 - Lime Subgrade Stabilization</t>
  </si>
  <si>
    <t>gOhQHYBHEUmGTE7npCL/yA</t>
  </si>
  <si>
    <t>l7dWUPg7nk+tFimm851h8A</t>
  </si>
  <si>
    <t>P2WEB-1120</t>
  </si>
  <si>
    <t>Median - Area 3 - Place 8"" ABC (98% Compaction)</t>
  </si>
  <si>
    <t>7dsG6r5Xt0WrhdAq5VU49w</t>
  </si>
  <si>
    <t>14TndOwvy0q3eDxtgZ/CKg</t>
  </si>
  <si>
    <t>P2WEB-1130</t>
  </si>
  <si>
    <t>Median - Area 3 - Install Shoulder Drain</t>
  </si>
  <si>
    <t>4g4acw3MS02+lO5ILF8BQw</t>
  </si>
  <si>
    <t>kGnCho5tYEm6w97iAFTp+w</t>
  </si>
  <si>
    <t>P2WEB-1140</t>
  </si>
  <si>
    <t>Median - Area 3 - Install Asphalt Base</t>
  </si>
  <si>
    <t>BCsDCc/7qUeDS8QvApiXOQ</t>
  </si>
  <si>
    <t>9w494eDAb0ux2HtWnxb5rA</t>
  </si>
  <si>
    <t>P2WEB-1150</t>
  </si>
  <si>
    <t>Median - Area 3 - Slip Form Median Barrier Wall - 2,110' T WALL, 789' T1 WALL, 75' TRANS</t>
  </si>
  <si>
    <t>mKCKiNfZCEWuj3w9KPEg4Q</t>
  </si>
  <si>
    <t>sMD9rlKiSUWhPwievOMThQ</t>
  </si>
  <si>
    <t>P2WEB-1160</t>
  </si>
  <si>
    <t>Median - Area 3 - Install Intermediate Course</t>
  </si>
  <si>
    <t>faij9cSmKkeLWLQbdD3iyQ</t>
  </si>
  <si>
    <t>5G1sf9YOl0CmIH7JiMW1tA</t>
  </si>
  <si>
    <t>P2WEB-1170</t>
  </si>
  <si>
    <t>Median - Area 3 - Install Surface Course</t>
  </si>
  <si>
    <t>Xew3pF/1yk+zQgRAxfpXig</t>
  </si>
  <si>
    <t>XnNNfIcTP0KywWfWoZseiQ</t>
  </si>
  <si>
    <t>P2WEB-1180</t>
  </si>
  <si>
    <t>Median - Area 3 - Remove Barrier Wall</t>
  </si>
  <si>
    <t>C1LobRjoVE+Uhob9K7GIsw</t>
  </si>
  <si>
    <t>5ozFXVQ5Okme1Xs/78AVQQ</t>
  </si>
  <si>
    <t>P2WEB-3110</t>
  </si>
  <si>
    <t>(DEL)Median - Area 2 - Remove Guardrail</t>
  </si>
  <si>
    <t>LUjQKsXLXUC+0EJT3BiZpQ</t>
  </si>
  <si>
    <t>P2WEB-3120</t>
  </si>
  <si>
    <t>(DEL)Median - Area 2 - Mill Shoulder</t>
  </si>
  <si>
    <t>U8pCncsO3ES+b9liMytfig</t>
  </si>
  <si>
    <t>P2WEB-3130</t>
  </si>
  <si>
    <t>(DEL)Median - Area 2 - Undercut and Place Embankment</t>
  </si>
  <si>
    <t>0Z8n1PHrAUSx0MXgGTkEog</t>
  </si>
  <si>
    <t>P2WEB-3140</t>
  </si>
  <si>
    <t>(DEL)Median - Area 2 - Install Drainage</t>
  </si>
  <si>
    <t>uVEZuVW1ZE2zqm8goAyAKw</t>
  </si>
  <si>
    <t>P2WEB-3150</t>
  </si>
  <si>
    <t>(DEL)Median - Area 2 - Lime Subgrade Stabilization</t>
  </si>
  <si>
    <t>wHCnOsZ9JkeI4GcgnJzK0Q</t>
  </si>
  <si>
    <t>P2WEB-3160</t>
  </si>
  <si>
    <t>(DEL)Median - Area 2 - Install ABC</t>
  </si>
  <si>
    <t>vpo+kjB2Q0qlfpmRGlx4IQ</t>
  </si>
  <si>
    <t>P2WEB-3170</t>
  </si>
  <si>
    <t>(DEL)Median - Area 2 - Install Shoulder Drain</t>
  </si>
  <si>
    <t>1nSaqI/3rkCU1HNI3pxKAw</t>
  </si>
  <si>
    <t>P2WEB-3180</t>
  </si>
  <si>
    <t>(DEL)Median - Area 2 - Install Asphalt Base</t>
  </si>
  <si>
    <t>XgJ1syf0X0GYseUhUD9OFQ</t>
  </si>
  <si>
    <t>P2WEB-3190</t>
  </si>
  <si>
    <t>(DEL)Median - Area 2 - Slip Form Median Barrier Wall</t>
  </si>
  <si>
    <t>YLrsdZtwc0eGoyd4GZwfuA</t>
  </si>
  <si>
    <t>74XYH8qUPkWCQzAzq7lTtQ</t>
  </si>
  <si>
    <t>P2WEB-3200</t>
  </si>
  <si>
    <t>(DEL)Median - Area 2 - Install Intermediate Course</t>
  </si>
  <si>
    <t>vhK/W00FN02D8N2JT+xWEw</t>
  </si>
  <si>
    <t>P2WEB-3210</t>
  </si>
  <si>
    <t>(DEL)Median - Area 2 - Install Surface Course</t>
  </si>
  <si>
    <t>w3F6LHBcvEy5Serdqf5xjg</t>
  </si>
  <si>
    <t>P2WEB-3220</t>
  </si>
  <si>
    <t>(DEL)Median - Area 2 - Remove Barrier Wall</t>
  </si>
  <si>
    <t>cxUp128M5EeN7uLKLWvEOA</t>
  </si>
  <si>
    <t>6isaQBktmEiiCEP7NedUuQ</t>
  </si>
  <si>
    <t>P2WEB-3230</t>
  </si>
  <si>
    <t>Median - Area 1A - Remove Guardrail</t>
  </si>
  <si>
    <t>20yto1DO/Em8qzhVcX1qgA</t>
  </si>
  <si>
    <t>P2WEB-3240</t>
  </si>
  <si>
    <t>Median - Area 1A - Demo Shoulders</t>
  </si>
  <si>
    <t>ncUX+SNvZUypucqo5zcNbQ</t>
  </si>
  <si>
    <t>P2WEB-3250</t>
  </si>
  <si>
    <t>Median - Area 1A - Undercut and Place Embankment</t>
  </si>
  <si>
    <t>AmVhisnslkaUjLdJjmCopQ</t>
  </si>
  <si>
    <t>P2WEB-3260</t>
  </si>
  <si>
    <t>Median - Area 1A - Install Drainage</t>
  </si>
  <si>
    <t>Jqn0MEp/+EmJsRJ/NnS6GA</t>
  </si>
  <si>
    <t>P2WEB-3270</t>
  </si>
  <si>
    <t>Median - Area 1A - Lime Subgrade Stabilization</t>
  </si>
  <si>
    <t>xdTPPwFM3Eufw7M4PWMfCg</t>
  </si>
  <si>
    <t>P2WEB-3280</t>
  </si>
  <si>
    <t>Median - Area 1A - Place 8"" ABC (98% Compaction)</t>
  </si>
  <si>
    <t>V5taLQNV5UGAeBP2JfiAOA</t>
  </si>
  <si>
    <t>P2WEB-3290</t>
  </si>
  <si>
    <t>Median - Area 1A - Install Shoulder Drain</t>
  </si>
  <si>
    <t>noy9GjSHm0K3go6mOb9OTw</t>
  </si>
  <si>
    <t>P2WEB-3300</t>
  </si>
  <si>
    <t>Median - Area 1A - Install Asphalt Base</t>
  </si>
  <si>
    <t>paoTGhn4PEu2Fr8YR1uUew</t>
  </si>
  <si>
    <t>P2WEB-3310</t>
  </si>
  <si>
    <t>Median - Area 1A - Slip Form Median Barrier Wall - 140' T WALL, 3,954' T1 WALL, 75' TRANS</t>
  </si>
  <si>
    <t>vAobRehCY06OAphT+x7Qjw</t>
  </si>
  <si>
    <t>P2WEB-3320</t>
  </si>
  <si>
    <t>Median - Area 1A - Install Intermediate Course</t>
  </si>
  <si>
    <t>jFi6CzR9A0CKudpQdUoiLA</t>
  </si>
  <si>
    <t>P2WEB-3330</t>
  </si>
  <si>
    <t>Median - Area 1A - Install Surface Course</t>
  </si>
  <si>
    <t>PHcZqCcvK0Sbe9v5/txFUw</t>
  </si>
  <si>
    <t>P2WEB-3340</t>
  </si>
  <si>
    <t>Median - Area 1A - Remove Barrier Wall</t>
  </si>
  <si>
    <t>JOIDzTexCkmf+OAufnFkDw</t>
  </si>
  <si>
    <t>P3S-0800</t>
  </si>
  <si>
    <t>Start of Phase 3 Bridge Work</t>
  </si>
  <si>
    <t>s7er4ZjJV0WPKL0KZ3e18w</t>
  </si>
  <si>
    <t>WNUczjnv7UOgJOvd89fMBA</t>
  </si>
  <si>
    <t>P3S-1005</t>
  </si>
  <si>
    <t>MrERzDsP2EyesStp8I3hpQ</t>
  </si>
  <si>
    <t>zhrClljGrUydcKFILZ3m4g</t>
  </si>
  <si>
    <t>P3S-1015</t>
  </si>
  <si>
    <t>Zb1dwhnkzkePZW68Hm2XyA</t>
  </si>
  <si>
    <t>csTZqPDjKkyBk4AYFDPP/g</t>
  </si>
  <si>
    <t>P3S-1025</t>
  </si>
  <si>
    <t>Span A to H - Perform Miscellaneous Bridge Deck Work</t>
  </si>
  <si>
    <t>kHCPzMgT80aBKhtSWBlOcA</t>
  </si>
  <si>
    <t>539EgUbbUkmqzhSYMLLN4w</t>
  </si>
  <si>
    <t>P3S-1035</t>
  </si>
  <si>
    <t>Completion of Phase 3 Bridge Work</t>
  </si>
  <si>
    <t>Sc/FOPGcrEiDd1Jefrc4DQ</t>
  </si>
  <si>
    <t>6ce5AdpEtkSW2CR+YhHikA</t>
  </si>
  <si>
    <t>P3S-1045</t>
  </si>
  <si>
    <t>End of Phase 3 Bridge Construction</t>
  </si>
  <si>
    <t>SYxWKXd5cESIEIlSBnsE/g</t>
  </si>
  <si>
    <t>BrZEYRMPDUyObmsD+jh7PQ</t>
  </si>
  <si>
    <t>P3EB2-1270</t>
  </si>
  <si>
    <t>vm4Yb1GvUk2S+jZVnxK15g</t>
  </si>
  <si>
    <t>S2tV6sgZ5k+t3z2oZRMLpg</t>
  </si>
  <si>
    <t>P3EB2-1310</t>
  </si>
  <si>
    <t>vL8QtGs1K0mcJ95H7q2NbQ</t>
  </si>
  <si>
    <t>/l0MOyIa/EKtBHzm0obHEg</t>
  </si>
  <si>
    <t>P3EB2-1330</t>
  </si>
  <si>
    <t>/fO1pOLGEkWMqAJ8BHQ4Lw</t>
  </si>
  <si>
    <t>oUBniPAoREqKLYhKYfDziw</t>
  </si>
  <si>
    <t>P3EB2-1400</t>
  </si>
  <si>
    <t>MsDCk9S4Y0e2MLSNlv/6ZQ</t>
  </si>
  <si>
    <t>i0dMx5MTPkSPNG4Lz3ItmQ</t>
  </si>
  <si>
    <t>P3EB2-1380</t>
  </si>
  <si>
    <t>EYiTTxlpdUaE5HFz//ZpPA</t>
  </si>
  <si>
    <t>CGhcrIiFF0i4bNXJiHNdqQ</t>
  </si>
  <si>
    <t>P3EB2-1340</t>
  </si>
  <si>
    <t>LFWScquxVEiYm9kkkyF4pg</t>
  </si>
  <si>
    <t>E5Ykk33CkkCKIPFLKQE0Ww</t>
  </si>
  <si>
    <t>P3EB2-1360</t>
  </si>
  <si>
    <t>ZbU9tiuJsUyGlcPOKBdh+g</t>
  </si>
  <si>
    <t>QvEuS6b8CES6y4tlklnL5Q</t>
  </si>
  <si>
    <t>P3EB2-1370</t>
  </si>
  <si>
    <t>MVpJZ6GO0kGL17qfdw4ZLQ</t>
  </si>
  <si>
    <t>FL5valZLZ06JId/AyL3Caw</t>
  </si>
  <si>
    <t>P3EB2-1390</t>
  </si>
  <si>
    <t>Bu8LpXne7kmbLzLINoCpbg</t>
  </si>
  <si>
    <t>x71H6pwrUEi8+kUSs/aTbA</t>
  </si>
  <si>
    <t>P3EB2-1410</t>
  </si>
  <si>
    <t>fcUmx6XKEka/RzJZPA3XNw</t>
  </si>
  <si>
    <t>lj6Gd016sUGJe3EVSkjU4w</t>
  </si>
  <si>
    <t>P3EB2-1420</t>
  </si>
  <si>
    <t>37bRLa1Qc0qOBKTeXIgQCw</t>
  </si>
  <si>
    <t>bBU//x9arkCX5s/zehRB0w</t>
  </si>
  <si>
    <t>P3EB2-1440</t>
  </si>
  <si>
    <t>EB 2 - Form, Place, Strip Slope Paving DELETE</t>
  </si>
  <si>
    <t>RR2yuZN4eU2+Sls409NAAQ</t>
  </si>
  <si>
    <t>OuadKuKp/E+RWXgLtJvifw</t>
  </si>
  <si>
    <t>P3EB2-1430</t>
  </si>
  <si>
    <t>EB 2 - Place Class II Slope Protection</t>
  </si>
  <si>
    <t>F6nGXG7BjUKS2zo4L75RMg</t>
  </si>
  <si>
    <t>yaTtIBmWH0KoBRSyT908KQ</t>
  </si>
  <si>
    <t>P3EB2-1290</t>
  </si>
  <si>
    <t>V4dvqr+gBUO8QP21GmzX7g</t>
  </si>
  <si>
    <t>RjEIE8RZwEa8WpusmesWxg</t>
  </si>
  <si>
    <t>P3EB2-1280</t>
  </si>
  <si>
    <t>(DEL) EB 2 - Drive Temporary Shoring</t>
  </si>
  <si>
    <t>KQQfWwHrUEOokWLpuSp3+Q</t>
  </si>
  <si>
    <t>WbdpEJeWIEOAP1fUZJPsYg</t>
  </si>
  <si>
    <t>P3EB2-1300</t>
  </si>
  <si>
    <t>i7ICFvNlK06e6bsizCnVAA</t>
  </si>
  <si>
    <t>lwtUHCdtVUWH+il2fdu54A</t>
  </si>
  <si>
    <t>P3EB2-1320</t>
  </si>
  <si>
    <t>+81FpKQxyE62N6oQG2X3xA</t>
  </si>
  <si>
    <t>7A2IT6owC0CcKSUPc7Qtgw</t>
  </si>
  <si>
    <t>P3EB2-1350</t>
  </si>
  <si>
    <t>ke2GqFct6Uy4o3Lbr4fl8g</t>
  </si>
  <si>
    <t>ddbPbyx7WEqdLBv+TXd0ZQ</t>
  </si>
  <si>
    <t>P3EB1-1000</t>
  </si>
  <si>
    <t>bp++6ujtwU+2Orh43fqWPw</t>
  </si>
  <si>
    <t>LIurbwYwN0eGQ+R7ifIH2w</t>
  </si>
  <si>
    <t>P3EB1-1005</t>
  </si>
  <si>
    <t>P4lecuFWREWTep1LZH2WiA</t>
  </si>
  <si>
    <t>nmjnBlLhK0eO6qtqbU2HGg</t>
  </si>
  <si>
    <t>P3EB1-1020</t>
  </si>
  <si>
    <t>hnSG54fKMkK5SqX3y0JIYw</t>
  </si>
  <si>
    <t>yhAXWP56PE+wnm4cyLYqtw</t>
  </si>
  <si>
    <t>P3EB1-1040</t>
  </si>
  <si>
    <t>S2MKBz6lKUSK+dMUuK4sQQ</t>
  </si>
  <si>
    <t>Cmwpq+3QT0ukXFxcEowJmQ</t>
  </si>
  <si>
    <t>P3EB1-1030</t>
  </si>
  <si>
    <t>1sXs9tp/3kW6aMpvfEZsmg</t>
  </si>
  <si>
    <t>BSqgdYdQk0qwnumpseiHgg</t>
  </si>
  <si>
    <t>P3EB1-1050</t>
  </si>
  <si>
    <t>NoftCoaJhUmzquCVPjZ+Xw</t>
  </si>
  <si>
    <t>FNz4lYDzX0CEpoHNemynMg</t>
  </si>
  <si>
    <t>P3EB1-1060</t>
  </si>
  <si>
    <t>MW/HcUOM50+ry6m5yvMcJQ</t>
  </si>
  <si>
    <t>EU48yVVosEq/A7LgYMh+3g</t>
  </si>
  <si>
    <t>P3EB1-1070</t>
  </si>
  <si>
    <t>3argiVc5GUGBYEHzzcu5rQ</t>
  </si>
  <si>
    <t>S0lcW8VyZECWx5fEo9uaZQ</t>
  </si>
  <si>
    <t>P3EB1-1080</t>
  </si>
  <si>
    <t>2LwcrfGPvEOzmmeiWlkkJA</t>
  </si>
  <si>
    <t>M4GhmxLbXUu7TQSXbbNGrg</t>
  </si>
  <si>
    <t>P3EB2-1160</t>
  </si>
  <si>
    <t>cWnrkkuUtUyiIBYwoq/9zA</t>
  </si>
  <si>
    <t>uq5WF/p8G0CJ9fpIgH0QJQ</t>
  </si>
  <si>
    <t>P3EB2-1170</t>
  </si>
  <si>
    <t>D03b+6TDXkGmxEqhJ31pdg</t>
  </si>
  <si>
    <t>0iEP8CsC70exKFPsmcOS0Q</t>
  </si>
  <si>
    <t>P3EB1-1100</t>
  </si>
  <si>
    <t>EB 1 - Place Class II Slope Protection</t>
  </si>
  <si>
    <t>DErN/UwyQEeWHws3TZHtng</t>
  </si>
  <si>
    <t>P3EB1-1110</t>
  </si>
  <si>
    <t>(DEL)EB 1 - Form, Pour, and Strip Slope Paving</t>
  </si>
  <si>
    <t>P3RNk8jKdkGAtib0sBLckg</t>
  </si>
  <si>
    <t>ZIY0ePjxl0y5L2Na+UMqTg</t>
  </si>
  <si>
    <t>P3EB1-1120</t>
  </si>
  <si>
    <t>EB 1 - Drive Temporary Shoring DELETE</t>
  </si>
  <si>
    <t>ZTnwZ2LeK0qkTEokyQhIRg</t>
  </si>
  <si>
    <t>dFvyQBYIH0yhjKjjZBgmJg</t>
  </si>
  <si>
    <t>P3EB1-1140</t>
  </si>
  <si>
    <t>zc66I/N7N0e+HsxjR7ELZw</t>
  </si>
  <si>
    <t>rAcDSh600UyHbcRlLGNT0A</t>
  </si>
  <si>
    <t>P3EB1-1150</t>
  </si>
  <si>
    <t>BpqhJ85uMkSPeCFhJy1Wkw</t>
  </si>
  <si>
    <t>M7uJqHFvc0Cxei5z65cIyw</t>
  </si>
  <si>
    <t>P3EB1-1130</t>
  </si>
  <si>
    <t>99i3HW9wCE2LMbtDu8EFBw</t>
  </si>
  <si>
    <t>KlsBahav/k+3K2A55cWMIw</t>
  </si>
  <si>
    <t>P3EB1-1160</t>
  </si>
  <si>
    <t>1HKRB9twMUiWb7NdXvxbCg</t>
  </si>
  <si>
    <t>7oVK2A/50E6Ivw/hDmRB1A</t>
  </si>
  <si>
    <t>P3B1-1000</t>
  </si>
  <si>
    <t>Bent 1 - Drive Pipe Piles (10 Each)</t>
  </si>
  <si>
    <t>NDvzZ1U/KU6SwlzOnA4PxA</t>
  </si>
  <si>
    <t>gQ/8CHInxk25y46uGRGnug</t>
  </si>
  <si>
    <t>P3B1-1020</t>
  </si>
  <si>
    <t>N1lyAf0IhUGjzU2fYg+d1w</t>
  </si>
  <si>
    <t>IJdaLtyF1ECR58Sb+QQtvA</t>
  </si>
  <si>
    <t>P3B1-1010</t>
  </si>
  <si>
    <t>ss6Hkvs9/ES3cg3f9GLCKw</t>
  </si>
  <si>
    <t>xqkqQ2SxyEixVNL5S1F0+w</t>
  </si>
  <si>
    <t>P3B1-1030</t>
  </si>
  <si>
    <t>sbUoOmwfS0GbCy+BVkfxcg</t>
  </si>
  <si>
    <t>fIn8rHY7WEmzaqyM8jOTtg</t>
  </si>
  <si>
    <t>P3B1-1040</t>
  </si>
  <si>
    <t>GlHLR8WWSE+wzowOyPXLKQ</t>
  </si>
  <si>
    <t>+si4kYeBGEC/470fcZRyoA</t>
  </si>
  <si>
    <t>P3B1-1060</t>
  </si>
  <si>
    <t>Bent 1 - Mob Equipment from Endbent 1</t>
  </si>
  <si>
    <t>EdtpIor2UEKlgBLhHgsBOw</t>
  </si>
  <si>
    <t>27MB2e+K6UmDqRK2hYsKjA</t>
  </si>
  <si>
    <t>P3B1-1070</t>
  </si>
  <si>
    <t>7MBeVW35Z0K74iPrrA+95g</t>
  </si>
  <si>
    <t>lm8Dl3PzG0mBJh9FoDOYag</t>
  </si>
  <si>
    <t>P3B1-1080</t>
  </si>
  <si>
    <t>Bent 1 - Cut Pipe Pile/Remove Template and Move to Bent 2</t>
  </si>
  <si>
    <t>1nVOzqx230iphReApIwUKQ</t>
  </si>
  <si>
    <t>gBmMW3jYdkum7Lk//hkgLQ</t>
  </si>
  <si>
    <t>P3B1-1090</t>
  </si>
  <si>
    <t>7rTDaZgYLEeakGNldfVbOg</t>
  </si>
  <si>
    <t>/iTMSRGCdUCjAZOPe7l+LQ</t>
  </si>
  <si>
    <t>P3B1-1100</t>
  </si>
  <si>
    <t>va8WBaCssEua3QzHgVWGog</t>
  </si>
  <si>
    <t>lbYAH+h1mkaQF0LaVnKiKA</t>
  </si>
  <si>
    <t>P3B1-1110</t>
  </si>
  <si>
    <t>k1QJRNHH/kyPI+AXQ26r5A</t>
  </si>
  <si>
    <t>OHS7B4iPYE2AdLfHEGpXXQ</t>
  </si>
  <si>
    <t>P3B1-1120</t>
  </si>
  <si>
    <t>Bent 1 - Strip Cap Bottom Formwork/Move to Bent 4</t>
  </si>
  <si>
    <t>ooeq3H19BEeUKwkroVUfiQ</t>
  </si>
  <si>
    <t>afu8jtcU7Uu0BfX1oaTX1g</t>
  </si>
  <si>
    <t>P3B2-1000</t>
  </si>
  <si>
    <t>Bent 2 - Drive Pipe Piles (10 Each)</t>
  </si>
  <si>
    <t>cEYPS7XRKUqsBcu31OdnmA</t>
  </si>
  <si>
    <t>zHjw29cLu02CVDCeqLdK1w</t>
  </si>
  <si>
    <t>P3B2-1020</t>
  </si>
  <si>
    <t>uhlIGPudYEK4FJIR+zM5Vw</t>
  </si>
  <si>
    <t>GxxeE47+4U+gja8F0eBrhA</t>
  </si>
  <si>
    <t>P3B2-1010</t>
  </si>
  <si>
    <t>BTPtxgJJh0O/S4IFwJhz0A</t>
  </si>
  <si>
    <t>qbKA4+cYjUidsszEZyT3MA</t>
  </si>
  <si>
    <t>P3B2-1030</t>
  </si>
  <si>
    <t>vlVXM6jKHkqWkA6ei48kFw</t>
  </si>
  <si>
    <t>otV8Kkhrak+Lsy+USColDw</t>
  </si>
  <si>
    <t>P3B2-1040</t>
  </si>
  <si>
    <t>Mu+LV4qg2Uey0FoPg9KiKw</t>
  </si>
  <si>
    <t>MW/sx5lgkkmk8BE9Lttw5g</t>
  </si>
  <si>
    <t>P3B2-1060</t>
  </si>
  <si>
    <t>Bent 2 - Mob Equipment from Bent 1</t>
  </si>
  <si>
    <t>7XheIiMzzEm2khM8Up3ALw</t>
  </si>
  <si>
    <t>kr8aIXak90GVJm5jzzeTtA</t>
  </si>
  <si>
    <t>P3B2-1070</t>
  </si>
  <si>
    <t>jhyh25YrY0+0CwwiGtZB1g</t>
  </si>
  <si>
    <t>dWGinPy7Vk+M6UnzRkhyYw</t>
  </si>
  <si>
    <t>P3B2-1080</t>
  </si>
  <si>
    <t>Bent 2 - Cut Pipe Pile/Remove Template and Move to Bent 3</t>
  </si>
  <si>
    <t>4fr1UvcAX0CEhp0zWw2Grw</t>
  </si>
  <si>
    <t>udLVxjFaV0663+VruD7szg</t>
  </si>
  <si>
    <t>P3B2-1090</t>
  </si>
  <si>
    <t>vhlFIq2afEaZlaoYoAld3Q</t>
  </si>
  <si>
    <t>nKLhmMXb4kmrL/M/J1+Qvw</t>
  </si>
  <si>
    <t>P3B2-1100</t>
  </si>
  <si>
    <t>FlMYXS//VkGDmncIhT1O9w</t>
  </si>
  <si>
    <t>tbtBum2g2EWeo2n5oSpELg</t>
  </si>
  <si>
    <t>P3B2-1110</t>
  </si>
  <si>
    <t>Bent 2 - Strip Cap Bottom Formwork/Move to Bent 3</t>
  </si>
  <si>
    <t>DBt5fhKUkkSW4Ttakw+koQ</t>
  </si>
  <si>
    <t>iqpNDCw4N0yxeGwuJjt4dw</t>
  </si>
  <si>
    <t>P3B3-1000</t>
  </si>
  <si>
    <t>Bent 3 - Drive Pipe Piles (10 Each)</t>
  </si>
  <si>
    <t>GWlTIOsViUi0E2C93gYqTQ</t>
  </si>
  <si>
    <t>9vq64kfPSE2oyRXjpgjwZw</t>
  </si>
  <si>
    <t>P3B3-1020</t>
  </si>
  <si>
    <t>bnYSoJtt7UmIJZlPyrnh6A</t>
  </si>
  <si>
    <t>4y3bwbwEBUewvrJR/xF+2w</t>
  </si>
  <si>
    <t>P3B3-1010</t>
  </si>
  <si>
    <t>Lxgs784z7ESufGOaV4V60A</t>
  </si>
  <si>
    <t>uXgr6hili0aIYLYmg/Nefw</t>
  </si>
  <si>
    <t>P3B3-1030</t>
  </si>
  <si>
    <t>P+jHM++910i5A23ISl/l+w</t>
  </si>
  <si>
    <t>jerGArloyUy5xQX7quThYg</t>
  </si>
  <si>
    <t>P3B3-1040</t>
  </si>
  <si>
    <t>q4mVfdVHt0aa7oTsxL7GgA</t>
  </si>
  <si>
    <t>Wnwren/h80+ow7TsuiZcig</t>
  </si>
  <si>
    <t>P3B3-1060</t>
  </si>
  <si>
    <t>Bent 3 - Mob Equipment from Bent 2</t>
  </si>
  <si>
    <t>duPGAnH+VEiv5KgzMc4CMA</t>
  </si>
  <si>
    <t>Kh9KjkxMbUOhhLsZAZHFXw</t>
  </si>
  <si>
    <t>P3B3-1070</t>
  </si>
  <si>
    <t>chDzO8KlUkaYTrzKOpig1Q</t>
  </si>
  <si>
    <t>d4APt2Yft0OOSKmG8NvF/g</t>
  </si>
  <si>
    <t>P3B3-1080</t>
  </si>
  <si>
    <t>/8qdMD6b9E2C9sWjUF1Kgw</t>
  </si>
  <si>
    <t>cRZf6e9Vmkq1fks9vwGl+g</t>
  </si>
  <si>
    <t>P3B3-1090</t>
  </si>
  <si>
    <t>O/qKBM7zfkazhb20Wz/6/Q</t>
  </si>
  <si>
    <t>DR3cm5gzXkiKWXj5bEiPjg</t>
  </si>
  <si>
    <t>P3B3-1100</t>
  </si>
  <si>
    <t>adBKc9DlSEOEMnwYk8+t6g</t>
  </si>
  <si>
    <t>P3B3-1110</t>
  </si>
  <si>
    <t>Bent 3 - Strip Cap Bottom Formwork</t>
  </si>
  <si>
    <t>gBxL9MrXjEWmYeZBPCjReQ</t>
  </si>
  <si>
    <t>zQ5kC4kTm0WaF4XN8zatUA</t>
  </si>
  <si>
    <t>P3B4-1000</t>
  </si>
  <si>
    <t>Bent 4 - Drive Pipe Piles (10 Each)</t>
  </si>
  <si>
    <t>Jjk7uPpvXUKihTd/f2BYTA</t>
  </si>
  <si>
    <t>P3B4-1020</t>
  </si>
  <si>
    <t>4ADPon1MuEeUi1ilbDW5ng</t>
  </si>
  <si>
    <t>EeOKxW/I5UOXnEV0uEc0jA</t>
  </si>
  <si>
    <t>P3B4-1010</t>
  </si>
  <si>
    <t>2dG9U1X+L0amogmMWTuIxg</t>
  </si>
  <si>
    <t>Smw5pSISXU6RiG9pf1J89Q</t>
  </si>
  <si>
    <t>P3B4-1030</t>
  </si>
  <si>
    <t>e1SzoXaNO0OFb1reSp+MRQ</t>
  </si>
  <si>
    <t>Ysahsfxe4UWh6kQ3UNlwUQ</t>
  </si>
  <si>
    <t>P3B4-1040</t>
  </si>
  <si>
    <t>5nsiFb1nd0eGqHogvFV4Qg</t>
  </si>
  <si>
    <t>7yrPZ8ah9kK5lzTUBzw4fw</t>
  </si>
  <si>
    <t>P3B4-1060</t>
  </si>
  <si>
    <t>9FgC8PfYGEam5MqA+HLR7w</t>
  </si>
  <si>
    <t>R0iIOCDLgUuSSYwbWgvIYw</t>
  </si>
  <si>
    <t>P3B4-1070</t>
  </si>
  <si>
    <t>c8x3TVqdN0quGScooKnXiw</t>
  </si>
  <si>
    <t>82UuUpYHOUWNMr6yA1qOMg</t>
  </si>
  <si>
    <t>P3B4-1080</t>
  </si>
  <si>
    <t>YZ+y77j1MEqldHn6NGeqqw</t>
  </si>
  <si>
    <t>qhe9tfE6VEyZy8BAjuCYRw</t>
  </si>
  <si>
    <t>P3B4-1090</t>
  </si>
  <si>
    <t>wYpLMbajpUOnyEhUfXcBhA</t>
  </si>
  <si>
    <t>R7s2RzzeXUqXfBHWsmuIsw</t>
  </si>
  <si>
    <t>P3B4-1100</t>
  </si>
  <si>
    <t>Bent 4 - Strip Cap Bottom Formwork</t>
  </si>
  <si>
    <t>nXOwf0ziuUyTxIVuu33b9w</t>
  </si>
  <si>
    <t>SyDd3sobo02EyIWwIKLVNA</t>
  </si>
  <si>
    <t>P3B4-1110</t>
  </si>
  <si>
    <t>b7A3id3HIEe7XG95eQZZQA</t>
  </si>
  <si>
    <t>Cszk4LoTmkagFBRnIhr2/Q</t>
  </si>
  <si>
    <t>P3B5-1000</t>
  </si>
  <si>
    <t>IS4rObf4fUKczdvWKtALXw</t>
  </si>
  <si>
    <t>ATuJ8FCwhUi7wU0d1eyD1w</t>
  </si>
  <si>
    <t>P3B5-1010</t>
  </si>
  <si>
    <t>Bent 5 - Form Bent Columns 3 Ea</t>
  </si>
  <si>
    <t>Cq6f49gXz0y5OD4opFRt9A</t>
  </si>
  <si>
    <t>IAU+a1XetUu0taghVFpFDQ</t>
  </si>
  <si>
    <t>P3B5-1030</t>
  </si>
  <si>
    <t>hsmK1kxzUUq3FwgKJQi0Zg</t>
  </si>
  <si>
    <t>CHi5S6Iw7kKnpM3KQCoUPg</t>
  </si>
  <si>
    <t>P3B5-1020</t>
  </si>
  <si>
    <t>Bent 5 - Form Cap Body/Beamseats/Anchor Bolts</t>
  </si>
  <si>
    <t>dFZQppMwgk2lgvlgEW1koQ</t>
  </si>
  <si>
    <t>jAfG06ZZ/0uWbuyGpasOpA</t>
  </si>
  <si>
    <t>P3B5-1015</t>
  </si>
  <si>
    <t>zij9VXifXkyGIzoVAKUbKQ</t>
  </si>
  <si>
    <t>Xm1cjLJV90iRGaZ8OS5PgQ</t>
  </si>
  <si>
    <t>P3B5-1040</t>
  </si>
  <si>
    <t>bFvEQ8dOvkKiPB7cxI7eWA</t>
  </si>
  <si>
    <t>G9EkxEVMfEuQGrFTUqKlig</t>
  </si>
  <si>
    <t>P3B5-1050</t>
  </si>
  <si>
    <t>Qm8phJTbOkK4kjeZ2IrS7g</t>
  </si>
  <si>
    <t>2PxkMOlKeUGxJg0OI1xkMA</t>
  </si>
  <si>
    <t>P3B5-1060</t>
  </si>
  <si>
    <t>jjZtMJKVxk+jHKE/61pZzQ</t>
  </si>
  <si>
    <t>ErKXt4HIjUCOL2XdQpkuEw</t>
  </si>
  <si>
    <t>P3B5-1070</t>
  </si>
  <si>
    <t>lNj16Cq/k0aKeHtV0LgaFw</t>
  </si>
  <si>
    <t>+0TgNq5HAUq1BSXyI3IQpg</t>
  </si>
  <si>
    <t>P3B5-1090</t>
  </si>
  <si>
    <t>il0Ql5mXf0ibN9zqTi2KSQ</t>
  </si>
  <si>
    <t>3a4KdfelAEm/Xu9HzlDR1A</t>
  </si>
  <si>
    <t>P3B5-1025</t>
  </si>
  <si>
    <t>NTBuL+uyQ0a7pjLbM7A3Ug</t>
  </si>
  <si>
    <t>hv2kcR5rO0Gi9hJF+ZIUbg</t>
  </si>
  <si>
    <t>P3B5-1100</t>
  </si>
  <si>
    <t>NwGc5+fYk0KMVmpny6s4bQ</t>
  </si>
  <si>
    <t>qqg5Rr7guUS74gK9l6kWmQ</t>
  </si>
  <si>
    <t>P3B5-1110</t>
  </si>
  <si>
    <t>xQdu0zf77kiuYefSYz35Ag</t>
  </si>
  <si>
    <t>OR7cpvjgPkafbbCdoyjHtQ</t>
  </si>
  <si>
    <t>P3B5-1035</t>
  </si>
  <si>
    <t>ZBjwdFpVCkWs4LBzorN2CQ</t>
  </si>
  <si>
    <t>ySYtlSRGRkeIjpacZoDU5g</t>
  </si>
  <si>
    <t>P3B6-1000</t>
  </si>
  <si>
    <t>I1ZKEs8+v0iKro/WAUb9Tg</t>
  </si>
  <si>
    <t>Hm1ZtoDxIkyXklP6Fl/GYQ</t>
  </si>
  <si>
    <t>P3B6-1010</t>
  </si>
  <si>
    <t>NmcxgwGB9EKZi67CcTg4ew</t>
  </si>
  <si>
    <t>Kb+5jqQm50y1xGRMXlif5Q</t>
  </si>
  <si>
    <t>P3B6-1030</t>
  </si>
  <si>
    <t>cNxyfCPSOkSCOqXhtOEq+Q</t>
  </si>
  <si>
    <t>lENXCVn0skaIoHU4Yh+BgA</t>
  </si>
  <si>
    <t>P3B6-1020</t>
  </si>
  <si>
    <t>Bent 6 - Form Cap Body/Beamseats/Anchor Bolts</t>
  </si>
  <si>
    <t>tBSeCQnlAUaS4yj2Bhm5+w</t>
  </si>
  <si>
    <t>oXEOHjx5EUucxQCBJ5y+PA</t>
  </si>
  <si>
    <t>P3B6-1015</t>
  </si>
  <si>
    <t>hMR6rVUdj0ybonvLU31lxA</t>
  </si>
  <si>
    <t>NJ6+0be3ak6YCCeEhUG2yQ</t>
  </si>
  <si>
    <t>P3B6-1040</t>
  </si>
  <si>
    <t>L5hQV38Sg06jxt9UKJYkZQ</t>
  </si>
  <si>
    <t>s6AP7mrAs0GwYHTBcIJ6kA</t>
  </si>
  <si>
    <t>P3B6-1050</t>
  </si>
  <si>
    <t>1xO78tWUi0yJdhZgu42jjw</t>
  </si>
  <si>
    <t>QCHg4KB1XUyEEjxp0nVjIA</t>
  </si>
  <si>
    <t>P3B6-1060</t>
  </si>
  <si>
    <t>IuU3S9Spy0u43bsCnvfpuw</t>
  </si>
  <si>
    <t>zuFsLkBip0a/8oI3854clg</t>
  </si>
  <si>
    <t>P3B6-1070</t>
  </si>
  <si>
    <t>eQSnBW0yjUux2VipTENnYA</t>
  </si>
  <si>
    <t>8CF0emM9C0u7PAZqfmsbvw</t>
  </si>
  <si>
    <t>P3B6-1090</t>
  </si>
  <si>
    <t>809nRQd/+EG4EQDeait3WA</t>
  </si>
  <si>
    <t>2xNmXx3V70mhq8Xs/R2ghA</t>
  </si>
  <si>
    <t>P3B6-1100</t>
  </si>
  <si>
    <t>tK9teApdfUOGZDV0LxJfZg</t>
  </si>
  <si>
    <t>P3B6-1025</t>
  </si>
  <si>
    <t>OrPj0eqIV0yKtluWbXZlAQ</t>
  </si>
  <si>
    <t>mE0i9aAt20yXzSmORxiK/w</t>
  </si>
  <si>
    <t>P3B6-1035</t>
  </si>
  <si>
    <t>eMq8Pkv+WkSq0rZjMFltOA</t>
  </si>
  <si>
    <t>s26M0eYt3EqxMoSYxy2Ltw</t>
  </si>
  <si>
    <t>P3B6-1110</t>
  </si>
  <si>
    <t>OZQXtUM69ESilBXhN8HJ0Q</t>
  </si>
  <si>
    <t>hYJlBMeuc0O3eKVI/6OWZg</t>
  </si>
  <si>
    <t>P3B7-1000</t>
  </si>
  <si>
    <t>Bent 7 - Construct Drilled Shafts (3 Each) LOE</t>
  </si>
  <si>
    <t>OT4v7J0g9kWej4IUgC2vfQ</t>
  </si>
  <si>
    <t>C1qKK2qwpki6U2qhJX7GmA</t>
  </si>
  <si>
    <t>P3B7-1030</t>
  </si>
  <si>
    <t>rs0sxSJoeEKROQQHLJ97wA</t>
  </si>
  <si>
    <t>iSX2An2cMke9DtDcSC2nEw</t>
  </si>
  <si>
    <t>P3B7-1010</t>
  </si>
  <si>
    <t>Bent 7 - Form Bent Columns 3 Ea</t>
  </si>
  <si>
    <t>GKpJDa+JWE2CofOpp3IYTg</t>
  </si>
  <si>
    <t>EFlF485DJUqPUeptIUzWdA</t>
  </si>
  <si>
    <t>P3B7-1020</t>
  </si>
  <si>
    <t>Bent 7 - Form Cap Body/Beamseats/Anchor Bolts</t>
  </si>
  <si>
    <t>inKKg4/UCE+VGwB8CP+POw</t>
  </si>
  <si>
    <t>PhmLoq+hU0+6TW3CvNy0TQ</t>
  </si>
  <si>
    <t>P3B7-1015</t>
  </si>
  <si>
    <t>dndAyMQki0CYWC2akM3hiQ</t>
  </si>
  <si>
    <t>tySr0jqoDEC5bDcNW4siyw</t>
  </si>
  <si>
    <t>P3B7-1040</t>
  </si>
  <si>
    <t>Bent 7 - Reinforce Bent Columns 3 Ea</t>
  </si>
  <si>
    <t>QBnKSjxU7k62mEJ5CeDXMA</t>
  </si>
  <si>
    <t>0HZQ9Ihhe0GZQh6gW16WTQ</t>
  </si>
  <si>
    <t>P3B7-1050</t>
  </si>
  <si>
    <t>Bent 7 - Place Bent Columns 3 Ea</t>
  </si>
  <si>
    <t>RtyDkjcprkmMVD+QR3MHuA</t>
  </si>
  <si>
    <t>RrQXxmWmWkmomRRuvLUPnw</t>
  </si>
  <si>
    <t>P3B7-1060</t>
  </si>
  <si>
    <t>TW1WKTtNIUWCd2hIISTj/w</t>
  </si>
  <si>
    <t>lT7Am5i4qk6y6KKmTi0wbg</t>
  </si>
  <si>
    <t>P3B7-1070</t>
  </si>
  <si>
    <t>ID24z1NAVEG6jrcxs8t45A</t>
  </si>
  <si>
    <t>lNcTAVtIEUGRrhiDlCNwMA</t>
  </si>
  <si>
    <t>P3B7-1090</t>
  </si>
  <si>
    <t>IC8oO892qE2bDR++EchWiw</t>
  </si>
  <si>
    <t>Ip2eWRTVfEKaRYRhJqTWIw</t>
  </si>
  <si>
    <t>P3B7-1100</t>
  </si>
  <si>
    <t>Bent 7 - CSL Testing and Approval - Drilled Pier 5</t>
  </si>
  <si>
    <t>UNMUObKZaU6DdOeYIT6biA</t>
  </si>
  <si>
    <t>zYaDfP1RGEKXB4D439e7cw</t>
  </si>
  <si>
    <t>P3B7-1025</t>
  </si>
  <si>
    <t>N6DU1YD9Bk2Iu5oHsCsyfQ</t>
  </si>
  <si>
    <t>Z4eEfOPsCUG1iAZWr+qCdg</t>
  </si>
  <si>
    <t>P3B7-1035</t>
  </si>
  <si>
    <t>sbzrajoXNEeSSYxqZwWUqA</t>
  </si>
  <si>
    <t>aThj2SnCy0KBC4tXEvboJw</t>
  </si>
  <si>
    <t>P3B7-1110</t>
  </si>
  <si>
    <t>ag0EkxqD40+SnJBJa0VkgQ</t>
  </si>
  <si>
    <t>mrqmAq7nXUCBCyZSqaBbKA</t>
  </si>
  <si>
    <t>P3SA-1010</t>
  </si>
  <si>
    <t>Span A - Erect Concrete Girders &amp; Cross-Bracing (6 Each)</t>
  </si>
  <si>
    <t>PXbsWkU1SUeo9ocyfcq2gA</t>
  </si>
  <si>
    <t>SOT2eL2jHkaZVgjvLL0Lrw</t>
  </si>
  <si>
    <t>P3SA-1020</t>
  </si>
  <si>
    <t>Span A - Form Walkway Along Exterior North Girder DELETE</t>
  </si>
  <si>
    <t>1g5947p3VUSN9q7YtJNwgg</t>
  </si>
  <si>
    <t>eg8mBwVndkGHBa5DpGmfvw</t>
  </si>
  <si>
    <t>P3SA-1030</t>
  </si>
  <si>
    <t>KbeV7SL7l06pAVtlXXaHEw</t>
  </si>
  <si>
    <t>6yf+m6+sHEqcQXvY7kIxLQ</t>
  </si>
  <si>
    <t>P3SA-1040</t>
  </si>
  <si>
    <t>Gxb+bfS4IkKYdd6OpcQJHA</t>
  </si>
  <si>
    <t>71Gy+Ke4AECzR2OvFU7xVw</t>
  </si>
  <si>
    <t>P3SA-1050</t>
  </si>
  <si>
    <t>lwBtNv36/0StnY4SdCa/6w</t>
  </si>
  <si>
    <t>VNF0tE4XZEeJYhyUjn5rhA</t>
  </si>
  <si>
    <t>P3SA-1060</t>
  </si>
  <si>
    <t>Y3rM08lojkSfxX6q9FRHiA</t>
  </si>
  <si>
    <t>eds9bhStl0SPm+ux6AX9OA</t>
  </si>
  <si>
    <t>P3B1-1050</t>
  </si>
  <si>
    <t>kUl14h+Qekm7JaRPdOMtvw</t>
  </si>
  <si>
    <t>Pps3lAMqlkWPL2mY0fARuA</t>
  </si>
  <si>
    <t>P3EB2-1200</t>
  </si>
  <si>
    <t>P6Goeh8S+k2qiCocAQQ9xA</t>
  </si>
  <si>
    <t>bhMgGH9EmkC13qXGT555tA</t>
  </si>
  <si>
    <t>P3SA-1070</t>
  </si>
  <si>
    <t>OpB8BfKENkGOrApxk+V0hg</t>
  </si>
  <si>
    <t>MkjWaIGjtkmS8mrz+/u5oA</t>
  </si>
  <si>
    <t>P3SA-1080</t>
  </si>
  <si>
    <t>Span A - Form Deck Bulkhead for Rebar Protrusion (North Girder)</t>
  </si>
  <si>
    <t>LCza9ZzADEeup3aIcJf/ZQ</t>
  </si>
  <si>
    <t>3X1Qo58iPkmEQn95P03MOw</t>
  </si>
  <si>
    <t>P3SA-1090</t>
  </si>
  <si>
    <t>Span A - Form Diaphragm at Caps - PART 1</t>
  </si>
  <si>
    <t>qlBoHr0l1ke3/l1J92rhtQ</t>
  </si>
  <si>
    <t>/7RHXHLgCkivAA/jHaLtCA</t>
  </si>
  <si>
    <t>P3SA-1100</t>
  </si>
  <si>
    <t>nxV0xjUK0kGrdjyuNQgzQA</t>
  </si>
  <si>
    <t>d9Qt+LPJIkeWhVH2PwsYMA</t>
  </si>
  <si>
    <t>P3SA-1110</t>
  </si>
  <si>
    <t>fJovOvPpo02+s6IKGZqNxw</t>
  </si>
  <si>
    <t>Q72ksZ8k30e+mv2w7ai8PA</t>
  </si>
  <si>
    <t>P3SA-1120</t>
  </si>
  <si>
    <t>hwWASfBxhUa3zONKfLUdTg</t>
  </si>
  <si>
    <t>LHEs55mn0kWlMwXK61AxLA</t>
  </si>
  <si>
    <t>P3SA-1130</t>
  </si>
  <si>
    <t>mXLyraR8LkeZUp1gEcTEcA</t>
  </si>
  <si>
    <t>RaVHOgboS0Cu9nbBueYMCw</t>
  </si>
  <si>
    <t>P3SB-1010</t>
  </si>
  <si>
    <t>Span B - Erect Concrete Girders &amp; Cross-Bracing (6 Each)</t>
  </si>
  <si>
    <t>0a8Ohv02OUmYtOwiSFPKFg</t>
  </si>
  <si>
    <t>eMS6epITHUGV4RTkKMMTzQ</t>
  </si>
  <si>
    <t>P3SB-1020</t>
  </si>
  <si>
    <t>Span B - Form Walkway Along Exterior North Girder DELETE</t>
  </si>
  <si>
    <t>IrmyBDBwR0yhTfTrQe0dsw</t>
  </si>
  <si>
    <t>BpNaXR8psU+diExRIRC7Ew</t>
  </si>
  <si>
    <t>P3SB-1030</t>
  </si>
  <si>
    <t>A8UA7cj4N0eN3gJ+zJ9pDA</t>
  </si>
  <si>
    <t>48SYXh9VsESda7kGsX1tLQ</t>
  </si>
  <si>
    <t>P3SB-1040</t>
  </si>
  <si>
    <t>zwSF4vf0FUW5+yrSl4qRqg</t>
  </si>
  <si>
    <t>c9JTrgkuo0OEEpKdWVRs8Q</t>
  </si>
  <si>
    <t>P3SB-1050</t>
  </si>
  <si>
    <t>JWTjHz/HeUOhMOX3lF8x1A</t>
  </si>
  <si>
    <t>WLvz98HWsUSxtPzOBMbvcw</t>
  </si>
  <si>
    <t>P3SB-1060</t>
  </si>
  <si>
    <t>GN2v69U5FEyXpyyxep5ejg</t>
  </si>
  <si>
    <t>4NDCeDa/r0qLbvuPyVjkMw</t>
  </si>
  <si>
    <t>P3B2-1050</t>
  </si>
  <si>
    <t>gw7XWhvWPkaAaqmcpRPrrQ</t>
  </si>
  <si>
    <t>Ti4ATPohiU2qVJ8qs01WAg</t>
  </si>
  <si>
    <t>P3SB-1070</t>
  </si>
  <si>
    <t>jjN54HF3ukC5ewkavslWdw</t>
  </si>
  <si>
    <t>8ea2SGyHW0e2tSMrWEupPw</t>
  </si>
  <si>
    <t>P3SB-1080</t>
  </si>
  <si>
    <t>If0t/Bj9TkqoVHGum2J98w</t>
  </si>
  <si>
    <t>vAOXLPJUAkSU43PuQrORCQ</t>
  </si>
  <si>
    <t>P3SB-1090</t>
  </si>
  <si>
    <t>Span B - Form Deck Bulkhead for Rebar Protrusion (North Girder)</t>
  </si>
  <si>
    <t>7LfD1cfx50qJoGDdqWCCrA</t>
  </si>
  <si>
    <t>BS6PK0psWkCYfL6AbnocFA</t>
  </si>
  <si>
    <t>P3SB-1100</t>
  </si>
  <si>
    <t>Span B - Form Diaphragm at Caps - PART 1</t>
  </si>
  <si>
    <t>KZ9tUl8Uj0a/xAaPmKBI+g</t>
  </si>
  <si>
    <t>fOtly+CQuUSRmITaZCftNw</t>
  </si>
  <si>
    <t>P3SB-1110</t>
  </si>
  <si>
    <t>TmN7SgxKwEuU8/NI7SvX1A</t>
  </si>
  <si>
    <t>JTZM97qsSEmQRh8Vdf+Muw</t>
  </si>
  <si>
    <t>P3SB-1120</t>
  </si>
  <si>
    <t>ZRBR9uQN5keiUx4xjYHqmQ</t>
  </si>
  <si>
    <t>3aZ1tmAo3EmOBF1gfDiHqg</t>
  </si>
  <si>
    <t>P3SB-1130</t>
  </si>
  <si>
    <t>uS+tPvcnQUi1wcKVcSBEMg</t>
  </si>
  <si>
    <t>mQPUsJc/AUGRbJFliRGDww</t>
  </si>
  <si>
    <t>P3SB-1140</t>
  </si>
  <si>
    <t>H2KnkqcblkGLzWl0lkoNnw</t>
  </si>
  <si>
    <t>rMTN73qO7kua0LTbaXauUw</t>
  </si>
  <si>
    <t>P3SC-1010</t>
  </si>
  <si>
    <t>Span C - Erect Concrete Girders &amp; Cross-Bracing (6 Each)</t>
  </si>
  <si>
    <t>UsO9BytuBUKHEpnPleTjdQ</t>
  </si>
  <si>
    <t>B1gcW8mGekmmvQ/BA9qPIQ</t>
  </si>
  <si>
    <t>P3SC-1020</t>
  </si>
  <si>
    <t>Span C - Form Walkway Along Exterior North Girder DELETE</t>
  </si>
  <si>
    <t>DPucoIF+kUe9Fo9MPKmvOQ</t>
  </si>
  <si>
    <t>u1Za6RLY4Uet8ltr0DX4eA</t>
  </si>
  <si>
    <t>P3SC-1030</t>
  </si>
  <si>
    <t>MEeYlI+qO02I/S73DM5Sfg</t>
  </si>
  <si>
    <t>mGlbbF7P5UakMT50GqOqWg</t>
  </si>
  <si>
    <t>P3SC-1040</t>
  </si>
  <si>
    <t>6p528eCZeEOODVctYvVnDA</t>
  </si>
  <si>
    <t>VWHljsLGt0Smq6mfyPdzmw</t>
  </si>
  <si>
    <t>P3SC-1050</t>
  </si>
  <si>
    <t>JFWpOMcbTUuT+BLWsnmvFQ</t>
  </si>
  <si>
    <t>LJXqrlgoo0OOGcBiVs5XaQ</t>
  </si>
  <si>
    <t>P3SC-1060</t>
  </si>
  <si>
    <t>uxEDeSFC1EizBOoJCXo1sQ</t>
  </si>
  <si>
    <t>Aa2WO/fCSk65vqYzgnFpRA</t>
  </si>
  <si>
    <t>P3B3-1050</t>
  </si>
  <si>
    <t>KSzOyNL7vUGlIsdyLd5bPg</t>
  </si>
  <si>
    <t>P3B3-1120</t>
  </si>
  <si>
    <t>THRxve5OWky6+2L84iDzRg</t>
  </si>
  <si>
    <t>p1NpSZcWsECHjx4l3OJRRg</t>
  </si>
  <si>
    <t>P3SC-1070</t>
  </si>
  <si>
    <t>x68BhKeO4kOtlsFixX1X+A</t>
  </si>
  <si>
    <t>eMuovATGIkG6NlzklzMNeQ</t>
  </si>
  <si>
    <t>P3SC-1080</t>
  </si>
  <si>
    <t>Span C - Form Deck Bulkhead for Rebar Protrusion (North Girder)</t>
  </si>
  <si>
    <t>p1rh8n7frEObauP1hcOV1w</t>
  </si>
  <si>
    <t>lG0SVePucEex4fvFBkmLNg</t>
  </si>
  <si>
    <t>P3SC-1090</t>
  </si>
  <si>
    <t>Span C - Form Diaphragm at Caps - PART 1</t>
  </si>
  <si>
    <t>XNS+EBqAyUmSNvqbTtBWaw</t>
  </si>
  <si>
    <t>gYCyJlW69kSoKKVxkqDYZw</t>
  </si>
  <si>
    <t>P3SC-1100</t>
  </si>
  <si>
    <t>UtU+FhuIQEyK4YOQbHiHXQ</t>
  </si>
  <si>
    <t>R9V7pvoFQkCxBUI2clbMOg</t>
  </si>
  <si>
    <t>P3SC-1110</t>
  </si>
  <si>
    <t>TNsBRyJGMk6wFsx/wAZ4Xw</t>
  </si>
  <si>
    <t>N4zeAbMZKUq3Nngbzha/iA</t>
  </si>
  <si>
    <t>P3SC-1120</t>
  </si>
  <si>
    <t>HbIJgQ6rqEavJcg70H7SPg</t>
  </si>
  <si>
    <t>yr1RzHl5ck+s34desMlvBQ</t>
  </si>
  <si>
    <t>P3SC-1130</t>
  </si>
  <si>
    <t>csNrva0+A0GZiuuqUDgH0g</t>
  </si>
  <si>
    <t>TpTa5yvg7EyICkrDKpsR6Q</t>
  </si>
  <si>
    <t>P3SD-1010</t>
  </si>
  <si>
    <t>Span D - Erect Concrete Girders &amp; Cross-Bracing (6 Each)</t>
  </si>
  <si>
    <t>ZcxA7KnmYUKStWRPag81Tg</t>
  </si>
  <si>
    <t>PgpF4I1PJU2vv2wWAK5Mbw</t>
  </si>
  <si>
    <t>P3SD-1020</t>
  </si>
  <si>
    <t>Span D - Form Walkway Along Exterior North Girder DELETE</t>
  </si>
  <si>
    <t>ZEzhFtm1akyNJV4cfMlQog</t>
  </si>
  <si>
    <t>spS8ViFyMEOet+KL4JMdXw</t>
  </si>
  <si>
    <t>P3SD-1030</t>
  </si>
  <si>
    <t>l0uNn3l5SE+B7HiPGABBjQ</t>
  </si>
  <si>
    <t>k8PSUtIjGka+fz+sQMGsjA</t>
  </si>
  <si>
    <t>P3SD-1040</t>
  </si>
  <si>
    <t>yn+wd0CAHkWMYTC1CcWiRw</t>
  </si>
  <si>
    <t>7YevT/c0S0yc3saJKhIkqA</t>
  </si>
  <si>
    <t>P3SD-1050</t>
  </si>
  <si>
    <t>NyTFYwvsE0i0AYr79I9bVQ</t>
  </si>
  <si>
    <t>R5pxppWG8EeUmpuu0ZTGBQ</t>
  </si>
  <si>
    <t>P3SD-1060</t>
  </si>
  <si>
    <t>imweJztI4EC02yeBuQm02w</t>
  </si>
  <si>
    <t>nzMNIP+51k+PKyR4Xl9Xdg</t>
  </si>
  <si>
    <t>P3B4-1050</t>
  </si>
  <si>
    <t>QzhSHR4gX0iEES0Y1RwcNA</t>
  </si>
  <si>
    <t>P3B4-1120</t>
  </si>
  <si>
    <t>5dg9iE1yLka+f/iIEnlwQA</t>
  </si>
  <si>
    <t>JlXqtmLi6kKWWWs0KZLmGA</t>
  </si>
  <si>
    <t>P3S-1075</t>
  </si>
  <si>
    <t>fTkLGhPX0EqipVcslmNUEA</t>
  </si>
  <si>
    <t>gdxZkjXvokum13HU8mZ3VQ</t>
  </si>
  <si>
    <t>P3SD-1080</t>
  </si>
  <si>
    <t>Span D - Form Deck Bulkhead for Rebar Protrusion (North Girder)</t>
  </si>
  <si>
    <t>hgK/Ho5VUUWBmxCPqc7x4g</t>
  </si>
  <si>
    <t>AK004E5N40K/1KVQ3mmStg</t>
  </si>
  <si>
    <t>P3SD-1090</t>
  </si>
  <si>
    <t>Span D - Form Diaphragm at Caps - PART 1</t>
  </si>
  <si>
    <t>+1UcTsDLTE+xbxYDXhEJCg</t>
  </si>
  <si>
    <t>3gxMULjxE0OC1hKT3UchdA</t>
  </si>
  <si>
    <t>P3SD-1100</t>
  </si>
  <si>
    <t>grCsNtFz+ka0t02XM0cMWA</t>
  </si>
  <si>
    <t>X8B4Lt93gEiTZGzUVJs8rA</t>
  </si>
  <si>
    <t>P3SD-1110</t>
  </si>
  <si>
    <t>Kg+UOjUcHk6Gj9s9d/GHHA</t>
  </si>
  <si>
    <t>SwhVgBDuLEWfFthsNR9aXQ</t>
  </si>
  <si>
    <t>P3SD-1120</t>
  </si>
  <si>
    <t>FKVORcbcWUu+9417RykaQg</t>
  </si>
  <si>
    <t>RjFFUF94H0CB+1D0nOXpvQ</t>
  </si>
  <si>
    <t>P3SD-1130</t>
  </si>
  <si>
    <t>D/P2W5bDB0GtuzNIAGGrlw</t>
  </si>
  <si>
    <t>xLQYIdRG20GHb87h+PxrFg</t>
  </si>
  <si>
    <t>P3SE-1010</t>
  </si>
  <si>
    <t>Span E - Erect Concrete Girders &amp; Cross-Bracing (6 Each)</t>
  </si>
  <si>
    <t>LWQiS3UvP0yN+4PpgAe7Kw</t>
  </si>
  <si>
    <t>AJzKWfDFckuRiJgoYI7yYg</t>
  </si>
  <si>
    <t>P3SE-1020</t>
  </si>
  <si>
    <t>Span E - Form Walkway Along Exterior North Girder DELETE</t>
  </si>
  <si>
    <t>7Nn5F748SUKf5/Pf9YdwOg</t>
  </si>
  <si>
    <t>Re2t8AOe8UyVeMZNGXDLsA</t>
  </si>
  <si>
    <t>P3SE-1030</t>
  </si>
  <si>
    <t>5RkdS+Jw9UOChJkyknL5uA</t>
  </si>
  <si>
    <t>qptCIKNGq0iaKf1PHPjlyA</t>
  </si>
  <si>
    <t>P3SE-1040</t>
  </si>
  <si>
    <t>IB/u0wev0kKJifRM6BOzxw</t>
  </si>
  <si>
    <t>O2UmbrHQWkCc67kAI03z4Q</t>
  </si>
  <si>
    <t>P3SE-1050</t>
  </si>
  <si>
    <t>AF3//jn82UWtTZ+jzNGfjg</t>
  </si>
  <si>
    <t>CCZ1TjaMDUGdFpUew0SUJg</t>
  </si>
  <si>
    <t>P3SE-1060</t>
  </si>
  <si>
    <t>yu1UzHeMdE+LcLl0HjeeIg</t>
  </si>
  <si>
    <t>XszMoc5TJUamXkIX0BZq1g</t>
  </si>
  <si>
    <t>P3B5-1080</t>
  </si>
  <si>
    <t>D1c3/nqoV0SrFgV/dz9iYA</t>
  </si>
  <si>
    <t>Bj0T/lwi4EC4zqJ+W0vXHQ</t>
  </si>
  <si>
    <t>P3SE-1070</t>
  </si>
  <si>
    <t>HIrv/ijxnUaw6xp8zVRjmw</t>
  </si>
  <si>
    <t>QfnMnTgpIka9CterBBzgug</t>
  </si>
  <si>
    <t>P3SE-1080</t>
  </si>
  <si>
    <t>ykXnfHrIrku0TgkCk3WzSg</t>
  </si>
  <si>
    <t>qdBbxUMdoUiZrv1K87LZDA</t>
  </si>
  <si>
    <t>P3SE-1090</t>
  </si>
  <si>
    <t>Span E - Form Deck Bulkhead for Rebar Protrusion (North Girder)</t>
  </si>
  <si>
    <t>Yb2Vy0sEZEyJhzw9U4xjjw</t>
  </si>
  <si>
    <t>WKileWeaLE+koDNlGBRKvg</t>
  </si>
  <si>
    <t>P3SE-1100</t>
  </si>
  <si>
    <t>Span E- Form Diaphragm at Caps - PART 1</t>
  </si>
  <si>
    <t>ZeBClfedpEieTI7UG2K90g</t>
  </si>
  <si>
    <t>LKiwt90Z206jtylG11p0YQ</t>
  </si>
  <si>
    <t>P3SE-1110</t>
  </si>
  <si>
    <t>tKpe7viXBUqraSmpg5w4cA</t>
  </si>
  <si>
    <t>Sy4iO4o7ckGxgbGMGqcSIA</t>
  </si>
  <si>
    <t>P3SE-1120</t>
  </si>
  <si>
    <t>uXbhg9rRZ0yPZsIL0Zv4bA</t>
  </si>
  <si>
    <t>ONPCaOVhUUGj8VoLfGvpeA</t>
  </si>
  <si>
    <t>P3SE-1130</t>
  </si>
  <si>
    <t>EtY2BFWPiEWlIy0bA0jhyg</t>
  </si>
  <si>
    <t>0UFIzQKJZU6rh1g9fv7f5g</t>
  </si>
  <si>
    <t>P3SE-1140</t>
  </si>
  <si>
    <t>qNJ8bHIwhUeNEdSgFVKGAA</t>
  </si>
  <si>
    <t>yhA2se6nCkGlxYJYgNh2ig</t>
  </si>
  <si>
    <t>P3SF-1010</t>
  </si>
  <si>
    <t>Span F - Erect Concrete Girders &amp; Cross-Bracing (6 Each)</t>
  </si>
  <si>
    <t>PnHLM2Ln9kGO/v+pXb7uDQ</t>
  </si>
  <si>
    <t>WB79B1DhWkqUu8vBWR7kTA</t>
  </si>
  <si>
    <t>P3SF-1020</t>
  </si>
  <si>
    <t>Span F - Form Walkway Along Exterior North Girder DELETE</t>
  </si>
  <si>
    <t>BaW6YGxai0SbAzXJeDGWPg</t>
  </si>
  <si>
    <t>/eIlKrdYlUWmbL0E7nxWJA</t>
  </si>
  <si>
    <t>P3SF-1030</t>
  </si>
  <si>
    <t>xVvqjAAHFU+XHQmpcA+EAQ</t>
  </si>
  <si>
    <t>hxn1+JLih0S6MQek7xqPQA</t>
  </si>
  <si>
    <t>P3SF-1040</t>
  </si>
  <si>
    <t>0MzE+dYM70WoZELWJgkKSw</t>
  </si>
  <si>
    <t>9zOixp4q8karTcQbTqboTw</t>
  </si>
  <si>
    <t>P3SF-1050</t>
  </si>
  <si>
    <t>r2uem6e8N027qS7JOLGWeQ</t>
  </si>
  <si>
    <t>OmDkgsBBcEK6PsqQ9H2t6w</t>
  </si>
  <si>
    <t>P3SF-1060</t>
  </si>
  <si>
    <t>YsDor5Gm2ECFxUpWk/oJCw</t>
  </si>
  <si>
    <t>7JKrbUqyu0qIomlxKFU8TQ</t>
  </si>
  <si>
    <t>P3B6-1080</t>
  </si>
  <si>
    <t>3ewY82Csa0G5cxnmbdrb2Q</t>
  </si>
  <si>
    <t>TDtJYrp2EEGCJVy/+razpQ</t>
  </si>
  <si>
    <t>P3B6-1120</t>
  </si>
  <si>
    <t>fd7llFHbL0mbcHTmLEWZ2A</t>
  </si>
  <si>
    <t>Q6nONeAZ20qTHf57sVDuLw</t>
  </si>
  <si>
    <t>P3SF-1070</t>
  </si>
  <si>
    <t>4P6Vg8783EmDjJbYgSzF1A</t>
  </si>
  <si>
    <t>gPW668cDWE+BWtiBHfBXNA</t>
  </si>
  <si>
    <t>P3SF-1080</t>
  </si>
  <si>
    <t>Fd01RUNc/kCnl372MtEjew</t>
  </si>
  <si>
    <t>Q1pasGDEWUatuPAPPk774Q</t>
  </si>
  <si>
    <t>P3SF-1090</t>
  </si>
  <si>
    <t>9saRuG2qUkOg8UJ3J2FOsA</t>
  </si>
  <si>
    <t>js+tfv1vDEGKBnVlzCbgCA</t>
  </si>
  <si>
    <t>P3SF-1100</t>
  </si>
  <si>
    <t>Span F - Form Deck Bulkhead for Rebar Protrusion (North Girder)</t>
  </si>
  <si>
    <t>Pcf7719LqESVGnF10ut/yw</t>
  </si>
  <si>
    <t>aooOGTvD9UKWZ9glaZAXLw</t>
  </si>
  <si>
    <t>P3SF-1110</t>
  </si>
  <si>
    <t>Span F - Form Diaphragm at Caps - PART 1</t>
  </si>
  <si>
    <t>HmdGxF/NFkOmLo9I3OO5lg</t>
  </si>
  <si>
    <t>pfAG2T+zT0iNCko0lmAXcw</t>
  </si>
  <si>
    <t>P3SF-1120</t>
  </si>
  <si>
    <t>9wu7xWarZkqbed10yEb7Dg</t>
  </si>
  <si>
    <t>0qoz72GZUUGBUNmuHlQUjQ</t>
  </si>
  <si>
    <t>P3SF-1130</t>
  </si>
  <si>
    <t>in59U+1jDE6tOVK9qd3QDQ</t>
  </si>
  <si>
    <t>P3SG-1010</t>
  </si>
  <si>
    <t>Span G - Erect Concrete Girders &amp; Cross-Bracing (6 Each)</t>
  </si>
  <si>
    <t>LiMF1zt3c0y0t/GITWsc3A</t>
  </si>
  <si>
    <t>n3n7CZB2JEq+baZ/QEG/4A</t>
  </si>
  <si>
    <t>P3SG-1020</t>
  </si>
  <si>
    <t>Span G - Form Walkway Along Exterior North Girder DELETE</t>
  </si>
  <si>
    <t>UVIk1x9b1E+RLX8PL6xVwA</t>
  </si>
  <si>
    <t>M3QuLyugQEOpSuMYrWGdpg</t>
  </si>
  <si>
    <t>P3SG-1030</t>
  </si>
  <si>
    <t>We9yH3ShLki5AM3z+62J0w</t>
  </si>
  <si>
    <t>kUtjOpvhKESRhbgxu+e9gA</t>
  </si>
  <si>
    <t>P3SG-1040</t>
  </si>
  <si>
    <t>u+161ENydUaaKggtPBrQDg</t>
  </si>
  <si>
    <t>Y+OqeccIp02BdGx+7kh7JQ</t>
  </si>
  <si>
    <t>P3SG-1050</t>
  </si>
  <si>
    <t>v6CRT3pVxE23t8p+Nffpwg</t>
  </si>
  <si>
    <t>wfvG3xhTzEaLbQoGeZdL9g</t>
  </si>
  <si>
    <t>P3SG-1060</t>
  </si>
  <si>
    <t>op0PPH3C/ES649tykELMLQ</t>
  </si>
  <si>
    <t>4ff6eK6uD02s7NyQpUSu5w</t>
  </si>
  <si>
    <t>P3B7-1080</t>
  </si>
  <si>
    <t>Ul31M4/qUUWy//BPQpk/bw</t>
  </si>
  <si>
    <t>NnBaWjNiRkOD6sjY+ToXOQ</t>
  </si>
  <si>
    <t>P3B7-1120</t>
  </si>
  <si>
    <t>iAInNSaIO0GTYBf5dsa7Yw</t>
  </si>
  <si>
    <t>Uq5g6LAvAE+EEK9NBK/Lgw</t>
  </si>
  <si>
    <t>P3SG-1070</t>
  </si>
  <si>
    <t>RdlJX/EcL0axOTdk/IcpOQ</t>
  </si>
  <si>
    <t>0xZt2IoHE0W/6WQp446fIg</t>
  </si>
  <si>
    <t>P3SG-1080</t>
  </si>
  <si>
    <t>msul4mmW70yw/iW+SovftA</t>
  </si>
  <si>
    <t>tHsaBX0KSkaRPUHW7TBaIw</t>
  </si>
  <si>
    <t>P3SG-1090</t>
  </si>
  <si>
    <t>Y70M+gdBV0GmimLCqBBbKw</t>
  </si>
  <si>
    <t>9plV905XJEOLgB7wdkTCUw</t>
  </si>
  <si>
    <t>P3SG-1100</t>
  </si>
  <si>
    <t>QtT9eS9iekWgf7p6V/MovQ</t>
  </si>
  <si>
    <t>7r7Z94Fdok25wMeneKJxTA</t>
  </si>
  <si>
    <t>P3SG-1110</t>
  </si>
  <si>
    <t>xAQ8jAo1W0OZX8VOB7vX2w</t>
  </si>
  <si>
    <t>Zx0odUQX60OsGlw71E3YBw</t>
  </si>
  <si>
    <t>P3SG-1120</t>
  </si>
  <si>
    <t>Span G - Form Deck Bulkhead for Rebar Protrusion (North Girder)</t>
  </si>
  <si>
    <t>AZG1bM7VsUScSjc87jlm9w</t>
  </si>
  <si>
    <t>sdu44EKnbkCDrqydYHijdQ</t>
  </si>
  <si>
    <t>P3SG-1130</t>
  </si>
  <si>
    <t>Span G - Form Diaphragm at Caps - PART 1</t>
  </si>
  <si>
    <t>oXXrYGfr8EqGvQS3PCZkkA</t>
  </si>
  <si>
    <t>lbBtMFdYykehzeyxH9Mcdw</t>
  </si>
  <si>
    <t>P3SH-1010</t>
  </si>
  <si>
    <t>Span H - Erect Concrete Girders &amp; Cross-Bracing (6 Each)</t>
  </si>
  <si>
    <t>d1qahem7I0ShaHFE6aPK6Q</t>
  </si>
  <si>
    <t>Z1mgIbSTGUOE4h+cPB+smw</t>
  </si>
  <si>
    <t>P3SH-1020</t>
  </si>
  <si>
    <t>Span H - Form Walkway Along Exterior North Girder DELETE</t>
  </si>
  <si>
    <t>ZBrj1wMRhUSdlOLuaPITOw</t>
  </si>
  <si>
    <t>5t0qaw4u+kSTATo+5rj2sw</t>
  </si>
  <si>
    <t>P3SH-1030</t>
  </si>
  <si>
    <t>vLEitE+VZ0CNza/arMJukQ</t>
  </si>
  <si>
    <t>QMkjM0D/Z0mEIVGMqpCtNQ</t>
  </si>
  <si>
    <t>P3SH-1040</t>
  </si>
  <si>
    <t>J+37z151UkCohZ0NCq7mmg</t>
  </si>
  <si>
    <t>cqo2ptk1G0SE3ZQ1BV7v+w</t>
  </si>
  <si>
    <t>P3SH-1050</t>
  </si>
  <si>
    <t>XLZ18dFi2Ueja7+7p0Yiog</t>
  </si>
  <si>
    <t>FMPu29frGU+g2gpuzsmOWg</t>
  </si>
  <si>
    <t>P3SH-1060</t>
  </si>
  <si>
    <t>HyG0MQO/+ke3jhGhQEQdKg</t>
  </si>
  <si>
    <t>ccAOA01SyUCZQpC612jKgw</t>
  </si>
  <si>
    <t>P3EB2-1150</t>
  </si>
  <si>
    <t>pLCD98dQnU+SHaE3V708mA</t>
  </si>
  <si>
    <t>DgNc/Z+3REeX4Cz0cxR4pQ</t>
  </si>
  <si>
    <t>P3EB2-1180</t>
  </si>
  <si>
    <t>xfDRRl405UCHAbh3r4JFMA</t>
  </si>
  <si>
    <t>ZJlmbAxOFEu7g7m3/VD48g</t>
  </si>
  <si>
    <t>P3SH-1070</t>
  </si>
  <si>
    <t>ATEXif2VvE2sRreIULwmrg</t>
  </si>
  <si>
    <t>EeZkta04j0ul5aqLgj2kBg</t>
  </si>
  <si>
    <t>P3SH-1080</t>
  </si>
  <si>
    <t>/O1IpPS0d0Cbi/Yu2N1iTA</t>
  </si>
  <si>
    <t>TKdI82KhRk6/GhVMlhIdqA</t>
  </si>
  <si>
    <t>P3SH-1090</t>
  </si>
  <si>
    <t>8Bxp4O8pRUOf0AaPWJW6xw</t>
  </si>
  <si>
    <t>45u9L2SIn0O1Fe8CpvltYw</t>
  </si>
  <si>
    <t>P3SH-1100</t>
  </si>
  <si>
    <t>Span H - Form Deck Bulkhead for Rebar Protrusion (North Girder)</t>
  </si>
  <si>
    <t>1YnS5WQQ6kiBdoMJ9zCSjQ</t>
  </si>
  <si>
    <t>tsOl6L7nz06wyp86Z5KWmQ</t>
  </si>
  <si>
    <t>P3SH-1110</t>
  </si>
  <si>
    <t>Span H - Form Diaphragm at Caps - PART 1</t>
  </si>
  <si>
    <t>VhrQLZ3cKUGc+Kz+mBgbQA</t>
  </si>
  <si>
    <t>5eSxScOeS0KdGgTlvJgw+Q</t>
  </si>
  <si>
    <t>P3SH-1120</t>
  </si>
  <si>
    <t>XwUzsnaIKEeXu9DFI6CRfA</t>
  </si>
  <si>
    <t>m8RJq9F4YUW5I3s89OhPWw</t>
  </si>
  <si>
    <t>P3SH-1130</t>
  </si>
  <si>
    <t>nmvbfMx3g0qHMaAu6tH5Sg</t>
  </si>
  <si>
    <t>VATo5Ayvr0iypGQ1JSfYWA</t>
  </si>
  <si>
    <t>P3S-0915</t>
  </si>
  <si>
    <t>Span A to H - Slip Form Parapet Concrete Barrier Rail (Southern Section) - 1,152'</t>
  </si>
  <si>
    <t>tCjemEe62kePFg+3Dm09Pw</t>
  </si>
  <si>
    <t>D/FIjBSZ0k+PvdeUdj8oEg</t>
  </si>
  <si>
    <t>P3S-1055</t>
  </si>
  <si>
    <t>Phase 4 Traffic Shift</t>
  </si>
  <si>
    <t>G++qVMcSNkeIA5cNAIcoqQ</t>
  </si>
  <si>
    <t>ZZ56WE/3h0Wq1cqXho6/cg</t>
  </si>
  <si>
    <t>P3B2-1120</t>
  </si>
  <si>
    <t>Bent 2 - Complete Cap Body/Beamseat Formwork</t>
  </si>
  <si>
    <t>djx/+E0tQ0q+vHJ+1bj/bQ</t>
  </si>
  <si>
    <t>d/TkcrJX8kqL3QHZ3QR9Yw</t>
  </si>
  <si>
    <t>P3B3-1130</t>
  </si>
  <si>
    <t>Bent 3 - Complete Cap Body/Beamseat Formwork</t>
  </si>
  <si>
    <t>Y3uYLriJtUW9owbuGmtjLA</t>
  </si>
  <si>
    <t>MT+bePmmCUeFgKxbeCOVtg</t>
  </si>
  <si>
    <t>P3B4-1130</t>
  </si>
  <si>
    <t>Bent 4 - Complete Cap Body/Beamseat Formwork</t>
  </si>
  <si>
    <t>DdrA5n1Q7EqB5v2RNx5aHQ</t>
  </si>
  <si>
    <t>9Yt/Mh19nkSZyj9oixVN0w</t>
  </si>
  <si>
    <t>P2S-1050</t>
  </si>
  <si>
    <t>frHagIBZkUOucp5bpu2/jQ</t>
  </si>
  <si>
    <t>cXeQmboSAEKOT0NMK6HvEg</t>
  </si>
  <si>
    <t>P2S-1060</t>
  </si>
  <si>
    <t>w6OnvAWAsEej1byoC8PFWQ</t>
  </si>
  <si>
    <t>UCw7Mi3YjEKFfxyga7lyJQ</t>
  </si>
  <si>
    <t>P2S-1070</t>
  </si>
  <si>
    <t>zA7/yl88F0aaeHlnEAV0tw</t>
  </si>
  <si>
    <t>1PR9UX4HU0qbekanVCWoTQ</t>
  </si>
  <si>
    <t>P2S-1080</t>
  </si>
  <si>
    <t>KABjQ4reA0ekZXL3bubdrA</t>
  </si>
  <si>
    <t>KiK0jelSDkKtbyyTYE1grA</t>
  </si>
  <si>
    <t>P2S-1090</t>
  </si>
  <si>
    <t>IMNymsNEHk6ZKDRYlsuSsA</t>
  </si>
  <si>
    <t>fMgWa/pEgEqvMLL9STIyWA</t>
  </si>
  <si>
    <t>P2S-1100</t>
  </si>
  <si>
    <t>R6YKZMiWCkanIewBeU+iYw</t>
  </si>
  <si>
    <t>NYoXuYo73UWkaLNdfGE90A</t>
  </si>
  <si>
    <t>P2S-1110</t>
  </si>
  <si>
    <t>MLljsc/kJUG0LC+YEarltA</t>
  </si>
  <si>
    <t>7AmIrDdIWU6chCFc+fi88w</t>
  </si>
  <si>
    <t>P2S-1120</t>
  </si>
  <si>
    <t>u0w3IMSjA0a91jNWMWChEA</t>
  </si>
  <si>
    <t>md6nuqqCZ0+7DnNzaGWrzA</t>
  </si>
  <si>
    <t>P2S-1130</t>
  </si>
  <si>
    <t>B1WL2v6frUenY2tdw/2G0A</t>
  </si>
  <si>
    <t>XDlB6fP9HEypWxPoPEKUAg</t>
  </si>
  <si>
    <t>P2S-1140</t>
  </si>
  <si>
    <t>T8Aoe6hOUUGUXUCmOFeepg</t>
  </si>
  <si>
    <t>P2S-1015</t>
  </si>
  <si>
    <t>Span A to H - Slip Form Median Wall</t>
  </si>
  <si>
    <t>Fj1Lq41xDkWTa+fKZja9sA</t>
  </si>
  <si>
    <t>r2qM49RYjk+nEm2K2d2Qlw</t>
  </si>
  <si>
    <t>P3S-1050</t>
  </si>
  <si>
    <t>EES2LVrkrkWM8ACwhN3lcg</t>
  </si>
  <si>
    <t>YO9Kjdouik+bKA8SaReyWQ</t>
  </si>
  <si>
    <t>P3S-1060</t>
  </si>
  <si>
    <t>OqlPkBWft0y7lpN8ssv7eQ</t>
  </si>
  <si>
    <t>EW34U9v/40m02FAKQVpSHA</t>
  </si>
  <si>
    <t>P3S-1070</t>
  </si>
  <si>
    <t>0X0xrsQwfU245GE/OqPK9w</t>
  </si>
  <si>
    <t>T2pko9OHLkmi4jkn6cTMbA</t>
  </si>
  <si>
    <t>P3S-1080</t>
  </si>
  <si>
    <t>7K/Sy4MWnUefpjQ7U+iOnQ</t>
  </si>
  <si>
    <t>Ke6e+vC+eEK1CtkLAlBi9Q</t>
  </si>
  <si>
    <t>P3S-1090</t>
  </si>
  <si>
    <t>JqtKV+syM0OTmkdL0mD8dQ</t>
  </si>
  <si>
    <t>X/7tYSB9DUyukxLOyR4cYQ</t>
  </si>
  <si>
    <t>P3S-1100</t>
  </si>
  <si>
    <t>dg8DtPS+J0qz63cj5CMEaw</t>
  </si>
  <si>
    <t>5FPLq8ACok+FSTFxWEHDxg</t>
  </si>
  <si>
    <t>P3S-1110</t>
  </si>
  <si>
    <t>7KM3Pp/CukWIG1yAkaBP9A</t>
  </si>
  <si>
    <t>32Q5eDHIhkezrsQrUfvQyQ</t>
  </si>
  <si>
    <t>P3S-1120</t>
  </si>
  <si>
    <t>4IL6IbeZy0GGH97DqlI3VQ</t>
  </si>
  <si>
    <t>aoN/VVTf+UuEwHobdeXuDA</t>
  </si>
  <si>
    <t>P3S-1130</t>
  </si>
  <si>
    <t>1xaVdysJKkO+1vfR55VCgA</t>
  </si>
  <si>
    <t>pjItNe7Wu0KK6uc/+0/OcA</t>
  </si>
  <si>
    <t>P3S-1140</t>
  </si>
  <si>
    <t>PI9Jc3WEh0al8VvwcM1drw</t>
  </si>
  <si>
    <t>Nc1Erlci30SktaHpwY8MpQ</t>
  </si>
  <si>
    <t>P4WEB-1030</t>
  </si>
  <si>
    <t>Crossover Restoration - Area 3 - R&amp;R Barrier</t>
  </si>
  <si>
    <t>eAHaaWrctkmiCnJqfz7wUA</t>
  </si>
  <si>
    <t>Nnjz41VafkOxeo72pGF5QA</t>
  </si>
  <si>
    <t>P4WEB-1050</t>
  </si>
  <si>
    <t>Crossover Restoration - Area 3 - Mill Median</t>
  </si>
  <si>
    <t>SPEWtw0HukmUx/tsZHuz/Q</t>
  </si>
  <si>
    <t>CM4D5GuAfU6ydAkq3XQX9g</t>
  </si>
  <si>
    <t>P4WEB-1060</t>
  </si>
  <si>
    <t>(DEL)Crossover Restoration - Area 3 - Rough Grade</t>
  </si>
  <si>
    <t>WzLNPebmmUO0rr0n4l5neQ</t>
  </si>
  <si>
    <t>dHHvufIJv0SQCMK6NmFW7w</t>
  </si>
  <si>
    <t>P4WEB-1070</t>
  </si>
  <si>
    <t>(DEL)Crossover Restoration - Area 3 - Install Top Drainage</t>
  </si>
  <si>
    <t>js55c3rZ1EqX/0gi6wJpHw</t>
  </si>
  <si>
    <t>q/lW95gq4E2/C43QX99Rbw</t>
  </si>
  <si>
    <t>P4WEB-1110</t>
  </si>
  <si>
    <t>(DEL)Crossover Restoration - Area 3 - Place Lime Stabilization</t>
  </si>
  <si>
    <t>01g+PZw2KUq32UWQt7Dbnw</t>
  </si>
  <si>
    <t>h68RakT2u0+nLZ+FAhbY9A</t>
  </si>
  <si>
    <t>P4WEB-1120</t>
  </si>
  <si>
    <t>(DEL)Crossover Restoration - Area 3 - Install ABC</t>
  </si>
  <si>
    <t>Mjan7rdsrUWz+tLMtzGm1A</t>
  </si>
  <si>
    <t>LpRukhHViEeXUALrBs+y9w</t>
  </si>
  <si>
    <t>P4WEB-1130</t>
  </si>
  <si>
    <t>(DEL)Crossover Restoration - Area 3 - Install Shoulder Drain</t>
  </si>
  <si>
    <t>ll+pBqJuUUKSAlh1IAo12w</t>
  </si>
  <si>
    <t>VtoOWMFiCUe+ZWKuJbCReQ</t>
  </si>
  <si>
    <t>P4WEB-1140</t>
  </si>
  <si>
    <t>(DEL)Crossover Restoration - Area 3 - Install Asphalt Base</t>
  </si>
  <si>
    <t>6Z2w3fMyeEqPw1nPEIac9w</t>
  </si>
  <si>
    <t>PDvRIUWbOkauG2ZAfByxzQ</t>
  </si>
  <si>
    <t>P4WEB-1150</t>
  </si>
  <si>
    <t>Crossover Restoration - Area 3 - Slip Form Median Barrier Wall - 1,900' T WALL</t>
  </si>
  <si>
    <t>3Pyx5E0OB06HknSZO0iYHg</t>
  </si>
  <si>
    <t>JWWRlHay0UeSvt0Dn6Hy1g</t>
  </si>
  <si>
    <t>P4WEB-1160</t>
  </si>
  <si>
    <t>Crossover Restoration - Area 3 - Install Intermediate Course</t>
  </si>
  <si>
    <t>gef3G53qy02J7fGATBEbNQ</t>
  </si>
  <si>
    <t>uBUJKwAhR0engJATLz9Ljw</t>
  </si>
  <si>
    <t>P4WEB-1170</t>
  </si>
  <si>
    <t>Crossover Restoration - Area 3 - Install Surface Course</t>
  </si>
  <si>
    <t>wBmXKQQpm0KAnKYTyfVqpg</t>
  </si>
  <si>
    <t>Fne6hZtQR0KZZ13LS4DtKA</t>
  </si>
  <si>
    <t>P4WEB-1180</t>
  </si>
  <si>
    <t>Crossover Restoration - Area 3 - Remove Barrier Wall</t>
  </si>
  <si>
    <t>T0d03QgmTUqjGybFLdkcoQ</t>
  </si>
  <si>
    <t>2+GUjCMSikeOBlqFmaxxNQ</t>
  </si>
  <si>
    <t>P4WEB-3115</t>
  </si>
  <si>
    <t>Crossover Restoration - Area 2 - R&amp;R Barrier</t>
  </si>
  <si>
    <t>oFMzHKTIDkiaiXO7GF6x7w</t>
  </si>
  <si>
    <t>l+c/0Y7qckaQ4tEEC6wxDA</t>
  </si>
  <si>
    <t>P4WEB-3125</t>
  </si>
  <si>
    <t>Crossover Restoration - Area 2 - Mill Median</t>
  </si>
  <si>
    <t>rRFxYpQFjEGdLfpe5gQWKQ</t>
  </si>
  <si>
    <t>cw6EW3evkEaL+CeesyL7xw</t>
  </si>
  <si>
    <t>P4WEB-3135</t>
  </si>
  <si>
    <t>(DEL)Crossover Restoration - Area 2 - Rough Grade</t>
  </si>
  <si>
    <t>tIKTcGVrUkqb0k7di7vv0g</t>
  </si>
  <si>
    <t>E3vChqws302rOZN3aCfsVQ</t>
  </si>
  <si>
    <t>P4WEB-3145</t>
  </si>
  <si>
    <t>(DEL)Crossover Restoration - Area 2 - Install Top Drainage</t>
  </si>
  <si>
    <t>5y83qY10Tkm2XY9TBOx6nA</t>
  </si>
  <si>
    <t>c6zdEJCjuUSPpn8i8MkVjQ</t>
  </si>
  <si>
    <t>P4WEB-3155</t>
  </si>
  <si>
    <t>(DEL)Crossover Restoration - Area 2 - Place Lime Stabilization</t>
  </si>
  <si>
    <t>WaxMSn1AnkykGCVLUuDTiQ</t>
  </si>
  <si>
    <t>Uwd1jccOXEKiiADrBwG/EQ</t>
  </si>
  <si>
    <t>P4WEB-3165</t>
  </si>
  <si>
    <t>(DEL)Crossover Restoration - Area 2 - Install ABC</t>
  </si>
  <si>
    <t>OcDgRsO7hUCSSxjLqA6Q1g</t>
  </si>
  <si>
    <t>2ajQsl04JkCSzGqpsWX59g</t>
  </si>
  <si>
    <t>P4WEB-3170</t>
  </si>
  <si>
    <t>(DEL)Crossover Restoration - Area 2 - Install Shoulder Drain</t>
  </si>
  <si>
    <t>kx5tktVRXkyBvrMI0v5dxg</t>
  </si>
  <si>
    <t>P4WEB-3180</t>
  </si>
  <si>
    <t>(DEL)Crossover Restoration - Area 2 - Install Asphalt Base</t>
  </si>
  <si>
    <t>xZd5P9ttykKz1HHaOCHWqQ</t>
  </si>
  <si>
    <t>Dgre0VtRF068Ucw71Smp+A</t>
  </si>
  <si>
    <t>P4WEB-3190</t>
  </si>
  <si>
    <t>Crossover Restoration - Area 2 - Slip Form Median Barrier Wall - 950' T WALL</t>
  </si>
  <si>
    <t>gHDPpJBQDUqKJ0CMA7k13w</t>
  </si>
  <si>
    <t>msVMrmCHIk+nbnUgBNcUfg</t>
  </si>
  <si>
    <t>P4WEB-3200</t>
  </si>
  <si>
    <t>Crossover Restoration - Area 2 - Install Intermediate Course</t>
  </si>
  <si>
    <t>UrryNRWUVkybmi4xivY8oA</t>
  </si>
  <si>
    <t>ggpg4J3U5UWWe4ARgwV9Nw</t>
  </si>
  <si>
    <t>P4WEB-3210</t>
  </si>
  <si>
    <t>Crossover Restoration - Area 2 - Install Surface Course</t>
  </si>
  <si>
    <t>D/3vw3I4oE2Vdq5cORl0PQ</t>
  </si>
  <si>
    <t>pfLD1dRn3kmLGh9uFrW5Zg</t>
  </si>
  <si>
    <t>P4WEB-3220</t>
  </si>
  <si>
    <t>Crossover Restoration - Area 2 - Remove Barrier Wall</t>
  </si>
  <si>
    <t>oulUL4cnWEeVcVw5KqlicA</t>
  </si>
  <si>
    <t>OO1mjaTiIEKL6VQm/HNDGQ</t>
  </si>
  <si>
    <t>P1B2-1120</t>
  </si>
  <si>
    <t>brPIcU2xDUqE/VMJdXNb1Q</t>
  </si>
  <si>
    <t>DgY6woM4fEKwVd8nwkjpvw</t>
  </si>
  <si>
    <t>P1B3-1130</t>
  </si>
  <si>
    <t>09ICYMhQ7Uu855NLFrvMhQ</t>
  </si>
  <si>
    <t>t0Ci91X7VEOQOrTUPitnAw</t>
  </si>
  <si>
    <t>P1B4-1130</t>
  </si>
  <si>
    <t>4Wdg5VDLH0me4QFk8QzZAA</t>
  </si>
  <si>
    <t>hgRlT0CzA0C/ovaREG2/IQ</t>
  </si>
  <si>
    <t>P2B2-1120</t>
  </si>
  <si>
    <t>RcxhkM3l0kyooGnZhvQC8A</t>
  </si>
  <si>
    <t>P2B3-1130</t>
  </si>
  <si>
    <t>gremFh5VoEWDtCxnn0DGsA</t>
  </si>
  <si>
    <t>Nyx5Kj9tQUmVod0E894waw</t>
  </si>
  <si>
    <t>P2B4-1130</t>
  </si>
  <si>
    <t>6CxcanobqkqaJRVT0eS/qw</t>
  </si>
  <si>
    <t>woYE1nady02t+azjz0N78Q</t>
  </si>
  <si>
    <t>P3B5-1120</t>
  </si>
  <si>
    <t>Bent 5 - Remove Cap Body/Point &amp; Patch Cap Body/Grind Beamseats</t>
  </si>
  <si>
    <t>uF4eYb13ZES2IVirDa7kFA</t>
  </si>
  <si>
    <t>gJvRKrUjaEyZ+xxdHciEOA</t>
  </si>
  <si>
    <t>P3B6-1130</t>
  </si>
  <si>
    <t>Bent 6 - Remove Cap Body/Point &amp; Patch Cap Body/Grind Beamseats</t>
  </si>
  <si>
    <t>9ZflvwRmDEWf/9HQW+yrew</t>
  </si>
  <si>
    <t>KDkFe5aocUW4Aqq7Wj2cKg</t>
  </si>
  <si>
    <t>P3B7-1130</t>
  </si>
  <si>
    <t>Bent 7 - Remove Cap Body/Point &amp; Patch Cap Body/Grind Beamseats</t>
  </si>
  <si>
    <t>t5nVYb2KPEmB/wOINwOu2Q</t>
  </si>
  <si>
    <t>NRvqIZWAZEWvkdKbu1uwIA</t>
  </si>
  <si>
    <t>P1AWB-3520</t>
  </si>
  <si>
    <t>EB - Area 2 - Culvert Extension</t>
  </si>
  <si>
    <t>SPKY5OK2a0WQ0Su8Fl84rA</t>
  </si>
  <si>
    <t>jmjz/oGSFkW38P5JdVAH7Q</t>
  </si>
  <si>
    <t>P1AWB-2150</t>
  </si>
  <si>
    <t>WB - Area 2 - Culvert Extension</t>
  </si>
  <si>
    <t>cVtCw2B2/UWdi7NFRnXIwg</t>
  </si>
  <si>
    <t>OvovsKnTskuYeEBK6cfVng</t>
  </si>
  <si>
    <t>P1AWB-1070</t>
  </si>
  <si>
    <t>WB - Y1RPB - Noisewall 7 Part 1 (Onroad) Drill and Set Posts</t>
  </si>
  <si>
    <t>3+8PtaGn9EK4hmxG1RKm6w</t>
  </si>
  <si>
    <t>P1B5-1120</t>
  </si>
  <si>
    <t>Bent 5 - Point/Patch Cap Body/Grind Beamseats</t>
  </si>
  <si>
    <t>1jmJRE8HNkihIuUNwNuH1g</t>
  </si>
  <si>
    <t>lz5ZGTeTn0KZj+NbzaHHrA</t>
  </si>
  <si>
    <t>P4S-1040</t>
  </si>
  <si>
    <t>(DEL)Span A to H - Remove Bolt Down Barrier Wall and Temporary PC Barrier Wall EB from Previous Stages</t>
  </si>
  <si>
    <t>/sLYULzUHE663Cahj1Utvw</t>
  </si>
  <si>
    <t>YE7H4YHKpUqnsRQDSBtpeQ</t>
  </si>
  <si>
    <t>P1A-1320</t>
  </si>
  <si>
    <t>Soccer Matches</t>
  </si>
  <si>
    <t>gsuCIgb7VUaoELoFd4mryg</t>
  </si>
  <si>
    <t>5+Oq9ReE/kinOXLaos+NUA</t>
  </si>
  <si>
    <t>DA-1170.040</t>
  </si>
  <si>
    <t>Duke Energy Relocation - NW 5</t>
  </si>
  <si>
    <t>m9n0hXGyzkGlUVOHre5cvQ</t>
  </si>
  <si>
    <t>DA-1170.050</t>
  </si>
  <si>
    <t>Duke Energy Relocation - NW 6</t>
  </si>
  <si>
    <t>1PtDFy++Rke+pZZkzwnLNA</t>
  </si>
  <si>
    <t>P1AWB-1080</t>
  </si>
  <si>
    <t>(DEL)WB - Duke Utility Move 151+00 for NW5 Construction</t>
  </si>
  <si>
    <t>3hOyhpvc8kOzNMCZSJC3EA</t>
  </si>
  <si>
    <t>P1AWB-1090</t>
  </si>
  <si>
    <t>WB - Construct Noise Wall Sta 151+00 - 152+91 NW5</t>
  </si>
  <si>
    <t>S5YeKW8ss0q8cf7B+mS4gA</t>
  </si>
  <si>
    <t>DA-1120</t>
  </si>
  <si>
    <t>Final Noise Report</t>
  </si>
  <si>
    <t>tPranB5MQUGI5K7gaYqhQw</t>
  </si>
  <si>
    <t>DA-1130</t>
  </si>
  <si>
    <t>RFC Sound Barrier Wall</t>
  </si>
  <si>
    <t>y44jaS3re0WI27DFf/ktCQ</t>
  </si>
  <si>
    <t>DA-1080.390</t>
  </si>
  <si>
    <t>Fabricate/Deliver - Sound Barrier Wall</t>
  </si>
  <si>
    <t>1W+hWWPwoEW+2K0gf2hk0w</t>
  </si>
  <si>
    <t>P1AWB-2140</t>
  </si>
  <si>
    <t>WB - Area 2 - Overhead Sign Structure Foundation (1 EA)</t>
  </si>
  <si>
    <t>4c1m4oapZ0mFf14n4yA71w</t>
  </si>
  <si>
    <t>P1AWB-2160</t>
  </si>
  <si>
    <t>WB - Area 2 - Overhead Sign Erection (1EA)</t>
  </si>
  <si>
    <t>XNTvv9ykrkapERMvdhMcKA</t>
  </si>
  <si>
    <t>P1AWB-3560</t>
  </si>
  <si>
    <t>WB - Area 1B - Overhead Sign Structure C &amp; D Foundation (2 EA)</t>
  </si>
  <si>
    <t>REuNv8FHikGqOOMfh7Mk3w</t>
  </si>
  <si>
    <t>ejU0/l/ahkehhb2FF6WUsg</t>
  </si>
  <si>
    <t>P1AWB-3570</t>
  </si>
  <si>
    <t>WB - Area 1B - Overhead Sign C &amp; D Erection (2 EA)</t>
  </si>
  <si>
    <t>8ou1s/vF7UCO00yEyIhcHQ</t>
  </si>
  <si>
    <t>DRTsj6r1ZESZf+jVjhHi6Q</t>
  </si>
  <si>
    <t>P1AEB-3580</t>
  </si>
  <si>
    <t>(DEL)EB - Area 1B - Overhead Sign Structure Foundation (2 EA)</t>
  </si>
  <si>
    <t>WknCvcaKxkikvk4Sfa/p1A</t>
  </si>
  <si>
    <t>P1AEB-3590</t>
  </si>
  <si>
    <t>EB - Area 1B - Overhead Sign Erection (2 EA)</t>
  </si>
  <si>
    <t>fz+VUog4OEuSLMfkV/OLOQ</t>
  </si>
  <si>
    <t>P1AEB-3600</t>
  </si>
  <si>
    <t>EB - Area 2 - Overhead Sign Structure E Foundation (1 EA)</t>
  </si>
  <si>
    <t>QzIDsatXbE6JYRzJPi8mGQ</t>
  </si>
  <si>
    <t>mnRc1Gy/YEiacpXnl3jwfw</t>
  </si>
  <si>
    <t>P1AEB-3610</t>
  </si>
  <si>
    <t>EB - Area 2 - Overhead Sign E Erection (1 EA)</t>
  </si>
  <si>
    <t>cpfjWgISQEyASWPIVHwBUg</t>
  </si>
  <si>
    <t>c1/8S22KFUicLv1pCgg0XA</t>
  </si>
  <si>
    <t>P1AEB-3620</t>
  </si>
  <si>
    <t>EB - Area 3 - Overhead Sign Structure G Foundation (1 EA)</t>
  </si>
  <si>
    <t>Ardq8+g5TEWcBvD6rZn0iQ</t>
  </si>
  <si>
    <t>P1AEB-3630</t>
  </si>
  <si>
    <t>EB - Area 3 - Overhead Sign G Erection (1 EA)</t>
  </si>
  <si>
    <t>aifqGlRFoUK1ANRw27V+2A</t>
  </si>
  <si>
    <t>P1AEB-3640</t>
  </si>
  <si>
    <t>DMS 1 &amp; 2 - Sign Foundation (2 EA)</t>
  </si>
  <si>
    <t>TJWU7z5ix0O16gl4yOPpaA</t>
  </si>
  <si>
    <t>P1AEB-3650</t>
  </si>
  <si>
    <t>DMS 1 &amp; 2 - Sign Erection (2 EA)</t>
  </si>
  <si>
    <t>s9eGau+MdkO0FCJ7Va2uYw</t>
  </si>
  <si>
    <t>P1AEB-3660</t>
  </si>
  <si>
    <t>DMS Area 3 - Remove and Store DMS Board</t>
  </si>
  <si>
    <t>nMBPMmiMe0ecPSxIZCYi5A</t>
  </si>
  <si>
    <t>P1AEB-3670</t>
  </si>
  <si>
    <t>DMS Sta 85+50 RT Area 1 - Sign Foundation (1 EA)</t>
  </si>
  <si>
    <t>hijxwLIhIEKRZuaUPZNTgA</t>
  </si>
  <si>
    <t>P1AEB-3680</t>
  </si>
  <si>
    <t>DMS Sta 85+50 RT Area 1 - Sign Erection (1 EA)</t>
  </si>
  <si>
    <t>8/GNX3w3/0aPTiKlz4+MJg</t>
  </si>
  <si>
    <t>P1AEB-3155</t>
  </si>
  <si>
    <t>EB - Duke Relocation for Remaining NW6 Construction 151+00</t>
  </si>
  <si>
    <t>MzeiAvbLD0mcU6L6PjTurA</t>
  </si>
  <si>
    <t>P1AWB-CO1.1</t>
  </si>
  <si>
    <t>WB - Area 1 - Jack &amp; Bore YRPB 24+05 (30"")</t>
  </si>
  <si>
    <t>U/2u32DGlkeHjKluEhTB4w</t>
  </si>
  <si>
    <t>wp4qSoUTx0ieKp8kfKE4NQ</t>
  </si>
  <si>
    <t>P1AWB-CO1.2</t>
  </si>
  <si>
    <t>WB - Area 1 - Jack &amp; Bore Sta 16+00 (54"")</t>
  </si>
  <si>
    <t>7DkesCZMRUWvAkpqyLbS7Q</t>
  </si>
  <si>
    <t>gzp1JuQfKkimpPDqq5D9MQ</t>
  </si>
  <si>
    <t>P1AWB-CO1.3</t>
  </si>
  <si>
    <t>WB - Area 1 - Jack &amp; Bore Sta 40+00 (42"")</t>
  </si>
  <si>
    <t>6OvvYF9hLkKGOhNvmLbduw</t>
  </si>
  <si>
    <t>Z2vMrjLgVEi4FsL6Z+ELeQ</t>
  </si>
  <si>
    <t>P1AWB-CO1.4</t>
  </si>
  <si>
    <t>WB - Area 2 - Jack &amp; Bore Sta 99+00 (54"")</t>
  </si>
  <si>
    <t>AdyRIZQhDE6Yw4pXdjmLrg</t>
  </si>
  <si>
    <t>LzvTyyix9EeBISswkMCYkQ</t>
  </si>
  <si>
    <t>P1AWB-CO1.6</t>
  </si>
  <si>
    <t>WB - Area 3 - Jack &amp; Bore Sta 196+00 (60"")</t>
  </si>
  <si>
    <t>DfJcri6PXEmLS+ZgQZB4vg</t>
  </si>
  <si>
    <t>YwdWhdDaKk6iuREqw9+7Cw</t>
  </si>
  <si>
    <t>P1AWB-CO1.5</t>
  </si>
  <si>
    <t>WB - Area 3 - Jack &amp; Bore Sta 148+00 (42"")</t>
  </si>
  <si>
    <t>701HoXDO/02qVOJqgj28Kg</t>
  </si>
  <si>
    <t>98PKsGGY+UmJgZ4svgLrng</t>
  </si>
  <si>
    <t>CO1.00</t>
  </si>
  <si>
    <t>Change Order #1 Executed</t>
  </si>
  <si>
    <t>1IJ2ulcTqE6j4Feo/X1MPQ</t>
  </si>
  <si>
    <t>PB-1013</t>
  </si>
  <si>
    <t>Pedestrian Bridge Demo Spans Over I-40</t>
  </si>
  <si>
    <t>DdTl3F2Gw0iixs2OWZRiuA</t>
  </si>
  <si>
    <t>P1B1-1130</t>
  </si>
  <si>
    <t>Bent 1 - Splice Pipe Pile</t>
  </si>
  <si>
    <t>YMYGcy4TL0yHfartL+Dn6w</t>
  </si>
  <si>
    <t>P1B2-1130</t>
  </si>
  <si>
    <t>Bent 2 - Splice Pipe Pile</t>
  </si>
  <si>
    <t>uG29wjMFBE6XZVBb3au5ZA</t>
  </si>
  <si>
    <t>P1B3-1140</t>
  </si>
  <si>
    <t>Bent 3 - Splice Pipe Pile</t>
  </si>
  <si>
    <t>hb4V8a7djE6bqdh3L8EjaA</t>
  </si>
  <si>
    <t>P1B4-1140</t>
  </si>
  <si>
    <t>Bent 4 - Splice Pipe Piles</t>
  </si>
  <si>
    <t>c6C0C6GOQ0KU1/E3qa9ZEw</t>
  </si>
  <si>
    <t>DA-1080.510</t>
  </si>
  <si>
    <t>Fabricate/Deliver - MSE Walls</t>
  </si>
  <si>
    <t>QA8yHuPgr02/nCvDOLQ1wg</t>
  </si>
  <si>
    <t>WTHR-0010</t>
  </si>
  <si>
    <t>Weather Event - Yadkin River Flood 7.31.18</t>
  </si>
  <si>
    <t>zv+mi1nFGkqwWHaBwH8xiA</t>
  </si>
  <si>
    <t>P1B6-1130</t>
  </si>
  <si>
    <t>Bent 6 - Construct Remaining Drilled Shafts - Post-flood</t>
  </si>
  <si>
    <t>FGPc4t4gj0We/5ohwERnxw</t>
  </si>
  <si>
    <t>P1AWB-CO1.7</t>
  </si>
  <si>
    <t>WB - Area 3 - Jack &amp; Bore Sta 172+00 (24"")</t>
  </si>
  <si>
    <t>/ypwPQPNC0uJ8YtAQAnL4g</t>
  </si>
  <si>
    <t>WTHR-0020</t>
  </si>
  <si>
    <t>Weather Event - Hurricane Florence</t>
  </si>
  <si>
    <t>oTxkVtgeukeW/R6eZ7qHzg</t>
  </si>
  <si>
    <t>oLVmvRzhZ0eJhsMXsWnQcQ</t>
  </si>
  <si>
    <t>P1B6-TIA1.1</t>
  </si>
  <si>
    <t>Bent 6 - Demo Columns</t>
  </si>
  <si>
    <t>5eZ4n2eGi0WstU/Fh+zQQw</t>
  </si>
  <si>
    <t>Do2P8PG8y0KJYaDDgWY6jg</t>
  </si>
  <si>
    <t>P1B6-TIA1.2</t>
  </si>
  <si>
    <t>Bent 6 - Reinforce Columns</t>
  </si>
  <si>
    <t>rHi/cJ01q0yNq+FBvnmTag</t>
  </si>
  <si>
    <t>4yFM4HNohEed1eAEo/vhAw</t>
  </si>
  <si>
    <t>P1B6-TIA1.3</t>
  </si>
  <si>
    <t>Bent 6 - Form Columns</t>
  </si>
  <si>
    <t>bq/7jEgvEU6oavd2C/L4Eg</t>
  </si>
  <si>
    <t>IyNSqCsFWEGRlXKIB0OHaw</t>
  </si>
  <si>
    <t>P1B6-TIA1.4</t>
  </si>
  <si>
    <t>Bent 6 - Place Columns</t>
  </si>
  <si>
    <t>F5TfOrlaEUaQ9yy4OnuqFA</t>
  </si>
  <si>
    <t>Xn0Tyf8+qEuGqPGSVG/8Ww</t>
  </si>
  <si>
    <t>P1B6-TIA1.5</t>
  </si>
  <si>
    <t>Bent 6 - Cure Columns</t>
  </si>
  <si>
    <t>Wj8Iip54LkOHDwJkxCU6xQ</t>
  </si>
  <si>
    <t>m+KFeQaUQ0a506lzl3Cb/Q</t>
  </si>
  <si>
    <t>P1B6-TIA1.6</t>
  </si>
  <si>
    <t>Bent 6 - Strip Columns</t>
  </si>
  <si>
    <t>Dp8xVy9n9k2mHnwL9zOq+w</t>
  </si>
  <si>
    <t>e8wnXDCV70GVZ9WUflYEkw</t>
  </si>
  <si>
    <t>WTHR-0030</t>
  </si>
  <si>
    <t>Weather Event - Hurricane Michael</t>
  </si>
  <si>
    <t>a1ugPnFlH0SCKidQzU+7PA</t>
  </si>
  <si>
    <t>P1B6-TIA1.11</t>
  </si>
  <si>
    <t>Bent 6 - Demo Columns (Resume)</t>
  </si>
  <si>
    <t>qFDtKXCvt0uwG63z29hywA</t>
  </si>
  <si>
    <t>P1AWB-3131</t>
  </si>
  <si>
    <t>WB - Area 3 - Cut/Fill Earthwork (Post Hurricane Michael)</t>
  </si>
  <si>
    <t>vXrqbN0J4Em1S4ePzl/vxQ</t>
  </si>
  <si>
    <t>P1AWB-2061</t>
  </si>
  <si>
    <t>WB - Area 2 - Cut/Fill Earthwork (Post Hurricane Michael)</t>
  </si>
  <si>
    <t>Ob02AJAUDU6SoWl/tGxTgQ</t>
  </si>
  <si>
    <t>WTHR-0040</t>
  </si>
  <si>
    <t>Weather Event - Winter Storm Diego</t>
  </si>
  <si>
    <t>01EzN9gZNkSfL58vYHwFHg</t>
  </si>
  <si>
    <t>P1AWB-TIA1.1</t>
  </si>
  <si>
    <t>WB - Area 2 - Import Screenings</t>
  </si>
  <si>
    <t>F/6FEWXrxUCz6pDCycZ3UQ</t>
  </si>
  <si>
    <t>P1AWB-TIA1.2</t>
  </si>
  <si>
    <t>WB - Area 2 - Finegrade/Proof Roll</t>
  </si>
  <si>
    <t>GbfNWW4MS0Ki1NF+xWVbmA</t>
  </si>
  <si>
    <t>P1AWB-TIA1.3</t>
  </si>
  <si>
    <t>gozIIl3Oi06BU9vIaRzUbg</t>
  </si>
  <si>
    <t>P1AWB-TIA1.4</t>
  </si>
  <si>
    <t>WB - Area 2 - Stabilization Cure</t>
  </si>
  <si>
    <t>bgw43+QDCk6c8QrnjZadGw</t>
  </si>
  <si>
    <t>P1AWB-TIA1.5</t>
  </si>
  <si>
    <t>WB - Area 2 - Place ABC</t>
  </si>
  <si>
    <t>lYPBlWA6HkC9Wkffvo0ZPA</t>
  </si>
  <si>
    <t>P1AWB-TIA1.6</t>
  </si>
  <si>
    <t>WB - Area 2 - Cement Treat ABC</t>
  </si>
  <si>
    <t>tNZAr8Mu9UeDFZhM8K0FbA</t>
  </si>
  <si>
    <t>P1AWB-TIA1.7</t>
  </si>
  <si>
    <t>WB - Area 2 - CTABC Cure</t>
  </si>
  <si>
    <t>4AJq0TULQ0iy1xqwx5O32w</t>
  </si>
  <si>
    <t>P1AWB-TIA1.8</t>
  </si>
  <si>
    <t>WB - Area 2 - Shoulder Drain</t>
  </si>
  <si>
    <t>Zj7GEA/81EGoEu/Sy+tAnA</t>
  </si>
  <si>
    <t>P1AWB-TIA1.9</t>
  </si>
  <si>
    <t>WB - Area 2 - Flatwork</t>
  </si>
  <si>
    <t>XZcZkU3pS06XeWK0ETNtmg</t>
  </si>
  <si>
    <t>P1AWB-TIA1.10</t>
  </si>
  <si>
    <t>WB - Area 2 - Intermediate</t>
  </si>
  <si>
    <t>c9wouCNytkSY6CMTGZCMxg</t>
  </si>
  <si>
    <t>P1AWB-TIA1.11</t>
  </si>
  <si>
    <t>WB - Area 2 - Surface 1.5""</t>
  </si>
  <si>
    <t>FwEa876hak6DY/hiYsKwyQ</t>
  </si>
  <si>
    <t>P1AWB-TIA1.12</t>
  </si>
  <si>
    <t>WB - Area 2 - Permanent Guardrail</t>
  </si>
  <si>
    <t>yPGRVPYJjkGh4vCzqRtzSg</t>
  </si>
  <si>
    <t>&lt;!DOCTYPE HTML PUBLIC ""-//W3C//DTD HTML 4.0 Transitional//EN""&gt;&lt;HTML&gt;&lt;HEAD&gt;&lt;META content=""text/html; charset=unicode"" http-equiv=Content-Type&gt;&lt;META name=GENERATOR content=""MSHTML 11.00.10570.1001""&gt;&lt;/HEAD&gt;&lt;BODY&gt;? &lt;META name=GENERATOR content=""MSHTML 11.00.10570.1001""&gt;5/1/18 - Modified OD from 20 days to 15 days. &lt;/BODY&gt;&lt;/HTML&gt;</t>
  </si>
  <si>
    <t>&lt;!DOCTYPE HTML PUBLIC ""-//W3C//DTD HTML 4.0 Transitional//EN""&gt;&lt;HTML&gt;&lt;HEAD&gt;&lt;META content=""text/html; charset=unicode"" http-equiv=Content-Type&gt;&lt;META name=GENERATOR content=""MSHTML 11.00.10570.1001""&gt;&lt;/HEAD&gt;&lt;BODY&gt;5/1/18 - Modified OD from 30 days to 20 days.&lt;/BODY&gt;&lt;/HTML&gt;</t>
  </si>
  <si>
    <t>&lt;!DOCTYPE HTML PUBLIC ""-//W3C//DTD HTML 4.0 Transitional//EN""&gt;&lt;HTML&gt;&lt;HEAD&gt;&lt;META content=""text/html; charset=unicode"" http-equiv=Content-Type&gt;&lt;META name=GENERATOR content=""MSHTML 11.00.10570.1001""&gt;&lt;/HEAD&gt;&lt;BODY&gt;5/1/18 - Added new activity&lt;/BODY&gt;&lt;/HTML&gt;</t>
  </si>
  <si>
    <t>&lt;!DOCTYPE HTML PUBLIC ""-//W3C//DTD HTML 4.0 Transitional//EN""&gt;&lt;HTML&gt;&lt;HEAD&gt;&lt;META content=""text/html; charset=unicode"" http-equiv=Content-Type&gt;&lt;META name=GENERATOR content=""MSHTML 11.00.10570.1001""&gt;&lt;/HEAD&gt;&lt;BODY&gt;5/1/18 - Modified OD from 20 days to 11 days. &lt;/BODY&gt;&lt;/HTML&gt;</t>
  </si>
  <si>
    <t>&lt;!DOCTYPE HTML PUBLIC ""-//W3C//DTD HTML 4.0 Transitional//EN""&gt;&lt;HTML&gt;&lt;HEAD&gt;&lt;META content=""text/html; charset=unicode"" http-equiv=Content-Type&gt;&lt;META name=GENERATOR content=""MSHTML 11.00.10570.1001""&gt;&lt;/HEAD&gt;&lt;BODY&gt;5/1/18 - Modified OD from 30 days to 15 days. &lt;/BODY&gt;&lt;/HTML&gt;</t>
  </si>
  <si>
    <t>&lt;!DOCTYPE HTML PUBLIC ""-//W3C//DTD HTML 4.0 Transitional//EN""&gt;&lt;HTML&gt;&lt;HEAD&gt;&lt;META content=""text/html; charset=unicode"" http-equiv=Content-Type&gt;&lt;META name=GENERATOR content=""MSHTML 11.00.10570.1001""&gt;&lt;/HEAD&gt;&lt;BODY&gt;5/1/18 - Modified OD from 60 days to 30 days.&lt;/BODY&gt;&lt;/HTML&gt;</t>
  </si>
  <si>
    <t>&lt;!DOCTYPE HTML PUBLIC ""-//W3C//DTD HTML 4.0 Transitional//EN""&gt;&lt;HTML&gt;&lt;HEAD&gt;&lt;META content=""text/html; charset=unicode"" http-equiv=Content-Type&gt;&lt;META name=GENERATOR content=""MSHTML 11.00.10570.1001""&gt;&lt;/HEAD&gt;&lt;BODY&gt;5/1/18 - Modified OD from 30 days to 15 days.&lt;/BODY&gt;&lt;/HTML&gt;</t>
  </si>
  <si>
    <t>&lt;!DOCTYPE HTML PUBLIC ""-//W3C//DTD HTML 4.0 Transitional//EN""&gt;&lt;HTML&gt;&lt;HEAD&gt;&lt;META content=""text/html; charset=unicode"" http-equiv=Content-Type&gt;&lt;META name=GENERATOR content=""MSHTML 8.00.7601.19104""&gt;&lt;/HEAD&gt;&lt;BODY&gt;8/17/2018 - Increased duration to 5d/pier x 2 drilled pier = 10d duration. - BPH&lt;/BODY&gt;&lt;/HTML&gt;</t>
  </si>
  <si>
    <t>&lt;!DOCTYPE HTML PUBLIC ""-//W3C//DTD HTML 4.0 Transitional//EN""&gt;&lt;HTML&gt;&lt;HEAD&gt;&lt;META content=""text/html; charset=unicode"" http-equiv=Content-Type&gt;&lt;META name=GENERATOR content=""MSHTML 8.00.7601.19104""&gt;&lt;/HEAD&gt;&lt;BODY&gt;8/17/2018 - Increased duration to 5d/pier x&amp;nbsp;3 drilled pier = 15d duration. - BPH&lt;/BODY&gt;&lt;/HTML&gt;</t>
  </si>
  <si>
    <t>quHx8vu9z0G8L/+gg9lDaA</t>
  </si>
  <si>
    <t>DP6ScKdeEEacavFHkqGXrA</t>
  </si>
  <si>
    <t>XBe/t7B9TkKOhRXzexVHWg</t>
  </si>
  <si>
    <t>49DFR+64akuvs2DruAXf4A</t>
  </si>
  <si>
    <t>jZmm4glzJ0Cfou1v9RNktw</t>
  </si>
  <si>
    <t>fOdPSORkOE6nw0jiGJgBmw</t>
  </si>
  <si>
    <t>Lp0NTA7sak21jyqGF7AzSw</t>
  </si>
  <si>
    <t>kIhCxhqAYka+tANlIBvEhQ</t>
  </si>
  <si>
    <t>user_field_129</t>
  </si>
  <si>
    <t>MSP Activity ID</t>
  </si>
  <si>
    <t>user_field_979</t>
  </si>
  <si>
    <t>1081_Crews</t>
  </si>
  <si>
    <t>user_field_2131</t>
  </si>
  <si>
    <t>Bent</t>
  </si>
  <si>
    <t>Cure</t>
  </si>
  <si>
    <t>Shaft</t>
  </si>
  <si>
    <t>Rebar</t>
  </si>
  <si>
    <t>Demo</t>
  </si>
  <si>
    <t>C</t>
  </si>
  <si>
    <t>D</t>
  </si>
  <si>
    <t>E</t>
  </si>
  <si>
    <t>F</t>
  </si>
  <si>
    <t>G</t>
  </si>
  <si>
    <t>H</t>
  </si>
  <si>
    <t>21883</t>
  </si>
  <si>
    <t>8:00:00 AM to 4:00:00 PM</t>
  </si>
  <si>
    <t>Hours of Exceptions</t>
  </si>
  <si>
    <t>ü</t>
  </si>
  <si>
    <t>go fuck yurself</t>
  </si>
  <si>
    <t>(0||CalendarData()(  (0||DaysOfWeek()(    (0||1()())    (0||2()(      (0||0(s|08:30|f|12:30)())      (0||1(s|13:30|f|17:30)())))    (0||3()(      (0||0(s|08:30|f|12:00)())      (0||1(s|13:00|f|17:00)())))    (0||4()(      (0||0(s|08:00|f|12:30)())      (0||1(s|13:00|f|17:00)())))    (0||5()(      (0||0(s|08:00|f|12:00)())      (0||1(s|13:00|f|17:00)())))    (0||6()(      (0||0(s|08:30|f|12:00)())      (0||1(s|13:00|f|17:00)())))    (0||7()())))  (0||VIEW(ShowTotal|N)())  (0||Exceptions()(    (0||0(d|37865)())    (0||1(d|37952)())    (0||2(d|37953)())    (0||3(d|37980)())    (0||4(d|37981)())    (0||5(d|37987)())    (0||6(d|38138)())    (0||7(d|38173)())    (0||8(d|38236)())    (0||9(d|38316)())    (0||10(d|38317)())    (0||11(d|38345)())    (0||12(d|38352)())    (0||13(d|38502)())    (0||14(d|38537)())    (0||15(d|38600)())    (0||16(d|38680)())    (0||17(d|38681)())    (0||18(d|38712)())    (0||19(d|38719)())    (0||20(d|38866)())    (0||21(d|38902)())    (0||22(d|38964)())    (0||23(d|39044)())    (0||24(d|39045)())    (0||25(d|39076)())    (0||26(d|39083)())    (0||27(d|40063)())    (0||28(d|40088)())    (0||29(d|40107)())    (0||30(d|40115)())    (0||31(d|40143)())    (0||32(d|40144)())    (0||33(d|40171)())    (0||34(d|40172)())    (0||35(d|40179)())    (0||36(d|40329)())    (0||37(d|40364)())    (0||38(d|40427)())    (0||39(d|40544)())    (0||40(d|40618)())    (0||41(d|40624)())    (0||42(d|40646)())    (0||43(d|40693)())    (0||44(d|40728)())    (0||45(d|40791)())    (0||46(d|40833)())    (0||47(d|40857)())    (0||48(d|40871)())    (0||49(d|40872)())    (0||50(d|40873)())    (0||51(d|40892)())    (0||52(d|40901)())    (0||53(d|40903)())    (0||54(d|40904)())    (0||55(d|40910)())    (0||56(d|40920)())    (0||57(d|40924)())    (0||58(d|40946)())    (0||59(d|40959)())    (0||60(d|40974)())    (0||61(d|40987)())    (0||62(d|41057)())    (0||63(d|41094)())    (0||64(d|41155)())    (0||65(d|41204)())    (0||66(d|41230)())    (0||67(d|41242)())    (0||68(d|41243)())    (0||69(d|41244)())    (0||70(d|41263)())    (0||71(d|41267)())    (0||72(d|41268)())    (0||73(d|41275)())    (0||74(d|41284)())    (0||75(d|41295)())    (0||76(d|41310)())    (0||77(d|41319)())    (0||78(d|41323)())    (0||79(d|41339)())    (0||80(d|41351)())    (0||81(d|41421)())    (0||82(d|41459)())    (0||83(d|41519)())    (0||84(d|41568)())    (0||85(d|41601)())    (0||86(d|41606)())    (0||87(d|41607)())    (0||88(d|41632)())    (0||89(d|41633)())    (0||90(d|41636)())    (0||91(d|41640)())    (0||92(d|41659)())    (0||93(d|41687)())    (0||94(d|41715)())    (0||95(d|41785)())    (0||96(d|41824)())    (0||97(d|41883)())    (0||98(d|41932)())    (0||99(d|41970)())    (0||100(d|41971)())    (0||101(d|41972)())    (0||102(d|41998)())    (0||103(d|41999)())    (0||104(d|42005)())    (0||105(d|42014)())    (0||106(d|42023)())    (0||107(d|42049)())    (0||108(d|42051)())    (0||109(d|42086)())    (0||110(d|42149)())    (0||111(d|42188)())    (0||112(d|42254)())    (0||113(d|42296)())    (0||114(d|42334)())    (0||115(d|42335)())    (0||116(d|42362)())    (0||117(d|42363)())    (0||118(d|42370)())    (0||119(d|42520)())    (0||120(d|42555)())    (0||121(d|42618)())    (0||122(d|42698)())    (0||123(d|42699)())    (0||124(d|42730)())    (0||125(d|42737)())    (0||126(d|42884)())    (0||127(d|42920)())    (0||128(d|42982)())    (0||129(d|43062)())    (0||130(d|43063)())    (0||131(d|43094)())    (0||132(d|43101)())    (0||133(d|43248)())    (0||134(d|43285)())    (0||135(d|43346)())    (0||136(d|43426)())    (0||137(d|43427)())    (0||138(d|43459)())    (0||139(d|43466)())    (0||140(d|43612)())    (0||141(d|43650)())    (0||142(d|43710)())    (0||143(d|43797)())    (0||144(d|43798)())    (0||145(d|43824)())    (0||146(d|43831)())    (0||147(d|43976)())    (0||148(d|44015)())    (0||149(d|44081)())    (0||150(d|44161)())    (0||151(d|44162)())    (0||152(d|44190)())    (0||153(d|44197)())    (0||154(d|44347)())    (0||155(d|44382)())    (0||156(d|44445)())    (0||157(d|44525)())    (0||158(d|44526)())    (0||159(d|44554)())    (0||160(d|44561)())    (0||161(d|44711)())    (0||162(d|44746)())    (0||163(d|44809)())    (0||164(d|44889)())    (0||165(d|44890)())    (0||166(d|44921)())    (0||167(d|44928)())    (0||168(d|45075)())    (0||169(d|45111)())    (0||170(d|45173)())    (0||171(d|45253)())    (0||172(d|45254)())    (0||173(d|45285)())))))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</si>
</sst>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(&quot;$&quot;* #,##0_);_(&quot;$&quot;* \(#,##0\);_(&quot;$&quot;* &quot;-&quot;_);_(@_)"/>
    <numFmt numFmtId="41" formatCode="_(* #,##0_);_(* \(#,##0\);_(* &quot;-&quot;_);_(@_)"/>
    <numFmt numFmtId="164" formatCode="_(* #,##0.00_);[Red]_(* \(#,##0.00\);_(* &quot;-&quot;??_);_(@_)"/>
    <numFmt numFmtId="165" formatCode="_(&quot;$&quot;* #,##0.00_);[Red]_(&quot;$&quot;* \(#,##0.00\);_(&quot;$&quot;* &quot;-&quot;??_);_(@_)"/>
    <numFmt numFmtId="166" formatCode="0.0%"/>
    <numFmt numFmtId="167" formatCode="h:mm;@"/>
    <numFmt numFmtId="168" formatCode="mmmm"/>
    <numFmt numFmtId="169" formatCode="d"/>
  </numFmts>
  <fonts count="15" x14ac:knownFonts="1">
    <font>
      <sz val="1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name val="Arial"/>
      <family val="2"/>
      <scheme val="minor"/>
    </font>
    <font>
      <u/>
      <sz val="11"/>
      <color rgb="FF0000FF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name val="Arial"/>
      <family val="2"/>
      <scheme val="minor"/>
    </font>
    <font>
      <b/>
      <u/>
      <sz val="11"/>
      <name val="Arial"/>
      <family val="2"/>
      <scheme val="minor"/>
    </font>
    <font>
      <b/>
      <sz val="9"/>
      <name val="Arial"/>
      <family val="2"/>
      <scheme val="minor"/>
    </font>
    <font>
      <sz val="8"/>
      <name val="Arial"/>
      <family val="2"/>
      <scheme val="minor"/>
    </font>
    <font>
      <b/>
      <sz val="20"/>
      <name val="Arial"/>
      <family val="2"/>
      <scheme val="minor"/>
    </font>
    <font>
      <sz val="11"/>
      <color rgb="FF000000"/>
      <name val="Arial"/>
      <family val="2"/>
      <scheme val="minor"/>
    </font>
    <font>
      <sz val="12"/>
      <name val="Webdings"/>
      <family val="1"/>
      <charset val="2"/>
    </font>
    <font>
      <sz val="9"/>
      <color indexed="81"/>
      <name val="Tahoma"/>
      <family val="2"/>
    </font>
    <font>
      <sz val="14"/>
      <name val="Wingdings"/>
      <charset val="2"/>
    </font>
    <font>
      <sz val="10"/>
      <name val="Aria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dashed">
        <color theme="0" tint="-0.499984740745262"/>
      </bottom>
      <diagonal/>
    </border>
    <border>
      <left/>
      <right/>
      <top style="dashed">
        <color theme="0" tint="-0.499984740745262"/>
      </top>
      <bottom style="dashed">
        <color theme="0" tint="-0.499984740745262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dashed">
        <color theme="0" tint="-0.499984740745262"/>
      </bottom>
      <diagonal/>
    </border>
    <border>
      <left/>
      <right style="thick">
        <color indexed="64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dashed">
        <color theme="0" tint="-0.499984740745262"/>
      </bottom>
      <diagonal/>
    </border>
    <border>
      <left style="thick">
        <color indexed="64"/>
      </left>
      <right style="thick">
        <color indexed="64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">
    <xf numFmtId="0" fontId="0" fillId="0" borderId="0"/>
    <xf numFmtId="164" fontId="2" fillId="0" borderId="0" applyFill="0" applyBorder="0" applyAlignment="0" applyProtection="0"/>
    <xf numFmtId="41" fontId="1" fillId="0" borderId="0" applyFont="0" applyFill="0" applyBorder="0" applyAlignment="0" applyProtection="0"/>
    <xf numFmtId="165" fontId="2" fillId="0" borderId="0" applyFill="0" applyBorder="0" applyAlignment="0" applyProtection="0"/>
    <xf numFmtId="42" fontId="1" fillId="0" borderId="0" applyFont="0" applyFill="0" applyBorder="0" applyAlignment="0" applyProtection="0"/>
    <xf numFmtId="166" fontId="2" fillId="0" borderId="0" applyFill="0" applyBorder="0" applyAlignment="0" applyProtection="0"/>
    <xf numFmtId="0" fontId="3" fillId="0" borderId="0" applyNumberFormat="0" applyFill="0" applyBorder="0" applyAlignment="0" applyProtection="0"/>
    <xf numFmtId="0" fontId="4" fillId="2" borderId="1" applyNumberFormat="0" applyAlignment="0" applyProtection="0"/>
    <xf numFmtId="0" fontId="2" fillId="4" borderId="27" applyNumberFormat="0" applyFont="0" applyAlignment="0" applyProtection="0"/>
  </cellStyleXfs>
  <cellXfs count="65">
    <xf numFmtId="0" fontId="0" fillId="0" borderId="0" xfId="0"/>
    <xf numFmtId="0" fontId="0" fillId="0" borderId="0" xfId="0" applyProtection="1">
      <protection locked="0"/>
    </xf>
    <xf numFmtId="0" fontId="6" fillId="0" borderId="0" xfId="0" applyFont="1" applyProtection="1">
      <protection locked="0"/>
    </xf>
    <xf numFmtId="0" fontId="3" fillId="0" borderId="0" xfId="6" applyProtection="1">
      <protection locked="0"/>
    </xf>
    <xf numFmtId="3" fontId="0" fillId="0" borderId="0" xfId="0" applyNumberFormat="1" applyProtection="1">
      <protection locked="0"/>
    </xf>
    <xf numFmtId="22" fontId="0" fillId="0" borderId="0" xfId="0" applyNumberFormat="1"/>
    <xf numFmtId="0" fontId="6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Continuous"/>
      <protection locked="0"/>
    </xf>
    <xf numFmtId="0" fontId="5" fillId="0" borderId="3" xfId="0" applyFont="1" applyBorder="1" applyAlignment="1" applyProtection="1">
      <alignment horizontal="centerContinuous"/>
      <protection locked="0"/>
    </xf>
    <xf numFmtId="0" fontId="7" fillId="0" borderId="0" xfId="0" applyFont="1" applyAlignment="1" applyProtection="1">
      <alignment horizontal="centerContinuous"/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167" fontId="8" fillId="0" borderId="11" xfId="0" applyNumberFormat="1" applyFont="1" applyBorder="1" applyAlignment="1" applyProtection="1">
      <alignment horizontal="centerContinuous"/>
      <protection locked="0"/>
    </xf>
    <xf numFmtId="167" fontId="8" fillId="0" borderId="12" xfId="0" applyNumberFormat="1" applyFont="1" applyBorder="1" applyAlignment="1" applyProtection="1">
      <alignment horizontal="centerContinuous"/>
      <protection locked="0"/>
    </xf>
    <xf numFmtId="167" fontId="8" fillId="0" borderId="15" xfId="0" applyNumberFormat="1" applyFont="1" applyBorder="1" applyAlignment="1" applyProtection="1">
      <alignment horizontal="centerContinuous"/>
      <protection locked="0"/>
    </xf>
    <xf numFmtId="167" fontId="8" fillId="0" borderId="16" xfId="0" applyNumberFormat="1" applyFont="1" applyBorder="1" applyAlignment="1" applyProtection="1">
      <alignment horizontal="centerContinuous"/>
      <protection locked="0"/>
    </xf>
    <xf numFmtId="0" fontId="0" fillId="0" borderId="19" xfId="0" applyBorder="1" applyProtection="1">
      <protection locked="0"/>
    </xf>
    <xf numFmtId="0" fontId="0" fillId="0" borderId="20" xfId="0" applyBorder="1" applyProtection="1">
      <protection locked="0"/>
    </xf>
    <xf numFmtId="167" fontId="8" fillId="0" borderId="3" xfId="0" applyNumberFormat="1" applyFont="1" applyBorder="1" applyAlignment="1" applyProtection="1">
      <alignment horizontal="centerContinuous"/>
      <protection locked="0"/>
    </xf>
    <xf numFmtId="0" fontId="0" fillId="0" borderId="21" xfId="0" applyBorder="1" applyProtection="1">
      <protection locked="0"/>
    </xf>
    <xf numFmtId="0" fontId="0" fillId="0" borderId="22" xfId="0" applyBorder="1" applyProtection="1">
      <protection locked="0"/>
    </xf>
    <xf numFmtId="0" fontId="0" fillId="0" borderId="24" xfId="0" applyBorder="1" applyProtection="1">
      <protection locked="0"/>
    </xf>
    <xf numFmtId="0" fontId="0" fillId="0" borderId="25" xfId="0" applyBorder="1" applyProtection="1">
      <protection locked="0"/>
    </xf>
    <xf numFmtId="0" fontId="9" fillId="0" borderId="4" xfId="0" applyFont="1" applyBorder="1" applyAlignment="1" applyProtection="1">
      <alignment horizontal="centerContinuous" vertical="center"/>
      <protection locked="0"/>
    </xf>
    <xf numFmtId="0" fontId="9" fillId="0" borderId="26" xfId="0" applyFont="1" applyBorder="1" applyAlignment="1" applyProtection="1">
      <alignment horizontal="centerContinuous" vertical="center"/>
      <protection locked="0"/>
    </xf>
    <xf numFmtId="168" fontId="5" fillId="0" borderId="26" xfId="0" applyNumberFormat="1" applyFont="1" applyBorder="1" applyAlignment="1" applyProtection="1">
      <alignment horizontal="centerContinuous"/>
      <protection hidden="1"/>
    </xf>
    <xf numFmtId="0" fontId="5" fillId="0" borderId="26" xfId="0" applyFont="1" applyBorder="1" applyAlignment="1" applyProtection="1">
      <alignment horizontal="centerContinuous"/>
      <protection hidden="1"/>
    </xf>
    <xf numFmtId="168" fontId="5" fillId="0" borderId="4" xfId="0" applyNumberFormat="1" applyFont="1" applyBorder="1" applyAlignment="1" applyProtection="1">
      <alignment horizontal="centerContinuous"/>
      <protection hidden="1"/>
    </xf>
    <xf numFmtId="0" fontId="5" fillId="0" borderId="4" xfId="0" applyFont="1" applyBorder="1" applyAlignment="1" applyProtection="1">
      <alignment horizontal="centerContinuous"/>
      <protection hidden="1"/>
    </xf>
    <xf numFmtId="0" fontId="5" fillId="0" borderId="4" xfId="0" applyFont="1" applyBorder="1" applyAlignment="1" applyProtection="1">
      <alignment horizontal="center"/>
      <protection locked="0"/>
    </xf>
    <xf numFmtId="169" fontId="0" fillId="0" borderId="23" xfId="0" applyNumberFormat="1" applyBorder="1" applyAlignment="1" applyProtection="1">
      <alignment horizontal="center" vertical="center"/>
      <protection hidden="1"/>
    </xf>
    <xf numFmtId="168" fontId="5" fillId="0" borderId="2" xfId="0" applyNumberFormat="1" applyFont="1" applyBorder="1" applyAlignment="1" applyProtection="1">
      <alignment horizontal="centerContinuous"/>
      <protection hidden="1"/>
    </xf>
    <xf numFmtId="0" fontId="5" fillId="0" borderId="2" xfId="0" applyFont="1" applyBorder="1" applyAlignment="1" applyProtection="1">
      <alignment horizontal="centerContinuous"/>
      <protection hidden="1"/>
    </xf>
    <xf numFmtId="0" fontId="0" fillId="0" borderId="0" xfId="0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0" fillId="3" borderId="14" xfId="0" applyFill="1" applyBorder="1" applyProtection="1">
      <protection locked="0"/>
    </xf>
    <xf numFmtId="0" fontId="0" fillId="3" borderId="18" xfId="0" applyFill="1" applyBorder="1" applyProtection="1">
      <protection locked="0"/>
    </xf>
    <xf numFmtId="0" fontId="5" fillId="0" borderId="2" xfId="0" applyFont="1" applyBorder="1" applyAlignment="1">
      <alignment horizontal="center"/>
    </xf>
    <xf numFmtId="0" fontId="4" fillId="2" borderId="1" xfId="7" applyAlignment="1" applyProtection="1">
      <alignment horizontal="center"/>
      <protection locked="0"/>
    </xf>
    <xf numFmtId="0" fontId="4" fillId="2" borderId="1" xfId="7" applyAlignment="1" applyProtection="1">
      <alignment horizontal="left" indent="1"/>
      <protection locked="0"/>
    </xf>
    <xf numFmtId="0" fontId="5" fillId="0" borderId="0" xfId="0" applyFont="1" applyProtection="1">
      <protection hidden="1"/>
    </xf>
    <xf numFmtId="14" fontId="0" fillId="0" borderId="0" xfId="0" applyNumberFormat="1" applyAlignment="1">
      <alignment horizontal="right" indent="1"/>
    </xf>
    <xf numFmtId="0" fontId="10" fillId="0" borderId="0" xfId="7" applyFont="1" applyFill="1" applyBorder="1" applyAlignment="1" applyProtection="1">
      <alignment horizontal="center"/>
      <protection locked="0"/>
    </xf>
    <xf numFmtId="0" fontId="10" fillId="0" borderId="0" xfId="7" applyFont="1" applyFill="1" applyBorder="1" applyAlignment="1" applyProtection="1">
      <alignment horizontal="left" indent="1"/>
      <protection locked="0"/>
    </xf>
    <xf numFmtId="0" fontId="10" fillId="0" borderId="4" xfId="8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left" indent="1"/>
      <protection locked="0"/>
    </xf>
    <xf numFmtId="0" fontId="0" fillId="0" borderId="13" xfId="0" applyFill="1" applyBorder="1" applyProtection="1">
      <protection locked="0"/>
    </xf>
    <xf numFmtId="0" fontId="0" fillId="0" borderId="17" xfId="0" applyFill="1" applyBorder="1" applyProtection="1">
      <protection locked="0"/>
    </xf>
    <xf numFmtId="0" fontId="0" fillId="0" borderId="14" xfId="0" applyFill="1" applyBorder="1" applyProtection="1">
      <protection locked="0"/>
    </xf>
    <xf numFmtId="0" fontId="0" fillId="0" borderId="18" xfId="0" applyFill="1" applyBorder="1" applyProtection="1">
      <protection locked="0"/>
    </xf>
    <xf numFmtId="0" fontId="0" fillId="0" borderId="9" xfId="0" applyFill="1" applyBorder="1" applyProtection="1">
      <protection locked="0"/>
    </xf>
    <xf numFmtId="0" fontId="0" fillId="0" borderId="10" xfId="0" applyFill="1" applyBorder="1" applyProtection="1">
      <protection locked="0"/>
    </xf>
    <xf numFmtId="0" fontId="0" fillId="0" borderId="7" xfId="0" applyFill="1" applyBorder="1" applyProtection="1">
      <protection locked="0"/>
    </xf>
    <xf numFmtId="0" fontId="0" fillId="0" borderId="8" xfId="0" applyFill="1" applyBorder="1" applyProtection="1">
      <protection locked="0"/>
    </xf>
    <xf numFmtId="0" fontId="10" fillId="0" borderId="0" xfId="0" applyFont="1" applyFill="1" applyBorder="1" applyAlignment="1" applyProtection="1">
      <alignment horizontal="center"/>
      <protection locked="0"/>
    </xf>
    <xf numFmtId="0" fontId="10" fillId="0" borderId="0" xfId="0" applyFont="1" applyFill="1" applyBorder="1" applyAlignment="1" applyProtection="1">
      <alignment horizontal="left" indent="1"/>
      <protection locked="0"/>
    </xf>
    <xf numFmtId="0" fontId="0" fillId="0" borderId="0" xfId="0" applyAlignment="1">
      <alignment horizontal="left" indent="1"/>
    </xf>
    <xf numFmtId="0" fontId="0" fillId="0" borderId="2" xfId="0" applyBorder="1"/>
    <xf numFmtId="0" fontId="11" fillId="0" borderId="0" xfId="0" applyFont="1" applyAlignment="1">
      <alignment horizontal="left" vertical="center"/>
    </xf>
    <xf numFmtId="0" fontId="0" fillId="0" borderId="0" xfId="0" applyBorder="1" applyProtection="1"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10" fillId="0" borderId="4" xfId="0" applyFont="1" applyFill="1" applyBorder="1" applyAlignment="1" applyProtection="1">
      <alignment horizontal="center"/>
      <protection locked="0"/>
    </xf>
    <xf numFmtId="0" fontId="10" fillId="0" borderId="4" xfId="0" applyFont="1" applyFill="1" applyBorder="1" applyAlignment="1" applyProtection="1">
      <alignment horizontal="left" indent="1"/>
      <protection locked="0"/>
    </xf>
  </cellXfs>
  <cellStyles count="9">
    <cellStyle name="Comma" xfId="1" builtinId="3" customBuiltin="1"/>
    <cellStyle name="Comma [0]" xfId="2" builtinId="6" hidden="1"/>
    <cellStyle name="Currency" xfId="3" builtinId="4" customBuiltin="1"/>
    <cellStyle name="Currency [0]" xfId="4" builtinId="7" hidden="1"/>
    <cellStyle name="Hyperlink" xfId="6" builtinId="8" customBuiltin="1"/>
    <cellStyle name="Input" xfId="7" builtinId="20"/>
    <cellStyle name="Normal" xfId="0" builtinId="0" customBuiltin="1"/>
    <cellStyle name="Note" xfId="8" builtinId="10"/>
    <cellStyle name="Percent" xfId="5" builtinId="5" customBuiltin="1"/>
  </cellStyles>
  <dxfs count="0"/>
  <tableStyles count="0" defaultTableStyle="TableStyleMedium2" defaultPivotStyle="PivotStyleLight16"/>
  <colors>
    <mruColors>
      <color rgb="FF0000FF"/>
      <color rgb="FFFFFFF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5</xdr:col>
      <xdr:colOff>0</xdr:colOff>
      <xdr:row>27</xdr:row>
      <xdr:rowOff>0</xdr:rowOff>
    </xdr:to>
    <xdr:sp macro="" textlink="">
      <xdr:nvSpPr>
        <xdr:cNvPr id="5" name="Flowchart: Alternate Proces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85800" y="723900"/>
          <a:ext cx="2743200" cy="4162425"/>
        </a:xfrm>
        <a:prstGeom prst="flowChartAlternateProcess">
          <a:avLst/>
        </a:prstGeom>
        <a:solidFill>
          <a:srgbClr val="0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oneCellAnchor>
    <xdr:from>
      <xdr:col>1</xdr:col>
      <xdr:colOff>576263</xdr:colOff>
      <xdr:row>7</xdr:row>
      <xdr:rowOff>171450</xdr:rowOff>
    </xdr:from>
    <xdr:ext cx="1590675" cy="533400"/>
    <xdr:sp macro="[0]!click_New_Xer_File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/>
        </xdr:cNvSpPr>
      </xdr:nvSpPr>
      <xdr:spPr>
        <a:xfrm>
          <a:off x="1262063" y="1438275"/>
          <a:ext cx="1590675" cy="533400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228600">
            <a:schemeClr val="accent5">
              <a:satMod val="175000"/>
              <a:alpha val="40000"/>
            </a:schemeClr>
          </a:glow>
          <a:outerShdw blurRad="76200" dist="12700" sx="102000" sy="102000" algn="ctr" rotWithShape="0">
            <a:srgbClr val="FFFFFF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lIns="182880" rtlCol="0" anchor="ctr" anchorCtr="0">
          <a:noAutofit/>
        </a:bodyPr>
        <a:lstStyle/>
        <a:p>
          <a:r>
            <a:rPr lang="en-US" sz="1100"/>
            <a:t>Pick XER File...</a:t>
          </a:r>
        </a:p>
      </xdr:txBody>
    </xdr:sp>
    <xdr:clientData/>
  </xdr:oneCellAnchor>
  <xdr:twoCellAnchor editAs="oneCell">
    <xdr:from>
      <xdr:col>2</xdr:col>
      <xdr:colOff>228600</xdr:colOff>
      <xdr:row>19</xdr:row>
      <xdr:rowOff>28575</xdr:rowOff>
    </xdr:from>
    <xdr:to>
      <xdr:col>3</xdr:col>
      <xdr:colOff>457200</xdr:colOff>
      <xdr:row>24</xdr:row>
      <xdr:rowOff>38100</xdr:rowOff>
    </xdr:to>
    <xdr:pic macro="[0]!click_Reset_Workbook">
      <xdr:nvPicPr>
        <xdr:cNvPr id="4" name="Graphic 3" descr="Crying face outline with solid fill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00200" y="3495675"/>
          <a:ext cx="914400" cy="914400"/>
        </a:xfrm>
        <a:prstGeom prst="rect">
          <a:avLst/>
        </a:prstGeom>
        <a:effectLst>
          <a:glow rad="228600">
            <a:schemeClr val="accent4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1</xdr:col>
      <xdr:colOff>576263</xdr:colOff>
      <xdr:row>13</xdr:row>
      <xdr:rowOff>0</xdr:rowOff>
    </xdr:from>
    <xdr:ext cx="1590675" cy="533400"/>
    <xdr:sp macro="[0]!click_New_Cal_Report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>
          <a:spLocks/>
        </xdr:cNvSpPr>
      </xdr:nvSpPr>
      <xdr:spPr>
        <a:xfrm>
          <a:off x="1262063" y="2381250"/>
          <a:ext cx="1590675" cy="533400"/>
        </a:xfrm>
        <a:prstGeom prst="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228600">
            <a:schemeClr val="accent3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lIns="182880" rtlCol="0" anchor="ctr" anchorCtr="0">
          <a:noAutofit/>
        </a:bodyPr>
        <a:lstStyle/>
        <a:p>
          <a:pPr algn="ctr"/>
          <a:r>
            <a:rPr lang="en-US" sz="1100"/>
            <a:t>New Calendar Report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104775</xdr:rowOff>
        </xdr:from>
        <xdr:to>
          <xdr:col>11</xdr:col>
          <xdr:colOff>133350</xdr:colOff>
          <xdr:row>2</xdr:row>
          <xdr:rowOff>323850</xdr:rowOff>
        </xdr:to>
        <xdr:sp macro="" textlink="">
          <xdr:nvSpPr>
            <xdr:cNvPr id="23553" name="btn_Last_Year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BBF9AD87-8386-BA35-8F30-534A78DA46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Wingdings"/>
                </a:rPr>
                <a:t>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104775</xdr:rowOff>
        </xdr:from>
        <xdr:to>
          <xdr:col>16</xdr:col>
          <xdr:colOff>133350</xdr:colOff>
          <xdr:row>2</xdr:row>
          <xdr:rowOff>323850</xdr:rowOff>
        </xdr:to>
        <xdr:sp macro="" textlink="">
          <xdr:nvSpPr>
            <xdr:cNvPr id="23554" name="btn_Next_Year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E9ECA07D-13DA-4E52-DE97-2A39DA3952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Wingdings"/>
                </a:rPr>
                <a:t>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5</xdr:row>
          <xdr:rowOff>0</xdr:rowOff>
        </xdr:from>
        <xdr:to>
          <xdr:col>29</xdr:col>
          <xdr:colOff>0</xdr:colOff>
          <xdr:row>7</xdr:row>
          <xdr:rowOff>0</xdr:rowOff>
        </xdr:to>
        <xdr:sp macro="" textlink="">
          <xdr:nvSpPr>
            <xdr:cNvPr id="23555" name="btn_Pick_Calendar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23835808-EED8-DD4C-840A-429D71F48B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Pick Calendar...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8</xdr:row>
          <xdr:rowOff>0</xdr:rowOff>
        </xdr:from>
        <xdr:to>
          <xdr:col>29</xdr:col>
          <xdr:colOff>0</xdr:colOff>
          <xdr:row>10</xdr:row>
          <xdr:rowOff>0</xdr:rowOff>
        </xdr:to>
        <xdr:sp macro="" textlink="">
          <xdr:nvSpPr>
            <xdr:cNvPr id="23556" name="btn_Print_Calendar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DBDED8B1-F611-692A-7005-8B85BFDEC4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Calendar to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FlatironTheme02">
  <a:themeElements>
    <a:clrScheme name="Custom 3">
      <a:dk1>
        <a:srgbClr val="FFFFFF"/>
      </a:dk1>
      <a:lt1>
        <a:sysClr val="window" lastClr="FFFFFF"/>
      </a:lt1>
      <a:dk2>
        <a:srgbClr val="343741"/>
      </a:dk2>
      <a:lt2>
        <a:srgbClr val="002C71"/>
      </a:lt2>
      <a:accent1>
        <a:srgbClr val="005DAB"/>
      </a:accent1>
      <a:accent2>
        <a:srgbClr val="002C71"/>
      </a:accent2>
      <a:accent3>
        <a:srgbClr val="5FB3E3"/>
      </a:accent3>
      <a:accent4>
        <a:srgbClr val="43B02A"/>
      </a:accent4>
      <a:accent5>
        <a:srgbClr val="FF6900"/>
      </a:accent5>
      <a:accent6>
        <a:srgbClr val="BA0C2F"/>
      </a:accent6>
      <a:hlink>
        <a:srgbClr val="FFC72C"/>
      </a:hlink>
      <a:folHlink>
        <a:srgbClr val="8DC8E8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tx1"/>
        </a:solidFill>
        <a:ln>
          <a:noFill/>
        </a:ln>
      </a:spPr>
      <a:bodyPr rtlCol="0" anchor="ctr"/>
      <a:lstStyle>
        <a:defPPr algn="ctr">
          <a:defRPr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xer_samples/1074_2007A.xer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Data"/>
  <dimension ref="B5:M27"/>
  <sheetViews>
    <sheetView showGridLines="0" zoomScale="90" zoomScaleNormal="90" workbookViewId="0"/>
  </sheetViews>
  <sheetFormatPr defaultColWidth="9" defaultRowHeight="14.25" x14ac:dyDescent="0.2"/>
  <cols>
    <col min="1" max="7" width="9" style="1"/>
    <col min="8" max="8" width="25.625" style="1" customWidth="1"/>
    <col min="9" max="10" width="9" style="1"/>
    <col min="11" max="11" width="25.625" style="1" customWidth="1"/>
    <col min="12" max="12" width="65.625" style="1" customWidth="1"/>
    <col min="13" max="13" width="25.625" style="1" customWidth="1"/>
    <col min="14" max="16384" width="9" style="1"/>
  </cols>
  <sheetData>
    <row r="5" spans="2:13" ht="15" x14ac:dyDescent="0.25">
      <c r="B5"/>
      <c r="C5"/>
      <c r="D5"/>
      <c r="E5"/>
      <c r="H5" s="2" t="s">
        <v>0</v>
      </c>
    </row>
    <row r="6" spans="2:13" ht="15" x14ac:dyDescent="0.25">
      <c r="B6"/>
      <c r="C6"/>
      <c r="D6"/>
      <c r="E6"/>
      <c r="H6" s="3" t="s">
        <v>508</v>
      </c>
      <c r="K6" s="2" t="s">
        <v>484</v>
      </c>
    </row>
    <row r="7" spans="2:13" x14ac:dyDescent="0.2">
      <c r="B7"/>
      <c r="C7"/>
      <c r="D7"/>
      <c r="E7"/>
    </row>
    <row r="8" spans="2:13" ht="15" x14ac:dyDescent="0.25">
      <c r="B8"/>
      <c r="C8"/>
      <c r="D8"/>
      <c r="E8"/>
      <c r="H8" s="2" t="s">
        <v>16</v>
      </c>
      <c r="K8" s="6" t="s">
        <v>485</v>
      </c>
      <c r="L8" s="6" t="s">
        <v>486</v>
      </c>
      <c r="M8" s="6" t="s">
        <v>487</v>
      </c>
    </row>
    <row r="9" spans="2:13" x14ac:dyDescent="0.2">
      <c r="B9"/>
      <c r="C9"/>
      <c r="D9"/>
      <c r="E9"/>
      <c r="H9" s="3" t="s">
        <v>1</v>
      </c>
      <c r="I9" s="4">
        <v>139</v>
      </c>
      <c r="K9" s="1" t="s">
        <v>776</v>
      </c>
      <c r="L9" s="1" t="s">
        <v>1231</v>
      </c>
      <c r="M9" s="1" t="s">
        <v>6758</v>
      </c>
    </row>
    <row r="10" spans="2:13" x14ac:dyDescent="0.2">
      <c r="B10"/>
      <c r="C10"/>
      <c r="D10"/>
      <c r="E10"/>
      <c r="H10" s="3" t="s">
        <v>17</v>
      </c>
      <c r="I10" s="4">
        <v>9</v>
      </c>
    </row>
    <row r="11" spans="2:13" x14ac:dyDescent="0.2">
      <c r="B11"/>
      <c r="C11"/>
      <c r="D11"/>
      <c r="E11"/>
      <c r="H11" s="3" t="s">
        <v>24</v>
      </c>
      <c r="I11" s="4">
        <v>15</v>
      </c>
    </row>
    <row r="12" spans="2:13" x14ac:dyDescent="0.2">
      <c r="B12"/>
      <c r="C12"/>
      <c r="D12"/>
      <c r="E12"/>
      <c r="H12" s="3" t="s">
        <v>42</v>
      </c>
      <c r="I12" s="4">
        <v>16</v>
      </c>
    </row>
    <row r="13" spans="2:13" x14ac:dyDescent="0.2">
      <c r="B13"/>
      <c r="C13"/>
      <c r="D13"/>
      <c r="E13"/>
      <c r="H13" s="3" t="s">
        <v>108</v>
      </c>
      <c r="I13" s="4">
        <v>1</v>
      </c>
    </row>
    <row r="14" spans="2:13" x14ac:dyDescent="0.2">
      <c r="B14"/>
      <c r="C14"/>
      <c r="D14"/>
      <c r="E14"/>
      <c r="H14" s="3" t="s">
        <v>115</v>
      </c>
      <c r="I14" s="4">
        <v>6</v>
      </c>
    </row>
    <row r="15" spans="2:13" x14ac:dyDescent="0.2">
      <c r="B15"/>
      <c r="C15"/>
      <c r="D15"/>
      <c r="E15"/>
      <c r="H15" s="3" t="s">
        <v>133</v>
      </c>
      <c r="I15" s="4">
        <v>0</v>
      </c>
    </row>
    <row r="16" spans="2:13" x14ac:dyDescent="0.2">
      <c r="B16"/>
      <c r="C16"/>
      <c r="D16"/>
      <c r="E16"/>
      <c r="H16" s="3" t="s">
        <v>148</v>
      </c>
      <c r="I16" s="4">
        <v>0</v>
      </c>
    </row>
    <row r="17" spans="2:9" x14ac:dyDescent="0.2">
      <c r="B17"/>
      <c r="C17"/>
      <c r="D17"/>
      <c r="E17"/>
      <c r="H17" s="3" t="s">
        <v>236</v>
      </c>
      <c r="I17" s="4">
        <v>187</v>
      </c>
    </row>
    <row r="18" spans="2:9" x14ac:dyDescent="0.2">
      <c r="B18"/>
      <c r="C18"/>
      <c r="D18"/>
      <c r="E18"/>
      <c r="H18" s="3" t="s">
        <v>290</v>
      </c>
      <c r="I18" s="4">
        <v>1</v>
      </c>
    </row>
    <row r="19" spans="2:9" x14ac:dyDescent="0.2">
      <c r="B19"/>
      <c r="C19"/>
      <c r="D19"/>
      <c r="E19"/>
      <c r="H19" s="3" t="s">
        <v>326</v>
      </c>
      <c r="I19" s="4">
        <v>0</v>
      </c>
    </row>
    <row r="20" spans="2:9" x14ac:dyDescent="0.2">
      <c r="B20"/>
      <c r="C20"/>
      <c r="D20"/>
      <c r="E20"/>
      <c r="H20" s="3" t="s">
        <v>334</v>
      </c>
      <c r="I20" s="4">
        <v>0</v>
      </c>
    </row>
    <row r="21" spans="2:9" x14ac:dyDescent="0.2">
      <c r="B21"/>
      <c r="C21"/>
      <c r="D21"/>
      <c r="E21"/>
      <c r="H21" s="3" t="s">
        <v>363</v>
      </c>
      <c r="I21" s="4">
        <v>1562</v>
      </c>
    </row>
    <row r="22" spans="2:9" x14ac:dyDescent="0.2">
      <c r="B22"/>
      <c r="C22"/>
      <c r="D22"/>
      <c r="E22"/>
      <c r="H22" s="3" t="s">
        <v>428</v>
      </c>
      <c r="I22" s="4">
        <v>7036</v>
      </c>
    </row>
    <row r="23" spans="2:9" x14ac:dyDescent="0.2">
      <c r="B23"/>
      <c r="C23"/>
      <c r="D23"/>
      <c r="E23"/>
      <c r="H23" s="3" t="s">
        <v>429</v>
      </c>
      <c r="I23" s="4">
        <v>22</v>
      </c>
    </row>
    <row r="24" spans="2:9" x14ac:dyDescent="0.2">
      <c r="B24"/>
      <c r="C24"/>
      <c r="D24"/>
      <c r="E24"/>
      <c r="H24" s="3" t="s">
        <v>432</v>
      </c>
      <c r="I24" s="4">
        <v>2501</v>
      </c>
    </row>
    <row r="25" spans="2:9" x14ac:dyDescent="0.2">
      <c r="B25"/>
      <c r="C25"/>
      <c r="D25"/>
      <c r="E25"/>
      <c r="H25" s="3" t="s">
        <v>443</v>
      </c>
      <c r="I25" s="4">
        <v>7</v>
      </c>
    </row>
    <row r="26" spans="2:9" x14ac:dyDescent="0.2">
      <c r="B26"/>
      <c r="C26"/>
      <c r="D26"/>
      <c r="E26"/>
      <c r="H26" s="3" t="s">
        <v>468</v>
      </c>
      <c r="I26" s="4">
        <v>2</v>
      </c>
    </row>
    <row r="27" spans="2:9" x14ac:dyDescent="0.2">
      <c r="B27"/>
      <c r="C27"/>
      <c r="D27"/>
      <c r="E27"/>
      <c r="H27" s="3" t="s">
        <v>478</v>
      </c>
      <c r="I27" s="4">
        <v>2468</v>
      </c>
    </row>
  </sheetData>
  <sheetProtection sheet="1" objects="1" formatCells="0" formatColumns="0" formatRows="0" insertColumns="0" insertRows="0" insertHyperlinks="0" deleteColumns="0" deleteRows="0" selectLockedCells="1" sort="0" autoFilter="0" pivotTables="0"/>
  <hyperlinks>
    <hyperlink ref="H6" r:id="rId1" tooltip="click to Go to the source file" display="xer_samples/1074_2007A.xer" xr:uid="{B1D8F004-1912-41BA-856D-44FB62D21A74}"/>
    <hyperlink ref="H9" location="'ACTVCODE'!A1" tooltip="click to Go to the ACTVCODE sheet" display="'ACTVCODE'!A1" xr:uid="{15844235-EEAC-49C8-8B8F-994194897692}"/>
    <hyperlink ref="H10" location="'ACTVTYPE'!A1" tooltip="click to Go to the ACTVTYPE sheet" display="'ACTVTYPE'!A1" xr:uid="{3552EDB4-8C75-493F-9003-141B701BB64E}"/>
    <hyperlink ref="H11" location="'CALENDAR'!A1" tooltip="click to Go to the CALENDAR sheet" display="'CALENDAR'!A1" xr:uid="{D81BF7B3-4271-44F3-A822-C1F8B5905144}"/>
    <hyperlink ref="H12" location="'CURRTYPE'!A1" tooltip="click to Go to the CURRTYPE sheet" display="'CURRTYPE'!A1" xr:uid="{2F4A512E-899F-4197-A86C-1DF1643CDEE9}"/>
    <hyperlink ref="H13" location="'MEMOTYPE'!A1" tooltip="click to Go to the MEMOTYPE sheet" display="'MEMOTYPE'!A1" xr:uid="{1706A058-65F8-468F-B52D-64C67E3DD5A0}"/>
    <hyperlink ref="H14" location="'NONWORK'!A1" tooltip="click to Go to the NONWORK sheet" display="'NONWORK'!A1" xr:uid="{CE57F309-521E-4BEB-932B-294A64FE0520}"/>
    <hyperlink ref="H15" location="'OBS'!A1" tooltip="click to Go to the OBS sheet" display="'OBS'!A1" xr:uid="{3E7011B7-8612-4E2C-80FD-596B7DEAE86F}"/>
    <hyperlink ref="H16" location="'PROJECT'!A1" tooltip="click to Go to the PROJECT sheet" display="'PROJECT'!A1" xr:uid="{EF84D0D9-1AD5-437F-B1F0-7DE2C4F427AB}"/>
    <hyperlink ref="H17" location="'PROJWBS'!A1" tooltip="click to Go to the PROJWBS sheet" display="'PROJWBS'!A1" xr:uid="{BB4192D9-F521-4586-884D-D18C8FE548C7}"/>
    <hyperlink ref="H18" location="'RSRC'!A1" tooltip="click to Go to the RSRC sheet" display="'RSRC'!A1" xr:uid="{F161079B-D6EB-4DC8-89AB-F3DBC862ECE2}"/>
    <hyperlink ref="H19" location="'RSRCRATE'!A1" tooltip="click to Go to the RSRCRATE sheet" display="'RSRCRATE'!A1" xr:uid="{7E1B373D-AD64-4C52-9F2C-BAD00A9302A7}"/>
    <hyperlink ref="H20" location="'SCHEDOPTIONS'!A1" tooltip="click to Go to the SCHEDOPTIONS sheet" display="'SCHEDOPTIONS'!A1" xr:uid="{21E64102-B609-400C-A7B3-9EACA33CD71B}"/>
    <hyperlink ref="H21" location="'TASK'!A1" tooltip="click to Go to the TASK sheet" display="'TASK'!A1" xr:uid="{FF949CD2-942A-4741-92D2-1CC13B89F54E}"/>
    <hyperlink ref="H22" location="'TASKACTV'!A1" tooltip="click to Go to the TASKACTV sheet" display="'TASKACTV'!A1" xr:uid="{1755485F-E3EC-40C2-A1C4-18171657D7D8}"/>
    <hyperlink ref="H23" location="'TASKMEMO'!A1" tooltip="click to Go to the TASKMEMO sheet" display="'TASKMEMO'!A1" xr:uid="{EF412F68-AB1E-4A83-B610-0698FCFBDE56}"/>
    <hyperlink ref="H24" location="'TASKPRED'!A1" tooltip="click to Go to the TASKPRED sheet" display="'TASKPRED'!A1" xr:uid="{2349BA55-226A-45BE-9D8C-74B43B976978}"/>
    <hyperlink ref="H25" location="'TASKRSRC'!A1" tooltip="click to Go to the TASKRSRC sheet" display="'TASKRSRC'!A1" xr:uid="{C2A6E47B-D6F9-4A98-BE4C-460F692CF822}"/>
    <hyperlink ref="H26" location="'UDFTYPE'!A1" tooltip="click to Go to the UDFTYPE sheet" display="'UDFTYPE'!A1" xr:uid="{BC33EEA4-A9B0-42B9-BDE8-25D2796335AC}"/>
    <hyperlink ref="H27" location="'UDFVALUE'!A1" tooltip="click to Go to the UDFVALUE sheet" display="'UDFVALUE'!A1" xr:uid="{7FB63756-7F98-41EC-885E-9981AB5C3F00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B2CAC-F557-451A-B92E-082501A9C39F}">
  <sheetPr codeName="Sheet1">
    <tabColor rgb="FF1E90FF"/>
  </sheetPr>
  <dimension ref="B3:AE1026"/>
  <sheetViews>
    <sheetView showGridLines="0" tabSelected="1" workbookViewId="0">
      <selection activeCell="AI22" sqref="AI22"/>
    </sheetView>
  </sheetViews>
  <sheetFormatPr defaultRowHeight="14.25" x14ac:dyDescent="0.2"/>
  <cols>
    <col min="1" max="1" width="9" style="1"/>
    <col min="2" max="26" width="3.625" style="1" customWidth="1"/>
    <col min="27" max="27" width="9" style="1"/>
    <col min="28" max="28" width="13.625" style="35" customWidth="1"/>
    <col min="29" max="29" width="8.625" style="35" customWidth="1"/>
    <col min="30" max="30" width="33.375" style="35" bestFit="1" customWidth="1"/>
    <col min="31" max="31" width="8.625" style="35" customWidth="1"/>
    <col min="32" max="16384" width="9" style="1"/>
  </cols>
  <sheetData>
    <row r="3" spans="2:31" ht="35.1" customHeight="1" x14ac:dyDescent="0.2">
      <c r="B3" s="21"/>
      <c r="C3" s="25">
        <v>2023</v>
      </c>
      <c r="D3" s="25"/>
      <c r="E3" s="25"/>
      <c r="F3" s="25"/>
      <c r="G3" s="25"/>
      <c r="H3" s="25"/>
      <c r="I3" s="25"/>
      <c r="J3" s="26"/>
      <c r="K3" s="25"/>
      <c r="L3" s="25"/>
      <c r="M3" s="25"/>
      <c r="N3" s="25"/>
      <c r="O3" s="25"/>
      <c r="P3" s="25"/>
      <c r="Q3" s="25"/>
      <c r="R3" s="26"/>
      <c r="S3" s="25"/>
      <c r="T3" s="25"/>
      <c r="U3" s="25"/>
      <c r="V3" s="25"/>
      <c r="W3" s="25"/>
      <c r="X3" s="25"/>
      <c r="Y3" s="25"/>
      <c r="Z3" s="23"/>
    </row>
    <row r="4" spans="2:31" ht="15" customHeight="1" x14ac:dyDescent="0.25">
      <c r="B4" s="12"/>
      <c r="C4" s="29">
        <f>DATE($C$3,1,1)</f>
        <v>44927</v>
      </c>
      <c r="D4" s="30"/>
      <c r="E4" s="30"/>
      <c r="F4" s="30"/>
      <c r="G4" s="30"/>
      <c r="H4" s="30"/>
      <c r="I4" s="30"/>
      <c r="J4" s="61"/>
      <c r="K4" s="27">
        <f>DATE($C$3,2,1)</f>
        <v>44958</v>
      </c>
      <c r="L4" s="28"/>
      <c r="M4" s="28"/>
      <c r="N4" s="28"/>
      <c r="O4" s="28"/>
      <c r="P4" s="28"/>
      <c r="Q4" s="28"/>
      <c r="R4" s="61"/>
      <c r="S4" s="27">
        <f>DATE($C$3,3,1)</f>
        <v>44986</v>
      </c>
      <c r="T4" s="28"/>
      <c r="U4" s="28"/>
      <c r="V4" s="28"/>
      <c r="W4" s="28"/>
      <c r="X4" s="28"/>
      <c r="Y4" s="28"/>
      <c r="Z4" s="13"/>
    </row>
    <row r="5" spans="2:31" ht="15" customHeight="1" x14ac:dyDescent="0.25">
      <c r="B5" s="12"/>
      <c r="C5" s="31" t="s">
        <v>496</v>
      </c>
      <c r="D5" s="31" t="s">
        <v>497</v>
      </c>
      <c r="E5" s="31" t="s">
        <v>498</v>
      </c>
      <c r="F5" s="31" t="s">
        <v>499</v>
      </c>
      <c r="G5" s="31" t="s">
        <v>500</v>
      </c>
      <c r="H5" s="31" t="s">
        <v>501</v>
      </c>
      <c r="I5" s="31" t="s">
        <v>502</v>
      </c>
      <c r="J5" s="61"/>
      <c r="K5" s="62" t="s">
        <v>496</v>
      </c>
      <c r="L5" s="62" t="s">
        <v>497</v>
      </c>
      <c r="M5" s="62" t="s">
        <v>498</v>
      </c>
      <c r="N5" s="62" t="s">
        <v>499</v>
      </c>
      <c r="O5" s="62" t="s">
        <v>500</v>
      </c>
      <c r="P5" s="62" t="s">
        <v>501</v>
      </c>
      <c r="Q5" s="62" t="s">
        <v>502</v>
      </c>
      <c r="R5" s="61"/>
      <c r="S5" s="62" t="s">
        <v>496</v>
      </c>
      <c r="T5" s="62" t="s">
        <v>497</v>
      </c>
      <c r="U5" s="62" t="s">
        <v>498</v>
      </c>
      <c r="V5" s="62" t="s">
        <v>499</v>
      </c>
      <c r="W5" s="62" t="s">
        <v>500</v>
      </c>
      <c r="X5" s="62" t="s">
        <v>501</v>
      </c>
      <c r="Y5" s="62" t="s">
        <v>502</v>
      </c>
      <c r="Z5" s="13"/>
    </row>
    <row r="6" spans="2:31" ht="15" customHeight="1" x14ac:dyDescent="0.2">
      <c r="B6" s="12"/>
      <c r="C6" s="32">
        <f>IF(WEEKDAY(DATE($C$3,1,1),1)=MOD(1,7),DATE($C$3,1,1),"")</f>
        <v>44927</v>
      </c>
      <c r="D6" s="32">
        <f>IF(C6="",IF(WEEKDAY(DATE($C$3,1,1),1)=MOD(1,7)+1,DATE($C$3,1,1),""),C6+1)</f>
        <v>44928</v>
      </c>
      <c r="E6" s="32">
        <f>IF(D6="",IF(WEEKDAY(DATE($C$3,1,1),1)=MOD(1+1,7)+1,DATE($C$3,1,1),""),D6+1)</f>
        <v>44929</v>
      </c>
      <c r="F6" s="32">
        <f>IF(E6="",IF(WEEKDAY(DATE($C$3,1,1),1)=MOD(1+2,7)+1,DATE($C$3,1,1),""),E6+1)</f>
        <v>44930</v>
      </c>
      <c r="G6" s="32">
        <f>IF(F6="",IF(WEEKDAY(DATE($C$3,1,1),1)=MOD(1+3,7)+1,DATE($C$3,1,1),""),F6+1)</f>
        <v>44931</v>
      </c>
      <c r="H6" s="32">
        <f>IF(G6="",IF(WEEKDAY(DATE($C$3,1,1),1)=MOD(1+4,7)+1,DATE($C$3,1,1),""),G6+1)</f>
        <v>44932</v>
      </c>
      <c r="I6" s="32">
        <f>IF(H6="",IF(WEEKDAY(DATE($C$3,1,1),1)=MOD(1+5,7)+1,DATE($C$3,1,1),""),H6+1)</f>
        <v>44933</v>
      </c>
      <c r="J6" s="61"/>
      <c r="K6" s="32" t="str">
        <f>IF(WEEKDAY(K4,1)=MOD(1,7),K4,"")</f>
        <v/>
      </c>
      <c r="L6" s="32" t="str">
        <f>IF(K6="",IF(WEEKDAY(K4,1)=MOD(1,7)+1,K4,""),K6+1)</f>
        <v/>
      </c>
      <c r="M6" s="32" t="str">
        <f>IF(L6="",IF(WEEKDAY(K4,1)=MOD(1+1,7)+1,K4,""),L6+1)</f>
        <v/>
      </c>
      <c r="N6" s="32">
        <f>IF(M6="",IF(WEEKDAY(K4,1)=MOD(1+2,7)+1,K4,""),M6+1)</f>
        <v>44958</v>
      </c>
      <c r="O6" s="32">
        <f>IF(N6="",IF(WEEKDAY(K4,1)=MOD(1+3,7)+1,K4,""),N6+1)</f>
        <v>44959</v>
      </c>
      <c r="P6" s="32">
        <f>IF(O6="",IF(WEEKDAY(K4,1)=MOD(1+4,7)+1,K4,""),O6+1)</f>
        <v>44960</v>
      </c>
      <c r="Q6" s="32">
        <f>IF(P6="",IF(WEEKDAY(K4,1)=MOD(1+5,7)+1,K4,""),P6+1)</f>
        <v>44961</v>
      </c>
      <c r="R6" s="61"/>
      <c r="S6" s="32" t="str">
        <f>IF(WEEKDAY(S4,1)=MOD(1,7),S4,"")</f>
        <v/>
      </c>
      <c r="T6" s="32" t="str">
        <f>IF(S6="",IF(WEEKDAY(S4,1)=MOD(1,7)+1,S4,""),S6+1)</f>
        <v/>
      </c>
      <c r="U6" s="32" t="str">
        <f>IF(T6="",IF(WEEKDAY(S4,1)=MOD(1+1,7)+1,S4,""),T6+1)</f>
        <v/>
      </c>
      <c r="V6" s="32">
        <f>IF(U6="",IF(WEEKDAY(S4,1)=MOD(1+2,7)+1,S4,""),U6+1)</f>
        <v>44986</v>
      </c>
      <c r="W6" s="32">
        <f>IF(V6="",IF(WEEKDAY(S4,1)=MOD(1+3,7)+1,S4,""),V6+1)</f>
        <v>44987</v>
      </c>
      <c r="X6" s="32">
        <f>IF(W6="",IF(WEEKDAY(S4,1)=MOD(1+4,7)+1,S4,""),W6+1)</f>
        <v>44988</v>
      </c>
      <c r="Y6" s="32">
        <f>IF(X6="",IF(WEEKDAY(S4,1)=MOD(1+5,7)+1,S4,""),X6+1)</f>
        <v>44989</v>
      </c>
      <c r="Z6" s="13"/>
    </row>
    <row r="7" spans="2:31" ht="15" customHeight="1" x14ac:dyDescent="0.2">
      <c r="B7" s="12"/>
      <c r="C7" s="32">
        <f>IF(I6="","",IF(MONTH(I6+1)&lt;&gt;MONTH(I6),"",I6+1))</f>
        <v>44934</v>
      </c>
      <c r="D7" s="32">
        <f>IF(C7="","",IF(MONTH(C7+1)&lt;&gt;MONTH(C7),"",C7+1))</f>
        <v>44935</v>
      </c>
      <c r="E7" s="32">
        <f>IF(D7="","",IF(MONTH(D7+1)&lt;&gt;MONTH(D7),"",D7+1))</f>
        <v>44936</v>
      </c>
      <c r="F7" s="32">
        <f>IF(E7="","",IF(MONTH(E7+1)&lt;&gt;MONTH(E7),"",E7+1))</f>
        <v>44937</v>
      </c>
      <c r="G7" s="32">
        <f>IF(F7="","",IF(MONTH(F7+1)&lt;&gt;MONTH(F7),"",F7+1))</f>
        <v>44938</v>
      </c>
      <c r="H7" s="32">
        <f>IF(G7="","",IF(MONTH(G7+1)&lt;&gt;MONTH(G7),"",G7+1))</f>
        <v>44939</v>
      </c>
      <c r="I7" s="32">
        <f>IF(H7="","",IF(MONTH(H7+1)&lt;&gt;MONTH(H7),"",H7+1))</f>
        <v>44940</v>
      </c>
      <c r="J7" s="61"/>
      <c r="K7" s="32">
        <f>IF(Q6="","",IF(MONTH(Q6+1)&lt;&gt;MONTH(Q6),"",Q6+1))</f>
        <v>44962</v>
      </c>
      <c r="L7" s="32">
        <f>IF(K7="","",IF(MONTH(K7+1)&lt;&gt;MONTH(K7),"",K7+1))</f>
        <v>44963</v>
      </c>
      <c r="M7" s="32">
        <f>IF(L7="","",IF(MONTH(L7+1)&lt;&gt;MONTH(L7),"",L7+1))</f>
        <v>44964</v>
      </c>
      <c r="N7" s="32">
        <f>IF(M7="","",IF(MONTH(M7+1)&lt;&gt;MONTH(M7),"",M7+1))</f>
        <v>44965</v>
      </c>
      <c r="O7" s="32">
        <f>IF(N7="","",IF(MONTH(N7+1)&lt;&gt;MONTH(N7),"",N7+1))</f>
        <v>44966</v>
      </c>
      <c r="P7" s="32">
        <f>IF(O7="","",IF(MONTH(O7+1)&lt;&gt;MONTH(O7),"",O7+1))</f>
        <v>44967</v>
      </c>
      <c r="Q7" s="32">
        <f>IF(P7="","",IF(MONTH(P7+1)&lt;&gt;MONTH(P7),"",P7+1))</f>
        <v>44968</v>
      </c>
      <c r="R7" s="61"/>
      <c r="S7" s="32">
        <f>IF(Y6="","",IF(MONTH(Y6+1)&lt;&gt;MONTH(Y6),"",Y6+1))</f>
        <v>44990</v>
      </c>
      <c r="T7" s="32">
        <f>IF(S7="","",IF(MONTH(S7+1)&lt;&gt;MONTH(S7),"",S7+1))</f>
        <v>44991</v>
      </c>
      <c r="U7" s="32">
        <f>IF(T7="","",IF(MONTH(T7+1)&lt;&gt;MONTH(T7),"",T7+1))</f>
        <v>44992</v>
      </c>
      <c r="V7" s="32">
        <f>IF(U7="","",IF(MONTH(U7+1)&lt;&gt;MONTH(U7),"",U7+1))</f>
        <v>44993</v>
      </c>
      <c r="W7" s="32">
        <f>IF(V7="","",IF(MONTH(V7+1)&lt;&gt;MONTH(V7),"",V7+1))</f>
        <v>44994</v>
      </c>
      <c r="X7" s="32">
        <f>IF(W7="","",IF(MONTH(W7+1)&lt;&gt;MONTH(W7),"",W7+1))</f>
        <v>44995</v>
      </c>
      <c r="Y7" s="32">
        <f>IF(X7="","",IF(MONTH(X7+1)&lt;&gt;MONTH(X7),"",X7+1))</f>
        <v>44996</v>
      </c>
      <c r="Z7" s="13"/>
    </row>
    <row r="8" spans="2:31" ht="15" customHeight="1" x14ac:dyDescent="0.2">
      <c r="B8" s="12"/>
      <c r="C8" s="32">
        <f>IF(I7="","",IF(MONTH(I7+1)&lt;&gt;MONTH(I7),"",I7+1))</f>
        <v>44941</v>
      </c>
      <c r="D8" s="32">
        <f>IF(C8="","",IF(MONTH(C8+1)&lt;&gt;MONTH(C8),"",C8+1))</f>
        <v>44942</v>
      </c>
      <c r="E8" s="32">
        <f>IF(D8="","",IF(MONTH(D8+1)&lt;&gt;MONTH(D8),"",D8+1))</f>
        <v>44943</v>
      </c>
      <c r="F8" s="32">
        <f>IF(E8="","",IF(MONTH(E8+1)&lt;&gt;MONTH(E8),"",E8+1))</f>
        <v>44944</v>
      </c>
      <c r="G8" s="32">
        <f>IF(F8="","",IF(MONTH(F8+1)&lt;&gt;MONTH(F8),"",F8+1))</f>
        <v>44945</v>
      </c>
      <c r="H8" s="32">
        <f>IF(G8="","",IF(MONTH(G8+1)&lt;&gt;MONTH(G8),"",G8+1))</f>
        <v>44946</v>
      </c>
      <c r="I8" s="32">
        <f>IF(H8="","",IF(MONTH(H8+1)&lt;&gt;MONTH(H8),"",H8+1))</f>
        <v>44947</v>
      </c>
      <c r="J8" s="61"/>
      <c r="K8" s="32">
        <f>IF(Q7="","",IF(MONTH(Q7+1)&lt;&gt;MONTH(Q7),"",Q7+1))</f>
        <v>44969</v>
      </c>
      <c r="L8" s="32">
        <f>IF(K8="","",IF(MONTH(K8+1)&lt;&gt;MONTH(K8),"",K8+1))</f>
        <v>44970</v>
      </c>
      <c r="M8" s="32">
        <f>IF(L8="","",IF(MONTH(L8+1)&lt;&gt;MONTH(L8),"",L8+1))</f>
        <v>44971</v>
      </c>
      <c r="N8" s="32">
        <f>IF(M8="","",IF(MONTH(M8+1)&lt;&gt;MONTH(M8),"",M8+1))</f>
        <v>44972</v>
      </c>
      <c r="O8" s="32">
        <f>IF(N8="","",IF(MONTH(N8+1)&lt;&gt;MONTH(N8),"",N8+1))</f>
        <v>44973</v>
      </c>
      <c r="P8" s="32">
        <f>IF(O8="","",IF(MONTH(O8+1)&lt;&gt;MONTH(O8),"",O8+1))</f>
        <v>44974</v>
      </c>
      <c r="Q8" s="32">
        <f>IF(P8="","",IF(MONTH(P8+1)&lt;&gt;MONTH(P8),"",P8+1))</f>
        <v>44975</v>
      </c>
      <c r="R8" s="61"/>
      <c r="S8" s="32">
        <f>IF(Y7="","",IF(MONTH(Y7+1)&lt;&gt;MONTH(Y7),"",Y7+1))</f>
        <v>44997</v>
      </c>
      <c r="T8" s="32">
        <f>IF(S8="","",IF(MONTH(S8+1)&lt;&gt;MONTH(S8),"",S8+1))</f>
        <v>44998</v>
      </c>
      <c r="U8" s="32">
        <f>IF(T8="","",IF(MONTH(T8+1)&lt;&gt;MONTH(T8),"",T8+1))</f>
        <v>44999</v>
      </c>
      <c r="V8" s="32">
        <f>IF(U8="","",IF(MONTH(U8+1)&lt;&gt;MONTH(U8),"",U8+1))</f>
        <v>45000</v>
      </c>
      <c r="W8" s="32">
        <f>IF(V8="","",IF(MONTH(V8+1)&lt;&gt;MONTH(V8),"",V8+1))</f>
        <v>45001</v>
      </c>
      <c r="X8" s="32">
        <f>IF(W8="","",IF(MONTH(W8+1)&lt;&gt;MONTH(W8),"",W8+1))</f>
        <v>45002</v>
      </c>
      <c r="Y8" s="32">
        <f>IF(X8="","",IF(MONTH(X8+1)&lt;&gt;MONTH(X8),"",X8+1))</f>
        <v>45003</v>
      </c>
      <c r="Z8" s="13"/>
    </row>
    <row r="9" spans="2:31" ht="15" customHeight="1" x14ac:dyDescent="0.2">
      <c r="B9" s="12"/>
      <c r="C9" s="32">
        <f>IF(I8="","",IF(MONTH(I8+1)&lt;&gt;MONTH(I8),"",I8+1))</f>
        <v>44948</v>
      </c>
      <c r="D9" s="32">
        <f>IF(C9="","",IF(MONTH(C9+1)&lt;&gt;MONTH(C9),"",C9+1))</f>
        <v>44949</v>
      </c>
      <c r="E9" s="32">
        <f>IF(D9="","",IF(MONTH(D9+1)&lt;&gt;MONTH(D9),"",D9+1))</f>
        <v>44950</v>
      </c>
      <c r="F9" s="32">
        <f>IF(E9="","",IF(MONTH(E9+1)&lt;&gt;MONTH(E9),"",E9+1))</f>
        <v>44951</v>
      </c>
      <c r="G9" s="32">
        <f>IF(F9="","",IF(MONTH(F9+1)&lt;&gt;MONTH(F9),"",F9+1))</f>
        <v>44952</v>
      </c>
      <c r="H9" s="32">
        <f>IF(G9="","",IF(MONTH(G9+1)&lt;&gt;MONTH(G9),"",G9+1))</f>
        <v>44953</v>
      </c>
      <c r="I9" s="32">
        <f>IF(H9="","",IF(MONTH(H9+1)&lt;&gt;MONTH(H9),"",H9+1))</f>
        <v>44954</v>
      </c>
      <c r="J9" s="61"/>
      <c r="K9" s="32">
        <f>IF(Q8="","",IF(MONTH(Q8+1)&lt;&gt;MONTH(Q8),"",Q8+1))</f>
        <v>44976</v>
      </c>
      <c r="L9" s="32">
        <f>IF(K9="","",IF(MONTH(K9+1)&lt;&gt;MONTH(K9),"",K9+1))</f>
        <v>44977</v>
      </c>
      <c r="M9" s="32">
        <f>IF(L9="","",IF(MONTH(L9+1)&lt;&gt;MONTH(L9),"",L9+1))</f>
        <v>44978</v>
      </c>
      <c r="N9" s="32">
        <f>IF(M9="","",IF(MONTH(M9+1)&lt;&gt;MONTH(M9),"",M9+1))</f>
        <v>44979</v>
      </c>
      <c r="O9" s="32">
        <f>IF(N9="","",IF(MONTH(N9+1)&lt;&gt;MONTH(N9),"",N9+1))</f>
        <v>44980</v>
      </c>
      <c r="P9" s="32">
        <f>IF(O9="","",IF(MONTH(O9+1)&lt;&gt;MONTH(O9),"",O9+1))</f>
        <v>44981</v>
      </c>
      <c r="Q9" s="32">
        <f>IF(P9="","",IF(MONTH(P9+1)&lt;&gt;MONTH(P9),"",P9+1))</f>
        <v>44982</v>
      </c>
      <c r="R9" s="61"/>
      <c r="S9" s="32">
        <f>IF(Y8="","",IF(MONTH(Y8+1)&lt;&gt;MONTH(Y8),"",Y8+1))</f>
        <v>45004</v>
      </c>
      <c r="T9" s="32">
        <f>IF(S9="","",IF(MONTH(S9+1)&lt;&gt;MONTH(S9),"",S9+1))</f>
        <v>45005</v>
      </c>
      <c r="U9" s="32">
        <f>IF(T9="","",IF(MONTH(T9+1)&lt;&gt;MONTH(T9),"",T9+1))</f>
        <v>45006</v>
      </c>
      <c r="V9" s="32">
        <f>IF(U9="","",IF(MONTH(U9+1)&lt;&gt;MONTH(U9),"",U9+1))</f>
        <v>45007</v>
      </c>
      <c r="W9" s="32">
        <f>IF(V9="","",IF(MONTH(V9+1)&lt;&gt;MONTH(V9),"",V9+1))</f>
        <v>45008</v>
      </c>
      <c r="X9" s="32">
        <f>IF(W9="","",IF(MONTH(W9+1)&lt;&gt;MONTH(W9),"",W9+1))</f>
        <v>45009</v>
      </c>
      <c r="Y9" s="32">
        <f>IF(X9="","",IF(MONTH(X9+1)&lt;&gt;MONTH(X9),"",X9+1))</f>
        <v>45010</v>
      </c>
      <c r="Z9" s="13"/>
    </row>
    <row r="10" spans="2:31" ht="15" customHeight="1" x14ac:dyDescent="0.2">
      <c r="B10" s="12"/>
      <c r="C10" s="32">
        <f>IF(I9="","",IF(MONTH(I9+1)&lt;&gt;MONTH(I9),"",I9+1))</f>
        <v>44955</v>
      </c>
      <c r="D10" s="32">
        <f>IF(C10="","",IF(MONTH(C10+1)&lt;&gt;MONTH(C10),"",C10+1))</f>
        <v>44956</v>
      </c>
      <c r="E10" s="32">
        <f>IF(D10="","",IF(MONTH(D10+1)&lt;&gt;MONTH(D10),"",D10+1))</f>
        <v>44957</v>
      </c>
      <c r="F10" s="32" t="str">
        <f>IF(E10="","",IF(MONTH(E10+1)&lt;&gt;MONTH(E10),"",E10+1))</f>
        <v/>
      </c>
      <c r="G10" s="32" t="str">
        <f>IF(F10="","",IF(MONTH(F10+1)&lt;&gt;MONTH(F10),"",F10+1))</f>
        <v/>
      </c>
      <c r="H10" s="32" t="str">
        <f>IF(G10="","",IF(MONTH(G10+1)&lt;&gt;MONTH(G10),"",G10+1))</f>
        <v/>
      </c>
      <c r="I10" s="32" t="str">
        <f>IF(H10="","",IF(MONTH(H10+1)&lt;&gt;MONTH(H10),"",H10+1))</f>
        <v/>
      </c>
      <c r="J10" s="61"/>
      <c r="K10" s="32">
        <f>IF(Q9="","",IF(MONTH(Q9+1)&lt;&gt;MONTH(Q9),"",Q9+1))</f>
        <v>44983</v>
      </c>
      <c r="L10" s="32">
        <f>IF(K10="","",IF(MONTH(K10+1)&lt;&gt;MONTH(K10),"",K10+1))</f>
        <v>44984</v>
      </c>
      <c r="M10" s="32">
        <f>IF(L10="","",IF(MONTH(L10+1)&lt;&gt;MONTH(L10),"",L10+1))</f>
        <v>44985</v>
      </c>
      <c r="N10" s="32" t="str">
        <f>IF(M10="","",IF(MONTH(M10+1)&lt;&gt;MONTH(M10),"",M10+1))</f>
        <v/>
      </c>
      <c r="O10" s="32" t="str">
        <f>IF(N10="","",IF(MONTH(N10+1)&lt;&gt;MONTH(N10),"",N10+1))</f>
        <v/>
      </c>
      <c r="P10" s="32" t="str">
        <f>IF(O10="","",IF(MONTH(O10+1)&lt;&gt;MONTH(O10),"",O10+1))</f>
        <v/>
      </c>
      <c r="Q10" s="32" t="str">
        <f>IF(P10="","",IF(MONTH(P10+1)&lt;&gt;MONTH(P10),"",P10+1))</f>
        <v/>
      </c>
      <c r="R10" s="61"/>
      <c r="S10" s="32">
        <f>IF(Y9="","",IF(MONTH(Y9+1)&lt;&gt;MONTH(Y9),"",Y9+1))</f>
        <v>45011</v>
      </c>
      <c r="T10" s="32">
        <f>IF(S10="","",IF(MONTH(S10+1)&lt;&gt;MONTH(S10),"",S10+1))</f>
        <v>45012</v>
      </c>
      <c r="U10" s="32">
        <f>IF(T10="","",IF(MONTH(T10+1)&lt;&gt;MONTH(T10),"",T10+1))</f>
        <v>45013</v>
      </c>
      <c r="V10" s="32">
        <f>IF(U10="","",IF(MONTH(U10+1)&lt;&gt;MONTH(U10),"",U10+1))</f>
        <v>45014</v>
      </c>
      <c r="W10" s="32">
        <f>IF(V10="","",IF(MONTH(V10+1)&lt;&gt;MONTH(V10),"",V10+1))</f>
        <v>45015</v>
      </c>
      <c r="X10" s="32">
        <f>IF(W10="","",IF(MONTH(W10+1)&lt;&gt;MONTH(W10),"",W10+1))</f>
        <v>45016</v>
      </c>
      <c r="Y10" s="32" t="str">
        <f>IF(X10="","",IF(MONTH(X10+1)&lt;&gt;MONTH(X10),"",X10+1))</f>
        <v/>
      </c>
      <c r="Z10" s="13"/>
    </row>
    <row r="11" spans="2:31" ht="15" customHeight="1" x14ac:dyDescent="0.2">
      <c r="B11" s="12"/>
      <c r="C11" s="32" t="str">
        <f>IF(I10="","",IF(MONTH(I10+1)&lt;&gt;MONTH(I10),"",I10+1))</f>
        <v/>
      </c>
      <c r="D11" s="32" t="str">
        <f>IF(C11="","",IF(MONTH(C11+1)&lt;&gt;MONTH(C11),"",C11+1))</f>
        <v/>
      </c>
      <c r="E11" s="32" t="str">
        <f>IF(D11="","",IF(MONTH(D11+1)&lt;&gt;MONTH(D11),"",D11+1))</f>
        <v/>
      </c>
      <c r="F11" s="32" t="str">
        <f>IF(E11="","",IF(MONTH(E11+1)&lt;&gt;MONTH(E11),"",E11+1))</f>
        <v/>
      </c>
      <c r="G11" s="32" t="str">
        <f>IF(F11="","",IF(MONTH(F11+1)&lt;&gt;MONTH(F11),"",F11+1))</f>
        <v/>
      </c>
      <c r="H11" s="32" t="str">
        <f>IF(G11="","",IF(MONTH(G11+1)&lt;&gt;MONTH(G11),"",G11+1))</f>
        <v/>
      </c>
      <c r="I11" s="32" t="str">
        <f>IF(H11="","",IF(MONTH(H11+1)&lt;&gt;MONTH(H11),"",H11+1))</f>
        <v/>
      </c>
      <c r="J11" s="61"/>
      <c r="K11" s="32" t="str">
        <f>IF(Q10="","",IF(MONTH(Q10+1)&lt;&gt;MONTH(Q10),"",Q10+1))</f>
        <v/>
      </c>
      <c r="L11" s="32" t="str">
        <f>IF(K11="","",IF(MONTH(K11+1)&lt;&gt;MONTH(K11),"",K11+1))</f>
        <v/>
      </c>
      <c r="M11" s="32" t="str">
        <f>IF(L11="","",IF(MONTH(L11+1)&lt;&gt;MONTH(L11),"",L11+1))</f>
        <v/>
      </c>
      <c r="N11" s="32" t="str">
        <f>IF(M11="","",IF(MONTH(M11+1)&lt;&gt;MONTH(M11),"",M11+1))</f>
        <v/>
      </c>
      <c r="O11" s="32" t="str">
        <f>IF(N11="","",IF(MONTH(N11+1)&lt;&gt;MONTH(N11),"",N11+1))</f>
        <v/>
      </c>
      <c r="P11" s="32" t="str">
        <f>IF(O11="","",IF(MONTH(O11+1)&lt;&gt;MONTH(O11),"",O11+1))</f>
        <v/>
      </c>
      <c r="Q11" s="32" t="str">
        <f>IF(P11="","",IF(MONTH(P11+1)&lt;&gt;MONTH(P11),"",P11+1))</f>
        <v/>
      </c>
      <c r="R11" s="61"/>
      <c r="S11" s="32" t="str">
        <f>IF(Y10="","",IF(MONTH(Y10+1)&lt;&gt;MONTH(Y10),"",Y10+1))</f>
        <v/>
      </c>
      <c r="T11" s="32" t="str">
        <f>IF(S11="","",IF(MONTH(S11+1)&lt;&gt;MONTH(S11),"",S11+1))</f>
        <v/>
      </c>
      <c r="U11" s="32" t="str">
        <f>IF(T11="","",IF(MONTH(T11+1)&lt;&gt;MONTH(T11),"",T11+1))</f>
        <v/>
      </c>
      <c r="V11" s="32" t="str">
        <f>IF(U11="","",IF(MONTH(U11+1)&lt;&gt;MONTH(U11),"",U11+1))</f>
        <v/>
      </c>
      <c r="W11" s="32" t="str">
        <f>IF(V11="","",IF(MONTH(V11+1)&lt;&gt;MONTH(V11),"",V11+1))</f>
        <v/>
      </c>
      <c r="X11" s="32" t="str">
        <f>IF(W11="","",IF(MONTH(W11+1)&lt;&gt;MONTH(W11),"",W11+1))</f>
        <v/>
      </c>
      <c r="Y11" s="32" t="str">
        <f>IF(X11="","",IF(MONTH(X11+1)&lt;&gt;MONTH(X11),"",X11+1))</f>
        <v/>
      </c>
      <c r="Z11" s="13"/>
    </row>
    <row r="12" spans="2:31" ht="15" customHeight="1" x14ac:dyDescent="0.2">
      <c r="B12" s="12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13"/>
    </row>
    <row r="13" spans="2:31" ht="15" customHeight="1" x14ac:dyDescent="0.25">
      <c r="B13" s="12"/>
      <c r="C13" s="33">
        <f>DATE($C$3,4,1)</f>
        <v>45017</v>
      </c>
      <c r="D13" s="34"/>
      <c r="E13" s="34"/>
      <c r="F13" s="34"/>
      <c r="G13" s="34"/>
      <c r="H13" s="34"/>
      <c r="I13" s="34"/>
      <c r="J13" s="61"/>
      <c r="K13" s="33">
        <f>DATE($C$3,5,1)</f>
        <v>45047</v>
      </c>
      <c r="L13" s="34"/>
      <c r="M13" s="34"/>
      <c r="N13" s="34"/>
      <c r="O13" s="34"/>
      <c r="P13" s="34"/>
      <c r="Q13" s="34"/>
      <c r="R13" s="61"/>
      <c r="S13" s="33">
        <f>DATE($C$3,6,1)</f>
        <v>45078</v>
      </c>
      <c r="T13" s="34"/>
      <c r="U13" s="34"/>
      <c r="V13" s="34"/>
      <c r="W13" s="34"/>
      <c r="X13" s="34"/>
      <c r="Y13" s="34"/>
      <c r="Z13" s="13"/>
    </row>
    <row r="14" spans="2:31" ht="15" customHeight="1" x14ac:dyDescent="0.25">
      <c r="B14" s="12"/>
      <c r="C14" s="62" t="s">
        <v>496</v>
      </c>
      <c r="D14" s="62" t="s">
        <v>497</v>
      </c>
      <c r="E14" s="62" t="s">
        <v>498</v>
      </c>
      <c r="F14" s="62" t="s">
        <v>499</v>
      </c>
      <c r="G14" s="62" t="s">
        <v>500</v>
      </c>
      <c r="H14" s="62" t="s">
        <v>501</v>
      </c>
      <c r="I14" s="62" t="s">
        <v>502</v>
      </c>
      <c r="J14" s="61"/>
      <c r="K14" s="62" t="s">
        <v>496</v>
      </c>
      <c r="L14" s="62" t="s">
        <v>497</v>
      </c>
      <c r="M14" s="62" t="s">
        <v>498</v>
      </c>
      <c r="N14" s="62" t="s">
        <v>499</v>
      </c>
      <c r="O14" s="62" t="s">
        <v>500</v>
      </c>
      <c r="P14" s="62" t="s">
        <v>501</v>
      </c>
      <c r="Q14" s="62" t="s">
        <v>502</v>
      </c>
      <c r="R14" s="61"/>
      <c r="S14" s="62" t="s">
        <v>496</v>
      </c>
      <c r="T14" s="62" t="s">
        <v>497</v>
      </c>
      <c r="U14" s="62" t="s">
        <v>498</v>
      </c>
      <c r="V14" s="62" t="s">
        <v>499</v>
      </c>
      <c r="W14" s="62" t="s">
        <v>500</v>
      </c>
      <c r="X14" s="62" t="s">
        <v>501</v>
      </c>
      <c r="Y14" s="62" t="s">
        <v>502</v>
      </c>
      <c r="Z14" s="13"/>
    </row>
    <row r="15" spans="2:31" ht="15" customHeight="1" x14ac:dyDescent="0.2">
      <c r="B15" s="12"/>
      <c r="C15" s="32" t="str">
        <f>IF(WEEKDAY(C13,1)=MOD(1,7),C13,"")</f>
        <v/>
      </c>
      <c r="D15" s="32" t="str">
        <f>IF(C15="",IF(WEEKDAY(C13,1)=MOD(1,7)+1,C13,""),C15+1)</f>
        <v/>
      </c>
      <c r="E15" s="32" t="str">
        <f>IF(D15="",IF(WEEKDAY(C13,1)=MOD(1+1,7)+1,C13,""),D15+1)</f>
        <v/>
      </c>
      <c r="F15" s="32" t="str">
        <f>IF(E15="",IF(WEEKDAY(C13,1)=MOD(1+2,7)+1,C13,""),E15+1)</f>
        <v/>
      </c>
      <c r="G15" s="32" t="str">
        <f>IF(F15="",IF(WEEKDAY(C13,1)=MOD(1+3,7)+1,C13,""),F15+1)</f>
        <v/>
      </c>
      <c r="H15" s="32" t="str">
        <f>IF(G15="",IF(WEEKDAY(C13,1)=MOD(1+4,7)+1,C13,""),G15+1)</f>
        <v/>
      </c>
      <c r="I15" s="32">
        <f>IF(H15="",IF(WEEKDAY(C13,1)=MOD(1+5,7)+1,C13,""),H15+1)</f>
        <v>45017</v>
      </c>
      <c r="J15" s="61"/>
      <c r="K15" s="32" t="str">
        <f>IF(WEEKDAY(K13,1)=MOD(1,7),K13,"")</f>
        <v/>
      </c>
      <c r="L15" s="32">
        <f>IF(K15="",IF(WEEKDAY(K13,1)=MOD(1,7)+1,K13,""),K15+1)</f>
        <v>45047</v>
      </c>
      <c r="M15" s="32">
        <f>IF(L15="",IF(WEEKDAY(K13,1)=MOD(1+1,7)+1,K13,""),L15+1)</f>
        <v>45048</v>
      </c>
      <c r="N15" s="32">
        <f>IF(M15="",IF(WEEKDAY(K13,1)=MOD(1+2,7)+1,K13,""),M15+1)</f>
        <v>45049</v>
      </c>
      <c r="O15" s="32">
        <f>IF(N15="",IF(WEEKDAY(K13,1)=MOD(1+3,7)+1,K13,""),N15+1)</f>
        <v>45050</v>
      </c>
      <c r="P15" s="32">
        <f>IF(O15="",IF(WEEKDAY(K13,1)=MOD(1+4,7)+1,K13,""),O15+1)</f>
        <v>45051</v>
      </c>
      <c r="Q15" s="32">
        <f>IF(P15="",IF(WEEKDAY(K13,1)=MOD(1+5,7)+1,K13,""),P15+1)</f>
        <v>45052</v>
      </c>
      <c r="R15" s="61"/>
      <c r="S15" s="32" t="str">
        <f>IF(WEEKDAY(S13,1)=MOD(1,7),S13,"")</f>
        <v/>
      </c>
      <c r="T15" s="32" t="str">
        <f>IF(S15="",IF(WEEKDAY(S13,1)=MOD(1,7)+1,S13,""),S15+1)</f>
        <v/>
      </c>
      <c r="U15" s="32" t="str">
        <f>IF(T15="",IF(WEEKDAY(S13,1)=MOD(1+1,7)+1,S13,""),T15+1)</f>
        <v/>
      </c>
      <c r="V15" s="32" t="str">
        <f>IF(U15="",IF(WEEKDAY(S13,1)=MOD(1+2,7)+1,S13,""),U15+1)</f>
        <v/>
      </c>
      <c r="W15" s="32">
        <f>IF(V15="",IF(WEEKDAY(S13,1)=MOD(1+3,7)+1,S13,""),V15+1)</f>
        <v>45078</v>
      </c>
      <c r="X15" s="32">
        <f>IF(W15="",IF(WEEKDAY(S13,1)=MOD(1+4,7)+1,S13,""),W15+1)</f>
        <v>45079</v>
      </c>
      <c r="Y15" s="32">
        <f>IF(X15="",IF(WEEKDAY(S13,1)=MOD(1+5,7)+1,S13,""),X15+1)</f>
        <v>45080</v>
      </c>
      <c r="Z15" s="13"/>
    </row>
    <row r="16" spans="2:31" ht="15" customHeight="1" x14ac:dyDescent="0.25">
      <c r="B16" s="12"/>
      <c r="C16" s="32">
        <f>IF(I15="","",IF(MONTH(I15+1)&lt;&gt;MONTH(I15),"",I15+1))</f>
        <v>45018</v>
      </c>
      <c r="D16" s="32">
        <f>IF(C16="","",IF(MONTH(C16+1)&lt;&gt;MONTH(C16),"",C16+1))</f>
        <v>45019</v>
      </c>
      <c r="E16" s="32">
        <f>IF(D16="","",IF(MONTH(D16+1)&lt;&gt;MONTH(D16),"",D16+1))</f>
        <v>45020</v>
      </c>
      <c r="F16" s="32">
        <f>IF(E16="","",IF(MONTH(E16+1)&lt;&gt;MONTH(E16),"",E16+1))</f>
        <v>45021</v>
      </c>
      <c r="G16" s="32">
        <f>IF(F16="","",IF(MONTH(F16+1)&lt;&gt;MONTH(F16),"",F16+1))</f>
        <v>45022</v>
      </c>
      <c r="H16" s="32">
        <f>IF(G16="","",IF(MONTH(G16+1)&lt;&gt;MONTH(G16),"",G16+1))</f>
        <v>45023</v>
      </c>
      <c r="I16" s="32">
        <f>IF(H16="","",IF(MONTH(H16+1)&lt;&gt;MONTH(H16),"",H16+1))</f>
        <v>45024</v>
      </c>
      <c r="J16" s="61"/>
      <c r="K16" s="32">
        <f>IF(Q15="","",IF(MONTH(Q15+1)&lt;&gt;MONTH(Q15),"",Q15+1))</f>
        <v>45053</v>
      </c>
      <c r="L16" s="32">
        <f>IF(K16="","",IF(MONTH(K16+1)&lt;&gt;MONTH(K16),"",K16+1))</f>
        <v>45054</v>
      </c>
      <c r="M16" s="32">
        <f>IF(L16="","",IF(MONTH(L16+1)&lt;&gt;MONTH(L16),"",L16+1))</f>
        <v>45055</v>
      </c>
      <c r="N16" s="32">
        <f>IF(M16="","",IF(MONTH(M16+1)&lt;&gt;MONTH(M16),"",M16+1))</f>
        <v>45056</v>
      </c>
      <c r="O16" s="32">
        <f>IF(N16="","",IF(MONTH(N16+1)&lt;&gt;MONTH(N16),"",N16+1))</f>
        <v>45057</v>
      </c>
      <c r="P16" s="32">
        <f>IF(O16="","",IF(MONTH(O16+1)&lt;&gt;MONTH(O16),"",O16+1))</f>
        <v>45058</v>
      </c>
      <c r="Q16" s="32">
        <f>IF(P16="","",IF(MONTH(P16+1)&lt;&gt;MONTH(P16),"",P16+1))</f>
        <v>45059</v>
      </c>
      <c r="R16" s="61"/>
      <c r="S16" s="32">
        <f>IF(Y15="","",IF(MONTH(Y15+1)&lt;&gt;MONTH(Y15),"",Y15+1))</f>
        <v>45081</v>
      </c>
      <c r="T16" s="32">
        <f>IF(S16="","",IF(MONTH(S16+1)&lt;&gt;MONTH(S16),"",S16+1))</f>
        <v>45082</v>
      </c>
      <c r="U16" s="32">
        <f>IF(T16="","",IF(MONTH(T16+1)&lt;&gt;MONTH(T16),"",T16+1))</f>
        <v>45083</v>
      </c>
      <c r="V16" s="32">
        <f>IF(U16="","",IF(MONTH(U16+1)&lt;&gt;MONTH(U16),"",U16+1))</f>
        <v>45084</v>
      </c>
      <c r="W16" s="32">
        <f>IF(V16="","",IF(MONTH(V16+1)&lt;&gt;MONTH(V16),"",V16+1))</f>
        <v>45085</v>
      </c>
      <c r="X16" s="32">
        <f>IF(W16="","",IF(MONTH(W16+1)&lt;&gt;MONTH(W16),"",W16+1))</f>
        <v>45086</v>
      </c>
      <c r="Y16" s="32">
        <f>IF(X16="","",IF(MONTH(X16+1)&lt;&gt;MONTH(X16),"",X16+1))</f>
        <v>45087</v>
      </c>
      <c r="Z16" s="13"/>
      <c r="AB16" s="36" t="s">
        <v>503</v>
      </c>
      <c r="AC16" s="36" t="s">
        <v>504</v>
      </c>
      <c r="AD16" s="36" t="s">
        <v>505</v>
      </c>
      <c r="AE16" s="36" t="s">
        <v>287</v>
      </c>
    </row>
    <row r="17" spans="2:31" ht="15" customHeight="1" x14ac:dyDescent="0.2">
      <c r="B17" s="12"/>
      <c r="C17" s="32">
        <f>IF(I16="","",IF(MONTH(I16+1)&lt;&gt;MONTH(I16),"",I16+1))</f>
        <v>45025</v>
      </c>
      <c r="D17" s="32">
        <f>IF(C17="","",IF(MONTH(C17+1)&lt;&gt;MONTH(C17),"",C17+1))</f>
        <v>45026</v>
      </c>
      <c r="E17" s="32">
        <f>IF(D17="","",IF(MONTH(D17+1)&lt;&gt;MONTH(D17),"",D17+1))</f>
        <v>45027</v>
      </c>
      <c r="F17" s="32">
        <f>IF(E17="","",IF(MONTH(E17+1)&lt;&gt;MONTH(E17),"",E17+1))</f>
        <v>45028</v>
      </c>
      <c r="G17" s="32">
        <f>IF(F17="","",IF(MONTH(F17+1)&lt;&gt;MONTH(F17),"",F17+1))</f>
        <v>45029</v>
      </c>
      <c r="H17" s="32">
        <f>IF(G17="","",IF(MONTH(G17+1)&lt;&gt;MONTH(G17),"",G17+1))</f>
        <v>45030</v>
      </c>
      <c r="I17" s="32">
        <f>IF(H17="","",IF(MONTH(H17+1)&lt;&gt;MONTH(H17),"",H17+1))</f>
        <v>45031</v>
      </c>
      <c r="J17" s="61"/>
      <c r="K17" s="32">
        <f>IF(Q16="","",IF(MONTH(Q16+1)&lt;&gt;MONTH(Q16),"",Q16+1))</f>
        <v>45060</v>
      </c>
      <c r="L17" s="32">
        <f>IF(K17="","",IF(MONTH(K17+1)&lt;&gt;MONTH(K17),"",K17+1))</f>
        <v>45061</v>
      </c>
      <c r="M17" s="32">
        <f>IF(L17="","",IF(MONTH(L17+1)&lt;&gt;MONTH(L17),"",L17+1))</f>
        <v>45062</v>
      </c>
      <c r="N17" s="32">
        <f>IF(M17="","",IF(MONTH(M17+1)&lt;&gt;MONTH(M17),"",M17+1))</f>
        <v>45063</v>
      </c>
      <c r="O17" s="32">
        <f>IF(N17="","",IF(MONTH(N17+1)&lt;&gt;MONTH(N17),"",N17+1))</f>
        <v>45064</v>
      </c>
      <c r="P17" s="32">
        <f>IF(O17="","",IF(MONTH(O17+1)&lt;&gt;MONTH(O17),"",O17+1))</f>
        <v>45065</v>
      </c>
      <c r="Q17" s="32">
        <f>IF(P17="","",IF(MONTH(P17+1)&lt;&gt;MONTH(P17),"",P17+1))</f>
        <v>45066</v>
      </c>
      <c r="R17" s="61"/>
      <c r="S17" s="32">
        <f>IF(Y16="","",IF(MONTH(Y16+1)&lt;&gt;MONTH(Y16),"",Y16+1))</f>
        <v>45088</v>
      </c>
      <c r="T17" s="32">
        <f>IF(S17="","",IF(MONTH(S17+1)&lt;&gt;MONTH(S17),"",S17+1))</f>
        <v>45089</v>
      </c>
      <c r="U17" s="32">
        <f>IF(T17="","",IF(MONTH(T17+1)&lt;&gt;MONTH(T17),"",T17+1))</f>
        <v>45090</v>
      </c>
      <c r="V17" s="32">
        <f>IF(U17="","",IF(MONTH(U17+1)&lt;&gt;MONTH(U17),"",U17+1))</f>
        <v>45091</v>
      </c>
      <c r="W17" s="32">
        <f>IF(V17="","",IF(MONTH(V17+1)&lt;&gt;MONTH(V17),"",V17+1))</f>
        <v>45092</v>
      </c>
      <c r="X17" s="32">
        <f>IF(W17="","",IF(MONTH(W17+1)&lt;&gt;MONTH(W17),"",W17+1))</f>
        <v>45093</v>
      </c>
      <c r="Y17" s="32">
        <f>IF(X17="","",IF(MONTH(X17+1)&lt;&gt;MONTH(X17),"",X17+1))</f>
        <v>45094</v>
      </c>
      <c r="Z17" s="13"/>
      <c r="AB17" s="63" t="s">
        <v>506</v>
      </c>
      <c r="AC17" s="46">
        <v>9358</v>
      </c>
      <c r="AD17" s="64" t="s">
        <v>743</v>
      </c>
      <c r="AE17" s="63" t="s">
        <v>40</v>
      </c>
    </row>
    <row r="18" spans="2:31" ht="15" customHeight="1" x14ac:dyDescent="0.2">
      <c r="B18" s="12"/>
      <c r="C18" s="32">
        <f>IF(I17="","",IF(MONTH(I17+1)&lt;&gt;MONTH(I17),"",I17+1))</f>
        <v>45032</v>
      </c>
      <c r="D18" s="32">
        <f>IF(C18="","",IF(MONTH(C18+1)&lt;&gt;MONTH(C18),"",C18+1))</f>
        <v>45033</v>
      </c>
      <c r="E18" s="32">
        <f>IF(D18="","",IF(MONTH(D18+1)&lt;&gt;MONTH(D18),"",D18+1))</f>
        <v>45034</v>
      </c>
      <c r="F18" s="32">
        <f>IF(E18="","",IF(MONTH(E18+1)&lt;&gt;MONTH(E18),"",E18+1))</f>
        <v>45035</v>
      </c>
      <c r="G18" s="32">
        <f>IF(F18="","",IF(MONTH(F18+1)&lt;&gt;MONTH(F18),"",F18+1))</f>
        <v>45036</v>
      </c>
      <c r="H18" s="32">
        <f>IF(G18="","",IF(MONTH(G18+1)&lt;&gt;MONTH(G18),"",G18+1))</f>
        <v>45037</v>
      </c>
      <c r="I18" s="32">
        <f>IF(H18="","",IF(MONTH(H18+1)&lt;&gt;MONTH(H18),"",H18+1))</f>
        <v>45038</v>
      </c>
      <c r="J18" s="61"/>
      <c r="K18" s="32">
        <f>IF(Q17="","",IF(MONTH(Q17+1)&lt;&gt;MONTH(Q17),"",Q17+1))</f>
        <v>45067</v>
      </c>
      <c r="L18" s="32">
        <f>IF(K18="","",IF(MONTH(K18+1)&lt;&gt;MONTH(K18),"",K18+1))</f>
        <v>45068</v>
      </c>
      <c r="M18" s="32">
        <f>IF(L18="","",IF(MONTH(L18+1)&lt;&gt;MONTH(L18),"",L18+1))</f>
        <v>45069</v>
      </c>
      <c r="N18" s="32">
        <f>IF(M18="","",IF(MONTH(M18+1)&lt;&gt;MONTH(M18),"",M18+1))</f>
        <v>45070</v>
      </c>
      <c r="O18" s="32">
        <f>IF(N18="","",IF(MONTH(N18+1)&lt;&gt;MONTH(N18),"",N18+1))</f>
        <v>45071</v>
      </c>
      <c r="P18" s="32">
        <f>IF(O18="","",IF(MONTH(O18+1)&lt;&gt;MONTH(O18),"",O18+1))</f>
        <v>45072</v>
      </c>
      <c r="Q18" s="32">
        <f>IF(P18="","",IF(MONTH(P18+1)&lt;&gt;MONTH(P18),"",P18+1))</f>
        <v>45073</v>
      </c>
      <c r="R18" s="61"/>
      <c r="S18" s="32">
        <f>IF(Y17="","",IF(MONTH(Y17+1)&lt;&gt;MONTH(Y17),"",Y17+1))</f>
        <v>45095</v>
      </c>
      <c r="T18" s="32">
        <f>IF(S18="","",IF(MONTH(S18+1)&lt;&gt;MONTH(S18),"",S18+1))</f>
        <v>45096</v>
      </c>
      <c r="U18" s="32">
        <f>IF(T18="","",IF(MONTH(T18+1)&lt;&gt;MONTH(T18),"",T18+1))</f>
        <v>45097</v>
      </c>
      <c r="V18" s="32">
        <f>IF(U18="","",IF(MONTH(U18+1)&lt;&gt;MONTH(U18),"",U18+1))</f>
        <v>45098</v>
      </c>
      <c r="W18" s="32">
        <f>IF(V18="","",IF(MONTH(V18+1)&lt;&gt;MONTH(V18),"",V18+1))</f>
        <v>45099</v>
      </c>
      <c r="X18" s="32">
        <f>IF(W18="","",IF(MONTH(W18+1)&lt;&gt;MONTH(W18),"",W18+1))</f>
        <v>45100</v>
      </c>
      <c r="Y18" s="32">
        <f>IF(X18="","",IF(MONTH(X18+1)&lt;&gt;MONTH(X18),"",X18+1))</f>
        <v>45101</v>
      </c>
      <c r="Z18" s="13"/>
      <c r="AB18" s="44" t="s">
        <v>288</v>
      </c>
      <c r="AC18" s="44">
        <v>15320</v>
      </c>
      <c r="AD18" s="45" t="s">
        <v>745</v>
      </c>
      <c r="AE18" s="44" t="s">
        <v>37</v>
      </c>
    </row>
    <row r="19" spans="2:31" ht="15" customHeight="1" x14ac:dyDescent="0.2">
      <c r="B19" s="12"/>
      <c r="C19" s="32">
        <f>IF(I18="","",IF(MONTH(I18+1)&lt;&gt;MONTH(I18),"",I18+1))</f>
        <v>45039</v>
      </c>
      <c r="D19" s="32">
        <f>IF(C19="","",IF(MONTH(C19+1)&lt;&gt;MONTH(C19),"",C19+1))</f>
        <v>45040</v>
      </c>
      <c r="E19" s="32">
        <f>IF(D19="","",IF(MONTH(D19+1)&lt;&gt;MONTH(D19),"",D19+1))</f>
        <v>45041</v>
      </c>
      <c r="F19" s="32">
        <f>IF(E19="","",IF(MONTH(E19+1)&lt;&gt;MONTH(E19),"",E19+1))</f>
        <v>45042</v>
      </c>
      <c r="G19" s="32">
        <f>IF(F19="","",IF(MONTH(F19+1)&lt;&gt;MONTH(F19),"",F19+1))</f>
        <v>45043</v>
      </c>
      <c r="H19" s="32">
        <f>IF(G19="","",IF(MONTH(G19+1)&lt;&gt;MONTH(G19),"",G19+1))</f>
        <v>45044</v>
      </c>
      <c r="I19" s="32">
        <f>IF(H19="","",IF(MONTH(H19+1)&lt;&gt;MONTH(H19),"",H19+1))</f>
        <v>45045</v>
      </c>
      <c r="J19" s="61"/>
      <c r="K19" s="32">
        <f>IF(Q18="","",IF(MONTH(Q18+1)&lt;&gt;MONTH(Q18),"",Q18+1))</f>
        <v>45074</v>
      </c>
      <c r="L19" s="32">
        <f>IF(K19="","",IF(MONTH(K19+1)&lt;&gt;MONTH(K19),"",K19+1))</f>
        <v>45075</v>
      </c>
      <c r="M19" s="32">
        <f>IF(L19="","",IF(MONTH(L19+1)&lt;&gt;MONTH(L19),"",L19+1))</f>
        <v>45076</v>
      </c>
      <c r="N19" s="32">
        <f>IF(M19="","",IF(MONTH(M19+1)&lt;&gt;MONTH(M19),"",M19+1))</f>
        <v>45077</v>
      </c>
      <c r="O19" s="32" t="str">
        <f>IF(N19="","",IF(MONTH(N19+1)&lt;&gt;MONTH(N19),"",N19+1))</f>
        <v/>
      </c>
      <c r="P19" s="32" t="str">
        <f>IF(O19="","",IF(MONTH(O19+1)&lt;&gt;MONTH(O19),"",O19+1))</f>
        <v/>
      </c>
      <c r="Q19" s="32" t="str">
        <f>IF(P19="","",IF(MONTH(P19+1)&lt;&gt;MONTH(P19),"",P19+1))</f>
        <v/>
      </c>
      <c r="R19" s="61"/>
      <c r="S19" s="32">
        <f>IF(Y18="","",IF(MONTH(Y18+1)&lt;&gt;MONTH(Y18),"",Y18+1))</f>
        <v>45102</v>
      </c>
      <c r="T19" s="32">
        <f>IF(S19="","",IF(MONTH(S19+1)&lt;&gt;MONTH(S19),"",S19+1))</f>
        <v>45103</v>
      </c>
      <c r="U19" s="32">
        <f>IF(T19="","",IF(MONTH(T19+1)&lt;&gt;MONTH(T19),"",T19+1))</f>
        <v>45104</v>
      </c>
      <c r="V19" s="32">
        <f>IF(U19="","",IF(MONTH(U19+1)&lt;&gt;MONTH(U19),"",U19+1))</f>
        <v>45105</v>
      </c>
      <c r="W19" s="32">
        <f>IF(V19="","",IF(MONTH(V19+1)&lt;&gt;MONTH(V19),"",V19+1))</f>
        <v>45106</v>
      </c>
      <c r="X19" s="32">
        <f>IF(W19="","",IF(MONTH(W19+1)&lt;&gt;MONTH(W19),"",W19+1))</f>
        <v>45107</v>
      </c>
      <c r="Y19" s="32" t="str">
        <f>IF(X19="","",IF(MONTH(X19+1)&lt;&gt;MONTH(X19),"",X19+1))</f>
        <v/>
      </c>
      <c r="Z19" s="13"/>
      <c r="AB19" s="40" t="s">
        <v>288</v>
      </c>
      <c r="AC19" s="40">
        <v>52886</v>
      </c>
      <c r="AD19" s="41" t="s">
        <v>747</v>
      </c>
      <c r="AE19" s="40" t="s">
        <v>37</v>
      </c>
    </row>
    <row r="20" spans="2:31" ht="15" customHeight="1" x14ac:dyDescent="0.2">
      <c r="B20" s="12"/>
      <c r="C20" s="32">
        <f>IF(I19="","",IF(MONTH(I19+1)&lt;&gt;MONTH(I19),"",I19+1))</f>
        <v>45046</v>
      </c>
      <c r="D20" s="32" t="str">
        <f>IF(C20="","",IF(MONTH(C20+1)&lt;&gt;MONTH(C20),"",C20+1))</f>
        <v/>
      </c>
      <c r="E20" s="32" t="str">
        <f>IF(D20="","",IF(MONTH(D20+1)&lt;&gt;MONTH(D20),"",D20+1))</f>
        <v/>
      </c>
      <c r="F20" s="32" t="str">
        <f>IF(E20="","",IF(MONTH(E20+1)&lt;&gt;MONTH(E20),"",E20+1))</f>
        <v/>
      </c>
      <c r="G20" s="32" t="str">
        <f>IF(F20="","",IF(MONTH(F20+1)&lt;&gt;MONTH(F20),"",F20+1))</f>
        <v/>
      </c>
      <c r="H20" s="32" t="str">
        <f>IF(G20="","",IF(MONTH(G20+1)&lt;&gt;MONTH(G20),"",G20+1))</f>
        <v/>
      </c>
      <c r="I20" s="32" t="str">
        <f>IF(H20="","",IF(MONTH(H20+1)&lt;&gt;MONTH(H20),"",H20+1))</f>
        <v/>
      </c>
      <c r="J20" s="61"/>
      <c r="K20" s="32" t="str">
        <f>IF(Q19="","",IF(MONTH(Q19+1)&lt;&gt;MONTH(Q19),"",Q19+1))</f>
        <v/>
      </c>
      <c r="L20" s="32" t="str">
        <f>IF(K20="","",IF(MONTH(K20+1)&lt;&gt;MONTH(K20),"",K20+1))</f>
        <v/>
      </c>
      <c r="M20" s="32" t="str">
        <f>IF(L20="","",IF(MONTH(L20+1)&lt;&gt;MONTH(L20),"",L20+1))</f>
        <v/>
      </c>
      <c r="N20" s="32" t="str">
        <f>IF(M20="","",IF(MONTH(M20+1)&lt;&gt;MONTH(M20),"",M20+1))</f>
        <v/>
      </c>
      <c r="O20" s="32" t="str">
        <f>IF(N20="","",IF(MONTH(N20+1)&lt;&gt;MONTH(N20),"",N20+1))</f>
        <v/>
      </c>
      <c r="P20" s="32" t="str">
        <f>IF(O20="","",IF(MONTH(O20+1)&lt;&gt;MONTH(O20),"",O20+1))</f>
        <v/>
      </c>
      <c r="Q20" s="32" t="str">
        <f>IF(P20="","",IF(MONTH(P20+1)&lt;&gt;MONTH(P20),"",P20+1))</f>
        <v/>
      </c>
      <c r="R20" s="61"/>
      <c r="S20" s="32" t="str">
        <f>IF(Y19="","",IF(MONTH(Y19+1)&lt;&gt;MONTH(Y19),"",Y19+1))</f>
        <v/>
      </c>
      <c r="T20" s="32" t="str">
        <f>IF(S20="","",IF(MONTH(S20+1)&lt;&gt;MONTH(S20),"",S20+1))</f>
        <v/>
      </c>
      <c r="U20" s="32" t="str">
        <f>IF(T20="","",IF(MONTH(T20+1)&lt;&gt;MONTH(T20),"",T20+1))</f>
        <v/>
      </c>
      <c r="V20" s="32" t="str">
        <f>IF(U20="","",IF(MONTH(U20+1)&lt;&gt;MONTH(U20),"",U20+1))</f>
        <v/>
      </c>
      <c r="W20" s="32" t="str">
        <f>IF(V20="","",IF(MONTH(V20+1)&lt;&gt;MONTH(V20),"",V20+1))</f>
        <v/>
      </c>
      <c r="X20" s="32" t="str">
        <f>IF(W20="","",IF(MONTH(W20+1)&lt;&gt;MONTH(W20),"",W20+1))</f>
        <v/>
      </c>
      <c r="Y20" s="32" t="str">
        <f>IF(X20="","",IF(MONTH(X20+1)&lt;&gt;MONTH(X20),"",X20+1))</f>
        <v/>
      </c>
      <c r="Z20" s="13"/>
      <c r="AB20" s="44" t="s">
        <v>288</v>
      </c>
      <c r="AC20" s="44">
        <v>52887</v>
      </c>
      <c r="AD20" s="45" t="s">
        <v>749</v>
      </c>
      <c r="AE20" s="44" t="s">
        <v>37</v>
      </c>
    </row>
    <row r="21" spans="2:31" ht="15" customHeight="1" x14ac:dyDescent="0.2">
      <c r="B21" s="12"/>
      <c r="C21" s="61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13"/>
      <c r="AB21" s="44" t="s">
        <v>288</v>
      </c>
      <c r="AC21" s="44">
        <v>52888</v>
      </c>
      <c r="AD21" s="45" t="s">
        <v>750</v>
      </c>
      <c r="AE21" s="44" t="s">
        <v>37</v>
      </c>
    </row>
    <row r="22" spans="2:31" ht="15" customHeight="1" x14ac:dyDescent="0.25">
      <c r="B22" s="12"/>
      <c r="C22" s="33">
        <f>DATE($C$3,7,1)</f>
        <v>45108</v>
      </c>
      <c r="D22" s="34"/>
      <c r="E22" s="34"/>
      <c r="F22" s="34"/>
      <c r="G22" s="34"/>
      <c r="H22" s="34"/>
      <c r="I22" s="34"/>
      <c r="J22" s="61"/>
      <c r="K22" s="33">
        <f>DATE($C$3,8,1)</f>
        <v>45139</v>
      </c>
      <c r="L22" s="34"/>
      <c r="M22" s="34"/>
      <c r="N22" s="34"/>
      <c r="O22" s="34"/>
      <c r="P22" s="34"/>
      <c r="Q22" s="34"/>
      <c r="R22" s="61"/>
      <c r="S22" s="33">
        <f>DATE($C$3,9,1)</f>
        <v>45170</v>
      </c>
      <c r="T22" s="34"/>
      <c r="U22" s="34"/>
      <c r="V22" s="34"/>
      <c r="W22" s="34"/>
      <c r="X22" s="34"/>
      <c r="Y22" s="34"/>
      <c r="Z22" s="13"/>
      <c r="AB22" s="56" t="s">
        <v>288</v>
      </c>
      <c r="AC22" s="56">
        <v>52889</v>
      </c>
      <c r="AD22" s="57" t="s">
        <v>752</v>
      </c>
      <c r="AE22" s="56" t="s">
        <v>37</v>
      </c>
    </row>
    <row r="23" spans="2:31" ht="15" customHeight="1" x14ac:dyDescent="0.25">
      <c r="B23" s="12"/>
      <c r="C23" s="62" t="s">
        <v>496</v>
      </c>
      <c r="D23" s="62" t="s">
        <v>497</v>
      </c>
      <c r="E23" s="62" t="s">
        <v>498</v>
      </c>
      <c r="F23" s="62" t="s">
        <v>499</v>
      </c>
      <c r="G23" s="62" t="s">
        <v>500</v>
      </c>
      <c r="H23" s="62" t="s">
        <v>501</v>
      </c>
      <c r="I23" s="62" t="s">
        <v>502</v>
      </c>
      <c r="J23" s="61"/>
      <c r="K23" s="62" t="s">
        <v>496</v>
      </c>
      <c r="L23" s="62" t="s">
        <v>497</v>
      </c>
      <c r="M23" s="62" t="s">
        <v>498</v>
      </c>
      <c r="N23" s="62" t="s">
        <v>499</v>
      </c>
      <c r="O23" s="62" t="s">
        <v>500</v>
      </c>
      <c r="P23" s="62" t="s">
        <v>501</v>
      </c>
      <c r="Q23" s="62" t="s">
        <v>502</v>
      </c>
      <c r="R23" s="61"/>
      <c r="S23" s="62" t="s">
        <v>496</v>
      </c>
      <c r="T23" s="62" t="s">
        <v>497</v>
      </c>
      <c r="U23" s="62" t="s">
        <v>498</v>
      </c>
      <c r="V23" s="62" t="s">
        <v>499</v>
      </c>
      <c r="W23" s="62" t="s">
        <v>500</v>
      </c>
      <c r="X23" s="62" t="s">
        <v>501</v>
      </c>
      <c r="Y23" s="62" t="s">
        <v>502</v>
      </c>
      <c r="Z23" s="13"/>
      <c r="AB23" s="44" t="s">
        <v>288</v>
      </c>
      <c r="AC23" s="44">
        <v>52890</v>
      </c>
      <c r="AD23" s="45" t="s">
        <v>754</v>
      </c>
      <c r="AE23" s="44" t="s">
        <v>37</v>
      </c>
    </row>
    <row r="24" spans="2:31" ht="15" customHeight="1" x14ac:dyDescent="0.2">
      <c r="B24" s="12"/>
      <c r="C24" s="32" t="str">
        <f>IF(WEEKDAY(C22,1)=MOD(1,7),C22,"")</f>
        <v/>
      </c>
      <c r="D24" s="32" t="str">
        <f>IF(C24="",IF(WEEKDAY(C22,1)=MOD(1,7)+1,C22,""),C24+1)</f>
        <v/>
      </c>
      <c r="E24" s="32" t="str">
        <f>IF(D24="",IF(WEEKDAY(C22,1)=MOD(1+1,7)+1,C22,""),D24+1)</f>
        <v/>
      </c>
      <c r="F24" s="32" t="str">
        <f>IF(E24="",IF(WEEKDAY(C22,1)=MOD(1+2,7)+1,C22,""),E24+1)</f>
        <v/>
      </c>
      <c r="G24" s="32" t="str">
        <f>IF(F24="",IF(WEEKDAY(C22,1)=MOD(1+3,7)+1,C22,""),F24+1)</f>
        <v/>
      </c>
      <c r="H24" s="32" t="str">
        <f>IF(G24="",IF(WEEKDAY(C22,1)=MOD(1+4,7)+1,C22,""),G24+1)</f>
        <v/>
      </c>
      <c r="I24" s="32">
        <f>IF(H24="",IF(WEEKDAY(C22,1)=MOD(1+5,7)+1,C22,""),H24+1)</f>
        <v>45108</v>
      </c>
      <c r="J24" s="61"/>
      <c r="K24" s="32" t="str">
        <f>IF(WEEKDAY(K22,1)=MOD(1,7),K22,"")</f>
        <v/>
      </c>
      <c r="L24" s="32" t="str">
        <f>IF(K24="",IF(WEEKDAY(K22,1)=MOD(1,7)+1,K22,""),K24+1)</f>
        <v/>
      </c>
      <c r="M24" s="32">
        <f>IF(L24="",IF(WEEKDAY(K22,1)=MOD(1+1,7)+1,K22,""),L24+1)</f>
        <v>45139</v>
      </c>
      <c r="N24" s="32">
        <f>IF(M24="",IF(WEEKDAY(K22,1)=MOD(1+2,7)+1,K22,""),M24+1)</f>
        <v>45140</v>
      </c>
      <c r="O24" s="32">
        <f>IF(N24="",IF(WEEKDAY(K22,1)=MOD(1+3,7)+1,K22,""),N24+1)</f>
        <v>45141</v>
      </c>
      <c r="P24" s="32">
        <f>IF(O24="",IF(WEEKDAY(K22,1)=MOD(1+4,7)+1,K22,""),O24+1)</f>
        <v>45142</v>
      </c>
      <c r="Q24" s="32">
        <f>IF(P24="",IF(WEEKDAY(K22,1)=MOD(1+5,7)+1,K22,""),P24+1)</f>
        <v>45143</v>
      </c>
      <c r="R24" s="61"/>
      <c r="S24" s="32" t="str">
        <f>IF(WEEKDAY(S22,1)=MOD(1,7),S22,"")</f>
        <v/>
      </c>
      <c r="T24" s="32" t="str">
        <f>IF(S24="",IF(WEEKDAY(S22,1)=MOD(1,7)+1,S22,""),S24+1)</f>
        <v/>
      </c>
      <c r="U24" s="32" t="str">
        <f>IF(T24="",IF(WEEKDAY(S22,1)=MOD(1+1,7)+1,S22,""),T24+1)</f>
        <v/>
      </c>
      <c r="V24" s="32" t="str">
        <f>IF(U24="",IF(WEEKDAY(S22,1)=MOD(1+2,7)+1,S22,""),U24+1)</f>
        <v/>
      </c>
      <c r="W24" s="32" t="str">
        <f>IF(V24="",IF(WEEKDAY(S22,1)=MOD(1+3,7)+1,S22,""),V24+1)</f>
        <v/>
      </c>
      <c r="X24" s="32">
        <f>IF(W24="",IF(WEEKDAY(S22,1)=MOD(1+4,7)+1,S22,""),W24+1)</f>
        <v>45170</v>
      </c>
      <c r="Y24" s="32">
        <f>IF(X24="",IF(WEEKDAY(S22,1)=MOD(1+5,7)+1,S22,""),X24+1)</f>
        <v>45171</v>
      </c>
      <c r="Z24" s="13"/>
      <c r="AB24" s="56" t="s">
        <v>288</v>
      </c>
      <c r="AC24" s="56">
        <v>52891</v>
      </c>
      <c r="AD24" s="57" t="s">
        <v>756</v>
      </c>
      <c r="AE24" s="56" t="s">
        <v>37</v>
      </c>
    </row>
    <row r="25" spans="2:31" ht="15" customHeight="1" x14ac:dyDescent="0.2">
      <c r="B25" s="12"/>
      <c r="C25" s="32">
        <f>IF(I24="","",IF(MONTH(I24+1)&lt;&gt;MONTH(I24),"",I24+1))</f>
        <v>45109</v>
      </c>
      <c r="D25" s="32">
        <f>IF(C25="","",IF(MONTH(C25+1)&lt;&gt;MONTH(C25),"",C25+1))</f>
        <v>45110</v>
      </c>
      <c r="E25" s="32">
        <f>IF(D25="","",IF(MONTH(D25+1)&lt;&gt;MONTH(D25),"",D25+1))</f>
        <v>45111</v>
      </c>
      <c r="F25" s="32">
        <f>IF(E25="","",IF(MONTH(E25+1)&lt;&gt;MONTH(E25),"",E25+1))</f>
        <v>45112</v>
      </c>
      <c r="G25" s="32">
        <f>IF(F25="","",IF(MONTH(F25+1)&lt;&gt;MONTH(F25),"",F25+1))</f>
        <v>45113</v>
      </c>
      <c r="H25" s="32">
        <f>IF(G25="","",IF(MONTH(G25+1)&lt;&gt;MONTH(G25),"",G25+1))</f>
        <v>45114</v>
      </c>
      <c r="I25" s="32">
        <f>IF(H25="","",IF(MONTH(H25+1)&lt;&gt;MONTH(H25),"",H25+1))</f>
        <v>45115</v>
      </c>
      <c r="J25" s="61"/>
      <c r="K25" s="32">
        <f>IF(Q24="","",IF(MONTH(Q24+1)&lt;&gt;MONTH(Q24),"",Q24+1))</f>
        <v>45144</v>
      </c>
      <c r="L25" s="32">
        <f>IF(K25="","",IF(MONTH(K25+1)&lt;&gt;MONTH(K25),"",K25+1))</f>
        <v>45145</v>
      </c>
      <c r="M25" s="32">
        <f>IF(L25="","",IF(MONTH(L25+1)&lt;&gt;MONTH(L25),"",L25+1))</f>
        <v>45146</v>
      </c>
      <c r="N25" s="32">
        <f>IF(M25="","",IF(MONTH(M25+1)&lt;&gt;MONTH(M25),"",M25+1))</f>
        <v>45147</v>
      </c>
      <c r="O25" s="32">
        <f>IF(N25="","",IF(MONTH(N25+1)&lt;&gt;MONTH(N25),"",N25+1))</f>
        <v>45148</v>
      </c>
      <c r="P25" s="32">
        <f>IF(O25="","",IF(MONTH(O25+1)&lt;&gt;MONTH(O25),"",O25+1))</f>
        <v>45149</v>
      </c>
      <c r="Q25" s="32">
        <f>IF(P25="","",IF(MONTH(P25+1)&lt;&gt;MONTH(P25),"",P25+1))</f>
        <v>45150</v>
      </c>
      <c r="R25" s="61"/>
      <c r="S25" s="32">
        <f>IF(Y24="","",IF(MONTH(Y24+1)&lt;&gt;MONTH(Y24),"",Y24+1))</f>
        <v>45172</v>
      </c>
      <c r="T25" s="32">
        <f>IF(S25="","",IF(MONTH(S25+1)&lt;&gt;MONTH(S25),"",S25+1))</f>
        <v>45173</v>
      </c>
      <c r="U25" s="32">
        <f>IF(T25="","",IF(MONTH(T25+1)&lt;&gt;MONTH(T25),"",T25+1))</f>
        <v>45174</v>
      </c>
      <c r="V25" s="32">
        <f>IF(U25="","",IF(MONTH(U25+1)&lt;&gt;MONTH(U25),"",U25+1))</f>
        <v>45175</v>
      </c>
      <c r="W25" s="32">
        <f>IF(V25="","",IF(MONTH(V25+1)&lt;&gt;MONTH(V25),"",V25+1))</f>
        <v>45176</v>
      </c>
      <c r="X25" s="32">
        <f>IF(W25="","",IF(MONTH(W25+1)&lt;&gt;MONTH(W25),"",W25+1))</f>
        <v>45177</v>
      </c>
      <c r="Y25" s="32">
        <f>IF(X25="","",IF(MONTH(X25+1)&lt;&gt;MONTH(X25),"",X25+1))</f>
        <v>45178</v>
      </c>
      <c r="Z25" s="13"/>
      <c r="AB25" s="44" t="s">
        <v>288</v>
      </c>
      <c r="AC25" s="44">
        <v>52892</v>
      </c>
      <c r="AD25" s="45" t="s">
        <v>758</v>
      </c>
      <c r="AE25" s="44" t="s">
        <v>37</v>
      </c>
    </row>
    <row r="26" spans="2:31" ht="15" customHeight="1" x14ac:dyDescent="0.2">
      <c r="B26" s="12"/>
      <c r="C26" s="32">
        <f>IF(I25="","",IF(MONTH(I25+1)&lt;&gt;MONTH(I25),"",I25+1))</f>
        <v>45116</v>
      </c>
      <c r="D26" s="32">
        <f>IF(C26="","",IF(MONTH(C26+1)&lt;&gt;MONTH(C26),"",C26+1))</f>
        <v>45117</v>
      </c>
      <c r="E26" s="32">
        <f>IF(D26="","",IF(MONTH(D26+1)&lt;&gt;MONTH(D26),"",D26+1))</f>
        <v>45118</v>
      </c>
      <c r="F26" s="32">
        <f>IF(E26="","",IF(MONTH(E26+1)&lt;&gt;MONTH(E26),"",E26+1))</f>
        <v>45119</v>
      </c>
      <c r="G26" s="32">
        <f>IF(F26="","",IF(MONTH(F26+1)&lt;&gt;MONTH(F26),"",F26+1))</f>
        <v>45120</v>
      </c>
      <c r="H26" s="32">
        <f>IF(G26="","",IF(MONTH(G26+1)&lt;&gt;MONTH(G26),"",G26+1))</f>
        <v>45121</v>
      </c>
      <c r="I26" s="32">
        <f>IF(H26="","",IF(MONTH(H26+1)&lt;&gt;MONTH(H26),"",H26+1))</f>
        <v>45122</v>
      </c>
      <c r="J26" s="61"/>
      <c r="K26" s="32">
        <f>IF(Q25="","",IF(MONTH(Q25+1)&lt;&gt;MONTH(Q25),"",Q25+1))</f>
        <v>45151</v>
      </c>
      <c r="L26" s="32">
        <f>IF(K26="","",IF(MONTH(K26+1)&lt;&gt;MONTH(K26),"",K26+1))</f>
        <v>45152</v>
      </c>
      <c r="M26" s="32">
        <f>IF(L26="","",IF(MONTH(L26+1)&lt;&gt;MONTH(L26),"",L26+1))</f>
        <v>45153</v>
      </c>
      <c r="N26" s="32">
        <f>IF(M26="","",IF(MONTH(M26+1)&lt;&gt;MONTH(M26),"",M26+1))</f>
        <v>45154</v>
      </c>
      <c r="O26" s="32">
        <f>IF(N26="","",IF(MONTH(N26+1)&lt;&gt;MONTH(N26),"",N26+1))</f>
        <v>45155</v>
      </c>
      <c r="P26" s="32">
        <f>IF(O26="","",IF(MONTH(O26+1)&lt;&gt;MONTH(O26),"",O26+1))</f>
        <v>45156</v>
      </c>
      <c r="Q26" s="32">
        <f>IF(P26="","",IF(MONTH(P26+1)&lt;&gt;MONTH(P26),"",P26+1))</f>
        <v>45157</v>
      </c>
      <c r="R26" s="61"/>
      <c r="S26" s="32">
        <f>IF(Y25="","",IF(MONTH(Y25+1)&lt;&gt;MONTH(Y25),"",Y25+1))</f>
        <v>45179</v>
      </c>
      <c r="T26" s="32">
        <f>IF(S26="","",IF(MONTH(S26+1)&lt;&gt;MONTH(S26),"",S26+1))</f>
        <v>45180</v>
      </c>
      <c r="U26" s="32">
        <f>IF(T26="","",IF(MONTH(T26+1)&lt;&gt;MONTH(T26),"",T26+1))</f>
        <v>45181</v>
      </c>
      <c r="V26" s="32">
        <f>IF(U26="","",IF(MONTH(U26+1)&lt;&gt;MONTH(U26),"",U26+1))</f>
        <v>45182</v>
      </c>
      <c r="W26" s="32">
        <f>IF(V26="","",IF(MONTH(V26+1)&lt;&gt;MONTH(V26),"",V26+1))</f>
        <v>45183</v>
      </c>
      <c r="X26" s="32">
        <f>IF(W26="","",IF(MONTH(W26+1)&lt;&gt;MONTH(W26),"",W26+1))</f>
        <v>45184</v>
      </c>
      <c r="Y26" s="32">
        <f>IF(X26="","",IF(MONTH(X26+1)&lt;&gt;MONTH(X26),"",X26+1))</f>
        <v>45185</v>
      </c>
      <c r="Z26" s="13"/>
      <c r="AB26" s="56" t="s">
        <v>288</v>
      </c>
      <c r="AC26" s="56">
        <v>52893</v>
      </c>
      <c r="AD26" s="57" t="s">
        <v>760</v>
      </c>
      <c r="AE26" s="56" t="s">
        <v>37</v>
      </c>
    </row>
    <row r="27" spans="2:31" ht="15" customHeight="1" x14ac:dyDescent="0.2">
      <c r="B27" s="12"/>
      <c r="C27" s="32">
        <f>IF(I26="","",IF(MONTH(I26+1)&lt;&gt;MONTH(I26),"",I26+1))</f>
        <v>45123</v>
      </c>
      <c r="D27" s="32">
        <f>IF(C27="","",IF(MONTH(C27+1)&lt;&gt;MONTH(C27),"",C27+1))</f>
        <v>45124</v>
      </c>
      <c r="E27" s="32">
        <f>IF(D27="","",IF(MONTH(D27+1)&lt;&gt;MONTH(D27),"",D27+1))</f>
        <v>45125</v>
      </c>
      <c r="F27" s="32">
        <f>IF(E27="","",IF(MONTH(E27+1)&lt;&gt;MONTH(E27),"",E27+1))</f>
        <v>45126</v>
      </c>
      <c r="G27" s="32">
        <f>IF(F27="","",IF(MONTH(F27+1)&lt;&gt;MONTH(F27),"",F27+1))</f>
        <v>45127</v>
      </c>
      <c r="H27" s="32">
        <f>IF(G27="","",IF(MONTH(G27+1)&lt;&gt;MONTH(G27),"",G27+1))</f>
        <v>45128</v>
      </c>
      <c r="I27" s="32">
        <f>IF(H27="","",IF(MONTH(H27+1)&lt;&gt;MONTH(H27),"",H27+1))</f>
        <v>45129</v>
      </c>
      <c r="J27" s="61"/>
      <c r="K27" s="32">
        <f>IF(Q26="","",IF(MONTH(Q26+1)&lt;&gt;MONTH(Q26),"",Q26+1))</f>
        <v>45158</v>
      </c>
      <c r="L27" s="32">
        <f>IF(K27="","",IF(MONTH(K27+1)&lt;&gt;MONTH(K27),"",K27+1))</f>
        <v>45159</v>
      </c>
      <c r="M27" s="32">
        <f>IF(L27="","",IF(MONTH(L27+1)&lt;&gt;MONTH(L27),"",L27+1))</f>
        <v>45160</v>
      </c>
      <c r="N27" s="32">
        <f>IF(M27="","",IF(MONTH(M27+1)&lt;&gt;MONTH(M27),"",M27+1))</f>
        <v>45161</v>
      </c>
      <c r="O27" s="32">
        <f>IF(N27="","",IF(MONTH(N27+1)&lt;&gt;MONTH(N27),"",N27+1))</f>
        <v>45162</v>
      </c>
      <c r="P27" s="32">
        <f>IF(O27="","",IF(MONTH(O27+1)&lt;&gt;MONTH(O27),"",O27+1))</f>
        <v>45163</v>
      </c>
      <c r="Q27" s="32">
        <f>IF(P27="","",IF(MONTH(P27+1)&lt;&gt;MONTH(P27),"",P27+1))</f>
        <v>45164</v>
      </c>
      <c r="R27" s="61"/>
      <c r="S27" s="32">
        <f>IF(Y26="","",IF(MONTH(Y26+1)&lt;&gt;MONTH(Y26),"",Y26+1))</f>
        <v>45186</v>
      </c>
      <c r="T27" s="32">
        <f>IF(S27="","",IF(MONTH(S27+1)&lt;&gt;MONTH(S27),"",S27+1))</f>
        <v>45187</v>
      </c>
      <c r="U27" s="32">
        <f>IF(T27="","",IF(MONTH(T27+1)&lt;&gt;MONTH(T27),"",T27+1))</f>
        <v>45188</v>
      </c>
      <c r="V27" s="32">
        <f>IF(U27="","",IF(MONTH(U27+1)&lt;&gt;MONTH(U27),"",U27+1))</f>
        <v>45189</v>
      </c>
      <c r="W27" s="32">
        <f>IF(V27="","",IF(MONTH(V27+1)&lt;&gt;MONTH(V27),"",V27+1))</f>
        <v>45190</v>
      </c>
      <c r="X27" s="32">
        <f>IF(W27="","",IF(MONTH(W27+1)&lt;&gt;MONTH(W27),"",W27+1))</f>
        <v>45191</v>
      </c>
      <c r="Y27" s="32">
        <f>IF(X27="","",IF(MONTH(X27+1)&lt;&gt;MONTH(X27),"",X27+1))</f>
        <v>45192</v>
      </c>
      <c r="Z27" s="13"/>
      <c r="AB27" s="56" t="s">
        <v>288</v>
      </c>
      <c r="AC27" s="56">
        <v>52894</v>
      </c>
      <c r="AD27" s="57" t="s">
        <v>762</v>
      </c>
      <c r="AE27" s="56" t="s">
        <v>37</v>
      </c>
    </row>
    <row r="28" spans="2:31" ht="15" customHeight="1" x14ac:dyDescent="0.2">
      <c r="B28" s="12"/>
      <c r="C28" s="32">
        <f>IF(I27="","",IF(MONTH(I27+1)&lt;&gt;MONTH(I27),"",I27+1))</f>
        <v>45130</v>
      </c>
      <c r="D28" s="32">
        <f>IF(C28="","",IF(MONTH(C28+1)&lt;&gt;MONTH(C28),"",C28+1))</f>
        <v>45131</v>
      </c>
      <c r="E28" s="32">
        <f>IF(D28="","",IF(MONTH(D28+1)&lt;&gt;MONTH(D28),"",D28+1))</f>
        <v>45132</v>
      </c>
      <c r="F28" s="32">
        <f>IF(E28="","",IF(MONTH(E28+1)&lt;&gt;MONTH(E28),"",E28+1))</f>
        <v>45133</v>
      </c>
      <c r="G28" s="32">
        <f>IF(F28="","",IF(MONTH(F28+1)&lt;&gt;MONTH(F28),"",F28+1))</f>
        <v>45134</v>
      </c>
      <c r="H28" s="32">
        <f>IF(G28="","",IF(MONTH(G28+1)&lt;&gt;MONTH(G28),"",G28+1))</f>
        <v>45135</v>
      </c>
      <c r="I28" s="32">
        <f>IF(H28="","",IF(MONTH(H28+1)&lt;&gt;MONTH(H28),"",H28+1))</f>
        <v>45136</v>
      </c>
      <c r="J28" s="61"/>
      <c r="K28" s="32">
        <f>IF(Q27="","",IF(MONTH(Q27+1)&lt;&gt;MONTH(Q27),"",Q27+1))</f>
        <v>45165</v>
      </c>
      <c r="L28" s="32">
        <f>IF(K28="","",IF(MONTH(K28+1)&lt;&gt;MONTH(K28),"",K28+1))</f>
        <v>45166</v>
      </c>
      <c r="M28" s="32">
        <f>IF(L28="","",IF(MONTH(L28+1)&lt;&gt;MONTH(L28),"",L28+1))</f>
        <v>45167</v>
      </c>
      <c r="N28" s="32">
        <f>IF(M28="","",IF(MONTH(M28+1)&lt;&gt;MONTH(M28),"",M28+1))</f>
        <v>45168</v>
      </c>
      <c r="O28" s="32">
        <f>IF(N28="","",IF(MONTH(N28+1)&lt;&gt;MONTH(N28),"",N28+1))</f>
        <v>45169</v>
      </c>
      <c r="P28" s="32" t="str">
        <f>IF(O28="","",IF(MONTH(O28+1)&lt;&gt;MONTH(O28),"",O28+1))</f>
        <v/>
      </c>
      <c r="Q28" s="32" t="str">
        <f>IF(P28="","",IF(MONTH(P28+1)&lt;&gt;MONTH(P28),"",P28+1))</f>
        <v/>
      </c>
      <c r="R28" s="61"/>
      <c r="S28" s="32">
        <f>IF(Y27="","",IF(MONTH(Y27+1)&lt;&gt;MONTH(Y27),"",Y27+1))</f>
        <v>45193</v>
      </c>
      <c r="T28" s="32">
        <f>IF(S28="","",IF(MONTH(S28+1)&lt;&gt;MONTH(S28),"",S28+1))</f>
        <v>45194</v>
      </c>
      <c r="U28" s="32">
        <f>IF(T28="","",IF(MONTH(T28+1)&lt;&gt;MONTH(T28),"",T28+1))</f>
        <v>45195</v>
      </c>
      <c r="V28" s="32">
        <f>IF(U28="","",IF(MONTH(U28+1)&lt;&gt;MONTH(U28),"",U28+1))</f>
        <v>45196</v>
      </c>
      <c r="W28" s="32">
        <f>IF(V28="","",IF(MONTH(V28+1)&lt;&gt;MONTH(V28),"",V28+1))</f>
        <v>45197</v>
      </c>
      <c r="X28" s="32">
        <f>IF(W28="","",IF(MONTH(W28+1)&lt;&gt;MONTH(W28),"",W28+1))</f>
        <v>45198</v>
      </c>
      <c r="Y28" s="32">
        <f>IF(X28="","",IF(MONTH(X28+1)&lt;&gt;MONTH(X28),"",X28+1))</f>
        <v>45199</v>
      </c>
      <c r="Z28" s="13"/>
      <c r="AB28" s="44" t="s">
        <v>288</v>
      </c>
      <c r="AC28" s="44">
        <v>52895</v>
      </c>
      <c r="AD28" s="45" t="s">
        <v>764</v>
      </c>
      <c r="AE28" s="44" t="s">
        <v>37</v>
      </c>
    </row>
    <row r="29" spans="2:31" ht="15" customHeight="1" x14ac:dyDescent="0.2">
      <c r="B29" s="12"/>
      <c r="C29" s="32">
        <f>IF(I28="","",IF(MONTH(I28+1)&lt;&gt;MONTH(I28),"",I28+1))</f>
        <v>45137</v>
      </c>
      <c r="D29" s="32">
        <f>IF(C29="","",IF(MONTH(C29+1)&lt;&gt;MONTH(C29),"",C29+1))</f>
        <v>45138</v>
      </c>
      <c r="E29" s="32" t="str">
        <f>IF(D29="","",IF(MONTH(D29+1)&lt;&gt;MONTH(D29),"",D29+1))</f>
        <v/>
      </c>
      <c r="F29" s="32" t="str">
        <f>IF(E29="","",IF(MONTH(E29+1)&lt;&gt;MONTH(E29),"",E29+1))</f>
        <v/>
      </c>
      <c r="G29" s="32" t="str">
        <f>IF(F29="","",IF(MONTH(F29+1)&lt;&gt;MONTH(F29),"",F29+1))</f>
        <v/>
      </c>
      <c r="H29" s="32" t="str">
        <f>IF(G29="","",IF(MONTH(G29+1)&lt;&gt;MONTH(G29),"",G29+1))</f>
        <v/>
      </c>
      <c r="I29" s="32" t="str">
        <f>IF(H29="","",IF(MONTH(H29+1)&lt;&gt;MONTH(H29),"",H29+1))</f>
        <v/>
      </c>
      <c r="J29" s="61"/>
      <c r="K29" s="32" t="str">
        <f>IF(Q28="","",IF(MONTH(Q28+1)&lt;&gt;MONTH(Q28),"",Q28+1))</f>
        <v/>
      </c>
      <c r="L29" s="32" t="str">
        <f>IF(K29="","",IF(MONTH(K29+1)&lt;&gt;MONTH(K29),"",K29+1))</f>
        <v/>
      </c>
      <c r="M29" s="32" t="str">
        <f>IF(L29="","",IF(MONTH(L29+1)&lt;&gt;MONTH(L29),"",L29+1))</f>
        <v/>
      </c>
      <c r="N29" s="32" t="str">
        <f>IF(M29="","",IF(MONTH(M29+1)&lt;&gt;MONTH(M29),"",M29+1))</f>
        <v/>
      </c>
      <c r="O29" s="32" t="str">
        <f>IF(N29="","",IF(MONTH(N29+1)&lt;&gt;MONTH(N29),"",N29+1))</f>
        <v/>
      </c>
      <c r="P29" s="32" t="str">
        <f>IF(O29="","",IF(MONTH(O29+1)&lt;&gt;MONTH(O29),"",O29+1))</f>
        <v/>
      </c>
      <c r="Q29" s="32" t="str">
        <f>IF(P29="","",IF(MONTH(P29+1)&lt;&gt;MONTH(P29),"",P29+1))</f>
        <v/>
      </c>
      <c r="R29" s="61"/>
      <c r="S29" s="32" t="str">
        <f>IF(Y28="","",IF(MONTH(Y28+1)&lt;&gt;MONTH(Y28),"",Y28+1))</f>
        <v/>
      </c>
      <c r="T29" s="32" t="str">
        <f>IF(S29="","",IF(MONTH(S29+1)&lt;&gt;MONTH(S29),"",S29+1))</f>
        <v/>
      </c>
      <c r="U29" s="32" t="str">
        <f>IF(T29="","",IF(MONTH(T29+1)&lt;&gt;MONTH(T29),"",T29+1))</f>
        <v/>
      </c>
      <c r="V29" s="32" t="str">
        <f>IF(U29="","",IF(MONTH(U29+1)&lt;&gt;MONTH(U29),"",U29+1))</f>
        <v/>
      </c>
      <c r="W29" s="32" t="str">
        <f>IF(V29="","",IF(MONTH(V29+1)&lt;&gt;MONTH(V29),"",V29+1))</f>
        <v/>
      </c>
      <c r="X29" s="32" t="str">
        <f>IF(W29="","",IF(MONTH(W29+1)&lt;&gt;MONTH(W29),"",W29+1))</f>
        <v/>
      </c>
      <c r="Y29" s="32" t="str">
        <f>IF(X29="","",IF(MONTH(X29+1)&lt;&gt;MONTH(X29),"",X29+1))</f>
        <v/>
      </c>
      <c r="Z29" s="13"/>
      <c r="AB29" s="56" t="s">
        <v>288</v>
      </c>
      <c r="AC29" s="56">
        <v>52896</v>
      </c>
      <c r="AD29" s="57" t="s">
        <v>766</v>
      </c>
      <c r="AE29" s="56" t="s">
        <v>37</v>
      </c>
    </row>
    <row r="30" spans="2:31" ht="15" customHeight="1" x14ac:dyDescent="0.2">
      <c r="B30" s="12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13"/>
      <c r="AB30" s="56" t="s">
        <v>288</v>
      </c>
      <c r="AC30" s="56">
        <v>52897</v>
      </c>
      <c r="AD30" s="57" t="s">
        <v>767</v>
      </c>
      <c r="AE30" s="56" t="s">
        <v>37</v>
      </c>
    </row>
    <row r="31" spans="2:31" ht="15" customHeight="1" x14ac:dyDescent="0.25">
      <c r="B31" s="12"/>
      <c r="C31" s="33">
        <f>DATE($C$3,10,1)</f>
        <v>45200</v>
      </c>
      <c r="D31" s="34"/>
      <c r="E31" s="34"/>
      <c r="F31" s="34"/>
      <c r="G31" s="34"/>
      <c r="H31" s="34"/>
      <c r="I31" s="34"/>
      <c r="J31" s="61"/>
      <c r="K31" s="33">
        <f>DATE($C$3,11,1)</f>
        <v>45231</v>
      </c>
      <c r="L31" s="34"/>
      <c r="M31" s="34"/>
      <c r="N31" s="34"/>
      <c r="O31" s="34"/>
      <c r="P31" s="34"/>
      <c r="Q31" s="34"/>
      <c r="R31" s="61"/>
      <c r="S31" s="33">
        <f>DATE($C$3,12,1)</f>
        <v>45261</v>
      </c>
      <c r="T31" s="34"/>
      <c r="U31" s="34"/>
      <c r="V31" s="34"/>
      <c r="W31" s="34"/>
      <c r="X31" s="34"/>
      <c r="Y31" s="34"/>
      <c r="Z31" s="13"/>
      <c r="AB31" s="44" t="s">
        <v>288</v>
      </c>
      <c r="AC31" s="44">
        <v>52898</v>
      </c>
      <c r="AD31" s="45" t="s">
        <v>769</v>
      </c>
      <c r="AE31" s="44" t="s">
        <v>37</v>
      </c>
    </row>
    <row r="32" spans="2:31" ht="15" customHeight="1" x14ac:dyDescent="0.25">
      <c r="B32" s="12"/>
      <c r="C32" s="62" t="s">
        <v>496</v>
      </c>
      <c r="D32" s="62" t="s">
        <v>497</v>
      </c>
      <c r="E32" s="62" t="s">
        <v>498</v>
      </c>
      <c r="F32" s="62" t="s">
        <v>499</v>
      </c>
      <c r="G32" s="62" t="s">
        <v>500</v>
      </c>
      <c r="H32" s="62" t="s">
        <v>501</v>
      </c>
      <c r="I32" s="62" t="s">
        <v>502</v>
      </c>
      <c r="J32" s="61"/>
      <c r="K32" s="62" t="s">
        <v>496</v>
      </c>
      <c r="L32" s="62" t="s">
        <v>497</v>
      </c>
      <c r="M32" s="62" t="s">
        <v>498</v>
      </c>
      <c r="N32" s="62" t="s">
        <v>499</v>
      </c>
      <c r="O32" s="62" t="s">
        <v>500</v>
      </c>
      <c r="P32" s="62" t="s">
        <v>501</v>
      </c>
      <c r="Q32" s="62" t="s">
        <v>502</v>
      </c>
      <c r="R32" s="61"/>
      <c r="S32" s="62" t="s">
        <v>496</v>
      </c>
      <c r="T32" s="62" t="s">
        <v>497</v>
      </c>
      <c r="U32" s="62" t="s">
        <v>498</v>
      </c>
      <c r="V32" s="62" t="s">
        <v>499</v>
      </c>
      <c r="W32" s="62" t="s">
        <v>500</v>
      </c>
      <c r="X32" s="62" t="s">
        <v>501</v>
      </c>
      <c r="Y32" s="62" t="s">
        <v>502</v>
      </c>
      <c r="Z32" s="13"/>
      <c r="AB32" s="56" t="s">
        <v>288</v>
      </c>
      <c r="AC32" s="56">
        <v>52899</v>
      </c>
      <c r="AD32" s="57" t="s">
        <v>745</v>
      </c>
      <c r="AE32" s="56" t="s">
        <v>37</v>
      </c>
    </row>
    <row r="33" spans="2:31" ht="15" customHeight="1" x14ac:dyDescent="0.2">
      <c r="B33" s="12"/>
      <c r="C33" s="32">
        <f>IF(WEEKDAY(C31,1)=MOD(1,7),C31,"")</f>
        <v>45200</v>
      </c>
      <c r="D33" s="32">
        <f>IF(C33="",IF(WEEKDAY(C31,1)=MOD(1,7)+1,C31,""),C33+1)</f>
        <v>45201</v>
      </c>
      <c r="E33" s="32">
        <f>IF(D33="",IF(WEEKDAY(C31,1)=MOD(1+1,7)+1,C31,""),D33+1)</f>
        <v>45202</v>
      </c>
      <c r="F33" s="32">
        <f>IF(E33="",IF(WEEKDAY(C31,1)=MOD(1+2,7)+1,C31,""),E33+1)</f>
        <v>45203</v>
      </c>
      <c r="G33" s="32">
        <f>IF(F33="",IF(WEEKDAY(C31,1)=MOD(1+3,7)+1,C31,""),F33+1)</f>
        <v>45204</v>
      </c>
      <c r="H33" s="32">
        <f>IF(G33="",IF(WEEKDAY(C31,1)=MOD(1+4,7)+1,C31,""),G33+1)</f>
        <v>45205</v>
      </c>
      <c r="I33" s="32">
        <f>IF(H33="",IF(WEEKDAY(C31,1)=MOD(1+5,7)+1,C31,""),H33+1)</f>
        <v>45206</v>
      </c>
      <c r="J33" s="61"/>
      <c r="K33" s="32" t="str">
        <f>IF(WEEKDAY(K31,1)=MOD(1,7),K31,"")</f>
        <v/>
      </c>
      <c r="L33" s="32" t="str">
        <f>IF(K33="",IF(WEEKDAY(K31,1)=MOD(1,7)+1,K31,""),K33+1)</f>
        <v/>
      </c>
      <c r="M33" s="32" t="str">
        <f>IF(L33="",IF(WEEKDAY(K31,1)=MOD(1+1,7)+1,K31,""),L33+1)</f>
        <v/>
      </c>
      <c r="N33" s="32">
        <f>IF(M33="",IF(WEEKDAY(K31,1)=MOD(1+2,7)+1,K31,""),M33+1)</f>
        <v>45231</v>
      </c>
      <c r="O33" s="32">
        <f>IF(N33="",IF(WEEKDAY(K31,1)=MOD(1+3,7)+1,K31,""),N33+1)</f>
        <v>45232</v>
      </c>
      <c r="P33" s="32">
        <f>IF(O33="",IF(WEEKDAY(K31,1)=MOD(1+4,7)+1,K31,""),O33+1)</f>
        <v>45233</v>
      </c>
      <c r="Q33" s="32">
        <f>IF(P33="",IF(WEEKDAY(K31,1)=MOD(1+5,7)+1,K31,""),P33+1)</f>
        <v>45234</v>
      </c>
      <c r="R33" s="61"/>
      <c r="S33" s="32" t="str">
        <f>IF(WEEKDAY(S31,1)=MOD(1,7),S31,"")</f>
        <v/>
      </c>
      <c r="T33" s="32" t="str">
        <f>IF(S33="",IF(WEEKDAY(S31,1)=MOD(1,7)+1,S31,""),S33+1)</f>
        <v/>
      </c>
      <c r="U33" s="32" t="str">
        <f>IF(T33="",IF(WEEKDAY(S31,1)=MOD(1+1,7)+1,S31,""),T33+1)</f>
        <v/>
      </c>
      <c r="V33" s="32" t="str">
        <f>IF(U33="",IF(WEEKDAY(S31,1)=MOD(1+2,7)+1,S31,""),U33+1)</f>
        <v/>
      </c>
      <c r="W33" s="32" t="str">
        <f>IF(V33="",IF(WEEKDAY(S31,1)=MOD(1+3,7)+1,S31,""),V33+1)</f>
        <v/>
      </c>
      <c r="X33" s="32">
        <f>IF(W33="",IF(WEEKDAY(S31,1)=MOD(1+4,7)+1,S31,""),W33+1)</f>
        <v>45261</v>
      </c>
      <c r="Y33" s="32">
        <f>IF(X33="",IF(WEEKDAY(S31,1)=MOD(1+5,7)+1,S31,""),X33+1)</f>
        <v>45262</v>
      </c>
      <c r="Z33" s="13"/>
      <c r="AB33" s="44" t="s">
        <v>506</v>
      </c>
      <c r="AC33" s="44">
        <v>666</v>
      </c>
      <c r="AD33" s="45" t="s">
        <v>6762</v>
      </c>
      <c r="AE33" s="44" t="s">
        <v>40</v>
      </c>
    </row>
    <row r="34" spans="2:31" ht="15" customHeight="1" x14ac:dyDescent="0.2">
      <c r="B34" s="12"/>
      <c r="C34" s="32">
        <f>IF(I33="","",IF(MONTH(I33+1)&lt;&gt;MONTH(I33),"",I33+1))</f>
        <v>45207</v>
      </c>
      <c r="D34" s="32">
        <f>IF(C34="","",IF(MONTH(C34+1)&lt;&gt;MONTH(C34),"",C34+1))</f>
        <v>45208</v>
      </c>
      <c r="E34" s="32">
        <f>IF(D34="","",IF(MONTH(D34+1)&lt;&gt;MONTH(D34),"",D34+1))</f>
        <v>45209</v>
      </c>
      <c r="F34" s="32">
        <f>IF(E34="","",IF(MONTH(E34+1)&lt;&gt;MONTH(E34),"",E34+1))</f>
        <v>45210</v>
      </c>
      <c r="G34" s="32">
        <f>IF(F34="","",IF(MONTH(F34+1)&lt;&gt;MONTH(F34),"",F34+1))</f>
        <v>45211</v>
      </c>
      <c r="H34" s="32">
        <f>IF(G34="","",IF(MONTH(G34+1)&lt;&gt;MONTH(G34),"",G34+1))</f>
        <v>45212</v>
      </c>
      <c r="I34" s="32">
        <f>IF(H34="","",IF(MONTH(H34+1)&lt;&gt;MONTH(H34),"",H34+1))</f>
        <v>45213</v>
      </c>
      <c r="J34" s="61"/>
      <c r="K34" s="32">
        <f>IF(Q33="","",IF(MONTH(Q33+1)&lt;&gt;MONTH(Q33),"",Q33+1))</f>
        <v>45235</v>
      </c>
      <c r="L34" s="32">
        <f>IF(K34="","",IF(MONTH(K34+1)&lt;&gt;MONTH(K34),"",K34+1))</f>
        <v>45236</v>
      </c>
      <c r="M34" s="32">
        <f>IF(L34="","",IF(MONTH(L34+1)&lt;&gt;MONTH(L34),"",L34+1))</f>
        <v>45237</v>
      </c>
      <c r="N34" s="32">
        <f>IF(M34="","",IF(MONTH(M34+1)&lt;&gt;MONTH(M34),"",M34+1))</f>
        <v>45238</v>
      </c>
      <c r="O34" s="32">
        <f>IF(N34="","",IF(MONTH(N34+1)&lt;&gt;MONTH(N34),"",N34+1))</f>
        <v>45239</v>
      </c>
      <c r="P34" s="32">
        <f>IF(O34="","",IF(MONTH(O34+1)&lt;&gt;MONTH(O34),"",O34+1))</f>
        <v>45240</v>
      </c>
      <c r="Q34" s="32">
        <f>IF(P34="","",IF(MONTH(P34+1)&lt;&gt;MONTH(P34),"",P34+1))</f>
        <v>45241</v>
      </c>
      <c r="R34" s="61"/>
      <c r="S34" s="32">
        <f>IF(Y33="","",IF(MONTH(Y33+1)&lt;&gt;MONTH(Y33),"",Y33+1))</f>
        <v>45263</v>
      </c>
      <c r="T34" s="32">
        <f>IF(S34="","",IF(MONTH(S34+1)&lt;&gt;MONTH(S34),"",S34+1))</f>
        <v>45264</v>
      </c>
      <c r="U34" s="32">
        <f>IF(T34="","",IF(MONTH(T34+1)&lt;&gt;MONTH(T34),"",T34+1))</f>
        <v>45265</v>
      </c>
      <c r="V34" s="32">
        <f>IF(U34="","",IF(MONTH(U34+1)&lt;&gt;MONTH(U34),"",U34+1))</f>
        <v>45266</v>
      </c>
      <c r="W34" s="32">
        <f>IF(V34="","",IF(MONTH(V34+1)&lt;&gt;MONTH(V34),"",V34+1))</f>
        <v>45267</v>
      </c>
      <c r="X34" s="32">
        <f>IF(W34="","",IF(MONTH(W34+1)&lt;&gt;MONTH(W34),"",W34+1))</f>
        <v>45268</v>
      </c>
      <c r="Y34" s="32">
        <f>IF(X34="","",IF(MONTH(X34+1)&lt;&gt;MONTH(X34),"",X34+1))</f>
        <v>45269</v>
      </c>
      <c r="Z34" s="13"/>
      <c r="AB34" s="56"/>
      <c r="AC34" s="56"/>
      <c r="AD34" s="56"/>
      <c r="AE34" s="56"/>
    </row>
    <row r="35" spans="2:31" ht="15" customHeight="1" x14ac:dyDescent="0.25">
      <c r="B35" s="12"/>
      <c r="C35" s="32">
        <f>IF(I34="","",IF(MONTH(I34+1)&lt;&gt;MONTH(I34),"",I34+1))</f>
        <v>45214</v>
      </c>
      <c r="D35" s="32">
        <f>IF(C35="","",IF(MONTH(C35+1)&lt;&gt;MONTH(C35),"",C35+1))</f>
        <v>45215</v>
      </c>
      <c r="E35" s="32">
        <f>IF(D35="","",IF(MONTH(D35+1)&lt;&gt;MONTH(D35),"",D35+1))</f>
        <v>45216</v>
      </c>
      <c r="F35" s="32">
        <f>IF(E35="","",IF(MONTH(E35+1)&lt;&gt;MONTH(E35),"",E35+1))</f>
        <v>45217</v>
      </c>
      <c r="G35" s="32">
        <f>IF(F35="","",IF(MONTH(F35+1)&lt;&gt;MONTH(F35),"",F35+1))</f>
        <v>45218</v>
      </c>
      <c r="H35" s="32">
        <f>IF(G35="","",IF(MONTH(G35+1)&lt;&gt;MONTH(G35),"",G35+1))</f>
        <v>45219</v>
      </c>
      <c r="I35" s="32">
        <f>IF(H35="","",IF(MONTH(H35+1)&lt;&gt;MONTH(H35),"",H35+1))</f>
        <v>45220</v>
      </c>
      <c r="J35" s="61"/>
      <c r="K35" s="32">
        <f>IF(Q34="","",IF(MONTH(Q34+1)&lt;&gt;MONTH(Q34),"",Q34+1))</f>
        <v>45242</v>
      </c>
      <c r="L35" s="32">
        <f>IF(K35="","",IF(MONTH(K35+1)&lt;&gt;MONTH(K35),"",K35+1))</f>
        <v>45243</v>
      </c>
      <c r="M35" s="32">
        <f>IF(L35="","",IF(MONTH(L35+1)&lt;&gt;MONTH(L35),"",L35+1))</f>
        <v>45244</v>
      </c>
      <c r="N35" s="32">
        <f>IF(M35="","",IF(MONTH(M35+1)&lt;&gt;MONTH(M35),"",M35+1))</f>
        <v>45245</v>
      </c>
      <c r="O35" s="32">
        <f>IF(N35="","",IF(MONTH(N35+1)&lt;&gt;MONTH(N35),"",N35+1))</f>
        <v>45246</v>
      </c>
      <c r="P35" s="32">
        <f>IF(O35="","",IF(MONTH(O35+1)&lt;&gt;MONTH(O35),"",O35+1))</f>
        <v>45247</v>
      </c>
      <c r="Q35" s="32">
        <f>IF(P35="","",IF(MONTH(P35+1)&lt;&gt;MONTH(P35),"",P35+1))</f>
        <v>45248</v>
      </c>
      <c r="R35" s="61"/>
      <c r="S35" s="32">
        <f>IF(Y34="","",IF(MONTH(Y34+1)&lt;&gt;MONTH(Y34),"",Y34+1))</f>
        <v>45270</v>
      </c>
      <c r="T35" s="32">
        <f>IF(S35="","",IF(MONTH(S35+1)&lt;&gt;MONTH(S35),"",S35+1))</f>
        <v>45271</v>
      </c>
      <c r="U35" s="32">
        <f>IF(T35="","",IF(MONTH(T35+1)&lt;&gt;MONTH(T35),"",T35+1))</f>
        <v>45272</v>
      </c>
      <c r="V35" s="32">
        <f>IF(U35="","",IF(MONTH(U35+1)&lt;&gt;MONTH(U35),"",U35+1))</f>
        <v>45273</v>
      </c>
      <c r="W35" s="32">
        <f>IF(V35="","",IF(MONTH(V35+1)&lt;&gt;MONTH(V35),"",V35+1))</f>
        <v>45274</v>
      </c>
      <c r="X35" s="32">
        <f>IF(W35="","",IF(MONTH(W35+1)&lt;&gt;MONTH(W35),"",W35+1))</f>
        <v>45275</v>
      </c>
      <c r="Y35" s="32">
        <f>IF(X35="","",IF(MONTH(X35+1)&lt;&gt;MONTH(X35),"",X35+1))</f>
        <v>45276</v>
      </c>
      <c r="Z35" s="13"/>
      <c r="AB35" s="39" t="s">
        <v>507</v>
      </c>
      <c r="AC35" s="59"/>
      <c r="AD35" s="39" t="s">
        <v>6760</v>
      </c>
    </row>
    <row r="36" spans="2:31" ht="15" customHeight="1" x14ac:dyDescent="0.2">
      <c r="B36" s="12"/>
      <c r="C36" s="32">
        <f>IF(I35="","",IF(MONTH(I35+1)&lt;&gt;MONTH(I35),"",I35+1))</f>
        <v>45221</v>
      </c>
      <c r="D36" s="32">
        <f>IF(C36="","",IF(MONTH(C36+1)&lt;&gt;MONTH(C36),"",C36+1))</f>
        <v>45222</v>
      </c>
      <c r="E36" s="32">
        <f>IF(D36="","",IF(MONTH(D36+1)&lt;&gt;MONTH(D36),"",D36+1))</f>
        <v>45223</v>
      </c>
      <c r="F36" s="32">
        <f>IF(E36="","",IF(MONTH(E36+1)&lt;&gt;MONTH(E36),"",E36+1))</f>
        <v>45224</v>
      </c>
      <c r="G36" s="32">
        <f>IF(F36="","",IF(MONTH(F36+1)&lt;&gt;MONTH(F36),"",F36+1))</f>
        <v>45225</v>
      </c>
      <c r="H36" s="32">
        <f>IF(G36="","",IF(MONTH(G36+1)&lt;&gt;MONTH(G36),"",G36+1))</f>
        <v>45226</v>
      </c>
      <c r="I36" s="32">
        <f>IF(H36="","",IF(MONTH(H36+1)&lt;&gt;MONTH(H36),"",H36+1))</f>
        <v>45227</v>
      </c>
      <c r="J36" s="61"/>
      <c r="K36" s="32">
        <f>IF(Q35="","",IF(MONTH(Q35+1)&lt;&gt;MONTH(Q35),"",Q35+1))</f>
        <v>45249</v>
      </c>
      <c r="L36" s="32">
        <f>IF(K36="","",IF(MONTH(K36+1)&lt;&gt;MONTH(K36),"",K36+1))</f>
        <v>45250</v>
      </c>
      <c r="M36" s="32">
        <f>IF(L36="","",IF(MONTH(L36+1)&lt;&gt;MONTH(L36),"",L36+1))</f>
        <v>45251</v>
      </c>
      <c r="N36" s="32">
        <f>IF(M36="","",IF(MONTH(M36+1)&lt;&gt;MONTH(M36),"",M36+1))</f>
        <v>45252</v>
      </c>
      <c r="O36" s="32">
        <f>IF(N36="","",IF(MONTH(N36+1)&lt;&gt;MONTH(N36),"",N36+1))</f>
        <v>45253</v>
      </c>
      <c r="P36" s="32">
        <f>IF(O36="","",IF(MONTH(O36+1)&lt;&gt;MONTH(O36),"",O36+1))</f>
        <v>45254</v>
      </c>
      <c r="Q36" s="32">
        <f>IF(P36="","",IF(MONTH(P36+1)&lt;&gt;MONTH(P36),"",P36+1))</f>
        <v>45255</v>
      </c>
      <c r="R36" s="61"/>
      <c r="S36" s="32">
        <f>IF(Y35="","",IF(MONTH(Y35+1)&lt;&gt;MONTH(Y35),"",Y35+1))</f>
        <v>45277</v>
      </c>
      <c r="T36" s="32">
        <f>IF(S36="","",IF(MONTH(S36+1)&lt;&gt;MONTH(S36),"",S36+1))</f>
        <v>45278</v>
      </c>
      <c r="U36" s="32">
        <f>IF(T36="","",IF(MONTH(T36+1)&lt;&gt;MONTH(T36),"",T36+1))</f>
        <v>45279</v>
      </c>
      <c r="V36" s="32">
        <f>IF(U36="","",IF(MONTH(U36+1)&lt;&gt;MONTH(U36),"",U36+1))</f>
        <v>45280</v>
      </c>
      <c r="W36" s="32">
        <f>IF(V36="","",IF(MONTH(V36+1)&lt;&gt;MONTH(V36),"",V36+1))</f>
        <v>45281</v>
      </c>
      <c r="X36" s="32">
        <f>IF(W36="","",IF(MONTH(W36+1)&lt;&gt;MONTH(W36),"",W36+1))</f>
        <v>45282</v>
      </c>
      <c r="Y36" s="32">
        <f>IF(X36="","",IF(MONTH(X36+1)&lt;&gt;MONTH(X36),"",X36+1))</f>
        <v>45283</v>
      </c>
      <c r="Z36" s="13"/>
      <c r="AB36" s="43">
        <v>37865</v>
      </c>
      <c r="AC36" s="60" t="s">
        <v>6761</v>
      </c>
      <c r="AD36" s="58"/>
    </row>
    <row r="37" spans="2:31" ht="15" customHeight="1" x14ac:dyDescent="0.2">
      <c r="B37" s="12"/>
      <c r="C37" s="32">
        <f>IF(I36="","",IF(MONTH(I36+1)&lt;&gt;MONTH(I36),"",I36+1))</f>
        <v>45228</v>
      </c>
      <c r="D37" s="32">
        <f>IF(C37="","",IF(MONTH(C37+1)&lt;&gt;MONTH(C37),"",C37+1))</f>
        <v>45229</v>
      </c>
      <c r="E37" s="32">
        <f>IF(D37="","",IF(MONTH(D37+1)&lt;&gt;MONTH(D37),"",D37+1))</f>
        <v>45230</v>
      </c>
      <c r="F37" s="32" t="str">
        <f>IF(E37="","",IF(MONTH(E37+1)&lt;&gt;MONTH(E37),"",E37+1))</f>
        <v/>
      </c>
      <c r="G37" s="32" t="str">
        <f>IF(F37="","",IF(MONTH(F37+1)&lt;&gt;MONTH(F37),"",F37+1))</f>
        <v/>
      </c>
      <c r="H37" s="32" t="str">
        <f>IF(G37="","",IF(MONTH(G37+1)&lt;&gt;MONTH(G37),"",G37+1))</f>
        <v/>
      </c>
      <c r="I37" s="32" t="str">
        <f>IF(H37="","",IF(MONTH(H37+1)&lt;&gt;MONTH(H37),"",H37+1))</f>
        <v/>
      </c>
      <c r="J37" s="61"/>
      <c r="K37" s="32">
        <f>IF(Q36="","",IF(MONTH(Q36+1)&lt;&gt;MONTH(Q36),"",Q36+1))</f>
        <v>45256</v>
      </c>
      <c r="L37" s="32">
        <f>IF(K37="","",IF(MONTH(K37+1)&lt;&gt;MONTH(K37),"",K37+1))</f>
        <v>45257</v>
      </c>
      <c r="M37" s="32">
        <f>IF(L37="","",IF(MONTH(L37+1)&lt;&gt;MONTH(L37),"",L37+1))</f>
        <v>45258</v>
      </c>
      <c r="N37" s="32">
        <f>IF(M37="","",IF(MONTH(M37+1)&lt;&gt;MONTH(M37),"",M37+1))</f>
        <v>45259</v>
      </c>
      <c r="O37" s="32">
        <f>IF(N37="","",IF(MONTH(N37+1)&lt;&gt;MONTH(N37),"",N37+1))</f>
        <v>45260</v>
      </c>
      <c r="P37" s="32" t="str">
        <f>IF(O37="","",IF(MONTH(O37+1)&lt;&gt;MONTH(O37),"",O37+1))</f>
        <v/>
      </c>
      <c r="Q37" s="32" t="str">
        <f>IF(P37="","",IF(MONTH(P37+1)&lt;&gt;MONTH(P37),"",P37+1))</f>
        <v/>
      </c>
      <c r="R37" s="61"/>
      <c r="S37" s="32">
        <f>IF(Y36="","",IF(MONTH(Y36+1)&lt;&gt;MONTH(Y36),"",Y36+1))</f>
        <v>45284</v>
      </c>
      <c r="T37" s="32">
        <f>IF(S37="","",IF(MONTH(S37+1)&lt;&gt;MONTH(S37),"",S37+1))</f>
        <v>45285</v>
      </c>
      <c r="U37" s="32">
        <f>IF(T37="","",IF(MONTH(T37+1)&lt;&gt;MONTH(T37),"",T37+1))</f>
        <v>45286</v>
      </c>
      <c r="V37" s="32">
        <f>IF(U37="","",IF(MONTH(U37+1)&lt;&gt;MONTH(U37),"",U37+1))</f>
        <v>45287</v>
      </c>
      <c r="W37" s="32">
        <f>IF(V37="","",IF(MONTH(V37+1)&lt;&gt;MONTH(V37),"",V37+1))</f>
        <v>45288</v>
      </c>
      <c r="X37" s="32">
        <f>IF(W37="","",IF(MONTH(W37+1)&lt;&gt;MONTH(W37),"",W37+1))</f>
        <v>45289</v>
      </c>
      <c r="Y37" s="32">
        <f>IF(X37="","",IF(MONTH(X37+1)&lt;&gt;MONTH(X37),"",X37+1))</f>
        <v>45290</v>
      </c>
      <c r="Z37" s="13"/>
      <c r="AB37" s="43">
        <v>37952</v>
      </c>
      <c r="AC37" s="60" t="s">
        <v>6761</v>
      </c>
      <c r="AD37" s="58"/>
    </row>
    <row r="38" spans="2:31" ht="15" customHeight="1" x14ac:dyDescent="0.2">
      <c r="B38" s="12"/>
      <c r="C38" s="32" t="str">
        <f>IF(I37="","",IF(MONTH(I37+1)&lt;&gt;MONTH(I37),"",I37+1))</f>
        <v/>
      </c>
      <c r="D38" s="32" t="str">
        <f>IF(C38="","",IF(MONTH(C38+1)&lt;&gt;MONTH(C38),"",C38+1))</f>
        <v/>
      </c>
      <c r="E38" s="32" t="str">
        <f>IF(D38="","",IF(MONTH(D38+1)&lt;&gt;MONTH(D38),"",D38+1))</f>
        <v/>
      </c>
      <c r="F38" s="32" t="str">
        <f>IF(E38="","",IF(MONTH(E38+1)&lt;&gt;MONTH(E38),"",E38+1))</f>
        <v/>
      </c>
      <c r="G38" s="32" t="str">
        <f>IF(F38="","",IF(MONTH(F38+1)&lt;&gt;MONTH(F38),"",F38+1))</f>
        <v/>
      </c>
      <c r="H38" s="32" t="str">
        <f>IF(G38="","",IF(MONTH(G38+1)&lt;&gt;MONTH(G38),"",G38+1))</f>
        <v/>
      </c>
      <c r="I38" s="32" t="str">
        <f>IF(H38="","",IF(MONTH(H38+1)&lt;&gt;MONTH(H38),"",H38+1))</f>
        <v/>
      </c>
      <c r="J38" s="61"/>
      <c r="K38" s="32" t="str">
        <f>IF(Q37="","",IF(MONTH(Q37+1)&lt;&gt;MONTH(Q37),"",Q37+1))</f>
        <v/>
      </c>
      <c r="L38" s="32" t="str">
        <f>IF(K38="","",IF(MONTH(K38+1)&lt;&gt;MONTH(K38),"",K38+1))</f>
        <v/>
      </c>
      <c r="M38" s="32" t="str">
        <f>IF(L38="","",IF(MONTH(L38+1)&lt;&gt;MONTH(L38),"",L38+1))</f>
        <v/>
      </c>
      <c r="N38" s="32" t="str">
        <f>IF(M38="","",IF(MONTH(M38+1)&lt;&gt;MONTH(M38),"",M38+1))</f>
        <v/>
      </c>
      <c r="O38" s="32" t="str">
        <f>IF(N38="","",IF(MONTH(N38+1)&lt;&gt;MONTH(N38),"",N38+1))</f>
        <v/>
      </c>
      <c r="P38" s="32" t="str">
        <f>IF(O38="","",IF(MONTH(O38+1)&lt;&gt;MONTH(O38),"",O38+1))</f>
        <v/>
      </c>
      <c r="Q38" s="32" t="str">
        <f>IF(P38="","",IF(MONTH(P38+1)&lt;&gt;MONTH(P38),"",P38+1))</f>
        <v/>
      </c>
      <c r="R38" s="61"/>
      <c r="S38" s="32">
        <f>IF(Y37="","",IF(MONTH(Y37+1)&lt;&gt;MONTH(Y37),"",Y37+1))</f>
        <v>45291</v>
      </c>
      <c r="T38" s="32" t="str">
        <f>IF(S38="","",IF(MONTH(S38+1)&lt;&gt;MONTH(S38),"",S38+1))</f>
        <v/>
      </c>
      <c r="U38" s="32" t="str">
        <f>IF(T38="","",IF(MONTH(T38+1)&lt;&gt;MONTH(T38),"",T38+1))</f>
        <v/>
      </c>
      <c r="V38" s="32" t="str">
        <f>IF(U38="","",IF(MONTH(U38+1)&lt;&gt;MONTH(U38),"",U38+1))</f>
        <v/>
      </c>
      <c r="W38" s="32" t="str">
        <f>IF(V38="","",IF(MONTH(V38+1)&lt;&gt;MONTH(V38),"",V38+1))</f>
        <v/>
      </c>
      <c r="X38" s="32" t="str">
        <f>IF(W38="","",IF(MONTH(W38+1)&lt;&gt;MONTH(W38),"",W38+1))</f>
        <v/>
      </c>
      <c r="Y38" s="32" t="str">
        <f>IF(X38="","",IF(MONTH(X38+1)&lt;&gt;MONTH(X38),"",X38+1))</f>
        <v/>
      </c>
      <c r="Z38" s="13"/>
      <c r="AB38" s="43">
        <v>37953</v>
      </c>
      <c r="AC38" s="60" t="s">
        <v>6761</v>
      </c>
      <c r="AD38" s="58"/>
    </row>
    <row r="39" spans="2:31" ht="15" customHeight="1" x14ac:dyDescent="0.2">
      <c r="B39" s="22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24"/>
      <c r="AB39" s="43">
        <v>37980</v>
      </c>
      <c r="AC39" s="60" t="s">
        <v>6761</v>
      </c>
      <c r="AD39" s="58"/>
    </row>
    <row r="40" spans="2:31" ht="15.75" x14ac:dyDescent="0.25">
      <c r="D40" s="42" t="str">
        <f>$AD$19</f>
        <v>5D Soil Stabe (H+W+SD)</v>
      </c>
      <c r="AB40" s="43">
        <v>37981</v>
      </c>
      <c r="AC40" s="60" t="s">
        <v>6761</v>
      </c>
      <c r="AD40" s="58"/>
    </row>
    <row r="41" spans="2:31" ht="15.75" x14ac:dyDescent="0.2">
      <c r="AB41" s="43">
        <v>37987</v>
      </c>
      <c r="AC41" s="60" t="s">
        <v>6761</v>
      </c>
      <c r="AD41" s="58"/>
    </row>
    <row r="42" spans="2:31" ht="15.75" x14ac:dyDescent="0.2">
      <c r="AB42" s="43">
        <v>38138</v>
      </c>
      <c r="AC42" s="60" t="s">
        <v>6761</v>
      </c>
      <c r="AD42" s="58"/>
    </row>
    <row r="43" spans="2:31" ht="15.75" x14ac:dyDescent="0.2">
      <c r="AB43" s="43">
        <v>38173</v>
      </c>
      <c r="AC43" s="60" t="s">
        <v>6761</v>
      </c>
      <c r="AD43" s="58"/>
    </row>
    <row r="44" spans="2:31" ht="15.75" x14ac:dyDescent="0.2">
      <c r="AB44" s="43">
        <v>38236</v>
      </c>
      <c r="AC44" s="60" t="s">
        <v>6761</v>
      </c>
      <c r="AD44" s="58"/>
    </row>
    <row r="45" spans="2:31" ht="15.75" x14ac:dyDescent="0.2">
      <c r="AB45" s="43">
        <v>38316</v>
      </c>
      <c r="AC45" s="60" t="s">
        <v>6761</v>
      </c>
      <c r="AD45" s="58"/>
    </row>
    <row r="46" spans="2:31" ht="16.5" thickBot="1" x14ac:dyDescent="0.3">
      <c r="C46" s="8" t="s">
        <v>488</v>
      </c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AB46" s="43">
        <v>38317</v>
      </c>
      <c r="AC46" s="60" t="s">
        <v>6761</v>
      </c>
      <c r="AD46" s="58"/>
    </row>
    <row r="47" spans="2:31" ht="17.25" thickTop="1" thickBot="1" x14ac:dyDescent="0.25">
      <c r="E47" s="9" t="s">
        <v>489</v>
      </c>
      <c r="F47" s="7"/>
      <c r="H47" s="9" t="s">
        <v>490</v>
      </c>
      <c r="I47" s="7"/>
      <c r="K47" s="9" t="s">
        <v>491</v>
      </c>
      <c r="L47" s="7"/>
      <c r="N47" s="9" t="s">
        <v>492</v>
      </c>
      <c r="O47" s="7"/>
      <c r="Q47" s="9" t="s">
        <v>493</v>
      </c>
      <c r="R47" s="7"/>
      <c r="T47" s="9" t="s">
        <v>494</v>
      </c>
      <c r="U47" s="7"/>
      <c r="W47" s="9" t="s">
        <v>495</v>
      </c>
      <c r="X47" s="7"/>
      <c r="AB47" s="43">
        <v>38345</v>
      </c>
      <c r="AC47" s="60" t="s">
        <v>6761</v>
      </c>
      <c r="AD47" s="58"/>
    </row>
    <row r="48" spans="2:31" ht="16.5" thickTop="1" x14ac:dyDescent="0.2">
      <c r="C48" s="14">
        <v>0</v>
      </c>
      <c r="D48" s="16"/>
      <c r="E48" s="48"/>
      <c r="F48" s="49"/>
      <c r="G48" s="18"/>
      <c r="H48" s="48"/>
      <c r="I48" s="49"/>
      <c r="J48" s="18"/>
      <c r="K48" s="48"/>
      <c r="L48" s="49"/>
      <c r="M48" s="18"/>
      <c r="N48" s="48"/>
      <c r="O48" s="49"/>
      <c r="P48" s="18"/>
      <c r="Q48" s="48"/>
      <c r="R48" s="49"/>
      <c r="S48" s="18"/>
      <c r="T48" s="48"/>
      <c r="U48" s="49"/>
      <c r="V48" s="18"/>
      <c r="W48" s="48"/>
      <c r="X48" s="54"/>
      <c r="AB48" s="43">
        <v>38352</v>
      </c>
      <c r="AC48" s="60" t="s">
        <v>6761</v>
      </c>
      <c r="AD48" s="58"/>
    </row>
    <row r="49" spans="3:30" ht="15.75" x14ac:dyDescent="0.2">
      <c r="C49" s="15">
        <f t="shared" ref="C49:C71" si="0">C48 + 1/24</f>
        <v>4.1666666666666664E-2</v>
      </c>
      <c r="D49" s="17"/>
      <c r="E49" s="50"/>
      <c r="F49" s="51"/>
      <c r="G49" s="19"/>
      <c r="H49" s="50"/>
      <c r="I49" s="51"/>
      <c r="J49" s="19"/>
      <c r="K49" s="50"/>
      <c r="L49" s="51"/>
      <c r="M49" s="19"/>
      <c r="N49" s="50"/>
      <c r="O49" s="51"/>
      <c r="P49" s="19"/>
      <c r="Q49" s="50"/>
      <c r="R49" s="51"/>
      <c r="S49" s="19"/>
      <c r="T49" s="50"/>
      <c r="U49" s="51"/>
      <c r="V49" s="19"/>
      <c r="W49" s="50"/>
      <c r="X49" s="55"/>
      <c r="AB49" s="43">
        <v>38502</v>
      </c>
      <c r="AC49" s="60" t="s">
        <v>6761</v>
      </c>
      <c r="AD49" s="58"/>
    </row>
    <row r="50" spans="3:30" ht="15.75" x14ac:dyDescent="0.2">
      <c r="C50" s="15">
        <f t="shared" si="0"/>
        <v>8.3333333333333329E-2</v>
      </c>
      <c r="D50" s="17"/>
      <c r="E50" s="50"/>
      <c r="F50" s="51"/>
      <c r="G50" s="19"/>
      <c r="H50" s="50"/>
      <c r="I50" s="51"/>
      <c r="J50" s="19"/>
      <c r="K50" s="50"/>
      <c r="L50" s="51"/>
      <c r="M50" s="19"/>
      <c r="N50" s="50"/>
      <c r="O50" s="51"/>
      <c r="P50" s="19"/>
      <c r="Q50" s="50"/>
      <c r="R50" s="51"/>
      <c r="S50" s="19"/>
      <c r="T50" s="50"/>
      <c r="U50" s="51"/>
      <c r="V50" s="19"/>
      <c r="W50" s="50"/>
      <c r="X50" s="55"/>
      <c r="AB50" s="43">
        <v>38537</v>
      </c>
      <c r="AC50" s="60" t="s">
        <v>6761</v>
      </c>
      <c r="AD50" s="58"/>
    </row>
    <row r="51" spans="3:30" ht="15.75" x14ac:dyDescent="0.2">
      <c r="C51" s="15">
        <f t="shared" si="0"/>
        <v>0.125</v>
      </c>
      <c r="D51" s="17"/>
      <c r="E51" s="50"/>
      <c r="F51" s="51"/>
      <c r="G51" s="19"/>
      <c r="H51" s="50"/>
      <c r="I51" s="51"/>
      <c r="J51" s="19"/>
      <c r="K51" s="50"/>
      <c r="L51" s="51"/>
      <c r="M51" s="19"/>
      <c r="N51" s="50"/>
      <c r="O51" s="51"/>
      <c r="P51" s="19"/>
      <c r="Q51" s="50"/>
      <c r="R51" s="51"/>
      <c r="S51" s="19"/>
      <c r="T51" s="50"/>
      <c r="U51" s="51"/>
      <c r="V51" s="19"/>
      <c r="W51" s="50"/>
      <c r="X51" s="55"/>
      <c r="AB51" s="43">
        <v>38600</v>
      </c>
      <c r="AC51" s="60" t="s">
        <v>6761</v>
      </c>
      <c r="AD51" s="58"/>
    </row>
    <row r="52" spans="3:30" ht="15.75" x14ac:dyDescent="0.2">
      <c r="C52" s="15">
        <f t="shared" si="0"/>
        <v>0.16666666666666666</v>
      </c>
      <c r="D52" s="17"/>
      <c r="E52" s="50"/>
      <c r="F52" s="51"/>
      <c r="G52" s="19"/>
      <c r="H52" s="50"/>
      <c r="I52" s="51"/>
      <c r="J52" s="19"/>
      <c r="K52" s="50"/>
      <c r="L52" s="51"/>
      <c r="M52" s="19"/>
      <c r="N52" s="50"/>
      <c r="O52" s="51"/>
      <c r="P52" s="19"/>
      <c r="Q52" s="50"/>
      <c r="R52" s="51"/>
      <c r="S52" s="19"/>
      <c r="T52" s="50"/>
      <c r="U52" s="51"/>
      <c r="V52" s="19"/>
      <c r="W52" s="50"/>
      <c r="X52" s="55"/>
      <c r="AB52" s="43">
        <v>38680</v>
      </c>
      <c r="AC52" s="60" t="s">
        <v>6761</v>
      </c>
      <c r="AD52" s="58"/>
    </row>
    <row r="53" spans="3:30" ht="15.75" x14ac:dyDescent="0.2">
      <c r="C53" s="15">
        <f t="shared" si="0"/>
        <v>0.20833333333333331</v>
      </c>
      <c r="D53" s="17"/>
      <c r="E53" s="50"/>
      <c r="F53" s="51"/>
      <c r="G53" s="19"/>
      <c r="H53" s="50"/>
      <c r="I53" s="51"/>
      <c r="J53" s="19"/>
      <c r="K53" s="50"/>
      <c r="L53" s="51"/>
      <c r="M53" s="19"/>
      <c r="N53" s="50"/>
      <c r="O53" s="51"/>
      <c r="P53" s="19"/>
      <c r="Q53" s="50"/>
      <c r="R53" s="51"/>
      <c r="S53" s="19"/>
      <c r="T53" s="50"/>
      <c r="U53" s="51"/>
      <c r="V53" s="19"/>
      <c r="W53" s="50"/>
      <c r="X53" s="55"/>
      <c r="AB53" s="43">
        <v>38681</v>
      </c>
      <c r="AC53" s="60" t="s">
        <v>6761</v>
      </c>
      <c r="AD53" s="58"/>
    </row>
    <row r="54" spans="3:30" ht="15.75" x14ac:dyDescent="0.2">
      <c r="C54" s="15">
        <f t="shared" si="0"/>
        <v>0.24999999999999997</v>
      </c>
      <c r="D54" s="17"/>
      <c r="E54" s="50"/>
      <c r="F54" s="51"/>
      <c r="G54" s="19"/>
      <c r="H54" s="50"/>
      <c r="I54" s="51"/>
      <c r="J54" s="19"/>
      <c r="K54" s="50"/>
      <c r="L54" s="51"/>
      <c r="M54" s="19"/>
      <c r="N54" s="50"/>
      <c r="O54" s="51"/>
      <c r="P54" s="19"/>
      <c r="Q54" s="50"/>
      <c r="R54" s="51"/>
      <c r="S54" s="19"/>
      <c r="T54" s="50"/>
      <c r="U54" s="51"/>
      <c r="V54" s="19"/>
      <c r="W54" s="50"/>
      <c r="X54" s="55"/>
      <c r="AB54" s="43">
        <v>38712</v>
      </c>
      <c r="AC54" s="60" t="s">
        <v>6761</v>
      </c>
      <c r="AD54" s="58"/>
    </row>
    <row r="55" spans="3:30" ht="15.75" x14ac:dyDescent="0.2">
      <c r="C55" s="15">
        <f t="shared" si="0"/>
        <v>0.29166666666666663</v>
      </c>
      <c r="D55" s="17"/>
      <c r="E55" s="50"/>
      <c r="F55" s="51"/>
      <c r="G55" s="19"/>
      <c r="H55" s="50"/>
      <c r="I55" s="51"/>
      <c r="J55" s="19"/>
      <c r="K55" s="50"/>
      <c r="L55" s="51"/>
      <c r="M55" s="19"/>
      <c r="N55" s="50"/>
      <c r="O55" s="51"/>
      <c r="P55" s="19"/>
      <c r="Q55" s="50"/>
      <c r="R55" s="51"/>
      <c r="S55" s="19"/>
      <c r="T55" s="50"/>
      <c r="U55" s="51"/>
      <c r="V55" s="19"/>
      <c r="W55" s="50"/>
      <c r="X55" s="55"/>
      <c r="AB55" s="43">
        <v>38719</v>
      </c>
      <c r="AC55" s="60" t="s">
        <v>6761</v>
      </c>
      <c r="AD55" s="58"/>
    </row>
    <row r="56" spans="3:30" ht="15.75" x14ac:dyDescent="0.2">
      <c r="C56" s="15">
        <f t="shared" si="0"/>
        <v>0.33333333333333331</v>
      </c>
      <c r="D56" s="17"/>
      <c r="E56" s="50"/>
      <c r="F56" s="51"/>
      <c r="G56" s="19"/>
      <c r="H56" s="37"/>
      <c r="I56" s="38"/>
      <c r="J56" s="19"/>
      <c r="K56" s="37"/>
      <c r="L56" s="38"/>
      <c r="M56" s="19"/>
      <c r="N56" s="37"/>
      <c r="O56" s="38"/>
      <c r="P56" s="19"/>
      <c r="Q56" s="37"/>
      <c r="R56" s="38"/>
      <c r="S56" s="19"/>
      <c r="T56" s="37"/>
      <c r="U56" s="38"/>
      <c r="V56" s="19"/>
      <c r="W56" s="50"/>
      <c r="X56" s="55"/>
      <c r="AB56" s="43">
        <v>38866</v>
      </c>
      <c r="AC56" s="60" t="s">
        <v>6761</v>
      </c>
      <c r="AD56" s="58"/>
    </row>
    <row r="57" spans="3:30" ht="15.75" x14ac:dyDescent="0.2">
      <c r="C57" s="15">
        <f t="shared" si="0"/>
        <v>0.375</v>
      </c>
      <c r="D57" s="17"/>
      <c r="E57" s="50"/>
      <c r="F57" s="51"/>
      <c r="G57" s="19"/>
      <c r="H57" s="37"/>
      <c r="I57" s="38"/>
      <c r="J57" s="19"/>
      <c r="K57" s="37"/>
      <c r="L57" s="38"/>
      <c r="M57" s="19"/>
      <c r="N57" s="37"/>
      <c r="O57" s="38"/>
      <c r="P57" s="19"/>
      <c r="Q57" s="37"/>
      <c r="R57" s="38"/>
      <c r="S57" s="19"/>
      <c r="T57" s="37"/>
      <c r="U57" s="38"/>
      <c r="V57" s="19"/>
      <c r="W57" s="50"/>
      <c r="X57" s="55"/>
      <c r="AB57" s="43">
        <v>38902</v>
      </c>
      <c r="AC57" s="60" t="s">
        <v>6761</v>
      </c>
      <c r="AD57" s="58"/>
    </row>
    <row r="58" spans="3:30" ht="15.75" x14ac:dyDescent="0.2">
      <c r="C58" s="15">
        <f t="shared" si="0"/>
        <v>0.41666666666666669</v>
      </c>
      <c r="D58" s="17"/>
      <c r="E58" s="50"/>
      <c r="F58" s="51"/>
      <c r="G58" s="19"/>
      <c r="H58" s="37"/>
      <c r="I58" s="38"/>
      <c r="J58" s="19"/>
      <c r="K58" s="37"/>
      <c r="L58" s="38"/>
      <c r="M58" s="19"/>
      <c r="N58" s="37"/>
      <c r="O58" s="38"/>
      <c r="P58" s="19"/>
      <c r="Q58" s="37"/>
      <c r="R58" s="38"/>
      <c r="S58" s="19"/>
      <c r="T58" s="37"/>
      <c r="U58" s="38"/>
      <c r="V58" s="19"/>
      <c r="W58" s="50"/>
      <c r="X58" s="55"/>
      <c r="AB58" s="43">
        <v>38964</v>
      </c>
      <c r="AC58" s="60" t="s">
        <v>6761</v>
      </c>
      <c r="AD58" s="58"/>
    </row>
    <row r="59" spans="3:30" ht="15.75" x14ac:dyDescent="0.2">
      <c r="C59" s="15">
        <f t="shared" si="0"/>
        <v>0.45833333333333337</v>
      </c>
      <c r="D59" s="17"/>
      <c r="E59" s="50"/>
      <c r="F59" s="51"/>
      <c r="G59" s="19"/>
      <c r="H59" s="37"/>
      <c r="I59" s="38"/>
      <c r="J59" s="19"/>
      <c r="K59" s="37"/>
      <c r="L59" s="38"/>
      <c r="M59" s="19"/>
      <c r="N59" s="37"/>
      <c r="O59" s="38"/>
      <c r="P59" s="19"/>
      <c r="Q59" s="37"/>
      <c r="R59" s="38"/>
      <c r="S59" s="19"/>
      <c r="T59" s="37"/>
      <c r="U59" s="38"/>
      <c r="V59" s="19"/>
      <c r="W59" s="50"/>
      <c r="X59" s="55"/>
      <c r="AB59" s="43">
        <v>39044</v>
      </c>
      <c r="AC59" s="60" t="s">
        <v>6761</v>
      </c>
      <c r="AD59" s="58"/>
    </row>
    <row r="60" spans="3:30" ht="15.75" x14ac:dyDescent="0.2">
      <c r="C60" s="15">
        <f t="shared" si="0"/>
        <v>0.5</v>
      </c>
      <c r="D60" s="17"/>
      <c r="E60" s="50"/>
      <c r="F60" s="51"/>
      <c r="G60" s="19"/>
      <c r="H60" s="50"/>
      <c r="I60" s="51"/>
      <c r="J60" s="19"/>
      <c r="K60" s="50"/>
      <c r="L60" s="51"/>
      <c r="M60" s="19"/>
      <c r="N60" s="50"/>
      <c r="O60" s="51"/>
      <c r="P60" s="19"/>
      <c r="Q60" s="50"/>
      <c r="R60" s="51"/>
      <c r="S60" s="19"/>
      <c r="T60" s="50"/>
      <c r="U60" s="51"/>
      <c r="V60" s="19"/>
      <c r="W60" s="50"/>
      <c r="X60" s="55"/>
      <c r="AB60" s="43">
        <v>39045</v>
      </c>
      <c r="AC60" s="60" t="s">
        <v>6761</v>
      </c>
      <c r="AD60" s="58"/>
    </row>
    <row r="61" spans="3:30" ht="15.75" x14ac:dyDescent="0.2">
      <c r="C61" s="15">
        <f t="shared" si="0"/>
        <v>0.54166666666666663</v>
      </c>
      <c r="D61" s="17"/>
      <c r="E61" s="50"/>
      <c r="F61" s="51"/>
      <c r="G61" s="19"/>
      <c r="H61" s="37"/>
      <c r="I61" s="38"/>
      <c r="J61" s="19"/>
      <c r="K61" s="37"/>
      <c r="L61" s="38"/>
      <c r="M61" s="19"/>
      <c r="N61" s="37"/>
      <c r="O61" s="38"/>
      <c r="P61" s="19"/>
      <c r="Q61" s="37"/>
      <c r="R61" s="38"/>
      <c r="S61" s="19"/>
      <c r="T61" s="37"/>
      <c r="U61" s="38"/>
      <c r="V61" s="19"/>
      <c r="W61" s="50"/>
      <c r="X61" s="55"/>
      <c r="AB61" s="43">
        <v>39076</v>
      </c>
      <c r="AC61" s="60" t="s">
        <v>6761</v>
      </c>
      <c r="AD61" s="58"/>
    </row>
    <row r="62" spans="3:30" ht="15.75" x14ac:dyDescent="0.2">
      <c r="C62" s="15">
        <f t="shared" si="0"/>
        <v>0.58333333333333326</v>
      </c>
      <c r="D62" s="17"/>
      <c r="E62" s="50"/>
      <c r="F62" s="51"/>
      <c r="G62" s="19"/>
      <c r="H62" s="37"/>
      <c r="I62" s="38"/>
      <c r="J62" s="19"/>
      <c r="K62" s="37"/>
      <c r="L62" s="38"/>
      <c r="M62" s="19"/>
      <c r="N62" s="37"/>
      <c r="O62" s="38"/>
      <c r="P62" s="19"/>
      <c r="Q62" s="37"/>
      <c r="R62" s="38"/>
      <c r="S62" s="19"/>
      <c r="T62" s="37"/>
      <c r="U62" s="38"/>
      <c r="V62" s="19"/>
      <c r="W62" s="50"/>
      <c r="X62" s="55"/>
      <c r="AB62" s="43">
        <v>39083</v>
      </c>
      <c r="AC62" s="60" t="s">
        <v>6761</v>
      </c>
      <c r="AD62" s="58"/>
    </row>
    <row r="63" spans="3:30" ht="15.75" x14ac:dyDescent="0.2">
      <c r="C63" s="15">
        <f t="shared" si="0"/>
        <v>0.62499999999999989</v>
      </c>
      <c r="D63" s="17"/>
      <c r="E63" s="50"/>
      <c r="F63" s="51"/>
      <c r="G63" s="19"/>
      <c r="H63" s="37"/>
      <c r="I63" s="38"/>
      <c r="J63" s="19"/>
      <c r="K63" s="37"/>
      <c r="L63" s="38"/>
      <c r="M63" s="19"/>
      <c r="N63" s="37"/>
      <c r="O63" s="38"/>
      <c r="P63" s="19"/>
      <c r="Q63" s="37"/>
      <c r="R63" s="38"/>
      <c r="S63" s="19"/>
      <c r="T63" s="37"/>
      <c r="U63" s="38"/>
      <c r="V63" s="19"/>
      <c r="W63" s="50"/>
      <c r="X63" s="55"/>
      <c r="AB63" s="43">
        <v>40063</v>
      </c>
      <c r="AC63" s="60" t="s">
        <v>6761</v>
      </c>
      <c r="AD63" s="58"/>
    </row>
    <row r="64" spans="3:30" ht="15.75" x14ac:dyDescent="0.2">
      <c r="C64" s="15">
        <f t="shared" si="0"/>
        <v>0.66666666666666652</v>
      </c>
      <c r="D64" s="17"/>
      <c r="E64" s="50"/>
      <c r="F64" s="51"/>
      <c r="G64" s="19"/>
      <c r="H64" s="37"/>
      <c r="I64" s="38"/>
      <c r="J64" s="19"/>
      <c r="K64" s="37"/>
      <c r="L64" s="38"/>
      <c r="M64" s="19"/>
      <c r="N64" s="37"/>
      <c r="O64" s="38"/>
      <c r="P64" s="19"/>
      <c r="Q64" s="37"/>
      <c r="R64" s="38"/>
      <c r="S64" s="19"/>
      <c r="T64" s="37"/>
      <c r="U64" s="38"/>
      <c r="V64" s="19"/>
      <c r="W64" s="50"/>
      <c r="X64" s="55"/>
      <c r="AB64" s="43">
        <v>40088</v>
      </c>
      <c r="AC64" s="60" t="s">
        <v>6761</v>
      </c>
      <c r="AD64" s="58"/>
    </row>
    <row r="65" spans="3:30" ht="15.75" x14ac:dyDescent="0.2">
      <c r="C65" s="15">
        <f t="shared" si="0"/>
        <v>0.70833333333333315</v>
      </c>
      <c r="D65" s="17"/>
      <c r="E65" s="50"/>
      <c r="F65" s="51"/>
      <c r="G65" s="19"/>
      <c r="H65" s="50"/>
      <c r="I65" s="51"/>
      <c r="J65" s="19"/>
      <c r="K65" s="50"/>
      <c r="L65" s="51"/>
      <c r="M65" s="19"/>
      <c r="N65" s="50"/>
      <c r="O65" s="51"/>
      <c r="P65" s="19"/>
      <c r="Q65" s="50"/>
      <c r="R65" s="51"/>
      <c r="S65" s="19"/>
      <c r="T65" s="50"/>
      <c r="U65" s="51"/>
      <c r="V65" s="19"/>
      <c r="W65" s="50"/>
      <c r="X65" s="55"/>
      <c r="AB65" s="43">
        <v>40107</v>
      </c>
      <c r="AC65" s="60" t="s">
        <v>6761</v>
      </c>
      <c r="AD65" s="58"/>
    </row>
    <row r="66" spans="3:30" ht="15.75" x14ac:dyDescent="0.2">
      <c r="C66" s="15">
        <f t="shared" si="0"/>
        <v>0.74999999999999978</v>
      </c>
      <c r="D66" s="17"/>
      <c r="E66" s="50"/>
      <c r="F66" s="51"/>
      <c r="G66" s="19"/>
      <c r="H66" s="50"/>
      <c r="I66" s="51"/>
      <c r="J66" s="19"/>
      <c r="K66" s="50"/>
      <c r="L66" s="51"/>
      <c r="M66" s="19"/>
      <c r="N66" s="50"/>
      <c r="O66" s="51"/>
      <c r="P66" s="19"/>
      <c r="Q66" s="50"/>
      <c r="R66" s="51"/>
      <c r="S66" s="19"/>
      <c r="T66" s="50"/>
      <c r="U66" s="51"/>
      <c r="V66" s="19"/>
      <c r="W66" s="50"/>
      <c r="X66" s="55"/>
      <c r="AB66" s="43">
        <v>40115</v>
      </c>
      <c r="AC66" s="60" t="s">
        <v>6761</v>
      </c>
      <c r="AD66" s="58"/>
    </row>
    <row r="67" spans="3:30" ht="15.75" x14ac:dyDescent="0.2">
      <c r="C67" s="15">
        <f t="shared" si="0"/>
        <v>0.79166666666666641</v>
      </c>
      <c r="D67" s="17"/>
      <c r="E67" s="50"/>
      <c r="F67" s="51"/>
      <c r="G67" s="19"/>
      <c r="H67" s="50"/>
      <c r="I67" s="51"/>
      <c r="J67" s="19"/>
      <c r="K67" s="50"/>
      <c r="L67" s="51"/>
      <c r="M67" s="19"/>
      <c r="N67" s="50"/>
      <c r="O67" s="51"/>
      <c r="P67" s="19"/>
      <c r="Q67" s="50"/>
      <c r="R67" s="51"/>
      <c r="S67" s="19"/>
      <c r="T67" s="50"/>
      <c r="U67" s="51"/>
      <c r="V67" s="19"/>
      <c r="W67" s="50"/>
      <c r="X67" s="55"/>
      <c r="AB67" s="43">
        <v>40143</v>
      </c>
      <c r="AC67" s="60" t="s">
        <v>6761</v>
      </c>
      <c r="AD67" s="58"/>
    </row>
    <row r="68" spans="3:30" ht="15.75" x14ac:dyDescent="0.2">
      <c r="C68" s="15">
        <f t="shared" si="0"/>
        <v>0.83333333333333304</v>
      </c>
      <c r="D68" s="17"/>
      <c r="E68" s="50"/>
      <c r="F68" s="51"/>
      <c r="G68" s="19"/>
      <c r="H68" s="50"/>
      <c r="I68" s="51"/>
      <c r="J68" s="19"/>
      <c r="K68" s="50"/>
      <c r="L68" s="51"/>
      <c r="M68" s="19"/>
      <c r="N68" s="50"/>
      <c r="O68" s="51"/>
      <c r="P68" s="19"/>
      <c r="Q68" s="50"/>
      <c r="R68" s="51"/>
      <c r="S68" s="19"/>
      <c r="T68" s="50"/>
      <c r="U68" s="51"/>
      <c r="V68" s="19"/>
      <c r="W68" s="50"/>
      <c r="X68" s="55"/>
      <c r="AB68" s="43">
        <v>40144</v>
      </c>
      <c r="AC68" s="60" t="s">
        <v>6761</v>
      </c>
      <c r="AD68" s="58"/>
    </row>
    <row r="69" spans="3:30" ht="15.75" x14ac:dyDescent="0.2">
      <c r="C69" s="15">
        <f t="shared" si="0"/>
        <v>0.87499999999999967</v>
      </c>
      <c r="D69" s="17"/>
      <c r="E69" s="50"/>
      <c r="F69" s="51"/>
      <c r="G69" s="19"/>
      <c r="H69" s="50"/>
      <c r="I69" s="51"/>
      <c r="J69" s="19"/>
      <c r="K69" s="50"/>
      <c r="L69" s="51"/>
      <c r="M69" s="19"/>
      <c r="N69" s="50"/>
      <c r="O69" s="51"/>
      <c r="P69" s="19"/>
      <c r="Q69" s="50"/>
      <c r="R69" s="51"/>
      <c r="S69" s="19"/>
      <c r="T69" s="50"/>
      <c r="U69" s="51"/>
      <c r="V69" s="19"/>
      <c r="W69" s="50"/>
      <c r="X69" s="55"/>
      <c r="AB69" s="43">
        <v>40171</v>
      </c>
      <c r="AC69" s="60" t="s">
        <v>6761</v>
      </c>
      <c r="AD69" s="58"/>
    </row>
    <row r="70" spans="3:30" ht="15.75" x14ac:dyDescent="0.2">
      <c r="C70" s="15">
        <f t="shared" si="0"/>
        <v>0.9166666666666663</v>
      </c>
      <c r="D70" s="17"/>
      <c r="E70" s="50"/>
      <c r="F70" s="51"/>
      <c r="G70" s="19"/>
      <c r="H70" s="50"/>
      <c r="I70" s="51"/>
      <c r="J70" s="19"/>
      <c r="K70" s="50"/>
      <c r="L70" s="51"/>
      <c r="M70" s="19"/>
      <c r="N70" s="50"/>
      <c r="O70" s="51"/>
      <c r="P70" s="19"/>
      <c r="Q70" s="50"/>
      <c r="R70" s="51"/>
      <c r="S70" s="19"/>
      <c r="T70" s="50"/>
      <c r="U70" s="51"/>
      <c r="V70" s="19"/>
      <c r="W70" s="50"/>
      <c r="X70" s="55"/>
      <c r="AB70" s="43">
        <v>40172</v>
      </c>
      <c r="AC70" s="60" t="s">
        <v>6761</v>
      </c>
      <c r="AD70" s="58"/>
    </row>
    <row r="71" spans="3:30" ht="16.5" thickBot="1" x14ac:dyDescent="0.25">
      <c r="C71" s="20">
        <f t="shared" si="0"/>
        <v>0.95833333333333293</v>
      </c>
      <c r="D71" s="20"/>
      <c r="E71" s="52"/>
      <c r="F71" s="53"/>
      <c r="G71" s="11"/>
      <c r="H71" s="52"/>
      <c r="I71" s="53"/>
      <c r="J71" s="11"/>
      <c r="K71" s="52"/>
      <c r="L71" s="53"/>
      <c r="M71" s="11"/>
      <c r="N71" s="52"/>
      <c r="O71" s="53"/>
      <c r="P71" s="11"/>
      <c r="Q71" s="52"/>
      <c r="R71" s="53"/>
      <c r="S71" s="11"/>
      <c r="T71" s="52"/>
      <c r="U71" s="53"/>
      <c r="V71" s="11"/>
      <c r="W71" s="52"/>
      <c r="X71" s="53"/>
      <c r="AB71" s="43">
        <v>40179</v>
      </c>
      <c r="AC71" s="60" t="s">
        <v>6761</v>
      </c>
      <c r="AD71" s="58"/>
    </row>
    <row r="72" spans="3:30" ht="16.5" thickTop="1" x14ac:dyDescent="0.25">
      <c r="D72" s="42" t="str">
        <f>$AD$19</f>
        <v>5D Soil Stabe (H+W+SD)</v>
      </c>
      <c r="AB72" s="43">
        <v>40329</v>
      </c>
      <c r="AC72" s="60" t="s">
        <v>6761</v>
      </c>
      <c r="AD72" s="58"/>
    </row>
    <row r="73" spans="3:30" ht="15.75" x14ac:dyDescent="0.2">
      <c r="AB73" s="43">
        <v>40364</v>
      </c>
      <c r="AC73" s="60" t="s">
        <v>6761</v>
      </c>
      <c r="AD73" s="58"/>
    </row>
    <row r="74" spans="3:30" ht="15.75" x14ac:dyDescent="0.2">
      <c r="AB74" s="43">
        <v>40427</v>
      </c>
      <c r="AC74" s="60" t="s">
        <v>6761</v>
      </c>
      <c r="AD74" s="58"/>
    </row>
    <row r="75" spans="3:30" ht="15.75" x14ac:dyDescent="0.2">
      <c r="AB75" s="43">
        <v>40544</v>
      </c>
      <c r="AC75" s="60" t="s">
        <v>6761</v>
      </c>
      <c r="AD75" s="58"/>
    </row>
    <row r="76" spans="3:30" ht="15.75" x14ac:dyDescent="0.2">
      <c r="AB76" s="43">
        <v>40618</v>
      </c>
      <c r="AC76" s="60" t="s">
        <v>6761</v>
      </c>
      <c r="AD76" s="58"/>
    </row>
    <row r="77" spans="3:30" ht="15.75" x14ac:dyDescent="0.2">
      <c r="AB77" s="43">
        <v>40624</v>
      </c>
      <c r="AC77" s="60" t="s">
        <v>6761</v>
      </c>
      <c r="AD77" s="58"/>
    </row>
    <row r="78" spans="3:30" ht="15.75" x14ac:dyDescent="0.2">
      <c r="AB78" s="43">
        <v>40646</v>
      </c>
      <c r="AC78" s="60" t="s">
        <v>6761</v>
      </c>
      <c r="AD78" s="58"/>
    </row>
    <row r="79" spans="3:30" ht="15.75" x14ac:dyDescent="0.2">
      <c r="AB79" s="43">
        <v>40693</v>
      </c>
      <c r="AC79" s="60" t="s">
        <v>6761</v>
      </c>
      <c r="AD79" s="58"/>
    </row>
    <row r="80" spans="3:30" ht="15.75" x14ac:dyDescent="0.2">
      <c r="AB80" s="43">
        <v>40728</v>
      </c>
      <c r="AC80" s="60" t="s">
        <v>6761</v>
      </c>
      <c r="AD80" s="58"/>
    </row>
    <row r="81" spans="28:30" ht="15.75" x14ac:dyDescent="0.2">
      <c r="AB81" s="43">
        <v>40791</v>
      </c>
      <c r="AC81" s="60" t="s">
        <v>6761</v>
      </c>
      <c r="AD81" s="58"/>
    </row>
    <row r="82" spans="28:30" ht="15.75" x14ac:dyDescent="0.2">
      <c r="AB82" s="43">
        <v>40833</v>
      </c>
      <c r="AC82" s="60" t="s">
        <v>6761</v>
      </c>
      <c r="AD82" s="58"/>
    </row>
    <row r="83" spans="28:30" ht="15.75" x14ac:dyDescent="0.2">
      <c r="AB83" s="43">
        <v>40857</v>
      </c>
      <c r="AC83" s="60" t="s">
        <v>6761</v>
      </c>
      <c r="AD83" s="58"/>
    </row>
    <row r="84" spans="28:30" ht="15.75" x14ac:dyDescent="0.2">
      <c r="AB84" s="43">
        <v>40871</v>
      </c>
      <c r="AC84" s="60" t="s">
        <v>6761</v>
      </c>
      <c r="AD84" s="58"/>
    </row>
    <row r="85" spans="28:30" ht="15.75" x14ac:dyDescent="0.2">
      <c r="AB85" s="43">
        <v>40872</v>
      </c>
      <c r="AC85" s="60" t="s">
        <v>6761</v>
      </c>
      <c r="AD85" s="58"/>
    </row>
    <row r="86" spans="28:30" ht="15.75" x14ac:dyDescent="0.2">
      <c r="AB86" s="43">
        <v>40873</v>
      </c>
      <c r="AC86" s="60" t="s">
        <v>6761</v>
      </c>
      <c r="AD86" s="58"/>
    </row>
    <row r="87" spans="28:30" ht="15.75" x14ac:dyDescent="0.2">
      <c r="AB87" s="43">
        <v>40892</v>
      </c>
      <c r="AC87" s="60" t="s">
        <v>6761</v>
      </c>
      <c r="AD87" s="58"/>
    </row>
    <row r="88" spans="28:30" ht="15.75" x14ac:dyDescent="0.2">
      <c r="AB88" s="43">
        <v>40901</v>
      </c>
      <c r="AC88" s="60" t="s">
        <v>6761</v>
      </c>
      <c r="AD88" s="58"/>
    </row>
    <row r="89" spans="28:30" ht="15.75" x14ac:dyDescent="0.2">
      <c r="AB89" s="43">
        <v>40903</v>
      </c>
      <c r="AC89" s="60" t="s">
        <v>6761</v>
      </c>
      <c r="AD89" s="58"/>
    </row>
    <row r="90" spans="28:30" ht="15.75" x14ac:dyDescent="0.2">
      <c r="AB90" s="43">
        <v>40904</v>
      </c>
      <c r="AC90" s="60" t="s">
        <v>6761</v>
      </c>
      <c r="AD90" s="58"/>
    </row>
    <row r="91" spans="28:30" ht="15.75" x14ac:dyDescent="0.2">
      <c r="AB91" s="43">
        <v>40910</v>
      </c>
      <c r="AC91" s="60" t="s">
        <v>6761</v>
      </c>
      <c r="AD91" s="58"/>
    </row>
    <row r="92" spans="28:30" ht="15.75" x14ac:dyDescent="0.2">
      <c r="AB92" s="43">
        <v>40920</v>
      </c>
      <c r="AC92" s="60" t="s">
        <v>6761</v>
      </c>
      <c r="AD92" s="58"/>
    </row>
    <row r="93" spans="28:30" ht="15.75" x14ac:dyDescent="0.2">
      <c r="AB93" s="43">
        <v>40924</v>
      </c>
      <c r="AC93" s="60" t="s">
        <v>6761</v>
      </c>
      <c r="AD93" s="58"/>
    </row>
    <row r="94" spans="28:30" ht="15.75" x14ac:dyDescent="0.2">
      <c r="AB94" s="43">
        <v>40946</v>
      </c>
      <c r="AC94" s="60" t="s">
        <v>6761</v>
      </c>
      <c r="AD94" s="58"/>
    </row>
    <row r="95" spans="28:30" ht="15.75" x14ac:dyDescent="0.2">
      <c r="AB95" s="43">
        <v>40959</v>
      </c>
      <c r="AC95" s="60" t="s">
        <v>6761</v>
      </c>
      <c r="AD95" s="58"/>
    </row>
    <row r="96" spans="28:30" ht="15.75" x14ac:dyDescent="0.2">
      <c r="AB96" s="43">
        <v>40974</v>
      </c>
      <c r="AC96" s="60" t="s">
        <v>6761</v>
      </c>
      <c r="AD96" s="58"/>
    </row>
    <row r="97" spans="28:30" ht="15.75" x14ac:dyDescent="0.2">
      <c r="AB97" s="43">
        <v>40987</v>
      </c>
      <c r="AC97" s="60" t="s">
        <v>6761</v>
      </c>
      <c r="AD97" s="58"/>
    </row>
    <row r="98" spans="28:30" ht="15.75" x14ac:dyDescent="0.2">
      <c r="AB98" s="43">
        <v>41057</v>
      </c>
      <c r="AC98" s="60" t="s">
        <v>6761</v>
      </c>
      <c r="AD98" s="58"/>
    </row>
    <row r="99" spans="28:30" ht="15.75" x14ac:dyDescent="0.2">
      <c r="AB99" s="43">
        <v>41094</v>
      </c>
      <c r="AC99" s="60" t="s">
        <v>6761</v>
      </c>
      <c r="AD99" s="58"/>
    </row>
    <row r="100" spans="28:30" ht="15.75" x14ac:dyDescent="0.2">
      <c r="AB100" s="43">
        <v>41155</v>
      </c>
      <c r="AC100" s="60" t="s">
        <v>6761</v>
      </c>
      <c r="AD100" s="58"/>
    </row>
    <row r="101" spans="28:30" ht="15.75" x14ac:dyDescent="0.2">
      <c r="AB101" s="43">
        <v>41204</v>
      </c>
      <c r="AC101" s="60" t="s">
        <v>6761</v>
      </c>
      <c r="AD101" s="58"/>
    </row>
    <row r="102" spans="28:30" ht="15.75" x14ac:dyDescent="0.2">
      <c r="AB102" s="43">
        <v>41230</v>
      </c>
      <c r="AC102" s="60" t="s">
        <v>6761</v>
      </c>
      <c r="AD102" s="58"/>
    </row>
    <row r="103" spans="28:30" ht="15.75" x14ac:dyDescent="0.2">
      <c r="AB103" s="43">
        <v>41242</v>
      </c>
      <c r="AC103" s="60" t="s">
        <v>6761</v>
      </c>
      <c r="AD103" s="58"/>
    </row>
    <row r="104" spans="28:30" ht="15.75" x14ac:dyDescent="0.2">
      <c r="AB104" s="43">
        <v>41243</v>
      </c>
      <c r="AC104" s="60" t="s">
        <v>6761</v>
      </c>
      <c r="AD104" s="58"/>
    </row>
    <row r="105" spans="28:30" ht="15.75" x14ac:dyDescent="0.2">
      <c r="AB105" s="43">
        <v>41244</v>
      </c>
      <c r="AC105" s="60" t="s">
        <v>6761</v>
      </c>
      <c r="AD105" s="58"/>
    </row>
    <row r="106" spans="28:30" ht="15.75" x14ac:dyDescent="0.2">
      <c r="AB106" s="43">
        <v>41263</v>
      </c>
      <c r="AC106" s="60" t="s">
        <v>6761</v>
      </c>
      <c r="AD106" s="58"/>
    </row>
    <row r="107" spans="28:30" ht="15.75" x14ac:dyDescent="0.2">
      <c r="AB107" s="43">
        <v>41267</v>
      </c>
      <c r="AC107" s="60" t="s">
        <v>6761</v>
      </c>
      <c r="AD107" s="58"/>
    </row>
    <row r="108" spans="28:30" ht="15.75" x14ac:dyDescent="0.2">
      <c r="AB108" s="43">
        <v>41268</v>
      </c>
      <c r="AC108" s="60" t="s">
        <v>6761</v>
      </c>
      <c r="AD108" s="58"/>
    </row>
    <row r="109" spans="28:30" ht="15.75" x14ac:dyDescent="0.2">
      <c r="AB109" s="43">
        <v>41275</v>
      </c>
      <c r="AC109" s="60" t="s">
        <v>6761</v>
      </c>
      <c r="AD109" s="58"/>
    </row>
    <row r="110" spans="28:30" ht="15.75" x14ac:dyDescent="0.2">
      <c r="AB110" s="43">
        <v>41284</v>
      </c>
      <c r="AC110" s="60" t="s">
        <v>6761</v>
      </c>
      <c r="AD110" s="58"/>
    </row>
    <row r="111" spans="28:30" ht="15.75" x14ac:dyDescent="0.2">
      <c r="AB111" s="43">
        <v>41295</v>
      </c>
      <c r="AC111" s="60" t="s">
        <v>6761</v>
      </c>
      <c r="AD111" s="58"/>
    </row>
    <row r="112" spans="28:30" ht="15.75" x14ac:dyDescent="0.2">
      <c r="AB112" s="43">
        <v>41310</v>
      </c>
      <c r="AC112" s="60" t="s">
        <v>6761</v>
      </c>
      <c r="AD112" s="58"/>
    </row>
    <row r="113" spans="28:30" ht="15.75" x14ac:dyDescent="0.2">
      <c r="AB113" s="43">
        <v>41319</v>
      </c>
      <c r="AC113" s="60" t="s">
        <v>6761</v>
      </c>
      <c r="AD113" s="58"/>
    </row>
    <row r="114" spans="28:30" ht="15.75" x14ac:dyDescent="0.2">
      <c r="AB114" s="43">
        <v>41323</v>
      </c>
      <c r="AC114" s="60" t="s">
        <v>6761</v>
      </c>
      <c r="AD114" s="58"/>
    </row>
    <row r="115" spans="28:30" ht="15.75" x14ac:dyDescent="0.2">
      <c r="AB115" s="43">
        <v>41339</v>
      </c>
      <c r="AC115" s="60" t="s">
        <v>6761</v>
      </c>
      <c r="AD115" s="58"/>
    </row>
    <row r="116" spans="28:30" ht="15.75" x14ac:dyDescent="0.2">
      <c r="AB116" s="43">
        <v>41351</v>
      </c>
      <c r="AC116" s="60" t="s">
        <v>6761</v>
      </c>
      <c r="AD116" s="58"/>
    </row>
    <row r="117" spans="28:30" ht="15.75" x14ac:dyDescent="0.2">
      <c r="AB117" s="43">
        <v>41421</v>
      </c>
      <c r="AC117" s="60" t="s">
        <v>6761</v>
      </c>
      <c r="AD117" s="58"/>
    </row>
    <row r="118" spans="28:30" ht="15.75" x14ac:dyDescent="0.2">
      <c r="AB118" s="43">
        <v>41459</v>
      </c>
      <c r="AC118" s="60" t="s">
        <v>6761</v>
      </c>
      <c r="AD118" s="58"/>
    </row>
    <row r="119" spans="28:30" ht="15.75" x14ac:dyDescent="0.2">
      <c r="AB119" s="43">
        <v>41519</v>
      </c>
      <c r="AC119" s="60" t="s">
        <v>6761</v>
      </c>
      <c r="AD119" s="58"/>
    </row>
    <row r="120" spans="28:30" ht="15.75" x14ac:dyDescent="0.2">
      <c r="AB120" s="43">
        <v>41568</v>
      </c>
      <c r="AC120" s="60" t="s">
        <v>6761</v>
      </c>
      <c r="AD120" s="58"/>
    </row>
    <row r="121" spans="28:30" ht="15.75" x14ac:dyDescent="0.2">
      <c r="AB121" s="43">
        <v>41601</v>
      </c>
      <c r="AC121" s="60" t="s">
        <v>6761</v>
      </c>
      <c r="AD121" s="58"/>
    </row>
    <row r="122" spans="28:30" ht="15.75" x14ac:dyDescent="0.2">
      <c r="AB122" s="43">
        <v>41606</v>
      </c>
      <c r="AC122" s="60" t="s">
        <v>6761</v>
      </c>
      <c r="AD122" s="58"/>
    </row>
    <row r="123" spans="28:30" ht="15.75" x14ac:dyDescent="0.2">
      <c r="AB123" s="43">
        <v>41607</v>
      </c>
      <c r="AC123" s="60" t="s">
        <v>6761</v>
      </c>
      <c r="AD123" s="58"/>
    </row>
    <row r="124" spans="28:30" ht="15.75" x14ac:dyDescent="0.2">
      <c r="AB124" s="43">
        <v>41632</v>
      </c>
      <c r="AC124" s="60" t="s">
        <v>6761</v>
      </c>
      <c r="AD124" s="58"/>
    </row>
    <row r="125" spans="28:30" ht="15.75" x14ac:dyDescent="0.2">
      <c r="AB125" s="43">
        <v>41633</v>
      </c>
      <c r="AC125" s="60" t="s">
        <v>6761</v>
      </c>
      <c r="AD125" s="58"/>
    </row>
    <row r="126" spans="28:30" ht="15.75" x14ac:dyDescent="0.2">
      <c r="AB126" s="43">
        <v>41636</v>
      </c>
      <c r="AC126" s="60" t="s">
        <v>6761</v>
      </c>
      <c r="AD126" s="58"/>
    </row>
    <row r="127" spans="28:30" ht="15.75" x14ac:dyDescent="0.2">
      <c r="AB127" s="43">
        <v>41640</v>
      </c>
      <c r="AC127" s="60" t="s">
        <v>6761</v>
      </c>
      <c r="AD127" s="58"/>
    </row>
    <row r="128" spans="28:30" ht="15.75" x14ac:dyDescent="0.2">
      <c r="AB128" s="43">
        <v>41659</v>
      </c>
      <c r="AC128" s="60" t="s">
        <v>6761</v>
      </c>
      <c r="AD128" s="58"/>
    </row>
    <row r="129" spans="28:30" ht="15.75" x14ac:dyDescent="0.2">
      <c r="AB129" s="43">
        <v>41687</v>
      </c>
      <c r="AC129" s="60" t="s">
        <v>6761</v>
      </c>
      <c r="AD129" s="58"/>
    </row>
    <row r="130" spans="28:30" ht="15.75" x14ac:dyDescent="0.2">
      <c r="AB130" s="43">
        <v>41715</v>
      </c>
      <c r="AC130" s="60" t="s">
        <v>6761</v>
      </c>
      <c r="AD130" s="58"/>
    </row>
    <row r="131" spans="28:30" ht="15.75" x14ac:dyDescent="0.2">
      <c r="AB131" s="43">
        <v>41785</v>
      </c>
      <c r="AC131" s="60" t="s">
        <v>6761</v>
      </c>
      <c r="AD131" s="58"/>
    </row>
    <row r="132" spans="28:30" ht="15.75" x14ac:dyDescent="0.2">
      <c r="AB132" s="43">
        <v>41824</v>
      </c>
      <c r="AC132" s="60" t="s">
        <v>6761</v>
      </c>
      <c r="AD132" s="58"/>
    </row>
    <row r="133" spans="28:30" ht="15.75" x14ac:dyDescent="0.2">
      <c r="AB133" s="43">
        <v>41883</v>
      </c>
      <c r="AC133" s="60" t="s">
        <v>6761</v>
      </c>
      <c r="AD133" s="58"/>
    </row>
    <row r="134" spans="28:30" ht="15.75" x14ac:dyDescent="0.2">
      <c r="AB134" s="43">
        <v>41932</v>
      </c>
      <c r="AC134" s="60" t="s">
        <v>6761</v>
      </c>
      <c r="AD134" s="58"/>
    </row>
    <row r="135" spans="28:30" ht="15.75" x14ac:dyDescent="0.2">
      <c r="AB135" s="43">
        <v>41970</v>
      </c>
      <c r="AC135" s="60" t="s">
        <v>6761</v>
      </c>
      <c r="AD135" s="58"/>
    </row>
    <row r="136" spans="28:30" ht="15.75" x14ac:dyDescent="0.2">
      <c r="AB136" s="43">
        <v>41971</v>
      </c>
      <c r="AC136" s="60" t="s">
        <v>6761</v>
      </c>
      <c r="AD136" s="58"/>
    </row>
    <row r="137" spans="28:30" ht="15.75" x14ac:dyDescent="0.2">
      <c r="AB137" s="43">
        <v>41972</v>
      </c>
      <c r="AC137" s="60" t="s">
        <v>6761</v>
      </c>
      <c r="AD137" s="58"/>
    </row>
    <row r="138" spans="28:30" ht="15.75" x14ac:dyDescent="0.2">
      <c r="AB138" s="43">
        <v>41998</v>
      </c>
      <c r="AC138" s="60" t="s">
        <v>6761</v>
      </c>
      <c r="AD138" s="58"/>
    </row>
    <row r="139" spans="28:30" ht="15.75" x14ac:dyDescent="0.2">
      <c r="AB139" s="43">
        <v>41999</v>
      </c>
      <c r="AC139" s="60" t="s">
        <v>6761</v>
      </c>
      <c r="AD139" s="58"/>
    </row>
    <row r="140" spans="28:30" ht="15.75" x14ac:dyDescent="0.2">
      <c r="AB140" s="43">
        <v>42005</v>
      </c>
      <c r="AC140" s="60" t="s">
        <v>6761</v>
      </c>
      <c r="AD140" s="58"/>
    </row>
    <row r="141" spans="28:30" ht="15.75" x14ac:dyDescent="0.2">
      <c r="AB141" s="43">
        <v>42014</v>
      </c>
      <c r="AC141" s="60" t="s">
        <v>6761</v>
      </c>
      <c r="AD141" s="58"/>
    </row>
    <row r="142" spans="28:30" ht="15.75" x14ac:dyDescent="0.2">
      <c r="AB142" s="43">
        <v>42023</v>
      </c>
      <c r="AC142" s="60" t="s">
        <v>6761</v>
      </c>
      <c r="AD142" s="58"/>
    </row>
    <row r="143" spans="28:30" ht="15.75" x14ac:dyDescent="0.2">
      <c r="AB143" s="43">
        <v>42049</v>
      </c>
      <c r="AC143" s="60" t="s">
        <v>6761</v>
      </c>
      <c r="AD143" s="58"/>
    </row>
    <row r="144" spans="28:30" ht="15.75" x14ac:dyDescent="0.2">
      <c r="AB144" s="43">
        <v>42051</v>
      </c>
      <c r="AC144" s="60" t="s">
        <v>6761</v>
      </c>
      <c r="AD144" s="58"/>
    </row>
    <row r="145" spans="28:30" ht="15.75" x14ac:dyDescent="0.2">
      <c r="AB145" s="43">
        <v>42086</v>
      </c>
      <c r="AC145" s="60" t="s">
        <v>6761</v>
      </c>
      <c r="AD145" s="58"/>
    </row>
    <row r="146" spans="28:30" ht="15.75" x14ac:dyDescent="0.2">
      <c r="AB146" s="43">
        <v>42149</v>
      </c>
      <c r="AC146" s="60" t="s">
        <v>6761</v>
      </c>
      <c r="AD146" s="58"/>
    </row>
    <row r="147" spans="28:30" ht="15.75" x14ac:dyDescent="0.2">
      <c r="AB147" s="43">
        <v>42188</v>
      </c>
      <c r="AC147" s="60" t="s">
        <v>6761</v>
      </c>
      <c r="AD147" s="58"/>
    </row>
    <row r="148" spans="28:30" ht="15.75" x14ac:dyDescent="0.2">
      <c r="AB148" s="43">
        <v>42254</v>
      </c>
      <c r="AC148" s="60" t="s">
        <v>6761</v>
      </c>
      <c r="AD148" s="58"/>
    </row>
    <row r="149" spans="28:30" ht="15.75" x14ac:dyDescent="0.2">
      <c r="AB149" s="43">
        <v>42296</v>
      </c>
      <c r="AC149" s="60" t="s">
        <v>6761</v>
      </c>
      <c r="AD149" s="58"/>
    </row>
    <row r="150" spans="28:30" ht="15.75" x14ac:dyDescent="0.2">
      <c r="AB150" s="43">
        <v>42334</v>
      </c>
      <c r="AC150" s="60" t="s">
        <v>6761</v>
      </c>
      <c r="AD150" s="58"/>
    </row>
    <row r="151" spans="28:30" ht="15.75" x14ac:dyDescent="0.2">
      <c r="AB151" s="43">
        <v>42335</v>
      </c>
      <c r="AC151" s="60" t="s">
        <v>6761</v>
      </c>
      <c r="AD151" s="58"/>
    </row>
    <row r="152" spans="28:30" ht="15.75" x14ac:dyDescent="0.2">
      <c r="AB152" s="43">
        <v>42362</v>
      </c>
      <c r="AC152" s="60" t="s">
        <v>6761</v>
      </c>
      <c r="AD152" s="58"/>
    </row>
    <row r="153" spans="28:30" ht="15.75" x14ac:dyDescent="0.2">
      <c r="AB153" s="43">
        <v>42363</v>
      </c>
      <c r="AC153" s="60" t="s">
        <v>6761</v>
      </c>
      <c r="AD153" s="58"/>
    </row>
    <row r="154" spans="28:30" ht="15.75" x14ac:dyDescent="0.2">
      <c r="AB154" s="43">
        <v>42370</v>
      </c>
      <c r="AC154" s="60" t="s">
        <v>6761</v>
      </c>
      <c r="AD154" s="58"/>
    </row>
    <row r="155" spans="28:30" ht="15.75" x14ac:dyDescent="0.2">
      <c r="AB155" s="43">
        <v>42520</v>
      </c>
      <c r="AC155" s="60" t="s">
        <v>6761</v>
      </c>
      <c r="AD155" s="58"/>
    </row>
    <row r="156" spans="28:30" ht="15.75" x14ac:dyDescent="0.2">
      <c r="AB156" s="43">
        <v>42555</v>
      </c>
      <c r="AC156" s="60" t="s">
        <v>6761</v>
      </c>
      <c r="AD156" s="58"/>
    </row>
    <row r="157" spans="28:30" ht="15.75" x14ac:dyDescent="0.2">
      <c r="AB157" s="43">
        <v>42618</v>
      </c>
      <c r="AC157" s="60" t="s">
        <v>6761</v>
      </c>
      <c r="AD157" s="58"/>
    </row>
    <row r="158" spans="28:30" ht="15.75" x14ac:dyDescent="0.2">
      <c r="AB158" s="43">
        <v>42698</v>
      </c>
      <c r="AC158" s="60" t="s">
        <v>6761</v>
      </c>
      <c r="AD158" s="58"/>
    </row>
    <row r="159" spans="28:30" ht="15.75" x14ac:dyDescent="0.2">
      <c r="AB159" s="43">
        <v>42699</v>
      </c>
      <c r="AC159" s="60" t="s">
        <v>6761</v>
      </c>
      <c r="AD159" s="58"/>
    </row>
    <row r="160" spans="28:30" ht="15.75" x14ac:dyDescent="0.2">
      <c r="AB160" s="43">
        <v>42730</v>
      </c>
      <c r="AC160" s="60" t="s">
        <v>6761</v>
      </c>
      <c r="AD160" s="58"/>
    </row>
    <row r="161" spans="28:30" ht="15.75" x14ac:dyDescent="0.2">
      <c r="AB161" s="43">
        <v>42737</v>
      </c>
      <c r="AC161" s="60" t="s">
        <v>6761</v>
      </c>
      <c r="AD161" s="58"/>
    </row>
    <row r="162" spans="28:30" ht="15.75" x14ac:dyDescent="0.2">
      <c r="AB162" s="43">
        <v>42884</v>
      </c>
      <c r="AC162" s="60" t="s">
        <v>6761</v>
      </c>
      <c r="AD162" s="58"/>
    </row>
    <row r="163" spans="28:30" ht="15.75" x14ac:dyDescent="0.2">
      <c r="AB163" s="43">
        <v>42920</v>
      </c>
      <c r="AC163" s="60" t="s">
        <v>6761</v>
      </c>
      <c r="AD163" s="58"/>
    </row>
    <row r="164" spans="28:30" ht="15.75" x14ac:dyDescent="0.2">
      <c r="AB164" s="43">
        <v>42982</v>
      </c>
      <c r="AC164" s="60" t="s">
        <v>6761</v>
      </c>
      <c r="AD164" s="58"/>
    </row>
    <row r="165" spans="28:30" ht="15.75" x14ac:dyDescent="0.2">
      <c r="AB165" s="43">
        <v>43062</v>
      </c>
      <c r="AC165" s="60" t="s">
        <v>6761</v>
      </c>
      <c r="AD165" s="58"/>
    </row>
    <row r="166" spans="28:30" ht="15.75" x14ac:dyDescent="0.2">
      <c r="AB166" s="43">
        <v>43063</v>
      </c>
      <c r="AC166" s="60" t="s">
        <v>6761</v>
      </c>
      <c r="AD166" s="58"/>
    </row>
    <row r="167" spans="28:30" ht="15.75" x14ac:dyDescent="0.2">
      <c r="AB167" s="43">
        <v>43094</v>
      </c>
      <c r="AC167" s="60" t="s">
        <v>6761</v>
      </c>
      <c r="AD167" s="58"/>
    </row>
    <row r="168" spans="28:30" ht="15.75" x14ac:dyDescent="0.2">
      <c r="AB168" s="43">
        <v>43101</v>
      </c>
      <c r="AC168" s="60" t="s">
        <v>6761</v>
      </c>
      <c r="AD168" s="58"/>
    </row>
    <row r="169" spans="28:30" ht="15.75" x14ac:dyDescent="0.2">
      <c r="AB169" s="43">
        <v>43248</v>
      </c>
      <c r="AC169" s="60" t="s">
        <v>6761</v>
      </c>
      <c r="AD169" s="58"/>
    </row>
    <row r="170" spans="28:30" ht="15.75" x14ac:dyDescent="0.2">
      <c r="AB170" s="43">
        <v>43285</v>
      </c>
      <c r="AC170" s="60" t="s">
        <v>6761</v>
      </c>
      <c r="AD170" s="58"/>
    </row>
    <row r="171" spans="28:30" ht="15.75" x14ac:dyDescent="0.2">
      <c r="AB171" s="43">
        <v>43346</v>
      </c>
      <c r="AC171" s="60" t="s">
        <v>6761</v>
      </c>
      <c r="AD171" s="58"/>
    </row>
    <row r="172" spans="28:30" ht="15.75" x14ac:dyDescent="0.2">
      <c r="AB172" s="43">
        <v>43426</v>
      </c>
      <c r="AC172" s="60" t="s">
        <v>6761</v>
      </c>
      <c r="AD172" s="58"/>
    </row>
    <row r="173" spans="28:30" ht="15.75" x14ac:dyDescent="0.2">
      <c r="AB173" s="43">
        <v>43427</v>
      </c>
      <c r="AC173" s="60" t="s">
        <v>6761</v>
      </c>
      <c r="AD173" s="58"/>
    </row>
    <row r="174" spans="28:30" ht="15.75" x14ac:dyDescent="0.2">
      <c r="AB174" s="43">
        <v>43459</v>
      </c>
      <c r="AC174" s="60" t="s">
        <v>6761</v>
      </c>
      <c r="AD174" s="58"/>
    </row>
    <row r="175" spans="28:30" ht="15.75" x14ac:dyDescent="0.2">
      <c r="AB175" s="43">
        <v>43466</v>
      </c>
      <c r="AC175" s="60" t="s">
        <v>6761</v>
      </c>
      <c r="AD175" s="58"/>
    </row>
    <row r="176" spans="28:30" ht="15.75" x14ac:dyDescent="0.2">
      <c r="AB176" s="43">
        <v>43612</v>
      </c>
      <c r="AC176" s="60" t="s">
        <v>6761</v>
      </c>
      <c r="AD176" s="58"/>
    </row>
    <row r="177" spans="28:30" ht="15.75" x14ac:dyDescent="0.2">
      <c r="AB177" s="43">
        <v>43650</v>
      </c>
      <c r="AC177" s="60" t="s">
        <v>6761</v>
      </c>
      <c r="AD177" s="58"/>
    </row>
    <row r="178" spans="28:30" ht="15.75" x14ac:dyDescent="0.2">
      <c r="AB178" s="43">
        <v>43710</v>
      </c>
      <c r="AC178" s="60" t="s">
        <v>6761</v>
      </c>
      <c r="AD178" s="58"/>
    </row>
    <row r="179" spans="28:30" x14ac:dyDescent="0.2">
      <c r="AB179" s="43">
        <v>43746</v>
      </c>
      <c r="AC179"/>
      <c r="AD179" s="58"/>
    </row>
    <row r="180" spans="28:30" x14ac:dyDescent="0.2">
      <c r="AB180" s="43">
        <v>43747</v>
      </c>
      <c r="AC180"/>
      <c r="AD180" s="58"/>
    </row>
    <row r="181" spans="28:30" x14ac:dyDescent="0.2">
      <c r="AB181" s="43">
        <v>43753</v>
      </c>
      <c r="AC181"/>
      <c r="AD181" s="58"/>
    </row>
    <row r="182" spans="28:30" x14ac:dyDescent="0.2">
      <c r="AB182" s="43">
        <v>43754</v>
      </c>
      <c r="AC182"/>
      <c r="AD182" s="58"/>
    </row>
    <row r="183" spans="28:30" x14ac:dyDescent="0.2">
      <c r="AB183" s="43">
        <v>43760</v>
      </c>
      <c r="AC183"/>
      <c r="AD183" s="58"/>
    </row>
    <row r="184" spans="28:30" x14ac:dyDescent="0.2">
      <c r="AB184" s="43">
        <v>43761</v>
      </c>
      <c r="AC184"/>
      <c r="AD184" s="58"/>
    </row>
    <row r="185" spans="28:30" x14ac:dyDescent="0.2">
      <c r="AB185" s="43">
        <v>43775</v>
      </c>
      <c r="AC185"/>
      <c r="AD185" s="58"/>
    </row>
    <row r="186" spans="28:30" x14ac:dyDescent="0.2">
      <c r="AB186" s="43">
        <v>43776</v>
      </c>
      <c r="AC186"/>
      <c r="AD186" s="58"/>
    </row>
    <row r="187" spans="28:30" x14ac:dyDescent="0.2">
      <c r="AB187" s="43">
        <v>43777</v>
      </c>
      <c r="AC187"/>
      <c r="AD187" s="58"/>
    </row>
    <row r="188" spans="28:30" x14ac:dyDescent="0.2">
      <c r="AB188" s="43">
        <v>43780</v>
      </c>
      <c r="AC188"/>
      <c r="AD188" s="58"/>
    </row>
    <row r="189" spans="28:30" x14ac:dyDescent="0.2">
      <c r="AB189" s="43">
        <v>43781</v>
      </c>
      <c r="AC189"/>
      <c r="AD189" s="58"/>
    </row>
    <row r="190" spans="28:30" x14ac:dyDescent="0.2">
      <c r="AB190" s="43">
        <v>43782</v>
      </c>
      <c r="AC190"/>
      <c r="AD190" s="58"/>
    </row>
    <row r="191" spans="28:30" x14ac:dyDescent="0.2">
      <c r="AB191" s="43">
        <v>43788</v>
      </c>
      <c r="AC191"/>
      <c r="AD191" s="58"/>
    </row>
    <row r="192" spans="28:30" x14ac:dyDescent="0.2">
      <c r="AB192" s="43">
        <v>43789</v>
      </c>
      <c r="AC192"/>
      <c r="AD192" s="58" t="s">
        <v>6759</v>
      </c>
    </row>
    <row r="193" spans="28:30" x14ac:dyDescent="0.2">
      <c r="AB193" s="43">
        <v>43790</v>
      </c>
      <c r="AC193"/>
      <c r="AD193" s="58"/>
    </row>
    <row r="194" spans="28:30" x14ac:dyDescent="0.2">
      <c r="AB194" s="43">
        <v>43791</v>
      </c>
      <c r="AC194"/>
      <c r="AD194" s="58"/>
    </row>
    <row r="195" spans="28:30" x14ac:dyDescent="0.2">
      <c r="AB195" s="43">
        <v>43794</v>
      </c>
      <c r="AC195"/>
      <c r="AD195" s="58"/>
    </row>
    <row r="196" spans="28:30" x14ac:dyDescent="0.2">
      <c r="AB196" s="43">
        <v>43795</v>
      </c>
      <c r="AC196"/>
      <c r="AD196" s="58"/>
    </row>
    <row r="197" spans="28:30" x14ac:dyDescent="0.2">
      <c r="AB197" s="43">
        <v>43796</v>
      </c>
      <c r="AC197"/>
      <c r="AD197" s="58"/>
    </row>
    <row r="198" spans="28:30" ht="15.75" x14ac:dyDescent="0.2">
      <c r="AB198" s="43">
        <v>43797</v>
      </c>
      <c r="AC198" s="60" t="s">
        <v>6761</v>
      </c>
      <c r="AD198" s="58"/>
    </row>
    <row r="199" spans="28:30" ht="15.75" x14ac:dyDescent="0.2">
      <c r="AB199" s="43">
        <v>43798</v>
      </c>
      <c r="AC199" s="60" t="s">
        <v>6761</v>
      </c>
      <c r="AD199" s="58"/>
    </row>
    <row r="200" spans="28:30" x14ac:dyDescent="0.2">
      <c r="AB200" s="43">
        <v>43801</v>
      </c>
      <c r="AC200"/>
      <c r="AD200" s="58"/>
    </row>
    <row r="201" spans="28:30" x14ac:dyDescent="0.2">
      <c r="AB201" s="43">
        <v>43802</v>
      </c>
      <c r="AC201"/>
      <c r="AD201" s="58"/>
    </row>
    <row r="202" spans="28:30" x14ac:dyDescent="0.2">
      <c r="AB202" s="43">
        <v>43803</v>
      </c>
      <c r="AC202"/>
      <c r="AD202" s="58"/>
    </row>
    <row r="203" spans="28:30" x14ac:dyDescent="0.2">
      <c r="AB203" s="43">
        <v>43804</v>
      </c>
      <c r="AC203"/>
      <c r="AD203" s="58"/>
    </row>
    <row r="204" spans="28:30" x14ac:dyDescent="0.2">
      <c r="AB204" s="43">
        <v>43805</v>
      </c>
      <c r="AC204"/>
      <c r="AD204" s="58"/>
    </row>
    <row r="205" spans="28:30" x14ac:dyDescent="0.2">
      <c r="AB205" s="43">
        <v>43808</v>
      </c>
      <c r="AC205"/>
      <c r="AD205" s="58"/>
    </row>
    <row r="206" spans="28:30" x14ac:dyDescent="0.2">
      <c r="AB206" s="43">
        <v>43809</v>
      </c>
      <c r="AC206"/>
      <c r="AD206" s="58"/>
    </row>
    <row r="207" spans="28:30" x14ac:dyDescent="0.2">
      <c r="AB207" s="43">
        <v>43810</v>
      </c>
      <c r="AC207"/>
      <c r="AD207" s="58"/>
    </row>
    <row r="208" spans="28:30" x14ac:dyDescent="0.2">
      <c r="AB208" s="43">
        <v>43811</v>
      </c>
      <c r="AC208"/>
      <c r="AD208" s="58"/>
    </row>
    <row r="209" spans="28:30" x14ac:dyDescent="0.2">
      <c r="AB209" s="43">
        <v>43812</v>
      </c>
      <c r="AC209"/>
      <c r="AD209" s="58"/>
    </row>
    <row r="210" spans="28:30" x14ac:dyDescent="0.2">
      <c r="AB210" s="43">
        <v>43815</v>
      </c>
      <c r="AC210"/>
      <c r="AD210" s="58"/>
    </row>
    <row r="211" spans="28:30" x14ac:dyDescent="0.2">
      <c r="AB211" s="43">
        <v>43816</v>
      </c>
      <c r="AC211"/>
      <c r="AD211" s="58"/>
    </row>
    <row r="212" spans="28:30" x14ac:dyDescent="0.2">
      <c r="AB212" s="43">
        <v>43817</v>
      </c>
      <c r="AC212"/>
      <c r="AD212" s="58"/>
    </row>
    <row r="213" spans="28:30" x14ac:dyDescent="0.2">
      <c r="AB213" s="43">
        <v>43818</v>
      </c>
      <c r="AC213"/>
      <c r="AD213" s="58"/>
    </row>
    <row r="214" spans="28:30" x14ac:dyDescent="0.2">
      <c r="AB214" s="43">
        <v>43819</v>
      </c>
      <c r="AC214"/>
      <c r="AD214" s="58"/>
    </row>
    <row r="215" spans="28:30" x14ac:dyDescent="0.2">
      <c r="AB215" s="43">
        <v>43822</v>
      </c>
      <c r="AC215"/>
      <c r="AD215" s="58"/>
    </row>
    <row r="216" spans="28:30" x14ac:dyDescent="0.2">
      <c r="AB216" s="43">
        <v>43823</v>
      </c>
      <c r="AC216"/>
      <c r="AD216" s="58"/>
    </row>
    <row r="217" spans="28:30" ht="15.75" x14ac:dyDescent="0.2">
      <c r="AB217" s="43">
        <v>43824</v>
      </c>
      <c r="AC217" s="60" t="s">
        <v>6761</v>
      </c>
      <c r="AD217" s="58"/>
    </row>
    <row r="218" spans="28:30" x14ac:dyDescent="0.2">
      <c r="AB218" s="43">
        <v>43825</v>
      </c>
      <c r="AC218"/>
      <c r="AD218" s="58"/>
    </row>
    <row r="219" spans="28:30" x14ac:dyDescent="0.2">
      <c r="AB219" s="43">
        <v>43826</v>
      </c>
      <c r="AC219"/>
      <c r="AD219" s="58"/>
    </row>
    <row r="220" spans="28:30" x14ac:dyDescent="0.2">
      <c r="AB220" s="43">
        <v>43829</v>
      </c>
      <c r="AC220"/>
      <c r="AD220" s="58"/>
    </row>
    <row r="221" spans="28:30" x14ac:dyDescent="0.2">
      <c r="AB221" s="43">
        <v>43830</v>
      </c>
      <c r="AC221"/>
      <c r="AD221" s="58"/>
    </row>
    <row r="222" spans="28:30" ht="15.75" x14ac:dyDescent="0.2">
      <c r="AB222" s="43">
        <v>43831</v>
      </c>
      <c r="AC222" s="60" t="s">
        <v>6761</v>
      </c>
      <c r="AD222" s="58"/>
    </row>
    <row r="223" spans="28:30" x14ac:dyDescent="0.2">
      <c r="AB223" s="43">
        <v>43832</v>
      </c>
      <c r="AC223"/>
      <c r="AD223" s="58"/>
    </row>
    <row r="224" spans="28:30" x14ac:dyDescent="0.2">
      <c r="AB224" s="43">
        <v>43833</v>
      </c>
      <c r="AC224"/>
      <c r="AD224" s="58"/>
    </row>
    <row r="225" spans="28:30" x14ac:dyDescent="0.2">
      <c r="AB225" s="43">
        <v>43836</v>
      </c>
      <c r="AC225"/>
      <c r="AD225" s="58"/>
    </row>
    <row r="226" spans="28:30" x14ac:dyDescent="0.2">
      <c r="AB226" s="43">
        <v>43837</v>
      </c>
      <c r="AC226"/>
      <c r="AD226" s="58"/>
    </row>
    <row r="227" spans="28:30" x14ac:dyDescent="0.2">
      <c r="AB227" s="43">
        <v>43838</v>
      </c>
      <c r="AC227"/>
      <c r="AD227" s="58"/>
    </row>
    <row r="228" spans="28:30" x14ac:dyDescent="0.2">
      <c r="AB228" s="43">
        <v>43839</v>
      </c>
      <c r="AC228"/>
      <c r="AD228" s="58"/>
    </row>
    <row r="229" spans="28:30" x14ac:dyDescent="0.2">
      <c r="AB229" s="43">
        <v>43840</v>
      </c>
      <c r="AC229"/>
      <c r="AD229" s="58"/>
    </row>
    <row r="230" spans="28:30" x14ac:dyDescent="0.2">
      <c r="AB230" s="43">
        <v>43843</v>
      </c>
      <c r="AC230"/>
      <c r="AD230" s="58"/>
    </row>
    <row r="231" spans="28:30" x14ac:dyDescent="0.2">
      <c r="AB231" s="43">
        <v>43844</v>
      </c>
      <c r="AC231"/>
      <c r="AD231" s="58"/>
    </row>
    <row r="232" spans="28:30" x14ac:dyDescent="0.2">
      <c r="AB232" s="43">
        <v>43845</v>
      </c>
      <c r="AC232"/>
      <c r="AD232" s="58"/>
    </row>
    <row r="233" spans="28:30" x14ac:dyDescent="0.2">
      <c r="AB233" s="43">
        <v>43846</v>
      </c>
      <c r="AC233"/>
      <c r="AD233" s="58"/>
    </row>
    <row r="234" spans="28:30" x14ac:dyDescent="0.2">
      <c r="AB234" s="43">
        <v>43847</v>
      </c>
      <c r="AC234"/>
      <c r="AD234" s="58"/>
    </row>
    <row r="235" spans="28:30" x14ac:dyDescent="0.2">
      <c r="AB235" s="43">
        <v>43850</v>
      </c>
      <c r="AC235"/>
      <c r="AD235" s="58"/>
    </row>
    <row r="236" spans="28:30" x14ac:dyDescent="0.2">
      <c r="AB236" s="43">
        <v>43851</v>
      </c>
      <c r="AC236"/>
      <c r="AD236" s="58"/>
    </row>
    <row r="237" spans="28:30" x14ac:dyDescent="0.2">
      <c r="AB237" s="43">
        <v>43852</v>
      </c>
      <c r="AC237"/>
      <c r="AD237" s="58"/>
    </row>
    <row r="238" spans="28:30" x14ac:dyDescent="0.2">
      <c r="AB238" s="43">
        <v>43853</v>
      </c>
      <c r="AC238"/>
      <c r="AD238" s="58"/>
    </row>
    <row r="239" spans="28:30" x14ac:dyDescent="0.2">
      <c r="AB239" s="43">
        <v>43854</v>
      </c>
      <c r="AC239"/>
      <c r="AD239" s="58"/>
    </row>
    <row r="240" spans="28:30" x14ac:dyDescent="0.2">
      <c r="AB240" s="43">
        <v>43857</v>
      </c>
      <c r="AC240"/>
      <c r="AD240" s="58"/>
    </row>
    <row r="241" spans="28:30" x14ac:dyDescent="0.2">
      <c r="AB241" s="43">
        <v>43858</v>
      </c>
      <c r="AC241"/>
      <c r="AD241" s="58"/>
    </row>
    <row r="242" spans="28:30" x14ac:dyDescent="0.2">
      <c r="AB242" s="43">
        <v>43859</v>
      </c>
      <c r="AC242"/>
      <c r="AD242" s="58"/>
    </row>
    <row r="243" spans="28:30" x14ac:dyDescent="0.2">
      <c r="AB243" s="43">
        <v>43860</v>
      </c>
      <c r="AC243"/>
      <c r="AD243" s="58"/>
    </row>
    <row r="244" spans="28:30" x14ac:dyDescent="0.2">
      <c r="AB244" s="43">
        <v>43861</v>
      </c>
      <c r="AC244"/>
      <c r="AD244" s="58"/>
    </row>
    <row r="245" spans="28:30" x14ac:dyDescent="0.2">
      <c r="AB245" s="43">
        <v>43864</v>
      </c>
      <c r="AC245"/>
      <c r="AD245" s="58"/>
    </row>
    <row r="246" spans="28:30" x14ac:dyDescent="0.2">
      <c r="AB246" s="43">
        <v>43865</v>
      </c>
      <c r="AC246"/>
      <c r="AD246" s="58"/>
    </row>
    <row r="247" spans="28:30" x14ac:dyDescent="0.2">
      <c r="AB247" s="43">
        <v>43866</v>
      </c>
      <c r="AC247"/>
      <c r="AD247" s="58"/>
    </row>
    <row r="248" spans="28:30" x14ac:dyDescent="0.2">
      <c r="AB248" s="43">
        <v>43867</v>
      </c>
      <c r="AC248"/>
      <c r="AD248" s="58"/>
    </row>
    <row r="249" spans="28:30" x14ac:dyDescent="0.2">
      <c r="AB249" s="43">
        <v>43868</v>
      </c>
      <c r="AC249"/>
      <c r="AD249" s="58"/>
    </row>
    <row r="250" spans="28:30" x14ac:dyDescent="0.2">
      <c r="AB250" s="43">
        <v>43871</v>
      </c>
      <c r="AC250"/>
      <c r="AD250" s="58"/>
    </row>
    <row r="251" spans="28:30" x14ac:dyDescent="0.2">
      <c r="AB251" s="43">
        <v>43872</v>
      </c>
      <c r="AC251"/>
      <c r="AD251" s="58"/>
    </row>
    <row r="252" spans="28:30" x14ac:dyDescent="0.2">
      <c r="AB252" s="43">
        <v>43873</v>
      </c>
      <c r="AC252"/>
      <c r="AD252" s="58"/>
    </row>
    <row r="253" spans="28:30" x14ac:dyDescent="0.2">
      <c r="AB253" s="43">
        <v>43874</v>
      </c>
      <c r="AC253"/>
      <c r="AD253" s="58"/>
    </row>
    <row r="254" spans="28:30" x14ac:dyDescent="0.2">
      <c r="AB254" s="43">
        <v>43875</v>
      </c>
      <c r="AC254"/>
      <c r="AD254" s="58"/>
    </row>
    <row r="255" spans="28:30" x14ac:dyDescent="0.2">
      <c r="AB255" s="43">
        <v>43878</v>
      </c>
      <c r="AC255"/>
      <c r="AD255" s="58"/>
    </row>
    <row r="256" spans="28:30" x14ac:dyDescent="0.2">
      <c r="AB256" s="43">
        <v>43879</v>
      </c>
      <c r="AC256"/>
      <c r="AD256" s="58"/>
    </row>
    <row r="257" spans="28:30" x14ac:dyDescent="0.2">
      <c r="AB257" s="43">
        <v>43880</v>
      </c>
      <c r="AC257"/>
      <c r="AD257" s="58"/>
    </row>
    <row r="258" spans="28:30" x14ac:dyDescent="0.2">
      <c r="AB258" s="43">
        <v>43881</v>
      </c>
      <c r="AC258"/>
      <c r="AD258" s="58"/>
    </row>
    <row r="259" spans="28:30" x14ac:dyDescent="0.2">
      <c r="AB259" s="43">
        <v>43882</v>
      </c>
      <c r="AC259"/>
      <c r="AD259" s="58"/>
    </row>
    <row r="260" spans="28:30" x14ac:dyDescent="0.2">
      <c r="AB260" s="43">
        <v>43885</v>
      </c>
      <c r="AC260"/>
      <c r="AD260" s="58"/>
    </row>
    <row r="261" spans="28:30" x14ac:dyDescent="0.2">
      <c r="AB261" s="43">
        <v>43886</v>
      </c>
      <c r="AC261"/>
      <c r="AD261" s="58"/>
    </row>
    <row r="262" spans="28:30" x14ac:dyDescent="0.2">
      <c r="AB262" s="43">
        <v>43887</v>
      </c>
      <c r="AC262"/>
      <c r="AD262" s="58"/>
    </row>
    <row r="263" spans="28:30" x14ac:dyDescent="0.2">
      <c r="AB263" s="43">
        <v>43888</v>
      </c>
      <c r="AC263"/>
      <c r="AD263" s="58"/>
    </row>
    <row r="264" spans="28:30" x14ac:dyDescent="0.2">
      <c r="AB264" s="43">
        <v>43889</v>
      </c>
      <c r="AC264"/>
      <c r="AD264" s="58"/>
    </row>
    <row r="265" spans="28:30" x14ac:dyDescent="0.2">
      <c r="AB265" s="43">
        <v>43892</v>
      </c>
      <c r="AC265"/>
      <c r="AD265" s="58"/>
    </row>
    <row r="266" spans="28:30" x14ac:dyDescent="0.2">
      <c r="AB266" s="43">
        <v>43893</v>
      </c>
      <c r="AC266"/>
      <c r="AD266" s="58"/>
    </row>
    <row r="267" spans="28:30" x14ac:dyDescent="0.2">
      <c r="AB267" s="43">
        <v>43894</v>
      </c>
      <c r="AC267"/>
      <c r="AD267" s="58"/>
    </row>
    <row r="268" spans="28:30" x14ac:dyDescent="0.2">
      <c r="AB268" s="43">
        <v>43895</v>
      </c>
      <c r="AC268"/>
      <c r="AD268" s="58"/>
    </row>
    <row r="269" spans="28:30" x14ac:dyDescent="0.2">
      <c r="AB269" s="43">
        <v>43896</v>
      </c>
      <c r="AC269"/>
      <c r="AD269" s="58"/>
    </row>
    <row r="270" spans="28:30" x14ac:dyDescent="0.2">
      <c r="AB270" s="43">
        <v>43902</v>
      </c>
      <c r="AC270"/>
      <c r="AD270" s="58"/>
    </row>
    <row r="271" spans="28:30" x14ac:dyDescent="0.2">
      <c r="AB271" s="43">
        <v>43903</v>
      </c>
      <c r="AC271"/>
      <c r="AD271" s="58"/>
    </row>
    <row r="272" spans="28:30" x14ac:dyDescent="0.2">
      <c r="AB272" s="43">
        <v>43908</v>
      </c>
      <c r="AC272"/>
      <c r="AD272" s="58"/>
    </row>
    <row r="273" spans="28:30" x14ac:dyDescent="0.2">
      <c r="AB273" s="43">
        <v>43909</v>
      </c>
      <c r="AC273"/>
      <c r="AD273" s="58"/>
    </row>
    <row r="274" spans="28:30" x14ac:dyDescent="0.2">
      <c r="AB274" s="43">
        <v>43914</v>
      </c>
      <c r="AC274"/>
      <c r="AD274" s="58"/>
    </row>
    <row r="275" spans="28:30" x14ac:dyDescent="0.2">
      <c r="AB275" s="43">
        <v>43915</v>
      </c>
      <c r="AC275"/>
      <c r="AD275" s="58"/>
    </row>
    <row r="276" spans="28:30" x14ac:dyDescent="0.2">
      <c r="AB276" s="43">
        <v>43920</v>
      </c>
      <c r="AC276"/>
      <c r="AD276" s="58"/>
    </row>
    <row r="277" spans="28:30" x14ac:dyDescent="0.2">
      <c r="AB277" s="43">
        <v>43921</v>
      </c>
      <c r="AC277"/>
      <c r="AD277" s="58"/>
    </row>
    <row r="278" spans="28:30" x14ac:dyDescent="0.2">
      <c r="AB278" s="43">
        <v>43928</v>
      </c>
      <c r="AC278"/>
      <c r="AD278" s="58"/>
    </row>
    <row r="279" spans="28:30" x14ac:dyDescent="0.2">
      <c r="AB279" s="43">
        <v>43931</v>
      </c>
      <c r="AC279"/>
      <c r="AD279" s="58"/>
    </row>
    <row r="280" spans="28:30" x14ac:dyDescent="0.2">
      <c r="AB280" s="43">
        <v>43935</v>
      </c>
      <c r="AC280"/>
      <c r="AD280" s="58"/>
    </row>
    <row r="281" spans="28:30" x14ac:dyDescent="0.2">
      <c r="AB281" s="43">
        <v>43942</v>
      </c>
      <c r="AC281"/>
      <c r="AD281" s="58"/>
    </row>
    <row r="282" spans="28:30" x14ac:dyDescent="0.2">
      <c r="AB282" s="43">
        <v>43949</v>
      </c>
      <c r="AC282"/>
      <c r="AD282" s="58"/>
    </row>
    <row r="283" spans="28:30" x14ac:dyDescent="0.2">
      <c r="AB283" s="43">
        <v>43950</v>
      </c>
      <c r="AC283"/>
      <c r="AD283" s="58"/>
    </row>
    <row r="284" spans="28:30" x14ac:dyDescent="0.2">
      <c r="AB284" s="43">
        <v>43957</v>
      </c>
      <c r="AC284"/>
      <c r="AD284" s="58"/>
    </row>
    <row r="285" spans="28:30" x14ac:dyDescent="0.2">
      <c r="AB285" s="43">
        <v>43958</v>
      </c>
      <c r="AC285"/>
      <c r="AD285" s="58"/>
    </row>
    <row r="286" spans="28:30" x14ac:dyDescent="0.2">
      <c r="AB286" s="43">
        <v>43964</v>
      </c>
      <c r="AC286"/>
      <c r="AD286" s="58"/>
    </row>
    <row r="287" spans="28:30" x14ac:dyDescent="0.2">
      <c r="AB287" s="43">
        <v>43965</v>
      </c>
      <c r="AC287"/>
      <c r="AD287" s="58"/>
    </row>
    <row r="288" spans="28:30" x14ac:dyDescent="0.2">
      <c r="AB288" s="43">
        <v>43971</v>
      </c>
      <c r="AC288"/>
      <c r="AD288" s="58"/>
    </row>
    <row r="289" spans="28:30" x14ac:dyDescent="0.2">
      <c r="AB289" s="43">
        <v>43972</v>
      </c>
      <c r="AC289"/>
      <c r="AD289" s="58"/>
    </row>
    <row r="290" spans="28:30" ht="15.75" x14ac:dyDescent="0.2">
      <c r="AB290" s="43">
        <v>43976</v>
      </c>
      <c r="AC290" s="60" t="s">
        <v>6761</v>
      </c>
      <c r="AD290" s="58"/>
    </row>
    <row r="291" spans="28:30" x14ac:dyDescent="0.2">
      <c r="AB291" s="43">
        <v>43984</v>
      </c>
      <c r="AC291"/>
      <c r="AD291" s="58"/>
    </row>
    <row r="292" spans="28:30" x14ac:dyDescent="0.2">
      <c r="AB292" s="43">
        <v>43985</v>
      </c>
      <c r="AC292"/>
      <c r="AD292" s="58"/>
    </row>
    <row r="293" spans="28:30" x14ac:dyDescent="0.2">
      <c r="AB293" s="43">
        <v>43991</v>
      </c>
      <c r="AC293"/>
      <c r="AD293" s="58"/>
    </row>
    <row r="294" spans="28:30" x14ac:dyDescent="0.2">
      <c r="AB294" s="43">
        <v>43998</v>
      </c>
      <c r="AC294"/>
      <c r="AD294" s="58"/>
    </row>
    <row r="295" spans="28:30" x14ac:dyDescent="0.2">
      <c r="AB295" s="43">
        <v>44005</v>
      </c>
      <c r="AC295"/>
      <c r="AD295" s="58"/>
    </row>
    <row r="296" spans="28:30" x14ac:dyDescent="0.2">
      <c r="AB296" s="43">
        <v>44012</v>
      </c>
      <c r="AC296"/>
      <c r="AD296" s="58"/>
    </row>
    <row r="297" spans="28:30" x14ac:dyDescent="0.2">
      <c r="AB297" s="43">
        <v>44013</v>
      </c>
      <c r="AC297"/>
      <c r="AD297" s="58"/>
    </row>
    <row r="298" spans="28:30" ht="15.75" x14ac:dyDescent="0.2">
      <c r="AB298" s="43">
        <v>44015</v>
      </c>
      <c r="AC298" s="60" t="s">
        <v>6761</v>
      </c>
      <c r="AD298" s="58"/>
    </row>
    <row r="299" spans="28:30" x14ac:dyDescent="0.2">
      <c r="AB299" s="43">
        <v>44019</v>
      </c>
      <c r="AC299"/>
      <c r="AD299" s="58"/>
    </row>
    <row r="300" spans="28:30" x14ac:dyDescent="0.2">
      <c r="AB300" s="43">
        <v>44020</v>
      </c>
      <c r="AC300"/>
      <c r="AD300" s="58"/>
    </row>
    <row r="301" spans="28:30" x14ac:dyDescent="0.2">
      <c r="AB301" s="43">
        <v>44027</v>
      </c>
      <c r="AC301"/>
      <c r="AD301" s="58"/>
    </row>
    <row r="302" spans="28:30" x14ac:dyDescent="0.2">
      <c r="AB302" s="43">
        <v>44034</v>
      </c>
      <c r="AC302"/>
      <c r="AD302" s="58"/>
    </row>
    <row r="303" spans="28:30" x14ac:dyDescent="0.2">
      <c r="AB303" s="43">
        <v>44040</v>
      </c>
      <c r="AC303"/>
      <c r="AD303" s="58"/>
    </row>
    <row r="304" spans="28:30" x14ac:dyDescent="0.2">
      <c r="AB304" s="43">
        <v>44041</v>
      </c>
      <c r="AC304"/>
      <c r="AD304" s="58"/>
    </row>
    <row r="305" spans="28:30" x14ac:dyDescent="0.2">
      <c r="AB305" s="43">
        <v>44047</v>
      </c>
      <c r="AC305"/>
      <c r="AD305" s="58"/>
    </row>
    <row r="306" spans="28:30" x14ac:dyDescent="0.2">
      <c r="AB306" s="43">
        <v>44054</v>
      </c>
      <c r="AC306"/>
      <c r="AD306" s="58"/>
    </row>
    <row r="307" spans="28:30" x14ac:dyDescent="0.2">
      <c r="AB307" s="43">
        <v>44055</v>
      </c>
      <c r="AC307"/>
      <c r="AD307" s="58"/>
    </row>
    <row r="308" spans="28:30" x14ac:dyDescent="0.2">
      <c r="AB308" s="43">
        <v>44061</v>
      </c>
      <c r="AC308"/>
      <c r="AD308" s="58"/>
    </row>
    <row r="309" spans="28:30" x14ac:dyDescent="0.2">
      <c r="AB309" s="43">
        <v>44062</v>
      </c>
      <c r="AC309"/>
      <c r="AD309" s="58"/>
    </row>
    <row r="310" spans="28:30" x14ac:dyDescent="0.2">
      <c r="AB310" s="43">
        <v>44063</v>
      </c>
      <c r="AC310"/>
      <c r="AD310" s="58"/>
    </row>
    <row r="311" spans="28:30" x14ac:dyDescent="0.2">
      <c r="AB311" s="43">
        <v>44068</v>
      </c>
      <c r="AC311"/>
      <c r="AD311" s="58"/>
    </row>
    <row r="312" spans="28:30" ht="15.75" x14ac:dyDescent="0.2">
      <c r="AB312" s="43">
        <v>44081</v>
      </c>
      <c r="AC312" s="60" t="s">
        <v>6761</v>
      </c>
      <c r="AD312" s="58"/>
    </row>
    <row r="313" spans="28:30" x14ac:dyDescent="0.2">
      <c r="AB313" s="43">
        <v>44085</v>
      </c>
      <c r="AC313"/>
      <c r="AD313" s="58"/>
    </row>
    <row r="314" spans="28:30" x14ac:dyDescent="0.2">
      <c r="AB314" s="43">
        <v>44091</v>
      </c>
      <c r="AC314"/>
      <c r="AD314" s="58"/>
    </row>
    <row r="315" spans="28:30" x14ac:dyDescent="0.2">
      <c r="AB315" s="43">
        <v>44095</v>
      </c>
      <c r="AC315"/>
      <c r="AD315" s="58"/>
    </row>
    <row r="316" spans="28:30" x14ac:dyDescent="0.2">
      <c r="AB316" s="43">
        <v>44097</v>
      </c>
      <c r="AC316"/>
      <c r="AD316" s="58"/>
    </row>
    <row r="317" spans="28:30" x14ac:dyDescent="0.2">
      <c r="AB317" s="43">
        <v>44103</v>
      </c>
      <c r="AC317"/>
      <c r="AD317" s="58"/>
    </row>
    <row r="318" spans="28:30" x14ac:dyDescent="0.2">
      <c r="AB318" s="43">
        <v>44105</v>
      </c>
      <c r="AC318"/>
      <c r="AD318" s="58"/>
    </row>
    <row r="319" spans="28:30" x14ac:dyDescent="0.2">
      <c r="AB319" s="43">
        <v>44113</v>
      </c>
      <c r="AC319"/>
      <c r="AD319" s="58"/>
    </row>
    <row r="320" spans="28:30" x14ac:dyDescent="0.2">
      <c r="AB320" s="43">
        <v>44119</v>
      </c>
      <c r="AC320"/>
      <c r="AD320" s="58"/>
    </row>
    <row r="321" spans="28:30" x14ac:dyDescent="0.2">
      <c r="AB321" s="43">
        <v>44123</v>
      </c>
      <c r="AC321"/>
      <c r="AD321" s="58"/>
    </row>
    <row r="322" spans="28:30" x14ac:dyDescent="0.2">
      <c r="AB322" s="43">
        <v>44125</v>
      </c>
      <c r="AC322"/>
      <c r="AD322" s="58"/>
    </row>
    <row r="323" spans="28:30" x14ac:dyDescent="0.2">
      <c r="AB323" s="43">
        <v>44131</v>
      </c>
      <c r="AC323"/>
      <c r="AD323" s="58"/>
    </row>
    <row r="324" spans="28:30" x14ac:dyDescent="0.2">
      <c r="AB324" s="43">
        <v>44137</v>
      </c>
      <c r="AC324"/>
      <c r="AD324" s="58"/>
    </row>
    <row r="325" spans="28:30" x14ac:dyDescent="0.2">
      <c r="AB325" s="43">
        <v>44138</v>
      </c>
      <c r="AC325"/>
      <c r="AD325" s="58"/>
    </row>
    <row r="326" spans="28:30" x14ac:dyDescent="0.2">
      <c r="AB326" s="43">
        <v>44144</v>
      </c>
      <c r="AC326"/>
      <c r="AD326" s="58"/>
    </row>
    <row r="327" spans="28:30" x14ac:dyDescent="0.2">
      <c r="AB327" s="43">
        <v>44145</v>
      </c>
      <c r="AC327"/>
      <c r="AD327" s="58"/>
    </row>
    <row r="328" spans="28:30" x14ac:dyDescent="0.2">
      <c r="AB328" s="43">
        <v>44146</v>
      </c>
      <c r="AC328"/>
      <c r="AD328" s="58"/>
    </row>
    <row r="329" spans="28:30" x14ac:dyDescent="0.2">
      <c r="AB329" s="43">
        <v>44151</v>
      </c>
      <c r="AC329"/>
      <c r="AD329" s="58"/>
    </row>
    <row r="330" spans="28:30" x14ac:dyDescent="0.2">
      <c r="AB330" s="43">
        <v>44152</v>
      </c>
      <c r="AC330"/>
      <c r="AD330" s="58"/>
    </row>
    <row r="331" spans="28:30" x14ac:dyDescent="0.2">
      <c r="AB331" s="43">
        <v>44153</v>
      </c>
      <c r="AC331"/>
      <c r="AD331" s="58"/>
    </row>
    <row r="332" spans="28:30" x14ac:dyDescent="0.2">
      <c r="AB332" s="43">
        <v>44154</v>
      </c>
      <c r="AC332"/>
      <c r="AD332" s="58"/>
    </row>
    <row r="333" spans="28:30" x14ac:dyDescent="0.2">
      <c r="AB333" s="43">
        <v>44158</v>
      </c>
      <c r="AC333"/>
      <c r="AD333" s="58"/>
    </row>
    <row r="334" spans="28:30" x14ac:dyDescent="0.2">
      <c r="AB334" s="43">
        <v>44159</v>
      </c>
      <c r="AC334"/>
      <c r="AD334" s="58"/>
    </row>
    <row r="335" spans="28:30" x14ac:dyDescent="0.2">
      <c r="AB335" s="43">
        <v>44160</v>
      </c>
      <c r="AC335"/>
      <c r="AD335" s="58"/>
    </row>
    <row r="336" spans="28:30" ht="15.75" x14ac:dyDescent="0.2">
      <c r="AB336" s="43">
        <v>44161</v>
      </c>
      <c r="AC336" s="60" t="s">
        <v>6761</v>
      </c>
      <c r="AD336" s="58"/>
    </row>
    <row r="337" spans="28:30" ht="15.75" x14ac:dyDescent="0.2">
      <c r="AB337" s="43">
        <v>44162</v>
      </c>
      <c r="AC337" s="60" t="s">
        <v>6761</v>
      </c>
      <c r="AD337" s="58"/>
    </row>
    <row r="338" spans="28:30" x14ac:dyDescent="0.2">
      <c r="AB338" s="43">
        <v>44165</v>
      </c>
      <c r="AC338"/>
      <c r="AD338" s="58"/>
    </row>
    <row r="339" spans="28:30" x14ac:dyDescent="0.2">
      <c r="AB339" s="43">
        <v>44166</v>
      </c>
      <c r="AC339"/>
      <c r="AD339" s="58"/>
    </row>
    <row r="340" spans="28:30" x14ac:dyDescent="0.2">
      <c r="AB340" s="43">
        <v>44167</v>
      </c>
      <c r="AC340"/>
      <c r="AD340" s="58"/>
    </row>
    <row r="341" spans="28:30" x14ac:dyDescent="0.2">
      <c r="AB341" s="43">
        <v>44168</v>
      </c>
      <c r="AC341"/>
      <c r="AD341" s="58"/>
    </row>
    <row r="342" spans="28:30" x14ac:dyDescent="0.2">
      <c r="AB342" s="43">
        <v>44169</v>
      </c>
      <c r="AC342"/>
      <c r="AD342" s="58"/>
    </row>
    <row r="343" spans="28:30" x14ac:dyDescent="0.2">
      <c r="AB343" s="43">
        <v>44172</v>
      </c>
      <c r="AC343"/>
      <c r="AD343" s="58"/>
    </row>
    <row r="344" spans="28:30" x14ac:dyDescent="0.2">
      <c r="AB344" s="43">
        <v>44173</v>
      </c>
      <c r="AC344"/>
      <c r="AD344" s="58"/>
    </row>
    <row r="345" spans="28:30" x14ac:dyDescent="0.2">
      <c r="AB345" s="43">
        <v>44174</v>
      </c>
      <c r="AC345"/>
      <c r="AD345" s="58"/>
    </row>
    <row r="346" spans="28:30" x14ac:dyDescent="0.2">
      <c r="AB346" s="43">
        <v>44175</v>
      </c>
      <c r="AC346"/>
      <c r="AD346" s="58"/>
    </row>
    <row r="347" spans="28:30" x14ac:dyDescent="0.2">
      <c r="AB347" s="43">
        <v>44176</v>
      </c>
      <c r="AC347"/>
      <c r="AD347" s="58"/>
    </row>
    <row r="348" spans="28:30" x14ac:dyDescent="0.2">
      <c r="AB348" s="43">
        <v>44179</v>
      </c>
      <c r="AC348"/>
      <c r="AD348" s="58"/>
    </row>
    <row r="349" spans="28:30" x14ac:dyDescent="0.2">
      <c r="AB349" s="43">
        <v>44180</v>
      </c>
      <c r="AC349"/>
      <c r="AD349" s="58"/>
    </row>
    <row r="350" spans="28:30" x14ac:dyDescent="0.2">
      <c r="AB350" s="43">
        <v>44181</v>
      </c>
      <c r="AC350"/>
      <c r="AD350" s="58"/>
    </row>
    <row r="351" spans="28:30" x14ac:dyDescent="0.2">
      <c r="AB351" s="43">
        <v>44182</v>
      </c>
      <c r="AC351"/>
      <c r="AD351" s="58"/>
    </row>
    <row r="352" spans="28:30" x14ac:dyDescent="0.2">
      <c r="AB352" s="43">
        <v>44183</v>
      </c>
      <c r="AC352"/>
      <c r="AD352" s="58"/>
    </row>
    <row r="353" spans="28:30" x14ac:dyDescent="0.2">
      <c r="AB353" s="43">
        <v>44186</v>
      </c>
      <c r="AC353"/>
      <c r="AD353" s="58"/>
    </row>
    <row r="354" spans="28:30" x14ac:dyDescent="0.2">
      <c r="AB354" s="43">
        <v>44187</v>
      </c>
      <c r="AC354"/>
      <c r="AD354" s="58"/>
    </row>
    <row r="355" spans="28:30" x14ac:dyDescent="0.2">
      <c r="AB355" s="43">
        <v>44188</v>
      </c>
      <c r="AC355"/>
      <c r="AD355" s="58"/>
    </row>
    <row r="356" spans="28:30" x14ac:dyDescent="0.2">
      <c r="AB356" s="43">
        <v>44189</v>
      </c>
      <c r="AC356"/>
      <c r="AD356" s="58"/>
    </row>
    <row r="357" spans="28:30" ht="15.75" x14ac:dyDescent="0.2">
      <c r="AB357" s="43">
        <v>44190</v>
      </c>
      <c r="AC357" s="60" t="s">
        <v>6761</v>
      </c>
      <c r="AD357" s="58"/>
    </row>
    <row r="358" spans="28:30" x14ac:dyDescent="0.2">
      <c r="AB358" s="43">
        <v>44193</v>
      </c>
      <c r="AC358"/>
      <c r="AD358" s="58"/>
    </row>
    <row r="359" spans="28:30" x14ac:dyDescent="0.2">
      <c r="AB359" s="43">
        <v>44194</v>
      </c>
      <c r="AC359"/>
      <c r="AD359" s="58"/>
    </row>
    <row r="360" spans="28:30" x14ac:dyDescent="0.2">
      <c r="AB360" s="43">
        <v>44195</v>
      </c>
      <c r="AC360"/>
      <c r="AD360" s="58"/>
    </row>
    <row r="361" spans="28:30" x14ac:dyDescent="0.2">
      <c r="AB361" s="43">
        <v>44196</v>
      </c>
      <c r="AC361"/>
      <c r="AD361" s="58"/>
    </row>
    <row r="362" spans="28:30" ht="15.75" x14ac:dyDescent="0.2">
      <c r="AB362" s="43">
        <v>44197</v>
      </c>
      <c r="AC362" s="60" t="s">
        <v>6761</v>
      </c>
      <c r="AD362" s="58"/>
    </row>
    <row r="363" spans="28:30" x14ac:dyDescent="0.2">
      <c r="AB363" s="43">
        <v>44200</v>
      </c>
      <c r="AC363"/>
      <c r="AD363" s="58"/>
    </row>
    <row r="364" spans="28:30" x14ac:dyDescent="0.2">
      <c r="AB364" s="43">
        <v>44201</v>
      </c>
      <c r="AC364"/>
      <c r="AD364" s="58"/>
    </row>
    <row r="365" spans="28:30" x14ac:dyDescent="0.2">
      <c r="AB365" s="43">
        <v>44202</v>
      </c>
      <c r="AC365"/>
      <c r="AD365" s="58"/>
    </row>
    <row r="366" spans="28:30" x14ac:dyDescent="0.2">
      <c r="AB366" s="43">
        <v>44203</v>
      </c>
      <c r="AC366"/>
      <c r="AD366" s="58"/>
    </row>
    <row r="367" spans="28:30" x14ac:dyDescent="0.2">
      <c r="AB367" s="43">
        <v>44204</v>
      </c>
      <c r="AC367"/>
      <c r="AD367" s="58"/>
    </row>
    <row r="368" spans="28:30" x14ac:dyDescent="0.2">
      <c r="AB368" s="43">
        <v>44207</v>
      </c>
      <c r="AC368"/>
      <c r="AD368" s="58"/>
    </row>
    <row r="369" spans="28:30" x14ac:dyDescent="0.2">
      <c r="AB369" s="43">
        <v>44208</v>
      </c>
      <c r="AC369"/>
      <c r="AD369" s="58"/>
    </row>
    <row r="370" spans="28:30" x14ac:dyDescent="0.2">
      <c r="AB370" s="43">
        <v>44209</v>
      </c>
      <c r="AC370"/>
      <c r="AD370" s="58"/>
    </row>
    <row r="371" spans="28:30" x14ac:dyDescent="0.2">
      <c r="AB371" s="43">
        <v>44210</v>
      </c>
      <c r="AC371"/>
      <c r="AD371" s="58"/>
    </row>
    <row r="372" spans="28:30" x14ac:dyDescent="0.2">
      <c r="AB372" s="43">
        <v>44211</v>
      </c>
      <c r="AC372"/>
      <c r="AD372" s="58"/>
    </row>
    <row r="373" spans="28:30" x14ac:dyDescent="0.2">
      <c r="AB373" s="43">
        <v>44214</v>
      </c>
      <c r="AC373"/>
      <c r="AD373" s="58"/>
    </row>
    <row r="374" spans="28:30" x14ac:dyDescent="0.2">
      <c r="AB374" s="43">
        <v>44215</v>
      </c>
      <c r="AC374"/>
      <c r="AD374" s="58"/>
    </row>
    <row r="375" spans="28:30" x14ac:dyDescent="0.2">
      <c r="AB375" s="43">
        <v>44216</v>
      </c>
      <c r="AC375"/>
      <c r="AD375" s="58"/>
    </row>
    <row r="376" spans="28:30" x14ac:dyDescent="0.2">
      <c r="AB376" s="43">
        <v>44217</v>
      </c>
      <c r="AC376"/>
      <c r="AD376" s="58"/>
    </row>
    <row r="377" spans="28:30" x14ac:dyDescent="0.2">
      <c r="AB377" s="43">
        <v>44218</v>
      </c>
      <c r="AC377"/>
      <c r="AD377" s="58"/>
    </row>
    <row r="378" spans="28:30" x14ac:dyDescent="0.2">
      <c r="AB378" s="43">
        <v>44221</v>
      </c>
      <c r="AC378"/>
      <c r="AD378" s="58"/>
    </row>
    <row r="379" spans="28:30" x14ac:dyDescent="0.2">
      <c r="AB379" s="43">
        <v>44222</v>
      </c>
      <c r="AC379"/>
      <c r="AD379" s="58"/>
    </row>
    <row r="380" spans="28:30" x14ac:dyDescent="0.2">
      <c r="AB380" s="43">
        <v>44223</v>
      </c>
      <c r="AC380"/>
      <c r="AD380" s="58"/>
    </row>
    <row r="381" spans="28:30" x14ac:dyDescent="0.2">
      <c r="AB381" s="43">
        <v>44224</v>
      </c>
      <c r="AC381"/>
      <c r="AD381" s="58"/>
    </row>
    <row r="382" spans="28:30" x14ac:dyDescent="0.2">
      <c r="AB382" s="43">
        <v>44225</v>
      </c>
      <c r="AC382"/>
      <c r="AD382" s="58"/>
    </row>
    <row r="383" spans="28:30" x14ac:dyDescent="0.2">
      <c r="AB383" s="43">
        <v>44228</v>
      </c>
      <c r="AC383"/>
      <c r="AD383" s="58"/>
    </row>
    <row r="384" spans="28:30" x14ac:dyDescent="0.2">
      <c r="AB384" s="43">
        <v>44229</v>
      </c>
      <c r="AC384"/>
      <c r="AD384" s="58"/>
    </row>
    <row r="385" spans="28:30" x14ac:dyDescent="0.2">
      <c r="AB385" s="43">
        <v>44230</v>
      </c>
      <c r="AC385"/>
      <c r="AD385" s="58"/>
    </row>
    <row r="386" spans="28:30" x14ac:dyDescent="0.2">
      <c r="AB386" s="43">
        <v>44231</v>
      </c>
      <c r="AC386"/>
      <c r="AD386" s="58"/>
    </row>
    <row r="387" spans="28:30" x14ac:dyDescent="0.2">
      <c r="AB387" s="43">
        <v>44232</v>
      </c>
      <c r="AC387"/>
      <c r="AD387" s="58"/>
    </row>
    <row r="388" spans="28:30" x14ac:dyDescent="0.2">
      <c r="AB388" s="43">
        <v>44235</v>
      </c>
      <c r="AC388"/>
      <c r="AD388" s="58"/>
    </row>
    <row r="389" spans="28:30" x14ac:dyDescent="0.2">
      <c r="AB389" s="43">
        <v>44236</v>
      </c>
      <c r="AC389"/>
      <c r="AD389" s="58"/>
    </row>
    <row r="390" spans="28:30" x14ac:dyDescent="0.2">
      <c r="AB390" s="43">
        <v>44237</v>
      </c>
      <c r="AC390"/>
      <c r="AD390" s="58"/>
    </row>
    <row r="391" spans="28:30" x14ac:dyDescent="0.2">
      <c r="AB391" s="43">
        <v>44238</v>
      </c>
      <c r="AC391"/>
      <c r="AD391" s="58"/>
    </row>
    <row r="392" spans="28:30" x14ac:dyDescent="0.2">
      <c r="AB392" s="43">
        <v>44239</v>
      </c>
      <c r="AC392"/>
      <c r="AD392" s="58"/>
    </row>
    <row r="393" spans="28:30" x14ac:dyDescent="0.2">
      <c r="AB393" s="43">
        <v>44242</v>
      </c>
      <c r="AC393"/>
      <c r="AD393" s="58"/>
    </row>
    <row r="394" spans="28:30" x14ac:dyDescent="0.2">
      <c r="AB394" s="43">
        <v>44243</v>
      </c>
      <c r="AC394"/>
      <c r="AD394" s="58"/>
    </row>
    <row r="395" spans="28:30" x14ac:dyDescent="0.2">
      <c r="AB395" s="43">
        <v>44244</v>
      </c>
      <c r="AC395"/>
      <c r="AD395" s="58"/>
    </row>
    <row r="396" spans="28:30" x14ac:dyDescent="0.2">
      <c r="AB396" s="43">
        <v>44245</v>
      </c>
      <c r="AC396"/>
      <c r="AD396" s="58"/>
    </row>
    <row r="397" spans="28:30" x14ac:dyDescent="0.2">
      <c r="AB397" s="43">
        <v>44246</v>
      </c>
      <c r="AC397"/>
      <c r="AD397" s="58"/>
    </row>
    <row r="398" spans="28:30" x14ac:dyDescent="0.2">
      <c r="AB398" s="43">
        <v>44249</v>
      </c>
      <c r="AC398"/>
      <c r="AD398" s="58"/>
    </row>
    <row r="399" spans="28:30" x14ac:dyDescent="0.2">
      <c r="AB399" s="43">
        <v>44250</v>
      </c>
      <c r="AC399"/>
      <c r="AD399" s="58"/>
    </row>
    <row r="400" spans="28:30" x14ac:dyDescent="0.2">
      <c r="AB400" s="43">
        <v>44251</v>
      </c>
      <c r="AC400"/>
      <c r="AD400" s="58"/>
    </row>
    <row r="401" spans="28:30" x14ac:dyDescent="0.2">
      <c r="AB401" s="43">
        <v>44252</v>
      </c>
      <c r="AC401"/>
      <c r="AD401" s="58"/>
    </row>
    <row r="402" spans="28:30" x14ac:dyDescent="0.2">
      <c r="AB402" s="43">
        <v>44253</v>
      </c>
      <c r="AC402"/>
      <c r="AD402" s="58"/>
    </row>
    <row r="403" spans="28:30" x14ac:dyDescent="0.2">
      <c r="AB403" s="43">
        <v>44256</v>
      </c>
      <c r="AC403"/>
      <c r="AD403" s="58"/>
    </row>
    <row r="404" spans="28:30" x14ac:dyDescent="0.2">
      <c r="AB404" s="43">
        <v>44257</v>
      </c>
      <c r="AC404"/>
      <c r="AD404" s="58"/>
    </row>
    <row r="405" spans="28:30" x14ac:dyDescent="0.2">
      <c r="AB405" s="43">
        <v>44258</v>
      </c>
      <c r="AC405"/>
      <c r="AD405" s="58"/>
    </row>
    <row r="406" spans="28:30" x14ac:dyDescent="0.2">
      <c r="AB406" s="43">
        <v>44259</v>
      </c>
      <c r="AC406"/>
      <c r="AD406" s="58"/>
    </row>
    <row r="407" spans="28:30" x14ac:dyDescent="0.2">
      <c r="AB407" s="43">
        <v>44260</v>
      </c>
      <c r="AC407"/>
      <c r="AD407" s="58"/>
    </row>
    <row r="408" spans="28:30" x14ac:dyDescent="0.2">
      <c r="AB408" s="43">
        <v>44267</v>
      </c>
      <c r="AC408"/>
      <c r="AD408" s="58"/>
    </row>
    <row r="409" spans="28:30" x14ac:dyDescent="0.2">
      <c r="AB409" s="43">
        <v>44273</v>
      </c>
      <c r="AC409"/>
      <c r="AD409" s="58"/>
    </row>
    <row r="410" spans="28:30" x14ac:dyDescent="0.2">
      <c r="AB410" s="43">
        <v>44274</v>
      </c>
      <c r="AC410"/>
      <c r="AD410" s="58"/>
    </row>
    <row r="411" spans="28:30" x14ac:dyDescent="0.2">
      <c r="AB411" s="43">
        <v>44279</v>
      </c>
      <c r="AC411"/>
      <c r="AD411" s="58"/>
    </row>
    <row r="412" spans="28:30" x14ac:dyDescent="0.2">
      <c r="AB412" s="43">
        <v>44280</v>
      </c>
      <c r="AC412"/>
      <c r="AD412" s="58"/>
    </row>
    <row r="413" spans="28:30" x14ac:dyDescent="0.2">
      <c r="AB413" s="43">
        <v>44284</v>
      </c>
      <c r="AC413"/>
      <c r="AD413" s="58"/>
    </row>
    <row r="414" spans="28:30" x14ac:dyDescent="0.2">
      <c r="AB414" s="43">
        <v>44285</v>
      </c>
      <c r="AC414"/>
      <c r="AD414" s="58"/>
    </row>
    <row r="415" spans="28:30" x14ac:dyDescent="0.2">
      <c r="AB415" s="43">
        <v>44288</v>
      </c>
      <c r="AC415"/>
      <c r="AD415" s="58"/>
    </row>
    <row r="416" spans="28:30" x14ac:dyDescent="0.2">
      <c r="AB416" s="43">
        <v>44298</v>
      </c>
      <c r="AC416"/>
      <c r="AD416" s="58"/>
    </row>
    <row r="417" spans="28:30" x14ac:dyDescent="0.2">
      <c r="AB417" s="43">
        <v>44299</v>
      </c>
      <c r="AC417"/>
      <c r="AD417" s="58"/>
    </row>
    <row r="418" spans="28:30" x14ac:dyDescent="0.2">
      <c r="AB418" s="43">
        <v>44306</v>
      </c>
      <c r="AC418"/>
      <c r="AD418" s="58"/>
    </row>
    <row r="419" spans="28:30" x14ac:dyDescent="0.2">
      <c r="AB419" s="43">
        <v>44307</v>
      </c>
      <c r="AC419"/>
      <c r="AD419" s="58"/>
    </row>
    <row r="420" spans="28:30" x14ac:dyDescent="0.2">
      <c r="AB420" s="43">
        <v>44315</v>
      </c>
      <c r="AC420"/>
      <c r="AD420" s="58"/>
    </row>
    <row r="421" spans="28:30" x14ac:dyDescent="0.2">
      <c r="AB421" s="43">
        <v>44322</v>
      </c>
      <c r="AC421"/>
      <c r="AD421" s="58"/>
    </row>
    <row r="422" spans="28:30" x14ac:dyDescent="0.2">
      <c r="AB422" s="43">
        <v>44323</v>
      </c>
      <c r="AC422"/>
      <c r="AD422" s="58"/>
    </row>
    <row r="423" spans="28:30" x14ac:dyDescent="0.2">
      <c r="AB423" s="43">
        <v>44329</v>
      </c>
      <c r="AC423"/>
      <c r="AD423" s="58"/>
    </row>
    <row r="424" spans="28:30" x14ac:dyDescent="0.2">
      <c r="AB424" s="43">
        <v>44330</v>
      </c>
      <c r="AC424"/>
      <c r="AD424" s="58"/>
    </row>
    <row r="425" spans="28:30" x14ac:dyDescent="0.2">
      <c r="AB425" s="43">
        <v>44334</v>
      </c>
      <c r="AC425"/>
      <c r="AD425" s="58"/>
    </row>
    <row r="426" spans="28:30" x14ac:dyDescent="0.2">
      <c r="AB426" s="43">
        <v>44335</v>
      </c>
      <c r="AC426"/>
      <c r="AD426" s="58"/>
    </row>
    <row r="427" spans="28:30" ht="15.75" x14ac:dyDescent="0.2">
      <c r="AB427" s="43">
        <v>44347</v>
      </c>
      <c r="AC427" s="60" t="s">
        <v>6761</v>
      </c>
      <c r="AD427" s="58"/>
    </row>
    <row r="428" spans="28:30" x14ac:dyDescent="0.2">
      <c r="AB428" s="43">
        <v>44358</v>
      </c>
      <c r="AC428"/>
      <c r="AD428" s="58"/>
    </row>
    <row r="429" spans="28:30" x14ac:dyDescent="0.2">
      <c r="AB429" s="43">
        <v>44365</v>
      </c>
      <c r="AC429"/>
      <c r="AD429" s="58"/>
    </row>
    <row r="430" spans="28:30" x14ac:dyDescent="0.2">
      <c r="AB430" s="43">
        <v>44370</v>
      </c>
      <c r="AC430"/>
      <c r="AD430" s="58"/>
    </row>
    <row r="431" spans="28:30" x14ac:dyDescent="0.2">
      <c r="AB431" s="43">
        <v>44371</v>
      </c>
      <c r="AC431"/>
      <c r="AD431" s="58"/>
    </row>
    <row r="432" spans="28:30" x14ac:dyDescent="0.2">
      <c r="AB432" s="43">
        <v>44375</v>
      </c>
      <c r="AC432"/>
      <c r="AD432" s="58"/>
    </row>
    <row r="433" spans="28:30" x14ac:dyDescent="0.2">
      <c r="AB433" s="43">
        <v>44376</v>
      </c>
      <c r="AC433"/>
      <c r="AD433" s="58"/>
    </row>
    <row r="434" spans="28:30" ht="15.75" x14ac:dyDescent="0.2">
      <c r="AB434" s="43">
        <v>44382</v>
      </c>
      <c r="AC434" s="60" t="s">
        <v>6761</v>
      </c>
      <c r="AD434" s="58"/>
    </row>
    <row r="435" spans="28:30" ht="15.75" x14ac:dyDescent="0.2">
      <c r="AB435" s="43">
        <v>44445</v>
      </c>
      <c r="AC435" s="60" t="s">
        <v>6761</v>
      </c>
      <c r="AD435" s="58"/>
    </row>
    <row r="436" spans="28:30" ht="15.75" x14ac:dyDescent="0.2">
      <c r="AB436" s="43">
        <v>44525</v>
      </c>
      <c r="AC436" s="60" t="s">
        <v>6761</v>
      </c>
      <c r="AD436" s="58"/>
    </row>
    <row r="437" spans="28:30" ht="15.75" x14ac:dyDescent="0.2">
      <c r="AB437" s="43">
        <v>44526</v>
      </c>
      <c r="AC437" s="60" t="s">
        <v>6761</v>
      </c>
      <c r="AD437" s="58"/>
    </row>
    <row r="438" spans="28:30" ht="15.75" x14ac:dyDescent="0.2">
      <c r="AB438" s="43">
        <v>44554</v>
      </c>
      <c r="AC438" s="60" t="s">
        <v>6761</v>
      </c>
      <c r="AD438" s="58"/>
    </row>
    <row r="439" spans="28:30" ht="15.75" x14ac:dyDescent="0.2">
      <c r="AB439" s="43">
        <v>44561</v>
      </c>
      <c r="AC439" s="60" t="s">
        <v>6761</v>
      </c>
      <c r="AD439" s="58"/>
    </row>
    <row r="440" spans="28:30" ht="15.75" x14ac:dyDescent="0.2">
      <c r="AB440" s="43">
        <v>44711</v>
      </c>
      <c r="AC440" s="60" t="s">
        <v>6761</v>
      </c>
      <c r="AD440" s="58"/>
    </row>
    <row r="441" spans="28:30" ht="15.75" x14ac:dyDescent="0.2">
      <c r="AB441" s="43">
        <v>44746</v>
      </c>
      <c r="AC441" s="60" t="s">
        <v>6761</v>
      </c>
      <c r="AD441" s="58"/>
    </row>
    <row r="442" spans="28:30" ht="15.75" x14ac:dyDescent="0.2">
      <c r="AB442" s="43">
        <v>44809</v>
      </c>
      <c r="AC442" s="60" t="s">
        <v>6761</v>
      </c>
      <c r="AD442" s="58"/>
    </row>
    <row r="443" spans="28:30" ht="15.75" x14ac:dyDescent="0.2">
      <c r="AB443" s="43">
        <v>44889</v>
      </c>
      <c r="AC443" s="60" t="s">
        <v>6761</v>
      </c>
      <c r="AD443" s="58"/>
    </row>
    <row r="444" spans="28:30" ht="15.75" x14ac:dyDescent="0.2">
      <c r="AB444" s="43">
        <v>44890</v>
      </c>
      <c r="AC444" s="60" t="s">
        <v>6761</v>
      </c>
      <c r="AD444" s="58"/>
    </row>
    <row r="445" spans="28:30" ht="15.75" x14ac:dyDescent="0.2">
      <c r="AB445" s="43">
        <v>44921</v>
      </c>
      <c r="AC445" s="60" t="s">
        <v>6761</v>
      </c>
      <c r="AD445" s="58"/>
    </row>
    <row r="446" spans="28:30" ht="15.75" x14ac:dyDescent="0.2">
      <c r="AB446" s="43">
        <v>44928</v>
      </c>
      <c r="AC446" s="60" t="s">
        <v>6761</v>
      </c>
      <c r="AD446" s="58"/>
    </row>
    <row r="447" spans="28:30" ht="15.75" x14ac:dyDescent="0.2">
      <c r="AB447" s="43">
        <v>45075</v>
      </c>
      <c r="AC447" s="60" t="s">
        <v>6761</v>
      </c>
      <c r="AD447" s="58"/>
    </row>
    <row r="448" spans="28:30" ht="15.75" x14ac:dyDescent="0.2">
      <c r="AB448" s="43">
        <v>45111</v>
      </c>
      <c r="AC448" s="60" t="s">
        <v>6761</v>
      </c>
      <c r="AD448" s="58"/>
    </row>
    <row r="449" spans="28:30" ht="15.75" x14ac:dyDescent="0.2">
      <c r="AB449" s="43">
        <v>45173</v>
      </c>
      <c r="AC449" s="60" t="s">
        <v>6761</v>
      </c>
      <c r="AD449" s="58"/>
    </row>
    <row r="450" spans="28:30" ht="15.75" x14ac:dyDescent="0.2">
      <c r="AB450" s="43">
        <v>45253</v>
      </c>
      <c r="AC450" s="60" t="s">
        <v>6761</v>
      </c>
      <c r="AD450" s="58"/>
    </row>
    <row r="451" spans="28:30" ht="15.75" x14ac:dyDescent="0.2">
      <c r="AB451" s="43">
        <v>45254</v>
      </c>
      <c r="AC451" s="60" t="s">
        <v>6761</v>
      </c>
      <c r="AD451" s="58"/>
    </row>
    <row r="452" spans="28:30" ht="15.75" x14ac:dyDescent="0.2">
      <c r="AB452" s="43">
        <v>45285</v>
      </c>
      <c r="AC452" s="60" t="s">
        <v>6761</v>
      </c>
      <c r="AD452" s="58"/>
    </row>
    <row r="453" spans="28:30" x14ac:dyDescent="0.2">
      <c r="AB453"/>
      <c r="AD453" s="47"/>
    </row>
    <row r="454" spans="28:30" x14ac:dyDescent="0.2">
      <c r="AB454"/>
      <c r="AD454" s="47"/>
    </row>
    <row r="455" spans="28:30" x14ac:dyDescent="0.2">
      <c r="AB455"/>
      <c r="AD455" s="47"/>
    </row>
    <row r="456" spans="28:30" x14ac:dyDescent="0.2">
      <c r="AB456"/>
      <c r="AD456" s="47"/>
    </row>
    <row r="457" spans="28:30" x14ac:dyDescent="0.2">
      <c r="AB457"/>
      <c r="AD457" s="47"/>
    </row>
    <row r="458" spans="28:30" x14ac:dyDescent="0.2">
      <c r="AB458"/>
      <c r="AD458" s="47"/>
    </row>
    <row r="459" spans="28:30" x14ac:dyDescent="0.2">
      <c r="AB459"/>
      <c r="AD459" s="47"/>
    </row>
    <row r="460" spans="28:30" x14ac:dyDescent="0.2">
      <c r="AB460"/>
      <c r="AD460" s="47"/>
    </row>
    <row r="461" spans="28:30" x14ac:dyDescent="0.2">
      <c r="AB461"/>
      <c r="AD461" s="47"/>
    </row>
    <row r="462" spans="28:30" x14ac:dyDescent="0.2">
      <c r="AB462"/>
      <c r="AD462" s="47"/>
    </row>
    <row r="463" spans="28:30" x14ac:dyDescent="0.2">
      <c r="AB463"/>
      <c r="AD463" s="47"/>
    </row>
    <row r="464" spans="28:30" x14ac:dyDescent="0.2">
      <c r="AB464"/>
      <c r="AD464" s="47"/>
    </row>
    <row r="465" spans="28:30" x14ac:dyDescent="0.2">
      <c r="AB465"/>
      <c r="AD465" s="47"/>
    </row>
    <row r="466" spans="28:30" x14ac:dyDescent="0.2">
      <c r="AB466"/>
      <c r="AD466" s="47"/>
    </row>
    <row r="467" spans="28:30" x14ac:dyDescent="0.2">
      <c r="AB467"/>
      <c r="AD467" s="47"/>
    </row>
    <row r="468" spans="28:30" x14ac:dyDescent="0.2">
      <c r="AB468"/>
      <c r="AD468" s="47"/>
    </row>
    <row r="469" spans="28:30" x14ac:dyDescent="0.2">
      <c r="AB469"/>
      <c r="AD469" s="47"/>
    </row>
    <row r="470" spans="28:30" x14ac:dyDescent="0.2">
      <c r="AB470"/>
      <c r="AD470" s="47"/>
    </row>
    <row r="471" spans="28:30" x14ac:dyDescent="0.2">
      <c r="AB471"/>
      <c r="AD471" s="47"/>
    </row>
    <row r="472" spans="28:30" x14ac:dyDescent="0.2">
      <c r="AB472"/>
      <c r="AD472" s="47"/>
    </row>
    <row r="473" spans="28:30" x14ac:dyDescent="0.2">
      <c r="AB473"/>
      <c r="AD473" s="47"/>
    </row>
    <row r="474" spans="28:30" x14ac:dyDescent="0.2">
      <c r="AB474"/>
      <c r="AD474" s="47"/>
    </row>
    <row r="475" spans="28:30" x14ac:dyDescent="0.2">
      <c r="AB475"/>
      <c r="AD475" s="47"/>
    </row>
    <row r="476" spans="28:30" x14ac:dyDescent="0.2">
      <c r="AB476"/>
      <c r="AD476" s="47"/>
    </row>
    <row r="477" spans="28:30" x14ac:dyDescent="0.2">
      <c r="AB477"/>
      <c r="AD477" s="47"/>
    </row>
    <row r="478" spans="28:30" x14ac:dyDescent="0.2">
      <c r="AB478"/>
      <c r="AD478" s="47"/>
    </row>
    <row r="479" spans="28:30" x14ac:dyDescent="0.2">
      <c r="AB479"/>
      <c r="AD479" s="47"/>
    </row>
    <row r="480" spans="28:30" x14ac:dyDescent="0.2">
      <c r="AB480"/>
      <c r="AD480" s="47"/>
    </row>
    <row r="481" spans="28:30" x14ac:dyDescent="0.2">
      <c r="AB481"/>
      <c r="AD481" s="47"/>
    </row>
    <row r="482" spans="28:30" x14ac:dyDescent="0.2">
      <c r="AB482"/>
      <c r="AD482" s="47"/>
    </row>
    <row r="483" spans="28:30" x14ac:dyDescent="0.2">
      <c r="AB483"/>
      <c r="AD483" s="47"/>
    </row>
    <row r="484" spans="28:30" x14ac:dyDescent="0.2">
      <c r="AB484"/>
      <c r="AD484" s="47"/>
    </row>
    <row r="485" spans="28:30" x14ac:dyDescent="0.2">
      <c r="AB485"/>
      <c r="AD485" s="47"/>
    </row>
    <row r="486" spans="28:30" x14ac:dyDescent="0.2">
      <c r="AB486"/>
      <c r="AD486" s="47"/>
    </row>
    <row r="487" spans="28:30" x14ac:dyDescent="0.2">
      <c r="AB487"/>
      <c r="AD487" s="47"/>
    </row>
    <row r="488" spans="28:30" x14ac:dyDescent="0.2">
      <c r="AB488"/>
      <c r="AD488" s="47"/>
    </row>
    <row r="489" spans="28:30" x14ac:dyDescent="0.2">
      <c r="AB489"/>
      <c r="AD489" s="47"/>
    </row>
    <row r="490" spans="28:30" x14ac:dyDescent="0.2">
      <c r="AB490"/>
      <c r="AD490" s="47"/>
    </row>
    <row r="491" spans="28:30" x14ac:dyDescent="0.2">
      <c r="AB491"/>
      <c r="AD491" s="47"/>
    </row>
    <row r="492" spans="28:30" x14ac:dyDescent="0.2">
      <c r="AB492"/>
      <c r="AD492" s="47"/>
    </row>
    <row r="493" spans="28:30" x14ac:dyDescent="0.2">
      <c r="AB493"/>
      <c r="AD493" s="47"/>
    </row>
    <row r="494" spans="28:30" x14ac:dyDescent="0.2">
      <c r="AB494"/>
      <c r="AD494" s="47"/>
    </row>
    <row r="495" spans="28:30" x14ac:dyDescent="0.2">
      <c r="AB495"/>
      <c r="AD495" s="47"/>
    </row>
    <row r="496" spans="28:30" x14ac:dyDescent="0.2">
      <c r="AB496"/>
      <c r="AD496" s="47"/>
    </row>
    <row r="497" spans="28:30" x14ac:dyDescent="0.2">
      <c r="AB497"/>
      <c r="AD497" s="47"/>
    </row>
    <row r="498" spans="28:30" x14ac:dyDescent="0.2">
      <c r="AB498"/>
      <c r="AD498" s="47"/>
    </row>
    <row r="499" spans="28:30" x14ac:dyDescent="0.2">
      <c r="AB499"/>
      <c r="AD499" s="47"/>
    </row>
    <row r="500" spans="28:30" x14ac:dyDescent="0.2">
      <c r="AB500"/>
      <c r="AD500" s="47"/>
    </row>
    <row r="501" spans="28:30" x14ac:dyDescent="0.2">
      <c r="AB501"/>
      <c r="AD501" s="47"/>
    </row>
    <row r="502" spans="28:30" x14ac:dyDescent="0.2">
      <c r="AB502"/>
      <c r="AD502" s="47"/>
    </row>
    <row r="503" spans="28:30" x14ac:dyDescent="0.2">
      <c r="AB503"/>
      <c r="AD503" s="47"/>
    </row>
    <row r="504" spans="28:30" x14ac:dyDescent="0.2">
      <c r="AB504"/>
      <c r="AD504" s="47"/>
    </row>
    <row r="505" spans="28:30" x14ac:dyDescent="0.2">
      <c r="AB505"/>
      <c r="AD505" s="47"/>
    </row>
    <row r="506" spans="28:30" x14ac:dyDescent="0.2">
      <c r="AB506"/>
      <c r="AD506" s="47"/>
    </row>
    <row r="507" spans="28:30" x14ac:dyDescent="0.2">
      <c r="AB507"/>
      <c r="AD507" s="47"/>
    </row>
    <row r="508" spans="28:30" x14ac:dyDescent="0.2">
      <c r="AB508"/>
      <c r="AD508" s="47"/>
    </row>
    <row r="509" spans="28:30" x14ac:dyDescent="0.2">
      <c r="AB509"/>
      <c r="AD509" s="47"/>
    </row>
    <row r="510" spans="28:30" x14ac:dyDescent="0.2">
      <c r="AB510"/>
      <c r="AD510" s="47"/>
    </row>
    <row r="511" spans="28:30" x14ac:dyDescent="0.2">
      <c r="AB511"/>
      <c r="AD511" s="47"/>
    </row>
    <row r="512" spans="28:30" x14ac:dyDescent="0.2">
      <c r="AB512"/>
      <c r="AD512" s="47"/>
    </row>
    <row r="513" spans="28:30" x14ac:dyDescent="0.2">
      <c r="AB513"/>
      <c r="AD513" s="47"/>
    </row>
    <row r="514" spans="28:30" x14ac:dyDescent="0.2">
      <c r="AB514"/>
      <c r="AD514" s="47"/>
    </row>
    <row r="515" spans="28:30" x14ac:dyDescent="0.2">
      <c r="AB515"/>
      <c r="AD515" s="47"/>
    </row>
    <row r="516" spans="28:30" x14ac:dyDescent="0.2">
      <c r="AB516"/>
      <c r="AD516" s="47"/>
    </row>
    <row r="517" spans="28:30" x14ac:dyDescent="0.2">
      <c r="AB517"/>
      <c r="AD517" s="47"/>
    </row>
    <row r="518" spans="28:30" x14ac:dyDescent="0.2">
      <c r="AB518"/>
      <c r="AD518" s="47"/>
    </row>
    <row r="519" spans="28:30" x14ac:dyDescent="0.2">
      <c r="AB519"/>
      <c r="AD519" s="47"/>
    </row>
    <row r="520" spans="28:30" x14ac:dyDescent="0.2">
      <c r="AB520"/>
      <c r="AD520" s="47"/>
    </row>
    <row r="521" spans="28:30" x14ac:dyDescent="0.2">
      <c r="AB521"/>
      <c r="AD521" s="47"/>
    </row>
    <row r="522" spans="28:30" x14ac:dyDescent="0.2">
      <c r="AB522"/>
      <c r="AD522" s="47"/>
    </row>
    <row r="523" spans="28:30" x14ac:dyDescent="0.2">
      <c r="AB523"/>
      <c r="AD523" s="47"/>
    </row>
    <row r="524" spans="28:30" x14ac:dyDescent="0.2">
      <c r="AB524"/>
      <c r="AD524" s="47"/>
    </row>
    <row r="525" spans="28:30" x14ac:dyDescent="0.2">
      <c r="AB525"/>
      <c r="AD525" s="47"/>
    </row>
    <row r="526" spans="28:30" x14ac:dyDescent="0.2">
      <c r="AB526"/>
      <c r="AD526" s="47"/>
    </row>
    <row r="527" spans="28:30" x14ac:dyDescent="0.2">
      <c r="AB527"/>
      <c r="AD527" s="47"/>
    </row>
    <row r="528" spans="28:30" x14ac:dyDescent="0.2">
      <c r="AB528"/>
      <c r="AD528" s="47"/>
    </row>
    <row r="529" spans="28:30" x14ac:dyDescent="0.2">
      <c r="AB529"/>
      <c r="AD529" s="47"/>
    </row>
    <row r="530" spans="28:30" x14ac:dyDescent="0.2">
      <c r="AB530"/>
      <c r="AD530" s="47"/>
    </row>
    <row r="531" spans="28:30" x14ac:dyDescent="0.2">
      <c r="AB531"/>
      <c r="AD531" s="47"/>
    </row>
    <row r="532" spans="28:30" x14ac:dyDescent="0.2">
      <c r="AB532"/>
      <c r="AD532" s="47"/>
    </row>
    <row r="533" spans="28:30" x14ac:dyDescent="0.2">
      <c r="AB533"/>
      <c r="AD533" s="47"/>
    </row>
    <row r="534" spans="28:30" x14ac:dyDescent="0.2">
      <c r="AB534"/>
      <c r="AD534" s="47"/>
    </row>
    <row r="535" spans="28:30" x14ac:dyDescent="0.2">
      <c r="AB535"/>
      <c r="AD535" s="47"/>
    </row>
    <row r="536" spans="28:30" x14ac:dyDescent="0.2">
      <c r="AB536"/>
      <c r="AD536" s="47"/>
    </row>
    <row r="537" spans="28:30" x14ac:dyDescent="0.2">
      <c r="AB537"/>
    </row>
    <row r="538" spans="28:30" x14ac:dyDescent="0.2">
      <c r="AB538"/>
    </row>
    <row r="539" spans="28:30" x14ac:dyDescent="0.2">
      <c r="AB539"/>
    </row>
    <row r="540" spans="28:30" x14ac:dyDescent="0.2">
      <c r="AB540"/>
    </row>
    <row r="541" spans="28:30" x14ac:dyDescent="0.2">
      <c r="AB541"/>
    </row>
    <row r="542" spans="28:30" x14ac:dyDescent="0.2">
      <c r="AB542"/>
    </row>
    <row r="543" spans="28:30" x14ac:dyDescent="0.2">
      <c r="AB543"/>
    </row>
    <row r="544" spans="28:30" x14ac:dyDescent="0.2">
      <c r="AB544"/>
    </row>
    <row r="545" spans="28:28" x14ac:dyDescent="0.2">
      <c r="AB545"/>
    </row>
    <row r="546" spans="28:28" x14ac:dyDescent="0.2">
      <c r="AB546"/>
    </row>
    <row r="547" spans="28:28" x14ac:dyDescent="0.2">
      <c r="AB547"/>
    </row>
    <row r="548" spans="28:28" x14ac:dyDescent="0.2">
      <c r="AB548"/>
    </row>
    <row r="549" spans="28:28" x14ac:dyDescent="0.2">
      <c r="AB549"/>
    </row>
    <row r="550" spans="28:28" x14ac:dyDescent="0.2">
      <c r="AB550"/>
    </row>
    <row r="551" spans="28:28" x14ac:dyDescent="0.2">
      <c r="AB551"/>
    </row>
    <row r="552" spans="28:28" x14ac:dyDescent="0.2">
      <c r="AB552"/>
    </row>
    <row r="553" spans="28:28" x14ac:dyDescent="0.2">
      <c r="AB553"/>
    </row>
    <row r="554" spans="28:28" x14ac:dyDescent="0.2">
      <c r="AB554"/>
    </row>
    <row r="555" spans="28:28" x14ac:dyDescent="0.2">
      <c r="AB555"/>
    </row>
    <row r="556" spans="28:28" x14ac:dyDescent="0.2">
      <c r="AB556"/>
    </row>
    <row r="557" spans="28:28" x14ac:dyDescent="0.2">
      <c r="AB557"/>
    </row>
    <row r="558" spans="28:28" x14ac:dyDescent="0.2">
      <c r="AB558"/>
    </row>
    <row r="559" spans="28:28" x14ac:dyDescent="0.2">
      <c r="AB559"/>
    </row>
    <row r="560" spans="28:28" x14ac:dyDescent="0.2">
      <c r="AB560"/>
    </row>
    <row r="561" spans="28:28" x14ac:dyDescent="0.2">
      <c r="AB561"/>
    </row>
    <row r="562" spans="28:28" x14ac:dyDescent="0.2">
      <c r="AB562"/>
    </row>
    <row r="563" spans="28:28" x14ac:dyDescent="0.2">
      <c r="AB563"/>
    </row>
    <row r="564" spans="28:28" x14ac:dyDescent="0.2">
      <c r="AB564"/>
    </row>
    <row r="565" spans="28:28" x14ac:dyDescent="0.2">
      <c r="AB565"/>
    </row>
    <row r="566" spans="28:28" x14ac:dyDescent="0.2">
      <c r="AB566"/>
    </row>
    <row r="567" spans="28:28" x14ac:dyDescent="0.2">
      <c r="AB567"/>
    </row>
    <row r="568" spans="28:28" x14ac:dyDescent="0.2">
      <c r="AB568"/>
    </row>
    <row r="569" spans="28:28" x14ac:dyDescent="0.2">
      <c r="AB569"/>
    </row>
    <row r="570" spans="28:28" x14ac:dyDescent="0.2">
      <c r="AB570"/>
    </row>
    <row r="571" spans="28:28" x14ac:dyDescent="0.2">
      <c r="AB571"/>
    </row>
    <row r="572" spans="28:28" x14ac:dyDescent="0.2">
      <c r="AB572"/>
    </row>
    <row r="573" spans="28:28" x14ac:dyDescent="0.2">
      <c r="AB573"/>
    </row>
    <row r="574" spans="28:28" x14ac:dyDescent="0.2">
      <c r="AB574"/>
    </row>
    <row r="575" spans="28:28" x14ac:dyDescent="0.2">
      <c r="AB575"/>
    </row>
    <row r="576" spans="28:28" x14ac:dyDescent="0.2">
      <c r="AB576"/>
    </row>
    <row r="577" spans="28:28" x14ac:dyDescent="0.2">
      <c r="AB577"/>
    </row>
    <row r="578" spans="28:28" x14ac:dyDescent="0.2">
      <c r="AB578"/>
    </row>
    <row r="579" spans="28:28" x14ac:dyDescent="0.2">
      <c r="AB579"/>
    </row>
    <row r="580" spans="28:28" x14ac:dyDescent="0.2">
      <c r="AB580"/>
    </row>
    <row r="581" spans="28:28" x14ac:dyDescent="0.2">
      <c r="AB581"/>
    </row>
    <row r="582" spans="28:28" x14ac:dyDescent="0.2">
      <c r="AB582"/>
    </row>
    <row r="583" spans="28:28" x14ac:dyDescent="0.2">
      <c r="AB583"/>
    </row>
    <row r="584" spans="28:28" x14ac:dyDescent="0.2">
      <c r="AB584"/>
    </row>
    <row r="585" spans="28:28" x14ac:dyDescent="0.2">
      <c r="AB585"/>
    </row>
    <row r="586" spans="28:28" x14ac:dyDescent="0.2">
      <c r="AB586"/>
    </row>
    <row r="587" spans="28:28" x14ac:dyDescent="0.2">
      <c r="AB587"/>
    </row>
    <row r="588" spans="28:28" x14ac:dyDescent="0.2">
      <c r="AB588"/>
    </row>
    <row r="589" spans="28:28" x14ac:dyDescent="0.2">
      <c r="AB589"/>
    </row>
    <row r="590" spans="28:28" x14ac:dyDescent="0.2">
      <c r="AB590"/>
    </row>
    <row r="591" spans="28:28" x14ac:dyDescent="0.2">
      <c r="AB591"/>
    </row>
    <row r="592" spans="28:28" x14ac:dyDescent="0.2">
      <c r="AB592"/>
    </row>
    <row r="593" spans="28:28" x14ac:dyDescent="0.2">
      <c r="AB593"/>
    </row>
    <row r="594" spans="28:28" x14ac:dyDescent="0.2">
      <c r="AB594"/>
    </row>
    <row r="595" spans="28:28" x14ac:dyDescent="0.2">
      <c r="AB595"/>
    </row>
    <row r="596" spans="28:28" x14ac:dyDescent="0.2">
      <c r="AB596"/>
    </row>
    <row r="597" spans="28:28" x14ac:dyDescent="0.2">
      <c r="AB597"/>
    </row>
    <row r="598" spans="28:28" x14ac:dyDescent="0.2">
      <c r="AB598"/>
    </row>
    <row r="599" spans="28:28" x14ac:dyDescent="0.2">
      <c r="AB599"/>
    </row>
    <row r="600" spans="28:28" x14ac:dyDescent="0.2">
      <c r="AB600"/>
    </row>
    <row r="601" spans="28:28" x14ac:dyDescent="0.2">
      <c r="AB601"/>
    </row>
    <row r="602" spans="28:28" x14ac:dyDescent="0.2">
      <c r="AB602"/>
    </row>
    <row r="603" spans="28:28" x14ac:dyDescent="0.2">
      <c r="AB603"/>
    </row>
    <row r="604" spans="28:28" x14ac:dyDescent="0.2">
      <c r="AB604"/>
    </row>
    <row r="605" spans="28:28" x14ac:dyDescent="0.2">
      <c r="AB605"/>
    </row>
    <row r="606" spans="28:28" x14ac:dyDescent="0.2">
      <c r="AB606"/>
    </row>
    <row r="607" spans="28:28" x14ac:dyDescent="0.2">
      <c r="AB607"/>
    </row>
    <row r="608" spans="28:28" x14ac:dyDescent="0.2">
      <c r="AB608"/>
    </row>
    <row r="609" spans="28:28" x14ac:dyDescent="0.2">
      <c r="AB609"/>
    </row>
    <row r="610" spans="28:28" x14ac:dyDescent="0.2">
      <c r="AB610"/>
    </row>
    <row r="611" spans="28:28" x14ac:dyDescent="0.2">
      <c r="AB611"/>
    </row>
    <row r="612" spans="28:28" x14ac:dyDescent="0.2">
      <c r="AB612"/>
    </row>
    <row r="613" spans="28:28" x14ac:dyDescent="0.2">
      <c r="AB613"/>
    </row>
    <row r="614" spans="28:28" x14ac:dyDescent="0.2">
      <c r="AB614"/>
    </row>
    <row r="615" spans="28:28" x14ac:dyDescent="0.2">
      <c r="AB615"/>
    </row>
    <row r="616" spans="28:28" x14ac:dyDescent="0.2">
      <c r="AB616"/>
    </row>
    <row r="617" spans="28:28" x14ac:dyDescent="0.2">
      <c r="AB617"/>
    </row>
    <row r="618" spans="28:28" x14ac:dyDescent="0.2">
      <c r="AB618"/>
    </row>
    <row r="619" spans="28:28" x14ac:dyDescent="0.2">
      <c r="AB619"/>
    </row>
    <row r="620" spans="28:28" x14ac:dyDescent="0.2">
      <c r="AB620"/>
    </row>
    <row r="621" spans="28:28" x14ac:dyDescent="0.2">
      <c r="AB621"/>
    </row>
    <row r="622" spans="28:28" x14ac:dyDescent="0.2">
      <c r="AB622"/>
    </row>
    <row r="623" spans="28:28" x14ac:dyDescent="0.2">
      <c r="AB623"/>
    </row>
    <row r="624" spans="28:28" x14ac:dyDescent="0.2">
      <c r="AB624"/>
    </row>
    <row r="625" spans="28:28" x14ac:dyDescent="0.2">
      <c r="AB625"/>
    </row>
    <row r="626" spans="28:28" x14ac:dyDescent="0.2">
      <c r="AB626"/>
    </row>
    <row r="627" spans="28:28" x14ac:dyDescent="0.2">
      <c r="AB627"/>
    </row>
    <row r="628" spans="28:28" x14ac:dyDescent="0.2">
      <c r="AB628"/>
    </row>
    <row r="629" spans="28:28" x14ac:dyDescent="0.2">
      <c r="AB629"/>
    </row>
    <row r="630" spans="28:28" x14ac:dyDescent="0.2">
      <c r="AB630"/>
    </row>
    <row r="631" spans="28:28" x14ac:dyDescent="0.2">
      <c r="AB631"/>
    </row>
    <row r="632" spans="28:28" x14ac:dyDescent="0.2">
      <c r="AB632"/>
    </row>
    <row r="633" spans="28:28" x14ac:dyDescent="0.2">
      <c r="AB633"/>
    </row>
    <row r="634" spans="28:28" x14ac:dyDescent="0.2">
      <c r="AB634"/>
    </row>
    <row r="635" spans="28:28" x14ac:dyDescent="0.2">
      <c r="AB635"/>
    </row>
    <row r="636" spans="28:28" x14ac:dyDescent="0.2">
      <c r="AB636"/>
    </row>
    <row r="637" spans="28:28" x14ac:dyDescent="0.2">
      <c r="AB637"/>
    </row>
    <row r="638" spans="28:28" x14ac:dyDescent="0.2">
      <c r="AB638"/>
    </row>
    <row r="639" spans="28:28" x14ac:dyDescent="0.2">
      <c r="AB639"/>
    </row>
    <row r="640" spans="28:28" x14ac:dyDescent="0.2">
      <c r="AB640"/>
    </row>
    <row r="641" spans="28:28" x14ac:dyDescent="0.2">
      <c r="AB641"/>
    </row>
    <row r="642" spans="28:28" x14ac:dyDescent="0.2">
      <c r="AB642"/>
    </row>
    <row r="643" spans="28:28" x14ac:dyDescent="0.2">
      <c r="AB643"/>
    </row>
    <row r="644" spans="28:28" x14ac:dyDescent="0.2">
      <c r="AB644"/>
    </row>
    <row r="645" spans="28:28" x14ac:dyDescent="0.2">
      <c r="AB645"/>
    </row>
    <row r="646" spans="28:28" x14ac:dyDescent="0.2">
      <c r="AB646"/>
    </row>
    <row r="647" spans="28:28" x14ac:dyDescent="0.2">
      <c r="AB647"/>
    </row>
    <row r="648" spans="28:28" x14ac:dyDescent="0.2">
      <c r="AB648"/>
    </row>
    <row r="649" spans="28:28" x14ac:dyDescent="0.2">
      <c r="AB649"/>
    </row>
    <row r="650" spans="28:28" x14ac:dyDescent="0.2">
      <c r="AB650"/>
    </row>
    <row r="651" spans="28:28" x14ac:dyDescent="0.2">
      <c r="AB651"/>
    </row>
    <row r="652" spans="28:28" x14ac:dyDescent="0.2">
      <c r="AB652"/>
    </row>
    <row r="653" spans="28:28" x14ac:dyDescent="0.2">
      <c r="AB653"/>
    </row>
    <row r="654" spans="28:28" x14ac:dyDescent="0.2">
      <c r="AB654"/>
    </row>
    <row r="655" spans="28:28" x14ac:dyDescent="0.2">
      <c r="AB655"/>
    </row>
    <row r="656" spans="28:28" x14ac:dyDescent="0.2">
      <c r="AB656"/>
    </row>
    <row r="657" spans="28:28" x14ac:dyDescent="0.2">
      <c r="AB657"/>
    </row>
    <row r="658" spans="28:28" x14ac:dyDescent="0.2">
      <c r="AB658"/>
    </row>
    <row r="659" spans="28:28" x14ac:dyDescent="0.2">
      <c r="AB659"/>
    </row>
    <row r="660" spans="28:28" x14ac:dyDescent="0.2">
      <c r="AB660"/>
    </row>
    <row r="661" spans="28:28" x14ac:dyDescent="0.2">
      <c r="AB661"/>
    </row>
    <row r="662" spans="28:28" x14ac:dyDescent="0.2">
      <c r="AB662"/>
    </row>
    <row r="663" spans="28:28" x14ac:dyDescent="0.2">
      <c r="AB663"/>
    </row>
    <row r="664" spans="28:28" x14ac:dyDescent="0.2">
      <c r="AB664"/>
    </row>
    <row r="665" spans="28:28" x14ac:dyDescent="0.2">
      <c r="AB665"/>
    </row>
    <row r="666" spans="28:28" x14ac:dyDescent="0.2">
      <c r="AB666"/>
    </row>
    <row r="667" spans="28:28" x14ac:dyDescent="0.2">
      <c r="AB667"/>
    </row>
    <row r="668" spans="28:28" x14ac:dyDescent="0.2">
      <c r="AB668"/>
    </row>
    <row r="669" spans="28:28" x14ac:dyDescent="0.2">
      <c r="AB669"/>
    </row>
    <row r="670" spans="28:28" x14ac:dyDescent="0.2">
      <c r="AB670"/>
    </row>
    <row r="671" spans="28:28" x14ac:dyDescent="0.2">
      <c r="AB671"/>
    </row>
    <row r="672" spans="28:28" x14ac:dyDescent="0.2">
      <c r="AB672"/>
    </row>
    <row r="673" spans="28:28" x14ac:dyDescent="0.2">
      <c r="AB673"/>
    </row>
    <row r="674" spans="28:28" x14ac:dyDescent="0.2">
      <c r="AB674"/>
    </row>
    <row r="675" spans="28:28" x14ac:dyDescent="0.2">
      <c r="AB675"/>
    </row>
    <row r="676" spans="28:28" x14ac:dyDescent="0.2">
      <c r="AB676"/>
    </row>
    <row r="677" spans="28:28" x14ac:dyDescent="0.2">
      <c r="AB677"/>
    </row>
    <row r="678" spans="28:28" x14ac:dyDescent="0.2">
      <c r="AB678"/>
    </row>
    <row r="679" spans="28:28" x14ac:dyDescent="0.2">
      <c r="AB679"/>
    </row>
    <row r="680" spans="28:28" x14ac:dyDescent="0.2">
      <c r="AB680"/>
    </row>
    <row r="681" spans="28:28" x14ac:dyDescent="0.2">
      <c r="AB681"/>
    </row>
    <row r="682" spans="28:28" x14ac:dyDescent="0.2">
      <c r="AB682"/>
    </row>
    <row r="683" spans="28:28" x14ac:dyDescent="0.2">
      <c r="AB683"/>
    </row>
    <row r="684" spans="28:28" x14ac:dyDescent="0.2">
      <c r="AB684"/>
    </row>
    <row r="685" spans="28:28" x14ac:dyDescent="0.2">
      <c r="AB685"/>
    </row>
    <row r="686" spans="28:28" x14ac:dyDescent="0.2">
      <c r="AB686"/>
    </row>
    <row r="687" spans="28:28" x14ac:dyDescent="0.2">
      <c r="AB687"/>
    </row>
    <row r="688" spans="28:28" x14ac:dyDescent="0.2">
      <c r="AB688"/>
    </row>
    <row r="689" spans="28:28" x14ac:dyDescent="0.2">
      <c r="AB689"/>
    </row>
    <row r="690" spans="28:28" x14ac:dyDescent="0.2">
      <c r="AB690"/>
    </row>
    <row r="691" spans="28:28" x14ac:dyDescent="0.2">
      <c r="AB691"/>
    </row>
    <row r="692" spans="28:28" x14ac:dyDescent="0.2">
      <c r="AB692"/>
    </row>
    <row r="693" spans="28:28" x14ac:dyDescent="0.2">
      <c r="AB693"/>
    </row>
    <row r="694" spans="28:28" x14ac:dyDescent="0.2">
      <c r="AB694"/>
    </row>
    <row r="695" spans="28:28" x14ac:dyDescent="0.2">
      <c r="AB695"/>
    </row>
    <row r="696" spans="28:28" x14ac:dyDescent="0.2">
      <c r="AB696"/>
    </row>
    <row r="697" spans="28:28" x14ac:dyDescent="0.2">
      <c r="AB697"/>
    </row>
    <row r="698" spans="28:28" x14ac:dyDescent="0.2">
      <c r="AB698"/>
    </row>
    <row r="699" spans="28:28" x14ac:dyDescent="0.2">
      <c r="AB699"/>
    </row>
    <row r="700" spans="28:28" x14ac:dyDescent="0.2">
      <c r="AB700"/>
    </row>
    <row r="701" spans="28:28" x14ac:dyDescent="0.2">
      <c r="AB701"/>
    </row>
    <row r="702" spans="28:28" x14ac:dyDescent="0.2">
      <c r="AB702"/>
    </row>
    <row r="703" spans="28:28" x14ac:dyDescent="0.2">
      <c r="AB703"/>
    </row>
    <row r="704" spans="28:28" x14ac:dyDescent="0.2">
      <c r="AB704"/>
    </row>
    <row r="705" spans="28:28" x14ac:dyDescent="0.2">
      <c r="AB705"/>
    </row>
    <row r="706" spans="28:28" x14ac:dyDescent="0.2">
      <c r="AB706"/>
    </row>
    <row r="707" spans="28:28" x14ac:dyDescent="0.2">
      <c r="AB707"/>
    </row>
    <row r="708" spans="28:28" x14ac:dyDescent="0.2">
      <c r="AB708"/>
    </row>
    <row r="709" spans="28:28" x14ac:dyDescent="0.2">
      <c r="AB709"/>
    </row>
    <row r="710" spans="28:28" x14ac:dyDescent="0.2">
      <c r="AB710"/>
    </row>
    <row r="711" spans="28:28" x14ac:dyDescent="0.2">
      <c r="AB711"/>
    </row>
    <row r="712" spans="28:28" x14ac:dyDescent="0.2">
      <c r="AB712"/>
    </row>
    <row r="713" spans="28:28" x14ac:dyDescent="0.2">
      <c r="AB713"/>
    </row>
    <row r="714" spans="28:28" x14ac:dyDescent="0.2">
      <c r="AB714"/>
    </row>
    <row r="715" spans="28:28" x14ac:dyDescent="0.2">
      <c r="AB715"/>
    </row>
    <row r="716" spans="28:28" x14ac:dyDescent="0.2">
      <c r="AB716"/>
    </row>
    <row r="717" spans="28:28" x14ac:dyDescent="0.2">
      <c r="AB717"/>
    </row>
    <row r="718" spans="28:28" x14ac:dyDescent="0.2">
      <c r="AB718"/>
    </row>
    <row r="719" spans="28:28" x14ac:dyDescent="0.2">
      <c r="AB719"/>
    </row>
    <row r="720" spans="28:28" x14ac:dyDescent="0.2">
      <c r="AB720"/>
    </row>
    <row r="721" spans="28:28" x14ac:dyDescent="0.2">
      <c r="AB721"/>
    </row>
    <row r="722" spans="28:28" x14ac:dyDescent="0.2">
      <c r="AB722"/>
    </row>
    <row r="723" spans="28:28" x14ac:dyDescent="0.2">
      <c r="AB723"/>
    </row>
    <row r="724" spans="28:28" x14ac:dyDescent="0.2">
      <c r="AB724"/>
    </row>
    <row r="725" spans="28:28" x14ac:dyDescent="0.2">
      <c r="AB725"/>
    </row>
    <row r="726" spans="28:28" x14ac:dyDescent="0.2">
      <c r="AB726"/>
    </row>
    <row r="727" spans="28:28" x14ac:dyDescent="0.2">
      <c r="AB727"/>
    </row>
    <row r="728" spans="28:28" x14ac:dyDescent="0.2">
      <c r="AB728"/>
    </row>
    <row r="729" spans="28:28" x14ac:dyDescent="0.2">
      <c r="AB729"/>
    </row>
    <row r="730" spans="28:28" x14ac:dyDescent="0.2">
      <c r="AB730"/>
    </row>
    <row r="731" spans="28:28" x14ac:dyDescent="0.2">
      <c r="AB731"/>
    </row>
    <row r="732" spans="28:28" x14ac:dyDescent="0.2">
      <c r="AB732"/>
    </row>
    <row r="733" spans="28:28" x14ac:dyDescent="0.2">
      <c r="AB733"/>
    </row>
    <row r="734" spans="28:28" x14ac:dyDescent="0.2">
      <c r="AB734"/>
    </row>
    <row r="735" spans="28:28" x14ac:dyDescent="0.2">
      <c r="AB735"/>
    </row>
    <row r="736" spans="28:28" x14ac:dyDescent="0.2">
      <c r="AB736"/>
    </row>
    <row r="737" spans="28:28" x14ac:dyDescent="0.2">
      <c r="AB737"/>
    </row>
    <row r="738" spans="28:28" x14ac:dyDescent="0.2">
      <c r="AB738"/>
    </row>
    <row r="739" spans="28:28" x14ac:dyDescent="0.2">
      <c r="AB739"/>
    </row>
    <row r="740" spans="28:28" x14ac:dyDescent="0.2">
      <c r="AB740"/>
    </row>
    <row r="741" spans="28:28" x14ac:dyDescent="0.2">
      <c r="AB741"/>
    </row>
    <row r="742" spans="28:28" x14ac:dyDescent="0.2">
      <c r="AB742"/>
    </row>
    <row r="743" spans="28:28" x14ac:dyDescent="0.2">
      <c r="AB743"/>
    </row>
    <row r="744" spans="28:28" x14ac:dyDescent="0.2">
      <c r="AB744"/>
    </row>
    <row r="745" spans="28:28" x14ac:dyDescent="0.2">
      <c r="AB745"/>
    </row>
    <row r="746" spans="28:28" x14ac:dyDescent="0.2">
      <c r="AB746"/>
    </row>
    <row r="747" spans="28:28" x14ac:dyDescent="0.2">
      <c r="AB747"/>
    </row>
    <row r="748" spans="28:28" x14ac:dyDescent="0.2">
      <c r="AB748"/>
    </row>
    <row r="749" spans="28:28" x14ac:dyDescent="0.2">
      <c r="AB749"/>
    </row>
    <row r="750" spans="28:28" x14ac:dyDescent="0.2">
      <c r="AB750"/>
    </row>
    <row r="751" spans="28:28" x14ac:dyDescent="0.2">
      <c r="AB751"/>
    </row>
    <row r="752" spans="28:28" x14ac:dyDescent="0.2">
      <c r="AB752"/>
    </row>
    <row r="753" spans="28:28" x14ac:dyDescent="0.2">
      <c r="AB753"/>
    </row>
    <row r="754" spans="28:28" x14ac:dyDescent="0.2">
      <c r="AB754"/>
    </row>
    <row r="755" spans="28:28" x14ac:dyDescent="0.2">
      <c r="AB755"/>
    </row>
    <row r="756" spans="28:28" x14ac:dyDescent="0.2">
      <c r="AB756"/>
    </row>
    <row r="757" spans="28:28" x14ac:dyDescent="0.2">
      <c r="AB757"/>
    </row>
    <row r="758" spans="28:28" x14ac:dyDescent="0.2">
      <c r="AB758"/>
    </row>
    <row r="759" spans="28:28" x14ac:dyDescent="0.2">
      <c r="AB759"/>
    </row>
    <row r="760" spans="28:28" x14ac:dyDescent="0.2">
      <c r="AB760"/>
    </row>
    <row r="761" spans="28:28" x14ac:dyDescent="0.2">
      <c r="AB761"/>
    </row>
    <row r="762" spans="28:28" x14ac:dyDescent="0.2">
      <c r="AB762"/>
    </row>
    <row r="763" spans="28:28" x14ac:dyDescent="0.2">
      <c r="AB763"/>
    </row>
    <row r="764" spans="28:28" x14ac:dyDescent="0.2">
      <c r="AB764"/>
    </row>
    <row r="765" spans="28:28" x14ac:dyDescent="0.2">
      <c r="AB765"/>
    </row>
    <row r="766" spans="28:28" x14ac:dyDescent="0.2">
      <c r="AB766"/>
    </row>
    <row r="767" spans="28:28" x14ac:dyDescent="0.2">
      <c r="AB767"/>
    </row>
    <row r="768" spans="28:28" x14ac:dyDescent="0.2">
      <c r="AB768"/>
    </row>
    <row r="769" spans="28:28" x14ac:dyDescent="0.2">
      <c r="AB769"/>
    </row>
    <row r="770" spans="28:28" x14ac:dyDescent="0.2">
      <c r="AB770"/>
    </row>
    <row r="771" spans="28:28" x14ac:dyDescent="0.2">
      <c r="AB771"/>
    </row>
    <row r="772" spans="28:28" x14ac:dyDescent="0.2">
      <c r="AB772"/>
    </row>
    <row r="773" spans="28:28" x14ac:dyDescent="0.2">
      <c r="AB773"/>
    </row>
    <row r="774" spans="28:28" x14ac:dyDescent="0.2">
      <c r="AB774"/>
    </row>
    <row r="775" spans="28:28" x14ac:dyDescent="0.2">
      <c r="AB775"/>
    </row>
    <row r="776" spans="28:28" x14ac:dyDescent="0.2">
      <c r="AB776"/>
    </row>
    <row r="777" spans="28:28" x14ac:dyDescent="0.2">
      <c r="AB777"/>
    </row>
    <row r="778" spans="28:28" x14ac:dyDescent="0.2">
      <c r="AB778"/>
    </row>
    <row r="779" spans="28:28" x14ac:dyDescent="0.2">
      <c r="AB779"/>
    </row>
    <row r="780" spans="28:28" x14ac:dyDescent="0.2">
      <c r="AB780"/>
    </row>
    <row r="781" spans="28:28" x14ac:dyDescent="0.2">
      <c r="AB781"/>
    </row>
    <row r="782" spans="28:28" x14ac:dyDescent="0.2">
      <c r="AB782"/>
    </row>
    <row r="783" spans="28:28" x14ac:dyDescent="0.2">
      <c r="AB783"/>
    </row>
    <row r="784" spans="28:28" x14ac:dyDescent="0.2">
      <c r="AB784"/>
    </row>
    <row r="785" spans="28:28" x14ac:dyDescent="0.2">
      <c r="AB785"/>
    </row>
    <row r="786" spans="28:28" x14ac:dyDescent="0.2">
      <c r="AB786"/>
    </row>
    <row r="787" spans="28:28" x14ac:dyDescent="0.2">
      <c r="AB787"/>
    </row>
    <row r="788" spans="28:28" x14ac:dyDescent="0.2">
      <c r="AB788"/>
    </row>
    <row r="789" spans="28:28" x14ac:dyDescent="0.2">
      <c r="AB789"/>
    </row>
    <row r="790" spans="28:28" x14ac:dyDescent="0.2">
      <c r="AB790"/>
    </row>
    <row r="791" spans="28:28" x14ac:dyDescent="0.2">
      <c r="AB791"/>
    </row>
    <row r="792" spans="28:28" x14ac:dyDescent="0.2">
      <c r="AB792"/>
    </row>
    <row r="793" spans="28:28" x14ac:dyDescent="0.2">
      <c r="AB793"/>
    </row>
    <row r="794" spans="28:28" x14ac:dyDescent="0.2">
      <c r="AB794"/>
    </row>
    <row r="795" spans="28:28" x14ac:dyDescent="0.2">
      <c r="AB795"/>
    </row>
    <row r="796" spans="28:28" x14ac:dyDescent="0.2">
      <c r="AB796"/>
    </row>
    <row r="797" spans="28:28" x14ac:dyDescent="0.2">
      <c r="AB797"/>
    </row>
    <row r="798" spans="28:28" x14ac:dyDescent="0.2">
      <c r="AB798"/>
    </row>
    <row r="799" spans="28:28" x14ac:dyDescent="0.2">
      <c r="AB799"/>
    </row>
    <row r="800" spans="28:28" x14ac:dyDescent="0.2">
      <c r="AB800"/>
    </row>
    <row r="801" spans="28:28" x14ac:dyDescent="0.2">
      <c r="AB801"/>
    </row>
    <row r="802" spans="28:28" x14ac:dyDescent="0.2">
      <c r="AB802"/>
    </row>
    <row r="803" spans="28:28" x14ac:dyDescent="0.2">
      <c r="AB803"/>
    </row>
    <row r="804" spans="28:28" x14ac:dyDescent="0.2">
      <c r="AB804"/>
    </row>
    <row r="805" spans="28:28" x14ac:dyDescent="0.2">
      <c r="AB805"/>
    </row>
    <row r="806" spans="28:28" x14ac:dyDescent="0.2">
      <c r="AB806"/>
    </row>
    <row r="807" spans="28:28" x14ac:dyDescent="0.2">
      <c r="AB807"/>
    </row>
    <row r="808" spans="28:28" x14ac:dyDescent="0.2">
      <c r="AB808"/>
    </row>
    <row r="809" spans="28:28" x14ac:dyDescent="0.2">
      <c r="AB809"/>
    </row>
    <row r="810" spans="28:28" x14ac:dyDescent="0.2">
      <c r="AB810"/>
    </row>
    <row r="811" spans="28:28" x14ac:dyDescent="0.2">
      <c r="AB811"/>
    </row>
    <row r="812" spans="28:28" x14ac:dyDescent="0.2">
      <c r="AB812"/>
    </row>
    <row r="813" spans="28:28" x14ac:dyDescent="0.2">
      <c r="AB813"/>
    </row>
    <row r="814" spans="28:28" x14ac:dyDescent="0.2">
      <c r="AB814"/>
    </row>
    <row r="815" spans="28:28" x14ac:dyDescent="0.2">
      <c r="AB815"/>
    </row>
    <row r="816" spans="28:28" x14ac:dyDescent="0.2">
      <c r="AB816"/>
    </row>
    <row r="817" spans="28:28" x14ac:dyDescent="0.2">
      <c r="AB817"/>
    </row>
    <row r="818" spans="28:28" x14ac:dyDescent="0.2">
      <c r="AB818"/>
    </row>
    <row r="819" spans="28:28" x14ac:dyDescent="0.2">
      <c r="AB819"/>
    </row>
    <row r="820" spans="28:28" x14ac:dyDescent="0.2">
      <c r="AB820"/>
    </row>
    <row r="821" spans="28:28" x14ac:dyDescent="0.2">
      <c r="AB821"/>
    </row>
    <row r="822" spans="28:28" x14ac:dyDescent="0.2">
      <c r="AB822"/>
    </row>
    <row r="823" spans="28:28" x14ac:dyDescent="0.2">
      <c r="AB823"/>
    </row>
    <row r="824" spans="28:28" x14ac:dyDescent="0.2">
      <c r="AB824"/>
    </row>
    <row r="825" spans="28:28" x14ac:dyDescent="0.2">
      <c r="AB825"/>
    </row>
    <row r="826" spans="28:28" x14ac:dyDescent="0.2">
      <c r="AB826"/>
    </row>
    <row r="827" spans="28:28" x14ac:dyDescent="0.2">
      <c r="AB827"/>
    </row>
    <row r="828" spans="28:28" x14ac:dyDescent="0.2">
      <c r="AB828"/>
    </row>
    <row r="829" spans="28:28" x14ac:dyDescent="0.2">
      <c r="AB829"/>
    </row>
    <row r="830" spans="28:28" x14ac:dyDescent="0.2">
      <c r="AB830"/>
    </row>
    <row r="831" spans="28:28" x14ac:dyDescent="0.2">
      <c r="AB831"/>
    </row>
    <row r="832" spans="28:28" x14ac:dyDescent="0.2">
      <c r="AB832"/>
    </row>
    <row r="833" spans="28:28" x14ac:dyDescent="0.2">
      <c r="AB833"/>
    </row>
    <row r="834" spans="28:28" x14ac:dyDescent="0.2">
      <c r="AB834"/>
    </row>
    <row r="835" spans="28:28" x14ac:dyDescent="0.2">
      <c r="AB835"/>
    </row>
    <row r="836" spans="28:28" x14ac:dyDescent="0.2">
      <c r="AB836"/>
    </row>
    <row r="837" spans="28:28" x14ac:dyDescent="0.2">
      <c r="AB837"/>
    </row>
    <row r="838" spans="28:28" x14ac:dyDescent="0.2">
      <c r="AB838"/>
    </row>
    <row r="839" spans="28:28" x14ac:dyDescent="0.2">
      <c r="AB839"/>
    </row>
    <row r="840" spans="28:28" x14ac:dyDescent="0.2">
      <c r="AB840"/>
    </row>
    <row r="841" spans="28:28" x14ac:dyDescent="0.2">
      <c r="AB841"/>
    </row>
    <row r="842" spans="28:28" x14ac:dyDescent="0.2">
      <c r="AB842"/>
    </row>
    <row r="843" spans="28:28" x14ac:dyDescent="0.2">
      <c r="AB843"/>
    </row>
    <row r="844" spans="28:28" x14ac:dyDescent="0.2">
      <c r="AB844"/>
    </row>
    <row r="845" spans="28:28" x14ac:dyDescent="0.2">
      <c r="AB845"/>
    </row>
    <row r="846" spans="28:28" x14ac:dyDescent="0.2">
      <c r="AB846"/>
    </row>
    <row r="847" spans="28:28" x14ac:dyDescent="0.2">
      <c r="AB847"/>
    </row>
    <row r="848" spans="28:28" x14ac:dyDescent="0.2">
      <c r="AB848"/>
    </row>
    <row r="849" spans="28:28" x14ac:dyDescent="0.2">
      <c r="AB849"/>
    </row>
    <row r="850" spans="28:28" x14ac:dyDescent="0.2">
      <c r="AB850"/>
    </row>
    <row r="851" spans="28:28" x14ac:dyDescent="0.2">
      <c r="AB851"/>
    </row>
    <row r="852" spans="28:28" x14ac:dyDescent="0.2">
      <c r="AB852"/>
    </row>
    <row r="853" spans="28:28" x14ac:dyDescent="0.2">
      <c r="AB853"/>
    </row>
    <row r="854" spans="28:28" x14ac:dyDescent="0.2">
      <c r="AB854"/>
    </row>
    <row r="855" spans="28:28" x14ac:dyDescent="0.2">
      <c r="AB855"/>
    </row>
    <row r="856" spans="28:28" x14ac:dyDescent="0.2">
      <c r="AB856"/>
    </row>
    <row r="857" spans="28:28" x14ac:dyDescent="0.2">
      <c r="AB857"/>
    </row>
    <row r="858" spans="28:28" x14ac:dyDescent="0.2">
      <c r="AB858"/>
    </row>
    <row r="859" spans="28:28" x14ac:dyDescent="0.2">
      <c r="AB859"/>
    </row>
    <row r="860" spans="28:28" x14ac:dyDescent="0.2">
      <c r="AB860"/>
    </row>
    <row r="861" spans="28:28" x14ac:dyDescent="0.2">
      <c r="AB861"/>
    </row>
    <row r="862" spans="28:28" x14ac:dyDescent="0.2">
      <c r="AB862"/>
    </row>
    <row r="863" spans="28:28" x14ac:dyDescent="0.2">
      <c r="AB863"/>
    </row>
    <row r="864" spans="28:28" x14ac:dyDescent="0.2">
      <c r="AB864"/>
    </row>
    <row r="865" spans="28:28" x14ac:dyDescent="0.2">
      <c r="AB865"/>
    </row>
    <row r="866" spans="28:28" x14ac:dyDescent="0.2">
      <c r="AB866"/>
    </row>
    <row r="867" spans="28:28" x14ac:dyDescent="0.2">
      <c r="AB867"/>
    </row>
    <row r="868" spans="28:28" x14ac:dyDescent="0.2">
      <c r="AB868"/>
    </row>
    <row r="869" spans="28:28" x14ac:dyDescent="0.2">
      <c r="AB869"/>
    </row>
    <row r="870" spans="28:28" x14ac:dyDescent="0.2">
      <c r="AB870"/>
    </row>
    <row r="871" spans="28:28" x14ac:dyDescent="0.2">
      <c r="AB871"/>
    </row>
    <row r="872" spans="28:28" x14ac:dyDescent="0.2">
      <c r="AB872"/>
    </row>
    <row r="873" spans="28:28" x14ac:dyDescent="0.2">
      <c r="AB873"/>
    </row>
    <row r="874" spans="28:28" x14ac:dyDescent="0.2">
      <c r="AB874"/>
    </row>
    <row r="875" spans="28:28" x14ac:dyDescent="0.2">
      <c r="AB875"/>
    </row>
    <row r="876" spans="28:28" x14ac:dyDescent="0.2">
      <c r="AB876"/>
    </row>
    <row r="877" spans="28:28" x14ac:dyDescent="0.2">
      <c r="AB877"/>
    </row>
    <row r="878" spans="28:28" x14ac:dyDescent="0.2">
      <c r="AB878"/>
    </row>
    <row r="879" spans="28:28" x14ac:dyDescent="0.2">
      <c r="AB879"/>
    </row>
    <row r="880" spans="28:28" x14ac:dyDescent="0.2">
      <c r="AB880"/>
    </row>
    <row r="881" spans="28:28" x14ac:dyDescent="0.2">
      <c r="AB881"/>
    </row>
    <row r="882" spans="28:28" x14ac:dyDescent="0.2">
      <c r="AB882"/>
    </row>
    <row r="883" spans="28:28" x14ac:dyDescent="0.2">
      <c r="AB883"/>
    </row>
    <row r="884" spans="28:28" x14ac:dyDescent="0.2">
      <c r="AB884"/>
    </row>
    <row r="885" spans="28:28" x14ac:dyDescent="0.2">
      <c r="AB885"/>
    </row>
    <row r="886" spans="28:28" x14ac:dyDescent="0.2">
      <c r="AB886"/>
    </row>
    <row r="887" spans="28:28" x14ac:dyDescent="0.2">
      <c r="AB887"/>
    </row>
    <row r="888" spans="28:28" x14ac:dyDescent="0.2">
      <c r="AB888"/>
    </row>
    <row r="889" spans="28:28" x14ac:dyDescent="0.2">
      <c r="AB889"/>
    </row>
    <row r="890" spans="28:28" x14ac:dyDescent="0.2">
      <c r="AB890"/>
    </row>
    <row r="891" spans="28:28" x14ac:dyDescent="0.2">
      <c r="AB891"/>
    </row>
    <row r="892" spans="28:28" x14ac:dyDescent="0.2">
      <c r="AB892"/>
    </row>
    <row r="893" spans="28:28" x14ac:dyDescent="0.2">
      <c r="AB893"/>
    </row>
    <row r="894" spans="28:28" x14ac:dyDescent="0.2">
      <c r="AB894"/>
    </row>
    <row r="895" spans="28:28" x14ac:dyDescent="0.2">
      <c r="AB895"/>
    </row>
    <row r="896" spans="28:28" x14ac:dyDescent="0.2">
      <c r="AB896"/>
    </row>
    <row r="897" spans="28:28" x14ac:dyDescent="0.2">
      <c r="AB897"/>
    </row>
    <row r="898" spans="28:28" x14ac:dyDescent="0.2">
      <c r="AB898"/>
    </row>
    <row r="899" spans="28:28" x14ac:dyDescent="0.2">
      <c r="AB899"/>
    </row>
    <row r="900" spans="28:28" x14ac:dyDescent="0.2">
      <c r="AB900"/>
    </row>
    <row r="901" spans="28:28" x14ac:dyDescent="0.2">
      <c r="AB901"/>
    </row>
    <row r="902" spans="28:28" x14ac:dyDescent="0.2">
      <c r="AB902"/>
    </row>
    <row r="903" spans="28:28" x14ac:dyDescent="0.2">
      <c r="AB903"/>
    </row>
    <row r="904" spans="28:28" x14ac:dyDescent="0.2">
      <c r="AB904"/>
    </row>
    <row r="905" spans="28:28" x14ac:dyDescent="0.2">
      <c r="AB905"/>
    </row>
    <row r="906" spans="28:28" x14ac:dyDescent="0.2">
      <c r="AB906"/>
    </row>
    <row r="907" spans="28:28" x14ac:dyDescent="0.2">
      <c r="AB907"/>
    </row>
    <row r="908" spans="28:28" x14ac:dyDescent="0.2">
      <c r="AB908"/>
    </row>
    <row r="909" spans="28:28" x14ac:dyDescent="0.2">
      <c r="AB909"/>
    </row>
    <row r="910" spans="28:28" x14ac:dyDescent="0.2">
      <c r="AB910"/>
    </row>
    <row r="911" spans="28:28" x14ac:dyDescent="0.2">
      <c r="AB911"/>
    </row>
    <row r="912" spans="28:28" x14ac:dyDescent="0.2">
      <c r="AB912"/>
    </row>
    <row r="913" spans="28:28" x14ac:dyDescent="0.2">
      <c r="AB913"/>
    </row>
    <row r="914" spans="28:28" x14ac:dyDescent="0.2">
      <c r="AB914"/>
    </row>
    <row r="915" spans="28:28" x14ac:dyDescent="0.2">
      <c r="AB915"/>
    </row>
    <row r="916" spans="28:28" x14ac:dyDescent="0.2">
      <c r="AB916"/>
    </row>
    <row r="917" spans="28:28" x14ac:dyDescent="0.2">
      <c r="AB917"/>
    </row>
    <row r="918" spans="28:28" x14ac:dyDescent="0.2">
      <c r="AB918"/>
    </row>
    <row r="919" spans="28:28" x14ac:dyDescent="0.2">
      <c r="AB919"/>
    </row>
    <row r="920" spans="28:28" x14ac:dyDescent="0.2">
      <c r="AB920"/>
    </row>
    <row r="921" spans="28:28" x14ac:dyDescent="0.2">
      <c r="AB921"/>
    </row>
    <row r="922" spans="28:28" x14ac:dyDescent="0.2">
      <c r="AB922"/>
    </row>
    <row r="923" spans="28:28" x14ac:dyDescent="0.2">
      <c r="AB923"/>
    </row>
    <row r="924" spans="28:28" x14ac:dyDescent="0.2">
      <c r="AB924"/>
    </row>
    <row r="925" spans="28:28" x14ac:dyDescent="0.2">
      <c r="AB925"/>
    </row>
    <row r="926" spans="28:28" x14ac:dyDescent="0.2">
      <c r="AB926"/>
    </row>
    <row r="927" spans="28:28" x14ac:dyDescent="0.2">
      <c r="AB927"/>
    </row>
    <row r="928" spans="28:28" x14ac:dyDescent="0.2">
      <c r="AB928"/>
    </row>
    <row r="929" spans="28:28" x14ac:dyDescent="0.2">
      <c r="AB929"/>
    </row>
    <row r="930" spans="28:28" x14ac:dyDescent="0.2">
      <c r="AB930"/>
    </row>
    <row r="931" spans="28:28" x14ac:dyDescent="0.2">
      <c r="AB931"/>
    </row>
    <row r="932" spans="28:28" x14ac:dyDescent="0.2">
      <c r="AB932"/>
    </row>
    <row r="933" spans="28:28" x14ac:dyDescent="0.2">
      <c r="AB933"/>
    </row>
    <row r="934" spans="28:28" x14ac:dyDescent="0.2">
      <c r="AB934"/>
    </row>
    <row r="935" spans="28:28" x14ac:dyDescent="0.2">
      <c r="AB935"/>
    </row>
    <row r="936" spans="28:28" x14ac:dyDescent="0.2">
      <c r="AB936"/>
    </row>
    <row r="937" spans="28:28" x14ac:dyDescent="0.2">
      <c r="AB937"/>
    </row>
    <row r="938" spans="28:28" x14ac:dyDescent="0.2">
      <c r="AB938"/>
    </row>
    <row r="939" spans="28:28" x14ac:dyDescent="0.2">
      <c r="AB939"/>
    </row>
    <row r="940" spans="28:28" x14ac:dyDescent="0.2">
      <c r="AB940"/>
    </row>
    <row r="941" spans="28:28" x14ac:dyDescent="0.2">
      <c r="AB941"/>
    </row>
    <row r="942" spans="28:28" x14ac:dyDescent="0.2">
      <c r="AB942"/>
    </row>
    <row r="943" spans="28:28" x14ac:dyDescent="0.2">
      <c r="AB943"/>
    </row>
    <row r="944" spans="28:28" x14ac:dyDescent="0.2">
      <c r="AB944"/>
    </row>
    <row r="945" spans="28:28" x14ac:dyDescent="0.2">
      <c r="AB945"/>
    </row>
    <row r="946" spans="28:28" x14ac:dyDescent="0.2">
      <c r="AB946"/>
    </row>
    <row r="947" spans="28:28" x14ac:dyDescent="0.2">
      <c r="AB947"/>
    </row>
    <row r="948" spans="28:28" x14ac:dyDescent="0.2">
      <c r="AB948"/>
    </row>
    <row r="949" spans="28:28" x14ac:dyDescent="0.2">
      <c r="AB949"/>
    </row>
    <row r="950" spans="28:28" x14ac:dyDescent="0.2">
      <c r="AB950"/>
    </row>
    <row r="951" spans="28:28" x14ac:dyDescent="0.2">
      <c r="AB951"/>
    </row>
    <row r="952" spans="28:28" x14ac:dyDescent="0.2">
      <c r="AB952"/>
    </row>
    <row r="953" spans="28:28" x14ac:dyDescent="0.2">
      <c r="AB953"/>
    </row>
    <row r="954" spans="28:28" x14ac:dyDescent="0.2">
      <c r="AB954"/>
    </row>
    <row r="955" spans="28:28" x14ac:dyDescent="0.2">
      <c r="AB955"/>
    </row>
    <row r="956" spans="28:28" x14ac:dyDescent="0.2">
      <c r="AB956"/>
    </row>
    <row r="957" spans="28:28" x14ac:dyDescent="0.2">
      <c r="AB957"/>
    </row>
    <row r="958" spans="28:28" x14ac:dyDescent="0.2">
      <c r="AB958"/>
    </row>
    <row r="959" spans="28:28" x14ac:dyDescent="0.2">
      <c r="AB959"/>
    </row>
    <row r="960" spans="28:28" x14ac:dyDescent="0.2">
      <c r="AB960"/>
    </row>
    <row r="961" spans="28:28" x14ac:dyDescent="0.2">
      <c r="AB961"/>
    </row>
    <row r="962" spans="28:28" x14ac:dyDescent="0.2">
      <c r="AB962"/>
    </row>
    <row r="963" spans="28:28" x14ac:dyDescent="0.2">
      <c r="AB963"/>
    </row>
    <row r="964" spans="28:28" x14ac:dyDescent="0.2">
      <c r="AB964"/>
    </row>
    <row r="965" spans="28:28" x14ac:dyDescent="0.2">
      <c r="AB965"/>
    </row>
    <row r="966" spans="28:28" x14ac:dyDescent="0.2">
      <c r="AB966"/>
    </row>
    <row r="967" spans="28:28" x14ac:dyDescent="0.2">
      <c r="AB967"/>
    </row>
    <row r="968" spans="28:28" x14ac:dyDescent="0.2">
      <c r="AB968"/>
    </row>
    <row r="969" spans="28:28" x14ac:dyDescent="0.2">
      <c r="AB969"/>
    </row>
    <row r="970" spans="28:28" x14ac:dyDescent="0.2">
      <c r="AB970"/>
    </row>
    <row r="971" spans="28:28" x14ac:dyDescent="0.2">
      <c r="AB971"/>
    </row>
    <row r="972" spans="28:28" x14ac:dyDescent="0.2">
      <c r="AB972"/>
    </row>
    <row r="973" spans="28:28" x14ac:dyDescent="0.2">
      <c r="AB973"/>
    </row>
    <row r="974" spans="28:28" x14ac:dyDescent="0.2">
      <c r="AB974"/>
    </row>
    <row r="975" spans="28:28" x14ac:dyDescent="0.2">
      <c r="AB975"/>
    </row>
    <row r="976" spans="28:28" x14ac:dyDescent="0.2">
      <c r="AB976"/>
    </row>
    <row r="977" spans="28:28" x14ac:dyDescent="0.2">
      <c r="AB977"/>
    </row>
    <row r="978" spans="28:28" x14ac:dyDescent="0.2">
      <c r="AB978"/>
    </row>
    <row r="979" spans="28:28" x14ac:dyDescent="0.2">
      <c r="AB979"/>
    </row>
    <row r="980" spans="28:28" x14ac:dyDescent="0.2">
      <c r="AB980"/>
    </row>
    <row r="981" spans="28:28" x14ac:dyDescent="0.2">
      <c r="AB981"/>
    </row>
    <row r="982" spans="28:28" x14ac:dyDescent="0.2">
      <c r="AB982"/>
    </row>
    <row r="983" spans="28:28" x14ac:dyDescent="0.2">
      <c r="AB983"/>
    </row>
    <row r="984" spans="28:28" x14ac:dyDescent="0.2">
      <c r="AB984"/>
    </row>
    <row r="985" spans="28:28" x14ac:dyDescent="0.2">
      <c r="AB985"/>
    </row>
    <row r="986" spans="28:28" x14ac:dyDescent="0.2">
      <c r="AB986"/>
    </row>
    <row r="987" spans="28:28" x14ac:dyDescent="0.2">
      <c r="AB987"/>
    </row>
    <row r="988" spans="28:28" x14ac:dyDescent="0.2">
      <c r="AB988"/>
    </row>
    <row r="989" spans="28:28" x14ac:dyDescent="0.2">
      <c r="AB989"/>
    </row>
    <row r="990" spans="28:28" x14ac:dyDescent="0.2">
      <c r="AB990"/>
    </row>
    <row r="991" spans="28:28" x14ac:dyDescent="0.2">
      <c r="AB991"/>
    </row>
    <row r="992" spans="28:28" x14ac:dyDescent="0.2">
      <c r="AB992"/>
    </row>
    <row r="993" spans="28:28" x14ac:dyDescent="0.2">
      <c r="AB993"/>
    </row>
    <row r="994" spans="28:28" x14ac:dyDescent="0.2">
      <c r="AB994"/>
    </row>
    <row r="995" spans="28:28" x14ac:dyDescent="0.2">
      <c r="AB995"/>
    </row>
    <row r="996" spans="28:28" x14ac:dyDescent="0.2">
      <c r="AB996"/>
    </row>
    <row r="997" spans="28:28" x14ac:dyDescent="0.2">
      <c r="AB997"/>
    </row>
    <row r="998" spans="28:28" x14ac:dyDescent="0.2">
      <c r="AB998"/>
    </row>
    <row r="999" spans="28:28" x14ac:dyDescent="0.2">
      <c r="AB999"/>
    </row>
    <row r="1000" spans="28:28" x14ac:dyDescent="0.2">
      <c r="AB1000"/>
    </row>
    <row r="1001" spans="28:28" x14ac:dyDescent="0.2">
      <c r="AB1001"/>
    </row>
    <row r="1002" spans="28:28" x14ac:dyDescent="0.2">
      <c r="AB1002"/>
    </row>
    <row r="1003" spans="28:28" x14ac:dyDescent="0.2">
      <c r="AB1003"/>
    </row>
    <row r="1004" spans="28:28" x14ac:dyDescent="0.2">
      <c r="AB1004"/>
    </row>
    <row r="1005" spans="28:28" x14ac:dyDescent="0.2">
      <c r="AB1005"/>
    </row>
    <row r="1006" spans="28:28" x14ac:dyDescent="0.2">
      <c r="AB1006"/>
    </row>
    <row r="1007" spans="28:28" x14ac:dyDescent="0.2">
      <c r="AB1007"/>
    </row>
    <row r="1008" spans="28:28" x14ac:dyDescent="0.2">
      <c r="AB1008"/>
    </row>
    <row r="1009" spans="28:28" x14ac:dyDescent="0.2">
      <c r="AB1009"/>
    </row>
    <row r="1010" spans="28:28" x14ac:dyDescent="0.2">
      <c r="AB1010"/>
    </row>
    <row r="1011" spans="28:28" x14ac:dyDescent="0.2">
      <c r="AB1011"/>
    </row>
    <row r="1012" spans="28:28" x14ac:dyDescent="0.2">
      <c r="AB1012"/>
    </row>
    <row r="1013" spans="28:28" x14ac:dyDescent="0.2">
      <c r="AB1013"/>
    </row>
    <row r="1014" spans="28:28" x14ac:dyDescent="0.2">
      <c r="AB1014"/>
    </row>
    <row r="1015" spans="28:28" x14ac:dyDescent="0.2">
      <c r="AB1015"/>
    </row>
    <row r="1016" spans="28:28" x14ac:dyDescent="0.2">
      <c r="AB1016"/>
    </row>
    <row r="1017" spans="28:28" x14ac:dyDescent="0.2">
      <c r="AB1017"/>
    </row>
    <row r="1018" spans="28:28" x14ac:dyDescent="0.2">
      <c r="AB1018"/>
    </row>
    <row r="1019" spans="28:28" x14ac:dyDescent="0.2">
      <c r="AB1019"/>
    </row>
    <row r="1020" spans="28:28" x14ac:dyDescent="0.2">
      <c r="AB1020"/>
    </row>
    <row r="1021" spans="28:28" x14ac:dyDescent="0.2">
      <c r="AB1021"/>
    </row>
    <row r="1022" spans="28:28" x14ac:dyDescent="0.2">
      <c r="AB1022"/>
    </row>
    <row r="1023" spans="28:28" x14ac:dyDescent="0.2">
      <c r="AB1023"/>
    </row>
    <row r="1024" spans="28:28" x14ac:dyDescent="0.2">
      <c r="AB1024"/>
    </row>
    <row r="1025" spans="28:28" x14ac:dyDescent="0.2">
      <c r="AB1025"/>
    </row>
    <row r="1026" spans="28:28" x14ac:dyDescent="0.2">
      <c r="AB1026"/>
    </row>
  </sheetData>
  <sheetProtection sheet="1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tn_Last_Year">
              <controlPr defaultSize="0" print="0" autoFill="0" autoPict="0" macro="[0]!click_decrement_Cal_Year">
                <anchor moveWithCells="1" sizeWithCells="1">
                  <from>
                    <xdr:col>10</xdr:col>
                    <xdr:colOff>0</xdr:colOff>
                    <xdr:row>2</xdr:row>
                    <xdr:rowOff>104775</xdr:rowOff>
                  </from>
                  <to>
                    <xdr:col>11</xdr:col>
                    <xdr:colOff>133350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tn_Next_Year">
              <controlPr defaultSize="0" print="0" autoFill="0" autoPict="0" macro="[0]!click_increment_Cal_Year">
                <anchor moveWithCells="1" sizeWithCells="1">
                  <from>
                    <xdr:col>15</xdr:col>
                    <xdr:colOff>0</xdr:colOff>
                    <xdr:row>2</xdr:row>
                    <xdr:rowOff>104775</xdr:rowOff>
                  </from>
                  <to>
                    <xdr:col>16</xdr:col>
                    <xdr:colOff>133350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tn_Pick_Calendar">
              <controlPr defaultSize="0" print="0" autoFill="0" autoPict="0" macro="[0]!click_Show_User_Form">
                <anchor moveWithCells="1" sizeWithCells="1">
                  <from>
                    <xdr:col>27</xdr:col>
                    <xdr:colOff>0</xdr:colOff>
                    <xdr:row>5</xdr:row>
                    <xdr:rowOff>0</xdr:rowOff>
                  </from>
                  <to>
                    <xdr:col>29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tn_Print_Calendar">
              <controlPr defaultSize="0" print="0" autoFill="0" autoPict="0" macro="[0]!click_Do_Nothing">
                <anchor moveWithCells="1" sizeWithCells="1">
                  <from>
                    <xdr:col>27</xdr:col>
                    <xdr:colOff>0</xdr:colOff>
                    <xdr:row>8</xdr:row>
                    <xdr:rowOff>0</xdr:rowOff>
                  </from>
                  <to>
                    <xdr:col>29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7A549-D168-42C4-A7A8-EA4474272950}">
  <sheetPr codeName="Sheet2"/>
  <dimension ref="A1:H142"/>
  <sheetViews>
    <sheetView workbookViewId="0"/>
  </sheetViews>
  <sheetFormatPr defaultRowHeight="14.25" x14ac:dyDescent="0.2"/>
  <sheetData>
    <row r="1" spans="1:8" x14ac:dyDescent="0.2">
      <c r="A1" t="s">
        <v>1</v>
      </c>
    </row>
    <row r="2" spans="1:8" x14ac:dyDescent="0.2">
      <c r="A2" t="s">
        <v>2</v>
      </c>
      <c r="B2" t="s">
        <v>3</v>
      </c>
      <c r="C2" t="s">
        <v>4</v>
      </c>
      <c r="D2" t="s">
        <v>5</v>
      </c>
      <c r="E2" t="s">
        <v>6</v>
      </c>
      <c r="F2" t="s">
        <v>7</v>
      </c>
      <c r="G2" t="s">
        <v>8</v>
      </c>
      <c r="H2" t="s">
        <v>9</v>
      </c>
    </row>
    <row r="3" spans="1:8" x14ac:dyDescent="0.2">
      <c r="A3">
        <v>302329</v>
      </c>
      <c r="C3">
        <v>30064</v>
      </c>
      <c r="D3" t="s">
        <v>509</v>
      </c>
      <c r="E3" t="s">
        <v>510</v>
      </c>
      <c r="F3">
        <v>1</v>
      </c>
      <c r="H3">
        <v>2</v>
      </c>
    </row>
    <row r="4" spans="1:8" x14ac:dyDescent="0.2">
      <c r="A4">
        <v>302330</v>
      </c>
      <c r="C4">
        <v>30065</v>
      </c>
      <c r="D4" t="s">
        <v>511</v>
      </c>
      <c r="E4" t="s">
        <v>512</v>
      </c>
      <c r="F4">
        <v>101</v>
      </c>
      <c r="G4" t="s">
        <v>10</v>
      </c>
      <c r="H4">
        <v>25</v>
      </c>
    </row>
    <row r="5" spans="1:8" x14ac:dyDescent="0.2">
      <c r="A5">
        <v>302331</v>
      </c>
      <c r="C5">
        <v>30065</v>
      </c>
      <c r="D5" t="s">
        <v>513</v>
      </c>
      <c r="E5" t="s">
        <v>514</v>
      </c>
      <c r="F5">
        <v>301</v>
      </c>
      <c r="G5" t="s">
        <v>10</v>
      </c>
      <c r="H5">
        <v>52</v>
      </c>
    </row>
    <row r="6" spans="1:8" x14ac:dyDescent="0.2">
      <c r="A6">
        <v>302332</v>
      </c>
      <c r="C6">
        <v>30065</v>
      </c>
      <c r="D6" t="s">
        <v>515</v>
      </c>
      <c r="E6" t="s">
        <v>516</v>
      </c>
      <c r="F6">
        <v>201</v>
      </c>
      <c r="G6" t="s">
        <v>10</v>
      </c>
      <c r="H6">
        <v>52</v>
      </c>
    </row>
    <row r="7" spans="1:8" x14ac:dyDescent="0.2">
      <c r="A7">
        <v>302333</v>
      </c>
      <c r="C7">
        <v>30061</v>
      </c>
      <c r="D7" t="s">
        <v>278</v>
      </c>
      <c r="E7" t="s">
        <v>517</v>
      </c>
      <c r="F7">
        <v>5</v>
      </c>
      <c r="G7" t="s">
        <v>10</v>
      </c>
      <c r="H7">
        <v>63</v>
      </c>
    </row>
    <row r="8" spans="1:8" x14ac:dyDescent="0.2">
      <c r="A8">
        <v>302334</v>
      </c>
      <c r="C8">
        <v>30061</v>
      </c>
      <c r="D8" t="s">
        <v>276</v>
      </c>
      <c r="E8" t="s">
        <v>518</v>
      </c>
      <c r="F8">
        <v>4</v>
      </c>
      <c r="G8" t="s">
        <v>10</v>
      </c>
      <c r="H8">
        <v>50</v>
      </c>
    </row>
    <row r="9" spans="1:8" x14ac:dyDescent="0.2">
      <c r="A9">
        <v>302335</v>
      </c>
      <c r="C9">
        <v>30064</v>
      </c>
      <c r="D9" t="s">
        <v>519</v>
      </c>
      <c r="E9" t="s">
        <v>520</v>
      </c>
      <c r="F9">
        <v>1201</v>
      </c>
      <c r="G9" t="s">
        <v>10</v>
      </c>
      <c r="H9">
        <v>10</v>
      </c>
    </row>
    <row r="10" spans="1:8" x14ac:dyDescent="0.2">
      <c r="A10">
        <v>302336</v>
      </c>
      <c r="C10">
        <v>30061</v>
      </c>
      <c r="D10" t="s">
        <v>521</v>
      </c>
      <c r="E10" t="s">
        <v>522</v>
      </c>
      <c r="F10">
        <v>2</v>
      </c>
      <c r="G10" t="s">
        <v>10</v>
      </c>
    </row>
    <row r="11" spans="1:8" x14ac:dyDescent="0.2">
      <c r="A11">
        <v>302337</v>
      </c>
      <c r="C11">
        <v>30061</v>
      </c>
      <c r="D11" t="s">
        <v>523</v>
      </c>
      <c r="E11" t="s">
        <v>524</v>
      </c>
      <c r="F11">
        <v>3</v>
      </c>
      <c r="G11" t="s">
        <v>10</v>
      </c>
      <c r="H11">
        <v>85</v>
      </c>
    </row>
    <row r="12" spans="1:8" x14ac:dyDescent="0.2">
      <c r="A12">
        <v>302338</v>
      </c>
      <c r="C12">
        <v>30061</v>
      </c>
      <c r="D12" t="s">
        <v>525</v>
      </c>
      <c r="E12" t="s">
        <v>526</v>
      </c>
      <c r="F12">
        <v>1</v>
      </c>
      <c r="G12" t="s">
        <v>10</v>
      </c>
      <c r="H12">
        <v>36</v>
      </c>
    </row>
    <row r="13" spans="1:8" x14ac:dyDescent="0.2">
      <c r="A13">
        <v>302339</v>
      </c>
      <c r="C13">
        <v>30061</v>
      </c>
      <c r="D13" t="s">
        <v>527</v>
      </c>
      <c r="E13" t="s">
        <v>528</v>
      </c>
      <c r="F13">
        <v>400</v>
      </c>
      <c r="G13" t="s">
        <v>10</v>
      </c>
      <c r="H13">
        <v>2</v>
      </c>
    </row>
    <row r="14" spans="1:8" x14ac:dyDescent="0.2">
      <c r="A14">
        <v>302340</v>
      </c>
      <c r="C14">
        <v>30061</v>
      </c>
      <c r="D14" t="s">
        <v>529</v>
      </c>
      <c r="E14" t="s">
        <v>530</v>
      </c>
      <c r="F14">
        <v>6</v>
      </c>
      <c r="G14" t="s">
        <v>10</v>
      </c>
      <c r="H14">
        <v>1</v>
      </c>
    </row>
    <row r="15" spans="1:8" x14ac:dyDescent="0.2">
      <c r="A15">
        <v>302341</v>
      </c>
      <c r="C15">
        <v>30060</v>
      </c>
      <c r="D15" t="s">
        <v>531</v>
      </c>
      <c r="E15" t="s">
        <v>532</v>
      </c>
      <c r="F15">
        <v>0</v>
      </c>
      <c r="G15" t="s">
        <v>10</v>
      </c>
      <c r="H15">
        <v>17</v>
      </c>
    </row>
    <row r="16" spans="1:8" x14ac:dyDescent="0.2">
      <c r="A16">
        <v>302342</v>
      </c>
      <c r="C16">
        <v>30061</v>
      </c>
      <c r="D16" t="s">
        <v>533</v>
      </c>
      <c r="E16" t="s">
        <v>424</v>
      </c>
      <c r="F16">
        <v>300</v>
      </c>
      <c r="G16" t="s">
        <v>10</v>
      </c>
      <c r="H16">
        <v>14</v>
      </c>
    </row>
    <row r="17" spans="1:8" x14ac:dyDescent="0.2">
      <c r="A17">
        <v>302343</v>
      </c>
      <c r="C17">
        <v>30061</v>
      </c>
      <c r="D17" t="s">
        <v>534</v>
      </c>
      <c r="E17" t="s">
        <v>425</v>
      </c>
      <c r="F17">
        <v>200</v>
      </c>
      <c r="G17" t="s">
        <v>10</v>
      </c>
      <c r="H17">
        <v>15</v>
      </c>
    </row>
    <row r="18" spans="1:8" x14ac:dyDescent="0.2">
      <c r="A18">
        <v>302344</v>
      </c>
      <c r="C18">
        <v>30061</v>
      </c>
      <c r="D18" t="s">
        <v>535</v>
      </c>
      <c r="E18" t="s">
        <v>536</v>
      </c>
      <c r="F18">
        <v>1000</v>
      </c>
      <c r="G18" t="s">
        <v>10</v>
      </c>
      <c r="H18">
        <v>9</v>
      </c>
    </row>
    <row r="19" spans="1:8" x14ac:dyDescent="0.2">
      <c r="A19">
        <v>302345</v>
      </c>
      <c r="C19">
        <v>30061</v>
      </c>
      <c r="D19" t="s">
        <v>537</v>
      </c>
      <c r="E19" t="s">
        <v>538</v>
      </c>
      <c r="F19">
        <v>900</v>
      </c>
      <c r="G19" t="s">
        <v>10</v>
      </c>
      <c r="H19">
        <v>9</v>
      </c>
    </row>
    <row r="20" spans="1:8" x14ac:dyDescent="0.2">
      <c r="A20">
        <v>302346</v>
      </c>
      <c r="C20">
        <v>30061</v>
      </c>
      <c r="D20" t="s">
        <v>539</v>
      </c>
      <c r="E20" t="s">
        <v>540</v>
      </c>
      <c r="F20">
        <v>800</v>
      </c>
      <c r="G20" t="s">
        <v>10</v>
      </c>
      <c r="H20">
        <v>23</v>
      </c>
    </row>
    <row r="21" spans="1:8" x14ac:dyDescent="0.2">
      <c r="A21">
        <v>302347</v>
      </c>
      <c r="C21">
        <v>30061</v>
      </c>
      <c r="D21" t="s">
        <v>541</v>
      </c>
      <c r="E21" t="s">
        <v>542</v>
      </c>
      <c r="F21">
        <v>700</v>
      </c>
      <c r="G21" t="s">
        <v>10</v>
      </c>
      <c r="H21">
        <v>9</v>
      </c>
    </row>
    <row r="22" spans="1:8" x14ac:dyDescent="0.2">
      <c r="A22">
        <v>302348</v>
      </c>
      <c r="C22">
        <v>30061</v>
      </c>
      <c r="D22" t="s">
        <v>543</v>
      </c>
      <c r="E22" t="s">
        <v>544</v>
      </c>
      <c r="F22">
        <v>600</v>
      </c>
      <c r="G22" t="s">
        <v>10</v>
      </c>
      <c r="H22">
        <v>7</v>
      </c>
    </row>
    <row r="23" spans="1:8" x14ac:dyDescent="0.2">
      <c r="A23">
        <v>302349</v>
      </c>
      <c r="C23">
        <v>30061</v>
      </c>
      <c r="D23" t="s">
        <v>545</v>
      </c>
      <c r="E23" t="s">
        <v>546</v>
      </c>
      <c r="F23">
        <v>500</v>
      </c>
      <c r="G23" t="s">
        <v>10</v>
      </c>
      <c r="H23">
        <v>9</v>
      </c>
    </row>
    <row r="24" spans="1:8" x14ac:dyDescent="0.2">
      <c r="A24">
        <v>302350</v>
      </c>
      <c r="C24">
        <v>30061</v>
      </c>
      <c r="D24" t="s">
        <v>547</v>
      </c>
      <c r="E24" t="s">
        <v>548</v>
      </c>
      <c r="F24">
        <v>8</v>
      </c>
      <c r="G24" t="s">
        <v>10</v>
      </c>
      <c r="H24">
        <v>11</v>
      </c>
    </row>
    <row r="25" spans="1:8" x14ac:dyDescent="0.2">
      <c r="A25">
        <v>302351</v>
      </c>
      <c r="C25">
        <v>30061</v>
      </c>
      <c r="D25" t="s">
        <v>549</v>
      </c>
      <c r="E25" t="s">
        <v>550</v>
      </c>
      <c r="F25">
        <v>7</v>
      </c>
      <c r="G25" t="s">
        <v>10</v>
      </c>
      <c r="H25">
        <v>21</v>
      </c>
    </row>
    <row r="26" spans="1:8" x14ac:dyDescent="0.2">
      <c r="A26">
        <v>302352</v>
      </c>
      <c r="C26">
        <v>30061</v>
      </c>
      <c r="D26" t="s">
        <v>551</v>
      </c>
      <c r="E26" t="s">
        <v>552</v>
      </c>
      <c r="F26">
        <v>100</v>
      </c>
      <c r="G26" t="s">
        <v>10</v>
      </c>
      <c r="H26">
        <v>23</v>
      </c>
    </row>
    <row r="27" spans="1:8" x14ac:dyDescent="0.2">
      <c r="A27">
        <v>302353</v>
      </c>
      <c r="C27">
        <v>30063</v>
      </c>
      <c r="D27" t="s">
        <v>553</v>
      </c>
      <c r="E27" t="s">
        <v>554</v>
      </c>
      <c r="F27">
        <v>1</v>
      </c>
      <c r="G27" t="s">
        <v>10</v>
      </c>
      <c r="H27">
        <v>41</v>
      </c>
    </row>
    <row r="28" spans="1:8" x14ac:dyDescent="0.2">
      <c r="A28">
        <v>302354</v>
      </c>
      <c r="C28">
        <v>30062</v>
      </c>
      <c r="D28" t="s">
        <v>555</v>
      </c>
      <c r="E28" t="s">
        <v>556</v>
      </c>
      <c r="F28">
        <v>100</v>
      </c>
      <c r="G28" t="s">
        <v>10</v>
      </c>
    </row>
    <row r="29" spans="1:8" x14ac:dyDescent="0.2">
      <c r="A29">
        <v>302355</v>
      </c>
      <c r="C29">
        <v>30062</v>
      </c>
      <c r="D29" t="s">
        <v>557</v>
      </c>
      <c r="E29" t="s">
        <v>558</v>
      </c>
      <c r="F29">
        <v>0</v>
      </c>
      <c r="G29" t="s">
        <v>10</v>
      </c>
      <c r="H29">
        <v>306</v>
      </c>
    </row>
    <row r="30" spans="1:8" x14ac:dyDescent="0.2">
      <c r="A30">
        <v>302356</v>
      </c>
      <c r="C30">
        <v>30063</v>
      </c>
      <c r="D30" t="s">
        <v>559</v>
      </c>
      <c r="E30" t="s">
        <v>560</v>
      </c>
      <c r="F30">
        <v>100</v>
      </c>
      <c r="G30" t="s">
        <v>10</v>
      </c>
      <c r="H30">
        <v>273</v>
      </c>
    </row>
    <row r="31" spans="1:8" x14ac:dyDescent="0.2">
      <c r="A31">
        <v>302357</v>
      </c>
      <c r="C31">
        <v>30063</v>
      </c>
      <c r="D31" t="s">
        <v>561</v>
      </c>
      <c r="E31" t="s">
        <v>562</v>
      </c>
      <c r="F31">
        <v>200</v>
      </c>
      <c r="G31" t="s">
        <v>10</v>
      </c>
      <c r="H31">
        <v>844</v>
      </c>
    </row>
    <row r="32" spans="1:8" x14ac:dyDescent="0.2">
      <c r="A32">
        <v>302358</v>
      </c>
      <c r="C32">
        <v>30063</v>
      </c>
      <c r="D32" t="s">
        <v>563</v>
      </c>
      <c r="E32" t="s">
        <v>564</v>
      </c>
      <c r="F32">
        <v>0</v>
      </c>
      <c r="G32" t="s">
        <v>10</v>
      </c>
      <c r="H32">
        <v>120</v>
      </c>
    </row>
    <row r="33" spans="1:8" x14ac:dyDescent="0.2">
      <c r="A33">
        <v>302359</v>
      </c>
      <c r="C33">
        <v>30064</v>
      </c>
      <c r="D33" t="s">
        <v>565</v>
      </c>
      <c r="E33" t="s">
        <v>273</v>
      </c>
      <c r="F33">
        <v>2901</v>
      </c>
      <c r="G33" t="s">
        <v>10</v>
      </c>
      <c r="H33">
        <v>30</v>
      </c>
    </row>
    <row r="34" spans="1:8" x14ac:dyDescent="0.2">
      <c r="A34">
        <v>302360</v>
      </c>
      <c r="C34">
        <v>30064</v>
      </c>
      <c r="D34" t="s">
        <v>566</v>
      </c>
      <c r="E34" t="s">
        <v>319</v>
      </c>
      <c r="F34">
        <v>2908</v>
      </c>
      <c r="G34" t="s">
        <v>10</v>
      </c>
      <c r="H34">
        <v>80</v>
      </c>
    </row>
    <row r="35" spans="1:8" x14ac:dyDescent="0.2">
      <c r="A35">
        <v>302361</v>
      </c>
      <c r="C35">
        <v>30064</v>
      </c>
      <c r="D35" t="s">
        <v>567</v>
      </c>
      <c r="E35" t="s">
        <v>568</v>
      </c>
      <c r="F35">
        <v>2904</v>
      </c>
      <c r="G35" t="s">
        <v>10</v>
      </c>
    </row>
    <row r="36" spans="1:8" x14ac:dyDescent="0.2">
      <c r="A36">
        <v>302362</v>
      </c>
      <c r="C36">
        <v>30064</v>
      </c>
      <c r="D36" t="s">
        <v>569</v>
      </c>
      <c r="E36" t="s">
        <v>570</v>
      </c>
      <c r="F36">
        <v>2700</v>
      </c>
      <c r="G36" t="s">
        <v>10</v>
      </c>
      <c r="H36">
        <v>210</v>
      </c>
    </row>
    <row r="37" spans="1:8" x14ac:dyDescent="0.2">
      <c r="A37">
        <v>302363</v>
      </c>
      <c r="C37">
        <v>30064</v>
      </c>
      <c r="D37" t="s">
        <v>571</v>
      </c>
      <c r="E37" t="s">
        <v>564</v>
      </c>
      <c r="F37">
        <v>0</v>
      </c>
      <c r="G37" t="s">
        <v>10</v>
      </c>
      <c r="H37">
        <v>6</v>
      </c>
    </row>
    <row r="38" spans="1:8" x14ac:dyDescent="0.2">
      <c r="A38">
        <v>302364</v>
      </c>
      <c r="C38">
        <v>30064</v>
      </c>
      <c r="D38" t="s">
        <v>572</v>
      </c>
      <c r="E38" t="s">
        <v>323</v>
      </c>
      <c r="F38">
        <v>1200</v>
      </c>
      <c r="G38" t="s">
        <v>10</v>
      </c>
      <c r="H38">
        <v>2</v>
      </c>
    </row>
    <row r="39" spans="1:8" x14ac:dyDescent="0.2">
      <c r="A39">
        <v>302365</v>
      </c>
      <c r="C39">
        <v>30064</v>
      </c>
      <c r="D39" t="s">
        <v>573</v>
      </c>
      <c r="E39" t="s">
        <v>574</v>
      </c>
      <c r="F39">
        <v>1300</v>
      </c>
      <c r="G39" t="s">
        <v>10</v>
      </c>
    </row>
    <row r="40" spans="1:8" x14ac:dyDescent="0.2">
      <c r="A40">
        <v>302366</v>
      </c>
      <c r="C40">
        <v>30064</v>
      </c>
      <c r="D40" t="s">
        <v>575</v>
      </c>
      <c r="E40" t="s">
        <v>576</v>
      </c>
      <c r="F40">
        <v>12</v>
      </c>
      <c r="G40" t="s">
        <v>10</v>
      </c>
    </row>
    <row r="41" spans="1:8" x14ac:dyDescent="0.2">
      <c r="A41">
        <v>302367</v>
      </c>
      <c r="C41">
        <v>30064</v>
      </c>
      <c r="D41" t="s">
        <v>15</v>
      </c>
      <c r="E41" t="s">
        <v>577</v>
      </c>
      <c r="F41">
        <v>13</v>
      </c>
      <c r="G41" t="s">
        <v>10</v>
      </c>
      <c r="H41">
        <v>5</v>
      </c>
    </row>
    <row r="42" spans="1:8" x14ac:dyDescent="0.2">
      <c r="A42">
        <v>302368</v>
      </c>
      <c r="C42">
        <v>30064</v>
      </c>
      <c r="D42" t="s">
        <v>578</v>
      </c>
      <c r="E42" t="s">
        <v>579</v>
      </c>
      <c r="F42">
        <v>2800</v>
      </c>
      <c r="G42" t="s">
        <v>10</v>
      </c>
      <c r="H42">
        <v>72</v>
      </c>
    </row>
    <row r="43" spans="1:8" x14ac:dyDescent="0.2">
      <c r="A43">
        <v>302369</v>
      </c>
      <c r="C43">
        <v>30064</v>
      </c>
      <c r="D43" t="s">
        <v>580</v>
      </c>
      <c r="E43" t="s">
        <v>581</v>
      </c>
      <c r="F43">
        <v>2900</v>
      </c>
      <c r="G43" t="s">
        <v>10</v>
      </c>
      <c r="H43">
        <v>247</v>
      </c>
    </row>
    <row r="44" spans="1:8" x14ac:dyDescent="0.2">
      <c r="A44">
        <v>302370</v>
      </c>
      <c r="C44">
        <v>30065</v>
      </c>
      <c r="D44" t="s">
        <v>582</v>
      </c>
      <c r="E44" t="s">
        <v>583</v>
      </c>
      <c r="F44">
        <v>2</v>
      </c>
      <c r="G44" t="s">
        <v>10</v>
      </c>
      <c r="H44">
        <v>117</v>
      </c>
    </row>
    <row r="45" spans="1:8" x14ac:dyDescent="0.2">
      <c r="A45">
        <v>302371</v>
      </c>
      <c r="C45">
        <v>30065</v>
      </c>
      <c r="D45" t="s">
        <v>280</v>
      </c>
      <c r="E45" t="s">
        <v>584</v>
      </c>
      <c r="F45">
        <v>100</v>
      </c>
      <c r="G45" t="s">
        <v>10</v>
      </c>
      <c r="H45">
        <v>371</v>
      </c>
    </row>
    <row r="46" spans="1:8" x14ac:dyDescent="0.2">
      <c r="A46">
        <v>302372</v>
      </c>
      <c r="C46">
        <v>30065</v>
      </c>
      <c r="D46" t="s">
        <v>270</v>
      </c>
      <c r="E46" t="s">
        <v>585</v>
      </c>
      <c r="F46">
        <v>200</v>
      </c>
      <c r="G46" t="s">
        <v>10</v>
      </c>
      <c r="H46">
        <v>375</v>
      </c>
    </row>
    <row r="47" spans="1:8" x14ac:dyDescent="0.2">
      <c r="A47">
        <v>302373</v>
      </c>
      <c r="C47">
        <v>30065</v>
      </c>
      <c r="D47" t="s">
        <v>279</v>
      </c>
      <c r="E47" t="s">
        <v>586</v>
      </c>
      <c r="F47">
        <v>300</v>
      </c>
      <c r="G47" t="s">
        <v>10</v>
      </c>
      <c r="H47">
        <v>277</v>
      </c>
    </row>
    <row r="48" spans="1:8" x14ac:dyDescent="0.2">
      <c r="A48">
        <v>302374</v>
      </c>
      <c r="C48">
        <v>30063</v>
      </c>
      <c r="D48" t="s">
        <v>587</v>
      </c>
      <c r="E48" t="s">
        <v>274</v>
      </c>
      <c r="F48">
        <v>300</v>
      </c>
      <c r="G48" t="s">
        <v>10</v>
      </c>
      <c r="H48">
        <v>2</v>
      </c>
    </row>
    <row r="49" spans="1:8" x14ac:dyDescent="0.2">
      <c r="A49">
        <v>302375</v>
      </c>
      <c r="C49">
        <v>30063</v>
      </c>
      <c r="D49" t="s">
        <v>266</v>
      </c>
      <c r="E49" t="s">
        <v>588</v>
      </c>
      <c r="F49">
        <v>400</v>
      </c>
      <c r="G49" t="s">
        <v>10</v>
      </c>
    </row>
    <row r="50" spans="1:8" x14ac:dyDescent="0.2">
      <c r="A50">
        <v>302376</v>
      </c>
      <c r="C50">
        <v>30063</v>
      </c>
      <c r="D50" t="s">
        <v>11</v>
      </c>
      <c r="E50" t="s">
        <v>322</v>
      </c>
      <c r="F50">
        <v>500</v>
      </c>
      <c r="G50" t="s">
        <v>10</v>
      </c>
      <c r="H50">
        <v>5</v>
      </c>
    </row>
    <row r="51" spans="1:8" x14ac:dyDescent="0.2">
      <c r="A51">
        <v>302377</v>
      </c>
      <c r="C51">
        <v>30063</v>
      </c>
      <c r="D51" t="s">
        <v>589</v>
      </c>
      <c r="E51" t="s">
        <v>590</v>
      </c>
      <c r="F51">
        <v>600</v>
      </c>
      <c r="G51" t="s">
        <v>10</v>
      </c>
      <c r="H51">
        <v>3</v>
      </c>
    </row>
    <row r="52" spans="1:8" x14ac:dyDescent="0.2">
      <c r="A52">
        <v>302378</v>
      </c>
      <c r="C52">
        <v>30064</v>
      </c>
      <c r="D52" t="s">
        <v>591</v>
      </c>
      <c r="E52" t="s">
        <v>592</v>
      </c>
      <c r="F52">
        <v>2600</v>
      </c>
      <c r="G52" t="s">
        <v>10</v>
      </c>
      <c r="H52">
        <v>24</v>
      </c>
    </row>
    <row r="53" spans="1:8" x14ac:dyDescent="0.2">
      <c r="A53">
        <v>302379</v>
      </c>
      <c r="C53">
        <v>30064</v>
      </c>
      <c r="D53" t="s">
        <v>593</v>
      </c>
      <c r="E53" t="s">
        <v>594</v>
      </c>
      <c r="F53">
        <v>10</v>
      </c>
      <c r="G53" t="s">
        <v>10</v>
      </c>
      <c r="H53">
        <v>69</v>
      </c>
    </row>
    <row r="54" spans="1:8" x14ac:dyDescent="0.2">
      <c r="A54">
        <v>302380</v>
      </c>
      <c r="C54">
        <v>30064</v>
      </c>
      <c r="D54" t="s">
        <v>595</v>
      </c>
      <c r="E54" t="s">
        <v>596</v>
      </c>
      <c r="F54">
        <v>9</v>
      </c>
      <c r="G54" t="s">
        <v>10</v>
      </c>
      <c r="H54">
        <v>40</v>
      </c>
    </row>
    <row r="55" spans="1:8" x14ac:dyDescent="0.2">
      <c r="A55">
        <v>302381</v>
      </c>
      <c r="C55">
        <v>30064</v>
      </c>
      <c r="D55" t="s">
        <v>597</v>
      </c>
      <c r="E55" t="s">
        <v>320</v>
      </c>
      <c r="F55">
        <v>2911</v>
      </c>
      <c r="G55" t="s">
        <v>10</v>
      </c>
      <c r="H55">
        <v>42</v>
      </c>
    </row>
    <row r="56" spans="1:8" x14ac:dyDescent="0.2">
      <c r="A56">
        <v>302382</v>
      </c>
      <c r="C56">
        <v>30064</v>
      </c>
      <c r="D56" t="s">
        <v>598</v>
      </c>
      <c r="E56" t="s">
        <v>599</v>
      </c>
      <c r="F56">
        <v>2905</v>
      </c>
      <c r="G56" t="s">
        <v>10</v>
      </c>
      <c r="H56">
        <v>78</v>
      </c>
    </row>
    <row r="57" spans="1:8" x14ac:dyDescent="0.2">
      <c r="A57">
        <v>302383</v>
      </c>
      <c r="C57">
        <v>30064</v>
      </c>
      <c r="D57" t="s">
        <v>600</v>
      </c>
      <c r="E57" t="s">
        <v>601</v>
      </c>
      <c r="F57">
        <v>14</v>
      </c>
      <c r="G57" t="s">
        <v>10</v>
      </c>
    </row>
    <row r="58" spans="1:8" x14ac:dyDescent="0.2">
      <c r="A58">
        <v>302384</v>
      </c>
      <c r="C58">
        <v>30064</v>
      </c>
      <c r="D58" t="s">
        <v>266</v>
      </c>
      <c r="E58" t="s">
        <v>602</v>
      </c>
      <c r="F58">
        <v>15</v>
      </c>
      <c r="G58" t="s">
        <v>10</v>
      </c>
      <c r="H58">
        <v>17</v>
      </c>
    </row>
    <row r="59" spans="1:8" x14ac:dyDescent="0.2">
      <c r="A59">
        <v>302385</v>
      </c>
      <c r="C59">
        <v>30064</v>
      </c>
      <c r="D59" t="s">
        <v>265</v>
      </c>
      <c r="E59" t="s">
        <v>603</v>
      </c>
      <c r="F59">
        <v>16</v>
      </c>
      <c r="G59" t="s">
        <v>10</v>
      </c>
      <c r="H59">
        <v>41</v>
      </c>
    </row>
    <row r="60" spans="1:8" x14ac:dyDescent="0.2">
      <c r="A60">
        <v>302386</v>
      </c>
      <c r="C60">
        <v>30064</v>
      </c>
      <c r="D60" t="s">
        <v>604</v>
      </c>
      <c r="E60" t="s">
        <v>605</v>
      </c>
      <c r="F60">
        <v>2902</v>
      </c>
      <c r="G60" t="s">
        <v>10</v>
      </c>
      <c r="H60">
        <v>4</v>
      </c>
    </row>
    <row r="61" spans="1:8" x14ac:dyDescent="0.2">
      <c r="A61">
        <v>302387</v>
      </c>
      <c r="C61">
        <v>30064</v>
      </c>
      <c r="D61" t="s">
        <v>283</v>
      </c>
      <c r="E61" t="s">
        <v>606</v>
      </c>
      <c r="F61">
        <v>800</v>
      </c>
      <c r="G61" t="s">
        <v>10</v>
      </c>
      <c r="H61">
        <v>6</v>
      </c>
    </row>
    <row r="62" spans="1:8" x14ac:dyDescent="0.2">
      <c r="A62">
        <v>302388</v>
      </c>
      <c r="C62">
        <v>30064</v>
      </c>
      <c r="D62" t="s">
        <v>607</v>
      </c>
      <c r="E62" t="s">
        <v>608</v>
      </c>
      <c r="F62">
        <v>501</v>
      </c>
      <c r="G62" t="s">
        <v>10</v>
      </c>
      <c r="H62">
        <v>12</v>
      </c>
    </row>
    <row r="63" spans="1:8" x14ac:dyDescent="0.2">
      <c r="A63">
        <v>302389</v>
      </c>
      <c r="C63">
        <v>30064</v>
      </c>
      <c r="D63" t="s">
        <v>609</v>
      </c>
      <c r="E63" t="s">
        <v>554</v>
      </c>
      <c r="F63">
        <v>2</v>
      </c>
      <c r="G63" t="s">
        <v>10</v>
      </c>
      <c r="H63">
        <v>66</v>
      </c>
    </row>
    <row r="64" spans="1:8" x14ac:dyDescent="0.2">
      <c r="A64">
        <v>302390</v>
      </c>
      <c r="C64">
        <v>30064</v>
      </c>
      <c r="D64" t="s">
        <v>13</v>
      </c>
      <c r="E64" t="s">
        <v>610</v>
      </c>
      <c r="F64">
        <v>2907</v>
      </c>
      <c r="G64" t="s">
        <v>10</v>
      </c>
    </row>
    <row r="65" spans="1:8" x14ac:dyDescent="0.2">
      <c r="A65">
        <v>302391</v>
      </c>
      <c r="C65">
        <v>30064</v>
      </c>
      <c r="D65" t="s">
        <v>281</v>
      </c>
      <c r="E65" t="s">
        <v>611</v>
      </c>
      <c r="F65">
        <v>3</v>
      </c>
      <c r="G65" t="s">
        <v>10</v>
      </c>
      <c r="H65">
        <v>28</v>
      </c>
    </row>
    <row r="66" spans="1:8" x14ac:dyDescent="0.2">
      <c r="A66">
        <v>302392</v>
      </c>
      <c r="C66">
        <v>30064</v>
      </c>
      <c r="D66" t="s">
        <v>612</v>
      </c>
      <c r="E66" t="s">
        <v>613</v>
      </c>
      <c r="F66">
        <v>1100</v>
      </c>
      <c r="G66" t="s">
        <v>10</v>
      </c>
      <c r="H66">
        <v>6</v>
      </c>
    </row>
    <row r="67" spans="1:8" x14ac:dyDescent="0.2">
      <c r="A67">
        <v>302393</v>
      </c>
      <c r="C67">
        <v>30064</v>
      </c>
      <c r="D67" t="s">
        <v>614</v>
      </c>
      <c r="E67" t="s">
        <v>615</v>
      </c>
      <c r="F67">
        <v>1800</v>
      </c>
      <c r="G67" t="s">
        <v>10</v>
      </c>
    </row>
    <row r="68" spans="1:8" x14ac:dyDescent="0.2">
      <c r="A68">
        <v>302394</v>
      </c>
      <c r="C68">
        <v>30064</v>
      </c>
      <c r="D68" t="s">
        <v>262</v>
      </c>
      <c r="E68" t="s">
        <v>616</v>
      </c>
      <c r="F68">
        <v>500</v>
      </c>
      <c r="G68" t="s">
        <v>10</v>
      </c>
      <c r="H68">
        <v>6</v>
      </c>
    </row>
    <row r="69" spans="1:8" x14ac:dyDescent="0.2">
      <c r="A69">
        <v>302395</v>
      </c>
      <c r="C69">
        <v>30064</v>
      </c>
      <c r="D69" t="s">
        <v>617</v>
      </c>
      <c r="E69" t="s">
        <v>618</v>
      </c>
      <c r="F69">
        <v>4</v>
      </c>
      <c r="G69" t="s">
        <v>10</v>
      </c>
      <c r="H69">
        <v>21</v>
      </c>
    </row>
    <row r="70" spans="1:8" x14ac:dyDescent="0.2">
      <c r="A70">
        <v>302396</v>
      </c>
      <c r="C70">
        <v>30064</v>
      </c>
      <c r="D70" t="s">
        <v>619</v>
      </c>
      <c r="E70" t="s">
        <v>620</v>
      </c>
      <c r="F70">
        <v>2100</v>
      </c>
      <c r="G70" t="s">
        <v>10</v>
      </c>
      <c r="H70">
        <v>17</v>
      </c>
    </row>
    <row r="71" spans="1:8" x14ac:dyDescent="0.2">
      <c r="A71">
        <v>302397</v>
      </c>
      <c r="C71">
        <v>30064</v>
      </c>
      <c r="D71" t="s">
        <v>621</v>
      </c>
      <c r="E71" t="s">
        <v>622</v>
      </c>
      <c r="F71">
        <v>2200</v>
      </c>
      <c r="G71" t="s">
        <v>10</v>
      </c>
    </row>
    <row r="72" spans="1:8" x14ac:dyDescent="0.2">
      <c r="A72">
        <v>302398</v>
      </c>
      <c r="C72">
        <v>30064</v>
      </c>
      <c r="D72" t="s">
        <v>623</v>
      </c>
      <c r="E72" t="s">
        <v>624</v>
      </c>
      <c r="F72">
        <v>2300</v>
      </c>
      <c r="G72" t="s">
        <v>10</v>
      </c>
      <c r="H72">
        <v>17</v>
      </c>
    </row>
    <row r="73" spans="1:8" x14ac:dyDescent="0.2">
      <c r="A73">
        <v>302399</v>
      </c>
      <c r="C73">
        <v>30064</v>
      </c>
      <c r="D73" t="s">
        <v>12</v>
      </c>
      <c r="E73" t="s">
        <v>318</v>
      </c>
      <c r="F73">
        <v>6</v>
      </c>
      <c r="G73" t="s">
        <v>10</v>
      </c>
      <c r="H73">
        <v>3</v>
      </c>
    </row>
    <row r="74" spans="1:8" x14ac:dyDescent="0.2">
      <c r="A74">
        <v>302400</v>
      </c>
      <c r="C74">
        <v>30066</v>
      </c>
      <c r="D74" t="s">
        <v>625</v>
      </c>
      <c r="E74" t="s">
        <v>626</v>
      </c>
      <c r="F74">
        <v>0</v>
      </c>
      <c r="G74" t="s">
        <v>10</v>
      </c>
      <c r="H74">
        <v>99</v>
      </c>
    </row>
    <row r="75" spans="1:8" x14ac:dyDescent="0.2">
      <c r="A75">
        <v>302401</v>
      </c>
      <c r="C75">
        <v>30066</v>
      </c>
      <c r="D75" t="s">
        <v>627</v>
      </c>
      <c r="E75" t="s">
        <v>628</v>
      </c>
      <c r="F75">
        <v>100</v>
      </c>
      <c r="G75" t="s">
        <v>10</v>
      </c>
      <c r="H75">
        <v>98</v>
      </c>
    </row>
    <row r="76" spans="1:8" x14ac:dyDescent="0.2">
      <c r="A76">
        <v>302402</v>
      </c>
      <c r="C76">
        <v>30066</v>
      </c>
      <c r="D76" t="s">
        <v>629</v>
      </c>
      <c r="E76" t="s">
        <v>630</v>
      </c>
      <c r="F76">
        <v>200</v>
      </c>
      <c r="G76" t="s">
        <v>10</v>
      </c>
      <c r="H76">
        <v>71</v>
      </c>
    </row>
    <row r="77" spans="1:8" x14ac:dyDescent="0.2">
      <c r="A77">
        <v>302403</v>
      </c>
      <c r="C77">
        <v>30066</v>
      </c>
      <c r="D77" t="s">
        <v>631</v>
      </c>
      <c r="E77" t="s">
        <v>632</v>
      </c>
      <c r="F77">
        <v>300</v>
      </c>
      <c r="G77" t="s">
        <v>10</v>
      </c>
    </row>
    <row r="78" spans="1:8" x14ac:dyDescent="0.2">
      <c r="A78">
        <v>302404</v>
      </c>
      <c r="C78">
        <v>30065</v>
      </c>
      <c r="D78" t="s">
        <v>633</v>
      </c>
      <c r="E78">
        <v>0</v>
      </c>
      <c r="F78">
        <v>0</v>
      </c>
      <c r="G78" t="s">
        <v>10</v>
      </c>
      <c r="H78">
        <v>20</v>
      </c>
    </row>
    <row r="79" spans="1:8" x14ac:dyDescent="0.2">
      <c r="A79">
        <v>302405</v>
      </c>
      <c r="C79">
        <v>30065</v>
      </c>
      <c r="D79" t="s">
        <v>277</v>
      </c>
      <c r="E79" t="s">
        <v>634</v>
      </c>
      <c r="F79">
        <v>400</v>
      </c>
      <c r="G79" t="s">
        <v>10</v>
      </c>
      <c r="H79">
        <v>32</v>
      </c>
    </row>
    <row r="80" spans="1:8" x14ac:dyDescent="0.2">
      <c r="A80">
        <v>302406</v>
      </c>
      <c r="C80">
        <v>30065</v>
      </c>
      <c r="D80" t="s">
        <v>635</v>
      </c>
      <c r="E80" t="s">
        <v>636</v>
      </c>
      <c r="F80">
        <v>500</v>
      </c>
      <c r="G80" t="s">
        <v>10</v>
      </c>
      <c r="H80">
        <v>12</v>
      </c>
    </row>
    <row r="81" spans="1:8" x14ac:dyDescent="0.2">
      <c r="A81">
        <v>302407</v>
      </c>
      <c r="C81">
        <v>30064</v>
      </c>
      <c r="D81" t="s">
        <v>284</v>
      </c>
      <c r="E81" t="s">
        <v>637</v>
      </c>
      <c r="F81">
        <v>8</v>
      </c>
      <c r="G81" t="s">
        <v>10</v>
      </c>
      <c r="H81">
        <v>61</v>
      </c>
    </row>
    <row r="82" spans="1:8" x14ac:dyDescent="0.2">
      <c r="A82">
        <v>302408</v>
      </c>
      <c r="C82">
        <v>30064</v>
      </c>
      <c r="D82" t="s">
        <v>638</v>
      </c>
      <c r="E82" t="s">
        <v>274</v>
      </c>
      <c r="F82">
        <v>5</v>
      </c>
      <c r="G82" t="s">
        <v>10</v>
      </c>
      <c r="H82">
        <v>3</v>
      </c>
    </row>
    <row r="83" spans="1:8" x14ac:dyDescent="0.2">
      <c r="A83">
        <v>302409</v>
      </c>
      <c r="C83">
        <v>30064</v>
      </c>
      <c r="D83" t="s">
        <v>11</v>
      </c>
      <c r="E83" t="s">
        <v>322</v>
      </c>
      <c r="F83">
        <v>701</v>
      </c>
      <c r="G83" t="s">
        <v>10</v>
      </c>
      <c r="H83">
        <v>8</v>
      </c>
    </row>
    <row r="84" spans="1:8" x14ac:dyDescent="0.2">
      <c r="A84">
        <v>302410</v>
      </c>
      <c r="C84">
        <v>30064</v>
      </c>
      <c r="D84" t="s">
        <v>639</v>
      </c>
      <c r="E84" t="s">
        <v>640</v>
      </c>
      <c r="F84">
        <v>11</v>
      </c>
      <c r="G84" t="s">
        <v>10</v>
      </c>
      <c r="H84">
        <v>22</v>
      </c>
    </row>
    <row r="85" spans="1:8" x14ac:dyDescent="0.2">
      <c r="A85">
        <v>302411</v>
      </c>
      <c r="C85">
        <v>30064</v>
      </c>
      <c r="D85" t="s">
        <v>641</v>
      </c>
      <c r="E85" t="s">
        <v>642</v>
      </c>
      <c r="F85">
        <v>1700</v>
      </c>
      <c r="G85" t="s">
        <v>10</v>
      </c>
      <c r="H85">
        <v>50</v>
      </c>
    </row>
    <row r="86" spans="1:8" x14ac:dyDescent="0.2">
      <c r="A86">
        <v>302412</v>
      </c>
      <c r="C86">
        <v>30064</v>
      </c>
      <c r="D86" t="s">
        <v>643</v>
      </c>
      <c r="E86" t="s">
        <v>590</v>
      </c>
      <c r="F86">
        <v>1001</v>
      </c>
      <c r="G86" t="s">
        <v>10</v>
      </c>
      <c r="H86">
        <v>17</v>
      </c>
    </row>
    <row r="87" spans="1:8" x14ac:dyDescent="0.2">
      <c r="A87">
        <v>302413</v>
      </c>
      <c r="C87">
        <v>30064</v>
      </c>
      <c r="D87" t="s">
        <v>644</v>
      </c>
      <c r="E87" t="s">
        <v>645</v>
      </c>
      <c r="F87">
        <v>1000</v>
      </c>
      <c r="G87" t="s">
        <v>10</v>
      </c>
      <c r="H87">
        <v>10</v>
      </c>
    </row>
    <row r="88" spans="1:8" x14ac:dyDescent="0.2">
      <c r="A88">
        <v>302414</v>
      </c>
      <c r="C88">
        <v>30064</v>
      </c>
      <c r="D88" t="s">
        <v>286</v>
      </c>
      <c r="E88" t="s">
        <v>646</v>
      </c>
      <c r="F88">
        <v>900</v>
      </c>
      <c r="G88" t="s">
        <v>10</v>
      </c>
      <c r="H88">
        <v>16</v>
      </c>
    </row>
    <row r="89" spans="1:8" x14ac:dyDescent="0.2">
      <c r="A89">
        <v>302415</v>
      </c>
      <c r="C89">
        <v>30064</v>
      </c>
      <c r="D89" t="s">
        <v>647</v>
      </c>
      <c r="E89" t="s">
        <v>648</v>
      </c>
      <c r="F89">
        <v>2500</v>
      </c>
      <c r="G89" t="s">
        <v>10</v>
      </c>
      <c r="H89">
        <v>18</v>
      </c>
    </row>
    <row r="90" spans="1:8" x14ac:dyDescent="0.2">
      <c r="A90">
        <v>302416</v>
      </c>
      <c r="C90">
        <v>30064</v>
      </c>
      <c r="D90" t="s">
        <v>649</v>
      </c>
      <c r="E90" t="s">
        <v>650</v>
      </c>
      <c r="F90">
        <v>2903</v>
      </c>
      <c r="G90" t="s">
        <v>10</v>
      </c>
      <c r="H90">
        <v>8</v>
      </c>
    </row>
    <row r="91" spans="1:8" x14ac:dyDescent="0.2">
      <c r="A91">
        <v>302417</v>
      </c>
      <c r="C91">
        <v>30064</v>
      </c>
      <c r="D91" t="s">
        <v>651</v>
      </c>
      <c r="E91" t="s">
        <v>652</v>
      </c>
      <c r="F91">
        <v>2910</v>
      </c>
      <c r="G91" t="s">
        <v>10</v>
      </c>
      <c r="H91">
        <v>6</v>
      </c>
    </row>
    <row r="92" spans="1:8" x14ac:dyDescent="0.2">
      <c r="A92">
        <v>302418</v>
      </c>
      <c r="C92">
        <v>30064</v>
      </c>
      <c r="D92" t="s">
        <v>653</v>
      </c>
      <c r="E92" t="s">
        <v>654</v>
      </c>
      <c r="F92">
        <v>1900</v>
      </c>
      <c r="G92" t="s">
        <v>10</v>
      </c>
      <c r="H92">
        <v>11</v>
      </c>
    </row>
    <row r="93" spans="1:8" x14ac:dyDescent="0.2">
      <c r="A93">
        <v>302419</v>
      </c>
      <c r="C93">
        <v>30064</v>
      </c>
      <c r="D93" t="s">
        <v>655</v>
      </c>
      <c r="E93" t="s">
        <v>656</v>
      </c>
      <c r="F93">
        <v>2909</v>
      </c>
      <c r="G93" t="s">
        <v>10</v>
      </c>
      <c r="H93">
        <v>24</v>
      </c>
    </row>
    <row r="94" spans="1:8" x14ac:dyDescent="0.2">
      <c r="A94">
        <v>302420</v>
      </c>
      <c r="C94">
        <v>30064</v>
      </c>
      <c r="D94" t="s">
        <v>657</v>
      </c>
      <c r="E94" t="s">
        <v>658</v>
      </c>
      <c r="F94">
        <v>2906</v>
      </c>
      <c r="G94" t="s">
        <v>10</v>
      </c>
      <c r="H94">
        <v>3</v>
      </c>
    </row>
    <row r="95" spans="1:8" x14ac:dyDescent="0.2">
      <c r="A95">
        <v>302421</v>
      </c>
      <c r="C95">
        <v>30064</v>
      </c>
      <c r="D95" t="s">
        <v>659</v>
      </c>
      <c r="E95" t="s">
        <v>660</v>
      </c>
      <c r="F95">
        <v>700</v>
      </c>
      <c r="G95" t="s">
        <v>10</v>
      </c>
      <c r="H95">
        <v>12</v>
      </c>
    </row>
    <row r="96" spans="1:8" x14ac:dyDescent="0.2">
      <c r="A96">
        <v>302422</v>
      </c>
      <c r="C96">
        <v>30068</v>
      </c>
      <c r="D96" t="s">
        <v>661</v>
      </c>
      <c r="E96" t="s">
        <v>662</v>
      </c>
      <c r="F96">
        <v>0</v>
      </c>
      <c r="G96" t="s">
        <v>10</v>
      </c>
    </row>
    <row r="97" spans="1:8" x14ac:dyDescent="0.2">
      <c r="A97">
        <v>302423</v>
      </c>
      <c r="C97">
        <v>30068</v>
      </c>
      <c r="D97" t="s">
        <v>663</v>
      </c>
      <c r="E97" t="s">
        <v>664</v>
      </c>
      <c r="F97">
        <v>100</v>
      </c>
      <c r="G97" t="s">
        <v>10</v>
      </c>
    </row>
    <row r="98" spans="1:8" x14ac:dyDescent="0.2">
      <c r="A98">
        <v>302424</v>
      </c>
      <c r="C98">
        <v>30068</v>
      </c>
      <c r="D98" t="s">
        <v>665</v>
      </c>
      <c r="E98" t="s">
        <v>666</v>
      </c>
      <c r="F98">
        <v>200</v>
      </c>
      <c r="G98" t="s">
        <v>10</v>
      </c>
    </row>
    <row r="99" spans="1:8" x14ac:dyDescent="0.2">
      <c r="A99">
        <v>302425</v>
      </c>
      <c r="C99">
        <v>30068</v>
      </c>
      <c r="D99" t="s">
        <v>667</v>
      </c>
      <c r="E99" t="s">
        <v>626</v>
      </c>
      <c r="F99">
        <v>300</v>
      </c>
      <c r="G99" t="s">
        <v>10</v>
      </c>
    </row>
    <row r="100" spans="1:8" x14ac:dyDescent="0.2">
      <c r="A100">
        <v>302426</v>
      </c>
      <c r="C100">
        <v>30068</v>
      </c>
      <c r="D100" t="s">
        <v>668</v>
      </c>
      <c r="E100" t="s">
        <v>669</v>
      </c>
      <c r="F100">
        <v>400</v>
      </c>
      <c r="G100" t="s">
        <v>10</v>
      </c>
    </row>
    <row r="101" spans="1:8" x14ac:dyDescent="0.2">
      <c r="A101">
        <v>302427</v>
      </c>
      <c r="C101">
        <v>30068</v>
      </c>
      <c r="D101" t="s">
        <v>670</v>
      </c>
      <c r="E101" t="s">
        <v>671</v>
      </c>
      <c r="F101">
        <v>500</v>
      </c>
      <c r="G101" t="s">
        <v>10</v>
      </c>
    </row>
    <row r="102" spans="1:8" x14ac:dyDescent="0.2">
      <c r="A102">
        <v>302428</v>
      </c>
      <c r="C102">
        <v>30068</v>
      </c>
      <c r="D102" t="s">
        <v>672</v>
      </c>
      <c r="E102" t="s">
        <v>673</v>
      </c>
      <c r="F102">
        <v>600</v>
      </c>
      <c r="G102" t="s">
        <v>10</v>
      </c>
    </row>
    <row r="103" spans="1:8" x14ac:dyDescent="0.2">
      <c r="A103">
        <v>302429</v>
      </c>
      <c r="C103">
        <v>30068</v>
      </c>
      <c r="D103" t="s">
        <v>674</v>
      </c>
      <c r="E103" t="s">
        <v>675</v>
      </c>
      <c r="F103">
        <v>700</v>
      </c>
      <c r="G103" t="s">
        <v>10</v>
      </c>
    </row>
    <row r="104" spans="1:8" x14ac:dyDescent="0.2">
      <c r="A104">
        <v>302430</v>
      </c>
      <c r="C104">
        <v>30068</v>
      </c>
      <c r="D104" t="s">
        <v>676</v>
      </c>
      <c r="E104" t="s">
        <v>677</v>
      </c>
      <c r="F104">
        <v>800</v>
      </c>
      <c r="G104" t="s">
        <v>10</v>
      </c>
    </row>
    <row r="105" spans="1:8" x14ac:dyDescent="0.2">
      <c r="A105">
        <v>302431</v>
      </c>
      <c r="C105">
        <v>30068</v>
      </c>
      <c r="D105" t="s">
        <v>678</v>
      </c>
      <c r="E105" t="s">
        <v>679</v>
      </c>
      <c r="F105">
        <v>900</v>
      </c>
      <c r="G105" t="s">
        <v>10</v>
      </c>
    </row>
    <row r="106" spans="1:8" x14ac:dyDescent="0.2">
      <c r="A106">
        <v>302432</v>
      </c>
      <c r="C106">
        <v>30068</v>
      </c>
      <c r="D106" t="s">
        <v>680</v>
      </c>
      <c r="E106" t="s">
        <v>681</v>
      </c>
      <c r="F106">
        <v>1000</v>
      </c>
      <c r="G106" t="s">
        <v>10</v>
      </c>
    </row>
    <row r="107" spans="1:8" x14ac:dyDescent="0.2">
      <c r="A107">
        <v>302433</v>
      </c>
      <c r="C107">
        <v>30068</v>
      </c>
      <c r="D107" t="s">
        <v>682</v>
      </c>
      <c r="E107" t="s">
        <v>683</v>
      </c>
      <c r="F107">
        <v>1100</v>
      </c>
      <c r="G107" t="s">
        <v>10</v>
      </c>
    </row>
    <row r="108" spans="1:8" x14ac:dyDescent="0.2">
      <c r="A108">
        <v>302434</v>
      </c>
      <c r="C108">
        <v>30066</v>
      </c>
      <c r="D108" t="s">
        <v>684</v>
      </c>
      <c r="E108" t="s">
        <v>528</v>
      </c>
      <c r="F108">
        <v>400</v>
      </c>
      <c r="G108" t="s">
        <v>10</v>
      </c>
      <c r="H108">
        <v>15</v>
      </c>
    </row>
    <row r="109" spans="1:8" x14ac:dyDescent="0.2">
      <c r="A109">
        <v>302435</v>
      </c>
      <c r="C109">
        <v>30066</v>
      </c>
      <c r="D109" t="s">
        <v>685</v>
      </c>
      <c r="E109" t="s">
        <v>530</v>
      </c>
      <c r="F109">
        <v>500</v>
      </c>
      <c r="G109" t="s">
        <v>10</v>
      </c>
      <c r="H109">
        <v>10</v>
      </c>
    </row>
    <row r="110" spans="1:8" x14ac:dyDescent="0.2">
      <c r="A110">
        <v>302436</v>
      </c>
      <c r="C110">
        <v>30066</v>
      </c>
      <c r="D110" t="s">
        <v>686</v>
      </c>
      <c r="E110" t="s">
        <v>687</v>
      </c>
      <c r="F110">
        <v>600</v>
      </c>
      <c r="G110" t="s">
        <v>10</v>
      </c>
      <c r="H110">
        <v>829</v>
      </c>
    </row>
    <row r="111" spans="1:8" x14ac:dyDescent="0.2">
      <c r="A111">
        <v>302437</v>
      </c>
      <c r="C111">
        <v>30066</v>
      </c>
      <c r="D111" t="s">
        <v>688</v>
      </c>
      <c r="E111" t="s">
        <v>689</v>
      </c>
      <c r="F111">
        <v>700</v>
      </c>
      <c r="G111" t="s">
        <v>10</v>
      </c>
      <c r="H111">
        <v>8</v>
      </c>
    </row>
    <row r="112" spans="1:8" x14ac:dyDescent="0.2">
      <c r="A112">
        <v>302438</v>
      </c>
      <c r="C112">
        <v>30066</v>
      </c>
      <c r="D112" t="s">
        <v>525</v>
      </c>
      <c r="E112" t="s">
        <v>526</v>
      </c>
      <c r="F112">
        <v>800</v>
      </c>
      <c r="G112" t="s">
        <v>10</v>
      </c>
      <c r="H112">
        <v>157</v>
      </c>
    </row>
    <row r="113" spans="1:8" x14ac:dyDescent="0.2">
      <c r="A113">
        <v>302439</v>
      </c>
      <c r="C113">
        <v>30069</v>
      </c>
      <c r="D113" t="s">
        <v>690</v>
      </c>
      <c r="E113">
        <v>1</v>
      </c>
      <c r="F113">
        <v>1</v>
      </c>
      <c r="G113" t="s">
        <v>10</v>
      </c>
      <c r="H113">
        <v>4</v>
      </c>
    </row>
    <row r="114" spans="1:8" x14ac:dyDescent="0.2">
      <c r="A114">
        <v>302440</v>
      </c>
      <c r="C114">
        <v>30069</v>
      </c>
      <c r="D114" t="s">
        <v>691</v>
      </c>
      <c r="E114">
        <v>2</v>
      </c>
      <c r="F114">
        <v>100</v>
      </c>
      <c r="G114" t="s">
        <v>10</v>
      </c>
      <c r="H114">
        <v>31</v>
      </c>
    </row>
    <row r="115" spans="1:8" x14ac:dyDescent="0.2">
      <c r="A115">
        <v>302441</v>
      </c>
      <c r="C115">
        <v>30069</v>
      </c>
      <c r="D115" t="s">
        <v>692</v>
      </c>
      <c r="E115">
        <v>3</v>
      </c>
      <c r="F115">
        <v>200</v>
      </c>
      <c r="G115" t="s">
        <v>10</v>
      </c>
    </row>
    <row r="116" spans="1:8" x14ac:dyDescent="0.2">
      <c r="A116">
        <v>302442</v>
      </c>
      <c r="C116">
        <v>30069</v>
      </c>
      <c r="D116" t="s">
        <v>693</v>
      </c>
      <c r="E116">
        <v>4</v>
      </c>
      <c r="F116">
        <v>300</v>
      </c>
      <c r="G116" t="s">
        <v>10</v>
      </c>
      <c r="H116">
        <v>17</v>
      </c>
    </row>
    <row r="117" spans="1:8" x14ac:dyDescent="0.2">
      <c r="A117">
        <v>302443</v>
      </c>
      <c r="C117">
        <v>30069</v>
      </c>
      <c r="D117" t="s">
        <v>694</v>
      </c>
      <c r="E117">
        <v>5</v>
      </c>
      <c r="F117">
        <v>400</v>
      </c>
      <c r="G117" t="s">
        <v>10</v>
      </c>
    </row>
    <row r="118" spans="1:8" x14ac:dyDescent="0.2">
      <c r="A118">
        <v>302444</v>
      </c>
      <c r="C118">
        <v>30069</v>
      </c>
      <c r="D118" t="s">
        <v>695</v>
      </c>
      <c r="E118">
        <v>6</v>
      </c>
      <c r="F118">
        <v>500</v>
      </c>
      <c r="G118" t="s">
        <v>10</v>
      </c>
    </row>
    <row r="119" spans="1:8" x14ac:dyDescent="0.2">
      <c r="A119">
        <v>302445</v>
      </c>
      <c r="C119">
        <v>30069</v>
      </c>
      <c r="D119" t="s">
        <v>696</v>
      </c>
      <c r="E119">
        <v>7</v>
      </c>
      <c r="F119">
        <v>600</v>
      </c>
      <c r="G119" t="s">
        <v>10</v>
      </c>
    </row>
    <row r="120" spans="1:8" x14ac:dyDescent="0.2">
      <c r="A120">
        <v>302446</v>
      </c>
      <c r="C120">
        <v>30069</v>
      </c>
      <c r="D120" t="s">
        <v>697</v>
      </c>
      <c r="E120">
        <v>0</v>
      </c>
      <c r="F120">
        <v>0</v>
      </c>
      <c r="G120" t="s">
        <v>10</v>
      </c>
      <c r="H120">
        <v>131</v>
      </c>
    </row>
    <row r="121" spans="1:8" x14ac:dyDescent="0.2">
      <c r="A121">
        <v>302447</v>
      </c>
      <c r="C121">
        <v>30067</v>
      </c>
      <c r="D121" t="s">
        <v>269</v>
      </c>
      <c r="E121" t="s">
        <v>687</v>
      </c>
      <c r="F121">
        <v>0</v>
      </c>
      <c r="G121" t="s">
        <v>10</v>
      </c>
      <c r="H121">
        <v>37</v>
      </c>
    </row>
    <row r="122" spans="1:8" x14ac:dyDescent="0.2">
      <c r="A122">
        <v>302448</v>
      </c>
      <c r="C122">
        <v>30067</v>
      </c>
      <c r="D122" t="s">
        <v>264</v>
      </c>
      <c r="E122" t="s">
        <v>698</v>
      </c>
      <c r="F122">
        <v>100</v>
      </c>
      <c r="G122" t="s">
        <v>10</v>
      </c>
      <c r="H122">
        <v>37</v>
      </c>
    </row>
    <row r="123" spans="1:8" x14ac:dyDescent="0.2">
      <c r="A123">
        <v>302449</v>
      </c>
      <c r="C123">
        <v>30067</v>
      </c>
      <c r="D123" t="s">
        <v>263</v>
      </c>
      <c r="E123" t="s">
        <v>699</v>
      </c>
      <c r="F123">
        <v>200</v>
      </c>
      <c r="G123" t="s">
        <v>10</v>
      </c>
      <c r="H123">
        <v>37</v>
      </c>
    </row>
    <row r="124" spans="1:8" x14ac:dyDescent="0.2">
      <c r="A124">
        <v>302450</v>
      </c>
      <c r="C124">
        <v>30067</v>
      </c>
      <c r="D124" t="s">
        <v>267</v>
      </c>
      <c r="E124" t="s">
        <v>700</v>
      </c>
      <c r="F124">
        <v>300</v>
      </c>
      <c r="G124" t="s">
        <v>10</v>
      </c>
      <c r="H124">
        <v>37</v>
      </c>
    </row>
    <row r="125" spans="1:8" x14ac:dyDescent="0.2">
      <c r="A125">
        <v>302451</v>
      </c>
      <c r="C125">
        <v>30067</v>
      </c>
      <c r="D125" t="s">
        <v>268</v>
      </c>
      <c r="E125" t="s">
        <v>701</v>
      </c>
      <c r="F125">
        <v>400</v>
      </c>
      <c r="G125" t="s">
        <v>10</v>
      </c>
      <c r="H125">
        <v>44</v>
      </c>
    </row>
    <row r="126" spans="1:8" x14ac:dyDescent="0.2">
      <c r="A126">
        <v>302452</v>
      </c>
      <c r="C126">
        <v>30067</v>
      </c>
      <c r="D126" t="s">
        <v>271</v>
      </c>
      <c r="E126" t="s">
        <v>702</v>
      </c>
      <c r="F126">
        <v>500</v>
      </c>
      <c r="G126" t="s">
        <v>10</v>
      </c>
      <c r="H126">
        <v>44</v>
      </c>
    </row>
    <row r="127" spans="1:8" x14ac:dyDescent="0.2">
      <c r="A127">
        <v>302453</v>
      </c>
      <c r="C127">
        <v>30067</v>
      </c>
      <c r="D127" t="s">
        <v>272</v>
      </c>
      <c r="E127" t="s">
        <v>703</v>
      </c>
      <c r="F127">
        <v>600</v>
      </c>
      <c r="G127" t="s">
        <v>10</v>
      </c>
      <c r="H127">
        <v>43</v>
      </c>
    </row>
    <row r="128" spans="1:8" x14ac:dyDescent="0.2">
      <c r="A128">
        <v>302454</v>
      </c>
      <c r="C128">
        <v>30067</v>
      </c>
      <c r="D128" t="s">
        <v>704</v>
      </c>
      <c r="E128" t="s">
        <v>705</v>
      </c>
      <c r="F128">
        <v>700</v>
      </c>
      <c r="G128" t="s">
        <v>10</v>
      </c>
      <c r="H128">
        <v>69</v>
      </c>
    </row>
    <row r="129" spans="1:8" x14ac:dyDescent="0.2">
      <c r="A129">
        <v>302455</v>
      </c>
      <c r="C129">
        <v>30067</v>
      </c>
      <c r="D129" t="s">
        <v>706</v>
      </c>
      <c r="E129" t="s">
        <v>707</v>
      </c>
      <c r="F129">
        <v>800</v>
      </c>
      <c r="G129" t="s">
        <v>10</v>
      </c>
      <c r="H129">
        <v>69</v>
      </c>
    </row>
    <row r="130" spans="1:8" x14ac:dyDescent="0.2">
      <c r="A130">
        <v>302456</v>
      </c>
      <c r="C130">
        <v>30067</v>
      </c>
      <c r="D130" t="s">
        <v>708</v>
      </c>
      <c r="E130" t="s">
        <v>709</v>
      </c>
      <c r="F130">
        <v>900</v>
      </c>
      <c r="G130" t="s">
        <v>10</v>
      </c>
      <c r="H130">
        <v>46</v>
      </c>
    </row>
    <row r="131" spans="1:8" x14ac:dyDescent="0.2">
      <c r="A131">
        <v>302457</v>
      </c>
      <c r="C131">
        <v>30067</v>
      </c>
      <c r="D131" t="s">
        <v>710</v>
      </c>
      <c r="E131" t="s">
        <v>711</v>
      </c>
      <c r="F131">
        <v>1000</v>
      </c>
      <c r="G131" t="s">
        <v>10</v>
      </c>
      <c r="H131">
        <v>45</v>
      </c>
    </row>
    <row r="132" spans="1:8" x14ac:dyDescent="0.2">
      <c r="A132">
        <v>302458</v>
      </c>
      <c r="C132">
        <v>30067</v>
      </c>
      <c r="D132" t="s">
        <v>712</v>
      </c>
      <c r="E132" t="s">
        <v>713</v>
      </c>
      <c r="F132">
        <v>1100</v>
      </c>
      <c r="G132" t="s">
        <v>10</v>
      </c>
      <c r="H132">
        <v>45</v>
      </c>
    </row>
    <row r="133" spans="1:8" x14ac:dyDescent="0.2">
      <c r="A133">
        <v>302459</v>
      </c>
      <c r="C133">
        <v>30067</v>
      </c>
      <c r="D133" t="s">
        <v>714</v>
      </c>
      <c r="E133" t="s">
        <v>715</v>
      </c>
      <c r="F133">
        <v>1200</v>
      </c>
      <c r="G133" t="s">
        <v>10</v>
      </c>
      <c r="H133">
        <v>45</v>
      </c>
    </row>
    <row r="134" spans="1:8" x14ac:dyDescent="0.2">
      <c r="A134">
        <v>302460</v>
      </c>
      <c r="C134">
        <v>30067</v>
      </c>
      <c r="D134" t="s">
        <v>716</v>
      </c>
      <c r="E134" t="s">
        <v>717</v>
      </c>
      <c r="F134">
        <v>1300</v>
      </c>
      <c r="G134" t="s">
        <v>10</v>
      </c>
      <c r="H134">
        <v>45</v>
      </c>
    </row>
    <row r="135" spans="1:8" x14ac:dyDescent="0.2">
      <c r="A135">
        <v>302461</v>
      </c>
      <c r="C135">
        <v>30067</v>
      </c>
      <c r="D135" t="s">
        <v>718</v>
      </c>
      <c r="E135" t="s">
        <v>719</v>
      </c>
      <c r="F135">
        <v>1400</v>
      </c>
      <c r="G135" t="s">
        <v>10</v>
      </c>
      <c r="H135">
        <v>45</v>
      </c>
    </row>
    <row r="136" spans="1:8" x14ac:dyDescent="0.2">
      <c r="A136">
        <v>302462</v>
      </c>
      <c r="C136">
        <v>30067</v>
      </c>
      <c r="D136" t="s">
        <v>720</v>
      </c>
      <c r="E136" t="s">
        <v>721</v>
      </c>
      <c r="F136">
        <v>1500</v>
      </c>
      <c r="G136" t="s">
        <v>10</v>
      </c>
      <c r="H136">
        <v>45</v>
      </c>
    </row>
    <row r="137" spans="1:8" x14ac:dyDescent="0.2">
      <c r="A137">
        <v>302463</v>
      </c>
      <c r="C137">
        <v>30067</v>
      </c>
      <c r="D137" t="s">
        <v>722</v>
      </c>
      <c r="E137" t="s">
        <v>723</v>
      </c>
      <c r="F137">
        <v>1600</v>
      </c>
      <c r="G137" t="s">
        <v>10</v>
      </c>
      <c r="H137">
        <v>46</v>
      </c>
    </row>
    <row r="138" spans="1:8" x14ac:dyDescent="0.2">
      <c r="A138">
        <v>302464</v>
      </c>
      <c r="C138">
        <v>30067</v>
      </c>
      <c r="D138" t="s">
        <v>724</v>
      </c>
      <c r="E138" t="s">
        <v>725</v>
      </c>
      <c r="F138">
        <v>1700</v>
      </c>
      <c r="G138" t="s">
        <v>10</v>
      </c>
      <c r="H138">
        <v>19</v>
      </c>
    </row>
    <row r="139" spans="1:8" x14ac:dyDescent="0.2">
      <c r="A139">
        <v>302465</v>
      </c>
      <c r="C139">
        <v>30067</v>
      </c>
      <c r="D139" t="s">
        <v>726</v>
      </c>
      <c r="E139" t="s">
        <v>727</v>
      </c>
      <c r="F139">
        <v>1800</v>
      </c>
      <c r="G139" t="s">
        <v>10</v>
      </c>
      <c r="H139">
        <v>1</v>
      </c>
    </row>
    <row r="140" spans="1:8" x14ac:dyDescent="0.2">
      <c r="A140">
        <v>302466</v>
      </c>
      <c r="C140">
        <v>30065</v>
      </c>
      <c r="D140" t="s">
        <v>728</v>
      </c>
      <c r="E140" t="s">
        <v>729</v>
      </c>
      <c r="F140">
        <v>1</v>
      </c>
      <c r="G140" t="s">
        <v>10</v>
      </c>
    </row>
    <row r="141" spans="1:8" x14ac:dyDescent="0.2">
      <c r="A141">
        <v>302467</v>
      </c>
      <c r="C141">
        <v>30064</v>
      </c>
      <c r="D141" t="s">
        <v>730</v>
      </c>
      <c r="E141" t="s">
        <v>321</v>
      </c>
      <c r="F141">
        <v>1701</v>
      </c>
      <c r="G141" t="s">
        <v>10</v>
      </c>
      <c r="H141">
        <v>6</v>
      </c>
    </row>
    <row r="142" spans="1:8" x14ac:dyDescent="0.2">
      <c r="A142">
        <v>302468</v>
      </c>
      <c r="C142">
        <v>30064</v>
      </c>
      <c r="D142" t="s">
        <v>731</v>
      </c>
      <c r="E142" t="s">
        <v>732</v>
      </c>
      <c r="F142">
        <v>1702</v>
      </c>
      <c r="G142" t="s">
        <v>10</v>
      </c>
      <c r="H142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28938-8ECC-4997-94E5-70DADFF231BE}">
  <sheetPr codeName="Sheet3"/>
  <dimension ref="A1:G12"/>
  <sheetViews>
    <sheetView workbookViewId="0"/>
  </sheetViews>
  <sheetFormatPr defaultRowHeight="14.25" x14ac:dyDescent="0.2"/>
  <sheetData>
    <row r="1" spans="1:7" x14ac:dyDescent="0.2">
      <c r="A1" t="s">
        <v>17</v>
      </c>
    </row>
    <row r="2" spans="1:7" x14ac:dyDescent="0.2">
      <c r="A2" t="s">
        <v>4</v>
      </c>
      <c r="B2" t="s">
        <v>18</v>
      </c>
      <c r="C2" t="s">
        <v>7</v>
      </c>
      <c r="D2" t="s">
        <v>19</v>
      </c>
      <c r="E2" t="s">
        <v>20</v>
      </c>
      <c r="F2" t="s">
        <v>21</v>
      </c>
      <c r="G2" t="s">
        <v>22</v>
      </c>
    </row>
    <row r="3" spans="1:7" x14ac:dyDescent="0.2">
      <c r="A3">
        <v>30060</v>
      </c>
      <c r="B3">
        <v>7</v>
      </c>
      <c r="C3">
        <v>5</v>
      </c>
      <c r="D3" t="s">
        <v>733</v>
      </c>
      <c r="E3">
        <v>21883</v>
      </c>
      <c r="G3" t="s">
        <v>23</v>
      </c>
    </row>
    <row r="4" spans="1:7" x14ac:dyDescent="0.2">
      <c r="A4">
        <v>30061</v>
      </c>
      <c r="B4">
        <v>7</v>
      </c>
      <c r="C4">
        <v>4</v>
      </c>
      <c r="D4" t="s">
        <v>734</v>
      </c>
      <c r="E4">
        <v>21883</v>
      </c>
      <c r="G4" t="s">
        <v>23</v>
      </c>
    </row>
    <row r="5" spans="1:7" x14ac:dyDescent="0.2">
      <c r="A5">
        <v>30062</v>
      </c>
      <c r="B5">
        <v>7</v>
      </c>
      <c r="C5">
        <v>2</v>
      </c>
      <c r="D5" t="s">
        <v>735</v>
      </c>
      <c r="E5">
        <v>21883</v>
      </c>
      <c r="G5" t="s">
        <v>23</v>
      </c>
    </row>
    <row r="6" spans="1:7" x14ac:dyDescent="0.2">
      <c r="A6">
        <v>30063</v>
      </c>
      <c r="B6">
        <v>7</v>
      </c>
      <c r="C6">
        <v>100</v>
      </c>
      <c r="D6" t="s">
        <v>736</v>
      </c>
      <c r="E6">
        <v>21883</v>
      </c>
      <c r="G6" t="s">
        <v>23</v>
      </c>
    </row>
    <row r="7" spans="1:7" x14ac:dyDescent="0.2">
      <c r="A7">
        <v>30064</v>
      </c>
      <c r="B7">
        <v>7</v>
      </c>
      <c r="C7">
        <v>200</v>
      </c>
      <c r="D7" t="s">
        <v>737</v>
      </c>
      <c r="E7">
        <v>21883</v>
      </c>
      <c r="G7" t="s">
        <v>23</v>
      </c>
    </row>
    <row r="8" spans="1:7" x14ac:dyDescent="0.2">
      <c r="A8">
        <v>30065</v>
      </c>
      <c r="B8">
        <v>7</v>
      </c>
      <c r="C8">
        <v>0</v>
      </c>
      <c r="D8" t="s">
        <v>738</v>
      </c>
      <c r="E8">
        <v>21883</v>
      </c>
      <c r="G8" t="s">
        <v>23</v>
      </c>
    </row>
    <row r="9" spans="1:7" x14ac:dyDescent="0.2">
      <c r="A9">
        <v>30066</v>
      </c>
      <c r="B9">
        <v>7</v>
      </c>
      <c r="C9">
        <v>1</v>
      </c>
      <c r="D9" t="s">
        <v>739</v>
      </c>
      <c r="E9">
        <v>21883</v>
      </c>
      <c r="G9" t="s">
        <v>23</v>
      </c>
    </row>
    <row r="10" spans="1:7" x14ac:dyDescent="0.2">
      <c r="A10">
        <v>30067</v>
      </c>
      <c r="B10">
        <v>7</v>
      </c>
      <c r="C10">
        <v>3</v>
      </c>
      <c r="D10" t="s">
        <v>740</v>
      </c>
      <c r="E10">
        <v>21883</v>
      </c>
      <c r="G10" t="s">
        <v>23</v>
      </c>
    </row>
    <row r="11" spans="1:7" x14ac:dyDescent="0.2">
      <c r="A11">
        <v>30068</v>
      </c>
      <c r="B11">
        <v>7</v>
      </c>
      <c r="C11">
        <v>300</v>
      </c>
      <c r="D11" t="s">
        <v>741</v>
      </c>
      <c r="E11">
        <v>21883</v>
      </c>
      <c r="G11" t="s">
        <v>23</v>
      </c>
    </row>
    <row r="12" spans="1:7" x14ac:dyDescent="0.2">
      <c r="A12">
        <v>30069</v>
      </c>
      <c r="B12">
        <v>7</v>
      </c>
      <c r="C12">
        <v>201</v>
      </c>
      <c r="D12" t="s">
        <v>742</v>
      </c>
      <c r="E12">
        <v>21883</v>
      </c>
      <c r="G12" t="s">
        <v>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D5286-A0EF-487E-AF95-3B8648EA820F}">
  <sheetPr codeName="Sheet4"/>
  <dimension ref="A1:M19"/>
  <sheetViews>
    <sheetView topLeftCell="E1" workbookViewId="0">
      <selection activeCell="G34" sqref="G34"/>
    </sheetView>
  </sheetViews>
  <sheetFormatPr defaultRowHeight="14.25" x14ac:dyDescent="0.2"/>
  <cols>
    <col min="3" max="3" width="33.375" bestFit="1" customWidth="1"/>
    <col min="5" max="5" width="12.25" bestFit="1" customWidth="1"/>
  </cols>
  <sheetData>
    <row r="1" spans="1:13" x14ac:dyDescent="0.2">
      <c r="A1" t="s">
        <v>24</v>
      </c>
    </row>
    <row r="2" spans="1:13" x14ac:dyDescent="0.2">
      <c r="A2" t="s">
        <v>25</v>
      </c>
      <c r="B2" t="s">
        <v>26</v>
      </c>
      <c r="C2" t="s">
        <v>27</v>
      </c>
      <c r="D2" t="s">
        <v>20</v>
      </c>
      <c r="E2" t="s">
        <v>28</v>
      </c>
      <c r="F2" t="s">
        <v>29</v>
      </c>
      <c r="G2" t="s">
        <v>30</v>
      </c>
      <c r="H2" t="s">
        <v>31</v>
      </c>
      <c r="I2" t="s">
        <v>32</v>
      </c>
      <c r="J2" t="s">
        <v>33</v>
      </c>
      <c r="K2" t="s">
        <v>34</v>
      </c>
      <c r="L2" t="s">
        <v>35</v>
      </c>
      <c r="M2" t="s">
        <v>36</v>
      </c>
    </row>
    <row r="3" spans="1:13" x14ac:dyDescent="0.2">
      <c r="A3">
        <v>9358</v>
      </c>
      <c r="B3" t="s">
        <v>40</v>
      </c>
      <c r="C3" t="s">
        <v>743</v>
      </c>
      <c r="F3" s="5">
        <v>43439</v>
      </c>
      <c r="G3" t="s">
        <v>38</v>
      </c>
      <c r="H3">
        <v>8</v>
      </c>
      <c r="I3">
        <v>40</v>
      </c>
      <c r="J3">
        <v>172</v>
      </c>
      <c r="K3">
        <v>2000</v>
      </c>
      <c r="L3" t="s">
        <v>37</v>
      </c>
      <c r="M3" t="s">
        <v>744</v>
      </c>
    </row>
    <row r="4" spans="1:13" x14ac:dyDescent="0.2">
      <c r="A4">
        <v>15320</v>
      </c>
      <c r="B4" t="s">
        <v>37</v>
      </c>
      <c r="C4" t="s">
        <v>745</v>
      </c>
      <c r="D4">
        <v>8790</v>
      </c>
      <c r="F4" s="5">
        <v>43440</v>
      </c>
      <c r="G4" t="s">
        <v>41</v>
      </c>
      <c r="H4">
        <v>8</v>
      </c>
      <c r="I4">
        <v>40</v>
      </c>
      <c r="J4">
        <v>172</v>
      </c>
      <c r="K4">
        <v>2000</v>
      </c>
      <c r="L4" t="s">
        <v>37</v>
      </c>
      <c r="M4" t="s">
        <v>746</v>
      </c>
    </row>
    <row r="5" spans="1:13" x14ac:dyDescent="0.2">
      <c r="A5">
        <v>52886</v>
      </c>
      <c r="B5" t="s">
        <v>37</v>
      </c>
      <c r="C5" t="s">
        <v>747</v>
      </c>
      <c r="D5">
        <v>21883</v>
      </c>
      <c r="E5">
        <v>9358</v>
      </c>
      <c r="F5" s="5">
        <v>43760</v>
      </c>
      <c r="G5" t="s">
        <v>41</v>
      </c>
      <c r="H5">
        <v>8</v>
      </c>
      <c r="I5">
        <v>40</v>
      </c>
      <c r="J5">
        <v>172</v>
      </c>
      <c r="K5">
        <v>2000</v>
      </c>
      <c r="L5" t="s">
        <v>37</v>
      </c>
      <c r="M5" t="s">
        <v>748</v>
      </c>
    </row>
    <row r="6" spans="1:13" x14ac:dyDescent="0.2">
      <c r="A6">
        <v>52887</v>
      </c>
      <c r="B6" t="s">
        <v>37</v>
      </c>
      <c r="C6" t="s">
        <v>749</v>
      </c>
      <c r="D6">
        <v>21883</v>
      </c>
      <c r="F6" s="5">
        <v>36642.59097222222</v>
      </c>
      <c r="G6" t="s">
        <v>41</v>
      </c>
      <c r="H6">
        <v>8</v>
      </c>
      <c r="I6">
        <v>40</v>
      </c>
      <c r="J6">
        <v>172</v>
      </c>
      <c r="K6">
        <v>2000</v>
      </c>
      <c r="L6" t="s">
        <v>37</v>
      </c>
      <c r="M6" t="s">
        <v>39</v>
      </c>
    </row>
    <row r="7" spans="1:13" x14ac:dyDescent="0.2">
      <c r="A7">
        <v>52888</v>
      </c>
      <c r="B7" t="s">
        <v>37</v>
      </c>
      <c r="C7" t="s">
        <v>750</v>
      </c>
      <c r="D7">
        <v>21883</v>
      </c>
      <c r="F7" s="5">
        <v>39930</v>
      </c>
      <c r="G7" t="s">
        <v>41</v>
      </c>
      <c r="H7">
        <v>8</v>
      </c>
      <c r="I7">
        <v>56</v>
      </c>
      <c r="J7">
        <v>172</v>
      </c>
      <c r="K7">
        <v>2000</v>
      </c>
      <c r="L7" t="s">
        <v>37</v>
      </c>
      <c r="M7" t="s">
        <v>751</v>
      </c>
    </row>
    <row r="8" spans="1:13" x14ac:dyDescent="0.2">
      <c r="A8">
        <v>52889</v>
      </c>
      <c r="B8" t="s">
        <v>37</v>
      </c>
      <c r="C8" t="s">
        <v>752</v>
      </c>
      <c r="D8">
        <v>21883</v>
      </c>
      <c r="F8" s="5">
        <v>42724</v>
      </c>
      <c r="G8" t="s">
        <v>41</v>
      </c>
      <c r="H8">
        <v>8</v>
      </c>
      <c r="I8">
        <v>56</v>
      </c>
      <c r="J8">
        <v>172</v>
      </c>
      <c r="K8">
        <v>2000</v>
      </c>
      <c r="L8" t="s">
        <v>37</v>
      </c>
      <c r="M8" t="s">
        <v>753</v>
      </c>
    </row>
    <row r="9" spans="1:13" x14ac:dyDescent="0.2">
      <c r="A9">
        <v>52890</v>
      </c>
      <c r="B9" t="s">
        <v>37</v>
      </c>
      <c r="C9" t="s">
        <v>754</v>
      </c>
      <c r="D9">
        <v>21883</v>
      </c>
      <c r="F9" s="5">
        <v>42886</v>
      </c>
      <c r="G9" t="s">
        <v>41</v>
      </c>
      <c r="H9">
        <v>8</v>
      </c>
      <c r="I9">
        <v>40</v>
      </c>
      <c r="J9">
        <v>172</v>
      </c>
      <c r="K9">
        <v>2000</v>
      </c>
      <c r="L9" t="s">
        <v>37</v>
      </c>
      <c r="M9" t="s">
        <v>755</v>
      </c>
    </row>
    <row r="10" spans="1:13" x14ac:dyDescent="0.2">
      <c r="A10">
        <v>52891</v>
      </c>
      <c r="B10" t="s">
        <v>37</v>
      </c>
      <c r="C10" t="s">
        <v>756</v>
      </c>
      <c r="D10">
        <v>21883</v>
      </c>
      <c r="F10" s="5">
        <v>42898</v>
      </c>
      <c r="G10" t="s">
        <v>41</v>
      </c>
      <c r="H10">
        <v>8</v>
      </c>
      <c r="I10">
        <v>40</v>
      </c>
      <c r="J10">
        <v>172</v>
      </c>
      <c r="K10">
        <v>2000</v>
      </c>
      <c r="L10" t="s">
        <v>37</v>
      </c>
      <c r="M10" t="s">
        <v>757</v>
      </c>
    </row>
    <row r="11" spans="1:13" x14ac:dyDescent="0.2">
      <c r="A11">
        <v>52892</v>
      </c>
      <c r="B11" t="s">
        <v>37</v>
      </c>
      <c r="C11" t="s">
        <v>758</v>
      </c>
      <c r="D11">
        <v>21883</v>
      </c>
      <c r="F11" s="5">
        <v>42898</v>
      </c>
      <c r="G11" t="s">
        <v>41</v>
      </c>
      <c r="H11">
        <v>8</v>
      </c>
      <c r="I11">
        <v>40</v>
      </c>
      <c r="J11">
        <v>172</v>
      </c>
      <c r="K11">
        <v>2000</v>
      </c>
      <c r="L11" t="s">
        <v>37</v>
      </c>
      <c r="M11" t="s">
        <v>759</v>
      </c>
    </row>
    <row r="12" spans="1:13" x14ac:dyDescent="0.2">
      <c r="A12">
        <v>52893</v>
      </c>
      <c r="B12" t="s">
        <v>37</v>
      </c>
      <c r="C12" t="s">
        <v>760</v>
      </c>
      <c r="D12">
        <v>21883</v>
      </c>
      <c r="F12" s="5">
        <v>43175</v>
      </c>
      <c r="G12" t="s">
        <v>41</v>
      </c>
      <c r="H12">
        <v>8</v>
      </c>
      <c r="I12">
        <v>40</v>
      </c>
      <c r="J12">
        <v>172</v>
      </c>
      <c r="K12">
        <v>2000</v>
      </c>
      <c r="L12" t="s">
        <v>37</v>
      </c>
      <c r="M12" t="s">
        <v>761</v>
      </c>
    </row>
    <row r="13" spans="1:13" x14ac:dyDescent="0.2">
      <c r="A13">
        <v>52894</v>
      </c>
      <c r="B13" t="s">
        <v>37</v>
      </c>
      <c r="C13" t="s">
        <v>762</v>
      </c>
      <c r="D13">
        <v>21883</v>
      </c>
      <c r="F13" s="5">
        <v>42902</v>
      </c>
      <c r="G13" t="s">
        <v>41</v>
      </c>
      <c r="H13">
        <v>8</v>
      </c>
      <c r="I13">
        <v>56</v>
      </c>
      <c r="J13">
        <v>172</v>
      </c>
      <c r="K13">
        <v>2000</v>
      </c>
      <c r="L13" t="s">
        <v>37</v>
      </c>
      <c r="M13" t="s">
        <v>763</v>
      </c>
    </row>
    <row r="14" spans="1:13" x14ac:dyDescent="0.2">
      <c r="A14">
        <v>52895</v>
      </c>
      <c r="B14" t="s">
        <v>37</v>
      </c>
      <c r="C14" t="s">
        <v>764</v>
      </c>
      <c r="D14">
        <v>21883</v>
      </c>
      <c r="G14" t="s">
        <v>41</v>
      </c>
      <c r="H14">
        <v>8</v>
      </c>
      <c r="I14">
        <v>56</v>
      </c>
      <c r="J14">
        <v>172</v>
      </c>
      <c r="K14">
        <v>2000</v>
      </c>
      <c r="L14" t="s">
        <v>37</v>
      </c>
      <c r="M14" t="s">
        <v>765</v>
      </c>
    </row>
    <row r="15" spans="1:13" x14ac:dyDescent="0.2">
      <c r="A15">
        <v>52896</v>
      </c>
      <c r="B15" t="s">
        <v>37</v>
      </c>
      <c r="C15" t="s">
        <v>766</v>
      </c>
      <c r="D15">
        <v>21883</v>
      </c>
      <c r="G15" t="s">
        <v>41</v>
      </c>
      <c r="H15">
        <v>8</v>
      </c>
      <c r="I15">
        <v>40</v>
      </c>
      <c r="J15">
        <v>172</v>
      </c>
      <c r="K15">
        <v>2000</v>
      </c>
      <c r="L15" t="s">
        <v>37</v>
      </c>
      <c r="M15" t="s">
        <v>755</v>
      </c>
    </row>
    <row r="16" spans="1:13" x14ac:dyDescent="0.2">
      <c r="A16">
        <v>52897</v>
      </c>
      <c r="B16" t="s">
        <v>37</v>
      </c>
      <c r="C16" t="s">
        <v>767</v>
      </c>
      <c r="D16">
        <v>21883</v>
      </c>
      <c r="F16" s="5">
        <v>44005</v>
      </c>
      <c r="G16" t="s">
        <v>41</v>
      </c>
      <c r="H16">
        <v>8</v>
      </c>
      <c r="I16">
        <v>40</v>
      </c>
      <c r="J16">
        <v>172</v>
      </c>
      <c r="K16">
        <v>2000</v>
      </c>
      <c r="L16" t="s">
        <v>37</v>
      </c>
      <c r="M16" t="s">
        <v>768</v>
      </c>
    </row>
    <row r="17" spans="1:13" x14ac:dyDescent="0.2">
      <c r="A17">
        <v>52898</v>
      </c>
      <c r="B17" t="s">
        <v>37</v>
      </c>
      <c r="C17" t="s">
        <v>769</v>
      </c>
      <c r="D17">
        <v>21883</v>
      </c>
      <c r="F17" s="5">
        <v>43273</v>
      </c>
      <c r="G17" t="s">
        <v>41</v>
      </c>
      <c r="H17">
        <v>8</v>
      </c>
      <c r="I17">
        <v>40</v>
      </c>
      <c r="J17">
        <v>172</v>
      </c>
      <c r="K17">
        <v>2000</v>
      </c>
      <c r="L17" t="s">
        <v>37</v>
      </c>
      <c r="M17" t="s">
        <v>770</v>
      </c>
    </row>
    <row r="18" spans="1:13" x14ac:dyDescent="0.2">
      <c r="A18">
        <v>52899</v>
      </c>
      <c r="B18" t="s">
        <v>37</v>
      </c>
      <c r="C18" t="s">
        <v>745</v>
      </c>
      <c r="D18">
        <v>21883</v>
      </c>
      <c r="F18" s="5">
        <v>44005</v>
      </c>
      <c r="G18" t="s">
        <v>41</v>
      </c>
      <c r="H18">
        <v>8</v>
      </c>
      <c r="I18">
        <v>40</v>
      </c>
      <c r="J18">
        <v>172</v>
      </c>
      <c r="K18">
        <v>2000</v>
      </c>
      <c r="L18" t="s">
        <v>37</v>
      </c>
      <c r="M18" t="s">
        <v>771</v>
      </c>
    </row>
    <row r="19" spans="1:13" x14ac:dyDescent="0.2">
      <c r="A19">
        <v>666</v>
      </c>
      <c r="B19" t="s">
        <v>40</v>
      </c>
      <c r="C19" t="s">
        <v>6762</v>
      </c>
      <c r="F19">
        <v>43439</v>
      </c>
      <c r="G19" t="s">
        <v>38</v>
      </c>
      <c r="H19">
        <v>8</v>
      </c>
      <c r="I19">
        <v>40</v>
      </c>
      <c r="J19">
        <v>172</v>
      </c>
      <c r="K19">
        <v>2000</v>
      </c>
      <c r="L19" t="s">
        <v>37</v>
      </c>
      <c r="M19" t="s">
        <v>6763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544D-40E1-4EE4-9866-3945166E2F00}">
  <sheetPr codeName="Sheet5"/>
  <dimension ref="A1:K19"/>
  <sheetViews>
    <sheetView workbookViewId="0"/>
  </sheetViews>
  <sheetFormatPr defaultRowHeight="14.25" x14ac:dyDescent="0.2"/>
  <sheetData>
    <row r="1" spans="1:11" x14ac:dyDescent="0.2">
      <c r="A1" t="s">
        <v>42</v>
      </c>
    </row>
    <row r="2" spans="1:11" x14ac:dyDescent="0.2">
      <c r="A2" t="s">
        <v>43</v>
      </c>
      <c r="B2" t="s">
        <v>44</v>
      </c>
      <c r="C2" t="s">
        <v>45</v>
      </c>
      <c r="D2" t="s">
        <v>46</v>
      </c>
      <c r="E2" t="s">
        <v>47</v>
      </c>
      <c r="F2" t="s">
        <v>48</v>
      </c>
      <c r="G2" t="s">
        <v>49</v>
      </c>
      <c r="H2" t="s">
        <v>50</v>
      </c>
      <c r="I2" t="s">
        <v>51</v>
      </c>
      <c r="J2" t="s">
        <v>52</v>
      </c>
      <c r="K2" t="s">
        <v>53</v>
      </c>
    </row>
    <row r="3" spans="1:11" x14ac:dyDescent="0.2">
      <c r="A3">
        <v>1</v>
      </c>
      <c r="B3">
        <v>2</v>
      </c>
      <c r="C3" t="s">
        <v>54</v>
      </c>
      <c r="D3" t="s">
        <v>55</v>
      </c>
      <c r="E3" t="s">
        <v>56</v>
      </c>
      <c r="F3" t="s">
        <v>57</v>
      </c>
      <c r="G3" t="s">
        <v>58</v>
      </c>
      <c r="H3" t="s">
        <v>59</v>
      </c>
      <c r="I3" t="s">
        <v>60</v>
      </c>
      <c r="J3">
        <v>3</v>
      </c>
      <c r="K3">
        <v>1</v>
      </c>
    </row>
    <row r="4" spans="1:11" x14ac:dyDescent="0.2">
      <c r="A4">
        <v>10</v>
      </c>
      <c r="B4">
        <v>2</v>
      </c>
      <c r="C4" t="s">
        <v>54</v>
      </c>
      <c r="D4" t="s">
        <v>55</v>
      </c>
      <c r="E4" t="s">
        <v>56</v>
      </c>
      <c r="F4" t="s">
        <v>57</v>
      </c>
      <c r="G4" t="s">
        <v>58</v>
      </c>
      <c r="H4" t="s">
        <v>61</v>
      </c>
      <c r="I4" t="s">
        <v>62</v>
      </c>
      <c r="J4">
        <v>3</v>
      </c>
      <c r="K4">
        <v>3.077</v>
      </c>
    </row>
    <row r="5" spans="1:11" x14ac:dyDescent="0.2">
      <c r="A5">
        <v>11</v>
      </c>
      <c r="B5">
        <v>2</v>
      </c>
      <c r="C5" t="s">
        <v>63</v>
      </c>
      <c r="D5" t="s">
        <v>55</v>
      </c>
      <c r="E5" t="s">
        <v>56</v>
      </c>
      <c r="F5" t="s">
        <v>57</v>
      </c>
      <c r="G5" t="s">
        <v>58</v>
      </c>
      <c r="H5" t="s">
        <v>64</v>
      </c>
      <c r="I5" t="s">
        <v>65</v>
      </c>
      <c r="J5">
        <v>3</v>
      </c>
      <c r="K5">
        <v>1.208</v>
      </c>
    </row>
    <row r="6" spans="1:11" x14ac:dyDescent="0.2">
      <c r="A6">
        <v>13</v>
      </c>
      <c r="B6">
        <v>2</v>
      </c>
      <c r="C6" t="s">
        <v>66</v>
      </c>
      <c r="D6" t="s">
        <v>55</v>
      </c>
      <c r="E6" t="s">
        <v>56</v>
      </c>
      <c r="F6" t="s">
        <v>57</v>
      </c>
      <c r="G6" t="s">
        <v>58</v>
      </c>
      <c r="H6" t="s">
        <v>67</v>
      </c>
      <c r="I6" t="s">
        <v>68</v>
      </c>
      <c r="J6">
        <v>3</v>
      </c>
      <c r="K6">
        <v>2.0139999999999998</v>
      </c>
    </row>
    <row r="7" spans="1:11" x14ac:dyDescent="0.2">
      <c r="A7">
        <v>14</v>
      </c>
      <c r="B7">
        <v>2</v>
      </c>
      <c r="C7" t="s">
        <v>69</v>
      </c>
      <c r="D7" t="s">
        <v>55</v>
      </c>
      <c r="E7" t="s">
        <v>56</v>
      </c>
      <c r="F7" t="s">
        <v>57</v>
      </c>
      <c r="G7" t="s">
        <v>58</v>
      </c>
      <c r="H7" t="s">
        <v>70</v>
      </c>
      <c r="I7" t="s">
        <v>71</v>
      </c>
      <c r="J7">
        <v>3</v>
      </c>
      <c r="K7">
        <v>0.50176200000000004</v>
      </c>
    </row>
    <row r="8" spans="1:11" x14ac:dyDescent="0.2">
      <c r="A8">
        <v>15</v>
      </c>
      <c r="B8">
        <v>2</v>
      </c>
      <c r="C8" t="s">
        <v>72</v>
      </c>
      <c r="D8" t="s">
        <v>55</v>
      </c>
      <c r="E8" t="s">
        <v>56</v>
      </c>
      <c r="F8" t="s">
        <v>57</v>
      </c>
      <c r="G8" t="s">
        <v>58</v>
      </c>
      <c r="H8" t="s">
        <v>73</v>
      </c>
      <c r="I8" t="s">
        <v>74</v>
      </c>
      <c r="J8">
        <v>3</v>
      </c>
      <c r="K8">
        <v>1.1057300000000001</v>
      </c>
    </row>
    <row r="9" spans="1:11" x14ac:dyDescent="0.2">
      <c r="A9">
        <v>16</v>
      </c>
      <c r="B9">
        <v>2</v>
      </c>
      <c r="C9" t="s">
        <v>40</v>
      </c>
      <c r="D9" t="s">
        <v>55</v>
      </c>
      <c r="E9" t="s">
        <v>56</v>
      </c>
      <c r="F9" t="s">
        <v>57</v>
      </c>
      <c r="G9" t="s">
        <v>58</v>
      </c>
      <c r="H9" t="s">
        <v>75</v>
      </c>
      <c r="I9" t="s">
        <v>76</v>
      </c>
      <c r="J9">
        <v>3</v>
      </c>
      <c r="K9">
        <v>7.694</v>
      </c>
    </row>
    <row r="10" spans="1:11" x14ac:dyDescent="0.2">
      <c r="A10">
        <v>17</v>
      </c>
      <c r="B10">
        <v>2</v>
      </c>
      <c r="C10" t="s">
        <v>77</v>
      </c>
      <c r="D10" t="s">
        <v>55</v>
      </c>
      <c r="E10" t="s">
        <v>56</v>
      </c>
      <c r="F10" t="s">
        <v>57</v>
      </c>
      <c r="G10" t="s">
        <v>58</v>
      </c>
      <c r="H10" t="s">
        <v>78</v>
      </c>
      <c r="I10" t="s">
        <v>79</v>
      </c>
      <c r="J10">
        <v>3</v>
      </c>
      <c r="K10">
        <v>0.73908799999999997</v>
      </c>
    </row>
    <row r="11" spans="1:11" x14ac:dyDescent="0.2">
      <c r="A11">
        <v>20</v>
      </c>
      <c r="B11">
        <v>2</v>
      </c>
      <c r="C11" t="s">
        <v>80</v>
      </c>
      <c r="D11" t="s">
        <v>55</v>
      </c>
      <c r="E11" t="s">
        <v>56</v>
      </c>
      <c r="F11" t="s">
        <v>57</v>
      </c>
      <c r="G11" t="s">
        <v>58</v>
      </c>
      <c r="H11" t="s">
        <v>81</v>
      </c>
      <c r="I11" t="s">
        <v>82</v>
      </c>
      <c r="J11">
        <v>3</v>
      </c>
      <c r="K11">
        <v>7.8196700000000003</v>
      </c>
    </row>
    <row r="12" spans="1:11" x14ac:dyDescent="0.2">
      <c r="A12">
        <v>21</v>
      </c>
      <c r="B12">
        <v>2</v>
      </c>
      <c r="C12" t="s">
        <v>83</v>
      </c>
      <c r="D12" t="s">
        <v>55</v>
      </c>
      <c r="E12" t="s">
        <v>56</v>
      </c>
      <c r="F12" t="s">
        <v>57</v>
      </c>
      <c r="G12" t="s">
        <v>58</v>
      </c>
      <c r="H12" t="s">
        <v>84</v>
      </c>
      <c r="I12" t="s">
        <v>85</v>
      </c>
      <c r="J12">
        <v>3</v>
      </c>
      <c r="K12">
        <v>40.67</v>
      </c>
    </row>
    <row r="13" spans="1:11" x14ac:dyDescent="0.2">
      <c r="A13">
        <v>23</v>
      </c>
      <c r="B13">
        <v>2</v>
      </c>
      <c r="C13" t="s">
        <v>86</v>
      </c>
      <c r="D13" t="s">
        <v>55</v>
      </c>
      <c r="E13" t="s">
        <v>56</v>
      </c>
      <c r="F13" t="s">
        <v>57</v>
      </c>
      <c r="G13" t="s">
        <v>58</v>
      </c>
      <c r="H13" t="s">
        <v>87</v>
      </c>
      <c r="I13" t="s">
        <v>88</v>
      </c>
      <c r="J13">
        <v>3</v>
      </c>
      <c r="K13">
        <v>120.167</v>
      </c>
    </row>
    <row r="14" spans="1:11" x14ac:dyDescent="0.2">
      <c r="A14">
        <v>24</v>
      </c>
      <c r="B14">
        <v>2</v>
      </c>
      <c r="C14" t="s">
        <v>89</v>
      </c>
      <c r="D14" t="s">
        <v>55</v>
      </c>
      <c r="E14" t="s">
        <v>56</v>
      </c>
      <c r="F14" t="s">
        <v>57</v>
      </c>
      <c r="G14" t="s">
        <v>58</v>
      </c>
      <c r="H14" t="s">
        <v>90</v>
      </c>
      <c r="I14" t="s">
        <v>91</v>
      </c>
      <c r="J14">
        <v>3</v>
      </c>
      <c r="K14">
        <v>924.74300000000005</v>
      </c>
    </row>
    <row r="15" spans="1:11" x14ac:dyDescent="0.2">
      <c r="A15">
        <v>25</v>
      </c>
      <c r="B15">
        <v>2</v>
      </c>
      <c r="C15" t="s">
        <v>92</v>
      </c>
      <c r="D15" t="s">
        <v>55</v>
      </c>
      <c r="E15" t="s">
        <v>56</v>
      </c>
      <c r="F15" t="s">
        <v>57</v>
      </c>
      <c r="G15" t="s">
        <v>58</v>
      </c>
      <c r="H15" t="s">
        <v>93</v>
      </c>
      <c r="I15" t="s">
        <v>94</v>
      </c>
      <c r="J15">
        <v>3</v>
      </c>
      <c r="K15">
        <v>10.793799999999999</v>
      </c>
    </row>
    <row r="16" spans="1:11" x14ac:dyDescent="0.2">
      <c r="A16">
        <v>26</v>
      </c>
      <c r="B16">
        <v>2</v>
      </c>
      <c r="C16" t="s">
        <v>95</v>
      </c>
      <c r="D16" t="s">
        <v>55</v>
      </c>
      <c r="E16" t="s">
        <v>56</v>
      </c>
      <c r="F16" t="s">
        <v>57</v>
      </c>
      <c r="G16" t="s">
        <v>58</v>
      </c>
      <c r="H16" t="s">
        <v>96</v>
      </c>
      <c r="I16" t="s">
        <v>97</v>
      </c>
      <c r="J16">
        <v>3</v>
      </c>
      <c r="K16">
        <v>25.808499999999999</v>
      </c>
    </row>
    <row r="17" spans="1:11" x14ac:dyDescent="0.2">
      <c r="A17">
        <v>28</v>
      </c>
      <c r="B17">
        <v>2</v>
      </c>
      <c r="C17" t="s">
        <v>98</v>
      </c>
      <c r="D17" t="s">
        <v>55</v>
      </c>
      <c r="E17" t="s">
        <v>56</v>
      </c>
      <c r="F17" t="s">
        <v>57</v>
      </c>
      <c r="G17" t="s">
        <v>58</v>
      </c>
      <c r="H17" t="s">
        <v>99</v>
      </c>
      <c r="I17" t="s">
        <v>100</v>
      </c>
      <c r="J17">
        <v>3</v>
      </c>
      <c r="K17">
        <v>6.80579</v>
      </c>
    </row>
    <row r="18" spans="1:11" x14ac:dyDescent="0.2">
      <c r="A18">
        <v>29</v>
      </c>
      <c r="B18">
        <v>2</v>
      </c>
      <c r="C18" t="s">
        <v>101</v>
      </c>
      <c r="D18" t="s">
        <v>55</v>
      </c>
      <c r="E18" t="s">
        <v>56</v>
      </c>
      <c r="F18" t="s">
        <v>57</v>
      </c>
      <c r="G18" t="s">
        <v>58</v>
      </c>
      <c r="H18" t="s">
        <v>102</v>
      </c>
      <c r="I18" t="s">
        <v>103</v>
      </c>
      <c r="J18">
        <v>3</v>
      </c>
      <c r="K18">
        <v>1.2186399999999999</v>
      </c>
    </row>
    <row r="19" spans="1:11" x14ac:dyDescent="0.2">
      <c r="A19">
        <v>30</v>
      </c>
      <c r="B19">
        <v>2</v>
      </c>
      <c r="C19" t="s">
        <v>104</v>
      </c>
      <c r="D19" t="s">
        <v>55</v>
      </c>
      <c r="E19" t="s">
        <v>56</v>
      </c>
      <c r="F19" t="s">
        <v>57</v>
      </c>
      <c r="G19" t="s">
        <v>58</v>
      </c>
      <c r="H19" t="s">
        <v>105</v>
      </c>
      <c r="I19" t="s">
        <v>106</v>
      </c>
      <c r="J19">
        <v>3</v>
      </c>
      <c r="K19">
        <v>3.9638399999999998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23306-F619-4098-9EA5-409DE4B33CF6}">
  <sheetPr codeName="Sheet6"/>
  <dimension ref="A1:G4"/>
  <sheetViews>
    <sheetView workbookViewId="0"/>
  </sheetViews>
  <sheetFormatPr defaultRowHeight="14.25" x14ac:dyDescent="0.2"/>
  <sheetData>
    <row r="1" spans="1:7" x14ac:dyDescent="0.2">
      <c r="A1" t="s">
        <v>108</v>
      </c>
    </row>
    <row r="2" spans="1:7" x14ac:dyDescent="0.2">
      <c r="A2" t="s">
        <v>109</v>
      </c>
      <c r="B2" t="s">
        <v>7</v>
      </c>
      <c r="C2" t="s">
        <v>110</v>
      </c>
      <c r="D2" t="s">
        <v>111</v>
      </c>
      <c r="E2" t="s">
        <v>112</v>
      </c>
      <c r="F2" t="s">
        <v>113</v>
      </c>
      <c r="G2" t="s">
        <v>114</v>
      </c>
    </row>
    <row r="3" spans="1:7" x14ac:dyDescent="0.2">
      <c r="A3">
        <v>47</v>
      </c>
      <c r="B3">
        <v>500</v>
      </c>
      <c r="C3" t="s">
        <v>40</v>
      </c>
      <c r="D3" t="s">
        <v>40</v>
      </c>
      <c r="E3" t="s">
        <v>40</v>
      </c>
      <c r="F3" t="s">
        <v>40</v>
      </c>
      <c r="G3" t="s">
        <v>289</v>
      </c>
    </row>
    <row r="4" spans="1:7" x14ac:dyDescent="0.2">
      <c r="A4">
        <v>148</v>
      </c>
      <c r="B4">
        <v>0</v>
      </c>
      <c r="C4" t="s">
        <v>40</v>
      </c>
      <c r="D4" t="s">
        <v>40</v>
      </c>
      <c r="E4" t="s">
        <v>40</v>
      </c>
      <c r="F4" t="s">
        <v>40</v>
      </c>
      <c r="G4" t="s">
        <v>772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D3A2F-D3C2-4B8A-AB0D-9D60673D8057}">
  <sheetPr codeName="Sheet7"/>
  <dimension ref="A1:D9"/>
  <sheetViews>
    <sheetView workbookViewId="0"/>
  </sheetViews>
  <sheetFormatPr defaultRowHeight="14.25" x14ac:dyDescent="0.2"/>
  <sheetData>
    <row r="1" spans="1:4" x14ac:dyDescent="0.2">
      <c r="A1" t="s">
        <v>115</v>
      </c>
    </row>
    <row r="2" spans="1:4" x14ac:dyDescent="0.2">
      <c r="A2" t="s">
        <v>116</v>
      </c>
      <c r="B2" t="s">
        <v>7</v>
      </c>
      <c r="C2" t="s">
        <v>117</v>
      </c>
      <c r="D2" t="s">
        <v>118</v>
      </c>
    </row>
    <row r="3" spans="1:4" x14ac:dyDescent="0.2">
      <c r="A3">
        <v>11</v>
      </c>
      <c r="B3">
        <v>20005</v>
      </c>
      <c r="C3" t="s">
        <v>119</v>
      </c>
      <c r="D3" t="s">
        <v>120</v>
      </c>
    </row>
    <row r="4" spans="1:4" x14ac:dyDescent="0.2">
      <c r="A4">
        <v>12</v>
      </c>
      <c r="B4">
        <v>4</v>
      </c>
      <c r="C4" t="s">
        <v>121</v>
      </c>
      <c r="D4" t="s">
        <v>122</v>
      </c>
    </row>
    <row r="5" spans="1:4" x14ac:dyDescent="0.2">
      <c r="A5">
        <v>13</v>
      </c>
      <c r="B5">
        <v>3</v>
      </c>
      <c r="C5" t="s">
        <v>123</v>
      </c>
      <c r="D5" t="s">
        <v>124</v>
      </c>
    </row>
    <row r="6" spans="1:4" x14ac:dyDescent="0.2">
      <c r="A6">
        <v>100</v>
      </c>
      <c r="B6">
        <v>20004</v>
      </c>
      <c r="C6" t="s">
        <v>125</v>
      </c>
      <c r="D6" t="s">
        <v>126</v>
      </c>
    </row>
    <row r="7" spans="1:4" x14ac:dyDescent="0.2">
      <c r="A7">
        <v>105</v>
      </c>
      <c r="B7">
        <v>1</v>
      </c>
      <c r="C7" t="s">
        <v>127</v>
      </c>
      <c r="D7" t="s">
        <v>128</v>
      </c>
    </row>
    <row r="8" spans="1:4" x14ac:dyDescent="0.2">
      <c r="A8">
        <v>106</v>
      </c>
      <c r="B8">
        <v>2</v>
      </c>
      <c r="C8" t="s">
        <v>129</v>
      </c>
      <c r="D8" t="s">
        <v>130</v>
      </c>
    </row>
    <row r="9" spans="1:4" x14ac:dyDescent="0.2">
      <c r="A9">
        <v>107</v>
      </c>
      <c r="B9">
        <v>10004</v>
      </c>
      <c r="C9" t="s">
        <v>131</v>
      </c>
      <c r="D9" t="s">
        <v>132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BFBAE-6DC0-4450-8AA9-8B3B1A46FF5C}">
  <sheetPr codeName="Sheet8"/>
  <dimension ref="A1:F3"/>
  <sheetViews>
    <sheetView workbookViewId="0"/>
  </sheetViews>
  <sheetFormatPr defaultRowHeight="14.25" x14ac:dyDescent="0.2"/>
  <sheetData>
    <row r="1" spans="1:6" x14ac:dyDescent="0.2">
      <c r="A1" t="s">
        <v>133</v>
      </c>
    </row>
    <row r="2" spans="1:6" x14ac:dyDescent="0.2">
      <c r="A2" t="s">
        <v>134</v>
      </c>
      <c r="B2" t="s">
        <v>135</v>
      </c>
      <c r="C2" t="s">
        <v>136</v>
      </c>
      <c r="D2" t="s">
        <v>7</v>
      </c>
      <c r="E2" t="s">
        <v>137</v>
      </c>
      <c r="F2" t="s">
        <v>138</v>
      </c>
    </row>
    <row r="3" spans="1:6" x14ac:dyDescent="0.2">
      <c r="A3">
        <v>2160</v>
      </c>
      <c r="B3">
        <v>595</v>
      </c>
      <c r="C3" t="s">
        <v>773</v>
      </c>
      <c r="D3">
        <v>610</v>
      </c>
      <c r="E3">
        <v>1074</v>
      </c>
      <c r="F3" t="s">
        <v>774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38F97-3999-4E39-97AA-BAE63DB290DB}">
  <sheetPr codeName="Sheet9"/>
  <dimension ref="A1:CC3"/>
  <sheetViews>
    <sheetView workbookViewId="0"/>
  </sheetViews>
  <sheetFormatPr defaultRowHeight="14.25" x14ac:dyDescent="0.2"/>
  <sheetData>
    <row r="1" spans="1:81" x14ac:dyDescent="0.2">
      <c r="A1" t="s">
        <v>148</v>
      </c>
    </row>
    <row r="2" spans="1:81" x14ac:dyDescent="0.2">
      <c r="A2" t="s">
        <v>20</v>
      </c>
      <c r="B2" t="s">
        <v>149</v>
      </c>
      <c r="C2" t="s">
        <v>150</v>
      </c>
      <c r="D2" t="s">
        <v>151</v>
      </c>
      <c r="E2" t="s">
        <v>152</v>
      </c>
      <c r="F2" t="s">
        <v>153</v>
      </c>
      <c r="G2" t="s">
        <v>154</v>
      </c>
      <c r="H2" t="s">
        <v>155</v>
      </c>
      <c r="I2" t="s">
        <v>156</v>
      </c>
      <c r="J2" t="s">
        <v>157</v>
      </c>
      <c r="K2" t="s">
        <v>158</v>
      </c>
      <c r="L2" t="s">
        <v>159</v>
      </c>
      <c r="M2" t="s">
        <v>160</v>
      </c>
      <c r="N2" t="s">
        <v>139</v>
      </c>
      <c r="O2" t="s">
        <v>161</v>
      </c>
      <c r="P2" t="s">
        <v>162</v>
      </c>
      <c r="Q2" t="s">
        <v>163</v>
      </c>
      <c r="R2" t="s">
        <v>25</v>
      </c>
      <c r="S2" t="s">
        <v>164</v>
      </c>
      <c r="T2" t="s">
        <v>165</v>
      </c>
      <c r="U2" t="s">
        <v>166</v>
      </c>
      <c r="V2" t="s">
        <v>167</v>
      </c>
      <c r="W2" t="s">
        <v>168</v>
      </c>
      <c r="X2" t="s">
        <v>169</v>
      </c>
      <c r="Y2" t="s">
        <v>170</v>
      </c>
      <c r="Z2" t="s">
        <v>171</v>
      </c>
      <c r="AA2" t="s">
        <v>172</v>
      </c>
      <c r="AB2" t="s">
        <v>173</v>
      </c>
      <c r="AC2" t="s">
        <v>174</v>
      </c>
      <c r="AD2" t="s">
        <v>175</v>
      </c>
      <c r="AE2" t="s">
        <v>176</v>
      </c>
      <c r="AF2" t="s">
        <v>177</v>
      </c>
      <c r="AG2" t="s">
        <v>178</v>
      </c>
      <c r="AH2" t="s">
        <v>179</v>
      </c>
      <c r="AI2" t="s">
        <v>180</v>
      </c>
      <c r="AJ2" t="s">
        <v>181</v>
      </c>
      <c r="AK2" t="s">
        <v>136</v>
      </c>
      <c r="AL2" t="s">
        <v>182</v>
      </c>
      <c r="AM2" t="s">
        <v>183</v>
      </c>
      <c r="AN2" t="s">
        <v>184</v>
      </c>
      <c r="AO2" t="s">
        <v>185</v>
      </c>
      <c r="AP2" t="s">
        <v>186</v>
      </c>
      <c r="AQ2" t="s">
        <v>187</v>
      </c>
      <c r="AR2" t="s">
        <v>188</v>
      </c>
      <c r="AS2" t="s">
        <v>189</v>
      </c>
      <c r="AT2" t="s">
        <v>190</v>
      </c>
      <c r="AU2" t="s">
        <v>191</v>
      </c>
      <c r="AV2" t="s">
        <v>192</v>
      </c>
      <c r="AW2" t="s">
        <v>193</v>
      </c>
      <c r="AX2" t="s">
        <v>194</v>
      </c>
      <c r="AY2" t="s">
        <v>195</v>
      </c>
      <c r="AZ2" t="s">
        <v>196</v>
      </c>
      <c r="BA2" t="s">
        <v>197</v>
      </c>
      <c r="BB2" t="s">
        <v>198</v>
      </c>
      <c r="BC2" t="s">
        <v>199</v>
      </c>
      <c r="BD2" t="s">
        <v>200</v>
      </c>
      <c r="BE2" t="s">
        <v>201</v>
      </c>
      <c r="BF2" t="s">
        <v>202</v>
      </c>
      <c r="BG2" t="s">
        <v>203</v>
      </c>
      <c r="BH2" t="s">
        <v>204</v>
      </c>
      <c r="BI2" t="s">
        <v>205</v>
      </c>
      <c r="BJ2" t="s">
        <v>206</v>
      </c>
      <c r="BK2" t="s">
        <v>207</v>
      </c>
      <c r="BL2" t="s">
        <v>208</v>
      </c>
      <c r="BM2" t="s">
        <v>209</v>
      </c>
      <c r="BN2" t="s">
        <v>210</v>
      </c>
      <c r="BO2" t="s">
        <v>211</v>
      </c>
      <c r="BP2" t="s">
        <v>212</v>
      </c>
      <c r="BQ2" t="s">
        <v>213</v>
      </c>
      <c r="BR2" t="s">
        <v>214</v>
      </c>
      <c r="BS2" t="s">
        <v>215</v>
      </c>
      <c r="BT2" t="s">
        <v>216</v>
      </c>
      <c r="BU2" t="s">
        <v>217</v>
      </c>
      <c r="BV2" t="s">
        <v>218</v>
      </c>
      <c r="BW2" t="s">
        <v>219</v>
      </c>
      <c r="BX2" t="s">
        <v>220</v>
      </c>
      <c r="BY2" t="s">
        <v>221</v>
      </c>
      <c r="BZ2" t="s">
        <v>222</v>
      </c>
      <c r="CA2" t="s">
        <v>223</v>
      </c>
      <c r="CB2" t="s">
        <v>224</v>
      </c>
      <c r="CC2" t="s">
        <v>225</v>
      </c>
    </row>
    <row r="3" spans="1:81" x14ac:dyDescent="0.2">
      <c r="A3">
        <v>21883</v>
      </c>
      <c r="B3">
        <v>1</v>
      </c>
      <c r="C3" t="s">
        <v>40</v>
      </c>
      <c r="D3" t="s">
        <v>40</v>
      </c>
      <c r="E3" t="s">
        <v>40</v>
      </c>
      <c r="F3" t="s">
        <v>37</v>
      </c>
      <c r="G3" t="s">
        <v>40</v>
      </c>
      <c r="H3" t="s">
        <v>37</v>
      </c>
      <c r="I3" t="s">
        <v>37</v>
      </c>
      <c r="J3" t="s">
        <v>40</v>
      </c>
      <c r="K3" t="s">
        <v>55</v>
      </c>
      <c r="L3" t="s">
        <v>775</v>
      </c>
      <c r="M3" t="s">
        <v>776</v>
      </c>
      <c r="R3">
        <v>15320</v>
      </c>
      <c r="S3">
        <v>21884</v>
      </c>
      <c r="T3">
        <v>1000</v>
      </c>
      <c r="U3">
        <v>10</v>
      </c>
      <c r="V3">
        <v>10</v>
      </c>
      <c r="W3">
        <v>2</v>
      </c>
      <c r="X3">
        <v>500</v>
      </c>
      <c r="Z3">
        <v>0</v>
      </c>
      <c r="AA3">
        <v>0</v>
      </c>
      <c r="AB3" s="5">
        <v>44044</v>
      </c>
      <c r="AC3" s="5">
        <v>42913</v>
      </c>
      <c r="AD3" s="5">
        <v>44307</v>
      </c>
      <c r="AE3" s="5">
        <v>44326.666666666664</v>
      </c>
      <c r="AF3" s="5">
        <v>44048.176388888889</v>
      </c>
      <c r="AI3" t="s">
        <v>226</v>
      </c>
      <c r="AJ3" t="s">
        <v>227</v>
      </c>
      <c r="AK3" t="s">
        <v>777</v>
      </c>
      <c r="AL3" t="s">
        <v>228</v>
      </c>
      <c r="AM3" t="s">
        <v>778</v>
      </c>
      <c r="AP3" t="s">
        <v>229</v>
      </c>
      <c r="AQ3" t="s">
        <v>37</v>
      </c>
      <c r="AR3" t="s">
        <v>40</v>
      </c>
      <c r="AS3" t="s">
        <v>230</v>
      </c>
      <c r="AT3" t="s">
        <v>40</v>
      </c>
      <c r="AU3" t="s">
        <v>231</v>
      </c>
      <c r="AV3" t="s">
        <v>40</v>
      </c>
      <c r="AW3" t="s">
        <v>40</v>
      </c>
      <c r="AX3" t="s">
        <v>40</v>
      </c>
      <c r="AY3" t="s">
        <v>40</v>
      </c>
      <c r="AZ3" t="s">
        <v>37</v>
      </c>
      <c r="BA3" t="s">
        <v>37</v>
      </c>
      <c r="BB3" t="s">
        <v>232</v>
      </c>
      <c r="BI3" s="5">
        <v>44048.178472222222</v>
      </c>
      <c r="BJ3" t="s">
        <v>37</v>
      </c>
      <c r="BL3">
        <v>50</v>
      </c>
      <c r="BM3" t="s">
        <v>37</v>
      </c>
      <c r="BN3" t="s">
        <v>233</v>
      </c>
      <c r="BO3" t="s">
        <v>234</v>
      </c>
      <c r="BR3">
        <v>7</v>
      </c>
      <c r="BS3" t="s">
        <v>40</v>
      </c>
      <c r="BW3" t="s">
        <v>37</v>
      </c>
      <c r="BX3" t="s">
        <v>235</v>
      </c>
      <c r="BY3">
        <v>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9F6F0-3D55-4A38-88C2-5979F9258B37}">
  <sheetPr codeName="Sheet10"/>
  <dimension ref="A1:AA190"/>
  <sheetViews>
    <sheetView workbookViewId="0"/>
  </sheetViews>
  <sheetFormatPr defaultRowHeight="14.25" x14ac:dyDescent="0.2"/>
  <sheetData>
    <row r="1" spans="1:27" x14ac:dyDescent="0.2">
      <c r="A1" t="s">
        <v>236</v>
      </c>
    </row>
    <row r="2" spans="1:27" x14ac:dyDescent="0.2">
      <c r="A2" t="s">
        <v>21</v>
      </c>
      <c r="B2" t="s">
        <v>20</v>
      </c>
      <c r="C2" t="s">
        <v>134</v>
      </c>
      <c r="D2" t="s">
        <v>7</v>
      </c>
      <c r="E2" t="s">
        <v>237</v>
      </c>
      <c r="F2" t="s">
        <v>238</v>
      </c>
      <c r="G2" t="s">
        <v>239</v>
      </c>
      <c r="H2" t="s">
        <v>240</v>
      </c>
      <c r="I2" t="s">
        <v>241</v>
      </c>
      <c r="J2" t="s">
        <v>242</v>
      </c>
      <c r="K2" t="s">
        <v>243</v>
      </c>
      <c r="L2" t="s">
        <v>244</v>
      </c>
      <c r="M2" t="s">
        <v>245</v>
      </c>
      <c r="N2" t="s">
        <v>246</v>
      </c>
      <c r="O2" t="s">
        <v>247</v>
      </c>
      <c r="P2" t="s">
        <v>248</v>
      </c>
      <c r="Q2" t="s">
        <v>249</v>
      </c>
      <c r="R2" t="s">
        <v>250</v>
      </c>
      <c r="S2" t="s">
        <v>251</v>
      </c>
      <c r="T2" t="s">
        <v>252</v>
      </c>
      <c r="U2" t="s">
        <v>253</v>
      </c>
      <c r="V2" t="s">
        <v>254</v>
      </c>
      <c r="W2" t="s">
        <v>255</v>
      </c>
      <c r="X2" t="s">
        <v>136</v>
      </c>
      <c r="Y2" t="s">
        <v>256</v>
      </c>
      <c r="Z2" t="s">
        <v>257</v>
      </c>
      <c r="AA2" t="s">
        <v>258</v>
      </c>
    </row>
    <row r="3" spans="1:27" x14ac:dyDescent="0.2">
      <c r="A3">
        <v>523837</v>
      </c>
      <c r="B3">
        <v>21883</v>
      </c>
      <c r="C3">
        <v>2160</v>
      </c>
      <c r="D3">
        <v>1202</v>
      </c>
      <c r="E3">
        <v>1</v>
      </c>
      <c r="F3" t="s">
        <v>37</v>
      </c>
      <c r="G3" t="s">
        <v>37</v>
      </c>
      <c r="H3" t="s">
        <v>259</v>
      </c>
      <c r="I3">
        <v>8</v>
      </c>
      <c r="J3" t="s">
        <v>779</v>
      </c>
      <c r="L3">
        <v>523990</v>
      </c>
      <c r="M3">
        <v>6</v>
      </c>
      <c r="N3">
        <v>0.88</v>
      </c>
      <c r="O3">
        <v>0</v>
      </c>
      <c r="P3">
        <v>0</v>
      </c>
      <c r="V3" t="s">
        <v>260</v>
      </c>
      <c r="W3" t="s">
        <v>261</v>
      </c>
      <c r="X3" t="s">
        <v>780</v>
      </c>
    </row>
    <row r="4" spans="1:27" x14ac:dyDescent="0.2">
      <c r="A4">
        <v>523838</v>
      </c>
      <c r="B4">
        <v>21883</v>
      </c>
      <c r="C4">
        <v>2160</v>
      </c>
      <c r="D4">
        <v>2305</v>
      </c>
      <c r="E4">
        <v>1</v>
      </c>
      <c r="F4" t="s">
        <v>37</v>
      </c>
      <c r="G4" t="s">
        <v>37</v>
      </c>
      <c r="H4" t="s">
        <v>259</v>
      </c>
      <c r="I4">
        <v>2</v>
      </c>
      <c r="J4" t="s">
        <v>781</v>
      </c>
      <c r="L4">
        <v>523877</v>
      </c>
      <c r="M4">
        <v>6</v>
      </c>
      <c r="N4">
        <v>0.88</v>
      </c>
      <c r="O4">
        <v>0</v>
      </c>
      <c r="P4">
        <v>0</v>
      </c>
      <c r="V4" t="s">
        <v>260</v>
      </c>
      <c r="W4" t="s">
        <v>261</v>
      </c>
      <c r="X4" t="s">
        <v>782</v>
      </c>
      <c r="Y4" t="s">
        <v>783</v>
      </c>
    </row>
    <row r="5" spans="1:27" x14ac:dyDescent="0.2">
      <c r="A5">
        <v>523839</v>
      </c>
      <c r="B5">
        <v>21883</v>
      </c>
      <c r="C5">
        <v>2160</v>
      </c>
      <c r="D5">
        <v>2205</v>
      </c>
      <c r="E5">
        <v>1</v>
      </c>
      <c r="F5" t="s">
        <v>37</v>
      </c>
      <c r="G5" t="s">
        <v>37</v>
      </c>
      <c r="H5" t="s">
        <v>259</v>
      </c>
      <c r="I5">
        <v>1</v>
      </c>
      <c r="J5" t="s">
        <v>784</v>
      </c>
      <c r="L5">
        <v>523877</v>
      </c>
      <c r="M5">
        <v>6</v>
      </c>
      <c r="N5">
        <v>0.88</v>
      </c>
      <c r="O5">
        <v>0</v>
      </c>
      <c r="P5">
        <v>0</v>
      </c>
      <c r="V5" t="s">
        <v>260</v>
      </c>
      <c r="W5" t="s">
        <v>261</v>
      </c>
      <c r="X5" t="s">
        <v>785</v>
      </c>
      <c r="Y5" t="s">
        <v>786</v>
      </c>
    </row>
    <row r="6" spans="1:27" x14ac:dyDescent="0.2">
      <c r="A6">
        <v>523840</v>
      </c>
      <c r="B6">
        <v>21883</v>
      </c>
      <c r="C6">
        <v>2160</v>
      </c>
      <c r="D6">
        <v>1703</v>
      </c>
      <c r="E6">
        <v>1</v>
      </c>
      <c r="F6" t="s">
        <v>37</v>
      </c>
      <c r="G6" t="s">
        <v>37</v>
      </c>
      <c r="H6" t="s">
        <v>259</v>
      </c>
      <c r="I6">
        <v>1</v>
      </c>
      <c r="J6" t="s">
        <v>787</v>
      </c>
      <c r="L6">
        <v>523901</v>
      </c>
      <c r="M6">
        <v>6</v>
      </c>
      <c r="N6">
        <v>0.88</v>
      </c>
      <c r="O6">
        <v>0</v>
      </c>
      <c r="P6">
        <v>0</v>
      </c>
      <c r="V6" t="s">
        <v>260</v>
      </c>
      <c r="W6" t="s">
        <v>261</v>
      </c>
      <c r="X6" t="s">
        <v>788</v>
      </c>
      <c r="Y6" t="s">
        <v>789</v>
      </c>
    </row>
    <row r="7" spans="1:27" x14ac:dyDescent="0.2">
      <c r="A7">
        <v>523841</v>
      </c>
      <c r="B7">
        <v>21883</v>
      </c>
      <c r="C7">
        <v>2160</v>
      </c>
      <c r="D7">
        <v>2405</v>
      </c>
      <c r="E7">
        <v>1</v>
      </c>
      <c r="F7" t="s">
        <v>37</v>
      </c>
      <c r="G7" t="s">
        <v>37</v>
      </c>
      <c r="H7" t="s">
        <v>259</v>
      </c>
      <c r="I7">
        <v>8</v>
      </c>
      <c r="J7" t="s">
        <v>790</v>
      </c>
      <c r="L7">
        <v>523907</v>
      </c>
      <c r="M7">
        <v>6</v>
      </c>
      <c r="N7">
        <v>0.88</v>
      </c>
      <c r="O7">
        <v>0</v>
      </c>
      <c r="P7">
        <v>0</v>
      </c>
      <c r="V7" t="s">
        <v>260</v>
      </c>
      <c r="W7" t="s">
        <v>261</v>
      </c>
      <c r="X7" t="s">
        <v>791</v>
      </c>
      <c r="Y7" t="s">
        <v>792</v>
      </c>
    </row>
    <row r="8" spans="1:27" x14ac:dyDescent="0.2">
      <c r="A8">
        <v>523842</v>
      </c>
      <c r="B8">
        <v>21883</v>
      </c>
      <c r="C8">
        <v>2160</v>
      </c>
      <c r="D8">
        <v>2305</v>
      </c>
      <c r="E8">
        <v>1</v>
      </c>
      <c r="F8" t="s">
        <v>37</v>
      </c>
      <c r="G8" t="s">
        <v>37</v>
      </c>
      <c r="H8" t="s">
        <v>259</v>
      </c>
      <c r="I8">
        <v>7</v>
      </c>
      <c r="J8" t="s">
        <v>793</v>
      </c>
      <c r="L8">
        <v>523907</v>
      </c>
      <c r="M8">
        <v>6</v>
      </c>
      <c r="N8">
        <v>0.88</v>
      </c>
      <c r="O8">
        <v>0</v>
      </c>
      <c r="P8">
        <v>0</v>
      </c>
      <c r="V8" t="s">
        <v>260</v>
      </c>
      <c r="W8" t="s">
        <v>261</v>
      </c>
      <c r="X8" t="s">
        <v>794</v>
      </c>
      <c r="Y8" t="s">
        <v>795</v>
      </c>
    </row>
    <row r="9" spans="1:27" x14ac:dyDescent="0.2">
      <c r="A9">
        <v>523843</v>
      </c>
      <c r="B9">
        <v>21883</v>
      </c>
      <c r="C9">
        <v>2160</v>
      </c>
      <c r="D9">
        <v>2205</v>
      </c>
      <c r="E9">
        <v>1</v>
      </c>
      <c r="F9" t="s">
        <v>37</v>
      </c>
      <c r="G9" t="s">
        <v>37</v>
      </c>
      <c r="H9" t="s">
        <v>259</v>
      </c>
      <c r="I9">
        <v>6</v>
      </c>
      <c r="J9" t="s">
        <v>796</v>
      </c>
      <c r="L9">
        <v>523907</v>
      </c>
      <c r="M9">
        <v>6</v>
      </c>
      <c r="N9">
        <v>0.88</v>
      </c>
      <c r="O9">
        <v>0</v>
      </c>
      <c r="P9">
        <v>0</v>
      </c>
      <c r="V9" t="s">
        <v>260</v>
      </c>
      <c r="W9" t="s">
        <v>261</v>
      </c>
      <c r="X9" t="s">
        <v>797</v>
      </c>
      <c r="Y9" t="s">
        <v>798</v>
      </c>
    </row>
    <row r="10" spans="1:27" x14ac:dyDescent="0.2">
      <c r="A10">
        <v>523844</v>
      </c>
      <c r="B10">
        <v>21883</v>
      </c>
      <c r="C10">
        <v>2160</v>
      </c>
      <c r="D10">
        <v>2105</v>
      </c>
      <c r="E10">
        <v>1</v>
      </c>
      <c r="F10" t="s">
        <v>37</v>
      </c>
      <c r="G10" t="s">
        <v>37</v>
      </c>
      <c r="H10" t="s">
        <v>259</v>
      </c>
      <c r="I10">
        <v>5</v>
      </c>
      <c r="J10" t="s">
        <v>799</v>
      </c>
      <c r="L10">
        <v>523907</v>
      </c>
      <c r="M10">
        <v>6</v>
      </c>
      <c r="N10">
        <v>0.88</v>
      </c>
      <c r="O10">
        <v>0</v>
      </c>
      <c r="P10">
        <v>0</v>
      </c>
      <c r="V10" t="s">
        <v>260</v>
      </c>
      <c r="W10" t="s">
        <v>261</v>
      </c>
      <c r="X10" t="s">
        <v>800</v>
      </c>
      <c r="Y10" t="s">
        <v>801</v>
      </c>
    </row>
    <row r="11" spans="1:27" x14ac:dyDescent="0.2">
      <c r="A11">
        <v>523845</v>
      </c>
      <c r="B11">
        <v>21883</v>
      </c>
      <c r="C11">
        <v>2160</v>
      </c>
      <c r="D11">
        <v>2005</v>
      </c>
      <c r="E11">
        <v>1</v>
      </c>
      <c r="F11" t="s">
        <v>37</v>
      </c>
      <c r="G11" t="s">
        <v>37</v>
      </c>
      <c r="H11" t="s">
        <v>259</v>
      </c>
      <c r="I11" t="s">
        <v>802</v>
      </c>
      <c r="J11" t="s">
        <v>803</v>
      </c>
      <c r="L11">
        <v>523907</v>
      </c>
      <c r="M11">
        <v>6</v>
      </c>
      <c r="N11">
        <v>0.88</v>
      </c>
      <c r="O11">
        <v>0</v>
      </c>
      <c r="P11">
        <v>0</v>
      </c>
      <c r="V11" t="s">
        <v>260</v>
      </c>
      <c r="W11" t="s">
        <v>261</v>
      </c>
      <c r="X11" t="s">
        <v>804</v>
      </c>
      <c r="Y11" t="s">
        <v>805</v>
      </c>
    </row>
    <row r="12" spans="1:27" x14ac:dyDescent="0.2">
      <c r="A12">
        <v>523846</v>
      </c>
      <c r="B12">
        <v>21883</v>
      </c>
      <c r="C12">
        <v>2160</v>
      </c>
      <c r="D12">
        <v>1905</v>
      </c>
      <c r="E12">
        <v>1</v>
      </c>
      <c r="F12" t="s">
        <v>37</v>
      </c>
      <c r="G12" t="s">
        <v>37</v>
      </c>
      <c r="H12" t="s">
        <v>259</v>
      </c>
      <c r="I12">
        <v>4</v>
      </c>
      <c r="J12" t="s">
        <v>806</v>
      </c>
      <c r="L12">
        <v>523907</v>
      </c>
      <c r="M12">
        <v>6</v>
      </c>
      <c r="N12">
        <v>0.88</v>
      </c>
      <c r="O12">
        <v>0</v>
      </c>
      <c r="P12">
        <v>0</v>
      </c>
      <c r="V12" t="s">
        <v>260</v>
      </c>
      <c r="W12" t="s">
        <v>261</v>
      </c>
      <c r="X12" t="s">
        <v>807</v>
      </c>
      <c r="Y12" t="s">
        <v>808</v>
      </c>
    </row>
    <row r="13" spans="1:27" x14ac:dyDescent="0.2">
      <c r="A13">
        <v>523847</v>
      </c>
      <c r="B13">
        <v>21883</v>
      </c>
      <c r="C13">
        <v>2160</v>
      </c>
      <c r="D13">
        <v>1805</v>
      </c>
      <c r="E13">
        <v>1</v>
      </c>
      <c r="F13" t="s">
        <v>37</v>
      </c>
      <c r="G13" t="s">
        <v>37</v>
      </c>
      <c r="H13" t="s">
        <v>259</v>
      </c>
      <c r="I13">
        <v>3</v>
      </c>
      <c r="J13" t="s">
        <v>809</v>
      </c>
      <c r="L13">
        <v>523907</v>
      </c>
      <c r="M13">
        <v>6</v>
      </c>
      <c r="N13">
        <v>0.88</v>
      </c>
      <c r="O13">
        <v>0</v>
      </c>
      <c r="P13">
        <v>0</v>
      </c>
      <c r="V13" t="s">
        <v>260</v>
      </c>
      <c r="W13" t="s">
        <v>261</v>
      </c>
      <c r="X13" t="s">
        <v>810</v>
      </c>
      <c r="Y13" t="s">
        <v>811</v>
      </c>
    </row>
    <row r="14" spans="1:27" x14ac:dyDescent="0.2">
      <c r="A14">
        <v>523848</v>
      </c>
      <c r="B14">
        <v>21883</v>
      </c>
      <c r="C14">
        <v>2160</v>
      </c>
      <c r="D14">
        <v>1705</v>
      </c>
      <c r="E14">
        <v>1</v>
      </c>
      <c r="F14" t="s">
        <v>37</v>
      </c>
      <c r="G14" t="s">
        <v>37</v>
      </c>
      <c r="H14" t="s">
        <v>259</v>
      </c>
      <c r="I14">
        <v>2</v>
      </c>
      <c r="J14" t="s">
        <v>812</v>
      </c>
      <c r="L14">
        <v>523907</v>
      </c>
      <c r="M14">
        <v>6</v>
      </c>
      <c r="N14">
        <v>0.88</v>
      </c>
      <c r="O14">
        <v>0</v>
      </c>
      <c r="P14">
        <v>0</v>
      </c>
      <c r="V14" t="s">
        <v>260</v>
      </c>
      <c r="W14" t="s">
        <v>261</v>
      </c>
      <c r="X14" t="s">
        <v>813</v>
      </c>
      <c r="Y14" t="s">
        <v>814</v>
      </c>
    </row>
    <row r="15" spans="1:27" x14ac:dyDescent="0.2">
      <c r="A15">
        <v>523849</v>
      </c>
      <c r="B15">
        <v>21883</v>
      </c>
      <c r="C15">
        <v>2160</v>
      </c>
      <c r="D15">
        <v>1605</v>
      </c>
      <c r="E15">
        <v>1</v>
      </c>
      <c r="F15" t="s">
        <v>37</v>
      </c>
      <c r="G15" t="s">
        <v>37</v>
      </c>
      <c r="H15" t="s">
        <v>259</v>
      </c>
      <c r="I15">
        <v>1</v>
      </c>
      <c r="J15" t="s">
        <v>815</v>
      </c>
      <c r="L15">
        <v>523907</v>
      </c>
      <c r="M15">
        <v>6</v>
      </c>
      <c r="N15">
        <v>0.88</v>
      </c>
      <c r="O15">
        <v>0</v>
      </c>
      <c r="P15">
        <v>0</v>
      </c>
      <c r="V15" t="s">
        <v>260</v>
      </c>
      <c r="W15" t="s">
        <v>261</v>
      </c>
      <c r="X15" t="s">
        <v>816</v>
      </c>
      <c r="Y15" t="s">
        <v>817</v>
      </c>
    </row>
    <row r="16" spans="1:27" x14ac:dyDescent="0.2">
      <c r="A16">
        <v>523850</v>
      </c>
      <c r="B16">
        <v>21883</v>
      </c>
      <c r="C16">
        <v>2160</v>
      </c>
      <c r="D16">
        <v>2204</v>
      </c>
      <c r="E16">
        <v>1</v>
      </c>
      <c r="F16" t="s">
        <v>37</v>
      </c>
      <c r="G16" t="s">
        <v>37</v>
      </c>
      <c r="H16" t="s">
        <v>259</v>
      </c>
      <c r="I16">
        <v>8</v>
      </c>
      <c r="J16" t="s">
        <v>818</v>
      </c>
      <c r="L16">
        <v>523908</v>
      </c>
      <c r="M16">
        <v>6</v>
      </c>
      <c r="N16">
        <v>0.88</v>
      </c>
      <c r="O16">
        <v>0</v>
      </c>
      <c r="P16">
        <v>0</v>
      </c>
      <c r="V16" t="s">
        <v>260</v>
      </c>
      <c r="W16" t="s">
        <v>261</v>
      </c>
      <c r="X16" t="s">
        <v>819</v>
      </c>
      <c r="Y16" t="s">
        <v>820</v>
      </c>
    </row>
    <row r="17" spans="1:25" x14ac:dyDescent="0.2">
      <c r="A17">
        <v>523851</v>
      </c>
      <c r="B17">
        <v>21883</v>
      </c>
      <c r="C17">
        <v>2160</v>
      </c>
      <c r="D17">
        <v>2104</v>
      </c>
      <c r="E17">
        <v>1</v>
      </c>
      <c r="F17" t="s">
        <v>37</v>
      </c>
      <c r="G17" t="s">
        <v>37</v>
      </c>
      <c r="H17" t="s">
        <v>259</v>
      </c>
      <c r="I17">
        <v>7</v>
      </c>
      <c r="J17" t="s">
        <v>821</v>
      </c>
      <c r="L17">
        <v>523908</v>
      </c>
      <c r="M17">
        <v>6</v>
      </c>
      <c r="N17">
        <v>0.88</v>
      </c>
      <c r="O17">
        <v>0</v>
      </c>
      <c r="P17">
        <v>0</v>
      </c>
      <c r="V17" t="s">
        <v>260</v>
      </c>
      <c r="W17" t="s">
        <v>261</v>
      </c>
      <c r="X17" t="s">
        <v>822</v>
      </c>
      <c r="Y17" t="s">
        <v>823</v>
      </c>
    </row>
    <row r="18" spans="1:25" x14ac:dyDescent="0.2">
      <c r="A18">
        <v>523852</v>
      </c>
      <c r="B18">
        <v>21883</v>
      </c>
      <c r="C18">
        <v>2160</v>
      </c>
      <c r="D18">
        <v>2004</v>
      </c>
      <c r="E18">
        <v>1</v>
      </c>
      <c r="F18" t="s">
        <v>37</v>
      </c>
      <c r="G18" t="s">
        <v>37</v>
      </c>
      <c r="H18" t="s">
        <v>259</v>
      </c>
      <c r="I18">
        <v>6</v>
      </c>
      <c r="J18" t="s">
        <v>824</v>
      </c>
      <c r="L18">
        <v>523908</v>
      </c>
      <c r="M18">
        <v>6</v>
      </c>
      <c r="N18">
        <v>0.88</v>
      </c>
      <c r="O18">
        <v>0</v>
      </c>
      <c r="P18">
        <v>0</v>
      </c>
      <c r="V18" t="s">
        <v>260</v>
      </c>
      <c r="W18" t="s">
        <v>261</v>
      </c>
      <c r="X18" t="s">
        <v>825</v>
      </c>
      <c r="Y18" t="s">
        <v>826</v>
      </c>
    </row>
    <row r="19" spans="1:25" x14ac:dyDescent="0.2">
      <c r="A19">
        <v>523853</v>
      </c>
      <c r="B19">
        <v>21883</v>
      </c>
      <c r="C19">
        <v>2160</v>
      </c>
      <c r="D19">
        <v>1904</v>
      </c>
      <c r="E19">
        <v>1</v>
      </c>
      <c r="F19" t="s">
        <v>37</v>
      </c>
      <c r="G19" t="s">
        <v>37</v>
      </c>
      <c r="H19" t="s">
        <v>259</v>
      </c>
      <c r="I19">
        <v>5</v>
      </c>
      <c r="J19" t="s">
        <v>827</v>
      </c>
      <c r="L19">
        <v>523908</v>
      </c>
      <c r="M19">
        <v>6</v>
      </c>
      <c r="N19">
        <v>0.88</v>
      </c>
      <c r="O19">
        <v>0</v>
      </c>
      <c r="P19">
        <v>0</v>
      </c>
      <c r="V19" t="s">
        <v>260</v>
      </c>
      <c r="W19" t="s">
        <v>261</v>
      </c>
      <c r="X19" t="s">
        <v>828</v>
      </c>
      <c r="Y19" t="s">
        <v>829</v>
      </c>
    </row>
    <row r="20" spans="1:25" x14ac:dyDescent="0.2">
      <c r="A20">
        <v>523854</v>
      </c>
      <c r="B20">
        <v>21883</v>
      </c>
      <c r="C20">
        <v>2160</v>
      </c>
      <c r="D20">
        <v>1804</v>
      </c>
      <c r="E20">
        <v>1</v>
      </c>
      <c r="F20" t="s">
        <v>37</v>
      </c>
      <c r="G20" t="s">
        <v>37</v>
      </c>
      <c r="H20" t="s">
        <v>259</v>
      </c>
      <c r="I20">
        <v>4</v>
      </c>
      <c r="J20" t="s">
        <v>830</v>
      </c>
      <c r="L20">
        <v>523908</v>
      </c>
      <c r="M20">
        <v>6</v>
      </c>
      <c r="N20">
        <v>0.88</v>
      </c>
      <c r="O20">
        <v>0</v>
      </c>
      <c r="P20">
        <v>0</v>
      </c>
      <c r="V20" t="s">
        <v>260</v>
      </c>
      <c r="W20" t="s">
        <v>261</v>
      </c>
      <c r="X20" t="s">
        <v>831</v>
      </c>
      <c r="Y20" t="s">
        <v>832</v>
      </c>
    </row>
    <row r="21" spans="1:25" x14ac:dyDescent="0.2">
      <c r="A21">
        <v>523855</v>
      </c>
      <c r="B21">
        <v>21883</v>
      </c>
      <c r="C21">
        <v>2160</v>
      </c>
      <c r="D21">
        <v>1704</v>
      </c>
      <c r="E21">
        <v>1</v>
      </c>
      <c r="F21" t="s">
        <v>37</v>
      </c>
      <c r="G21" t="s">
        <v>37</v>
      </c>
      <c r="H21" t="s">
        <v>259</v>
      </c>
      <c r="I21">
        <v>3</v>
      </c>
      <c r="J21" t="s">
        <v>833</v>
      </c>
      <c r="L21">
        <v>523908</v>
      </c>
      <c r="M21">
        <v>6</v>
      </c>
      <c r="N21">
        <v>0.88</v>
      </c>
      <c r="O21">
        <v>0</v>
      </c>
      <c r="P21">
        <v>0</v>
      </c>
      <c r="V21" t="s">
        <v>260</v>
      </c>
      <c r="W21" t="s">
        <v>261</v>
      </c>
      <c r="X21" t="s">
        <v>834</v>
      </c>
      <c r="Y21" t="s">
        <v>835</v>
      </c>
    </row>
    <row r="22" spans="1:25" x14ac:dyDescent="0.2">
      <c r="A22">
        <v>523856</v>
      </c>
      <c r="B22">
        <v>21883</v>
      </c>
      <c r="C22">
        <v>2160</v>
      </c>
      <c r="D22">
        <v>1604</v>
      </c>
      <c r="E22">
        <v>1</v>
      </c>
      <c r="F22" t="s">
        <v>37</v>
      </c>
      <c r="G22" t="s">
        <v>37</v>
      </c>
      <c r="H22" t="s">
        <v>259</v>
      </c>
      <c r="I22">
        <v>2</v>
      </c>
      <c r="J22" t="s">
        <v>836</v>
      </c>
      <c r="L22">
        <v>523908</v>
      </c>
      <c r="M22">
        <v>6</v>
      </c>
      <c r="N22">
        <v>0.88</v>
      </c>
      <c r="O22">
        <v>0</v>
      </c>
      <c r="P22">
        <v>0</v>
      </c>
      <c r="V22" t="s">
        <v>260</v>
      </c>
      <c r="W22" t="s">
        <v>261</v>
      </c>
      <c r="X22" t="s">
        <v>837</v>
      </c>
      <c r="Y22" t="s">
        <v>838</v>
      </c>
    </row>
    <row r="23" spans="1:25" x14ac:dyDescent="0.2">
      <c r="A23">
        <v>523857</v>
      </c>
      <c r="B23">
        <v>21883</v>
      </c>
      <c r="C23">
        <v>2160</v>
      </c>
      <c r="D23">
        <v>1504</v>
      </c>
      <c r="E23">
        <v>1</v>
      </c>
      <c r="F23" t="s">
        <v>37</v>
      </c>
      <c r="G23" t="s">
        <v>37</v>
      </c>
      <c r="H23" t="s">
        <v>259</v>
      </c>
      <c r="I23">
        <v>1</v>
      </c>
      <c r="J23" t="s">
        <v>839</v>
      </c>
      <c r="L23">
        <v>523908</v>
      </c>
      <c r="M23">
        <v>6</v>
      </c>
      <c r="N23">
        <v>0.88</v>
      </c>
      <c r="O23">
        <v>0</v>
      </c>
      <c r="P23">
        <v>0</v>
      </c>
      <c r="V23" t="s">
        <v>260</v>
      </c>
      <c r="W23" t="s">
        <v>261</v>
      </c>
      <c r="X23" t="s">
        <v>840</v>
      </c>
      <c r="Y23" t="s">
        <v>841</v>
      </c>
    </row>
    <row r="24" spans="1:25" x14ac:dyDescent="0.2">
      <c r="A24">
        <v>523858</v>
      </c>
      <c r="B24">
        <v>21883</v>
      </c>
      <c r="C24">
        <v>2160</v>
      </c>
      <c r="D24">
        <v>2304</v>
      </c>
      <c r="E24">
        <v>1</v>
      </c>
      <c r="F24" t="s">
        <v>37</v>
      </c>
      <c r="G24" t="s">
        <v>37</v>
      </c>
      <c r="H24" t="s">
        <v>259</v>
      </c>
      <c r="I24">
        <v>9</v>
      </c>
      <c r="J24" t="s">
        <v>842</v>
      </c>
      <c r="L24">
        <v>523908</v>
      </c>
      <c r="M24">
        <v>6</v>
      </c>
      <c r="N24">
        <v>0.88</v>
      </c>
      <c r="O24">
        <v>0</v>
      </c>
      <c r="P24">
        <v>0</v>
      </c>
      <c r="V24" t="s">
        <v>260</v>
      </c>
      <c r="W24" t="s">
        <v>261</v>
      </c>
      <c r="X24" t="s">
        <v>843</v>
      </c>
      <c r="Y24" t="s">
        <v>844</v>
      </c>
    </row>
    <row r="25" spans="1:25" x14ac:dyDescent="0.2">
      <c r="A25">
        <v>523859</v>
      </c>
      <c r="B25">
        <v>21883</v>
      </c>
      <c r="C25">
        <v>2160</v>
      </c>
      <c r="D25">
        <v>2405</v>
      </c>
      <c r="E25">
        <v>1</v>
      </c>
      <c r="F25" t="s">
        <v>37</v>
      </c>
      <c r="G25" t="s">
        <v>37</v>
      </c>
      <c r="H25" t="s">
        <v>259</v>
      </c>
      <c r="I25">
        <v>8</v>
      </c>
      <c r="J25" t="s">
        <v>845</v>
      </c>
      <c r="L25">
        <v>523917</v>
      </c>
      <c r="M25">
        <v>6</v>
      </c>
      <c r="N25">
        <v>0.88</v>
      </c>
      <c r="O25">
        <v>0</v>
      </c>
      <c r="P25">
        <v>0</v>
      </c>
      <c r="V25" t="s">
        <v>260</v>
      </c>
      <c r="W25" t="s">
        <v>261</v>
      </c>
      <c r="X25" t="s">
        <v>846</v>
      </c>
      <c r="Y25" t="s">
        <v>847</v>
      </c>
    </row>
    <row r="26" spans="1:25" x14ac:dyDescent="0.2">
      <c r="A26">
        <v>523860</v>
      </c>
      <c r="B26">
        <v>21883</v>
      </c>
      <c r="C26">
        <v>2160</v>
      </c>
      <c r="D26">
        <v>2305</v>
      </c>
      <c r="E26">
        <v>1</v>
      </c>
      <c r="F26" t="s">
        <v>37</v>
      </c>
      <c r="G26" t="s">
        <v>37</v>
      </c>
      <c r="H26" t="s">
        <v>259</v>
      </c>
      <c r="I26">
        <v>7</v>
      </c>
      <c r="J26" t="s">
        <v>848</v>
      </c>
      <c r="L26">
        <v>523917</v>
      </c>
      <c r="M26">
        <v>6</v>
      </c>
      <c r="N26">
        <v>0.88</v>
      </c>
      <c r="O26">
        <v>0</v>
      </c>
      <c r="P26">
        <v>0</v>
      </c>
      <c r="V26" t="s">
        <v>260</v>
      </c>
      <c r="W26" t="s">
        <v>261</v>
      </c>
      <c r="X26" t="s">
        <v>849</v>
      </c>
      <c r="Y26" t="s">
        <v>850</v>
      </c>
    </row>
    <row r="27" spans="1:25" x14ac:dyDescent="0.2">
      <c r="A27">
        <v>523861</v>
      </c>
      <c r="B27">
        <v>21883</v>
      </c>
      <c r="C27">
        <v>2160</v>
      </c>
      <c r="D27">
        <v>2205</v>
      </c>
      <c r="E27">
        <v>1</v>
      </c>
      <c r="F27" t="s">
        <v>37</v>
      </c>
      <c r="G27" t="s">
        <v>37</v>
      </c>
      <c r="H27" t="s">
        <v>259</v>
      </c>
      <c r="I27">
        <v>6</v>
      </c>
      <c r="J27" t="s">
        <v>851</v>
      </c>
      <c r="L27">
        <v>523917</v>
      </c>
      <c r="M27">
        <v>6</v>
      </c>
      <c r="N27">
        <v>0.88</v>
      </c>
      <c r="O27">
        <v>0</v>
      </c>
      <c r="P27">
        <v>0</v>
      </c>
      <c r="V27" t="s">
        <v>260</v>
      </c>
      <c r="W27" t="s">
        <v>261</v>
      </c>
      <c r="X27" t="s">
        <v>852</v>
      </c>
      <c r="Y27" t="s">
        <v>853</v>
      </c>
    </row>
    <row r="28" spans="1:25" x14ac:dyDescent="0.2">
      <c r="A28">
        <v>523862</v>
      </c>
      <c r="B28">
        <v>21883</v>
      </c>
      <c r="C28">
        <v>2160</v>
      </c>
      <c r="D28">
        <v>2105</v>
      </c>
      <c r="E28">
        <v>1</v>
      </c>
      <c r="F28" t="s">
        <v>37</v>
      </c>
      <c r="G28" t="s">
        <v>37</v>
      </c>
      <c r="H28" t="s">
        <v>259</v>
      </c>
      <c r="I28">
        <v>5</v>
      </c>
      <c r="J28" t="s">
        <v>854</v>
      </c>
      <c r="L28">
        <v>523917</v>
      </c>
      <c r="M28">
        <v>6</v>
      </c>
      <c r="N28">
        <v>0.88</v>
      </c>
      <c r="O28">
        <v>0</v>
      </c>
      <c r="P28">
        <v>0</v>
      </c>
      <c r="V28" t="s">
        <v>260</v>
      </c>
      <c r="W28" t="s">
        <v>261</v>
      </c>
      <c r="X28" t="s">
        <v>855</v>
      </c>
      <c r="Y28" t="s">
        <v>856</v>
      </c>
    </row>
    <row r="29" spans="1:25" x14ac:dyDescent="0.2">
      <c r="A29">
        <v>523863</v>
      </c>
      <c r="B29">
        <v>21883</v>
      </c>
      <c r="C29">
        <v>2160</v>
      </c>
      <c r="D29">
        <v>2005</v>
      </c>
      <c r="E29">
        <v>1</v>
      </c>
      <c r="F29" t="s">
        <v>37</v>
      </c>
      <c r="G29" t="s">
        <v>37</v>
      </c>
      <c r="H29" t="s">
        <v>259</v>
      </c>
      <c r="I29" t="s">
        <v>802</v>
      </c>
      <c r="J29" t="s">
        <v>857</v>
      </c>
      <c r="L29">
        <v>523917</v>
      </c>
      <c r="M29">
        <v>6</v>
      </c>
      <c r="N29">
        <v>0.88</v>
      </c>
      <c r="O29">
        <v>0</v>
      </c>
      <c r="P29">
        <v>0</v>
      </c>
      <c r="V29" t="s">
        <v>260</v>
      </c>
      <c r="W29" t="s">
        <v>261</v>
      </c>
      <c r="X29" t="s">
        <v>858</v>
      </c>
      <c r="Y29" t="s">
        <v>859</v>
      </c>
    </row>
    <row r="30" spans="1:25" x14ac:dyDescent="0.2">
      <c r="A30">
        <v>523864</v>
      </c>
      <c r="B30">
        <v>21883</v>
      </c>
      <c r="C30">
        <v>2160</v>
      </c>
      <c r="D30">
        <v>1905</v>
      </c>
      <c r="E30">
        <v>1</v>
      </c>
      <c r="F30" t="s">
        <v>37</v>
      </c>
      <c r="G30" t="s">
        <v>37</v>
      </c>
      <c r="H30" t="s">
        <v>259</v>
      </c>
      <c r="I30">
        <v>4</v>
      </c>
      <c r="J30" t="s">
        <v>860</v>
      </c>
      <c r="L30">
        <v>523917</v>
      </c>
      <c r="M30">
        <v>6</v>
      </c>
      <c r="N30">
        <v>0.88</v>
      </c>
      <c r="O30">
        <v>0</v>
      </c>
      <c r="P30">
        <v>0</v>
      </c>
      <c r="V30" t="s">
        <v>260</v>
      </c>
      <c r="W30" t="s">
        <v>261</v>
      </c>
      <c r="X30" t="s">
        <v>861</v>
      </c>
      <c r="Y30" t="s">
        <v>862</v>
      </c>
    </row>
    <row r="31" spans="1:25" x14ac:dyDescent="0.2">
      <c r="A31">
        <v>523865</v>
      </c>
      <c r="B31">
        <v>21883</v>
      </c>
      <c r="C31">
        <v>2160</v>
      </c>
      <c r="D31">
        <v>1805</v>
      </c>
      <c r="E31">
        <v>1</v>
      </c>
      <c r="F31" t="s">
        <v>37</v>
      </c>
      <c r="G31" t="s">
        <v>37</v>
      </c>
      <c r="H31" t="s">
        <v>259</v>
      </c>
      <c r="I31">
        <v>3</v>
      </c>
      <c r="J31" t="s">
        <v>863</v>
      </c>
      <c r="L31">
        <v>523917</v>
      </c>
      <c r="M31">
        <v>6</v>
      </c>
      <c r="N31">
        <v>0.88</v>
      </c>
      <c r="O31">
        <v>0</v>
      </c>
      <c r="P31">
        <v>0</v>
      </c>
      <c r="V31" t="s">
        <v>260</v>
      </c>
      <c r="W31" t="s">
        <v>261</v>
      </c>
      <c r="X31" t="s">
        <v>864</v>
      </c>
      <c r="Y31" t="s">
        <v>865</v>
      </c>
    </row>
    <row r="32" spans="1:25" x14ac:dyDescent="0.2">
      <c r="A32">
        <v>523866</v>
      </c>
      <c r="B32">
        <v>21883</v>
      </c>
      <c r="C32">
        <v>2160</v>
      </c>
      <c r="D32">
        <v>1705</v>
      </c>
      <c r="E32">
        <v>1</v>
      </c>
      <c r="F32" t="s">
        <v>37</v>
      </c>
      <c r="G32" t="s">
        <v>37</v>
      </c>
      <c r="H32" t="s">
        <v>259</v>
      </c>
      <c r="I32">
        <v>2</v>
      </c>
      <c r="J32" t="s">
        <v>866</v>
      </c>
      <c r="L32">
        <v>523917</v>
      </c>
      <c r="M32">
        <v>6</v>
      </c>
      <c r="N32">
        <v>0.88</v>
      </c>
      <c r="O32">
        <v>0</v>
      </c>
      <c r="P32">
        <v>0</v>
      </c>
      <c r="V32" t="s">
        <v>260</v>
      </c>
      <c r="W32" t="s">
        <v>261</v>
      </c>
      <c r="X32" t="s">
        <v>867</v>
      </c>
      <c r="Y32" t="s">
        <v>868</v>
      </c>
    </row>
    <row r="33" spans="1:25" x14ac:dyDescent="0.2">
      <c r="A33">
        <v>523867</v>
      </c>
      <c r="B33">
        <v>21883</v>
      </c>
      <c r="C33">
        <v>2160</v>
      </c>
      <c r="D33">
        <v>1605</v>
      </c>
      <c r="E33">
        <v>1</v>
      </c>
      <c r="F33" t="s">
        <v>37</v>
      </c>
      <c r="G33" t="s">
        <v>37</v>
      </c>
      <c r="H33" t="s">
        <v>259</v>
      </c>
      <c r="I33">
        <v>1</v>
      </c>
      <c r="J33" t="s">
        <v>869</v>
      </c>
      <c r="L33">
        <v>523917</v>
      </c>
      <c r="M33">
        <v>6</v>
      </c>
      <c r="N33">
        <v>0.88</v>
      </c>
      <c r="O33">
        <v>0</v>
      </c>
      <c r="P33">
        <v>0</v>
      </c>
      <c r="V33" t="s">
        <v>260</v>
      </c>
      <c r="W33" t="s">
        <v>261</v>
      </c>
      <c r="X33" t="s">
        <v>870</v>
      </c>
      <c r="Y33" t="e" cm="1">
        <f t="array" ref="Y33">+K7ahHA3b0OP8WxzKnpq5A</f>
        <v>#NAME?</v>
      </c>
    </row>
    <row r="34" spans="1:25" x14ac:dyDescent="0.2">
      <c r="A34">
        <v>523868</v>
      </c>
      <c r="B34">
        <v>21883</v>
      </c>
      <c r="C34">
        <v>2160</v>
      </c>
      <c r="D34">
        <v>2204</v>
      </c>
      <c r="E34">
        <v>1</v>
      </c>
      <c r="F34" t="s">
        <v>37</v>
      </c>
      <c r="G34" t="s">
        <v>37</v>
      </c>
      <c r="H34" t="s">
        <v>259</v>
      </c>
      <c r="I34">
        <v>8</v>
      </c>
      <c r="J34" t="s">
        <v>871</v>
      </c>
      <c r="L34">
        <v>523918</v>
      </c>
      <c r="M34">
        <v>6</v>
      </c>
      <c r="N34">
        <v>0.88</v>
      </c>
      <c r="O34">
        <v>0</v>
      </c>
      <c r="P34">
        <v>0</v>
      </c>
      <c r="V34" t="s">
        <v>260</v>
      </c>
      <c r="W34" t="s">
        <v>261</v>
      </c>
      <c r="X34" t="s">
        <v>872</v>
      </c>
      <c r="Y34" t="s">
        <v>873</v>
      </c>
    </row>
    <row r="35" spans="1:25" x14ac:dyDescent="0.2">
      <c r="A35">
        <v>523869</v>
      </c>
      <c r="B35">
        <v>21883</v>
      </c>
      <c r="C35">
        <v>2160</v>
      </c>
      <c r="D35">
        <v>2104</v>
      </c>
      <c r="E35">
        <v>1</v>
      </c>
      <c r="F35" t="s">
        <v>37</v>
      </c>
      <c r="G35" t="s">
        <v>37</v>
      </c>
      <c r="H35" t="s">
        <v>259</v>
      </c>
      <c r="I35">
        <v>7</v>
      </c>
      <c r="J35" t="s">
        <v>874</v>
      </c>
      <c r="L35">
        <v>523918</v>
      </c>
      <c r="M35">
        <v>6</v>
      </c>
      <c r="N35">
        <v>0.88</v>
      </c>
      <c r="O35">
        <v>0</v>
      </c>
      <c r="P35">
        <v>0</v>
      </c>
      <c r="V35" t="s">
        <v>260</v>
      </c>
      <c r="W35" t="s">
        <v>261</v>
      </c>
      <c r="X35" t="s">
        <v>875</v>
      </c>
      <c r="Y35" t="s">
        <v>876</v>
      </c>
    </row>
    <row r="36" spans="1:25" x14ac:dyDescent="0.2">
      <c r="A36">
        <v>523870</v>
      </c>
      <c r="B36">
        <v>21883</v>
      </c>
      <c r="C36">
        <v>2160</v>
      </c>
      <c r="D36">
        <v>2004</v>
      </c>
      <c r="E36">
        <v>1</v>
      </c>
      <c r="F36" t="s">
        <v>37</v>
      </c>
      <c r="G36" t="s">
        <v>37</v>
      </c>
      <c r="H36" t="s">
        <v>259</v>
      </c>
      <c r="I36">
        <v>6</v>
      </c>
      <c r="J36" t="s">
        <v>877</v>
      </c>
      <c r="L36">
        <v>523918</v>
      </c>
      <c r="M36">
        <v>6</v>
      </c>
      <c r="N36">
        <v>0.88</v>
      </c>
      <c r="O36">
        <v>0</v>
      </c>
      <c r="P36">
        <v>0</v>
      </c>
      <c r="V36" t="s">
        <v>260</v>
      </c>
      <c r="W36" t="s">
        <v>261</v>
      </c>
      <c r="X36" t="s">
        <v>878</v>
      </c>
      <c r="Y36" t="s">
        <v>879</v>
      </c>
    </row>
    <row r="37" spans="1:25" x14ac:dyDescent="0.2">
      <c r="A37">
        <v>523871</v>
      </c>
      <c r="B37">
        <v>21883</v>
      </c>
      <c r="C37">
        <v>2160</v>
      </c>
      <c r="D37">
        <v>1904</v>
      </c>
      <c r="E37">
        <v>1</v>
      </c>
      <c r="F37" t="s">
        <v>37</v>
      </c>
      <c r="G37" t="s">
        <v>37</v>
      </c>
      <c r="H37" t="s">
        <v>259</v>
      </c>
      <c r="I37">
        <v>5</v>
      </c>
      <c r="J37" t="s">
        <v>880</v>
      </c>
      <c r="L37">
        <v>523918</v>
      </c>
      <c r="M37">
        <v>6</v>
      </c>
      <c r="N37">
        <v>0.88</v>
      </c>
      <c r="O37">
        <v>0</v>
      </c>
      <c r="P37">
        <v>0</v>
      </c>
      <c r="V37" t="s">
        <v>260</v>
      </c>
      <c r="W37" t="s">
        <v>261</v>
      </c>
      <c r="X37" t="s">
        <v>881</v>
      </c>
      <c r="Y37" t="s">
        <v>882</v>
      </c>
    </row>
    <row r="38" spans="1:25" x14ac:dyDescent="0.2">
      <c r="A38">
        <v>523872</v>
      </c>
      <c r="B38">
        <v>21883</v>
      </c>
      <c r="C38">
        <v>2160</v>
      </c>
      <c r="D38">
        <v>1804</v>
      </c>
      <c r="E38">
        <v>1</v>
      </c>
      <c r="F38" t="s">
        <v>37</v>
      </c>
      <c r="G38" t="s">
        <v>37</v>
      </c>
      <c r="H38" t="s">
        <v>259</v>
      </c>
      <c r="I38">
        <v>4</v>
      </c>
      <c r="J38" t="s">
        <v>883</v>
      </c>
      <c r="L38">
        <v>523918</v>
      </c>
      <c r="M38">
        <v>6</v>
      </c>
      <c r="N38">
        <v>0.88</v>
      </c>
      <c r="O38">
        <v>0</v>
      </c>
      <c r="P38">
        <v>0</v>
      </c>
      <c r="V38" t="s">
        <v>260</v>
      </c>
      <c r="W38" t="s">
        <v>261</v>
      </c>
      <c r="X38" t="s">
        <v>884</v>
      </c>
      <c r="Y38" t="s">
        <v>885</v>
      </c>
    </row>
    <row r="39" spans="1:25" x14ac:dyDescent="0.2">
      <c r="A39">
        <v>523873</v>
      </c>
      <c r="B39">
        <v>21883</v>
      </c>
      <c r="C39">
        <v>2160</v>
      </c>
      <c r="D39">
        <v>1704</v>
      </c>
      <c r="E39">
        <v>1</v>
      </c>
      <c r="F39" t="s">
        <v>37</v>
      </c>
      <c r="G39" t="s">
        <v>37</v>
      </c>
      <c r="H39" t="s">
        <v>259</v>
      </c>
      <c r="I39">
        <v>3</v>
      </c>
      <c r="J39" t="s">
        <v>886</v>
      </c>
      <c r="L39">
        <v>523918</v>
      </c>
      <c r="M39">
        <v>6</v>
      </c>
      <c r="N39">
        <v>0.88</v>
      </c>
      <c r="O39">
        <v>0</v>
      </c>
      <c r="P39">
        <v>0</v>
      </c>
      <c r="V39" t="s">
        <v>260</v>
      </c>
      <c r="W39" t="s">
        <v>261</v>
      </c>
      <c r="X39" t="s">
        <v>887</v>
      </c>
      <c r="Y39" t="s">
        <v>888</v>
      </c>
    </row>
    <row r="40" spans="1:25" x14ac:dyDescent="0.2">
      <c r="A40">
        <v>523874</v>
      </c>
      <c r="B40">
        <v>21883</v>
      </c>
      <c r="C40">
        <v>2160</v>
      </c>
      <c r="D40">
        <v>1604</v>
      </c>
      <c r="E40">
        <v>1</v>
      </c>
      <c r="F40" t="s">
        <v>37</v>
      </c>
      <c r="G40" t="s">
        <v>37</v>
      </c>
      <c r="H40" t="s">
        <v>259</v>
      </c>
      <c r="I40">
        <v>2</v>
      </c>
      <c r="J40" t="s">
        <v>889</v>
      </c>
      <c r="L40">
        <v>523918</v>
      </c>
      <c r="M40">
        <v>6</v>
      </c>
      <c r="N40">
        <v>0.88</v>
      </c>
      <c r="O40">
        <v>0</v>
      </c>
      <c r="P40">
        <v>0</v>
      </c>
      <c r="V40" t="s">
        <v>260</v>
      </c>
      <c r="W40" t="s">
        <v>261</v>
      </c>
      <c r="X40" t="s">
        <v>890</v>
      </c>
      <c r="Y40" t="s">
        <v>891</v>
      </c>
    </row>
    <row r="41" spans="1:25" x14ac:dyDescent="0.2">
      <c r="A41">
        <v>523875</v>
      </c>
      <c r="B41">
        <v>21883</v>
      </c>
      <c r="C41">
        <v>2160</v>
      </c>
      <c r="D41">
        <v>1504</v>
      </c>
      <c r="E41">
        <v>1</v>
      </c>
      <c r="F41" t="s">
        <v>37</v>
      </c>
      <c r="G41" t="s">
        <v>37</v>
      </c>
      <c r="H41" t="s">
        <v>259</v>
      </c>
      <c r="I41">
        <v>1</v>
      </c>
      <c r="J41" t="s">
        <v>892</v>
      </c>
      <c r="L41">
        <v>523918</v>
      </c>
      <c r="M41">
        <v>6</v>
      </c>
      <c r="N41">
        <v>0.88</v>
      </c>
      <c r="O41">
        <v>0</v>
      </c>
      <c r="P41">
        <v>0</v>
      </c>
      <c r="V41" t="s">
        <v>260</v>
      </c>
      <c r="W41" t="s">
        <v>261</v>
      </c>
      <c r="X41" t="s">
        <v>893</v>
      </c>
      <c r="Y41" t="s">
        <v>894</v>
      </c>
    </row>
    <row r="42" spans="1:25" x14ac:dyDescent="0.2">
      <c r="A42">
        <v>523876</v>
      </c>
      <c r="B42">
        <v>21883</v>
      </c>
      <c r="C42">
        <v>2160</v>
      </c>
      <c r="D42">
        <v>2304</v>
      </c>
      <c r="E42">
        <v>1</v>
      </c>
      <c r="F42" t="s">
        <v>37</v>
      </c>
      <c r="G42" t="s">
        <v>37</v>
      </c>
      <c r="H42" t="s">
        <v>259</v>
      </c>
      <c r="I42">
        <v>9</v>
      </c>
      <c r="J42" t="s">
        <v>895</v>
      </c>
      <c r="L42">
        <v>523918</v>
      </c>
      <c r="M42">
        <v>6</v>
      </c>
      <c r="N42">
        <v>0.88</v>
      </c>
      <c r="O42">
        <v>0</v>
      </c>
      <c r="P42">
        <v>0</v>
      </c>
      <c r="V42" t="s">
        <v>260</v>
      </c>
      <c r="W42" t="s">
        <v>261</v>
      </c>
      <c r="X42" t="s">
        <v>896</v>
      </c>
      <c r="Y42" t="s">
        <v>897</v>
      </c>
    </row>
    <row r="43" spans="1:25" x14ac:dyDescent="0.2">
      <c r="A43">
        <v>523877</v>
      </c>
      <c r="B43">
        <v>21883</v>
      </c>
      <c r="C43">
        <v>2160</v>
      </c>
      <c r="D43">
        <v>2405</v>
      </c>
      <c r="E43">
        <v>1</v>
      </c>
      <c r="F43" t="s">
        <v>37</v>
      </c>
      <c r="G43" t="s">
        <v>37</v>
      </c>
      <c r="H43" t="s">
        <v>259</v>
      </c>
      <c r="I43">
        <v>8</v>
      </c>
      <c r="J43" t="s">
        <v>898</v>
      </c>
      <c r="L43">
        <v>523927</v>
      </c>
      <c r="M43">
        <v>6</v>
      </c>
      <c r="N43">
        <v>0.88</v>
      </c>
      <c r="O43">
        <v>0</v>
      </c>
      <c r="P43">
        <v>0</v>
      </c>
      <c r="V43" t="s">
        <v>260</v>
      </c>
      <c r="W43" t="s">
        <v>261</v>
      </c>
      <c r="X43" t="s">
        <v>899</v>
      </c>
      <c r="Y43" t="s">
        <v>900</v>
      </c>
    </row>
    <row r="44" spans="1:25" x14ac:dyDescent="0.2">
      <c r="A44">
        <v>523878</v>
      </c>
      <c r="B44">
        <v>21883</v>
      </c>
      <c r="C44">
        <v>2160</v>
      </c>
      <c r="D44">
        <v>2305</v>
      </c>
      <c r="E44">
        <v>1</v>
      </c>
      <c r="F44" t="s">
        <v>37</v>
      </c>
      <c r="G44" t="s">
        <v>37</v>
      </c>
      <c r="H44" t="s">
        <v>259</v>
      </c>
      <c r="I44">
        <v>7</v>
      </c>
      <c r="J44" t="s">
        <v>901</v>
      </c>
      <c r="L44">
        <v>523927</v>
      </c>
      <c r="M44">
        <v>6</v>
      </c>
      <c r="N44">
        <v>0.88</v>
      </c>
      <c r="O44">
        <v>0</v>
      </c>
      <c r="P44">
        <v>0</v>
      </c>
      <c r="V44" t="s">
        <v>260</v>
      </c>
      <c r="W44" t="s">
        <v>261</v>
      </c>
      <c r="X44" t="s">
        <v>902</v>
      </c>
      <c r="Y44" t="s">
        <v>903</v>
      </c>
    </row>
    <row r="45" spans="1:25" x14ac:dyDescent="0.2">
      <c r="A45">
        <v>523879</v>
      </c>
      <c r="B45">
        <v>21883</v>
      </c>
      <c r="C45">
        <v>2160</v>
      </c>
      <c r="D45">
        <v>2205</v>
      </c>
      <c r="E45">
        <v>1</v>
      </c>
      <c r="F45" t="s">
        <v>37</v>
      </c>
      <c r="G45" t="s">
        <v>37</v>
      </c>
      <c r="H45" t="s">
        <v>259</v>
      </c>
      <c r="I45">
        <v>6</v>
      </c>
      <c r="J45" t="s">
        <v>904</v>
      </c>
      <c r="L45">
        <v>523927</v>
      </c>
      <c r="M45">
        <v>6</v>
      </c>
      <c r="N45">
        <v>0.88</v>
      </c>
      <c r="O45">
        <v>0</v>
      </c>
      <c r="P45">
        <v>0</v>
      </c>
      <c r="V45" t="s">
        <v>260</v>
      </c>
      <c r="W45" t="s">
        <v>261</v>
      </c>
      <c r="X45" t="s">
        <v>905</v>
      </c>
      <c r="Y45" t="s">
        <v>906</v>
      </c>
    </row>
    <row r="46" spans="1:25" x14ac:dyDescent="0.2">
      <c r="A46">
        <v>523880</v>
      </c>
      <c r="B46">
        <v>21883</v>
      </c>
      <c r="C46">
        <v>2160</v>
      </c>
      <c r="D46">
        <v>2105</v>
      </c>
      <c r="E46">
        <v>1</v>
      </c>
      <c r="F46" t="s">
        <v>37</v>
      </c>
      <c r="G46" t="s">
        <v>37</v>
      </c>
      <c r="H46" t="s">
        <v>259</v>
      </c>
      <c r="I46">
        <v>5</v>
      </c>
      <c r="J46" t="s">
        <v>907</v>
      </c>
      <c r="L46">
        <v>523927</v>
      </c>
      <c r="M46">
        <v>6</v>
      </c>
      <c r="N46">
        <v>0.88</v>
      </c>
      <c r="O46">
        <v>0</v>
      </c>
      <c r="P46">
        <v>0</v>
      </c>
      <c r="V46" t="s">
        <v>260</v>
      </c>
      <c r="W46" t="s">
        <v>261</v>
      </c>
      <c r="X46" t="s">
        <v>908</v>
      </c>
      <c r="Y46" t="s">
        <v>909</v>
      </c>
    </row>
    <row r="47" spans="1:25" x14ac:dyDescent="0.2">
      <c r="A47">
        <v>523881</v>
      </c>
      <c r="B47">
        <v>21883</v>
      </c>
      <c r="C47">
        <v>2160</v>
      </c>
      <c r="D47">
        <v>2005</v>
      </c>
      <c r="E47">
        <v>1</v>
      </c>
      <c r="F47" t="s">
        <v>37</v>
      </c>
      <c r="G47" t="s">
        <v>37</v>
      </c>
      <c r="H47" t="s">
        <v>259</v>
      </c>
      <c r="I47" t="s">
        <v>802</v>
      </c>
      <c r="J47" t="s">
        <v>910</v>
      </c>
      <c r="L47">
        <v>523927</v>
      </c>
      <c r="M47">
        <v>6</v>
      </c>
      <c r="N47">
        <v>0.88</v>
      </c>
      <c r="O47">
        <v>0</v>
      </c>
      <c r="P47">
        <v>0</v>
      </c>
      <c r="V47" t="s">
        <v>260</v>
      </c>
      <c r="W47" t="s">
        <v>261</v>
      </c>
      <c r="X47" t="s">
        <v>911</v>
      </c>
      <c r="Y47" t="s">
        <v>912</v>
      </c>
    </row>
    <row r="48" spans="1:25" x14ac:dyDescent="0.2">
      <c r="A48">
        <v>523882</v>
      </c>
      <c r="B48">
        <v>21883</v>
      </c>
      <c r="C48">
        <v>2160</v>
      </c>
      <c r="D48">
        <v>1905</v>
      </c>
      <c r="E48">
        <v>1</v>
      </c>
      <c r="F48" t="s">
        <v>37</v>
      </c>
      <c r="G48" t="s">
        <v>37</v>
      </c>
      <c r="H48" t="s">
        <v>259</v>
      </c>
      <c r="I48">
        <v>4</v>
      </c>
      <c r="J48" t="s">
        <v>913</v>
      </c>
      <c r="L48">
        <v>523927</v>
      </c>
      <c r="M48">
        <v>6</v>
      </c>
      <c r="N48">
        <v>0.88</v>
      </c>
      <c r="O48">
        <v>0</v>
      </c>
      <c r="P48">
        <v>0</v>
      </c>
      <c r="V48" t="s">
        <v>260</v>
      </c>
      <c r="W48" t="s">
        <v>261</v>
      </c>
      <c r="X48" t="s">
        <v>914</v>
      </c>
      <c r="Y48" t="s">
        <v>915</v>
      </c>
    </row>
    <row r="49" spans="1:25" x14ac:dyDescent="0.2">
      <c r="A49">
        <v>523883</v>
      </c>
      <c r="B49">
        <v>21883</v>
      </c>
      <c r="C49">
        <v>2160</v>
      </c>
      <c r="D49">
        <v>1805</v>
      </c>
      <c r="E49">
        <v>1</v>
      </c>
      <c r="F49" t="s">
        <v>37</v>
      </c>
      <c r="G49" t="s">
        <v>37</v>
      </c>
      <c r="H49" t="s">
        <v>259</v>
      </c>
      <c r="I49">
        <v>3</v>
      </c>
      <c r="J49" t="s">
        <v>916</v>
      </c>
      <c r="L49">
        <v>523927</v>
      </c>
      <c r="M49">
        <v>6</v>
      </c>
      <c r="N49">
        <v>0.88</v>
      </c>
      <c r="O49">
        <v>0</v>
      </c>
      <c r="P49">
        <v>0</v>
      </c>
      <c r="V49" t="s">
        <v>260</v>
      </c>
      <c r="W49" t="s">
        <v>261</v>
      </c>
      <c r="X49" t="s">
        <v>917</v>
      </c>
      <c r="Y49" t="s">
        <v>918</v>
      </c>
    </row>
    <row r="50" spans="1:25" x14ac:dyDescent="0.2">
      <c r="A50">
        <v>523884</v>
      </c>
      <c r="B50">
        <v>21883</v>
      </c>
      <c r="C50">
        <v>2160</v>
      </c>
      <c r="D50">
        <v>1705</v>
      </c>
      <c r="E50">
        <v>1</v>
      </c>
      <c r="F50" t="s">
        <v>37</v>
      </c>
      <c r="G50" t="s">
        <v>37</v>
      </c>
      <c r="H50" t="s">
        <v>259</v>
      </c>
      <c r="I50">
        <v>2</v>
      </c>
      <c r="J50" t="s">
        <v>919</v>
      </c>
      <c r="L50">
        <v>523927</v>
      </c>
      <c r="M50">
        <v>6</v>
      </c>
      <c r="N50">
        <v>0.88</v>
      </c>
      <c r="O50">
        <v>0</v>
      </c>
      <c r="P50">
        <v>0</v>
      </c>
      <c r="V50" t="s">
        <v>260</v>
      </c>
      <c r="W50" t="s">
        <v>261</v>
      </c>
      <c r="X50" t="s">
        <v>920</v>
      </c>
      <c r="Y50" t="s">
        <v>921</v>
      </c>
    </row>
    <row r="51" spans="1:25" x14ac:dyDescent="0.2">
      <c r="A51">
        <v>523885</v>
      </c>
      <c r="B51">
        <v>21883</v>
      </c>
      <c r="C51">
        <v>2160</v>
      </c>
      <c r="D51">
        <v>1605</v>
      </c>
      <c r="E51">
        <v>1</v>
      </c>
      <c r="F51" t="s">
        <v>37</v>
      </c>
      <c r="G51" t="s">
        <v>37</v>
      </c>
      <c r="H51" t="s">
        <v>259</v>
      </c>
      <c r="I51">
        <v>1</v>
      </c>
      <c r="J51" t="s">
        <v>922</v>
      </c>
      <c r="L51">
        <v>523927</v>
      </c>
      <c r="M51">
        <v>6</v>
      </c>
      <c r="N51">
        <v>0.88</v>
      </c>
      <c r="O51">
        <v>0</v>
      </c>
      <c r="P51">
        <v>0</v>
      </c>
      <c r="V51" t="s">
        <v>260</v>
      </c>
      <c r="W51" t="s">
        <v>261</v>
      </c>
      <c r="X51" t="s">
        <v>923</v>
      </c>
      <c r="Y51" t="s">
        <v>924</v>
      </c>
    </row>
    <row r="52" spans="1:25" x14ac:dyDescent="0.2">
      <c r="A52">
        <v>523886</v>
      </c>
      <c r="B52">
        <v>21883</v>
      </c>
      <c r="C52">
        <v>2160</v>
      </c>
      <c r="D52">
        <v>2304</v>
      </c>
      <c r="E52">
        <v>1</v>
      </c>
      <c r="F52" t="s">
        <v>37</v>
      </c>
      <c r="G52" t="s">
        <v>37</v>
      </c>
      <c r="H52" t="s">
        <v>259</v>
      </c>
      <c r="I52">
        <v>8</v>
      </c>
      <c r="J52" t="s">
        <v>925</v>
      </c>
      <c r="L52">
        <v>523928</v>
      </c>
      <c r="M52">
        <v>6</v>
      </c>
      <c r="N52">
        <v>0.88</v>
      </c>
      <c r="O52">
        <v>0</v>
      </c>
      <c r="P52">
        <v>0</v>
      </c>
      <c r="V52" t="s">
        <v>260</v>
      </c>
      <c r="W52" t="s">
        <v>261</v>
      </c>
      <c r="X52" t="s">
        <v>926</v>
      </c>
      <c r="Y52" t="s">
        <v>927</v>
      </c>
    </row>
    <row r="53" spans="1:25" x14ac:dyDescent="0.2">
      <c r="A53">
        <v>523887</v>
      </c>
      <c r="B53">
        <v>21883</v>
      </c>
      <c r="C53">
        <v>2160</v>
      </c>
      <c r="D53">
        <v>2204</v>
      </c>
      <c r="E53">
        <v>1</v>
      </c>
      <c r="F53" t="s">
        <v>37</v>
      </c>
      <c r="G53" t="s">
        <v>37</v>
      </c>
      <c r="H53" t="s">
        <v>259</v>
      </c>
      <c r="I53">
        <v>7</v>
      </c>
      <c r="J53" t="s">
        <v>928</v>
      </c>
      <c r="L53">
        <v>523928</v>
      </c>
      <c r="M53">
        <v>6</v>
      </c>
      <c r="N53">
        <v>0.88</v>
      </c>
      <c r="O53">
        <v>0</v>
      </c>
      <c r="P53">
        <v>0</v>
      </c>
      <c r="V53" t="s">
        <v>260</v>
      </c>
      <c r="W53" t="s">
        <v>261</v>
      </c>
      <c r="X53" t="s">
        <v>929</v>
      </c>
      <c r="Y53" t="s">
        <v>930</v>
      </c>
    </row>
    <row r="54" spans="1:25" x14ac:dyDescent="0.2">
      <c r="A54">
        <v>523888</v>
      </c>
      <c r="B54">
        <v>21883</v>
      </c>
      <c r="C54">
        <v>2160</v>
      </c>
      <c r="D54">
        <v>2104</v>
      </c>
      <c r="E54">
        <v>1</v>
      </c>
      <c r="F54" t="s">
        <v>37</v>
      </c>
      <c r="G54" t="s">
        <v>37</v>
      </c>
      <c r="H54" t="s">
        <v>259</v>
      </c>
      <c r="I54">
        <v>6</v>
      </c>
      <c r="J54" t="s">
        <v>931</v>
      </c>
      <c r="L54">
        <v>523928</v>
      </c>
      <c r="M54">
        <v>6</v>
      </c>
      <c r="N54">
        <v>0.88</v>
      </c>
      <c r="O54">
        <v>0</v>
      </c>
      <c r="P54">
        <v>0</v>
      </c>
      <c r="V54" t="s">
        <v>260</v>
      </c>
      <c r="W54" t="s">
        <v>261</v>
      </c>
      <c r="X54" t="s">
        <v>932</v>
      </c>
      <c r="Y54" t="s">
        <v>933</v>
      </c>
    </row>
    <row r="55" spans="1:25" x14ac:dyDescent="0.2">
      <c r="A55">
        <v>523889</v>
      </c>
      <c r="B55">
        <v>21883</v>
      </c>
      <c r="C55">
        <v>2160</v>
      </c>
      <c r="D55">
        <v>2004</v>
      </c>
      <c r="E55">
        <v>1</v>
      </c>
      <c r="F55" t="s">
        <v>37</v>
      </c>
      <c r="G55" t="s">
        <v>37</v>
      </c>
      <c r="H55" t="s">
        <v>259</v>
      </c>
      <c r="I55">
        <v>5</v>
      </c>
      <c r="J55" t="s">
        <v>934</v>
      </c>
      <c r="L55">
        <v>523928</v>
      </c>
      <c r="M55">
        <v>6</v>
      </c>
      <c r="N55">
        <v>0.88</v>
      </c>
      <c r="O55">
        <v>0</v>
      </c>
      <c r="P55">
        <v>0</v>
      </c>
      <c r="V55" t="s">
        <v>260</v>
      </c>
      <c r="W55" t="s">
        <v>261</v>
      </c>
      <c r="X55" t="s">
        <v>935</v>
      </c>
      <c r="Y55" t="s">
        <v>936</v>
      </c>
    </row>
    <row r="56" spans="1:25" x14ac:dyDescent="0.2">
      <c r="A56">
        <v>523890</v>
      </c>
      <c r="B56">
        <v>21883</v>
      </c>
      <c r="C56">
        <v>2160</v>
      </c>
      <c r="D56">
        <v>1904</v>
      </c>
      <c r="E56">
        <v>1</v>
      </c>
      <c r="F56" t="s">
        <v>37</v>
      </c>
      <c r="G56" t="s">
        <v>37</v>
      </c>
      <c r="H56" t="s">
        <v>259</v>
      </c>
      <c r="I56">
        <v>4</v>
      </c>
      <c r="J56" t="s">
        <v>937</v>
      </c>
      <c r="L56">
        <v>523928</v>
      </c>
      <c r="M56">
        <v>6</v>
      </c>
      <c r="N56">
        <v>0.88</v>
      </c>
      <c r="O56">
        <v>0</v>
      </c>
      <c r="P56">
        <v>0</v>
      </c>
      <c r="V56" t="s">
        <v>260</v>
      </c>
      <c r="W56" t="s">
        <v>261</v>
      </c>
      <c r="X56" t="s">
        <v>938</v>
      </c>
      <c r="Y56" t="s">
        <v>939</v>
      </c>
    </row>
    <row r="57" spans="1:25" x14ac:dyDescent="0.2">
      <c r="A57">
        <v>523891</v>
      </c>
      <c r="B57">
        <v>21883</v>
      </c>
      <c r="C57">
        <v>2160</v>
      </c>
      <c r="D57">
        <v>1804</v>
      </c>
      <c r="E57">
        <v>1</v>
      </c>
      <c r="F57" t="s">
        <v>37</v>
      </c>
      <c r="G57" t="s">
        <v>37</v>
      </c>
      <c r="H57" t="s">
        <v>259</v>
      </c>
      <c r="I57">
        <v>3</v>
      </c>
      <c r="J57" t="s">
        <v>940</v>
      </c>
      <c r="L57">
        <v>523928</v>
      </c>
      <c r="M57">
        <v>6</v>
      </c>
      <c r="N57">
        <v>0.88</v>
      </c>
      <c r="O57">
        <v>0</v>
      </c>
      <c r="P57">
        <v>0</v>
      </c>
      <c r="V57" t="s">
        <v>260</v>
      </c>
      <c r="W57" t="s">
        <v>261</v>
      </c>
      <c r="X57" t="s">
        <v>941</v>
      </c>
      <c r="Y57" t="s">
        <v>942</v>
      </c>
    </row>
    <row r="58" spans="1:25" x14ac:dyDescent="0.2">
      <c r="A58">
        <v>523892</v>
      </c>
      <c r="B58">
        <v>21883</v>
      </c>
      <c r="C58">
        <v>2160</v>
      </c>
      <c r="D58">
        <v>1704</v>
      </c>
      <c r="E58">
        <v>1</v>
      </c>
      <c r="F58" t="s">
        <v>37</v>
      </c>
      <c r="G58" t="s">
        <v>37</v>
      </c>
      <c r="H58" t="s">
        <v>259</v>
      </c>
      <c r="I58">
        <v>2</v>
      </c>
      <c r="J58" t="s">
        <v>943</v>
      </c>
      <c r="L58">
        <v>523928</v>
      </c>
      <c r="M58">
        <v>6</v>
      </c>
      <c r="N58">
        <v>0.88</v>
      </c>
      <c r="O58">
        <v>0</v>
      </c>
      <c r="P58">
        <v>0</v>
      </c>
      <c r="V58" t="s">
        <v>260</v>
      </c>
      <c r="W58" t="s">
        <v>261</v>
      </c>
      <c r="X58" t="s">
        <v>944</v>
      </c>
      <c r="Y58" t="s">
        <v>945</v>
      </c>
    </row>
    <row r="59" spans="1:25" x14ac:dyDescent="0.2">
      <c r="A59">
        <v>523893</v>
      </c>
      <c r="B59">
        <v>21883</v>
      </c>
      <c r="C59">
        <v>2160</v>
      </c>
      <c r="D59">
        <v>1604</v>
      </c>
      <c r="E59">
        <v>1</v>
      </c>
      <c r="F59" t="s">
        <v>37</v>
      </c>
      <c r="G59" t="s">
        <v>37</v>
      </c>
      <c r="H59" t="s">
        <v>259</v>
      </c>
      <c r="I59">
        <v>1</v>
      </c>
      <c r="J59" t="s">
        <v>946</v>
      </c>
      <c r="L59">
        <v>523928</v>
      </c>
      <c r="M59">
        <v>6</v>
      </c>
      <c r="N59">
        <v>0.88</v>
      </c>
      <c r="O59">
        <v>0</v>
      </c>
      <c r="P59">
        <v>0</v>
      </c>
      <c r="V59" t="s">
        <v>260</v>
      </c>
      <c r="W59" t="s">
        <v>261</v>
      </c>
      <c r="X59" t="s">
        <v>947</v>
      </c>
      <c r="Y59" t="s">
        <v>948</v>
      </c>
    </row>
    <row r="60" spans="1:25" x14ac:dyDescent="0.2">
      <c r="A60">
        <v>523894</v>
      </c>
      <c r="B60">
        <v>21883</v>
      </c>
      <c r="C60">
        <v>2160</v>
      </c>
      <c r="D60">
        <v>1504</v>
      </c>
      <c r="E60">
        <v>1</v>
      </c>
      <c r="F60" t="s">
        <v>37</v>
      </c>
      <c r="G60" t="s">
        <v>37</v>
      </c>
      <c r="H60" t="s">
        <v>259</v>
      </c>
      <c r="I60">
        <v>9</v>
      </c>
      <c r="J60" t="s">
        <v>949</v>
      </c>
      <c r="L60">
        <v>523928</v>
      </c>
      <c r="M60">
        <v>6</v>
      </c>
      <c r="N60">
        <v>0.88</v>
      </c>
      <c r="O60">
        <v>0</v>
      </c>
      <c r="P60">
        <v>0</v>
      </c>
      <c r="V60" t="s">
        <v>260</v>
      </c>
      <c r="W60" t="s">
        <v>261</v>
      </c>
      <c r="X60" t="s">
        <v>950</v>
      </c>
      <c r="Y60" t="s">
        <v>951</v>
      </c>
    </row>
    <row r="61" spans="1:25" x14ac:dyDescent="0.2">
      <c r="A61">
        <v>523895</v>
      </c>
      <c r="B61">
        <v>21883</v>
      </c>
      <c r="C61">
        <v>2160</v>
      </c>
      <c r="D61">
        <v>801</v>
      </c>
      <c r="E61">
        <v>1</v>
      </c>
      <c r="F61" t="s">
        <v>37</v>
      </c>
      <c r="G61" t="s">
        <v>37</v>
      </c>
      <c r="H61" t="s">
        <v>259</v>
      </c>
      <c r="I61">
        <v>10</v>
      </c>
      <c r="J61" t="s">
        <v>952</v>
      </c>
      <c r="L61">
        <v>523999</v>
      </c>
      <c r="M61">
        <v>6</v>
      </c>
      <c r="N61">
        <v>0.88</v>
      </c>
      <c r="O61">
        <v>0</v>
      </c>
      <c r="P61">
        <v>0</v>
      </c>
      <c r="V61" t="s">
        <v>260</v>
      </c>
      <c r="W61" t="s">
        <v>261</v>
      </c>
      <c r="X61" t="s">
        <v>953</v>
      </c>
      <c r="Y61" t="s">
        <v>954</v>
      </c>
    </row>
    <row r="62" spans="1:25" x14ac:dyDescent="0.2">
      <c r="A62">
        <v>523896</v>
      </c>
      <c r="B62">
        <v>21883</v>
      </c>
      <c r="C62">
        <v>2160</v>
      </c>
      <c r="D62">
        <v>401</v>
      </c>
      <c r="E62">
        <v>1</v>
      </c>
      <c r="F62" t="s">
        <v>37</v>
      </c>
      <c r="G62" t="s">
        <v>37</v>
      </c>
      <c r="H62" t="s">
        <v>259</v>
      </c>
      <c r="I62">
        <v>5</v>
      </c>
      <c r="J62" t="s">
        <v>955</v>
      </c>
      <c r="L62">
        <v>523999</v>
      </c>
      <c r="M62">
        <v>6</v>
      </c>
      <c r="N62">
        <v>0.88</v>
      </c>
      <c r="O62">
        <v>0</v>
      </c>
      <c r="P62">
        <v>0</v>
      </c>
      <c r="V62" t="s">
        <v>260</v>
      </c>
      <c r="W62" t="s">
        <v>261</v>
      </c>
      <c r="X62" t="s">
        <v>956</v>
      </c>
      <c r="Y62" t="s">
        <v>957</v>
      </c>
    </row>
    <row r="63" spans="1:25" x14ac:dyDescent="0.2">
      <c r="A63">
        <v>523897</v>
      </c>
      <c r="B63">
        <v>21883</v>
      </c>
      <c r="C63">
        <v>2160</v>
      </c>
      <c r="D63">
        <v>301</v>
      </c>
      <c r="E63">
        <v>1</v>
      </c>
      <c r="F63" t="s">
        <v>37</v>
      </c>
      <c r="G63" t="s">
        <v>37</v>
      </c>
      <c r="H63" t="s">
        <v>259</v>
      </c>
      <c r="I63">
        <v>4</v>
      </c>
      <c r="J63" t="s">
        <v>958</v>
      </c>
      <c r="L63">
        <v>523999</v>
      </c>
      <c r="M63">
        <v>6</v>
      </c>
      <c r="N63">
        <v>0.88</v>
      </c>
      <c r="O63">
        <v>0</v>
      </c>
      <c r="P63">
        <v>0</v>
      </c>
      <c r="V63" t="s">
        <v>260</v>
      </c>
      <c r="W63" t="s">
        <v>261</v>
      </c>
      <c r="X63" t="s">
        <v>959</v>
      </c>
      <c r="Y63" t="s">
        <v>960</v>
      </c>
    </row>
    <row r="64" spans="1:25" x14ac:dyDescent="0.2">
      <c r="A64">
        <v>523898</v>
      </c>
      <c r="B64">
        <v>21883</v>
      </c>
      <c r="C64">
        <v>2160</v>
      </c>
      <c r="D64">
        <v>701</v>
      </c>
      <c r="E64">
        <v>1</v>
      </c>
      <c r="F64" t="s">
        <v>37</v>
      </c>
      <c r="G64" t="s">
        <v>37</v>
      </c>
      <c r="H64" t="s">
        <v>259</v>
      </c>
      <c r="I64">
        <v>8</v>
      </c>
      <c r="J64" t="s">
        <v>961</v>
      </c>
      <c r="L64">
        <v>523999</v>
      </c>
      <c r="M64">
        <v>6</v>
      </c>
      <c r="N64">
        <v>0.88</v>
      </c>
      <c r="O64">
        <v>0</v>
      </c>
      <c r="P64">
        <v>0</v>
      </c>
      <c r="V64" t="s">
        <v>260</v>
      </c>
      <c r="W64" t="s">
        <v>261</v>
      </c>
      <c r="X64" t="s">
        <v>962</v>
      </c>
      <c r="Y64" t="s">
        <v>963</v>
      </c>
    </row>
    <row r="65" spans="1:25" x14ac:dyDescent="0.2">
      <c r="A65">
        <v>523899</v>
      </c>
      <c r="B65">
        <v>21883</v>
      </c>
      <c r="C65">
        <v>2160</v>
      </c>
      <c r="D65">
        <v>601</v>
      </c>
      <c r="E65">
        <v>1</v>
      </c>
      <c r="F65" t="s">
        <v>37</v>
      </c>
      <c r="G65" t="s">
        <v>37</v>
      </c>
      <c r="H65" t="s">
        <v>259</v>
      </c>
      <c r="I65">
        <v>7</v>
      </c>
      <c r="J65" t="s">
        <v>964</v>
      </c>
      <c r="L65">
        <v>523999</v>
      </c>
      <c r="M65">
        <v>6</v>
      </c>
      <c r="N65">
        <v>0.88</v>
      </c>
      <c r="O65">
        <v>0</v>
      </c>
      <c r="P65">
        <v>0</v>
      </c>
      <c r="V65" t="s">
        <v>260</v>
      </c>
      <c r="W65" t="s">
        <v>261</v>
      </c>
      <c r="X65" t="s">
        <v>965</v>
      </c>
      <c r="Y65" t="s">
        <v>966</v>
      </c>
    </row>
    <row r="66" spans="1:25" x14ac:dyDescent="0.2">
      <c r="A66">
        <v>523900</v>
      </c>
      <c r="B66">
        <v>21883</v>
      </c>
      <c r="C66">
        <v>2160</v>
      </c>
      <c r="D66">
        <v>501</v>
      </c>
      <c r="E66">
        <v>1</v>
      </c>
      <c r="F66" t="s">
        <v>37</v>
      </c>
      <c r="G66" t="s">
        <v>37</v>
      </c>
      <c r="H66" t="s">
        <v>259</v>
      </c>
      <c r="I66">
        <v>6</v>
      </c>
      <c r="J66" t="s">
        <v>967</v>
      </c>
      <c r="L66">
        <v>523999</v>
      </c>
      <c r="M66">
        <v>6</v>
      </c>
      <c r="N66">
        <v>0.88</v>
      </c>
      <c r="O66">
        <v>0</v>
      </c>
      <c r="P66">
        <v>0</v>
      </c>
      <c r="V66" t="s">
        <v>260</v>
      </c>
      <c r="W66" t="s">
        <v>261</v>
      </c>
      <c r="X66" t="s">
        <v>968</v>
      </c>
      <c r="Y66" t="s">
        <v>969</v>
      </c>
    </row>
    <row r="67" spans="1:25" x14ac:dyDescent="0.2">
      <c r="A67">
        <v>523901</v>
      </c>
      <c r="B67">
        <v>21883</v>
      </c>
      <c r="C67">
        <v>2160</v>
      </c>
      <c r="D67">
        <v>1603</v>
      </c>
      <c r="E67">
        <v>1</v>
      </c>
      <c r="F67" t="s">
        <v>37</v>
      </c>
      <c r="G67" t="s">
        <v>37</v>
      </c>
      <c r="H67" t="s">
        <v>259</v>
      </c>
      <c r="I67">
        <v>1</v>
      </c>
      <c r="J67" t="s">
        <v>970</v>
      </c>
      <c r="L67">
        <v>523956</v>
      </c>
      <c r="M67">
        <v>6</v>
      </c>
      <c r="N67">
        <v>0.88</v>
      </c>
      <c r="O67">
        <v>0</v>
      </c>
      <c r="P67">
        <v>0</v>
      </c>
      <c r="V67" t="s">
        <v>260</v>
      </c>
      <c r="W67" t="s">
        <v>261</v>
      </c>
      <c r="X67" t="s">
        <v>971</v>
      </c>
      <c r="Y67" t="s">
        <v>972</v>
      </c>
    </row>
    <row r="68" spans="1:25" x14ac:dyDescent="0.2">
      <c r="A68">
        <v>523902</v>
      </c>
      <c r="B68">
        <v>21883</v>
      </c>
      <c r="C68">
        <v>2160</v>
      </c>
      <c r="D68">
        <v>101</v>
      </c>
      <c r="E68">
        <v>1</v>
      </c>
      <c r="F68" t="s">
        <v>37</v>
      </c>
      <c r="G68" t="s">
        <v>37</v>
      </c>
      <c r="H68" t="s">
        <v>259</v>
      </c>
      <c r="I68">
        <v>2</v>
      </c>
      <c r="J68" t="s">
        <v>973</v>
      </c>
      <c r="L68">
        <v>523957</v>
      </c>
      <c r="M68">
        <v>6</v>
      </c>
      <c r="N68">
        <v>0.88</v>
      </c>
      <c r="O68">
        <v>0</v>
      </c>
      <c r="P68">
        <v>0</v>
      </c>
      <c r="V68" t="s">
        <v>260</v>
      </c>
      <c r="W68" t="s">
        <v>261</v>
      </c>
      <c r="X68" t="s">
        <v>974</v>
      </c>
      <c r="Y68" t="s">
        <v>975</v>
      </c>
    </row>
    <row r="69" spans="1:25" x14ac:dyDescent="0.2">
      <c r="A69">
        <v>523903</v>
      </c>
      <c r="B69">
        <v>21883</v>
      </c>
      <c r="C69">
        <v>2160</v>
      </c>
      <c r="D69">
        <v>100</v>
      </c>
      <c r="E69">
        <v>1</v>
      </c>
      <c r="F69" t="s">
        <v>37</v>
      </c>
      <c r="G69" t="s">
        <v>37</v>
      </c>
      <c r="H69" t="s">
        <v>259</v>
      </c>
      <c r="I69">
        <v>1</v>
      </c>
      <c r="J69" t="s">
        <v>976</v>
      </c>
      <c r="L69">
        <v>523957</v>
      </c>
      <c r="M69">
        <v>6</v>
      </c>
      <c r="N69">
        <v>0.88</v>
      </c>
      <c r="O69">
        <v>0</v>
      </c>
      <c r="P69">
        <v>0</v>
      </c>
      <c r="V69" t="s">
        <v>260</v>
      </c>
      <c r="W69" t="s">
        <v>261</v>
      </c>
      <c r="X69" t="s">
        <v>977</v>
      </c>
      <c r="Y69" t="s">
        <v>978</v>
      </c>
    </row>
    <row r="70" spans="1:25" x14ac:dyDescent="0.2">
      <c r="A70">
        <v>523904</v>
      </c>
      <c r="B70">
        <v>21883</v>
      </c>
      <c r="C70">
        <v>2160</v>
      </c>
      <c r="D70">
        <v>0</v>
      </c>
      <c r="E70">
        <v>1</v>
      </c>
      <c r="F70" t="s">
        <v>37</v>
      </c>
      <c r="G70" t="s">
        <v>37</v>
      </c>
      <c r="H70" t="s">
        <v>259</v>
      </c>
      <c r="I70">
        <v>3</v>
      </c>
      <c r="J70" t="s">
        <v>979</v>
      </c>
      <c r="L70">
        <v>523957</v>
      </c>
      <c r="M70">
        <v>6</v>
      </c>
      <c r="N70">
        <v>0.88</v>
      </c>
      <c r="O70">
        <v>0</v>
      </c>
      <c r="P70">
        <v>0</v>
      </c>
      <c r="V70" t="s">
        <v>260</v>
      </c>
      <c r="W70" t="s">
        <v>261</v>
      </c>
      <c r="X70" t="s">
        <v>980</v>
      </c>
      <c r="Y70" t="s">
        <v>981</v>
      </c>
    </row>
    <row r="71" spans="1:25" x14ac:dyDescent="0.2">
      <c r="A71">
        <v>523905</v>
      </c>
      <c r="B71">
        <v>21883</v>
      </c>
      <c r="C71">
        <v>2160</v>
      </c>
      <c r="D71">
        <v>1203</v>
      </c>
      <c r="E71">
        <v>1</v>
      </c>
      <c r="F71" t="s">
        <v>37</v>
      </c>
      <c r="G71" t="s">
        <v>37</v>
      </c>
      <c r="H71" t="s">
        <v>259</v>
      </c>
      <c r="I71">
        <v>2</v>
      </c>
      <c r="J71" t="s">
        <v>982</v>
      </c>
      <c r="L71">
        <v>523958</v>
      </c>
      <c r="M71">
        <v>6</v>
      </c>
      <c r="N71">
        <v>0.88</v>
      </c>
      <c r="O71">
        <v>0</v>
      </c>
      <c r="P71">
        <v>0</v>
      </c>
      <c r="V71" t="s">
        <v>260</v>
      </c>
      <c r="W71" t="s">
        <v>261</v>
      </c>
      <c r="X71" t="s">
        <v>983</v>
      </c>
      <c r="Y71" t="s">
        <v>984</v>
      </c>
    </row>
    <row r="72" spans="1:25" x14ac:dyDescent="0.2">
      <c r="A72">
        <v>523906</v>
      </c>
      <c r="B72">
        <v>21883</v>
      </c>
      <c r="C72">
        <v>2160</v>
      </c>
      <c r="D72">
        <v>1303</v>
      </c>
      <c r="E72">
        <v>1</v>
      </c>
      <c r="F72" t="s">
        <v>37</v>
      </c>
      <c r="G72" t="s">
        <v>37</v>
      </c>
      <c r="H72" t="s">
        <v>259</v>
      </c>
      <c r="I72">
        <v>1</v>
      </c>
      <c r="J72" t="s">
        <v>985</v>
      </c>
      <c r="L72">
        <v>523958</v>
      </c>
      <c r="M72">
        <v>6</v>
      </c>
      <c r="N72">
        <v>0.88</v>
      </c>
      <c r="O72">
        <v>0</v>
      </c>
      <c r="P72">
        <v>0</v>
      </c>
      <c r="V72" t="s">
        <v>260</v>
      </c>
      <c r="W72" t="s">
        <v>261</v>
      </c>
      <c r="X72" t="s">
        <v>986</v>
      </c>
      <c r="Y72" t="s">
        <v>987</v>
      </c>
    </row>
    <row r="73" spans="1:25" x14ac:dyDescent="0.2">
      <c r="A73">
        <v>523907</v>
      </c>
      <c r="B73">
        <v>21883</v>
      </c>
      <c r="C73">
        <v>2160</v>
      </c>
      <c r="D73">
        <v>1704</v>
      </c>
      <c r="E73">
        <v>1</v>
      </c>
      <c r="F73" t="s">
        <v>37</v>
      </c>
      <c r="G73" t="s">
        <v>37</v>
      </c>
      <c r="H73" t="s">
        <v>259</v>
      </c>
      <c r="I73">
        <v>3</v>
      </c>
      <c r="J73" t="s">
        <v>988</v>
      </c>
      <c r="L73">
        <v>523959</v>
      </c>
      <c r="M73">
        <v>6</v>
      </c>
      <c r="N73">
        <v>0.88</v>
      </c>
      <c r="O73">
        <v>0</v>
      </c>
      <c r="P73">
        <v>0</v>
      </c>
      <c r="V73" t="s">
        <v>260</v>
      </c>
      <c r="W73" t="s">
        <v>261</v>
      </c>
      <c r="X73" t="s">
        <v>989</v>
      </c>
      <c r="Y73" t="s">
        <v>990</v>
      </c>
    </row>
    <row r="74" spans="1:25" x14ac:dyDescent="0.2">
      <c r="A74">
        <v>523908</v>
      </c>
      <c r="B74">
        <v>21883</v>
      </c>
      <c r="C74">
        <v>2160</v>
      </c>
      <c r="D74">
        <v>1604</v>
      </c>
      <c r="E74">
        <v>1</v>
      </c>
      <c r="F74" t="s">
        <v>37</v>
      </c>
      <c r="G74" t="s">
        <v>37</v>
      </c>
      <c r="H74" t="s">
        <v>259</v>
      </c>
      <c r="I74">
        <v>2</v>
      </c>
      <c r="J74" t="s">
        <v>991</v>
      </c>
      <c r="L74">
        <v>523959</v>
      </c>
      <c r="M74">
        <v>6</v>
      </c>
      <c r="N74">
        <v>0.88</v>
      </c>
      <c r="O74">
        <v>0</v>
      </c>
      <c r="P74">
        <v>0</v>
      </c>
      <c r="V74" t="s">
        <v>260</v>
      </c>
      <c r="W74" t="s">
        <v>261</v>
      </c>
      <c r="X74" t="s">
        <v>992</v>
      </c>
      <c r="Y74" t="s">
        <v>993</v>
      </c>
    </row>
    <row r="75" spans="1:25" x14ac:dyDescent="0.2">
      <c r="A75">
        <v>523909</v>
      </c>
      <c r="B75">
        <v>21883</v>
      </c>
      <c r="C75">
        <v>2160</v>
      </c>
      <c r="D75">
        <v>100</v>
      </c>
      <c r="E75">
        <v>1</v>
      </c>
      <c r="F75" t="s">
        <v>37</v>
      </c>
      <c r="G75" t="s">
        <v>37</v>
      </c>
      <c r="H75" t="s">
        <v>259</v>
      </c>
      <c r="I75">
        <v>1</v>
      </c>
      <c r="J75" t="s">
        <v>994</v>
      </c>
      <c r="L75">
        <v>523960</v>
      </c>
      <c r="M75">
        <v>6</v>
      </c>
      <c r="N75">
        <v>0.88</v>
      </c>
      <c r="O75">
        <v>0</v>
      </c>
      <c r="P75">
        <v>0</v>
      </c>
      <c r="V75" t="s">
        <v>260</v>
      </c>
      <c r="W75" t="s">
        <v>261</v>
      </c>
      <c r="X75" t="s">
        <v>995</v>
      </c>
      <c r="Y75" t="s">
        <v>996</v>
      </c>
    </row>
    <row r="76" spans="1:25" x14ac:dyDescent="0.2">
      <c r="A76">
        <v>523910</v>
      </c>
      <c r="B76">
        <v>21883</v>
      </c>
      <c r="C76">
        <v>2160</v>
      </c>
      <c r="D76">
        <v>0</v>
      </c>
      <c r="E76">
        <v>1</v>
      </c>
      <c r="F76" t="s">
        <v>37</v>
      </c>
      <c r="G76" t="s">
        <v>37</v>
      </c>
      <c r="H76" t="s">
        <v>259</v>
      </c>
      <c r="I76">
        <v>4</v>
      </c>
      <c r="J76" t="s">
        <v>997</v>
      </c>
      <c r="L76">
        <v>523960</v>
      </c>
      <c r="M76">
        <v>6</v>
      </c>
      <c r="N76">
        <v>0.88</v>
      </c>
      <c r="O76">
        <v>0</v>
      </c>
      <c r="P76">
        <v>0</v>
      </c>
      <c r="V76" t="s">
        <v>260</v>
      </c>
      <c r="W76" t="s">
        <v>261</v>
      </c>
      <c r="X76" t="s">
        <v>998</v>
      </c>
      <c r="Y76" t="s">
        <v>999</v>
      </c>
    </row>
    <row r="77" spans="1:25" x14ac:dyDescent="0.2">
      <c r="A77">
        <v>523911</v>
      </c>
      <c r="B77">
        <v>21883</v>
      </c>
      <c r="C77">
        <v>2160</v>
      </c>
      <c r="D77">
        <v>101</v>
      </c>
      <c r="E77">
        <v>1</v>
      </c>
      <c r="F77" t="s">
        <v>37</v>
      </c>
      <c r="G77" t="s">
        <v>37</v>
      </c>
      <c r="H77" t="s">
        <v>259</v>
      </c>
      <c r="I77">
        <v>2</v>
      </c>
      <c r="J77" t="s">
        <v>973</v>
      </c>
      <c r="L77">
        <v>523962</v>
      </c>
      <c r="M77">
        <v>6</v>
      </c>
      <c r="N77">
        <v>0.88</v>
      </c>
      <c r="O77">
        <v>0</v>
      </c>
      <c r="P77">
        <v>0</v>
      </c>
      <c r="V77" t="s">
        <v>260</v>
      </c>
      <c r="W77" t="s">
        <v>261</v>
      </c>
      <c r="X77" t="s">
        <v>1000</v>
      </c>
      <c r="Y77" t="s">
        <v>1001</v>
      </c>
    </row>
    <row r="78" spans="1:25" x14ac:dyDescent="0.2">
      <c r="A78">
        <v>523912</v>
      </c>
      <c r="B78">
        <v>21883</v>
      </c>
      <c r="C78">
        <v>2160</v>
      </c>
      <c r="D78">
        <v>100</v>
      </c>
      <c r="E78">
        <v>1</v>
      </c>
      <c r="F78" t="s">
        <v>37</v>
      </c>
      <c r="G78" t="s">
        <v>37</v>
      </c>
      <c r="H78" t="s">
        <v>259</v>
      </c>
      <c r="I78">
        <v>1</v>
      </c>
      <c r="J78" t="s">
        <v>976</v>
      </c>
      <c r="L78">
        <v>523962</v>
      </c>
      <c r="M78">
        <v>6</v>
      </c>
      <c r="N78">
        <v>0.88</v>
      </c>
      <c r="O78">
        <v>0</v>
      </c>
      <c r="P78">
        <v>0</v>
      </c>
      <c r="V78" t="s">
        <v>260</v>
      </c>
      <c r="W78" t="s">
        <v>261</v>
      </c>
      <c r="X78" t="s">
        <v>1002</v>
      </c>
      <c r="Y78" t="s">
        <v>1003</v>
      </c>
    </row>
    <row r="79" spans="1:25" x14ac:dyDescent="0.2">
      <c r="A79">
        <v>523913</v>
      </c>
      <c r="B79">
        <v>21883</v>
      </c>
      <c r="C79">
        <v>2160</v>
      </c>
      <c r="D79">
        <v>1</v>
      </c>
      <c r="E79">
        <v>1</v>
      </c>
      <c r="F79" t="s">
        <v>37</v>
      </c>
      <c r="G79" t="s">
        <v>37</v>
      </c>
      <c r="H79" t="s">
        <v>259</v>
      </c>
      <c r="I79">
        <v>3</v>
      </c>
      <c r="J79" t="s">
        <v>979</v>
      </c>
      <c r="L79">
        <v>523962</v>
      </c>
      <c r="M79">
        <v>6</v>
      </c>
      <c r="N79">
        <v>0.88</v>
      </c>
      <c r="O79">
        <v>0</v>
      </c>
      <c r="P79">
        <v>0</v>
      </c>
      <c r="V79" t="s">
        <v>260</v>
      </c>
      <c r="W79" t="s">
        <v>261</v>
      </c>
      <c r="X79" t="s">
        <v>1004</v>
      </c>
      <c r="Y79" t="s">
        <v>1005</v>
      </c>
    </row>
    <row r="80" spans="1:25" x14ac:dyDescent="0.2">
      <c r="A80">
        <v>523914</v>
      </c>
      <c r="B80">
        <v>21883</v>
      </c>
      <c r="C80">
        <v>2160</v>
      </c>
      <c r="D80">
        <v>1503</v>
      </c>
      <c r="E80">
        <v>1</v>
      </c>
      <c r="F80" t="s">
        <v>37</v>
      </c>
      <c r="G80" t="s">
        <v>37</v>
      </c>
      <c r="H80" t="s">
        <v>259</v>
      </c>
      <c r="I80">
        <v>3</v>
      </c>
      <c r="J80" t="s">
        <v>1006</v>
      </c>
      <c r="L80">
        <v>523963</v>
      </c>
      <c r="M80">
        <v>6</v>
      </c>
      <c r="N80">
        <v>0.88</v>
      </c>
      <c r="O80">
        <v>0</v>
      </c>
      <c r="P80">
        <v>0</v>
      </c>
      <c r="V80" t="s">
        <v>260</v>
      </c>
      <c r="W80" t="s">
        <v>261</v>
      </c>
      <c r="X80" t="s">
        <v>1007</v>
      </c>
      <c r="Y80" t="s">
        <v>1008</v>
      </c>
    </row>
    <row r="81" spans="1:25" x14ac:dyDescent="0.2">
      <c r="A81">
        <v>523915</v>
      </c>
      <c r="B81">
        <v>21883</v>
      </c>
      <c r="C81">
        <v>2160</v>
      </c>
      <c r="D81">
        <v>1403</v>
      </c>
      <c r="E81">
        <v>1</v>
      </c>
      <c r="F81" t="s">
        <v>37</v>
      </c>
      <c r="G81" t="s">
        <v>37</v>
      </c>
      <c r="H81" t="s">
        <v>259</v>
      </c>
      <c r="I81">
        <v>2</v>
      </c>
      <c r="J81" t="s">
        <v>1009</v>
      </c>
      <c r="L81">
        <v>523963</v>
      </c>
      <c r="M81">
        <v>6</v>
      </c>
      <c r="N81">
        <v>0.88</v>
      </c>
      <c r="O81">
        <v>0</v>
      </c>
      <c r="P81">
        <v>0</v>
      </c>
      <c r="V81" t="s">
        <v>260</v>
      </c>
      <c r="W81" t="s">
        <v>261</v>
      </c>
      <c r="X81" t="s">
        <v>1010</v>
      </c>
      <c r="Y81" t="s">
        <v>1011</v>
      </c>
    </row>
    <row r="82" spans="1:25" x14ac:dyDescent="0.2">
      <c r="A82">
        <v>523916</v>
      </c>
      <c r="B82">
        <v>21883</v>
      </c>
      <c r="C82">
        <v>2160</v>
      </c>
      <c r="D82">
        <v>1303</v>
      </c>
      <c r="E82">
        <v>1</v>
      </c>
      <c r="F82" t="s">
        <v>37</v>
      </c>
      <c r="G82" t="s">
        <v>37</v>
      </c>
      <c r="H82" t="s">
        <v>259</v>
      </c>
      <c r="I82">
        <v>6</v>
      </c>
      <c r="J82" t="s">
        <v>1012</v>
      </c>
      <c r="L82">
        <v>523963</v>
      </c>
      <c r="M82">
        <v>6</v>
      </c>
      <c r="N82">
        <v>0.88</v>
      </c>
      <c r="O82">
        <v>0</v>
      </c>
      <c r="P82">
        <v>0</v>
      </c>
      <c r="V82" t="s">
        <v>260</v>
      </c>
      <c r="W82" t="s">
        <v>261</v>
      </c>
      <c r="X82" t="s">
        <v>1013</v>
      </c>
      <c r="Y82" t="s">
        <v>1014</v>
      </c>
    </row>
    <row r="83" spans="1:25" x14ac:dyDescent="0.2">
      <c r="A83">
        <v>523917</v>
      </c>
      <c r="B83">
        <v>21883</v>
      </c>
      <c r="C83">
        <v>2160</v>
      </c>
      <c r="D83">
        <v>1704</v>
      </c>
      <c r="E83">
        <v>1</v>
      </c>
      <c r="F83" t="s">
        <v>37</v>
      </c>
      <c r="G83" t="s">
        <v>37</v>
      </c>
      <c r="H83" t="s">
        <v>259</v>
      </c>
      <c r="I83">
        <v>3</v>
      </c>
      <c r="J83" t="s">
        <v>1015</v>
      </c>
      <c r="L83">
        <v>523964</v>
      </c>
      <c r="M83">
        <v>6</v>
      </c>
      <c r="N83">
        <v>0.88</v>
      </c>
      <c r="O83">
        <v>0</v>
      </c>
      <c r="P83">
        <v>0</v>
      </c>
      <c r="V83" t="s">
        <v>260</v>
      </c>
      <c r="W83" t="s">
        <v>261</v>
      </c>
      <c r="X83" t="s">
        <v>1016</v>
      </c>
      <c r="Y83" t="s">
        <v>1017</v>
      </c>
    </row>
    <row r="84" spans="1:25" x14ac:dyDescent="0.2">
      <c r="A84">
        <v>523918</v>
      </c>
      <c r="B84">
        <v>21883</v>
      </c>
      <c r="C84">
        <v>2160</v>
      </c>
      <c r="D84">
        <v>1604</v>
      </c>
      <c r="E84">
        <v>1</v>
      </c>
      <c r="F84" t="s">
        <v>37</v>
      </c>
      <c r="G84" t="s">
        <v>37</v>
      </c>
      <c r="H84" t="s">
        <v>259</v>
      </c>
      <c r="I84">
        <v>2</v>
      </c>
      <c r="J84" t="s">
        <v>1018</v>
      </c>
      <c r="L84">
        <v>523964</v>
      </c>
      <c r="M84">
        <v>6</v>
      </c>
      <c r="N84">
        <v>0.88</v>
      </c>
      <c r="O84">
        <v>0</v>
      </c>
      <c r="P84">
        <v>0</v>
      </c>
      <c r="V84" t="s">
        <v>260</v>
      </c>
      <c r="W84" t="s">
        <v>261</v>
      </c>
      <c r="X84" t="s">
        <v>1019</v>
      </c>
      <c r="Y84" t="s">
        <v>1020</v>
      </c>
    </row>
    <row r="85" spans="1:25" x14ac:dyDescent="0.2">
      <c r="A85">
        <v>523919</v>
      </c>
      <c r="B85">
        <v>21883</v>
      </c>
      <c r="C85">
        <v>2160</v>
      </c>
      <c r="D85">
        <v>100</v>
      </c>
      <c r="E85">
        <v>1</v>
      </c>
      <c r="F85" t="s">
        <v>37</v>
      </c>
      <c r="G85" t="s">
        <v>37</v>
      </c>
      <c r="H85" t="s">
        <v>259</v>
      </c>
      <c r="I85">
        <v>1</v>
      </c>
      <c r="J85" t="s">
        <v>994</v>
      </c>
      <c r="L85">
        <v>523965</v>
      </c>
      <c r="M85">
        <v>6</v>
      </c>
      <c r="N85">
        <v>0.88</v>
      </c>
      <c r="O85">
        <v>0</v>
      </c>
      <c r="P85">
        <v>0</v>
      </c>
      <c r="V85" t="s">
        <v>260</v>
      </c>
      <c r="W85" t="s">
        <v>261</v>
      </c>
      <c r="X85" t="s">
        <v>1021</v>
      </c>
      <c r="Y85" t="s">
        <v>1022</v>
      </c>
    </row>
    <row r="86" spans="1:25" x14ac:dyDescent="0.2">
      <c r="A86">
        <v>523920</v>
      </c>
      <c r="B86">
        <v>21883</v>
      </c>
      <c r="C86">
        <v>2160</v>
      </c>
      <c r="D86">
        <v>0</v>
      </c>
      <c r="E86">
        <v>1</v>
      </c>
      <c r="F86" t="s">
        <v>37</v>
      </c>
      <c r="G86" t="s">
        <v>37</v>
      </c>
      <c r="H86" t="s">
        <v>259</v>
      </c>
      <c r="I86">
        <v>4</v>
      </c>
      <c r="J86" t="s">
        <v>997</v>
      </c>
      <c r="L86">
        <v>523965</v>
      </c>
      <c r="M86">
        <v>6</v>
      </c>
      <c r="N86">
        <v>0.88</v>
      </c>
      <c r="O86">
        <v>0</v>
      </c>
      <c r="P86">
        <v>0</v>
      </c>
      <c r="V86" t="s">
        <v>260</v>
      </c>
      <c r="W86" t="s">
        <v>261</v>
      </c>
      <c r="X86" t="s">
        <v>1023</v>
      </c>
      <c r="Y86" t="s">
        <v>1024</v>
      </c>
    </row>
    <row r="87" spans="1:25" x14ac:dyDescent="0.2">
      <c r="A87">
        <v>523921</v>
      </c>
      <c r="B87">
        <v>21883</v>
      </c>
      <c r="C87">
        <v>2160</v>
      </c>
      <c r="D87">
        <v>101</v>
      </c>
      <c r="E87">
        <v>1</v>
      </c>
      <c r="F87" t="s">
        <v>37</v>
      </c>
      <c r="G87" t="s">
        <v>37</v>
      </c>
      <c r="H87" t="s">
        <v>259</v>
      </c>
      <c r="I87">
        <v>2</v>
      </c>
      <c r="J87" t="s">
        <v>1025</v>
      </c>
      <c r="L87">
        <v>523966</v>
      </c>
      <c r="M87">
        <v>6</v>
      </c>
      <c r="N87">
        <v>0.88</v>
      </c>
      <c r="O87">
        <v>0</v>
      </c>
      <c r="P87">
        <v>0</v>
      </c>
      <c r="V87" t="s">
        <v>260</v>
      </c>
      <c r="W87" t="s">
        <v>261</v>
      </c>
      <c r="X87" t="s">
        <v>1026</v>
      </c>
      <c r="Y87" t="s">
        <v>1027</v>
      </c>
    </row>
    <row r="88" spans="1:25" x14ac:dyDescent="0.2">
      <c r="A88">
        <v>523922</v>
      </c>
      <c r="B88">
        <v>21883</v>
      </c>
      <c r="C88">
        <v>2160</v>
      </c>
      <c r="D88">
        <v>100</v>
      </c>
      <c r="E88">
        <v>1</v>
      </c>
      <c r="F88" t="s">
        <v>37</v>
      </c>
      <c r="G88" t="s">
        <v>37</v>
      </c>
      <c r="H88" t="s">
        <v>259</v>
      </c>
      <c r="I88">
        <v>1</v>
      </c>
      <c r="J88" t="s">
        <v>1028</v>
      </c>
      <c r="L88">
        <v>523966</v>
      </c>
      <c r="M88">
        <v>6</v>
      </c>
      <c r="N88">
        <v>0.88</v>
      </c>
      <c r="O88">
        <v>0</v>
      </c>
      <c r="P88">
        <v>0</v>
      </c>
      <c r="V88" t="s">
        <v>260</v>
      </c>
      <c r="W88" t="s">
        <v>261</v>
      </c>
      <c r="X88" t="s">
        <v>1029</v>
      </c>
      <c r="Y88" t="s">
        <v>1030</v>
      </c>
    </row>
    <row r="89" spans="1:25" x14ac:dyDescent="0.2">
      <c r="A89">
        <v>523923</v>
      </c>
      <c r="B89">
        <v>21883</v>
      </c>
      <c r="C89">
        <v>2160</v>
      </c>
      <c r="D89">
        <v>0</v>
      </c>
      <c r="E89">
        <v>1</v>
      </c>
      <c r="F89" t="s">
        <v>37</v>
      </c>
      <c r="G89" t="s">
        <v>37</v>
      </c>
      <c r="H89" t="s">
        <v>259</v>
      </c>
      <c r="I89">
        <v>3</v>
      </c>
      <c r="J89" t="s">
        <v>1031</v>
      </c>
      <c r="L89">
        <v>523966</v>
      </c>
      <c r="M89">
        <v>6</v>
      </c>
      <c r="N89">
        <v>0.88</v>
      </c>
      <c r="O89">
        <v>0</v>
      </c>
      <c r="P89">
        <v>0</v>
      </c>
      <c r="V89" t="s">
        <v>260</v>
      </c>
      <c r="W89" t="s">
        <v>261</v>
      </c>
      <c r="X89" t="s">
        <v>1032</v>
      </c>
      <c r="Y89" t="s">
        <v>1033</v>
      </c>
    </row>
    <row r="90" spans="1:25" x14ac:dyDescent="0.2">
      <c r="A90">
        <v>523924</v>
      </c>
      <c r="B90">
        <v>21883</v>
      </c>
      <c r="C90">
        <v>2160</v>
      </c>
      <c r="D90">
        <v>3</v>
      </c>
      <c r="E90">
        <v>1</v>
      </c>
      <c r="F90" t="s">
        <v>37</v>
      </c>
      <c r="G90" t="s">
        <v>37</v>
      </c>
      <c r="H90" t="s">
        <v>259</v>
      </c>
      <c r="I90">
        <v>3</v>
      </c>
      <c r="J90" t="s">
        <v>1034</v>
      </c>
      <c r="L90">
        <v>523995</v>
      </c>
      <c r="M90">
        <v>6</v>
      </c>
      <c r="N90">
        <v>0.88</v>
      </c>
      <c r="O90">
        <v>0</v>
      </c>
      <c r="P90">
        <v>0</v>
      </c>
      <c r="V90" t="s">
        <v>260</v>
      </c>
      <c r="W90" t="s">
        <v>261</v>
      </c>
      <c r="X90" t="s">
        <v>1035</v>
      </c>
      <c r="Y90" t="s">
        <v>1036</v>
      </c>
    </row>
    <row r="91" spans="1:25" x14ac:dyDescent="0.2">
      <c r="A91">
        <v>523925</v>
      </c>
      <c r="B91">
        <v>21883</v>
      </c>
      <c r="C91">
        <v>2160</v>
      </c>
      <c r="D91">
        <v>1604</v>
      </c>
      <c r="E91">
        <v>1</v>
      </c>
      <c r="F91" t="s">
        <v>37</v>
      </c>
      <c r="G91" t="s">
        <v>37</v>
      </c>
      <c r="H91" t="s">
        <v>259</v>
      </c>
      <c r="I91">
        <v>2</v>
      </c>
      <c r="J91" t="s">
        <v>1037</v>
      </c>
      <c r="L91">
        <v>523995</v>
      </c>
      <c r="M91">
        <v>6</v>
      </c>
      <c r="N91">
        <v>0.88</v>
      </c>
      <c r="O91">
        <v>0</v>
      </c>
      <c r="P91">
        <v>0</v>
      </c>
      <c r="V91" t="s">
        <v>260</v>
      </c>
      <c r="W91" t="s">
        <v>261</v>
      </c>
      <c r="X91" t="s">
        <v>1038</v>
      </c>
      <c r="Y91" t="s">
        <v>1039</v>
      </c>
    </row>
    <row r="92" spans="1:25" x14ac:dyDescent="0.2">
      <c r="A92">
        <v>523926</v>
      </c>
      <c r="B92">
        <v>21883</v>
      </c>
      <c r="C92">
        <v>2160</v>
      </c>
      <c r="D92">
        <v>0</v>
      </c>
      <c r="E92">
        <v>1</v>
      </c>
      <c r="F92" t="s">
        <v>37</v>
      </c>
      <c r="G92" t="s">
        <v>37</v>
      </c>
      <c r="H92" t="s">
        <v>259</v>
      </c>
      <c r="I92">
        <v>1</v>
      </c>
      <c r="J92" t="s">
        <v>1040</v>
      </c>
      <c r="L92">
        <v>523995</v>
      </c>
      <c r="M92">
        <v>6</v>
      </c>
      <c r="N92">
        <v>0.88</v>
      </c>
      <c r="O92">
        <v>0</v>
      </c>
      <c r="P92">
        <v>0</v>
      </c>
      <c r="V92" t="s">
        <v>260</v>
      </c>
      <c r="W92" t="s">
        <v>261</v>
      </c>
      <c r="X92" t="s">
        <v>1041</v>
      </c>
      <c r="Y92" t="s">
        <v>1042</v>
      </c>
    </row>
    <row r="93" spans="1:25" x14ac:dyDescent="0.2">
      <c r="A93">
        <v>523927</v>
      </c>
      <c r="B93">
        <v>21883</v>
      </c>
      <c r="C93">
        <v>2160</v>
      </c>
      <c r="D93">
        <v>1704</v>
      </c>
      <c r="E93">
        <v>1</v>
      </c>
      <c r="F93" t="s">
        <v>37</v>
      </c>
      <c r="G93" t="s">
        <v>37</v>
      </c>
      <c r="H93" t="s">
        <v>259</v>
      </c>
      <c r="I93">
        <v>3</v>
      </c>
      <c r="J93" t="s">
        <v>1043</v>
      </c>
      <c r="L93">
        <v>523968</v>
      </c>
      <c r="M93">
        <v>6</v>
      </c>
      <c r="N93">
        <v>0.88</v>
      </c>
      <c r="O93">
        <v>0</v>
      </c>
      <c r="P93">
        <v>0</v>
      </c>
      <c r="V93" t="s">
        <v>260</v>
      </c>
      <c r="W93" t="s">
        <v>261</v>
      </c>
      <c r="X93" t="s">
        <v>1044</v>
      </c>
      <c r="Y93" t="s">
        <v>1045</v>
      </c>
    </row>
    <row r="94" spans="1:25" x14ac:dyDescent="0.2">
      <c r="A94">
        <v>523928</v>
      </c>
      <c r="B94">
        <v>21883</v>
      </c>
      <c r="C94">
        <v>2160</v>
      </c>
      <c r="D94">
        <v>1604</v>
      </c>
      <c r="E94">
        <v>1</v>
      </c>
      <c r="F94" t="s">
        <v>37</v>
      </c>
      <c r="G94" t="s">
        <v>37</v>
      </c>
      <c r="H94" t="s">
        <v>259</v>
      </c>
      <c r="I94">
        <v>2</v>
      </c>
      <c r="J94" t="s">
        <v>1046</v>
      </c>
      <c r="L94">
        <v>523968</v>
      </c>
      <c r="M94">
        <v>6</v>
      </c>
      <c r="N94">
        <v>0.88</v>
      </c>
      <c r="O94">
        <v>0</v>
      </c>
      <c r="P94">
        <v>0</v>
      </c>
      <c r="V94" t="s">
        <v>260</v>
      </c>
      <c r="W94" t="s">
        <v>261</v>
      </c>
      <c r="X94" t="s">
        <v>1047</v>
      </c>
      <c r="Y94" t="s">
        <v>1048</v>
      </c>
    </row>
    <row r="95" spans="1:25" x14ac:dyDescent="0.2">
      <c r="A95">
        <v>523929</v>
      </c>
      <c r="B95">
        <v>21883</v>
      </c>
      <c r="C95">
        <v>2160</v>
      </c>
      <c r="D95">
        <v>1504</v>
      </c>
      <c r="E95">
        <v>1</v>
      </c>
      <c r="F95" t="s">
        <v>37</v>
      </c>
      <c r="G95" t="s">
        <v>37</v>
      </c>
      <c r="H95" t="s">
        <v>259</v>
      </c>
      <c r="I95">
        <v>1</v>
      </c>
      <c r="J95" t="s">
        <v>1049</v>
      </c>
      <c r="L95">
        <v>523968</v>
      </c>
      <c r="M95">
        <v>6</v>
      </c>
      <c r="N95">
        <v>0.88</v>
      </c>
      <c r="O95">
        <v>0</v>
      </c>
      <c r="P95">
        <v>0</v>
      </c>
      <c r="V95" t="s">
        <v>260</v>
      </c>
      <c r="W95" t="s">
        <v>261</v>
      </c>
      <c r="X95" t="s">
        <v>1050</v>
      </c>
      <c r="Y95" t="s">
        <v>1051</v>
      </c>
    </row>
    <row r="96" spans="1:25" x14ac:dyDescent="0.2">
      <c r="A96">
        <v>523930</v>
      </c>
      <c r="B96">
        <v>21883</v>
      </c>
      <c r="C96">
        <v>2160</v>
      </c>
      <c r="D96">
        <v>1404</v>
      </c>
      <c r="E96">
        <v>1</v>
      </c>
      <c r="F96" t="s">
        <v>37</v>
      </c>
      <c r="G96" t="s">
        <v>37</v>
      </c>
      <c r="H96" t="s">
        <v>259</v>
      </c>
      <c r="I96">
        <v>4</v>
      </c>
      <c r="J96" t="s">
        <v>1052</v>
      </c>
      <c r="L96">
        <v>523968</v>
      </c>
      <c r="M96">
        <v>6</v>
      </c>
      <c r="N96">
        <v>0.88</v>
      </c>
      <c r="O96">
        <v>0</v>
      </c>
      <c r="P96">
        <v>0</v>
      </c>
      <c r="V96" t="s">
        <v>260</v>
      </c>
      <c r="W96" t="s">
        <v>261</v>
      </c>
      <c r="X96" t="s">
        <v>1053</v>
      </c>
      <c r="Y96" t="s">
        <v>1054</v>
      </c>
    </row>
    <row r="97" spans="1:25" x14ac:dyDescent="0.2">
      <c r="A97">
        <v>523931</v>
      </c>
      <c r="B97">
        <v>21883</v>
      </c>
      <c r="C97">
        <v>2160</v>
      </c>
      <c r="D97">
        <v>1</v>
      </c>
      <c r="E97">
        <v>1</v>
      </c>
      <c r="F97" t="s">
        <v>37</v>
      </c>
      <c r="G97" t="s">
        <v>37</v>
      </c>
      <c r="H97" t="s">
        <v>259</v>
      </c>
      <c r="I97">
        <v>9</v>
      </c>
      <c r="J97" t="s">
        <v>1055</v>
      </c>
      <c r="L97">
        <v>524013</v>
      </c>
      <c r="M97">
        <v>6</v>
      </c>
      <c r="N97">
        <v>0.88</v>
      </c>
      <c r="O97">
        <v>0</v>
      </c>
      <c r="P97">
        <v>0</v>
      </c>
      <c r="V97" t="s">
        <v>260</v>
      </c>
      <c r="W97" t="s">
        <v>261</v>
      </c>
      <c r="X97" t="s">
        <v>1056</v>
      </c>
      <c r="Y97" t="s">
        <v>1057</v>
      </c>
    </row>
    <row r="98" spans="1:25" x14ac:dyDescent="0.2">
      <c r="A98">
        <v>523932</v>
      </c>
      <c r="B98">
        <v>21883</v>
      </c>
      <c r="C98">
        <v>2160</v>
      </c>
      <c r="D98">
        <v>0</v>
      </c>
      <c r="E98">
        <v>1</v>
      </c>
      <c r="F98" t="s">
        <v>37</v>
      </c>
      <c r="G98" t="s">
        <v>37</v>
      </c>
      <c r="H98" t="s">
        <v>259</v>
      </c>
      <c r="I98">
        <v>10</v>
      </c>
      <c r="J98" t="s">
        <v>1058</v>
      </c>
      <c r="L98">
        <v>524013</v>
      </c>
      <c r="M98">
        <v>6</v>
      </c>
      <c r="N98">
        <v>0.88</v>
      </c>
      <c r="O98">
        <v>0</v>
      </c>
      <c r="P98">
        <v>0</v>
      </c>
      <c r="V98" t="s">
        <v>260</v>
      </c>
      <c r="W98" t="s">
        <v>261</v>
      </c>
      <c r="X98" t="s">
        <v>1059</v>
      </c>
      <c r="Y98" t="s">
        <v>1060</v>
      </c>
    </row>
    <row r="99" spans="1:25" x14ac:dyDescent="0.2">
      <c r="A99">
        <v>523933</v>
      </c>
      <c r="B99">
        <v>21883</v>
      </c>
      <c r="C99">
        <v>2160</v>
      </c>
      <c r="D99">
        <v>106</v>
      </c>
      <c r="E99">
        <v>1</v>
      </c>
      <c r="F99" t="s">
        <v>37</v>
      </c>
      <c r="G99" t="s">
        <v>37</v>
      </c>
      <c r="H99" t="s">
        <v>259</v>
      </c>
      <c r="I99">
        <v>2</v>
      </c>
      <c r="J99" t="s">
        <v>1061</v>
      </c>
      <c r="L99">
        <v>524019</v>
      </c>
      <c r="M99">
        <v>6</v>
      </c>
      <c r="N99">
        <v>0.88</v>
      </c>
      <c r="O99">
        <v>0</v>
      </c>
      <c r="P99">
        <v>0</v>
      </c>
      <c r="V99" t="s">
        <v>260</v>
      </c>
      <c r="W99" t="s">
        <v>261</v>
      </c>
      <c r="X99" t="s">
        <v>1062</v>
      </c>
      <c r="Y99" t="s">
        <v>1063</v>
      </c>
    </row>
    <row r="100" spans="1:25" x14ac:dyDescent="0.2">
      <c r="A100">
        <v>523934</v>
      </c>
      <c r="B100">
        <v>21883</v>
      </c>
      <c r="C100">
        <v>2160</v>
      </c>
      <c r="D100">
        <v>0</v>
      </c>
      <c r="E100">
        <v>1</v>
      </c>
      <c r="F100" t="s">
        <v>37</v>
      </c>
      <c r="G100" t="s">
        <v>37</v>
      </c>
      <c r="H100" t="s">
        <v>259</v>
      </c>
      <c r="I100">
        <v>4</v>
      </c>
      <c r="J100" t="s">
        <v>1064</v>
      </c>
      <c r="L100">
        <v>523970</v>
      </c>
      <c r="M100">
        <v>6</v>
      </c>
      <c r="N100">
        <v>0.88</v>
      </c>
      <c r="O100">
        <v>0</v>
      </c>
      <c r="P100">
        <v>0</v>
      </c>
      <c r="V100" t="s">
        <v>260</v>
      </c>
      <c r="W100" t="s">
        <v>261</v>
      </c>
      <c r="X100" t="s">
        <v>1065</v>
      </c>
      <c r="Y100" t="s">
        <v>1066</v>
      </c>
    </row>
    <row r="101" spans="1:25" x14ac:dyDescent="0.2">
      <c r="A101">
        <v>523935</v>
      </c>
      <c r="B101">
        <v>21883</v>
      </c>
      <c r="C101">
        <v>2160</v>
      </c>
      <c r="D101">
        <v>1</v>
      </c>
      <c r="E101">
        <v>1</v>
      </c>
      <c r="F101" t="s">
        <v>37</v>
      </c>
      <c r="G101" t="s">
        <v>37</v>
      </c>
      <c r="H101" t="s">
        <v>259</v>
      </c>
      <c r="I101">
        <v>2</v>
      </c>
      <c r="J101" t="s">
        <v>1067</v>
      </c>
      <c r="L101">
        <v>524018</v>
      </c>
      <c r="M101">
        <v>6</v>
      </c>
      <c r="N101">
        <v>0.88</v>
      </c>
      <c r="O101">
        <v>0</v>
      </c>
      <c r="P101">
        <v>0</v>
      </c>
      <c r="V101" t="s">
        <v>260</v>
      </c>
      <c r="W101" t="s">
        <v>261</v>
      </c>
      <c r="X101" t="s">
        <v>1068</v>
      </c>
      <c r="Y101" t="s">
        <v>1069</v>
      </c>
    </row>
    <row r="102" spans="1:25" x14ac:dyDescent="0.2">
      <c r="A102">
        <v>523936</v>
      </c>
      <c r="B102">
        <v>21883</v>
      </c>
      <c r="C102">
        <v>2160</v>
      </c>
      <c r="D102">
        <v>1303</v>
      </c>
      <c r="E102">
        <v>1</v>
      </c>
      <c r="F102" t="s">
        <v>37</v>
      </c>
      <c r="G102" t="s">
        <v>37</v>
      </c>
      <c r="H102" t="s">
        <v>259</v>
      </c>
      <c r="I102">
        <v>1</v>
      </c>
      <c r="J102" t="s">
        <v>1070</v>
      </c>
      <c r="L102">
        <v>523971</v>
      </c>
      <c r="M102">
        <v>6</v>
      </c>
      <c r="N102">
        <v>0.88</v>
      </c>
      <c r="O102">
        <v>0</v>
      </c>
      <c r="P102">
        <v>0</v>
      </c>
      <c r="V102" t="s">
        <v>260</v>
      </c>
      <c r="W102" t="s">
        <v>261</v>
      </c>
      <c r="X102" t="s">
        <v>1071</v>
      </c>
      <c r="Y102" t="s">
        <v>1072</v>
      </c>
    </row>
    <row r="103" spans="1:25" x14ac:dyDescent="0.2">
      <c r="A103">
        <v>523937</v>
      </c>
      <c r="B103">
        <v>21883</v>
      </c>
      <c r="C103">
        <v>2160</v>
      </c>
      <c r="D103">
        <v>1203</v>
      </c>
      <c r="E103">
        <v>1</v>
      </c>
      <c r="F103" t="s">
        <v>37</v>
      </c>
      <c r="G103" t="s">
        <v>37</v>
      </c>
      <c r="H103" t="s">
        <v>259</v>
      </c>
      <c r="I103">
        <v>2</v>
      </c>
      <c r="J103" t="s">
        <v>1073</v>
      </c>
      <c r="L103">
        <v>523971</v>
      </c>
      <c r="M103">
        <v>6</v>
      </c>
      <c r="N103">
        <v>0.88</v>
      </c>
      <c r="O103">
        <v>0</v>
      </c>
      <c r="P103">
        <v>0</v>
      </c>
      <c r="V103" t="s">
        <v>260</v>
      </c>
      <c r="W103" t="s">
        <v>261</v>
      </c>
      <c r="X103" t="s">
        <v>1074</v>
      </c>
      <c r="Y103" t="s">
        <v>1075</v>
      </c>
    </row>
    <row r="104" spans="1:25" x14ac:dyDescent="0.2">
      <c r="A104">
        <v>523938</v>
      </c>
      <c r="B104">
        <v>21883</v>
      </c>
      <c r="C104">
        <v>2160</v>
      </c>
      <c r="D104">
        <v>3</v>
      </c>
      <c r="E104">
        <v>1</v>
      </c>
      <c r="F104" t="s">
        <v>37</v>
      </c>
      <c r="G104" t="s">
        <v>37</v>
      </c>
      <c r="H104" t="s">
        <v>259</v>
      </c>
      <c r="I104">
        <v>4</v>
      </c>
      <c r="J104" t="s">
        <v>1076</v>
      </c>
      <c r="L104">
        <v>523971</v>
      </c>
      <c r="M104">
        <v>6</v>
      </c>
      <c r="N104">
        <v>0.88</v>
      </c>
      <c r="O104">
        <v>0</v>
      </c>
      <c r="P104">
        <v>0</v>
      </c>
      <c r="V104" t="s">
        <v>260</v>
      </c>
      <c r="W104" t="s">
        <v>261</v>
      </c>
      <c r="X104" t="s">
        <v>1077</v>
      </c>
      <c r="Y104" t="s">
        <v>1078</v>
      </c>
    </row>
    <row r="105" spans="1:25" x14ac:dyDescent="0.2">
      <c r="A105">
        <v>523939</v>
      </c>
      <c r="B105">
        <v>21883</v>
      </c>
      <c r="C105">
        <v>2160</v>
      </c>
      <c r="D105">
        <v>1704</v>
      </c>
      <c r="E105">
        <v>1</v>
      </c>
      <c r="F105" t="s">
        <v>37</v>
      </c>
      <c r="G105" t="s">
        <v>37</v>
      </c>
      <c r="H105" t="s">
        <v>259</v>
      </c>
      <c r="I105">
        <v>11</v>
      </c>
      <c r="J105" t="s">
        <v>1079</v>
      </c>
      <c r="L105">
        <v>523974</v>
      </c>
      <c r="M105">
        <v>6</v>
      </c>
      <c r="N105">
        <v>0.88</v>
      </c>
      <c r="O105">
        <v>0</v>
      </c>
      <c r="P105">
        <v>0</v>
      </c>
      <c r="V105" t="s">
        <v>260</v>
      </c>
      <c r="W105" t="s">
        <v>261</v>
      </c>
      <c r="X105" t="s">
        <v>1080</v>
      </c>
      <c r="Y105" t="s">
        <v>1081</v>
      </c>
    </row>
    <row r="106" spans="1:25" x14ac:dyDescent="0.2">
      <c r="A106">
        <v>523940</v>
      </c>
      <c r="B106">
        <v>21883</v>
      </c>
      <c r="C106">
        <v>2160</v>
      </c>
      <c r="D106">
        <v>1604</v>
      </c>
      <c r="E106">
        <v>1</v>
      </c>
      <c r="F106" t="s">
        <v>37</v>
      </c>
      <c r="G106" t="s">
        <v>37</v>
      </c>
      <c r="H106" t="s">
        <v>259</v>
      </c>
      <c r="I106">
        <v>10</v>
      </c>
      <c r="J106" t="s">
        <v>1082</v>
      </c>
      <c r="L106">
        <v>523974</v>
      </c>
      <c r="M106">
        <v>6</v>
      </c>
      <c r="N106">
        <v>0.88</v>
      </c>
      <c r="O106">
        <v>0</v>
      </c>
      <c r="P106">
        <v>0</v>
      </c>
      <c r="V106" t="s">
        <v>260</v>
      </c>
      <c r="W106" t="s">
        <v>261</v>
      </c>
      <c r="X106" t="s">
        <v>1083</v>
      </c>
      <c r="Y106" t="s">
        <v>1084</v>
      </c>
    </row>
    <row r="107" spans="1:25" x14ac:dyDescent="0.2">
      <c r="A107">
        <v>523941</v>
      </c>
      <c r="B107">
        <v>21883</v>
      </c>
      <c r="C107">
        <v>2160</v>
      </c>
      <c r="D107">
        <v>1504</v>
      </c>
      <c r="E107">
        <v>1</v>
      </c>
      <c r="F107" t="s">
        <v>37</v>
      </c>
      <c r="G107" t="s">
        <v>37</v>
      </c>
      <c r="H107" t="s">
        <v>259</v>
      </c>
      <c r="I107">
        <v>9</v>
      </c>
      <c r="J107" t="s">
        <v>1085</v>
      </c>
      <c r="L107">
        <v>523974</v>
      </c>
      <c r="M107">
        <v>6</v>
      </c>
      <c r="N107">
        <v>0.88</v>
      </c>
      <c r="O107">
        <v>0</v>
      </c>
      <c r="P107">
        <v>0</v>
      </c>
      <c r="V107" t="s">
        <v>260</v>
      </c>
      <c r="W107" t="s">
        <v>261</v>
      </c>
      <c r="X107" t="s">
        <v>1086</v>
      </c>
      <c r="Y107" t="s">
        <v>1087</v>
      </c>
    </row>
    <row r="108" spans="1:25" x14ac:dyDescent="0.2">
      <c r="A108">
        <v>523942</v>
      </c>
      <c r="B108">
        <v>21883</v>
      </c>
      <c r="C108">
        <v>2160</v>
      </c>
      <c r="D108">
        <v>1405</v>
      </c>
      <c r="E108">
        <v>1</v>
      </c>
      <c r="F108" t="s">
        <v>37</v>
      </c>
      <c r="G108" t="s">
        <v>37</v>
      </c>
      <c r="H108" t="s">
        <v>259</v>
      </c>
      <c r="I108">
        <v>8</v>
      </c>
      <c r="J108" t="s">
        <v>1088</v>
      </c>
      <c r="L108">
        <v>523974</v>
      </c>
      <c r="M108">
        <v>6</v>
      </c>
      <c r="N108">
        <v>0.88</v>
      </c>
      <c r="O108">
        <v>0</v>
      </c>
      <c r="P108">
        <v>0</v>
      </c>
      <c r="V108" t="s">
        <v>260</v>
      </c>
      <c r="W108" t="s">
        <v>261</v>
      </c>
      <c r="X108" t="s">
        <v>1089</v>
      </c>
      <c r="Y108" t="s">
        <v>1090</v>
      </c>
    </row>
    <row r="109" spans="1:25" x14ac:dyDescent="0.2">
      <c r="A109">
        <v>523943</v>
      </c>
      <c r="B109">
        <v>21883</v>
      </c>
      <c r="C109">
        <v>2160</v>
      </c>
      <c r="D109">
        <v>1404</v>
      </c>
      <c r="E109">
        <v>1</v>
      </c>
      <c r="F109" t="s">
        <v>37</v>
      </c>
      <c r="G109" t="s">
        <v>37</v>
      </c>
      <c r="H109" t="s">
        <v>259</v>
      </c>
      <c r="I109">
        <v>7</v>
      </c>
      <c r="J109" t="s">
        <v>1091</v>
      </c>
      <c r="L109">
        <v>523974</v>
      </c>
      <c r="M109">
        <v>6</v>
      </c>
      <c r="N109">
        <v>0.88</v>
      </c>
      <c r="O109">
        <v>0</v>
      </c>
      <c r="P109">
        <v>0</v>
      </c>
      <c r="V109" t="s">
        <v>260</v>
      </c>
      <c r="W109" t="s">
        <v>261</v>
      </c>
      <c r="X109" t="s">
        <v>1092</v>
      </c>
      <c r="Y109" t="s">
        <v>1093</v>
      </c>
    </row>
    <row r="110" spans="1:25" x14ac:dyDescent="0.2">
      <c r="A110">
        <v>523944</v>
      </c>
      <c r="B110">
        <v>21883</v>
      </c>
      <c r="C110">
        <v>2160</v>
      </c>
      <c r="D110">
        <v>1305</v>
      </c>
      <c r="E110">
        <v>1</v>
      </c>
      <c r="F110" t="s">
        <v>37</v>
      </c>
      <c r="G110" t="s">
        <v>37</v>
      </c>
      <c r="H110" t="s">
        <v>259</v>
      </c>
      <c r="I110">
        <v>12</v>
      </c>
      <c r="J110" t="s">
        <v>1094</v>
      </c>
      <c r="L110">
        <v>523974</v>
      </c>
      <c r="M110">
        <v>6</v>
      </c>
      <c r="N110">
        <v>0.88</v>
      </c>
      <c r="O110">
        <v>0</v>
      </c>
      <c r="P110">
        <v>0</v>
      </c>
      <c r="V110" t="s">
        <v>260</v>
      </c>
      <c r="W110" t="s">
        <v>261</v>
      </c>
      <c r="X110" t="s">
        <v>1095</v>
      </c>
      <c r="Y110" t="s">
        <v>1096</v>
      </c>
    </row>
    <row r="111" spans="1:25" x14ac:dyDescent="0.2">
      <c r="A111">
        <v>523945</v>
      </c>
      <c r="B111">
        <v>21883</v>
      </c>
      <c r="C111">
        <v>2160</v>
      </c>
      <c r="D111">
        <v>1304</v>
      </c>
      <c r="E111">
        <v>1</v>
      </c>
      <c r="F111" t="s">
        <v>37</v>
      </c>
      <c r="G111" t="s">
        <v>37</v>
      </c>
      <c r="H111" t="s">
        <v>259</v>
      </c>
      <c r="I111">
        <v>6</v>
      </c>
      <c r="J111" t="s">
        <v>1097</v>
      </c>
      <c r="L111">
        <v>523974</v>
      </c>
      <c r="M111">
        <v>6</v>
      </c>
      <c r="N111">
        <v>0.88</v>
      </c>
      <c r="O111">
        <v>0</v>
      </c>
      <c r="P111">
        <v>0</v>
      </c>
      <c r="V111" t="s">
        <v>260</v>
      </c>
      <c r="W111" t="s">
        <v>261</v>
      </c>
      <c r="X111" t="s">
        <v>1098</v>
      </c>
      <c r="Y111" t="s">
        <v>1099</v>
      </c>
    </row>
    <row r="112" spans="1:25" x14ac:dyDescent="0.2">
      <c r="A112">
        <v>523946</v>
      </c>
      <c r="B112">
        <v>21883</v>
      </c>
      <c r="C112">
        <v>2160</v>
      </c>
      <c r="D112">
        <v>1204</v>
      </c>
      <c r="E112">
        <v>1</v>
      </c>
      <c r="F112" t="s">
        <v>37</v>
      </c>
      <c r="G112" t="s">
        <v>37</v>
      </c>
      <c r="H112" t="s">
        <v>259</v>
      </c>
      <c r="I112">
        <v>13</v>
      </c>
      <c r="J112" t="s">
        <v>1100</v>
      </c>
      <c r="L112">
        <v>523974</v>
      </c>
      <c r="M112">
        <v>6</v>
      </c>
      <c r="N112">
        <v>0.88</v>
      </c>
      <c r="O112">
        <v>0</v>
      </c>
      <c r="P112">
        <v>0</v>
      </c>
      <c r="V112" t="s">
        <v>260</v>
      </c>
      <c r="W112" t="s">
        <v>261</v>
      </c>
      <c r="X112" t="s">
        <v>1101</v>
      </c>
      <c r="Y112" t="s">
        <v>1102</v>
      </c>
    </row>
    <row r="113" spans="1:25" x14ac:dyDescent="0.2">
      <c r="A113">
        <v>523947</v>
      </c>
      <c r="B113">
        <v>21883</v>
      </c>
      <c r="C113">
        <v>2160</v>
      </c>
      <c r="D113">
        <v>1104</v>
      </c>
      <c r="E113">
        <v>1</v>
      </c>
      <c r="F113" t="s">
        <v>37</v>
      </c>
      <c r="G113" t="s">
        <v>37</v>
      </c>
      <c r="H113" t="s">
        <v>259</v>
      </c>
      <c r="I113">
        <v>5</v>
      </c>
      <c r="J113" t="s">
        <v>275</v>
      </c>
      <c r="L113">
        <v>523974</v>
      </c>
      <c r="M113">
        <v>6</v>
      </c>
      <c r="N113">
        <v>0.88</v>
      </c>
      <c r="O113">
        <v>0</v>
      </c>
      <c r="P113">
        <v>0</v>
      </c>
      <c r="V113" t="s">
        <v>260</v>
      </c>
      <c r="W113" t="s">
        <v>261</v>
      </c>
      <c r="X113" t="s">
        <v>1103</v>
      </c>
      <c r="Y113" t="s">
        <v>1104</v>
      </c>
    </row>
    <row r="114" spans="1:25" x14ac:dyDescent="0.2">
      <c r="A114">
        <v>523948</v>
      </c>
      <c r="B114">
        <v>21883</v>
      </c>
      <c r="C114">
        <v>2160</v>
      </c>
      <c r="D114">
        <v>1005</v>
      </c>
      <c r="E114">
        <v>1</v>
      </c>
      <c r="F114" t="s">
        <v>37</v>
      </c>
      <c r="G114" t="s">
        <v>37</v>
      </c>
      <c r="H114" t="s">
        <v>259</v>
      </c>
      <c r="I114">
        <v>4</v>
      </c>
      <c r="J114" t="s">
        <v>1105</v>
      </c>
      <c r="L114">
        <v>523974</v>
      </c>
      <c r="M114">
        <v>6</v>
      </c>
      <c r="N114">
        <v>0.88</v>
      </c>
      <c r="O114">
        <v>0</v>
      </c>
      <c r="P114">
        <v>0</v>
      </c>
      <c r="V114" t="s">
        <v>260</v>
      </c>
      <c r="W114" t="s">
        <v>261</v>
      </c>
      <c r="X114" t="s">
        <v>1106</v>
      </c>
      <c r="Y114" t="s">
        <v>1107</v>
      </c>
    </row>
    <row r="115" spans="1:25" x14ac:dyDescent="0.2">
      <c r="A115">
        <v>523949</v>
      </c>
      <c r="B115">
        <v>21883</v>
      </c>
      <c r="C115">
        <v>2160</v>
      </c>
      <c r="D115">
        <v>1004</v>
      </c>
      <c r="E115">
        <v>1</v>
      </c>
      <c r="F115" t="s">
        <v>37</v>
      </c>
      <c r="G115" t="s">
        <v>37</v>
      </c>
      <c r="H115" t="s">
        <v>259</v>
      </c>
      <c r="I115">
        <v>14</v>
      </c>
      <c r="J115" t="s">
        <v>1108</v>
      </c>
      <c r="L115">
        <v>523974</v>
      </c>
      <c r="M115">
        <v>6</v>
      </c>
      <c r="N115">
        <v>0.88</v>
      </c>
      <c r="O115">
        <v>0</v>
      </c>
      <c r="P115">
        <v>0</v>
      </c>
      <c r="V115" t="s">
        <v>260</v>
      </c>
      <c r="W115" t="s">
        <v>261</v>
      </c>
      <c r="X115" t="s">
        <v>1109</v>
      </c>
      <c r="Y115" t="s">
        <v>1110</v>
      </c>
    </row>
    <row r="116" spans="1:25" x14ac:dyDescent="0.2">
      <c r="A116">
        <v>523950</v>
      </c>
      <c r="B116">
        <v>21883</v>
      </c>
      <c r="C116">
        <v>2160</v>
      </c>
      <c r="D116">
        <v>904</v>
      </c>
      <c r="E116">
        <v>1</v>
      </c>
      <c r="F116" t="s">
        <v>37</v>
      </c>
      <c r="G116" t="s">
        <v>37</v>
      </c>
      <c r="H116" t="s">
        <v>259</v>
      </c>
      <c r="I116">
        <v>3</v>
      </c>
      <c r="J116" t="s">
        <v>1111</v>
      </c>
      <c r="L116">
        <v>523974</v>
      </c>
      <c r="M116">
        <v>6</v>
      </c>
      <c r="N116">
        <v>0.88</v>
      </c>
      <c r="O116">
        <v>0</v>
      </c>
      <c r="P116">
        <v>0</v>
      </c>
      <c r="V116" t="s">
        <v>260</v>
      </c>
      <c r="W116" t="s">
        <v>261</v>
      </c>
      <c r="X116" t="s">
        <v>1112</v>
      </c>
      <c r="Y116" t="s">
        <v>1113</v>
      </c>
    </row>
    <row r="117" spans="1:25" x14ac:dyDescent="0.2">
      <c r="A117">
        <v>523951</v>
      </c>
      <c r="B117">
        <v>21883</v>
      </c>
      <c r="C117">
        <v>2160</v>
      </c>
      <c r="D117">
        <v>804</v>
      </c>
      <c r="E117">
        <v>1</v>
      </c>
      <c r="F117" t="s">
        <v>37</v>
      </c>
      <c r="G117" t="s">
        <v>37</v>
      </c>
      <c r="H117" t="s">
        <v>259</v>
      </c>
      <c r="I117">
        <v>2</v>
      </c>
      <c r="J117" t="s">
        <v>282</v>
      </c>
      <c r="L117">
        <v>523974</v>
      </c>
      <c r="M117">
        <v>6</v>
      </c>
      <c r="N117">
        <v>0.88</v>
      </c>
      <c r="O117">
        <v>0</v>
      </c>
      <c r="P117">
        <v>0</v>
      </c>
      <c r="V117" t="s">
        <v>260</v>
      </c>
      <c r="W117" t="s">
        <v>261</v>
      </c>
      <c r="X117" t="s">
        <v>1114</v>
      </c>
      <c r="Y117" t="s">
        <v>1115</v>
      </c>
    </row>
    <row r="118" spans="1:25" x14ac:dyDescent="0.2">
      <c r="A118">
        <v>523952</v>
      </c>
      <c r="B118">
        <v>21883</v>
      </c>
      <c r="C118">
        <v>2160</v>
      </c>
      <c r="D118">
        <v>704</v>
      </c>
      <c r="E118">
        <v>1</v>
      </c>
      <c r="F118" t="s">
        <v>37</v>
      </c>
      <c r="G118" t="s">
        <v>37</v>
      </c>
      <c r="H118" t="s">
        <v>259</v>
      </c>
      <c r="I118">
        <v>1</v>
      </c>
      <c r="J118" t="s">
        <v>1116</v>
      </c>
      <c r="L118">
        <v>523974</v>
      </c>
      <c r="M118">
        <v>6</v>
      </c>
      <c r="N118">
        <v>0.88</v>
      </c>
      <c r="O118">
        <v>0</v>
      </c>
      <c r="P118">
        <v>0</v>
      </c>
      <c r="V118" t="s">
        <v>260</v>
      </c>
      <c r="W118" t="s">
        <v>261</v>
      </c>
      <c r="X118" t="s">
        <v>1117</v>
      </c>
      <c r="Y118" t="s">
        <v>1118</v>
      </c>
    </row>
    <row r="119" spans="1:25" x14ac:dyDescent="0.2">
      <c r="A119">
        <v>523953</v>
      </c>
      <c r="B119">
        <v>21883</v>
      </c>
      <c r="C119">
        <v>2160</v>
      </c>
      <c r="D119">
        <v>1303</v>
      </c>
      <c r="E119">
        <v>1</v>
      </c>
      <c r="F119" t="s">
        <v>37</v>
      </c>
      <c r="G119" t="s">
        <v>37</v>
      </c>
      <c r="H119" t="s">
        <v>259</v>
      </c>
      <c r="I119">
        <v>5</v>
      </c>
      <c r="J119" t="s">
        <v>1119</v>
      </c>
      <c r="L119">
        <v>523981</v>
      </c>
      <c r="M119">
        <v>6</v>
      </c>
      <c r="N119">
        <v>0.88</v>
      </c>
      <c r="O119">
        <v>0</v>
      </c>
      <c r="P119">
        <v>0</v>
      </c>
      <c r="V119" t="s">
        <v>260</v>
      </c>
      <c r="W119" t="s">
        <v>261</v>
      </c>
      <c r="X119" t="s">
        <v>1120</v>
      </c>
    </row>
    <row r="120" spans="1:25" x14ac:dyDescent="0.2">
      <c r="A120">
        <v>523954</v>
      </c>
      <c r="B120">
        <v>21883</v>
      </c>
      <c r="C120">
        <v>2160</v>
      </c>
      <c r="D120">
        <v>4</v>
      </c>
      <c r="E120">
        <v>1</v>
      </c>
      <c r="F120" t="s">
        <v>37</v>
      </c>
      <c r="G120" t="s">
        <v>37</v>
      </c>
      <c r="H120" t="s">
        <v>259</v>
      </c>
      <c r="I120">
        <v>2</v>
      </c>
      <c r="J120" t="s">
        <v>1121</v>
      </c>
      <c r="L120">
        <v>523976</v>
      </c>
      <c r="M120">
        <v>6</v>
      </c>
      <c r="N120">
        <v>0.88</v>
      </c>
      <c r="O120">
        <v>0</v>
      </c>
      <c r="P120">
        <v>0</v>
      </c>
      <c r="V120" t="s">
        <v>260</v>
      </c>
      <c r="W120" t="s">
        <v>261</v>
      </c>
      <c r="X120" t="s">
        <v>1122</v>
      </c>
      <c r="Y120" t="s">
        <v>1123</v>
      </c>
    </row>
    <row r="121" spans="1:25" x14ac:dyDescent="0.2">
      <c r="A121">
        <v>523955</v>
      </c>
      <c r="B121">
        <v>21883</v>
      </c>
      <c r="C121">
        <v>2160</v>
      </c>
      <c r="D121">
        <v>0</v>
      </c>
      <c r="E121">
        <v>1</v>
      </c>
      <c r="F121" t="s">
        <v>37</v>
      </c>
      <c r="G121" t="s">
        <v>37</v>
      </c>
      <c r="H121" t="s">
        <v>259</v>
      </c>
      <c r="I121">
        <v>1</v>
      </c>
      <c r="J121" t="s">
        <v>1124</v>
      </c>
      <c r="L121">
        <v>523976</v>
      </c>
      <c r="M121">
        <v>6</v>
      </c>
      <c r="N121">
        <v>0.88</v>
      </c>
      <c r="O121">
        <v>0</v>
      </c>
      <c r="P121">
        <v>0</v>
      </c>
      <c r="V121" t="s">
        <v>260</v>
      </c>
      <c r="W121" t="s">
        <v>261</v>
      </c>
      <c r="X121" t="s">
        <v>1125</v>
      </c>
      <c r="Y121" t="s">
        <v>1126</v>
      </c>
    </row>
    <row r="122" spans="1:25" x14ac:dyDescent="0.2">
      <c r="A122">
        <v>523956</v>
      </c>
      <c r="B122">
        <v>21883</v>
      </c>
      <c r="C122">
        <v>2160</v>
      </c>
      <c r="D122">
        <v>901</v>
      </c>
      <c r="E122">
        <v>1</v>
      </c>
      <c r="F122" t="s">
        <v>37</v>
      </c>
      <c r="G122" t="s">
        <v>37</v>
      </c>
      <c r="H122" t="s">
        <v>259</v>
      </c>
      <c r="I122">
        <v>11</v>
      </c>
      <c r="J122" t="s">
        <v>1127</v>
      </c>
      <c r="L122">
        <v>523999</v>
      </c>
      <c r="M122">
        <v>6</v>
      </c>
      <c r="N122">
        <v>0.88</v>
      </c>
      <c r="O122">
        <v>0</v>
      </c>
      <c r="P122">
        <v>0</v>
      </c>
      <c r="V122" t="s">
        <v>260</v>
      </c>
      <c r="W122" t="s">
        <v>261</v>
      </c>
      <c r="X122" t="s">
        <v>1128</v>
      </c>
      <c r="Y122" t="s">
        <v>1129</v>
      </c>
    </row>
    <row r="123" spans="1:25" x14ac:dyDescent="0.2">
      <c r="A123">
        <v>523957</v>
      </c>
      <c r="B123">
        <v>21883</v>
      </c>
      <c r="C123">
        <v>2160</v>
      </c>
      <c r="D123">
        <v>201</v>
      </c>
      <c r="E123">
        <v>1</v>
      </c>
      <c r="F123" t="s">
        <v>37</v>
      </c>
      <c r="G123" t="s">
        <v>37</v>
      </c>
      <c r="H123" t="s">
        <v>259</v>
      </c>
      <c r="I123">
        <v>3</v>
      </c>
      <c r="J123" t="s">
        <v>1130</v>
      </c>
      <c r="L123">
        <v>523999</v>
      </c>
      <c r="M123">
        <v>6</v>
      </c>
      <c r="N123">
        <v>0.88</v>
      </c>
      <c r="O123">
        <v>0</v>
      </c>
      <c r="P123">
        <v>0</v>
      </c>
      <c r="V123" t="s">
        <v>260</v>
      </c>
      <c r="W123" t="s">
        <v>261</v>
      </c>
      <c r="X123" t="s">
        <v>1131</v>
      </c>
      <c r="Y123" t="s">
        <v>1132</v>
      </c>
    </row>
    <row r="124" spans="1:25" x14ac:dyDescent="0.2">
      <c r="A124">
        <v>523958</v>
      </c>
      <c r="B124">
        <v>21883</v>
      </c>
      <c r="C124">
        <v>2160</v>
      </c>
      <c r="D124">
        <v>0</v>
      </c>
      <c r="E124">
        <v>1</v>
      </c>
      <c r="F124" t="s">
        <v>37</v>
      </c>
      <c r="G124" t="s">
        <v>37</v>
      </c>
      <c r="H124" t="s">
        <v>259</v>
      </c>
      <c r="I124">
        <v>1</v>
      </c>
      <c r="J124" t="s">
        <v>1133</v>
      </c>
      <c r="L124">
        <v>523977</v>
      </c>
      <c r="M124">
        <v>6</v>
      </c>
      <c r="N124">
        <v>0.88</v>
      </c>
      <c r="O124">
        <v>0</v>
      </c>
      <c r="P124">
        <v>0</v>
      </c>
      <c r="V124" t="s">
        <v>260</v>
      </c>
      <c r="W124" t="s">
        <v>261</v>
      </c>
      <c r="X124" t="s">
        <v>1134</v>
      </c>
      <c r="Y124" t="s">
        <v>1135</v>
      </c>
    </row>
    <row r="125" spans="1:25" x14ac:dyDescent="0.2">
      <c r="A125">
        <v>523959</v>
      </c>
      <c r="B125">
        <v>21883</v>
      </c>
      <c r="C125">
        <v>2160</v>
      </c>
      <c r="D125">
        <v>103</v>
      </c>
      <c r="E125">
        <v>1</v>
      </c>
      <c r="F125" t="s">
        <v>37</v>
      </c>
      <c r="G125" t="s">
        <v>37</v>
      </c>
      <c r="H125" t="s">
        <v>259</v>
      </c>
      <c r="I125">
        <v>6</v>
      </c>
      <c r="J125" t="s">
        <v>1127</v>
      </c>
      <c r="L125">
        <v>523978</v>
      </c>
      <c r="M125">
        <v>6</v>
      </c>
      <c r="N125">
        <v>0.88</v>
      </c>
      <c r="O125">
        <v>0</v>
      </c>
      <c r="P125">
        <v>0</v>
      </c>
      <c r="V125" t="s">
        <v>260</v>
      </c>
      <c r="W125" t="s">
        <v>261</v>
      </c>
      <c r="X125" t="s">
        <v>1136</v>
      </c>
      <c r="Y125" t="s">
        <v>1137</v>
      </c>
    </row>
    <row r="126" spans="1:25" x14ac:dyDescent="0.2">
      <c r="A126">
        <v>523960</v>
      </c>
      <c r="B126">
        <v>21883</v>
      </c>
      <c r="C126">
        <v>2160</v>
      </c>
      <c r="D126">
        <v>102</v>
      </c>
      <c r="E126">
        <v>1</v>
      </c>
      <c r="F126" t="s">
        <v>37</v>
      </c>
      <c r="G126" t="s">
        <v>37</v>
      </c>
      <c r="H126" t="s">
        <v>259</v>
      </c>
      <c r="I126">
        <v>5</v>
      </c>
      <c r="J126" t="s">
        <v>1138</v>
      </c>
      <c r="L126">
        <v>523978</v>
      </c>
      <c r="M126">
        <v>6</v>
      </c>
      <c r="N126">
        <v>0.88</v>
      </c>
      <c r="O126">
        <v>0</v>
      </c>
      <c r="P126">
        <v>0</v>
      </c>
      <c r="V126" t="s">
        <v>260</v>
      </c>
      <c r="W126" t="s">
        <v>261</v>
      </c>
      <c r="X126" t="s">
        <v>1139</v>
      </c>
      <c r="Y126" t="s">
        <v>1140</v>
      </c>
    </row>
    <row r="127" spans="1:25" x14ac:dyDescent="0.2">
      <c r="A127">
        <v>523961</v>
      </c>
      <c r="B127">
        <v>21883</v>
      </c>
      <c r="C127">
        <v>2160</v>
      </c>
      <c r="D127">
        <v>2</v>
      </c>
      <c r="E127">
        <v>1</v>
      </c>
      <c r="F127" t="s">
        <v>37</v>
      </c>
      <c r="G127" t="s">
        <v>37</v>
      </c>
      <c r="H127" t="s">
        <v>259</v>
      </c>
      <c r="I127">
        <v>4</v>
      </c>
      <c r="J127" t="s">
        <v>688</v>
      </c>
      <c r="L127">
        <v>523978</v>
      </c>
      <c r="M127">
        <v>6</v>
      </c>
      <c r="N127">
        <v>0.88</v>
      </c>
      <c r="O127">
        <v>0</v>
      </c>
      <c r="P127">
        <v>0</v>
      </c>
      <c r="V127" t="s">
        <v>260</v>
      </c>
      <c r="W127" t="s">
        <v>261</v>
      </c>
      <c r="X127" t="s">
        <v>1141</v>
      </c>
      <c r="Y127" t="e" cm="1">
        <f t="array" ref="Y127">+KMs6PoIUUC3rBwt/vV+fw</f>
        <v>#NAME?</v>
      </c>
    </row>
    <row r="128" spans="1:25" x14ac:dyDescent="0.2">
      <c r="A128">
        <v>523962</v>
      </c>
      <c r="B128">
        <v>21883</v>
      </c>
      <c r="C128">
        <v>2160</v>
      </c>
      <c r="D128">
        <v>101</v>
      </c>
      <c r="E128">
        <v>1</v>
      </c>
      <c r="F128" t="s">
        <v>37</v>
      </c>
      <c r="G128" t="s">
        <v>37</v>
      </c>
      <c r="H128" t="s">
        <v>259</v>
      </c>
      <c r="I128">
        <v>2</v>
      </c>
      <c r="J128" t="s">
        <v>1142</v>
      </c>
      <c r="L128">
        <v>523999</v>
      </c>
      <c r="M128">
        <v>6</v>
      </c>
      <c r="N128">
        <v>0.88</v>
      </c>
      <c r="O128">
        <v>0</v>
      </c>
      <c r="P128">
        <v>0</v>
      </c>
      <c r="V128" t="s">
        <v>260</v>
      </c>
      <c r="W128" t="s">
        <v>261</v>
      </c>
      <c r="X128" t="s">
        <v>1143</v>
      </c>
      <c r="Y128" t="s">
        <v>1144</v>
      </c>
    </row>
    <row r="129" spans="1:25" x14ac:dyDescent="0.2">
      <c r="A129">
        <v>523963</v>
      </c>
      <c r="B129">
        <v>21883</v>
      </c>
      <c r="C129">
        <v>2160</v>
      </c>
      <c r="D129">
        <v>0</v>
      </c>
      <c r="E129">
        <v>1</v>
      </c>
      <c r="F129" t="s">
        <v>37</v>
      </c>
      <c r="G129" t="s">
        <v>37</v>
      </c>
      <c r="H129" t="s">
        <v>259</v>
      </c>
      <c r="I129">
        <v>1</v>
      </c>
      <c r="J129" t="s">
        <v>1145</v>
      </c>
      <c r="L129">
        <v>523999</v>
      </c>
      <c r="M129">
        <v>6</v>
      </c>
      <c r="N129">
        <v>0.88</v>
      </c>
      <c r="O129">
        <v>0</v>
      </c>
      <c r="P129">
        <v>0</v>
      </c>
      <c r="V129" t="s">
        <v>260</v>
      </c>
      <c r="W129" t="s">
        <v>261</v>
      </c>
      <c r="X129" t="s">
        <v>1146</v>
      </c>
      <c r="Y129" t="s">
        <v>1147</v>
      </c>
    </row>
    <row r="130" spans="1:25" x14ac:dyDescent="0.2">
      <c r="A130">
        <v>523964</v>
      </c>
      <c r="B130">
        <v>21883</v>
      </c>
      <c r="C130">
        <v>2160</v>
      </c>
      <c r="D130">
        <v>1603</v>
      </c>
      <c r="E130">
        <v>1</v>
      </c>
      <c r="F130" t="s">
        <v>37</v>
      </c>
      <c r="G130" t="s">
        <v>37</v>
      </c>
      <c r="H130" t="s">
        <v>259</v>
      </c>
      <c r="I130">
        <v>5</v>
      </c>
      <c r="J130" t="s">
        <v>1148</v>
      </c>
      <c r="L130">
        <v>523979</v>
      </c>
      <c r="M130">
        <v>6</v>
      </c>
      <c r="N130">
        <v>0.88</v>
      </c>
      <c r="O130">
        <v>0</v>
      </c>
      <c r="P130">
        <v>0</v>
      </c>
      <c r="V130" t="s">
        <v>260</v>
      </c>
      <c r="W130" t="s">
        <v>261</v>
      </c>
      <c r="X130" t="s">
        <v>1149</v>
      </c>
      <c r="Y130" t="s">
        <v>1150</v>
      </c>
    </row>
    <row r="131" spans="1:25" x14ac:dyDescent="0.2">
      <c r="A131">
        <v>523965</v>
      </c>
      <c r="B131">
        <v>21883</v>
      </c>
      <c r="C131">
        <v>2160</v>
      </c>
      <c r="D131">
        <v>0</v>
      </c>
      <c r="E131">
        <v>1</v>
      </c>
      <c r="F131" t="s">
        <v>37</v>
      </c>
      <c r="G131" t="s">
        <v>37</v>
      </c>
      <c r="H131" t="s">
        <v>259</v>
      </c>
      <c r="I131">
        <v>3</v>
      </c>
      <c r="J131" t="s">
        <v>1151</v>
      </c>
      <c r="L131">
        <v>523979</v>
      </c>
      <c r="M131">
        <v>6</v>
      </c>
      <c r="N131">
        <v>0.88</v>
      </c>
      <c r="O131">
        <v>0</v>
      </c>
      <c r="P131">
        <v>0</v>
      </c>
      <c r="V131" t="s">
        <v>260</v>
      </c>
      <c r="W131" t="s">
        <v>261</v>
      </c>
      <c r="X131" t="s">
        <v>1152</v>
      </c>
      <c r="Y131" t="s">
        <v>1153</v>
      </c>
    </row>
    <row r="132" spans="1:25" x14ac:dyDescent="0.2">
      <c r="A132">
        <v>523966</v>
      </c>
      <c r="B132">
        <v>21883</v>
      </c>
      <c r="C132">
        <v>2160</v>
      </c>
      <c r="D132">
        <v>1</v>
      </c>
      <c r="E132">
        <v>1</v>
      </c>
      <c r="F132" t="s">
        <v>37</v>
      </c>
      <c r="G132" t="s">
        <v>37</v>
      </c>
      <c r="H132" t="s">
        <v>259</v>
      </c>
      <c r="I132">
        <v>9</v>
      </c>
      <c r="J132" t="s">
        <v>1154</v>
      </c>
      <c r="L132">
        <v>523999</v>
      </c>
      <c r="M132">
        <v>6</v>
      </c>
      <c r="N132">
        <v>0.88</v>
      </c>
      <c r="O132">
        <v>0</v>
      </c>
      <c r="P132">
        <v>0</v>
      </c>
      <c r="V132" t="s">
        <v>260</v>
      </c>
      <c r="W132" t="s">
        <v>261</v>
      </c>
      <c r="X132" t="s">
        <v>1155</v>
      </c>
      <c r="Y132" t="s">
        <v>1156</v>
      </c>
    </row>
    <row r="133" spans="1:25" x14ac:dyDescent="0.2">
      <c r="A133">
        <v>523967</v>
      </c>
      <c r="B133">
        <v>21883</v>
      </c>
      <c r="C133">
        <v>2160</v>
      </c>
      <c r="D133">
        <v>7</v>
      </c>
      <c r="E133">
        <v>1</v>
      </c>
      <c r="F133" t="s">
        <v>37</v>
      </c>
      <c r="G133" t="s">
        <v>37</v>
      </c>
      <c r="H133" t="s">
        <v>259</v>
      </c>
      <c r="I133">
        <v>1</v>
      </c>
      <c r="J133" t="s">
        <v>1157</v>
      </c>
      <c r="L133">
        <v>523979</v>
      </c>
      <c r="M133">
        <v>6</v>
      </c>
      <c r="N133">
        <v>0.88</v>
      </c>
      <c r="O133">
        <v>0</v>
      </c>
      <c r="P133">
        <v>0</v>
      </c>
      <c r="V133" t="s">
        <v>260</v>
      </c>
      <c r="W133" t="s">
        <v>261</v>
      </c>
      <c r="X133" t="s">
        <v>1158</v>
      </c>
      <c r="Y133" t="s">
        <v>1159</v>
      </c>
    </row>
    <row r="134" spans="1:25" x14ac:dyDescent="0.2">
      <c r="A134">
        <v>523968</v>
      </c>
      <c r="B134">
        <v>21883</v>
      </c>
      <c r="C134">
        <v>2160</v>
      </c>
      <c r="D134">
        <v>1403</v>
      </c>
      <c r="E134">
        <v>1</v>
      </c>
      <c r="F134" t="s">
        <v>37</v>
      </c>
      <c r="G134" t="s">
        <v>37</v>
      </c>
      <c r="H134" t="s">
        <v>259</v>
      </c>
      <c r="I134">
        <v>3</v>
      </c>
      <c r="J134" t="s">
        <v>1160</v>
      </c>
      <c r="L134">
        <v>523980</v>
      </c>
      <c r="M134">
        <v>6</v>
      </c>
      <c r="N134">
        <v>0.88</v>
      </c>
      <c r="O134">
        <v>0</v>
      </c>
      <c r="P134">
        <v>0</v>
      </c>
      <c r="V134" t="s">
        <v>260</v>
      </c>
      <c r="W134" t="s">
        <v>261</v>
      </c>
      <c r="X134" t="s">
        <v>1161</v>
      </c>
      <c r="Y134" t="s">
        <v>1162</v>
      </c>
    </row>
    <row r="135" spans="1:25" x14ac:dyDescent="0.2">
      <c r="A135">
        <v>523969</v>
      </c>
      <c r="B135">
        <v>21883</v>
      </c>
      <c r="C135">
        <v>2160</v>
      </c>
      <c r="D135">
        <v>1203</v>
      </c>
      <c r="E135">
        <v>1</v>
      </c>
      <c r="F135" t="s">
        <v>37</v>
      </c>
      <c r="G135" t="s">
        <v>37</v>
      </c>
      <c r="H135" t="s">
        <v>259</v>
      </c>
      <c r="I135">
        <v>3</v>
      </c>
      <c r="J135" t="s">
        <v>688</v>
      </c>
      <c r="L135">
        <v>523981</v>
      </c>
      <c r="M135">
        <v>6</v>
      </c>
      <c r="N135">
        <v>0.88</v>
      </c>
      <c r="O135">
        <v>0</v>
      </c>
      <c r="P135">
        <v>0</v>
      </c>
      <c r="V135" t="s">
        <v>260</v>
      </c>
      <c r="W135" t="s">
        <v>261</v>
      </c>
      <c r="X135" t="s">
        <v>1163</v>
      </c>
      <c r="Y135" t="s">
        <v>1164</v>
      </c>
    </row>
    <row r="136" spans="1:25" x14ac:dyDescent="0.2">
      <c r="A136">
        <v>523970</v>
      </c>
      <c r="B136">
        <v>21883</v>
      </c>
      <c r="C136">
        <v>2160</v>
      </c>
      <c r="D136">
        <v>1503</v>
      </c>
      <c r="E136">
        <v>1</v>
      </c>
      <c r="F136" t="s">
        <v>37</v>
      </c>
      <c r="G136" t="s">
        <v>37</v>
      </c>
      <c r="H136" t="s">
        <v>259</v>
      </c>
      <c r="I136">
        <v>4</v>
      </c>
      <c r="J136" t="s">
        <v>1165</v>
      </c>
      <c r="L136">
        <v>523979</v>
      </c>
      <c r="M136">
        <v>6</v>
      </c>
      <c r="N136">
        <v>0.88</v>
      </c>
      <c r="O136">
        <v>0</v>
      </c>
      <c r="P136">
        <v>0</v>
      </c>
      <c r="V136" t="s">
        <v>260</v>
      </c>
      <c r="W136" t="s">
        <v>261</v>
      </c>
      <c r="X136" t="s">
        <v>1166</v>
      </c>
      <c r="Y136" t="s">
        <v>1167</v>
      </c>
    </row>
    <row r="137" spans="1:25" x14ac:dyDescent="0.2">
      <c r="A137">
        <v>523971</v>
      </c>
      <c r="B137">
        <v>21883</v>
      </c>
      <c r="C137">
        <v>2160</v>
      </c>
      <c r="D137">
        <v>2</v>
      </c>
      <c r="E137">
        <v>1</v>
      </c>
      <c r="F137" t="s">
        <v>37</v>
      </c>
      <c r="G137" t="s">
        <v>37</v>
      </c>
      <c r="H137" t="s">
        <v>259</v>
      </c>
      <c r="I137">
        <v>1</v>
      </c>
      <c r="J137" t="s">
        <v>1168</v>
      </c>
      <c r="L137">
        <v>523981</v>
      </c>
      <c r="M137">
        <v>6</v>
      </c>
      <c r="N137">
        <v>0.88</v>
      </c>
      <c r="O137">
        <v>0</v>
      </c>
      <c r="P137">
        <v>0</v>
      </c>
      <c r="V137" t="s">
        <v>260</v>
      </c>
      <c r="W137" t="s">
        <v>261</v>
      </c>
      <c r="X137" t="s">
        <v>1169</v>
      </c>
      <c r="Y137" t="s">
        <v>1170</v>
      </c>
    </row>
    <row r="138" spans="1:25" x14ac:dyDescent="0.2">
      <c r="A138">
        <v>523972</v>
      </c>
      <c r="B138">
        <v>21883</v>
      </c>
      <c r="C138">
        <v>2160</v>
      </c>
      <c r="D138">
        <v>0</v>
      </c>
      <c r="E138">
        <v>1</v>
      </c>
      <c r="F138" t="s">
        <v>37</v>
      </c>
      <c r="G138" t="s">
        <v>37</v>
      </c>
      <c r="H138" t="s">
        <v>259</v>
      </c>
      <c r="I138">
        <v>4</v>
      </c>
      <c r="J138" t="s">
        <v>1171</v>
      </c>
      <c r="L138">
        <v>523981</v>
      </c>
      <c r="M138">
        <v>6</v>
      </c>
      <c r="N138">
        <v>0.88</v>
      </c>
      <c r="O138">
        <v>0</v>
      </c>
      <c r="P138">
        <v>0</v>
      </c>
      <c r="V138" t="s">
        <v>260</v>
      </c>
      <c r="W138" t="s">
        <v>261</v>
      </c>
      <c r="X138" t="s">
        <v>1172</v>
      </c>
      <c r="Y138" t="s">
        <v>1173</v>
      </c>
    </row>
    <row r="139" spans="1:25" x14ac:dyDescent="0.2">
      <c r="A139">
        <v>523973</v>
      </c>
      <c r="B139">
        <v>21883</v>
      </c>
      <c r="C139">
        <v>2160</v>
      </c>
      <c r="D139">
        <v>803</v>
      </c>
      <c r="E139">
        <v>1</v>
      </c>
      <c r="F139" t="s">
        <v>37</v>
      </c>
      <c r="G139" t="s">
        <v>37</v>
      </c>
      <c r="H139" t="s">
        <v>259</v>
      </c>
      <c r="I139">
        <v>3</v>
      </c>
      <c r="J139" t="s">
        <v>1174</v>
      </c>
      <c r="L139">
        <v>523986</v>
      </c>
      <c r="M139">
        <v>6</v>
      </c>
      <c r="N139">
        <v>0.88</v>
      </c>
      <c r="O139">
        <v>0</v>
      </c>
      <c r="P139">
        <v>0</v>
      </c>
      <c r="V139" t="s">
        <v>260</v>
      </c>
      <c r="W139" t="s">
        <v>261</v>
      </c>
      <c r="X139" t="s">
        <v>1175</v>
      </c>
      <c r="Y139" t="s">
        <v>1176</v>
      </c>
    </row>
    <row r="140" spans="1:25" x14ac:dyDescent="0.2">
      <c r="A140">
        <v>523974</v>
      </c>
      <c r="B140">
        <v>21883</v>
      </c>
      <c r="C140">
        <v>2160</v>
      </c>
      <c r="D140">
        <v>703</v>
      </c>
      <c r="E140">
        <v>1</v>
      </c>
      <c r="F140" t="s">
        <v>37</v>
      </c>
      <c r="G140" t="s">
        <v>37</v>
      </c>
      <c r="H140" t="s">
        <v>259</v>
      </c>
      <c r="I140">
        <v>1</v>
      </c>
      <c r="J140" t="s">
        <v>1177</v>
      </c>
      <c r="L140">
        <v>523986</v>
      </c>
      <c r="M140">
        <v>6</v>
      </c>
      <c r="N140">
        <v>0.88</v>
      </c>
      <c r="O140">
        <v>0</v>
      </c>
      <c r="P140">
        <v>0</v>
      </c>
      <c r="V140" t="s">
        <v>260</v>
      </c>
      <c r="W140" t="s">
        <v>261</v>
      </c>
      <c r="X140" t="s">
        <v>1178</v>
      </c>
      <c r="Y140" t="s">
        <v>1179</v>
      </c>
    </row>
    <row r="141" spans="1:25" x14ac:dyDescent="0.2">
      <c r="A141">
        <v>523975</v>
      </c>
      <c r="B141">
        <v>21883</v>
      </c>
      <c r="C141">
        <v>2160</v>
      </c>
      <c r="D141">
        <v>0</v>
      </c>
      <c r="E141">
        <v>1</v>
      </c>
      <c r="F141" t="s">
        <v>37</v>
      </c>
      <c r="G141" t="s">
        <v>37</v>
      </c>
      <c r="H141" t="s">
        <v>259</v>
      </c>
      <c r="I141">
        <v>8</v>
      </c>
      <c r="J141" t="s">
        <v>1180</v>
      </c>
      <c r="L141">
        <v>523988</v>
      </c>
      <c r="M141">
        <v>6</v>
      </c>
      <c r="N141">
        <v>0.88</v>
      </c>
      <c r="O141">
        <v>0</v>
      </c>
      <c r="P141">
        <v>0</v>
      </c>
      <c r="V141" t="s">
        <v>260</v>
      </c>
      <c r="W141" t="s">
        <v>261</v>
      </c>
      <c r="X141" t="s">
        <v>1181</v>
      </c>
      <c r="Y141" t="s">
        <v>1182</v>
      </c>
    </row>
    <row r="142" spans="1:25" x14ac:dyDescent="0.2">
      <c r="A142">
        <v>523976</v>
      </c>
      <c r="B142">
        <v>21883</v>
      </c>
      <c r="C142">
        <v>2160</v>
      </c>
      <c r="D142">
        <v>1804</v>
      </c>
      <c r="E142">
        <v>1</v>
      </c>
      <c r="F142" t="s">
        <v>37</v>
      </c>
      <c r="G142" t="s">
        <v>37</v>
      </c>
      <c r="H142" t="s">
        <v>259</v>
      </c>
      <c r="I142">
        <v>7</v>
      </c>
      <c r="J142" t="s">
        <v>1183</v>
      </c>
      <c r="L142">
        <v>523990</v>
      </c>
      <c r="M142">
        <v>6</v>
      </c>
      <c r="N142">
        <v>0.88</v>
      </c>
      <c r="O142">
        <v>0</v>
      </c>
      <c r="P142">
        <v>0</v>
      </c>
      <c r="V142" t="s">
        <v>260</v>
      </c>
      <c r="W142" t="s">
        <v>261</v>
      </c>
      <c r="X142" t="s">
        <v>1184</v>
      </c>
      <c r="Y142" t="s">
        <v>1185</v>
      </c>
    </row>
    <row r="143" spans="1:25" x14ac:dyDescent="0.2">
      <c r="A143">
        <v>523977</v>
      </c>
      <c r="B143">
        <v>21883</v>
      </c>
      <c r="C143">
        <v>2160</v>
      </c>
      <c r="D143">
        <v>1704</v>
      </c>
      <c r="E143">
        <v>1</v>
      </c>
      <c r="F143" t="s">
        <v>37</v>
      </c>
      <c r="G143" t="s">
        <v>37</v>
      </c>
      <c r="H143" t="s">
        <v>259</v>
      </c>
      <c r="I143">
        <v>6</v>
      </c>
      <c r="J143" t="s">
        <v>1186</v>
      </c>
      <c r="L143">
        <v>523990</v>
      </c>
      <c r="M143">
        <v>6</v>
      </c>
      <c r="N143">
        <v>0.88</v>
      </c>
      <c r="O143">
        <v>0</v>
      </c>
      <c r="P143">
        <v>0</v>
      </c>
      <c r="V143" t="s">
        <v>260</v>
      </c>
      <c r="W143" t="s">
        <v>261</v>
      </c>
      <c r="X143" t="s">
        <v>1187</v>
      </c>
      <c r="Y143" t="s">
        <v>1188</v>
      </c>
    </row>
    <row r="144" spans="1:25" x14ac:dyDescent="0.2">
      <c r="A144">
        <v>523978</v>
      </c>
      <c r="B144">
        <v>21883</v>
      </c>
      <c r="C144">
        <v>2160</v>
      </c>
      <c r="D144">
        <v>1504</v>
      </c>
      <c r="E144">
        <v>1</v>
      </c>
      <c r="F144" t="s">
        <v>37</v>
      </c>
      <c r="G144" t="s">
        <v>37</v>
      </c>
      <c r="H144" t="s">
        <v>259</v>
      </c>
      <c r="I144">
        <v>4</v>
      </c>
      <c r="J144" t="s">
        <v>1189</v>
      </c>
      <c r="L144">
        <v>523990</v>
      </c>
      <c r="M144">
        <v>6</v>
      </c>
      <c r="N144">
        <v>0.88</v>
      </c>
      <c r="O144">
        <v>0</v>
      </c>
      <c r="P144">
        <v>0</v>
      </c>
      <c r="V144" t="s">
        <v>260</v>
      </c>
      <c r="W144" t="s">
        <v>261</v>
      </c>
      <c r="X144" t="s">
        <v>1190</v>
      </c>
      <c r="Y144" t="s">
        <v>1191</v>
      </c>
    </row>
    <row r="145" spans="1:25" x14ac:dyDescent="0.2">
      <c r="A145">
        <v>523979</v>
      </c>
      <c r="B145">
        <v>21883</v>
      </c>
      <c r="C145">
        <v>2160</v>
      </c>
      <c r="D145">
        <v>1402</v>
      </c>
      <c r="E145">
        <v>1</v>
      </c>
      <c r="F145" t="s">
        <v>37</v>
      </c>
      <c r="G145" t="s">
        <v>37</v>
      </c>
      <c r="H145" t="s">
        <v>259</v>
      </c>
      <c r="I145">
        <v>3</v>
      </c>
      <c r="J145" t="s">
        <v>1192</v>
      </c>
      <c r="L145">
        <v>523990</v>
      </c>
      <c r="M145">
        <v>6</v>
      </c>
      <c r="N145">
        <v>0.88</v>
      </c>
      <c r="O145">
        <v>0</v>
      </c>
      <c r="P145">
        <v>0</v>
      </c>
      <c r="V145" t="s">
        <v>260</v>
      </c>
      <c r="W145" t="s">
        <v>261</v>
      </c>
      <c r="X145" t="s">
        <v>1193</v>
      </c>
      <c r="Y145" t="s">
        <v>1194</v>
      </c>
    </row>
    <row r="146" spans="1:25" x14ac:dyDescent="0.2">
      <c r="A146">
        <v>523980</v>
      </c>
      <c r="B146">
        <v>21883</v>
      </c>
      <c r="C146">
        <v>2160</v>
      </c>
      <c r="D146">
        <v>1302</v>
      </c>
      <c r="E146">
        <v>1</v>
      </c>
      <c r="F146" t="s">
        <v>37</v>
      </c>
      <c r="G146" t="s">
        <v>37</v>
      </c>
      <c r="H146" t="s">
        <v>259</v>
      </c>
      <c r="I146">
        <v>2</v>
      </c>
      <c r="J146" t="s">
        <v>1195</v>
      </c>
      <c r="L146">
        <v>523990</v>
      </c>
      <c r="M146">
        <v>6</v>
      </c>
      <c r="N146">
        <v>0.88</v>
      </c>
      <c r="O146">
        <v>0</v>
      </c>
      <c r="P146">
        <v>0</v>
      </c>
      <c r="V146" t="s">
        <v>260</v>
      </c>
      <c r="W146" t="s">
        <v>261</v>
      </c>
      <c r="X146" t="s">
        <v>1196</v>
      </c>
      <c r="Y146" t="s">
        <v>1197</v>
      </c>
    </row>
    <row r="147" spans="1:25" x14ac:dyDescent="0.2">
      <c r="A147">
        <v>523981</v>
      </c>
      <c r="B147">
        <v>21883</v>
      </c>
      <c r="C147">
        <v>2160</v>
      </c>
      <c r="D147">
        <v>1203</v>
      </c>
      <c r="E147">
        <v>1</v>
      </c>
      <c r="F147" t="s">
        <v>37</v>
      </c>
      <c r="G147" t="s">
        <v>37</v>
      </c>
      <c r="H147" t="s">
        <v>259</v>
      </c>
      <c r="I147">
        <v>5</v>
      </c>
      <c r="J147" t="s">
        <v>1198</v>
      </c>
      <c r="L147">
        <v>523990</v>
      </c>
      <c r="M147">
        <v>6</v>
      </c>
      <c r="N147">
        <v>0.88</v>
      </c>
      <c r="O147">
        <v>0</v>
      </c>
      <c r="P147">
        <v>0</v>
      </c>
      <c r="V147" t="s">
        <v>260</v>
      </c>
      <c r="W147" t="s">
        <v>261</v>
      </c>
      <c r="X147" t="e" cm="1">
        <f t="array" ref="X147">+N1U9P8bX0C0R6RtU0LHiA</f>
        <v>#NAME?</v>
      </c>
      <c r="Y147" t="s">
        <v>1199</v>
      </c>
    </row>
    <row r="148" spans="1:25" x14ac:dyDescent="0.2">
      <c r="A148">
        <v>523982</v>
      </c>
      <c r="B148">
        <v>21883</v>
      </c>
      <c r="C148">
        <v>2160</v>
      </c>
      <c r="D148">
        <v>1102</v>
      </c>
      <c r="E148">
        <v>1</v>
      </c>
      <c r="F148" t="s">
        <v>37</v>
      </c>
      <c r="G148" t="s">
        <v>37</v>
      </c>
      <c r="H148" t="s">
        <v>259</v>
      </c>
      <c r="I148">
        <v>1</v>
      </c>
      <c r="J148" t="s">
        <v>283</v>
      </c>
      <c r="L148">
        <v>523990</v>
      </c>
      <c r="M148">
        <v>6</v>
      </c>
      <c r="N148">
        <v>0.88</v>
      </c>
      <c r="O148">
        <v>0</v>
      </c>
      <c r="P148">
        <v>0</v>
      </c>
      <c r="V148" t="s">
        <v>260</v>
      </c>
      <c r="W148" t="s">
        <v>261</v>
      </c>
      <c r="X148" t="s">
        <v>1200</v>
      </c>
      <c r="Y148" t="s">
        <v>1201</v>
      </c>
    </row>
    <row r="149" spans="1:25" x14ac:dyDescent="0.2">
      <c r="A149">
        <v>523983</v>
      </c>
      <c r="B149">
        <v>21883</v>
      </c>
      <c r="C149">
        <v>2160</v>
      </c>
      <c r="D149">
        <v>300</v>
      </c>
      <c r="E149">
        <v>1</v>
      </c>
      <c r="F149" t="s">
        <v>37</v>
      </c>
      <c r="G149" t="s">
        <v>37</v>
      </c>
      <c r="H149" t="s">
        <v>259</v>
      </c>
      <c r="I149">
        <v>4</v>
      </c>
      <c r="J149" t="s">
        <v>1202</v>
      </c>
      <c r="L149">
        <v>523991</v>
      </c>
      <c r="M149">
        <v>6</v>
      </c>
      <c r="N149">
        <v>0.88</v>
      </c>
      <c r="O149">
        <v>0</v>
      </c>
      <c r="P149">
        <v>0</v>
      </c>
      <c r="V149" t="s">
        <v>260</v>
      </c>
      <c r="W149" t="s">
        <v>261</v>
      </c>
      <c r="X149" t="s">
        <v>1203</v>
      </c>
      <c r="Y149" t="s">
        <v>1204</v>
      </c>
    </row>
    <row r="150" spans="1:25" x14ac:dyDescent="0.2">
      <c r="A150">
        <v>523984</v>
      </c>
      <c r="B150">
        <v>21883</v>
      </c>
      <c r="C150">
        <v>2160</v>
      </c>
      <c r="D150">
        <v>200</v>
      </c>
      <c r="E150">
        <v>1</v>
      </c>
      <c r="F150" t="s">
        <v>37</v>
      </c>
      <c r="G150" t="s">
        <v>37</v>
      </c>
      <c r="H150" t="s">
        <v>259</v>
      </c>
      <c r="I150">
        <v>1</v>
      </c>
      <c r="J150" t="s">
        <v>281</v>
      </c>
      <c r="L150">
        <v>523991</v>
      </c>
      <c r="M150">
        <v>6</v>
      </c>
      <c r="N150">
        <v>0.88</v>
      </c>
      <c r="O150">
        <v>0</v>
      </c>
      <c r="P150">
        <v>0</v>
      </c>
      <c r="V150" t="s">
        <v>260</v>
      </c>
      <c r="W150" t="s">
        <v>261</v>
      </c>
      <c r="X150" t="s">
        <v>1205</v>
      </c>
      <c r="Y150" t="s">
        <v>1206</v>
      </c>
    </row>
    <row r="151" spans="1:25" x14ac:dyDescent="0.2">
      <c r="A151">
        <v>523985</v>
      </c>
      <c r="B151">
        <v>21883</v>
      </c>
      <c r="C151">
        <v>2160</v>
      </c>
      <c r="D151">
        <v>100</v>
      </c>
      <c r="E151">
        <v>1</v>
      </c>
      <c r="F151" t="s">
        <v>37</v>
      </c>
      <c r="G151" t="s">
        <v>37</v>
      </c>
      <c r="H151" t="s">
        <v>259</v>
      </c>
      <c r="I151">
        <v>2</v>
      </c>
      <c r="J151" t="s">
        <v>617</v>
      </c>
      <c r="L151">
        <v>523991</v>
      </c>
      <c r="M151">
        <v>6</v>
      </c>
      <c r="N151">
        <v>0.88</v>
      </c>
      <c r="O151">
        <v>0</v>
      </c>
      <c r="P151">
        <v>0</v>
      </c>
      <c r="V151" t="s">
        <v>260</v>
      </c>
      <c r="W151" t="s">
        <v>261</v>
      </c>
      <c r="X151" t="s">
        <v>1207</v>
      </c>
      <c r="Y151" t="s">
        <v>1208</v>
      </c>
    </row>
    <row r="152" spans="1:25" x14ac:dyDescent="0.2">
      <c r="A152">
        <v>523986</v>
      </c>
      <c r="B152">
        <v>21883</v>
      </c>
      <c r="C152">
        <v>2160</v>
      </c>
      <c r="D152">
        <v>0</v>
      </c>
      <c r="E152">
        <v>1</v>
      </c>
      <c r="F152" t="s">
        <v>37</v>
      </c>
      <c r="G152" t="s">
        <v>37</v>
      </c>
      <c r="H152" t="s">
        <v>259</v>
      </c>
      <c r="I152">
        <v>3</v>
      </c>
      <c r="J152" t="s">
        <v>1209</v>
      </c>
      <c r="L152">
        <v>523991</v>
      </c>
      <c r="M152">
        <v>6</v>
      </c>
      <c r="N152">
        <v>0.88</v>
      </c>
      <c r="O152">
        <v>0</v>
      </c>
      <c r="P152">
        <v>0</v>
      </c>
      <c r="V152" t="s">
        <v>260</v>
      </c>
      <c r="W152" t="s">
        <v>261</v>
      </c>
      <c r="X152" t="s">
        <v>1210</v>
      </c>
      <c r="Y152" t="s">
        <v>1211</v>
      </c>
    </row>
    <row r="153" spans="1:25" x14ac:dyDescent="0.2">
      <c r="A153">
        <v>523987</v>
      </c>
      <c r="B153">
        <v>21883</v>
      </c>
      <c r="C153">
        <v>2160</v>
      </c>
      <c r="D153">
        <v>904</v>
      </c>
      <c r="E153">
        <v>1</v>
      </c>
      <c r="F153" t="s">
        <v>37</v>
      </c>
      <c r="G153" t="s">
        <v>37</v>
      </c>
      <c r="H153" t="s">
        <v>259</v>
      </c>
      <c r="I153">
        <v>3</v>
      </c>
      <c r="J153" t="s">
        <v>1212</v>
      </c>
      <c r="L153">
        <v>523992</v>
      </c>
      <c r="M153">
        <v>6</v>
      </c>
      <c r="N153">
        <v>0.88</v>
      </c>
      <c r="O153">
        <v>0</v>
      </c>
      <c r="P153">
        <v>0</v>
      </c>
      <c r="V153" t="s">
        <v>260</v>
      </c>
      <c r="W153" t="s">
        <v>261</v>
      </c>
      <c r="X153" t="s">
        <v>1213</v>
      </c>
      <c r="Y153" t="s">
        <v>1214</v>
      </c>
    </row>
    <row r="154" spans="1:25" x14ac:dyDescent="0.2">
      <c r="A154">
        <v>523988</v>
      </c>
      <c r="B154">
        <v>21883</v>
      </c>
      <c r="C154">
        <v>2160</v>
      </c>
      <c r="D154">
        <v>704</v>
      </c>
      <c r="E154">
        <v>1</v>
      </c>
      <c r="F154" t="s">
        <v>37</v>
      </c>
      <c r="G154" t="s">
        <v>37</v>
      </c>
      <c r="H154" t="s">
        <v>259</v>
      </c>
      <c r="I154">
        <v>2</v>
      </c>
      <c r="J154" t="s">
        <v>1215</v>
      </c>
      <c r="L154">
        <v>523992</v>
      </c>
      <c r="M154">
        <v>6</v>
      </c>
      <c r="N154">
        <v>0.88</v>
      </c>
      <c r="O154">
        <v>0</v>
      </c>
      <c r="P154">
        <v>0</v>
      </c>
      <c r="V154" t="s">
        <v>260</v>
      </c>
      <c r="W154" t="s">
        <v>261</v>
      </c>
      <c r="X154" t="s">
        <v>1216</v>
      </c>
      <c r="Y154" t="s">
        <v>1217</v>
      </c>
    </row>
    <row r="155" spans="1:25" x14ac:dyDescent="0.2">
      <c r="A155">
        <v>523989</v>
      </c>
      <c r="B155">
        <v>21883</v>
      </c>
      <c r="C155">
        <v>2160</v>
      </c>
      <c r="D155">
        <v>604</v>
      </c>
      <c r="E155">
        <v>1</v>
      </c>
      <c r="F155" t="s">
        <v>37</v>
      </c>
      <c r="G155" t="s">
        <v>37</v>
      </c>
      <c r="H155" t="s">
        <v>259</v>
      </c>
      <c r="I155">
        <v>4</v>
      </c>
      <c r="J155" t="s">
        <v>1218</v>
      </c>
      <c r="L155">
        <v>523992</v>
      </c>
      <c r="M155">
        <v>6</v>
      </c>
      <c r="N155">
        <v>0.88</v>
      </c>
      <c r="O155">
        <v>0</v>
      </c>
      <c r="P155">
        <v>0</v>
      </c>
      <c r="V155" t="s">
        <v>260</v>
      </c>
      <c r="W155" t="s">
        <v>261</v>
      </c>
      <c r="X155" t="s">
        <v>1219</v>
      </c>
      <c r="Y155" t="s">
        <v>1220</v>
      </c>
    </row>
    <row r="156" spans="1:25" x14ac:dyDescent="0.2">
      <c r="A156">
        <v>523990</v>
      </c>
      <c r="B156">
        <v>21883</v>
      </c>
      <c r="C156">
        <v>2160</v>
      </c>
      <c r="D156">
        <v>902</v>
      </c>
      <c r="E156">
        <v>1</v>
      </c>
      <c r="F156" t="s">
        <v>37</v>
      </c>
      <c r="G156" t="s">
        <v>37</v>
      </c>
      <c r="H156" t="s">
        <v>259</v>
      </c>
      <c r="I156">
        <v>4</v>
      </c>
      <c r="J156" t="s">
        <v>14</v>
      </c>
      <c r="L156">
        <v>523994</v>
      </c>
      <c r="M156">
        <v>6</v>
      </c>
      <c r="N156">
        <v>0.88</v>
      </c>
      <c r="O156">
        <v>0</v>
      </c>
      <c r="P156">
        <v>0</v>
      </c>
      <c r="V156" t="s">
        <v>260</v>
      </c>
      <c r="W156" t="s">
        <v>261</v>
      </c>
      <c r="X156" t="s">
        <v>1221</v>
      </c>
      <c r="Y156" t="s">
        <v>1222</v>
      </c>
    </row>
    <row r="157" spans="1:25" x14ac:dyDescent="0.2">
      <c r="A157">
        <v>523991</v>
      </c>
      <c r="B157">
        <v>21883</v>
      </c>
      <c r="C157">
        <v>2160</v>
      </c>
      <c r="D157">
        <v>602</v>
      </c>
      <c r="E157">
        <v>1</v>
      </c>
      <c r="F157" t="s">
        <v>37</v>
      </c>
      <c r="G157" t="s">
        <v>37</v>
      </c>
      <c r="H157" t="s">
        <v>259</v>
      </c>
      <c r="I157">
        <v>5</v>
      </c>
      <c r="J157" t="s">
        <v>1223</v>
      </c>
      <c r="L157">
        <v>523994</v>
      </c>
      <c r="M157">
        <v>6</v>
      </c>
      <c r="N157">
        <v>0.88</v>
      </c>
      <c r="O157">
        <v>0</v>
      </c>
      <c r="P157">
        <v>0</v>
      </c>
      <c r="V157" t="s">
        <v>260</v>
      </c>
      <c r="W157" t="s">
        <v>261</v>
      </c>
      <c r="X157" t="s">
        <v>1224</v>
      </c>
      <c r="Y157" t="s">
        <v>1225</v>
      </c>
    </row>
    <row r="158" spans="1:25" x14ac:dyDescent="0.2">
      <c r="A158">
        <v>523992</v>
      </c>
      <c r="B158">
        <v>21883</v>
      </c>
      <c r="C158">
        <v>2160</v>
      </c>
      <c r="D158">
        <v>502</v>
      </c>
      <c r="E158">
        <v>1</v>
      </c>
      <c r="F158" t="s">
        <v>37</v>
      </c>
      <c r="G158" t="s">
        <v>37</v>
      </c>
      <c r="H158" t="s">
        <v>259</v>
      </c>
      <c r="I158">
        <v>1</v>
      </c>
      <c r="J158" t="s">
        <v>285</v>
      </c>
      <c r="L158">
        <v>523994</v>
      </c>
      <c r="M158">
        <v>6</v>
      </c>
      <c r="N158">
        <v>0.88</v>
      </c>
      <c r="O158">
        <v>0</v>
      </c>
      <c r="P158">
        <v>0</v>
      </c>
      <c r="V158" t="s">
        <v>260</v>
      </c>
      <c r="W158" t="s">
        <v>261</v>
      </c>
      <c r="X158" t="s">
        <v>1226</v>
      </c>
      <c r="Y158" t="s">
        <v>1227</v>
      </c>
    </row>
    <row r="159" spans="1:25" x14ac:dyDescent="0.2">
      <c r="A159">
        <v>523993</v>
      </c>
      <c r="B159">
        <v>21883</v>
      </c>
      <c r="C159">
        <v>2160</v>
      </c>
      <c r="D159">
        <v>0</v>
      </c>
      <c r="E159">
        <v>1</v>
      </c>
      <c r="F159" t="s">
        <v>37</v>
      </c>
      <c r="G159" t="s">
        <v>37</v>
      </c>
      <c r="H159" t="s">
        <v>259</v>
      </c>
      <c r="I159">
        <v>2</v>
      </c>
      <c r="J159" t="s">
        <v>1228</v>
      </c>
      <c r="L159">
        <v>523994</v>
      </c>
      <c r="M159">
        <v>6</v>
      </c>
      <c r="N159">
        <v>0.88</v>
      </c>
      <c r="O159">
        <v>0</v>
      </c>
      <c r="P159">
        <v>0</v>
      </c>
      <c r="V159" t="s">
        <v>260</v>
      </c>
      <c r="W159" t="s">
        <v>261</v>
      </c>
      <c r="X159" t="s">
        <v>1229</v>
      </c>
      <c r="Y159" t="s">
        <v>1230</v>
      </c>
    </row>
    <row r="160" spans="1:25" x14ac:dyDescent="0.2">
      <c r="A160">
        <v>523994</v>
      </c>
      <c r="B160">
        <v>21883</v>
      </c>
      <c r="C160">
        <v>2160</v>
      </c>
      <c r="D160">
        <v>10003</v>
      </c>
      <c r="E160">
        <v>1</v>
      </c>
      <c r="F160" t="s">
        <v>40</v>
      </c>
      <c r="G160" t="s">
        <v>37</v>
      </c>
      <c r="H160" t="s">
        <v>259</v>
      </c>
      <c r="I160" t="s">
        <v>776</v>
      </c>
      <c r="J160" t="s">
        <v>1231</v>
      </c>
      <c r="L160">
        <v>9463</v>
      </c>
      <c r="M160">
        <v>6</v>
      </c>
      <c r="N160">
        <v>0.88</v>
      </c>
      <c r="O160">
        <v>0</v>
      </c>
      <c r="P160">
        <v>0</v>
      </c>
      <c r="V160" t="s">
        <v>260</v>
      </c>
      <c r="W160" t="s">
        <v>261</v>
      </c>
      <c r="X160" t="s">
        <v>1232</v>
      </c>
    </row>
    <row r="161" spans="1:25" x14ac:dyDescent="0.2">
      <c r="A161">
        <v>523995</v>
      </c>
      <c r="B161">
        <v>21883</v>
      </c>
      <c r="C161">
        <v>2160</v>
      </c>
      <c r="D161">
        <v>1503</v>
      </c>
      <c r="E161">
        <v>1</v>
      </c>
      <c r="F161" t="s">
        <v>37</v>
      </c>
      <c r="G161" t="s">
        <v>37</v>
      </c>
      <c r="H161" t="s">
        <v>259</v>
      </c>
      <c r="I161">
        <v>3</v>
      </c>
      <c r="J161" t="s">
        <v>1233</v>
      </c>
      <c r="L161">
        <v>523978</v>
      </c>
      <c r="M161">
        <v>6</v>
      </c>
      <c r="N161">
        <v>0.88</v>
      </c>
      <c r="O161">
        <v>0</v>
      </c>
      <c r="P161">
        <v>0</v>
      </c>
      <c r="V161" t="s">
        <v>260</v>
      </c>
      <c r="W161" t="s">
        <v>261</v>
      </c>
      <c r="X161" t="s">
        <v>1234</v>
      </c>
    </row>
    <row r="162" spans="1:25" x14ac:dyDescent="0.2">
      <c r="A162">
        <v>523996</v>
      </c>
      <c r="B162">
        <v>21883</v>
      </c>
      <c r="C162">
        <v>2160</v>
      </c>
      <c r="D162">
        <v>0</v>
      </c>
      <c r="E162">
        <v>1</v>
      </c>
      <c r="F162" t="s">
        <v>37</v>
      </c>
      <c r="G162" t="s">
        <v>37</v>
      </c>
      <c r="H162" t="s">
        <v>259</v>
      </c>
      <c r="I162">
        <v>2</v>
      </c>
      <c r="J162" t="s">
        <v>1235</v>
      </c>
      <c r="L162">
        <v>523967</v>
      </c>
      <c r="M162">
        <v>6</v>
      </c>
      <c r="N162">
        <v>0.88</v>
      </c>
      <c r="O162">
        <v>0</v>
      </c>
      <c r="P162">
        <v>0</v>
      </c>
      <c r="V162" t="s">
        <v>260</v>
      </c>
      <c r="W162" t="s">
        <v>261</v>
      </c>
      <c r="X162" t="s">
        <v>1236</v>
      </c>
      <c r="Y162" t="s">
        <v>1038</v>
      </c>
    </row>
    <row r="163" spans="1:25" x14ac:dyDescent="0.2">
      <c r="A163">
        <v>523997</v>
      </c>
      <c r="B163">
        <v>21883</v>
      </c>
      <c r="C163">
        <v>2160</v>
      </c>
      <c r="D163">
        <v>1</v>
      </c>
      <c r="E163">
        <v>1</v>
      </c>
      <c r="F163" t="s">
        <v>37</v>
      </c>
      <c r="G163" t="s">
        <v>37</v>
      </c>
      <c r="H163" t="s">
        <v>259</v>
      </c>
      <c r="I163">
        <v>7</v>
      </c>
      <c r="J163" t="s">
        <v>1237</v>
      </c>
      <c r="L163">
        <v>523967</v>
      </c>
      <c r="M163">
        <v>6</v>
      </c>
      <c r="N163">
        <v>0.88</v>
      </c>
      <c r="O163">
        <v>0</v>
      </c>
      <c r="P163">
        <v>0</v>
      </c>
      <c r="V163" t="s">
        <v>260</v>
      </c>
      <c r="W163" t="s">
        <v>261</v>
      </c>
      <c r="X163" t="s">
        <v>1238</v>
      </c>
      <c r="Y163" t="s">
        <v>1236</v>
      </c>
    </row>
    <row r="164" spans="1:25" x14ac:dyDescent="0.2">
      <c r="A164">
        <v>523998</v>
      </c>
      <c r="B164">
        <v>21883</v>
      </c>
      <c r="C164">
        <v>2160</v>
      </c>
      <c r="D164">
        <v>0</v>
      </c>
      <c r="E164">
        <v>1</v>
      </c>
      <c r="F164" t="s">
        <v>37</v>
      </c>
      <c r="G164" t="s">
        <v>37</v>
      </c>
      <c r="H164" t="s">
        <v>259</v>
      </c>
      <c r="I164">
        <v>1</v>
      </c>
      <c r="J164" t="s">
        <v>1239</v>
      </c>
      <c r="L164">
        <v>523992</v>
      </c>
      <c r="M164">
        <v>6</v>
      </c>
      <c r="N164">
        <v>0.88</v>
      </c>
      <c r="O164">
        <v>0</v>
      </c>
      <c r="P164">
        <v>0</v>
      </c>
      <c r="V164" t="s">
        <v>260</v>
      </c>
      <c r="W164" t="s">
        <v>261</v>
      </c>
      <c r="X164" t="s">
        <v>1240</v>
      </c>
      <c r="Y164" t="s">
        <v>1241</v>
      </c>
    </row>
    <row r="165" spans="1:25" x14ac:dyDescent="0.2">
      <c r="A165">
        <v>523999</v>
      </c>
      <c r="B165">
        <v>21883</v>
      </c>
      <c r="C165">
        <v>2160</v>
      </c>
      <c r="D165">
        <v>1004</v>
      </c>
      <c r="E165">
        <v>1</v>
      </c>
      <c r="F165" t="s">
        <v>37</v>
      </c>
      <c r="G165" t="s">
        <v>37</v>
      </c>
      <c r="H165" t="s">
        <v>259</v>
      </c>
      <c r="I165">
        <v>3</v>
      </c>
      <c r="J165" t="s">
        <v>728</v>
      </c>
      <c r="L165">
        <v>523994</v>
      </c>
      <c r="M165">
        <v>6</v>
      </c>
      <c r="N165">
        <v>0.88</v>
      </c>
      <c r="O165">
        <v>0</v>
      </c>
      <c r="P165">
        <v>0</v>
      </c>
      <c r="V165" t="s">
        <v>260</v>
      </c>
      <c r="W165" t="s">
        <v>261</v>
      </c>
      <c r="X165" t="s">
        <v>1242</v>
      </c>
    </row>
    <row r="166" spans="1:25" x14ac:dyDescent="0.2">
      <c r="A166">
        <v>524000</v>
      </c>
      <c r="B166">
        <v>21883</v>
      </c>
      <c r="C166">
        <v>2160</v>
      </c>
      <c r="D166">
        <v>1404</v>
      </c>
      <c r="E166">
        <v>1</v>
      </c>
      <c r="F166" t="s">
        <v>37</v>
      </c>
      <c r="G166" t="s">
        <v>37</v>
      </c>
      <c r="H166" t="s">
        <v>259</v>
      </c>
      <c r="I166">
        <v>7</v>
      </c>
      <c r="J166" t="s">
        <v>1243</v>
      </c>
      <c r="L166">
        <v>523979</v>
      </c>
      <c r="M166">
        <v>6</v>
      </c>
      <c r="N166">
        <v>0.88</v>
      </c>
      <c r="O166">
        <v>0</v>
      </c>
      <c r="P166">
        <v>0</v>
      </c>
      <c r="V166" t="s">
        <v>260</v>
      </c>
      <c r="W166" t="s">
        <v>261</v>
      </c>
      <c r="X166" t="s">
        <v>1244</v>
      </c>
    </row>
    <row r="167" spans="1:25" x14ac:dyDescent="0.2">
      <c r="A167">
        <v>524001</v>
      </c>
      <c r="B167">
        <v>21883</v>
      </c>
      <c r="C167">
        <v>2160</v>
      </c>
      <c r="D167">
        <v>206</v>
      </c>
      <c r="E167">
        <v>1</v>
      </c>
      <c r="F167" t="s">
        <v>37</v>
      </c>
      <c r="G167" t="s">
        <v>37</v>
      </c>
      <c r="H167" t="s">
        <v>259</v>
      </c>
      <c r="I167">
        <v>1</v>
      </c>
      <c r="J167" t="s">
        <v>1245</v>
      </c>
      <c r="L167">
        <v>524000</v>
      </c>
      <c r="M167">
        <v>6</v>
      </c>
      <c r="N167">
        <v>0.88</v>
      </c>
      <c r="O167">
        <v>0</v>
      </c>
      <c r="P167">
        <v>0</v>
      </c>
      <c r="V167" t="s">
        <v>260</v>
      </c>
      <c r="W167" t="s">
        <v>261</v>
      </c>
      <c r="X167" t="s">
        <v>1246</v>
      </c>
    </row>
    <row r="168" spans="1:25" x14ac:dyDescent="0.2">
      <c r="A168">
        <v>524002</v>
      </c>
      <c r="B168">
        <v>21883</v>
      </c>
      <c r="C168">
        <v>2160</v>
      </c>
      <c r="D168">
        <v>106</v>
      </c>
      <c r="E168">
        <v>1</v>
      </c>
      <c r="F168" t="s">
        <v>37</v>
      </c>
      <c r="G168" t="s">
        <v>37</v>
      </c>
      <c r="H168" t="s">
        <v>259</v>
      </c>
      <c r="I168">
        <v>2</v>
      </c>
      <c r="J168" t="s">
        <v>1247</v>
      </c>
      <c r="L168">
        <v>524000</v>
      </c>
      <c r="M168">
        <v>6</v>
      </c>
      <c r="N168">
        <v>0.88</v>
      </c>
      <c r="O168">
        <v>0</v>
      </c>
      <c r="P168">
        <v>0</v>
      </c>
      <c r="V168" t="s">
        <v>260</v>
      </c>
      <c r="W168" t="s">
        <v>261</v>
      </c>
      <c r="X168" t="s">
        <v>1248</v>
      </c>
    </row>
    <row r="169" spans="1:25" x14ac:dyDescent="0.2">
      <c r="A169">
        <v>524003</v>
      </c>
      <c r="B169">
        <v>21883</v>
      </c>
      <c r="C169">
        <v>2160</v>
      </c>
      <c r="D169">
        <v>306</v>
      </c>
      <c r="E169">
        <v>1</v>
      </c>
      <c r="F169" t="s">
        <v>37</v>
      </c>
      <c r="G169" t="s">
        <v>37</v>
      </c>
      <c r="H169" t="s">
        <v>259</v>
      </c>
      <c r="I169">
        <v>3</v>
      </c>
      <c r="J169" t="s">
        <v>1249</v>
      </c>
      <c r="L169">
        <v>524000</v>
      </c>
      <c r="M169">
        <v>6</v>
      </c>
      <c r="N169">
        <v>0.88</v>
      </c>
      <c r="O169">
        <v>0</v>
      </c>
      <c r="P169">
        <v>0</v>
      </c>
      <c r="V169" t="s">
        <v>260</v>
      </c>
      <c r="W169" t="s">
        <v>261</v>
      </c>
      <c r="X169" t="s">
        <v>1250</v>
      </c>
    </row>
    <row r="170" spans="1:25" x14ac:dyDescent="0.2">
      <c r="A170">
        <v>524004</v>
      </c>
      <c r="B170">
        <v>21883</v>
      </c>
      <c r="C170">
        <v>2160</v>
      </c>
      <c r="D170">
        <v>104</v>
      </c>
      <c r="E170">
        <v>1</v>
      </c>
      <c r="F170" t="s">
        <v>37</v>
      </c>
      <c r="G170" t="s">
        <v>37</v>
      </c>
      <c r="H170" t="s">
        <v>259</v>
      </c>
      <c r="I170">
        <v>5</v>
      </c>
      <c r="J170" t="s">
        <v>1251</v>
      </c>
      <c r="L170">
        <v>523970</v>
      </c>
      <c r="M170">
        <v>6</v>
      </c>
      <c r="N170">
        <v>0.88</v>
      </c>
      <c r="O170">
        <v>0</v>
      </c>
      <c r="P170">
        <v>0</v>
      </c>
      <c r="V170" t="s">
        <v>260</v>
      </c>
      <c r="W170" t="s">
        <v>261</v>
      </c>
      <c r="X170" t="s">
        <v>1252</v>
      </c>
    </row>
    <row r="171" spans="1:25" x14ac:dyDescent="0.2">
      <c r="A171">
        <v>524005</v>
      </c>
      <c r="B171">
        <v>21883</v>
      </c>
      <c r="C171">
        <v>2160</v>
      </c>
      <c r="D171">
        <v>204</v>
      </c>
      <c r="E171">
        <v>1</v>
      </c>
      <c r="F171" t="s">
        <v>37</v>
      </c>
      <c r="G171" t="s">
        <v>37</v>
      </c>
      <c r="H171" t="s">
        <v>259</v>
      </c>
      <c r="I171">
        <v>6</v>
      </c>
      <c r="J171" t="s">
        <v>1253</v>
      </c>
      <c r="L171">
        <v>523970</v>
      </c>
      <c r="M171">
        <v>6</v>
      </c>
      <c r="N171">
        <v>0.88</v>
      </c>
      <c r="O171">
        <v>0</v>
      </c>
      <c r="P171">
        <v>0</v>
      </c>
      <c r="V171" t="s">
        <v>260</v>
      </c>
      <c r="W171" t="s">
        <v>261</v>
      </c>
      <c r="X171" t="s">
        <v>1254</v>
      </c>
    </row>
    <row r="172" spans="1:25" x14ac:dyDescent="0.2">
      <c r="A172">
        <v>524006</v>
      </c>
      <c r="B172">
        <v>21883</v>
      </c>
      <c r="C172">
        <v>2160</v>
      </c>
      <c r="D172">
        <v>4</v>
      </c>
      <c r="E172">
        <v>1</v>
      </c>
      <c r="F172" t="s">
        <v>37</v>
      </c>
      <c r="G172" t="s">
        <v>37</v>
      </c>
      <c r="H172" t="s">
        <v>259</v>
      </c>
      <c r="I172">
        <v>10</v>
      </c>
      <c r="J172" t="s">
        <v>1255</v>
      </c>
      <c r="L172">
        <v>523970</v>
      </c>
      <c r="M172">
        <v>6</v>
      </c>
      <c r="N172">
        <v>0.88</v>
      </c>
      <c r="O172">
        <v>0</v>
      </c>
      <c r="P172">
        <v>0</v>
      </c>
      <c r="V172" t="s">
        <v>260</v>
      </c>
      <c r="W172" t="s">
        <v>261</v>
      </c>
      <c r="X172" t="s">
        <v>1256</v>
      </c>
    </row>
    <row r="173" spans="1:25" x14ac:dyDescent="0.2">
      <c r="A173">
        <v>524007</v>
      </c>
      <c r="B173">
        <v>21883</v>
      </c>
      <c r="C173">
        <v>2160</v>
      </c>
      <c r="D173">
        <v>1</v>
      </c>
      <c r="E173">
        <v>1</v>
      </c>
      <c r="F173" t="s">
        <v>37</v>
      </c>
      <c r="G173" t="s">
        <v>37</v>
      </c>
      <c r="H173" t="s">
        <v>259</v>
      </c>
      <c r="I173">
        <v>8</v>
      </c>
      <c r="J173" t="s">
        <v>1257</v>
      </c>
      <c r="L173">
        <v>524008</v>
      </c>
      <c r="M173">
        <v>6</v>
      </c>
      <c r="N173">
        <v>0.88</v>
      </c>
      <c r="O173">
        <v>0</v>
      </c>
      <c r="P173">
        <v>0</v>
      </c>
      <c r="V173" t="s">
        <v>260</v>
      </c>
      <c r="W173" t="s">
        <v>261</v>
      </c>
      <c r="X173" t="s">
        <v>1258</v>
      </c>
    </row>
    <row r="174" spans="1:25" x14ac:dyDescent="0.2">
      <c r="A174">
        <v>524008</v>
      </c>
      <c r="B174">
        <v>21883</v>
      </c>
      <c r="C174">
        <v>2160</v>
      </c>
      <c r="D174">
        <v>5</v>
      </c>
      <c r="E174">
        <v>1</v>
      </c>
      <c r="F174" t="s">
        <v>37</v>
      </c>
      <c r="G174" t="s">
        <v>37</v>
      </c>
      <c r="H174" t="s">
        <v>259</v>
      </c>
      <c r="I174">
        <v>2</v>
      </c>
      <c r="J174" t="s">
        <v>1259</v>
      </c>
      <c r="L174">
        <v>523979</v>
      </c>
      <c r="M174">
        <v>6</v>
      </c>
      <c r="N174">
        <v>0.88</v>
      </c>
      <c r="O174">
        <v>0</v>
      </c>
      <c r="P174">
        <v>0</v>
      </c>
      <c r="V174" t="s">
        <v>260</v>
      </c>
      <c r="W174" t="s">
        <v>261</v>
      </c>
      <c r="X174" t="s">
        <v>1260</v>
      </c>
    </row>
    <row r="175" spans="1:25" x14ac:dyDescent="0.2">
      <c r="A175">
        <v>524009</v>
      </c>
      <c r="B175">
        <v>21883</v>
      </c>
      <c r="C175">
        <v>2160</v>
      </c>
      <c r="D175">
        <v>3</v>
      </c>
      <c r="E175">
        <v>1</v>
      </c>
      <c r="F175" t="s">
        <v>37</v>
      </c>
      <c r="G175" t="s">
        <v>37</v>
      </c>
      <c r="H175" t="s">
        <v>259</v>
      </c>
      <c r="I175">
        <v>6</v>
      </c>
      <c r="J175" t="s">
        <v>1261</v>
      </c>
      <c r="L175">
        <v>523979</v>
      </c>
      <c r="M175">
        <v>6</v>
      </c>
      <c r="N175">
        <v>0.88</v>
      </c>
      <c r="O175">
        <v>0</v>
      </c>
      <c r="P175">
        <v>0</v>
      </c>
      <c r="V175" t="s">
        <v>260</v>
      </c>
      <c r="W175" t="s">
        <v>261</v>
      </c>
      <c r="X175" t="s">
        <v>1262</v>
      </c>
    </row>
    <row r="176" spans="1:25" x14ac:dyDescent="0.2">
      <c r="A176">
        <v>524010</v>
      </c>
      <c r="B176">
        <v>21883</v>
      </c>
      <c r="C176">
        <v>2160</v>
      </c>
      <c r="D176">
        <v>1503</v>
      </c>
      <c r="E176">
        <v>1</v>
      </c>
      <c r="F176" t="s">
        <v>37</v>
      </c>
      <c r="G176" t="s">
        <v>37</v>
      </c>
      <c r="H176" t="s">
        <v>259</v>
      </c>
      <c r="I176">
        <v>1</v>
      </c>
      <c r="J176" t="s">
        <v>1263</v>
      </c>
      <c r="L176">
        <v>524009</v>
      </c>
      <c r="M176">
        <v>6</v>
      </c>
      <c r="N176">
        <v>0.88</v>
      </c>
      <c r="O176">
        <v>0</v>
      </c>
      <c r="P176">
        <v>0</v>
      </c>
      <c r="V176" t="s">
        <v>260</v>
      </c>
      <c r="W176" t="s">
        <v>261</v>
      </c>
      <c r="X176" t="s">
        <v>1264</v>
      </c>
    </row>
    <row r="177" spans="1:24" x14ac:dyDescent="0.2">
      <c r="A177">
        <v>524011</v>
      </c>
      <c r="B177">
        <v>21883</v>
      </c>
      <c r="C177">
        <v>2160</v>
      </c>
      <c r="D177">
        <v>1503</v>
      </c>
      <c r="E177">
        <v>1</v>
      </c>
      <c r="F177" t="s">
        <v>37</v>
      </c>
      <c r="G177" t="s">
        <v>37</v>
      </c>
      <c r="H177" t="s">
        <v>259</v>
      </c>
      <c r="I177">
        <v>2</v>
      </c>
      <c r="J177" t="s">
        <v>1265</v>
      </c>
      <c r="L177">
        <v>524009</v>
      </c>
      <c r="M177">
        <v>6</v>
      </c>
      <c r="N177">
        <v>0.88</v>
      </c>
      <c r="O177">
        <v>0</v>
      </c>
      <c r="P177">
        <v>0</v>
      </c>
      <c r="V177" t="s">
        <v>260</v>
      </c>
      <c r="W177" t="s">
        <v>261</v>
      </c>
      <c r="X177" t="s">
        <v>1266</v>
      </c>
    </row>
    <row r="178" spans="1:24" x14ac:dyDescent="0.2">
      <c r="A178">
        <v>524012</v>
      </c>
      <c r="B178">
        <v>21883</v>
      </c>
      <c r="C178">
        <v>2160</v>
      </c>
      <c r="D178">
        <v>1</v>
      </c>
      <c r="E178">
        <v>1</v>
      </c>
      <c r="F178" t="s">
        <v>37</v>
      </c>
      <c r="G178" t="s">
        <v>37</v>
      </c>
      <c r="H178" t="s">
        <v>259</v>
      </c>
      <c r="I178">
        <v>3</v>
      </c>
      <c r="J178" t="s">
        <v>1267</v>
      </c>
      <c r="L178">
        <v>524009</v>
      </c>
      <c r="M178">
        <v>6</v>
      </c>
      <c r="N178">
        <v>0.88</v>
      </c>
      <c r="O178">
        <v>0</v>
      </c>
      <c r="P178">
        <v>0</v>
      </c>
      <c r="V178" t="s">
        <v>260</v>
      </c>
      <c r="W178" t="s">
        <v>261</v>
      </c>
      <c r="X178" t="s">
        <v>1268</v>
      </c>
    </row>
    <row r="179" spans="1:24" x14ac:dyDescent="0.2">
      <c r="A179">
        <v>524013</v>
      </c>
      <c r="B179">
        <v>21883</v>
      </c>
      <c r="C179">
        <v>2160</v>
      </c>
      <c r="D179">
        <v>1505</v>
      </c>
      <c r="E179">
        <v>1</v>
      </c>
      <c r="F179" t="s">
        <v>37</v>
      </c>
      <c r="G179" t="s">
        <v>37</v>
      </c>
      <c r="H179" t="s">
        <v>259</v>
      </c>
      <c r="I179">
        <v>1</v>
      </c>
      <c r="J179" t="s">
        <v>1269</v>
      </c>
      <c r="L179">
        <v>523978</v>
      </c>
      <c r="M179">
        <v>6</v>
      </c>
      <c r="N179">
        <v>0.88</v>
      </c>
      <c r="O179">
        <v>0</v>
      </c>
      <c r="P179">
        <v>0</v>
      </c>
      <c r="V179" t="s">
        <v>260</v>
      </c>
      <c r="W179" t="s">
        <v>261</v>
      </c>
      <c r="X179" t="s">
        <v>1270</v>
      </c>
    </row>
    <row r="180" spans="1:24" x14ac:dyDescent="0.2">
      <c r="A180">
        <v>524014</v>
      </c>
      <c r="B180">
        <v>21883</v>
      </c>
      <c r="C180">
        <v>2160</v>
      </c>
      <c r="D180">
        <v>0</v>
      </c>
      <c r="E180">
        <v>1</v>
      </c>
      <c r="F180" t="s">
        <v>37</v>
      </c>
      <c r="G180" t="s">
        <v>37</v>
      </c>
      <c r="H180" t="s">
        <v>259</v>
      </c>
      <c r="I180">
        <v>1</v>
      </c>
      <c r="J180" t="s">
        <v>1271</v>
      </c>
      <c r="L180">
        <v>524018</v>
      </c>
      <c r="M180">
        <v>6</v>
      </c>
      <c r="N180">
        <v>0.88</v>
      </c>
      <c r="O180">
        <v>0</v>
      </c>
      <c r="P180">
        <v>0</v>
      </c>
      <c r="V180" t="s">
        <v>260</v>
      </c>
      <c r="W180" t="s">
        <v>261</v>
      </c>
      <c r="X180" t="s">
        <v>1272</v>
      </c>
    </row>
    <row r="181" spans="1:24" x14ac:dyDescent="0.2">
      <c r="A181">
        <v>524015</v>
      </c>
      <c r="B181">
        <v>21883</v>
      </c>
      <c r="C181">
        <v>2160</v>
      </c>
      <c r="D181">
        <v>4</v>
      </c>
      <c r="E181">
        <v>1</v>
      </c>
      <c r="F181" t="s">
        <v>37</v>
      </c>
      <c r="G181" t="s">
        <v>37</v>
      </c>
      <c r="H181" t="s">
        <v>259</v>
      </c>
      <c r="I181">
        <v>1</v>
      </c>
      <c r="J181" t="s">
        <v>1273</v>
      </c>
      <c r="L181">
        <v>524008</v>
      </c>
      <c r="M181">
        <v>6</v>
      </c>
      <c r="N181">
        <v>0.88</v>
      </c>
      <c r="O181">
        <v>0</v>
      </c>
      <c r="P181">
        <v>0</v>
      </c>
      <c r="V181" t="s">
        <v>260</v>
      </c>
      <c r="W181" t="s">
        <v>261</v>
      </c>
      <c r="X181" t="s">
        <v>1274</v>
      </c>
    </row>
    <row r="182" spans="1:24" x14ac:dyDescent="0.2">
      <c r="A182">
        <v>524016</v>
      </c>
      <c r="B182">
        <v>21883</v>
      </c>
      <c r="C182">
        <v>2160</v>
      </c>
      <c r="D182">
        <v>101</v>
      </c>
      <c r="E182">
        <v>1</v>
      </c>
      <c r="F182" t="s">
        <v>37</v>
      </c>
      <c r="G182" t="s">
        <v>37</v>
      </c>
      <c r="H182" t="s">
        <v>259</v>
      </c>
      <c r="I182">
        <v>9</v>
      </c>
      <c r="J182" t="s">
        <v>1275</v>
      </c>
      <c r="L182">
        <v>524018</v>
      </c>
      <c r="M182">
        <v>6</v>
      </c>
      <c r="N182">
        <v>0.88</v>
      </c>
      <c r="O182">
        <v>0</v>
      </c>
      <c r="P182">
        <v>0</v>
      </c>
      <c r="V182" t="s">
        <v>260</v>
      </c>
      <c r="W182" t="s">
        <v>261</v>
      </c>
      <c r="X182" t="s">
        <v>1276</v>
      </c>
    </row>
    <row r="183" spans="1:24" x14ac:dyDescent="0.2">
      <c r="A183">
        <v>524017</v>
      </c>
      <c r="B183">
        <v>21883</v>
      </c>
      <c r="C183">
        <v>2160</v>
      </c>
      <c r="D183">
        <v>406</v>
      </c>
      <c r="E183">
        <v>1</v>
      </c>
      <c r="F183" t="s">
        <v>37</v>
      </c>
      <c r="G183" t="s">
        <v>37</v>
      </c>
      <c r="H183" t="s">
        <v>259</v>
      </c>
      <c r="I183">
        <v>7</v>
      </c>
      <c r="J183" t="s">
        <v>1277</v>
      </c>
      <c r="L183">
        <v>524000</v>
      </c>
      <c r="M183">
        <v>6</v>
      </c>
      <c r="N183">
        <v>0.88</v>
      </c>
      <c r="O183">
        <v>0</v>
      </c>
      <c r="P183">
        <v>0</v>
      </c>
      <c r="V183" t="s">
        <v>260</v>
      </c>
      <c r="W183" t="s">
        <v>261</v>
      </c>
      <c r="X183" t="s">
        <v>1278</v>
      </c>
    </row>
    <row r="184" spans="1:24" x14ac:dyDescent="0.2">
      <c r="A184">
        <v>524018</v>
      </c>
      <c r="B184">
        <v>21883</v>
      </c>
      <c r="C184">
        <v>2160</v>
      </c>
      <c r="D184">
        <v>103</v>
      </c>
      <c r="E184">
        <v>1</v>
      </c>
      <c r="F184" t="s">
        <v>37</v>
      </c>
      <c r="G184" t="s">
        <v>37</v>
      </c>
      <c r="H184" t="s">
        <v>259</v>
      </c>
      <c r="I184">
        <v>8</v>
      </c>
      <c r="J184" t="s">
        <v>1279</v>
      </c>
      <c r="L184">
        <v>523979</v>
      </c>
      <c r="M184">
        <v>6</v>
      </c>
      <c r="N184">
        <v>0.88</v>
      </c>
      <c r="O184">
        <v>0</v>
      </c>
      <c r="P184">
        <v>0</v>
      </c>
      <c r="V184" t="s">
        <v>260</v>
      </c>
      <c r="W184" t="s">
        <v>261</v>
      </c>
      <c r="X184" t="s">
        <v>1280</v>
      </c>
    </row>
    <row r="185" spans="1:24" x14ac:dyDescent="0.2">
      <c r="A185">
        <v>524019</v>
      </c>
      <c r="B185">
        <v>21883</v>
      </c>
      <c r="C185">
        <v>2160</v>
      </c>
      <c r="D185">
        <v>1403</v>
      </c>
      <c r="E185">
        <v>1</v>
      </c>
      <c r="F185" t="s">
        <v>37</v>
      </c>
      <c r="G185" t="s">
        <v>37</v>
      </c>
      <c r="H185" t="s">
        <v>259</v>
      </c>
      <c r="I185">
        <v>9</v>
      </c>
      <c r="J185" t="s">
        <v>1281</v>
      </c>
      <c r="L185">
        <v>523979</v>
      </c>
      <c r="M185">
        <v>6</v>
      </c>
      <c r="N185">
        <v>0.88</v>
      </c>
      <c r="O185">
        <v>0</v>
      </c>
      <c r="P185">
        <v>0</v>
      </c>
      <c r="V185" t="s">
        <v>260</v>
      </c>
      <c r="W185" t="s">
        <v>261</v>
      </c>
      <c r="X185" t="s">
        <v>1282</v>
      </c>
    </row>
    <row r="186" spans="1:24" x14ac:dyDescent="0.2">
      <c r="A186">
        <v>524020</v>
      </c>
      <c r="B186">
        <v>21883</v>
      </c>
      <c r="C186">
        <v>2160</v>
      </c>
      <c r="D186">
        <v>206</v>
      </c>
      <c r="E186">
        <v>1</v>
      </c>
      <c r="F186" t="s">
        <v>37</v>
      </c>
      <c r="G186" t="s">
        <v>37</v>
      </c>
      <c r="H186" t="s">
        <v>259</v>
      </c>
      <c r="I186">
        <v>1</v>
      </c>
      <c r="J186" t="s">
        <v>1283</v>
      </c>
      <c r="L186">
        <v>524019</v>
      </c>
      <c r="M186">
        <v>6</v>
      </c>
      <c r="N186">
        <v>0.88</v>
      </c>
      <c r="O186">
        <v>0</v>
      </c>
      <c r="P186">
        <v>0</v>
      </c>
      <c r="V186" t="s">
        <v>260</v>
      </c>
      <c r="W186" t="s">
        <v>261</v>
      </c>
      <c r="X186" t="s">
        <v>1284</v>
      </c>
    </row>
    <row r="187" spans="1:24" x14ac:dyDescent="0.2">
      <c r="A187">
        <v>524021</v>
      </c>
      <c r="B187">
        <v>21883</v>
      </c>
      <c r="C187">
        <v>2160</v>
      </c>
      <c r="D187">
        <v>304</v>
      </c>
      <c r="E187">
        <v>1</v>
      </c>
      <c r="F187" t="s">
        <v>37</v>
      </c>
      <c r="G187" t="s">
        <v>37</v>
      </c>
      <c r="H187" t="s">
        <v>259</v>
      </c>
      <c r="I187">
        <v>1</v>
      </c>
      <c r="J187" t="s">
        <v>1285</v>
      </c>
      <c r="L187">
        <v>523970</v>
      </c>
      <c r="M187">
        <v>6</v>
      </c>
      <c r="N187">
        <v>0.88</v>
      </c>
      <c r="O187">
        <v>0</v>
      </c>
      <c r="P187">
        <v>0</v>
      </c>
      <c r="V187" t="s">
        <v>260</v>
      </c>
      <c r="W187" t="s">
        <v>261</v>
      </c>
      <c r="X187" t="s">
        <v>1286</v>
      </c>
    </row>
    <row r="188" spans="1:24" x14ac:dyDescent="0.2">
      <c r="A188">
        <v>524022</v>
      </c>
      <c r="B188">
        <v>21883</v>
      </c>
      <c r="C188">
        <v>2160</v>
      </c>
      <c r="D188">
        <v>1504</v>
      </c>
      <c r="E188">
        <v>1</v>
      </c>
      <c r="F188" t="s">
        <v>37</v>
      </c>
      <c r="G188" t="s">
        <v>37</v>
      </c>
      <c r="H188" t="s">
        <v>259</v>
      </c>
      <c r="I188">
        <v>4</v>
      </c>
      <c r="J188" t="s">
        <v>1287</v>
      </c>
      <c r="L188">
        <v>523995</v>
      </c>
      <c r="M188">
        <v>6</v>
      </c>
      <c r="N188">
        <v>0.88</v>
      </c>
      <c r="O188">
        <v>0</v>
      </c>
      <c r="P188">
        <v>0</v>
      </c>
      <c r="V188" t="s">
        <v>260</v>
      </c>
      <c r="W188" t="s">
        <v>261</v>
      </c>
      <c r="X188" t="s">
        <v>1288</v>
      </c>
    </row>
    <row r="189" spans="1:24" x14ac:dyDescent="0.2">
      <c r="A189">
        <v>524023</v>
      </c>
      <c r="B189">
        <v>21883</v>
      </c>
      <c r="C189">
        <v>2160</v>
      </c>
      <c r="D189">
        <v>1704</v>
      </c>
      <c r="E189">
        <v>1</v>
      </c>
      <c r="F189" t="s">
        <v>37</v>
      </c>
      <c r="G189" t="s">
        <v>37</v>
      </c>
      <c r="H189" t="s">
        <v>259</v>
      </c>
      <c r="I189">
        <v>5</v>
      </c>
      <c r="J189" t="s">
        <v>1289</v>
      </c>
      <c r="L189">
        <v>523995</v>
      </c>
      <c r="M189">
        <v>6</v>
      </c>
      <c r="N189">
        <v>0.88</v>
      </c>
      <c r="O189">
        <v>0</v>
      </c>
      <c r="P189">
        <v>0</v>
      </c>
      <c r="V189" t="s">
        <v>260</v>
      </c>
      <c r="W189" t="s">
        <v>261</v>
      </c>
      <c r="X189" t="s">
        <v>1290</v>
      </c>
    </row>
    <row r="190" spans="1:24" x14ac:dyDescent="0.2">
      <c r="A190">
        <v>524024</v>
      </c>
      <c r="B190">
        <v>21883</v>
      </c>
      <c r="C190">
        <v>2160</v>
      </c>
      <c r="D190">
        <v>1</v>
      </c>
      <c r="E190">
        <v>1</v>
      </c>
      <c r="F190" t="s">
        <v>37</v>
      </c>
      <c r="G190" t="s">
        <v>37</v>
      </c>
      <c r="H190" t="s">
        <v>259</v>
      </c>
      <c r="I190">
        <v>6</v>
      </c>
      <c r="J190" t="s">
        <v>1291</v>
      </c>
      <c r="L190">
        <v>523995</v>
      </c>
      <c r="M190">
        <v>6</v>
      </c>
      <c r="N190">
        <v>0.88</v>
      </c>
      <c r="O190">
        <v>0</v>
      </c>
      <c r="P190">
        <v>0</v>
      </c>
      <c r="V190" t="s">
        <v>260</v>
      </c>
      <c r="W190" t="s">
        <v>261</v>
      </c>
      <c r="X190" t="s">
        <v>1292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EE919-B0EC-422A-9F03-B17522F9DCB7}">
  <sheetPr codeName="Sheet11"/>
  <dimension ref="A1:AG4"/>
  <sheetViews>
    <sheetView workbookViewId="0"/>
  </sheetViews>
  <sheetFormatPr defaultRowHeight="14.25" x14ac:dyDescent="0.2"/>
  <sheetData>
    <row r="1" spans="1:33" x14ac:dyDescent="0.2">
      <c r="A1" t="s">
        <v>290</v>
      </c>
    </row>
    <row r="2" spans="1:33" x14ac:dyDescent="0.2">
      <c r="A2" t="s">
        <v>291</v>
      </c>
      <c r="B2" t="s">
        <v>292</v>
      </c>
      <c r="C2" t="s">
        <v>25</v>
      </c>
      <c r="D2" t="s">
        <v>293</v>
      </c>
      <c r="E2" t="s">
        <v>294</v>
      </c>
      <c r="F2" t="s">
        <v>295</v>
      </c>
      <c r="G2" t="s">
        <v>140</v>
      </c>
      <c r="H2" t="s">
        <v>136</v>
      </c>
      <c r="I2" t="s">
        <v>296</v>
      </c>
      <c r="J2" t="s">
        <v>297</v>
      </c>
      <c r="K2" t="s">
        <v>298</v>
      </c>
      <c r="L2" t="s">
        <v>299</v>
      </c>
      <c r="M2" t="s">
        <v>300</v>
      </c>
      <c r="N2" t="s">
        <v>301</v>
      </c>
      <c r="O2" t="s">
        <v>302</v>
      </c>
      <c r="P2" t="s">
        <v>303</v>
      </c>
      <c r="Q2" t="s">
        <v>304</v>
      </c>
      <c r="R2" t="s">
        <v>305</v>
      </c>
      <c r="S2" t="s">
        <v>306</v>
      </c>
      <c r="T2" t="s">
        <v>307</v>
      </c>
      <c r="U2" t="s">
        <v>145</v>
      </c>
      <c r="V2" t="s">
        <v>308</v>
      </c>
      <c r="W2" t="s">
        <v>309</v>
      </c>
      <c r="X2" t="s">
        <v>43</v>
      </c>
      <c r="Y2" t="s">
        <v>310</v>
      </c>
      <c r="Z2" t="s">
        <v>311</v>
      </c>
      <c r="AA2" t="s">
        <v>213</v>
      </c>
      <c r="AB2" t="s">
        <v>312</v>
      </c>
      <c r="AC2" t="s">
        <v>313</v>
      </c>
      <c r="AD2" t="s">
        <v>314</v>
      </c>
      <c r="AE2" t="s">
        <v>315</v>
      </c>
      <c r="AF2" t="s">
        <v>316</v>
      </c>
      <c r="AG2" t="s">
        <v>170</v>
      </c>
    </row>
    <row r="3" spans="1:33" x14ac:dyDescent="0.2">
      <c r="A3">
        <v>14761</v>
      </c>
      <c r="B3">
        <v>14760</v>
      </c>
      <c r="C3">
        <v>9358</v>
      </c>
      <c r="H3" t="s">
        <v>1293</v>
      </c>
      <c r="I3">
        <v>0</v>
      </c>
      <c r="N3" t="s">
        <v>1294</v>
      </c>
      <c r="O3" t="s">
        <v>1295</v>
      </c>
      <c r="Q3">
        <v>0.125</v>
      </c>
      <c r="R3" t="s">
        <v>228</v>
      </c>
      <c r="T3" t="s">
        <v>40</v>
      </c>
      <c r="U3" t="s">
        <v>40</v>
      </c>
      <c r="V3" t="s">
        <v>40</v>
      </c>
      <c r="W3" t="s">
        <v>37</v>
      </c>
      <c r="X3">
        <v>1</v>
      </c>
      <c r="Z3" t="s">
        <v>324</v>
      </c>
      <c r="AC3" t="s">
        <v>37</v>
      </c>
    </row>
    <row r="4" spans="1:33" x14ac:dyDescent="0.2">
      <c r="A4">
        <v>14760</v>
      </c>
      <c r="C4">
        <v>9358</v>
      </c>
      <c r="H4" t="s">
        <v>1296</v>
      </c>
      <c r="I4">
        <v>500</v>
      </c>
      <c r="N4" t="s">
        <v>1297</v>
      </c>
      <c r="O4" t="s">
        <v>1298</v>
      </c>
      <c r="Q4">
        <v>1</v>
      </c>
      <c r="R4" t="s">
        <v>228</v>
      </c>
      <c r="T4" t="s">
        <v>40</v>
      </c>
      <c r="U4" t="s">
        <v>40</v>
      </c>
      <c r="V4" t="s">
        <v>40</v>
      </c>
      <c r="W4" t="s">
        <v>37</v>
      </c>
      <c r="X4">
        <v>1</v>
      </c>
      <c r="Z4" t="s">
        <v>317</v>
      </c>
      <c r="AC4" t="s">
        <v>37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4BCE2-3B51-47EF-A708-891825BDDFE5}">
  <sheetPr codeName="Sheet12"/>
  <dimension ref="A1:J3"/>
  <sheetViews>
    <sheetView workbookViewId="0"/>
  </sheetViews>
  <sheetFormatPr defaultRowHeight="14.25" x14ac:dyDescent="0.2"/>
  <sheetData>
    <row r="1" spans="1:10" x14ac:dyDescent="0.2">
      <c r="A1" t="s">
        <v>326</v>
      </c>
    </row>
    <row r="2" spans="1:10" x14ac:dyDescent="0.2">
      <c r="A2" t="s">
        <v>327</v>
      </c>
      <c r="B2" t="s">
        <v>291</v>
      </c>
      <c r="C2" t="s">
        <v>328</v>
      </c>
      <c r="D2" t="s">
        <v>142</v>
      </c>
      <c r="E2" t="s">
        <v>107</v>
      </c>
      <c r="F2" t="s">
        <v>329</v>
      </c>
      <c r="G2" t="s">
        <v>330</v>
      </c>
      <c r="H2" t="s">
        <v>331</v>
      </c>
      <c r="I2" t="s">
        <v>332</v>
      </c>
      <c r="J2" t="s">
        <v>333</v>
      </c>
    </row>
    <row r="3" spans="1:10" x14ac:dyDescent="0.2">
      <c r="A3">
        <v>4157</v>
      </c>
      <c r="B3">
        <v>14761</v>
      </c>
      <c r="C3">
        <v>0.125</v>
      </c>
      <c r="D3">
        <v>0</v>
      </c>
      <c r="E3" s="5">
        <v>43831</v>
      </c>
      <c r="G3">
        <v>0</v>
      </c>
      <c r="H3">
        <v>0</v>
      </c>
      <c r="I3">
        <v>0</v>
      </c>
      <c r="J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9A66D-82FD-4B20-823E-FB9C99E526CA}">
  <sheetPr codeName="Sheet13"/>
  <dimension ref="A1:Y3"/>
  <sheetViews>
    <sheetView workbookViewId="0"/>
  </sheetViews>
  <sheetFormatPr defaultRowHeight="14.25" x14ac:dyDescent="0.2"/>
  <sheetData>
    <row r="1" spans="1:25" x14ac:dyDescent="0.2">
      <c r="A1" t="s">
        <v>334</v>
      </c>
    </row>
    <row r="2" spans="1:25" x14ac:dyDescent="0.2">
      <c r="A2" t="s">
        <v>335</v>
      </c>
      <c r="B2" t="s">
        <v>20</v>
      </c>
      <c r="C2" t="s">
        <v>336</v>
      </c>
      <c r="D2" t="s">
        <v>337</v>
      </c>
      <c r="E2" t="s">
        <v>338</v>
      </c>
      <c r="F2" t="s">
        <v>339</v>
      </c>
      <c r="G2" t="s">
        <v>340</v>
      </c>
      <c r="H2" t="s">
        <v>341</v>
      </c>
      <c r="I2" t="s">
        <v>342</v>
      </c>
      <c r="J2" t="s">
        <v>343</v>
      </c>
      <c r="K2" t="s">
        <v>344</v>
      </c>
      <c r="L2" t="s">
        <v>345</v>
      </c>
      <c r="M2" t="s">
        <v>346</v>
      </c>
      <c r="N2" t="s">
        <v>347</v>
      </c>
      <c r="O2" t="s">
        <v>348</v>
      </c>
      <c r="P2" t="s">
        <v>349</v>
      </c>
      <c r="Q2" t="s">
        <v>350</v>
      </c>
      <c r="R2" t="s">
        <v>351</v>
      </c>
      <c r="S2" t="s">
        <v>352</v>
      </c>
      <c r="T2" t="s">
        <v>353</v>
      </c>
      <c r="U2" t="s">
        <v>354</v>
      </c>
      <c r="V2" t="s">
        <v>355</v>
      </c>
      <c r="W2" t="s">
        <v>356</v>
      </c>
      <c r="X2" t="s">
        <v>357</v>
      </c>
      <c r="Y2" t="s">
        <v>358</v>
      </c>
    </row>
    <row r="3" spans="1:25" x14ac:dyDescent="0.2">
      <c r="A3">
        <v>1</v>
      </c>
      <c r="B3">
        <v>21883</v>
      </c>
      <c r="C3" t="s">
        <v>359</v>
      </c>
      <c r="D3" t="s">
        <v>37</v>
      </c>
      <c r="E3" t="s">
        <v>40</v>
      </c>
      <c r="F3" t="s">
        <v>40</v>
      </c>
      <c r="G3" t="s">
        <v>37</v>
      </c>
      <c r="H3" t="s">
        <v>360</v>
      </c>
      <c r="I3" t="s">
        <v>361</v>
      </c>
      <c r="J3" t="s">
        <v>40</v>
      </c>
      <c r="K3" t="s">
        <v>37</v>
      </c>
      <c r="L3">
        <v>0</v>
      </c>
      <c r="M3" t="s">
        <v>37</v>
      </c>
      <c r="N3">
        <v>5</v>
      </c>
      <c r="O3">
        <v>25</v>
      </c>
      <c r="P3" t="s">
        <v>37</v>
      </c>
      <c r="Q3" t="s">
        <v>40</v>
      </c>
      <c r="R3" t="s">
        <v>40</v>
      </c>
      <c r="S3" t="s">
        <v>40</v>
      </c>
      <c r="T3" t="s">
        <v>37</v>
      </c>
      <c r="U3" t="s">
        <v>40</v>
      </c>
      <c r="V3">
        <v>10</v>
      </c>
      <c r="W3" t="s">
        <v>40</v>
      </c>
      <c r="Y3" t="s">
        <v>362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34483-DD2C-48DD-AADB-63BC1EA15F61}">
  <sheetPr codeName="Sheet14"/>
  <dimension ref="A1:BN1565"/>
  <sheetViews>
    <sheetView workbookViewId="0"/>
  </sheetViews>
  <sheetFormatPr defaultRowHeight="14.25" x14ac:dyDescent="0.2"/>
  <sheetData>
    <row r="1" spans="1:66" x14ac:dyDescent="0.2">
      <c r="A1" t="s">
        <v>363</v>
      </c>
    </row>
    <row r="2" spans="1:66" x14ac:dyDescent="0.2">
      <c r="A2" t="s">
        <v>141</v>
      </c>
      <c r="B2" t="s">
        <v>20</v>
      </c>
      <c r="C2" t="s">
        <v>21</v>
      </c>
      <c r="D2" t="s">
        <v>25</v>
      </c>
      <c r="E2" t="s">
        <v>364</v>
      </c>
      <c r="F2" t="s">
        <v>365</v>
      </c>
      <c r="G2" t="s">
        <v>237</v>
      </c>
      <c r="H2" t="s">
        <v>366</v>
      </c>
      <c r="I2" t="s">
        <v>145</v>
      </c>
      <c r="J2" t="s">
        <v>367</v>
      </c>
      <c r="K2" t="s">
        <v>368</v>
      </c>
      <c r="L2" t="s">
        <v>369</v>
      </c>
      <c r="M2" t="s">
        <v>240</v>
      </c>
      <c r="N2" t="s">
        <v>370</v>
      </c>
      <c r="O2" t="s">
        <v>371</v>
      </c>
      <c r="P2" t="s">
        <v>291</v>
      </c>
      <c r="Q2" t="s">
        <v>372</v>
      </c>
      <c r="R2" t="s">
        <v>373</v>
      </c>
      <c r="S2" t="s">
        <v>374</v>
      </c>
      <c r="T2" t="s">
        <v>375</v>
      </c>
      <c r="U2" t="s">
        <v>376</v>
      </c>
      <c r="V2" t="s">
        <v>377</v>
      </c>
      <c r="W2" t="s">
        <v>378</v>
      </c>
      <c r="X2" t="s">
        <v>379</v>
      </c>
      <c r="Y2" t="s">
        <v>380</v>
      </c>
      <c r="Z2" t="s">
        <v>381</v>
      </c>
      <c r="AA2" t="s">
        <v>382</v>
      </c>
      <c r="AB2" t="s">
        <v>383</v>
      </c>
      <c r="AC2" t="s">
        <v>384</v>
      </c>
      <c r="AD2" t="s">
        <v>385</v>
      </c>
      <c r="AE2" t="s">
        <v>386</v>
      </c>
      <c r="AF2" t="s">
        <v>387</v>
      </c>
      <c r="AG2" t="s">
        <v>388</v>
      </c>
      <c r="AH2" t="s">
        <v>389</v>
      </c>
      <c r="AI2" t="s">
        <v>390</v>
      </c>
      <c r="AJ2" t="s">
        <v>391</v>
      </c>
      <c r="AK2" t="s">
        <v>392</v>
      </c>
      <c r="AL2" t="s">
        <v>393</v>
      </c>
      <c r="AM2" t="s">
        <v>394</v>
      </c>
      <c r="AN2" t="s">
        <v>395</v>
      </c>
      <c r="AO2" t="s">
        <v>396</v>
      </c>
      <c r="AP2" t="s">
        <v>397</v>
      </c>
      <c r="AQ2" t="s">
        <v>398</v>
      </c>
      <c r="AR2" t="s">
        <v>399</v>
      </c>
      <c r="AS2" t="s">
        <v>400</v>
      </c>
      <c r="AT2" t="s">
        <v>401</v>
      </c>
      <c r="AU2" t="s">
        <v>136</v>
      </c>
      <c r="AV2" t="s">
        <v>256</v>
      </c>
      <c r="AW2" t="s">
        <v>402</v>
      </c>
      <c r="AX2" t="s">
        <v>403</v>
      </c>
      <c r="AY2" t="s">
        <v>404</v>
      </c>
      <c r="AZ2" t="s">
        <v>405</v>
      </c>
      <c r="BA2" t="s">
        <v>406</v>
      </c>
      <c r="BB2" t="s">
        <v>407</v>
      </c>
      <c r="BC2" t="s">
        <v>408</v>
      </c>
      <c r="BD2" t="s">
        <v>147</v>
      </c>
      <c r="BE2" t="s">
        <v>409</v>
      </c>
      <c r="BF2" t="s">
        <v>410</v>
      </c>
      <c r="BG2" t="s">
        <v>411</v>
      </c>
      <c r="BH2" t="s">
        <v>412</v>
      </c>
      <c r="BI2" t="s">
        <v>413</v>
      </c>
      <c r="BJ2" t="s">
        <v>414</v>
      </c>
      <c r="BK2" t="s">
        <v>415</v>
      </c>
      <c r="BL2" t="s">
        <v>416</v>
      </c>
      <c r="BM2" t="s">
        <v>213</v>
      </c>
      <c r="BN2" t="s">
        <v>209</v>
      </c>
    </row>
    <row r="3" spans="1:66" x14ac:dyDescent="0.2">
      <c r="A3">
        <v>3692560</v>
      </c>
      <c r="B3">
        <v>21883</v>
      </c>
      <c r="C3">
        <v>523924</v>
      </c>
      <c r="D3">
        <v>15320</v>
      </c>
      <c r="E3">
        <v>0</v>
      </c>
      <c r="F3" t="s">
        <v>37</v>
      </c>
      <c r="G3">
        <v>1</v>
      </c>
      <c r="H3" t="s">
        <v>37</v>
      </c>
      <c r="I3" t="s">
        <v>37</v>
      </c>
      <c r="J3" t="s">
        <v>775</v>
      </c>
      <c r="K3" t="s">
        <v>230</v>
      </c>
      <c r="L3" t="s">
        <v>226</v>
      </c>
      <c r="M3" t="s">
        <v>417</v>
      </c>
      <c r="N3" t="s">
        <v>1299</v>
      </c>
      <c r="O3" t="s">
        <v>1300</v>
      </c>
      <c r="Q3">
        <v>-248</v>
      </c>
      <c r="R3">
        <v>56</v>
      </c>
      <c r="S3">
        <v>40</v>
      </c>
      <c r="T3">
        <v>0</v>
      </c>
      <c r="U3">
        <v>0</v>
      </c>
      <c r="V3">
        <v>0</v>
      </c>
      <c r="W3">
        <v>40</v>
      </c>
      <c r="X3">
        <v>0</v>
      </c>
      <c r="Y3">
        <v>0</v>
      </c>
      <c r="Z3">
        <v>0</v>
      </c>
      <c r="AD3" s="5">
        <v>44004.333333333336</v>
      </c>
      <c r="AE3" s="5">
        <v>44008.666666666664</v>
      </c>
      <c r="AG3" s="5">
        <v>44050.333333333336</v>
      </c>
      <c r="AH3" s="5">
        <v>44057.666666666664</v>
      </c>
      <c r="AI3" s="5">
        <v>44050.333333333336</v>
      </c>
      <c r="AJ3" s="5">
        <v>44057.666666666664</v>
      </c>
      <c r="AK3" s="5">
        <v>44050.333333333336</v>
      </c>
      <c r="AL3" s="5">
        <v>44057.666666666664</v>
      </c>
      <c r="AM3" s="5">
        <v>44004.333333333336</v>
      </c>
      <c r="AN3" s="5">
        <v>44008.666666666664</v>
      </c>
      <c r="AP3" t="s">
        <v>418</v>
      </c>
      <c r="AU3" t="s">
        <v>1301</v>
      </c>
      <c r="AY3" t="s">
        <v>37</v>
      </c>
      <c r="AZ3">
        <v>0</v>
      </c>
      <c r="BA3">
        <v>0</v>
      </c>
      <c r="BI3" s="5">
        <v>44048.176388888889</v>
      </c>
      <c r="BJ3" s="5">
        <v>44048.176388888889</v>
      </c>
      <c r="BK3" t="s">
        <v>778</v>
      </c>
      <c r="BL3" t="s">
        <v>778</v>
      </c>
      <c r="BN3" t="s">
        <v>37</v>
      </c>
    </row>
    <row r="4" spans="1:66" x14ac:dyDescent="0.2">
      <c r="A4">
        <v>3692561</v>
      </c>
      <c r="B4">
        <v>21883</v>
      </c>
      <c r="C4">
        <v>524024</v>
      </c>
      <c r="D4">
        <v>15320</v>
      </c>
      <c r="E4">
        <v>0</v>
      </c>
      <c r="F4" t="s">
        <v>37</v>
      </c>
      <c r="G4">
        <v>1</v>
      </c>
      <c r="H4" t="s">
        <v>37</v>
      </c>
      <c r="I4" t="s">
        <v>37</v>
      </c>
      <c r="J4" t="s">
        <v>775</v>
      </c>
      <c r="K4" t="s">
        <v>230</v>
      </c>
      <c r="L4" t="s">
        <v>226</v>
      </c>
      <c r="M4" t="s">
        <v>417</v>
      </c>
      <c r="N4" t="s">
        <v>1302</v>
      </c>
      <c r="O4" t="s">
        <v>1303</v>
      </c>
      <c r="Q4">
        <v>-80</v>
      </c>
      <c r="R4">
        <v>0</v>
      </c>
      <c r="S4">
        <v>48</v>
      </c>
      <c r="T4">
        <v>0</v>
      </c>
      <c r="U4">
        <v>0</v>
      </c>
      <c r="V4">
        <v>0</v>
      </c>
      <c r="W4">
        <v>48</v>
      </c>
      <c r="X4">
        <v>0</v>
      </c>
      <c r="Y4">
        <v>0</v>
      </c>
      <c r="Z4">
        <v>0</v>
      </c>
      <c r="AD4" s="5">
        <v>44034.333333333336</v>
      </c>
      <c r="AE4" s="5">
        <v>44042.666666666664</v>
      </c>
      <c r="AG4" s="5">
        <v>44049.333333333336</v>
      </c>
      <c r="AH4" s="5">
        <v>44057.666666666664</v>
      </c>
      <c r="AI4" s="5">
        <v>44049.333333333336</v>
      </c>
      <c r="AJ4" s="5">
        <v>44057.666666666664</v>
      </c>
      <c r="AK4" s="5">
        <v>44049.333333333336</v>
      </c>
      <c r="AL4" s="5">
        <v>44057.666666666664</v>
      </c>
      <c r="AM4" s="5">
        <v>44034.333333333336</v>
      </c>
      <c r="AN4" s="5">
        <v>44042.666666666664</v>
      </c>
      <c r="AP4" t="s">
        <v>418</v>
      </c>
      <c r="AU4" t="s">
        <v>1304</v>
      </c>
      <c r="AY4" t="s">
        <v>37</v>
      </c>
      <c r="AZ4">
        <v>0</v>
      </c>
      <c r="BA4">
        <v>0</v>
      </c>
      <c r="BI4" s="5">
        <v>44048.176388888889</v>
      </c>
      <c r="BJ4" s="5">
        <v>44048.176388888889</v>
      </c>
      <c r="BK4" t="s">
        <v>778</v>
      </c>
      <c r="BL4" t="s">
        <v>778</v>
      </c>
      <c r="BN4" t="s">
        <v>37</v>
      </c>
    </row>
    <row r="5" spans="1:66" x14ac:dyDescent="0.2">
      <c r="A5">
        <v>3692562</v>
      </c>
      <c r="B5">
        <v>21883</v>
      </c>
      <c r="C5">
        <v>523850</v>
      </c>
      <c r="D5">
        <v>15320</v>
      </c>
      <c r="E5">
        <v>100</v>
      </c>
      <c r="F5" t="s">
        <v>37</v>
      </c>
      <c r="G5">
        <v>1</v>
      </c>
      <c r="H5" t="s">
        <v>37</v>
      </c>
      <c r="I5" t="s">
        <v>37</v>
      </c>
      <c r="J5" t="s">
        <v>775</v>
      </c>
      <c r="K5" t="s">
        <v>230</v>
      </c>
      <c r="L5" t="s">
        <v>226</v>
      </c>
      <c r="M5" t="s">
        <v>422</v>
      </c>
      <c r="N5" t="s">
        <v>1305</v>
      </c>
      <c r="O5" t="s">
        <v>1306</v>
      </c>
      <c r="S5">
        <v>0</v>
      </c>
      <c r="T5">
        <v>0</v>
      </c>
      <c r="U5">
        <v>0</v>
      </c>
      <c r="V5">
        <v>0</v>
      </c>
      <c r="W5">
        <v>80</v>
      </c>
      <c r="X5">
        <v>0</v>
      </c>
      <c r="Y5">
        <v>0</v>
      </c>
      <c r="Z5">
        <v>0</v>
      </c>
      <c r="AB5" s="5">
        <v>44000</v>
      </c>
      <c r="AC5" s="5">
        <v>44007</v>
      </c>
      <c r="AD5" s="5">
        <v>43970.333333333336</v>
      </c>
      <c r="AE5" s="5">
        <v>43970.333333333336</v>
      </c>
      <c r="AG5" s="5">
        <v>44044</v>
      </c>
      <c r="AH5" s="5">
        <v>44044</v>
      </c>
      <c r="AK5" s="5">
        <v>44011.333333333336</v>
      </c>
      <c r="AL5" s="5">
        <v>44025.666666666664</v>
      </c>
      <c r="AP5" t="s">
        <v>418</v>
      </c>
      <c r="AU5" t="s">
        <v>1307</v>
      </c>
      <c r="AY5" t="s">
        <v>40</v>
      </c>
      <c r="AZ5">
        <v>0</v>
      </c>
      <c r="BA5">
        <v>0</v>
      </c>
      <c r="BI5" s="5">
        <v>44048.176388888889</v>
      </c>
      <c r="BJ5" s="5">
        <v>44048.176388888889</v>
      </c>
      <c r="BK5" t="s">
        <v>778</v>
      </c>
      <c r="BL5" t="s">
        <v>778</v>
      </c>
      <c r="BN5" t="s">
        <v>37</v>
      </c>
    </row>
    <row r="6" spans="1:66" x14ac:dyDescent="0.2">
      <c r="A6">
        <v>3692563</v>
      </c>
      <c r="B6">
        <v>21883</v>
      </c>
      <c r="C6">
        <v>523853</v>
      </c>
      <c r="D6">
        <v>15320</v>
      </c>
      <c r="E6">
        <v>100</v>
      </c>
      <c r="F6" t="s">
        <v>37</v>
      </c>
      <c r="G6">
        <v>1</v>
      </c>
      <c r="H6" t="s">
        <v>37</v>
      </c>
      <c r="I6" t="s">
        <v>37</v>
      </c>
      <c r="J6" t="s">
        <v>775</v>
      </c>
      <c r="K6" t="s">
        <v>230</v>
      </c>
      <c r="L6" t="s">
        <v>226</v>
      </c>
      <c r="M6" t="s">
        <v>422</v>
      </c>
      <c r="N6" t="s">
        <v>1308</v>
      </c>
      <c r="O6" t="s">
        <v>1309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B6" s="5">
        <v>43991</v>
      </c>
      <c r="AC6" s="5">
        <v>43997</v>
      </c>
      <c r="AD6" s="5">
        <v>44018.333333333336</v>
      </c>
      <c r="AE6" s="5">
        <v>44018.333333333336</v>
      </c>
      <c r="AG6" s="5">
        <v>44044</v>
      </c>
      <c r="AH6" s="5">
        <v>44044</v>
      </c>
      <c r="AK6" s="5">
        <v>44004.333333333336</v>
      </c>
      <c r="AL6" s="5">
        <v>44004.333333333336</v>
      </c>
      <c r="AP6" t="s">
        <v>418</v>
      </c>
      <c r="AU6" t="s">
        <v>1310</v>
      </c>
      <c r="AY6" t="s">
        <v>37</v>
      </c>
      <c r="AZ6">
        <v>0</v>
      </c>
      <c r="BA6">
        <v>0</v>
      </c>
      <c r="BI6" s="5">
        <v>44048.176388888889</v>
      </c>
      <c r="BJ6" s="5">
        <v>44048.176388888889</v>
      </c>
      <c r="BK6" t="s">
        <v>778</v>
      </c>
      <c r="BL6" t="s">
        <v>778</v>
      </c>
      <c r="BN6" t="s">
        <v>37</v>
      </c>
    </row>
    <row r="7" spans="1:66" x14ac:dyDescent="0.2">
      <c r="A7">
        <v>3692564</v>
      </c>
      <c r="B7">
        <v>21883</v>
      </c>
      <c r="C7">
        <v>524023</v>
      </c>
      <c r="D7">
        <v>52896</v>
      </c>
      <c r="E7">
        <v>100</v>
      </c>
      <c r="F7" t="s">
        <v>37</v>
      </c>
      <c r="G7">
        <v>1</v>
      </c>
      <c r="H7" t="s">
        <v>37</v>
      </c>
      <c r="I7" t="s">
        <v>37</v>
      </c>
      <c r="J7" t="s">
        <v>775</v>
      </c>
      <c r="K7" t="s">
        <v>230</v>
      </c>
      <c r="L7" t="s">
        <v>226</v>
      </c>
      <c r="M7" t="s">
        <v>422</v>
      </c>
      <c r="N7" t="s">
        <v>1311</v>
      </c>
      <c r="O7" t="s">
        <v>1312</v>
      </c>
      <c r="S7">
        <v>0</v>
      </c>
      <c r="T7">
        <v>0</v>
      </c>
      <c r="U7">
        <v>0</v>
      </c>
      <c r="V7">
        <v>0</v>
      </c>
      <c r="W7">
        <v>200</v>
      </c>
      <c r="X7">
        <v>0</v>
      </c>
      <c r="Y7">
        <v>0</v>
      </c>
      <c r="Z7">
        <v>0</v>
      </c>
      <c r="AB7" s="5">
        <v>43962</v>
      </c>
      <c r="AC7" s="5">
        <v>43999</v>
      </c>
      <c r="AD7" s="5">
        <v>44138.333333333336</v>
      </c>
      <c r="AE7" s="5">
        <v>44138.333333333336</v>
      </c>
      <c r="AG7" s="5">
        <v>44044</v>
      </c>
      <c r="AH7" s="5">
        <v>44044</v>
      </c>
      <c r="AK7" s="5">
        <v>43997.333333333336</v>
      </c>
      <c r="AL7" s="5">
        <v>44032.666666666664</v>
      </c>
      <c r="AP7" t="s">
        <v>418</v>
      </c>
      <c r="AU7" t="s">
        <v>1313</v>
      </c>
      <c r="AY7" t="s">
        <v>37</v>
      </c>
      <c r="AZ7">
        <v>0</v>
      </c>
      <c r="BA7">
        <v>0</v>
      </c>
      <c r="BI7" s="5">
        <v>44048.176388888889</v>
      </c>
      <c r="BJ7" s="5">
        <v>44048.176388888889</v>
      </c>
      <c r="BK7" t="s">
        <v>778</v>
      </c>
      <c r="BL7" t="s">
        <v>778</v>
      </c>
      <c r="BN7" t="s">
        <v>37</v>
      </c>
    </row>
    <row r="8" spans="1:66" x14ac:dyDescent="0.2">
      <c r="A8">
        <v>3692565</v>
      </c>
      <c r="B8">
        <v>21883</v>
      </c>
      <c r="C8">
        <v>523851</v>
      </c>
      <c r="D8">
        <v>15320</v>
      </c>
      <c r="E8">
        <v>100</v>
      </c>
      <c r="F8" t="s">
        <v>37</v>
      </c>
      <c r="G8">
        <v>1</v>
      </c>
      <c r="H8" t="s">
        <v>37</v>
      </c>
      <c r="I8" t="s">
        <v>37</v>
      </c>
      <c r="J8" t="s">
        <v>775</v>
      </c>
      <c r="K8" t="s">
        <v>230</v>
      </c>
      <c r="L8" t="s">
        <v>226</v>
      </c>
      <c r="M8" t="s">
        <v>422</v>
      </c>
      <c r="N8" t="s">
        <v>1314</v>
      </c>
      <c r="O8" t="s">
        <v>1315</v>
      </c>
      <c r="S8">
        <v>0</v>
      </c>
      <c r="T8">
        <v>0</v>
      </c>
      <c r="U8">
        <v>0</v>
      </c>
      <c r="V8">
        <v>0</v>
      </c>
      <c r="W8">
        <v>40</v>
      </c>
      <c r="X8">
        <v>0</v>
      </c>
      <c r="Y8">
        <v>0</v>
      </c>
      <c r="Z8">
        <v>0</v>
      </c>
      <c r="AB8" s="5">
        <v>43987</v>
      </c>
      <c r="AC8" s="5">
        <v>43991</v>
      </c>
      <c r="AD8" s="5">
        <v>43970.333333333336</v>
      </c>
      <c r="AE8" s="5">
        <v>43970.333333333336</v>
      </c>
      <c r="AG8" s="5">
        <v>44044</v>
      </c>
      <c r="AH8" s="5">
        <v>44044</v>
      </c>
      <c r="AK8" s="5">
        <v>44004.333333333336</v>
      </c>
      <c r="AL8" s="5">
        <v>44008.666666666664</v>
      </c>
      <c r="AP8" t="s">
        <v>418</v>
      </c>
      <c r="AU8" t="s">
        <v>1316</v>
      </c>
      <c r="AY8" t="s">
        <v>40</v>
      </c>
      <c r="AZ8">
        <v>0</v>
      </c>
      <c r="BA8">
        <v>0</v>
      </c>
      <c r="BI8" s="5">
        <v>44048.176388888889</v>
      </c>
      <c r="BJ8" s="5">
        <v>44048.176388888889</v>
      </c>
      <c r="BK8" t="s">
        <v>778</v>
      </c>
      <c r="BL8" t="s">
        <v>778</v>
      </c>
      <c r="BN8" t="s">
        <v>37</v>
      </c>
    </row>
    <row r="9" spans="1:66" x14ac:dyDescent="0.2">
      <c r="A9">
        <v>3692566</v>
      </c>
      <c r="B9">
        <v>21883</v>
      </c>
      <c r="C9">
        <v>523850</v>
      </c>
      <c r="D9">
        <v>15320</v>
      </c>
      <c r="E9">
        <v>100</v>
      </c>
      <c r="F9" t="s">
        <v>37</v>
      </c>
      <c r="G9">
        <v>1</v>
      </c>
      <c r="H9" t="s">
        <v>37</v>
      </c>
      <c r="I9" t="s">
        <v>37</v>
      </c>
      <c r="J9" t="s">
        <v>775</v>
      </c>
      <c r="K9" t="s">
        <v>230</v>
      </c>
      <c r="L9" t="s">
        <v>226</v>
      </c>
      <c r="M9" t="s">
        <v>422</v>
      </c>
      <c r="N9" t="s">
        <v>1317</v>
      </c>
      <c r="O9" t="s">
        <v>1318</v>
      </c>
      <c r="S9">
        <v>0</v>
      </c>
      <c r="T9">
        <v>0</v>
      </c>
      <c r="U9">
        <v>0</v>
      </c>
      <c r="V9">
        <v>0</v>
      </c>
      <c r="W9">
        <v>24</v>
      </c>
      <c r="X9">
        <v>0</v>
      </c>
      <c r="Y9">
        <v>0</v>
      </c>
      <c r="Z9">
        <v>0</v>
      </c>
      <c r="AB9" s="5">
        <v>43985</v>
      </c>
      <c r="AC9" s="5">
        <v>43992</v>
      </c>
      <c r="AD9" s="5">
        <v>43970.333333333336</v>
      </c>
      <c r="AE9" s="5">
        <v>43970.333333333336</v>
      </c>
      <c r="AG9" s="5">
        <v>44044</v>
      </c>
      <c r="AH9" s="5">
        <v>44044</v>
      </c>
      <c r="AK9" s="5">
        <v>44006.333333333336</v>
      </c>
      <c r="AL9" s="5">
        <v>44008.666666666664</v>
      </c>
      <c r="AP9" t="s">
        <v>418</v>
      </c>
      <c r="AU9" t="s">
        <v>1319</v>
      </c>
      <c r="AY9" t="s">
        <v>40</v>
      </c>
      <c r="AZ9">
        <v>0</v>
      </c>
      <c r="BA9">
        <v>0</v>
      </c>
      <c r="BI9" s="5">
        <v>44048.176388888889</v>
      </c>
      <c r="BJ9" s="5">
        <v>44048.176388888889</v>
      </c>
      <c r="BK9" t="s">
        <v>778</v>
      </c>
      <c r="BL9" t="s">
        <v>778</v>
      </c>
      <c r="BN9" t="s">
        <v>37</v>
      </c>
    </row>
    <row r="10" spans="1:66" x14ac:dyDescent="0.2">
      <c r="A10">
        <v>3692567</v>
      </c>
      <c r="B10">
        <v>21883</v>
      </c>
      <c r="C10">
        <v>523850</v>
      </c>
      <c r="D10">
        <v>15320</v>
      </c>
      <c r="E10">
        <v>100</v>
      </c>
      <c r="F10" t="s">
        <v>37</v>
      </c>
      <c r="G10">
        <v>1</v>
      </c>
      <c r="H10" t="s">
        <v>37</v>
      </c>
      <c r="I10" t="s">
        <v>37</v>
      </c>
      <c r="J10" t="s">
        <v>775</v>
      </c>
      <c r="K10" t="s">
        <v>230</v>
      </c>
      <c r="L10" t="s">
        <v>226</v>
      </c>
      <c r="M10" t="s">
        <v>422</v>
      </c>
      <c r="N10" t="s">
        <v>1320</v>
      </c>
      <c r="O10" t="s">
        <v>1321</v>
      </c>
      <c r="S10">
        <v>0</v>
      </c>
      <c r="T10">
        <v>0</v>
      </c>
      <c r="U10">
        <v>0</v>
      </c>
      <c r="V10">
        <v>0</v>
      </c>
      <c r="W10">
        <v>24</v>
      </c>
      <c r="X10">
        <v>0</v>
      </c>
      <c r="Y10">
        <v>0</v>
      </c>
      <c r="Z10">
        <v>0</v>
      </c>
      <c r="AB10" s="5">
        <v>44025</v>
      </c>
      <c r="AC10" s="5">
        <v>44033</v>
      </c>
      <c r="AD10" s="5">
        <v>43970.333333333336</v>
      </c>
      <c r="AE10" s="5">
        <v>43970.333333333336</v>
      </c>
      <c r="AG10" s="5">
        <v>44044</v>
      </c>
      <c r="AH10" s="5">
        <v>44044</v>
      </c>
      <c r="AK10" s="5">
        <v>44026.333333333336</v>
      </c>
      <c r="AL10" s="5">
        <v>44028.666666666664</v>
      </c>
      <c r="AP10" t="s">
        <v>418</v>
      </c>
      <c r="AU10" t="s">
        <v>1322</v>
      </c>
      <c r="AY10" t="s">
        <v>40</v>
      </c>
      <c r="AZ10">
        <v>0</v>
      </c>
      <c r="BA10">
        <v>0</v>
      </c>
      <c r="BI10" s="5">
        <v>44048.176388888889</v>
      </c>
      <c r="BJ10" s="5">
        <v>44048.176388888889</v>
      </c>
      <c r="BK10" t="s">
        <v>778</v>
      </c>
      <c r="BL10" t="s">
        <v>778</v>
      </c>
      <c r="BN10" t="s">
        <v>37</v>
      </c>
    </row>
    <row r="11" spans="1:66" x14ac:dyDescent="0.2">
      <c r="A11">
        <v>3692568</v>
      </c>
      <c r="B11">
        <v>21883</v>
      </c>
      <c r="C11">
        <v>523850</v>
      </c>
      <c r="D11">
        <v>15320</v>
      </c>
      <c r="E11">
        <v>100</v>
      </c>
      <c r="F11" t="s">
        <v>37</v>
      </c>
      <c r="G11">
        <v>1</v>
      </c>
      <c r="H11" t="s">
        <v>37</v>
      </c>
      <c r="I11" t="s">
        <v>37</v>
      </c>
      <c r="J11" t="s">
        <v>775</v>
      </c>
      <c r="K11" t="s">
        <v>230</v>
      </c>
      <c r="L11" t="s">
        <v>226</v>
      </c>
      <c r="M11" t="s">
        <v>422</v>
      </c>
      <c r="N11" t="s">
        <v>1323</v>
      </c>
      <c r="O11" t="s">
        <v>1324</v>
      </c>
      <c r="S11">
        <v>0</v>
      </c>
      <c r="T11">
        <v>0</v>
      </c>
      <c r="U11">
        <v>0</v>
      </c>
      <c r="V11">
        <v>0</v>
      </c>
      <c r="W11">
        <v>40</v>
      </c>
      <c r="X11">
        <v>0</v>
      </c>
      <c r="Y11">
        <v>0</v>
      </c>
      <c r="Z11">
        <v>0</v>
      </c>
      <c r="AB11" s="5">
        <v>43970</v>
      </c>
      <c r="AC11" s="5">
        <v>43984</v>
      </c>
      <c r="AD11" s="5">
        <v>43970.333333333336</v>
      </c>
      <c r="AE11" s="5">
        <v>43970.333333333336</v>
      </c>
      <c r="AG11" s="5">
        <v>44044</v>
      </c>
      <c r="AH11" s="5">
        <v>44044</v>
      </c>
      <c r="AK11" s="5">
        <v>43983.333333333336</v>
      </c>
      <c r="AL11" s="5">
        <v>43990.666666666664</v>
      </c>
      <c r="AP11" t="s">
        <v>418</v>
      </c>
      <c r="AU11" t="s">
        <v>1325</v>
      </c>
      <c r="AY11" t="s">
        <v>40</v>
      </c>
      <c r="AZ11">
        <v>0</v>
      </c>
      <c r="BA11">
        <v>0</v>
      </c>
      <c r="BI11" s="5">
        <v>44048.176388888889</v>
      </c>
      <c r="BJ11" s="5">
        <v>44048.176388888889</v>
      </c>
      <c r="BK11" t="s">
        <v>778</v>
      </c>
      <c r="BL11" t="s">
        <v>778</v>
      </c>
      <c r="BN11" t="s">
        <v>37</v>
      </c>
    </row>
    <row r="12" spans="1:66" x14ac:dyDescent="0.2">
      <c r="A12">
        <v>3692569</v>
      </c>
      <c r="B12">
        <v>21883</v>
      </c>
      <c r="C12">
        <v>524023</v>
      </c>
      <c r="D12">
        <v>15320</v>
      </c>
      <c r="E12">
        <v>0</v>
      </c>
      <c r="F12" t="s">
        <v>37</v>
      </c>
      <c r="G12">
        <v>1</v>
      </c>
      <c r="H12" t="s">
        <v>37</v>
      </c>
      <c r="I12" t="s">
        <v>37</v>
      </c>
      <c r="J12" t="s">
        <v>775</v>
      </c>
      <c r="K12" t="s">
        <v>230</v>
      </c>
      <c r="L12" t="s">
        <v>226</v>
      </c>
      <c r="M12" t="s">
        <v>417</v>
      </c>
      <c r="N12" t="s">
        <v>1326</v>
      </c>
      <c r="O12" t="s">
        <v>1327</v>
      </c>
      <c r="Q12">
        <v>456</v>
      </c>
      <c r="R12">
        <v>288</v>
      </c>
      <c r="S12">
        <v>16</v>
      </c>
      <c r="T12">
        <v>0</v>
      </c>
      <c r="U12">
        <v>0</v>
      </c>
      <c r="V12">
        <v>0</v>
      </c>
      <c r="W12">
        <v>16</v>
      </c>
      <c r="X12">
        <v>0</v>
      </c>
      <c r="Y12">
        <v>0</v>
      </c>
      <c r="Z12">
        <v>0</v>
      </c>
      <c r="AD12" s="5">
        <v>44138.333333333336</v>
      </c>
      <c r="AE12" s="5">
        <v>44139.666666666664</v>
      </c>
      <c r="AG12" s="5">
        <v>44046.333333333336</v>
      </c>
      <c r="AH12" s="5">
        <v>44047.666666666664</v>
      </c>
      <c r="AI12" s="5">
        <v>44046.333333333336</v>
      </c>
      <c r="AJ12" s="5">
        <v>44047.666666666664</v>
      </c>
      <c r="AK12" s="5">
        <v>44046.333333333336</v>
      </c>
      <c r="AL12" s="5">
        <v>44047.666666666664</v>
      </c>
      <c r="AM12" s="5">
        <v>44138.333333333336</v>
      </c>
      <c r="AN12" s="5">
        <v>44139.666666666664</v>
      </c>
      <c r="AP12" t="s">
        <v>418</v>
      </c>
      <c r="AU12" t="s">
        <v>1328</v>
      </c>
      <c r="AY12" t="s">
        <v>37</v>
      </c>
      <c r="AZ12">
        <v>0</v>
      </c>
      <c r="BA12">
        <v>0</v>
      </c>
      <c r="BI12" s="5">
        <v>44048.176388888889</v>
      </c>
      <c r="BJ12" s="5">
        <v>44048.176388888889</v>
      </c>
      <c r="BK12" t="s">
        <v>778</v>
      </c>
      <c r="BL12" t="s">
        <v>778</v>
      </c>
      <c r="BN12" t="s">
        <v>37</v>
      </c>
    </row>
    <row r="13" spans="1:66" x14ac:dyDescent="0.2">
      <c r="A13">
        <v>3692570</v>
      </c>
      <c r="B13">
        <v>21883</v>
      </c>
      <c r="C13">
        <v>524023</v>
      </c>
      <c r="D13">
        <v>15320</v>
      </c>
      <c r="E13">
        <v>100</v>
      </c>
      <c r="F13" t="s">
        <v>37</v>
      </c>
      <c r="G13">
        <v>1</v>
      </c>
      <c r="H13" t="s">
        <v>37</v>
      </c>
      <c r="I13" t="s">
        <v>37</v>
      </c>
      <c r="J13" t="s">
        <v>775</v>
      </c>
      <c r="K13" t="s">
        <v>230</v>
      </c>
      <c r="L13" t="s">
        <v>226</v>
      </c>
      <c r="M13" t="s">
        <v>422</v>
      </c>
      <c r="N13" t="s">
        <v>1329</v>
      </c>
      <c r="O13" t="s">
        <v>1330</v>
      </c>
      <c r="S13">
        <v>0</v>
      </c>
      <c r="T13">
        <v>0</v>
      </c>
      <c r="U13">
        <v>0</v>
      </c>
      <c r="V13">
        <v>0</v>
      </c>
      <c r="W13">
        <v>32</v>
      </c>
      <c r="X13">
        <v>0</v>
      </c>
      <c r="Y13">
        <v>0</v>
      </c>
      <c r="Z13">
        <v>0</v>
      </c>
      <c r="AB13" s="5">
        <v>44027</v>
      </c>
      <c r="AC13" s="5">
        <v>44027</v>
      </c>
      <c r="AD13" s="5">
        <v>44018.333333333336</v>
      </c>
      <c r="AE13" s="5">
        <v>44018.333333333336</v>
      </c>
      <c r="AG13" s="5">
        <v>44044</v>
      </c>
      <c r="AH13" s="5">
        <v>44044</v>
      </c>
      <c r="AK13" s="5">
        <v>44046.333333333336</v>
      </c>
      <c r="AL13" s="5">
        <v>44049.666666666664</v>
      </c>
      <c r="AP13" t="s">
        <v>418</v>
      </c>
      <c r="AU13" t="s">
        <v>1331</v>
      </c>
      <c r="AY13" t="s">
        <v>37</v>
      </c>
      <c r="AZ13">
        <v>0</v>
      </c>
      <c r="BA13">
        <v>0</v>
      </c>
      <c r="BI13" s="5">
        <v>44048.176388888889</v>
      </c>
      <c r="BJ13" s="5">
        <v>44048.176388888889</v>
      </c>
      <c r="BK13" t="s">
        <v>778</v>
      </c>
      <c r="BL13" t="s">
        <v>778</v>
      </c>
      <c r="BN13" t="s">
        <v>37</v>
      </c>
    </row>
    <row r="14" spans="1:66" x14ac:dyDescent="0.2">
      <c r="A14">
        <v>3692571</v>
      </c>
      <c r="B14">
        <v>21883</v>
      </c>
      <c r="C14">
        <v>524023</v>
      </c>
      <c r="D14">
        <v>15320</v>
      </c>
      <c r="E14">
        <v>100</v>
      </c>
      <c r="F14" t="s">
        <v>37</v>
      </c>
      <c r="G14">
        <v>1</v>
      </c>
      <c r="H14" t="s">
        <v>37</v>
      </c>
      <c r="I14" t="s">
        <v>37</v>
      </c>
      <c r="J14" t="s">
        <v>775</v>
      </c>
      <c r="K14" t="s">
        <v>230</v>
      </c>
      <c r="L14" t="s">
        <v>226</v>
      </c>
      <c r="M14" t="s">
        <v>422</v>
      </c>
      <c r="N14" t="s">
        <v>1332</v>
      </c>
      <c r="O14" t="s">
        <v>1333</v>
      </c>
      <c r="S14">
        <v>0</v>
      </c>
      <c r="T14">
        <v>0</v>
      </c>
      <c r="U14">
        <v>0</v>
      </c>
      <c r="V14">
        <v>0</v>
      </c>
      <c r="W14">
        <v>48</v>
      </c>
      <c r="X14">
        <v>0</v>
      </c>
      <c r="Y14">
        <v>0</v>
      </c>
      <c r="Z14">
        <v>0</v>
      </c>
      <c r="AB14" s="5">
        <v>44013</v>
      </c>
      <c r="AC14" s="5">
        <v>44013</v>
      </c>
      <c r="AD14" s="5">
        <v>44138.333333333336</v>
      </c>
      <c r="AE14" s="5">
        <v>44138.333333333336</v>
      </c>
      <c r="AG14" s="5">
        <v>44044</v>
      </c>
      <c r="AH14" s="5">
        <v>44044</v>
      </c>
      <c r="AK14" s="5">
        <v>44034.333333333336</v>
      </c>
      <c r="AL14" s="5">
        <v>44042.666666666664</v>
      </c>
      <c r="AP14" t="s">
        <v>418</v>
      </c>
      <c r="AU14" t="s">
        <v>1334</v>
      </c>
      <c r="AY14" t="s">
        <v>37</v>
      </c>
      <c r="AZ14">
        <v>0</v>
      </c>
      <c r="BA14">
        <v>0</v>
      </c>
      <c r="BI14" s="5">
        <v>44048.176388888889</v>
      </c>
      <c r="BJ14" s="5">
        <v>44048.176388888889</v>
      </c>
      <c r="BK14" t="s">
        <v>778</v>
      </c>
      <c r="BL14" t="s">
        <v>778</v>
      </c>
      <c r="BN14" t="s">
        <v>37</v>
      </c>
    </row>
    <row r="15" spans="1:66" x14ac:dyDescent="0.2">
      <c r="A15">
        <v>3692572</v>
      </c>
      <c r="B15">
        <v>21883</v>
      </c>
      <c r="C15">
        <v>524023</v>
      </c>
      <c r="D15">
        <v>15320</v>
      </c>
      <c r="E15">
        <v>0</v>
      </c>
      <c r="F15" t="s">
        <v>37</v>
      </c>
      <c r="G15">
        <v>1</v>
      </c>
      <c r="H15" t="s">
        <v>37</v>
      </c>
      <c r="I15" t="s">
        <v>37</v>
      </c>
      <c r="J15" t="s">
        <v>775</v>
      </c>
      <c r="K15" t="s">
        <v>230</v>
      </c>
      <c r="L15" t="s">
        <v>226</v>
      </c>
      <c r="M15" t="s">
        <v>417</v>
      </c>
      <c r="N15" t="s">
        <v>1335</v>
      </c>
      <c r="O15" t="s">
        <v>1336</v>
      </c>
      <c r="Q15">
        <v>-128</v>
      </c>
      <c r="R15">
        <v>16</v>
      </c>
      <c r="S15">
        <v>40</v>
      </c>
      <c r="T15">
        <v>0</v>
      </c>
      <c r="U15">
        <v>0</v>
      </c>
      <c r="V15">
        <v>0</v>
      </c>
      <c r="W15">
        <v>40</v>
      </c>
      <c r="X15">
        <v>0</v>
      </c>
      <c r="Y15">
        <v>0</v>
      </c>
      <c r="Z15">
        <v>0</v>
      </c>
      <c r="AD15" s="5">
        <v>44021.333333333336</v>
      </c>
      <c r="AE15" s="5">
        <v>44027.666666666664</v>
      </c>
      <c r="AG15" s="5">
        <v>44047.333333333336</v>
      </c>
      <c r="AH15" s="5">
        <v>44053.666666666664</v>
      </c>
      <c r="AI15" s="5">
        <v>44047.333333333336</v>
      </c>
      <c r="AJ15" s="5">
        <v>44053.666666666664</v>
      </c>
      <c r="AK15" s="5">
        <v>44047.333333333336</v>
      </c>
      <c r="AL15" s="5">
        <v>44053.666666666664</v>
      </c>
      <c r="AM15" s="5">
        <v>44021.333333333336</v>
      </c>
      <c r="AN15" s="5">
        <v>44027.666666666664</v>
      </c>
      <c r="AP15" t="s">
        <v>418</v>
      </c>
      <c r="AU15" t="s">
        <v>1337</v>
      </c>
      <c r="AY15" t="s">
        <v>37</v>
      </c>
      <c r="AZ15">
        <v>0</v>
      </c>
      <c r="BA15">
        <v>0</v>
      </c>
      <c r="BI15" s="5">
        <v>44048.176388888889</v>
      </c>
      <c r="BJ15" s="5">
        <v>44048.176388888889</v>
      </c>
      <c r="BK15" t="s">
        <v>778</v>
      </c>
      <c r="BL15" t="s">
        <v>778</v>
      </c>
      <c r="BN15" t="s">
        <v>37</v>
      </c>
    </row>
    <row r="16" spans="1:66" x14ac:dyDescent="0.2">
      <c r="A16">
        <v>3692573</v>
      </c>
      <c r="B16">
        <v>21883</v>
      </c>
      <c r="C16">
        <v>524006</v>
      </c>
      <c r="D16">
        <v>52897</v>
      </c>
      <c r="E16">
        <v>100</v>
      </c>
      <c r="F16" t="s">
        <v>37</v>
      </c>
      <c r="G16">
        <v>1</v>
      </c>
      <c r="H16" t="s">
        <v>37</v>
      </c>
      <c r="I16" t="s">
        <v>37</v>
      </c>
      <c r="J16" t="s">
        <v>775</v>
      </c>
      <c r="K16" t="s">
        <v>230</v>
      </c>
      <c r="L16" t="s">
        <v>226</v>
      </c>
      <c r="M16" t="s">
        <v>422</v>
      </c>
      <c r="N16" t="s">
        <v>1338</v>
      </c>
      <c r="O16" t="s">
        <v>1339</v>
      </c>
      <c r="S16">
        <v>0</v>
      </c>
      <c r="T16">
        <v>0</v>
      </c>
      <c r="U16">
        <v>0</v>
      </c>
      <c r="V16">
        <v>0</v>
      </c>
      <c r="W16">
        <v>16</v>
      </c>
      <c r="X16">
        <v>0</v>
      </c>
      <c r="Y16">
        <v>0</v>
      </c>
      <c r="Z16">
        <v>0</v>
      </c>
      <c r="AB16" s="5">
        <v>43934</v>
      </c>
      <c r="AC16" s="5">
        <v>43936</v>
      </c>
      <c r="AD16" s="5">
        <v>43983.333333333336</v>
      </c>
      <c r="AE16" s="5">
        <v>43983.333333333336</v>
      </c>
      <c r="AG16" s="5">
        <v>44044</v>
      </c>
      <c r="AH16" s="5">
        <v>44044</v>
      </c>
      <c r="AK16" s="5">
        <v>43948.333333333336</v>
      </c>
      <c r="AL16" s="5">
        <v>43951.666666666664</v>
      </c>
      <c r="AP16" t="s">
        <v>418</v>
      </c>
      <c r="AU16" t="s">
        <v>1340</v>
      </c>
      <c r="AY16" t="s">
        <v>37</v>
      </c>
      <c r="AZ16">
        <v>0</v>
      </c>
      <c r="BA16">
        <v>0</v>
      </c>
      <c r="BI16" s="5">
        <v>44048.176388888889</v>
      </c>
      <c r="BJ16" s="5">
        <v>44048.176388888889</v>
      </c>
      <c r="BK16" t="s">
        <v>778</v>
      </c>
      <c r="BL16" t="s">
        <v>778</v>
      </c>
      <c r="BN16" t="s">
        <v>37</v>
      </c>
    </row>
    <row r="17" spans="1:66" x14ac:dyDescent="0.2">
      <c r="A17">
        <v>3692574</v>
      </c>
      <c r="B17">
        <v>21883</v>
      </c>
      <c r="C17">
        <v>524006</v>
      </c>
      <c r="D17">
        <v>52897</v>
      </c>
      <c r="E17">
        <v>100</v>
      </c>
      <c r="F17" t="s">
        <v>37</v>
      </c>
      <c r="G17">
        <v>1</v>
      </c>
      <c r="H17" t="s">
        <v>37</v>
      </c>
      <c r="I17" t="s">
        <v>37</v>
      </c>
      <c r="J17" t="s">
        <v>775</v>
      </c>
      <c r="K17" t="s">
        <v>230</v>
      </c>
      <c r="L17" t="s">
        <v>226</v>
      </c>
      <c r="M17" t="s">
        <v>422</v>
      </c>
      <c r="N17" t="s">
        <v>1341</v>
      </c>
      <c r="O17" t="s">
        <v>1342</v>
      </c>
      <c r="S17">
        <v>0</v>
      </c>
      <c r="T17">
        <v>0</v>
      </c>
      <c r="U17">
        <v>0</v>
      </c>
      <c r="V17">
        <v>0</v>
      </c>
      <c r="W17">
        <v>40</v>
      </c>
      <c r="X17">
        <v>0</v>
      </c>
      <c r="Y17">
        <v>0</v>
      </c>
      <c r="Z17">
        <v>0</v>
      </c>
      <c r="AB17" s="5">
        <v>43922</v>
      </c>
      <c r="AC17" s="5">
        <v>43929</v>
      </c>
      <c r="AD17" s="5">
        <v>43983.333333333336</v>
      </c>
      <c r="AE17" s="5">
        <v>43983.333333333336</v>
      </c>
      <c r="AG17" s="5">
        <v>44044</v>
      </c>
      <c r="AH17" s="5">
        <v>44044</v>
      </c>
      <c r="AK17" s="5">
        <v>43934.333333333336</v>
      </c>
      <c r="AL17" s="5">
        <v>43941.666666666664</v>
      </c>
      <c r="AP17" t="s">
        <v>418</v>
      </c>
      <c r="AU17" t="s">
        <v>1343</v>
      </c>
      <c r="AY17" t="s">
        <v>37</v>
      </c>
      <c r="AZ17">
        <v>0</v>
      </c>
      <c r="BA17">
        <v>0</v>
      </c>
      <c r="BI17" s="5">
        <v>44048.176388888889</v>
      </c>
      <c r="BJ17" s="5">
        <v>44048.176388888889</v>
      </c>
      <c r="BK17" t="s">
        <v>778</v>
      </c>
      <c r="BL17" t="s">
        <v>778</v>
      </c>
      <c r="BN17" t="s">
        <v>37</v>
      </c>
    </row>
    <row r="18" spans="1:66" x14ac:dyDescent="0.2">
      <c r="A18">
        <v>3692575</v>
      </c>
      <c r="B18">
        <v>21883</v>
      </c>
      <c r="C18">
        <v>524006</v>
      </c>
      <c r="D18">
        <v>52897</v>
      </c>
      <c r="E18">
        <v>100</v>
      </c>
      <c r="F18" t="s">
        <v>37</v>
      </c>
      <c r="G18">
        <v>1</v>
      </c>
      <c r="H18" t="s">
        <v>37</v>
      </c>
      <c r="I18" t="s">
        <v>37</v>
      </c>
      <c r="J18" t="s">
        <v>775</v>
      </c>
      <c r="K18" t="s">
        <v>230</v>
      </c>
      <c r="L18" t="s">
        <v>226</v>
      </c>
      <c r="M18" t="s">
        <v>422</v>
      </c>
      <c r="N18" t="s">
        <v>1344</v>
      </c>
      <c r="O18" t="s">
        <v>1345</v>
      </c>
      <c r="S18">
        <v>0</v>
      </c>
      <c r="T18">
        <v>0</v>
      </c>
      <c r="U18">
        <v>0</v>
      </c>
      <c r="V18">
        <v>0</v>
      </c>
      <c r="W18">
        <v>56</v>
      </c>
      <c r="X18">
        <v>0</v>
      </c>
      <c r="Y18">
        <v>0</v>
      </c>
      <c r="Z18">
        <v>0</v>
      </c>
      <c r="AB18" s="5">
        <v>43896</v>
      </c>
      <c r="AC18" s="5">
        <v>43896</v>
      </c>
      <c r="AD18" s="5">
        <v>43983.333333333336</v>
      </c>
      <c r="AE18" s="5">
        <v>43983.333333333336</v>
      </c>
      <c r="AG18" s="5">
        <v>44044</v>
      </c>
      <c r="AH18" s="5">
        <v>44044</v>
      </c>
      <c r="AK18" s="5">
        <v>43923.333333333336</v>
      </c>
      <c r="AL18" s="5">
        <v>43936.666666666664</v>
      </c>
      <c r="AP18" t="s">
        <v>418</v>
      </c>
      <c r="AU18" t="s">
        <v>1346</v>
      </c>
      <c r="AY18" t="s">
        <v>37</v>
      </c>
      <c r="AZ18">
        <v>0</v>
      </c>
      <c r="BA18">
        <v>0</v>
      </c>
      <c r="BI18" s="5">
        <v>44048.176388888889</v>
      </c>
      <c r="BJ18" s="5">
        <v>44048.176388888889</v>
      </c>
      <c r="BK18" t="s">
        <v>778</v>
      </c>
      <c r="BL18" t="s">
        <v>778</v>
      </c>
      <c r="BN18" t="s">
        <v>37</v>
      </c>
    </row>
    <row r="19" spans="1:66" x14ac:dyDescent="0.2">
      <c r="A19">
        <v>3692576</v>
      </c>
      <c r="B19">
        <v>21883</v>
      </c>
      <c r="C19">
        <v>524003</v>
      </c>
      <c r="D19">
        <v>15320</v>
      </c>
      <c r="E19">
        <v>100</v>
      </c>
      <c r="F19" t="s">
        <v>37</v>
      </c>
      <c r="G19">
        <v>1</v>
      </c>
      <c r="H19" t="s">
        <v>37</v>
      </c>
      <c r="I19" t="s">
        <v>37</v>
      </c>
      <c r="J19" t="s">
        <v>775</v>
      </c>
      <c r="K19" t="s">
        <v>230</v>
      </c>
      <c r="L19" t="s">
        <v>226</v>
      </c>
      <c r="M19" t="s">
        <v>422</v>
      </c>
      <c r="N19" t="s">
        <v>1347</v>
      </c>
      <c r="O19" t="s">
        <v>1348</v>
      </c>
      <c r="S19">
        <v>0</v>
      </c>
      <c r="T19">
        <v>0</v>
      </c>
      <c r="U19">
        <v>0</v>
      </c>
      <c r="V19">
        <v>0</v>
      </c>
      <c r="W19">
        <v>40</v>
      </c>
      <c r="X19">
        <v>0</v>
      </c>
      <c r="Y19">
        <v>0</v>
      </c>
      <c r="Z19">
        <v>0</v>
      </c>
      <c r="AB19" s="5">
        <v>43955</v>
      </c>
      <c r="AC19" s="5">
        <v>43994</v>
      </c>
      <c r="AD19" s="5">
        <v>43986.333333333336</v>
      </c>
      <c r="AE19" s="5">
        <v>43986.333333333336</v>
      </c>
      <c r="AG19" s="5">
        <v>44044</v>
      </c>
      <c r="AH19" s="5">
        <v>44044</v>
      </c>
      <c r="AK19" s="5">
        <v>43962.333333333336</v>
      </c>
      <c r="AL19" s="5">
        <v>43969.666666666664</v>
      </c>
      <c r="AP19" t="s">
        <v>418</v>
      </c>
      <c r="AU19" t="s">
        <v>1349</v>
      </c>
      <c r="AY19" t="s">
        <v>40</v>
      </c>
      <c r="AZ19">
        <v>0</v>
      </c>
      <c r="BA19">
        <v>0</v>
      </c>
      <c r="BI19" s="5">
        <v>44048.176388888889</v>
      </c>
      <c r="BJ19" s="5">
        <v>44048.176388888889</v>
      </c>
      <c r="BK19" t="s">
        <v>778</v>
      </c>
      <c r="BL19" t="s">
        <v>778</v>
      </c>
      <c r="BN19" t="s">
        <v>37</v>
      </c>
    </row>
    <row r="20" spans="1:66" x14ac:dyDescent="0.2">
      <c r="A20">
        <v>3692577</v>
      </c>
      <c r="B20">
        <v>21883</v>
      </c>
      <c r="C20">
        <v>524003</v>
      </c>
      <c r="D20">
        <v>52897</v>
      </c>
      <c r="E20">
        <v>100</v>
      </c>
      <c r="F20" t="s">
        <v>37</v>
      </c>
      <c r="G20">
        <v>1</v>
      </c>
      <c r="H20" t="s">
        <v>37</v>
      </c>
      <c r="I20" t="s">
        <v>37</v>
      </c>
      <c r="J20" t="s">
        <v>775</v>
      </c>
      <c r="K20" t="s">
        <v>230</v>
      </c>
      <c r="L20" t="s">
        <v>226</v>
      </c>
      <c r="M20" t="s">
        <v>422</v>
      </c>
      <c r="N20" t="s">
        <v>1350</v>
      </c>
      <c r="O20" t="s">
        <v>1351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B20" s="5">
        <v>43948.333333333336</v>
      </c>
      <c r="AC20" s="5">
        <v>43948.333333333336</v>
      </c>
      <c r="AD20" s="5">
        <v>43986.333333333336</v>
      </c>
      <c r="AE20" s="5">
        <v>43986.333333333336</v>
      </c>
      <c r="AG20" s="5">
        <v>44044</v>
      </c>
      <c r="AH20" s="5">
        <v>44044</v>
      </c>
      <c r="AK20" s="5">
        <v>43948.333333333336</v>
      </c>
      <c r="AL20" s="5">
        <v>43948.333333333336</v>
      </c>
      <c r="AP20" t="s">
        <v>418</v>
      </c>
      <c r="AU20" t="s">
        <v>1352</v>
      </c>
      <c r="AY20" t="s">
        <v>40</v>
      </c>
      <c r="AZ20">
        <v>0</v>
      </c>
      <c r="BA20">
        <v>0</v>
      </c>
      <c r="BI20" s="5">
        <v>44048.176388888889</v>
      </c>
      <c r="BJ20" s="5">
        <v>44048.176388888889</v>
      </c>
      <c r="BK20" t="s">
        <v>778</v>
      </c>
      <c r="BL20" t="s">
        <v>778</v>
      </c>
      <c r="BN20" t="s">
        <v>37</v>
      </c>
    </row>
    <row r="21" spans="1:66" x14ac:dyDescent="0.2">
      <c r="A21">
        <v>3692578</v>
      </c>
      <c r="B21">
        <v>21883</v>
      </c>
      <c r="C21">
        <v>524003</v>
      </c>
      <c r="D21">
        <v>52897</v>
      </c>
      <c r="E21">
        <v>100</v>
      </c>
      <c r="F21" t="s">
        <v>37</v>
      </c>
      <c r="G21">
        <v>1</v>
      </c>
      <c r="H21" t="s">
        <v>37</v>
      </c>
      <c r="I21" t="s">
        <v>37</v>
      </c>
      <c r="J21" t="s">
        <v>775</v>
      </c>
      <c r="K21" t="s">
        <v>230</v>
      </c>
      <c r="L21" t="s">
        <v>226</v>
      </c>
      <c r="M21" t="s">
        <v>422</v>
      </c>
      <c r="N21" t="s">
        <v>1353</v>
      </c>
      <c r="O21" t="s">
        <v>1354</v>
      </c>
      <c r="S21">
        <v>0</v>
      </c>
      <c r="T21">
        <v>0</v>
      </c>
      <c r="U21">
        <v>0</v>
      </c>
      <c r="V21">
        <v>0</v>
      </c>
      <c r="W21">
        <v>40</v>
      </c>
      <c r="X21">
        <v>0</v>
      </c>
      <c r="Y21">
        <v>0</v>
      </c>
      <c r="Z21">
        <v>0</v>
      </c>
      <c r="AB21" s="5">
        <v>43910</v>
      </c>
      <c r="AC21" s="5">
        <v>43922</v>
      </c>
      <c r="AD21" s="5">
        <v>43986.333333333336</v>
      </c>
      <c r="AE21" s="5">
        <v>43986.333333333336</v>
      </c>
      <c r="AG21" s="5">
        <v>44044</v>
      </c>
      <c r="AH21" s="5">
        <v>44044</v>
      </c>
      <c r="AK21" s="5">
        <v>43922.333333333336</v>
      </c>
      <c r="AL21" s="5">
        <v>43929.666666666664</v>
      </c>
      <c r="AP21" t="s">
        <v>418</v>
      </c>
      <c r="AU21" t="s">
        <v>1355</v>
      </c>
      <c r="AY21" t="s">
        <v>40</v>
      </c>
      <c r="AZ21">
        <v>0</v>
      </c>
      <c r="BA21">
        <v>0</v>
      </c>
      <c r="BI21" s="5">
        <v>44048.176388888889</v>
      </c>
      <c r="BJ21" s="5">
        <v>44048.176388888889</v>
      </c>
      <c r="BK21" t="s">
        <v>778</v>
      </c>
      <c r="BL21" t="s">
        <v>778</v>
      </c>
      <c r="BN21" t="s">
        <v>37</v>
      </c>
    </row>
    <row r="22" spans="1:66" x14ac:dyDescent="0.2">
      <c r="A22">
        <v>3692579</v>
      </c>
      <c r="B22">
        <v>21883</v>
      </c>
      <c r="C22">
        <v>524003</v>
      </c>
      <c r="D22">
        <v>15320</v>
      </c>
      <c r="E22">
        <v>100</v>
      </c>
      <c r="F22" t="s">
        <v>37</v>
      </c>
      <c r="G22">
        <v>1</v>
      </c>
      <c r="H22" t="s">
        <v>37</v>
      </c>
      <c r="I22" t="s">
        <v>37</v>
      </c>
      <c r="J22" t="s">
        <v>775</v>
      </c>
      <c r="K22" t="s">
        <v>230</v>
      </c>
      <c r="L22" t="s">
        <v>226</v>
      </c>
      <c r="M22" t="s">
        <v>422</v>
      </c>
      <c r="N22" t="s">
        <v>1356</v>
      </c>
      <c r="O22" t="s">
        <v>1357</v>
      </c>
      <c r="S22">
        <v>0</v>
      </c>
      <c r="T22">
        <v>0</v>
      </c>
      <c r="U22">
        <v>0</v>
      </c>
      <c r="V22">
        <v>0</v>
      </c>
      <c r="W22">
        <v>48</v>
      </c>
      <c r="X22">
        <v>0</v>
      </c>
      <c r="Y22">
        <v>0</v>
      </c>
      <c r="Z22">
        <v>0</v>
      </c>
      <c r="AB22" s="5">
        <v>43895</v>
      </c>
      <c r="AC22" s="5">
        <v>43911</v>
      </c>
      <c r="AD22" s="5">
        <v>43986.333333333336</v>
      </c>
      <c r="AE22" s="5">
        <v>43986.333333333336</v>
      </c>
      <c r="AG22" s="5">
        <v>44044</v>
      </c>
      <c r="AH22" s="5">
        <v>44044</v>
      </c>
      <c r="AK22" s="5">
        <v>43922.333333333336</v>
      </c>
      <c r="AL22" s="5">
        <v>43929.666666666664</v>
      </c>
      <c r="AP22" t="s">
        <v>418</v>
      </c>
      <c r="AU22" t="s">
        <v>1358</v>
      </c>
      <c r="AY22" t="s">
        <v>40</v>
      </c>
      <c r="AZ22">
        <v>0</v>
      </c>
      <c r="BA22">
        <v>0</v>
      </c>
      <c r="BI22" s="5">
        <v>44048.176388888889</v>
      </c>
      <c r="BJ22" s="5">
        <v>44048.176388888889</v>
      </c>
      <c r="BK22" t="s">
        <v>778</v>
      </c>
      <c r="BL22" t="s">
        <v>778</v>
      </c>
      <c r="BN22" t="s">
        <v>37</v>
      </c>
    </row>
    <row r="23" spans="1:66" x14ac:dyDescent="0.2">
      <c r="A23">
        <v>3692580</v>
      </c>
      <c r="B23">
        <v>21883</v>
      </c>
      <c r="C23">
        <v>524003</v>
      </c>
      <c r="D23">
        <v>52897</v>
      </c>
      <c r="E23">
        <v>100</v>
      </c>
      <c r="F23" t="s">
        <v>37</v>
      </c>
      <c r="G23">
        <v>1</v>
      </c>
      <c r="H23" t="s">
        <v>37</v>
      </c>
      <c r="I23" t="s">
        <v>37</v>
      </c>
      <c r="J23" t="s">
        <v>775</v>
      </c>
      <c r="K23" t="s">
        <v>230</v>
      </c>
      <c r="L23" t="s">
        <v>226</v>
      </c>
      <c r="M23" t="s">
        <v>422</v>
      </c>
      <c r="N23" t="s">
        <v>1359</v>
      </c>
      <c r="O23" t="s">
        <v>1360</v>
      </c>
      <c r="S23">
        <v>0</v>
      </c>
      <c r="T23">
        <v>0</v>
      </c>
      <c r="U23">
        <v>0</v>
      </c>
      <c r="V23">
        <v>0</v>
      </c>
      <c r="W23">
        <v>16</v>
      </c>
      <c r="X23">
        <v>0</v>
      </c>
      <c r="Y23">
        <v>0</v>
      </c>
      <c r="Z23">
        <v>0</v>
      </c>
      <c r="AB23" s="5">
        <v>43892</v>
      </c>
      <c r="AC23" s="5">
        <v>43896</v>
      </c>
      <c r="AD23" s="5">
        <v>43986.333333333336</v>
      </c>
      <c r="AE23" s="5">
        <v>43986.333333333336</v>
      </c>
      <c r="AG23" s="5">
        <v>44044</v>
      </c>
      <c r="AH23" s="5">
        <v>44044</v>
      </c>
      <c r="AK23" s="5">
        <v>43938.333333333336</v>
      </c>
      <c r="AL23" s="5">
        <v>43941.666666666664</v>
      </c>
      <c r="AP23" t="s">
        <v>418</v>
      </c>
      <c r="AU23" t="s">
        <v>1361</v>
      </c>
      <c r="AY23" t="s">
        <v>40</v>
      </c>
      <c r="AZ23">
        <v>0</v>
      </c>
      <c r="BA23">
        <v>0</v>
      </c>
      <c r="BI23" s="5">
        <v>44048.176388888889</v>
      </c>
      <c r="BJ23" s="5">
        <v>44048.176388888889</v>
      </c>
      <c r="BK23" t="s">
        <v>778</v>
      </c>
      <c r="BL23" t="s">
        <v>778</v>
      </c>
      <c r="BN23" t="s">
        <v>37</v>
      </c>
    </row>
    <row r="24" spans="1:66" x14ac:dyDescent="0.2">
      <c r="A24">
        <v>3692581</v>
      </c>
      <c r="B24">
        <v>21883</v>
      </c>
      <c r="C24">
        <v>523849</v>
      </c>
      <c r="D24">
        <v>52895</v>
      </c>
      <c r="E24">
        <v>0</v>
      </c>
      <c r="F24" t="s">
        <v>37</v>
      </c>
      <c r="G24">
        <v>1</v>
      </c>
      <c r="H24" t="s">
        <v>37</v>
      </c>
      <c r="I24" t="s">
        <v>37</v>
      </c>
      <c r="J24" t="s">
        <v>775</v>
      </c>
      <c r="K24" t="s">
        <v>230</v>
      </c>
      <c r="L24" t="s">
        <v>226</v>
      </c>
      <c r="M24" t="s">
        <v>417</v>
      </c>
      <c r="N24" t="s">
        <v>1362</v>
      </c>
      <c r="O24" t="s">
        <v>1363</v>
      </c>
      <c r="Q24">
        <v>-120</v>
      </c>
      <c r="R24">
        <v>8</v>
      </c>
      <c r="S24">
        <v>56</v>
      </c>
      <c r="T24">
        <v>0</v>
      </c>
      <c r="U24">
        <v>0</v>
      </c>
      <c r="V24">
        <v>0</v>
      </c>
      <c r="W24">
        <v>56</v>
      </c>
      <c r="X24">
        <v>0</v>
      </c>
      <c r="Y24">
        <v>0</v>
      </c>
      <c r="Z24">
        <v>0</v>
      </c>
      <c r="AD24" s="5">
        <v>44075.333333333336</v>
      </c>
      <c r="AE24" s="5">
        <v>44081.666666666664</v>
      </c>
      <c r="AG24" s="5">
        <v>44090.333333333336</v>
      </c>
      <c r="AH24" s="5">
        <v>44096.666666666664</v>
      </c>
      <c r="AI24" s="5">
        <v>44090.333333333336</v>
      </c>
      <c r="AJ24" s="5">
        <v>44096.666666666664</v>
      </c>
      <c r="AK24" s="5">
        <v>44090.333333333336</v>
      </c>
      <c r="AL24" s="5">
        <v>44096.666666666664</v>
      </c>
      <c r="AM24" s="5">
        <v>44075.333333333336</v>
      </c>
      <c r="AN24" s="5">
        <v>44081.666666666664</v>
      </c>
      <c r="AP24" t="s">
        <v>418</v>
      </c>
      <c r="AU24" t="s">
        <v>1364</v>
      </c>
      <c r="AY24" t="s">
        <v>37</v>
      </c>
      <c r="AZ24">
        <v>0</v>
      </c>
      <c r="BA24">
        <v>0</v>
      </c>
      <c r="BI24" s="5">
        <v>44048.176388888889</v>
      </c>
      <c r="BJ24" s="5">
        <v>44048.176388888889</v>
      </c>
      <c r="BK24" t="s">
        <v>778</v>
      </c>
      <c r="BL24" t="s">
        <v>778</v>
      </c>
      <c r="BN24" t="s">
        <v>37</v>
      </c>
    </row>
    <row r="25" spans="1:66" x14ac:dyDescent="0.2">
      <c r="A25">
        <v>3692582</v>
      </c>
      <c r="B25">
        <v>21883</v>
      </c>
      <c r="C25">
        <v>523849</v>
      </c>
      <c r="D25">
        <v>15320</v>
      </c>
      <c r="E25">
        <v>0</v>
      </c>
      <c r="F25" t="s">
        <v>37</v>
      </c>
      <c r="G25">
        <v>1</v>
      </c>
      <c r="H25" t="s">
        <v>37</v>
      </c>
      <c r="I25" t="s">
        <v>37</v>
      </c>
      <c r="J25" t="s">
        <v>775</v>
      </c>
      <c r="K25" t="s">
        <v>230</v>
      </c>
      <c r="L25" t="s">
        <v>226</v>
      </c>
      <c r="M25" t="s">
        <v>417</v>
      </c>
      <c r="N25" t="s">
        <v>1365</v>
      </c>
      <c r="O25" t="s">
        <v>1366</v>
      </c>
      <c r="Q25">
        <v>-80</v>
      </c>
      <c r="R25">
        <v>0</v>
      </c>
      <c r="S25">
        <v>24</v>
      </c>
      <c r="T25">
        <v>0</v>
      </c>
      <c r="U25">
        <v>0</v>
      </c>
      <c r="V25">
        <v>0</v>
      </c>
      <c r="W25">
        <v>24</v>
      </c>
      <c r="X25">
        <v>0</v>
      </c>
      <c r="Y25">
        <v>0</v>
      </c>
      <c r="Z25">
        <v>0</v>
      </c>
      <c r="AD25" s="5">
        <v>44070.333333333336</v>
      </c>
      <c r="AE25" s="5">
        <v>44074.666666666664</v>
      </c>
      <c r="AG25" s="5">
        <v>44085.333333333336</v>
      </c>
      <c r="AH25" s="5">
        <v>44089.666666666664</v>
      </c>
      <c r="AI25" s="5">
        <v>44085.333333333336</v>
      </c>
      <c r="AJ25" s="5">
        <v>44089.666666666664</v>
      </c>
      <c r="AK25" s="5">
        <v>44085.333333333336</v>
      </c>
      <c r="AL25" s="5">
        <v>44089.666666666664</v>
      </c>
      <c r="AM25" s="5">
        <v>44070.333333333336</v>
      </c>
      <c r="AN25" s="5">
        <v>44074.666666666664</v>
      </c>
      <c r="AP25" t="s">
        <v>418</v>
      </c>
      <c r="AU25" t="s">
        <v>1367</v>
      </c>
      <c r="AY25" t="s">
        <v>37</v>
      </c>
      <c r="AZ25">
        <v>0</v>
      </c>
      <c r="BA25">
        <v>0</v>
      </c>
      <c r="BI25" s="5">
        <v>44048.176388888889</v>
      </c>
      <c r="BJ25" s="5">
        <v>44048.176388888889</v>
      </c>
      <c r="BK25" t="s">
        <v>778</v>
      </c>
      <c r="BL25" t="s">
        <v>778</v>
      </c>
      <c r="BN25" t="s">
        <v>37</v>
      </c>
    </row>
    <row r="26" spans="1:66" x14ac:dyDescent="0.2">
      <c r="A26">
        <v>3692583</v>
      </c>
      <c r="B26">
        <v>21883</v>
      </c>
      <c r="C26">
        <v>523848</v>
      </c>
      <c r="D26">
        <v>52895</v>
      </c>
      <c r="E26">
        <v>0</v>
      </c>
      <c r="F26" t="s">
        <v>37</v>
      </c>
      <c r="G26">
        <v>1</v>
      </c>
      <c r="H26" t="s">
        <v>37</v>
      </c>
      <c r="I26" t="s">
        <v>37</v>
      </c>
      <c r="J26" t="s">
        <v>775</v>
      </c>
      <c r="K26" t="s">
        <v>230</v>
      </c>
      <c r="L26" t="s">
        <v>226</v>
      </c>
      <c r="M26" t="s">
        <v>417</v>
      </c>
      <c r="N26" t="s">
        <v>1368</v>
      </c>
      <c r="O26" t="s">
        <v>1369</v>
      </c>
      <c r="Q26">
        <v>-80</v>
      </c>
      <c r="R26">
        <v>0</v>
      </c>
      <c r="S26">
        <v>56</v>
      </c>
      <c r="T26">
        <v>0</v>
      </c>
      <c r="U26">
        <v>0</v>
      </c>
      <c r="V26">
        <v>0</v>
      </c>
      <c r="W26">
        <v>56</v>
      </c>
      <c r="X26">
        <v>0</v>
      </c>
      <c r="Y26">
        <v>0</v>
      </c>
      <c r="Z26">
        <v>0</v>
      </c>
      <c r="AD26" s="5">
        <v>44081.333333333336</v>
      </c>
      <c r="AE26" s="5">
        <v>44087.666666666664</v>
      </c>
      <c r="AG26" s="5">
        <v>44091.333333333336</v>
      </c>
      <c r="AH26" s="5">
        <v>44097.666666666664</v>
      </c>
      <c r="AI26" s="5">
        <v>44091.333333333336</v>
      </c>
      <c r="AJ26" s="5">
        <v>44097.666666666664</v>
      </c>
      <c r="AK26" s="5">
        <v>44091.333333333336</v>
      </c>
      <c r="AL26" s="5">
        <v>44097.666666666664</v>
      </c>
      <c r="AM26" s="5">
        <v>44081.333333333336</v>
      </c>
      <c r="AN26" s="5">
        <v>44087.666666666664</v>
      </c>
      <c r="AP26" t="s">
        <v>418</v>
      </c>
      <c r="AU26" t="s">
        <v>1370</v>
      </c>
      <c r="AY26" t="s">
        <v>37</v>
      </c>
      <c r="AZ26">
        <v>0</v>
      </c>
      <c r="BA26">
        <v>0</v>
      </c>
      <c r="BI26" s="5">
        <v>44048.176388888889</v>
      </c>
      <c r="BJ26" s="5">
        <v>44048.176388888889</v>
      </c>
      <c r="BK26" t="s">
        <v>778</v>
      </c>
      <c r="BL26" t="s">
        <v>778</v>
      </c>
      <c r="BN26" t="s">
        <v>37</v>
      </c>
    </row>
    <row r="27" spans="1:66" x14ac:dyDescent="0.2">
      <c r="A27">
        <v>3692584</v>
      </c>
      <c r="B27">
        <v>21883</v>
      </c>
      <c r="C27">
        <v>523848</v>
      </c>
      <c r="D27">
        <v>15320</v>
      </c>
      <c r="E27">
        <v>0</v>
      </c>
      <c r="F27" t="s">
        <v>37</v>
      </c>
      <c r="G27">
        <v>1</v>
      </c>
      <c r="H27" t="s">
        <v>37</v>
      </c>
      <c r="I27" t="s">
        <v>37</v>
      </c>
      <c r="J27" t="s">
        <v>775</v>
      </c>
      <c r="K27" t="s">
        <v>230</v>
      </c>
      <c r="L27" t="s">
        <v>226</v>
      </c>
      <c r="M27" t="s">
        <v>417</v>
      </c>
      <c r="N27" t="s">
        <v>1371</v>
      </c>
      <c r="O27" t="s">
        <v>1372</v>
      </c>
      <c r="Q27">
        <v>-56</v>
      </c>
      <c r="R27">
        <v>0</v>
      </c>
      <c r="S27">
        <v>24</v>
      </c>
      <c r="T27">
        <v>0</v>
      </c>
      <c r="U27">
        <v>0</v>
      </c>
      <c r="V27">
        <v>0</v>
      </c>
      <c r="W27">
        <v>24</v>
      </c>
      <c r="X27">
        <v>0</v>
      </c>
      <c r="Y27">
        <v>0</v>
      </c>
      <c r="Z27">
        <v>0</v>
      </c>
      <c r="AD27" s="5">
        <v>44076.333333333336</v>
      </c>
      <c r="AE27" s="5">
        <v>44078.666666666664</v>
      </c>
      <c r="AG27" s="5">
        <v>44088.333333333336</v>
      </c>
      <c r="AH27" s="5">
        <v>44090.666666666664</v>
      </c>
      <c r="AI27" s="5">
        <v>44088.333333333336</v>
      </c>
      <c r="AJ27" s="5">
        <v>44090.666666666664</v>
      </c>
      <c r="AK27" s="5">
        <v>44088.333333333336</v>
      </c>
      <c r="AL27" s="5">
        <v>44090.666666666664</v>
      </c>
      <c r="AM27" s="5">
        <v>44076.333333333336</v>
      </c>
      <c r="AN27" s="5">
        <v>44078.666666666664</v>
      </c>
      <c r="AP27" t="s">
        <v>418</v>
      </c>
      <c r="AU27" t="s">
        <v>1373</v>
      </c>
      <c r="AY27" t="s">
        <v>37</v>
      </c>
      <c r="AZ27">
        <v>0</v>
      </c>
      <c r="BA27">
        <v>0</v>
      </c>
      <c r="BI27" s="5">
        <v>44048.176388888889</v>
      </c>
      <c r="BJ27" s="5">
        <v>44048.176388888889</v>
      </c>
      <c r="BK27" t="s">
        <v>778</v>
      </c>
      <c r="BL27" t="s">
        <v>778</v>
      </c>
      <c r="BN27" t="s">
        <v>37</v>
      </c>
    </row>
    <row r="28" spans="1:66" x14ac:dyDescent="0.2">
      <c r="A28">
        <v>3692585</v>
      </c>
      <c r="B28">
        <v>21883</v>
      </c>
      <c r="C28">
        <v>523847</v>
      </c>
      <c r="D28">
        <v>52895</v>
      </c>
      <c r="E28">
        <v>0</v>
      </c>
      <c r="F28" t="s">
        <v>37</v>
      </c>
      <c r="G28">
        <v>1</v>
      </c>
      <c r="H28" t="s">
        <v>37</v>
      </c>
      <c r="I28" t="s">
        <v>37</v>
      </c>
      <c r="J28" t="s">
        <v>775</v>
      </c>
      <c r="K28" t="s">
        <v>230</v>
      </c>
      <c r="L28" t="s">
        <v>226</v>
      </c>
      <c r="M28" t="s">
        <v>417</v>
      </c>
      <c r="N28" t="s">
        <v>1374</v>
      </c>
      <c r="O28" t="s">
        <v>1375</v>
      </c>
      <c r="Q28">
        <v>-240</v>
      </c>
      <c r="R28">
        <v>0</v>
      </c>
      <c r="S28">
        <v>56</v>
      </c>
      <c r="T28">
        <v>0</v>
      </c>
      <c r="U28">
        <v>0</v>
      </c>
      <c r="V28">
        <v>0</v>
      </c>
      <c r="W28">
        <v>56</v>
      </c>
      <c r="X28">
        <v>0</v>
      </c>
      <c r="Y28">
        <v>0</v>
      </c>
      <c r="Z28">
        <v>0</v>
      </c>
      <c r="AD28" s="5">
        <v>44081.333333333336</v>
      </c>
      <c r="AE28" s="5">
        <v>44087.666666666664</v>
      </c>
      <c r="AG28" s="5">
        <v>44111.333333333336</v>
      </c>
      <c r="AH28" s="5">
        <v>44117.666666666664</v>
      </c>
      <c r="AI28" s="5">
        <v>44111.333333333336</v>
      </c>
      <c r="AJ28" s="5">
        <v>44117.666666666664</v>
      </c>
      <c r="AK28" s="5">
        <v>44111.333333333336</v>
      </c>
      <c r="AL28" s="5">
        <v>44117.666666666664</v>
      </c>
      <c r="AM28" s="5">
        <v>44081.333333333336</v>
      </c>
      <c r="AN28" s="5">
        <v>44087.666666666664</v>
      </c>
      <c r="AP28" t="s">
        <v>418</v>
      </c>
      <c r="AU28" t="s">
        <v>1376</v>
      </c>
      <c r="AY28" t="s">
        <v>37</v>
      </c>
      <c r="AZ28">
        <v>0</v>
      </c>
      <c r="BA28">
        <v>0</v>
      </c>
      <c r="BI28" s="5">
        <v>44048.176388888889</v>
      </c>
      <c r="BJ28" s="5">
        <v>44048.176388888889</v>
      </c>
      <c r="BK28" t="s">
        <v>778</v>
      </c>
      <c r="BL28" t="s">
        <v>778</v>
      </c>
      <c r="BN28" t="s">
        <v>37</v>
      </c>
    </row>
    <row r="29" spans="1:66" x14ac:dyDescent="0.2">
      <c r="A29">
        <v>3692586</v>
      </c>
      <c r="B29">
        <v>21883</v>
      </c>
      <c r="C29">
        <v>523847</v>
      </c>
      <c r="D29">
        <v>15320</v>
      </c>
      <c r="E29">
        <v>0</v>
      </c>
      <c r="F29" t="s">
        <v>37</v>
      </c>
      <c r="G29">
        <v>1</v>
      </c>
      <c r="H29" t="s">
        <v>37</v>
      </c>
      <c r="I29" t="s">
        <v>37</v>
      </c>
      <c r="J29" t="s">
        <v>775</v>
      </c>
      <c r="K29" t="s">
        <v>230</v>
      </c>
      <c r="L29" t="s">
        <v>226</v>
      </c>
      <c r="M29" t="s">
        <v>417</v>
      </c>
      <c r="N29" t="s">
        <v>1377</v>
      </c>
      <c r="O29" t="s">
        <v>1378</v>
      </c>
      <c r="Q29">
        <v>-144</v>
      </c>
      <c r="R29">
        <v>0</v>
      </c>
      <c r="S29">
        <v>24</v>
      </c>
      <c r="T29">
        <v>0</v>
      </c>
      <c r="U29">
        <v>0</v>
      </c>
      <c r="V29">
        <v>0</v>
      </c>
      <c r="W29">
        <v>24</v>
      </c>
      <c r="X29">
        <v>0</v>
      </c>
      <c r="Y29">
        <v>0</v>
      </c>
      <c r="Z29">
        <v>0</v>
      </c>
      <c r="AD29" s="5">
        <v>44076.333333333336</v>
      </c>
      <c r="AE29" s="5">
        <v>44078.666666666664</v>
      </c>
      <c r="AG29" s="5">
        <v>44105.333333333336</v>
      </c>
      <c r="AH29" s="5">
        <v>44110.666666666664</v>
      </c>
      <c r="AI29" s="5">
        <v>44105.333333333336</v>
      </c>
      <c r="AJ29" s="5">
        <v>44110.666666666664</v>
      </c>
      <c r="AK29" s="5">
        <v>44105.333333333336</v>
      </c>
      <c r="AL29" s="5">
        <v>44110.666666666664</v>
      </c>
      <c r="AM29" s="5">
        <v>44076.333333333336</v>
      </c>
      <c r="AN29" s="5">
        <v>44078.666666666664</v>
      </c>
      <c r="AP29" t="s">
        <v>418</v>
      </c>
      <c r="AU29" t="s">
        <v>1379</v>
      </c>
      <c r="AY29" t="s">
        <v>37</v>
      </c>
      <c r="AZ29">
        <v>0</v>
      </c>
      <c r="BA29">
        <v>0</v>
      </c>
      <c r="BI29" s="5">
        <v>44048.176388888889</v>
      </c>
      <c r="BJ29" s="5">
        <v>44048.176388888889</v>
      </c>
      <c r="BK29" t="s">
        <v>778</v>
      </c>
      <c r="BL29" t="s">
        <v>778</v>
      </c>
      <c r="BN29" t="s">
        <v>37</v>
      </c>
    </row>
    <row r="30" spans="1:66" x14ac:dyDescent="0.2">
      <c r="A30">
        <v>3692587</v>
      </c>
      <c r="B30">
        <v>21883</v>
      </c>
      <c r="C30">
        <v>523846</v>
      </c>
      <c r="D30">
        <v>52895</v>
      </c>
      <c r="E30">
        <v>0</v>
      </c>
      <c r="F30" t="s">
        <v>37</v>
      </c>
      <c r="G30">
        <v>1</v>
      </c>
      <c r="H30" t="s">
        <v>37</v>
      </c>
      <c r="I30" t="s">
        <v>37</v>
      </c>
      <c r="J30" t="s">
        <v>775</v>
      </c>
      <c r="K30" t="s">
        <v>230</v>
      </c>
      <c r="L30" t="s">
        <v>226</v>
      </c>
      <c r="M30" t="s">
        <v>417</v>
      </c>
      <c r="N30" t="s">
        <v>1380</v>
      </c>
      <c r="O30" t="s">
        <v>1381</v>
      </c>
      <c r="Q30">
        <v>-512</v>
      </c>
      <c r="R30">
        <v>0</v>
      </c>
      <c r="S30">
        <v>56</v>
      </c>
      <c r="T30">
        <v>0</v>
      </c>
      <c r="U30">
        <v>0</v>
      </c>
      <c r="V30">
        <v>0</v>
      </c>
      <c r="W30">
        <v>56</v>
      </c>
      <c r="X30">
        <v>0</v>
      </c>
      <c r="Y30">
        <v>0</v>
      </c>
      <c r="Z30">
        <v>0</v>
      </c>
      <c r="AD30" s="5">
        <v>44081.333333333336</v>
      </c>
      <c r="AE30" s="5">
        <v>44087.666666666664</v>
      </c>
      <c r="AG30" s="5">
        <v>44145.333333333336</v>
      </c>
      <c r="AH30" s="5">
        <v>44151.666666666664</v>
      </c>
      <c r="AI30" s="5">
        <v>44145.333333333336</v>
      </c>
      <c r="AJ30" s="5">
        <v>44151.666666666664</v>
      </c>
      <c r="AK30" s="5">
        <v>44145.333333333336</v>
      </c>
      <c r="AL30" s="5">
        <v>44151.666666666664</v>
      </c>
      <c r="AM30" s="5">
        <v>44081.333333333336</v>
      </c>
      <c r="AN30" s="5">
        <v>44087.666666666664</v>
      </c>
      <c r="AP30" t="s">
        <v>418</v>
      </c>
      <c r="AU30" t="s">
        <v>1382</v>
      </c>
      <c r="AY30" t="s">
        <v>40</v>
      </c>
      <c r="AZ30">
        <v>0</v>
      </c>
      <c r="BA30">
        <v>0</v>
      </c>
      <c r="BI30" s="5">
        <v>44048.176388888889</v>
      </c>
      <c r="BJ30" s="5">
        <v>44048.176388888889</v>
      </c>
      <c r="BK30" t="s">
        <v>778</v>
      </c>
      <c r="BL30" t="s">
        <v>778</v>
      </c>
      <c r="BN30" t="s">
        <v>37</v>
      </c>
    </row>
    <row r="31" spans="1:66" x14ac:dyDescent="0.2">
      <c r="A31">
        <v>3692588</v>
      </c>
      <c r="B31">
        <v>21883</v>
      </c>
      <c r="C31">
        <v>523846</v>
      </c>
      <c r="D31">
        <v>15320</v>
      </c>
      <c r="E31">
        <v>0</v>
      </c>
      <c r="F31" t="s">
        <v>37</v>
      </c>
      <c r="G31">
        <v>1</v>
      </c>
      <c r="H31" t="s">
        <v>37</v>
      </c>
      <c r="I31" t="s">
        <v>37</v>
      </c>
      <c r="J31" t="s">
        <v>775</v>
      </c>
      <c r="K31" t="s">
        <v>230</v>
      </c>
      <c r="L31" t="s">
        <v>226</v>
      </c>
      <c r="M31" t="s">
        <v>417</v>
      </c>
      <c r="N31" t="s">
        <v>1383</v>
      </c>
      <c r="O31" t="s">
        <v>1384</v>
      </c>
      <c r="Q31">
        <v>-328</v>
      </c>
      <c r="R31">
        <v>0</v>
      </c>
      <c r="S31">
        <v>24</v>
      </c>
      <c r="T31">
        <v>0</v>
      </c>
      <c r="U31">
        <v>0</v>
      </c>
      <c r="V31">
        <v>0</v>
      </c>
      <c r="W31">
        <v>24</v>
      </c>
      <c r="X31">
        <v>0</v>
      </c>
      <c r="Y31">
        <v>0</v>
      </c>
      <c r="Z31">
        <v>0</v>
      </c>
      <c r="AD31" s="5">
        <v>44076.333333333336</v>
      </c>
      <c r="AE31" s="5">
        <v>44078.666666666664</v>
      </c>
      <c r="AG31" s="5">
        <v>44140.333333333336</v>
      </c>
      <c r="AH31" s="5">
        <v>44144.666666666664</v>
      </c>
      <c r="AI31" s="5">
        <v>44140.333333333336</v>
      </c>
      <c r="AJ31" s="5">
        <v>44144.666666666664</v>
      </c>
      <c r="AK31" s="5">
        <v>44140.333333333336</v>
      </c>
      <c r="AL31" s="5">
        <v>44144.666666666664</v>
      </c>
      <c r="AM31" s="5">
        <v>44076.333333333336</v>
      </c>
      <c r="AN31" s="5">
        <v>44078.666666666664</v>
      </c>
      <c r="AP31" t="s">
        <v>418</v>
      </c>
      <c r="AU31" t="s">
        <v>1385</v>
      </c>
      <c r="AY31" t="s">
        <v>40</v>
      </c>
      <c r="AZ31">
        <v>0</v>
      </c>
      <c r="BA31">
        <v>0</v>
      </c>
      <c r="BI31" s="5">
        <v>44048.176388888889</v>
      </c>
      <c r="BJ31" s="5">
        <v>44048.176388888889</v>
      </c>
      <c r="BK31" t="s">
        <v>778</v>
      </c>
      <c r="BL31" t="s">
        <v>778</v>
      </c>
      <c r="BN31" t="s">
        <v>37</v>
      </c>
    </row>
    <row r="32" spans="1:66" x14ac:dyDescent="0.2">
      <c r="A32">
        <v>3692589</v>
      </c>
      <c r="B32">
        <v>21883</v>
      </c>
      <c r="C32">
        <v>523845</v>
      </c>
      <c r="D32">
        <v>52895</v>
      </c>
      <c r="E32">
        <v>0</v>
      </c>
      <c r="F32" t="s">
        <v>37</v>
      </c>
      <c r="G32">
        <v>1</v>
      </c>
      <c r="H32" t="s">
        <v>37</v>
      </c>
      <c r="I32" t="s">
        <v>37</v>
      </c>
      <c r="J32" t="s">
        <v>775</v>
      </c>
      <c r="K32" t="s">
        <v>230</v>
      </c>
      <c r="L32" t="s">
        <v>226</v>
      </c>
      <c r="M32" t="s">
        <v>417</v>
      </c>
      <c r="N32" t="s">
        <v>1386</v>
      </c>
      <c r="O32" t="s">
        <v>1387</v>
      </c>
      <c r="Q32">
        <v>-416</v>
      </c>
      <c r="R32">
        <v>0</v>
      </c>
      <c r="S32">
        <v>56</v>
      </c>
      <c r="T32">
        <v>0</v>
      </c>
      <c r="U32">
        <v>0</v>
      </c>
      <c r="V32">
        <v>0</v>
      </c>
      <c r="W32">
        <v>56</v>
      </c>
      <c r="X32">
        <v>0</v>
      </c>
      <c r="Y32">
        <v>0</v>
      </c>
      <c r="Z32">
        <v>0</v>
      </c>
      <c r="AD32" s="5">
        <v>44081.333333333336</v>
      </c>
      <c r="AE32" s="5">
        <v>44087.666666666664</v>
      </c>
      <c r="AG32" s="5">
        <v>44133.333333333336</v>
      </c>
      <c r="AH32" s="5">
        <v>44139.666666666664</v>
      </c>
      <c r="AI32" s="5">
        <v>44133.333333333336</v>
      </c>
      <c r="AJ32" s="5">
        <v>44139.666666666664</v>
      </c>
      <c r="AK32" s="5">
        <v>44133.333333333336</v>
      </c>
      <c r="AL32" s="5">
        <v>44139.666666666664</v>
      </c>
      <c r="AM32" s="5">
        <v>44081.333333333336</v>
      </c>
      <c r="AN32" s="5">
        <v>44087.666666666664</v>
      </c>
      <c r="AP32" t="s">
        <v>418</v>
      </c>
      <c r="AU32" t="s">
        <v>1388</v>
      </c>
      <c r="AY32" t="s">
        <v>37</v>
      </c>
      <c r="AZ32">
        <v>0</v>
      </c>
      <c r="BA32">
        <v>0</v>
      </c>
      <c r="BI32" s="5">
        <v>44048.176388888889</v>
      </c>
      <c r="BJ32" s="5">
        <v>44048.176388888889</v>
      </c>
      <c r="BK32" t="s">
        <v>778</v>
      </c>
      <c r="BL32" t="s">
        <v>778</v>
      </c>
      <c r="BN32" t="s">
        <v>37</v>
      </c>
    </row>
    <row r="33" spans="1:66" x14ac:dyDescent="0.2">
      <c r="A33">
        <v>3692590</v>
      </c>
      <c r="B33">
        <v>21883</v>
      </c>
      <c r="C33">
        <v>523845</v>
      </c>
      <c r="D33">
        <v>15320</v>
      </c>
      <c r="E33">
        <v>0</v>
      </c>
      <c r="F33" t="s">
        <v>37</v>
      </c>
      <c r="G33">
        <v>1</v>
      </c>
      <c r="H33" t="s">
        <v>37</v>
      </c>
      <c r="I33" t="s">
        <v>37</v>
      </c>
      <c r="J33" t="s">
        <v>775</v>
      </c>
      <c r="K33" t="s">
        <v>230</v>
      </c>
      <c r="L33" t="s">
        <v>226</v>
      </c>
      <c r="M33" t="s">
        <v>417</v>
      </c>
      <c r="N33" t="s">
        <v>1389</v>
      </c>
      <c r="O33" t="s">
        <v>1390</v>
      </c>
      <c r="Q33">
        <v>-264</v>
      </c>
      <c r="R33">
        <v>0</v>
      </c>
      <c r="S33">
        <v>24</v>
      </c>
      <c r="T33">
        <v>0</v>
      </c>
      <c r="U33">
        <v>0</v>
      </c>
      <c r="V33">
        <v>0</v>
      </c>
      <c r="W33">
        <v>24</v>
      </c>
      <c r="X33">
        <v>0</v>
      </c>
      <c r="Y33">
        <v>0</v>
      </c>
      <c r="Z33">
        <v>0</v>
      </c>
      <c r="AD33" s="5">
        <v>44076.333333333336</v>
      </c>
      <c r="AE33" s="5">
        <v>44078.666666666664</v>
      </c>
      <c r="AG33" s="5">
        <v>44130.333333333336</v>
      </c>
      <c r="AH33" s="5">
        <v>44132.666666666664</v>
      </c>
      <c r="AI33" s="5">
        <v>44130.333333333336</v>
      </c>
      <c r="AJ33" s="5">
        <v>44132.666666666664</v>
      </c>
      <c r="AK33" s="5">
        <v>44130.333333333336</v>
      </c>
      <c r="AL33" s="5">
        <v>44132.666666666664</v>
      </c>
      <c r="AM33" s="5">
        <v>44076.333333333336</v>
      </c>
      <c r="AN33" s="5">
        <v>44078.666666666664</v>
      </c>
      <c r="AP33" t="s">
        <v>418</v>
      </c>
      <c r="AU33" t="s">
        <v>1391</v>
      </c>
      <c r="AY33" t="s">
        <v>37</v>
      </c>
      <c r="AZ33">
        <v>0</v>
      </c>
      <c r="BA33">
        <v>0</v>
      </c>
      <c r="BI33" s="5">
        <v>44048.176388888889</v>
      </c>
      <c r="BJ33" s="5">
        <v>44048.176388888889</v>
      </c>
      <c r="BK33" t="s">
        <v>778</v>
      </c>
      <c r="BL33" t="s">
        <v>778</v>
      </c>
      <c r="BN33" t="s">
        <v>37</v>
      </c>
    </row>
    <row r="34" spans="1:66" x14ac:dyDescent="0.2">
      <c r="A34">
        <v>3692591</v>
      </c>
      <c r="B34">
        <v>21883</v>
      </c>
      <c r="C34">
        <v>523844</v>
      </c>
      <c r="D34">
        <v>52895</v>
      </c>
      <c r="E34">
        <v>0</v>
      </c>
      <c r="F34" t="s">
        <v>37</v>
      </c>
      <c r="G34">
        <v>1</v>
      </c>
      <c r="H34" t="s">
        <v>37</v>
      </c>
      <c r="I34" t="s">
        <v>37</v>
      </c>
      <c r="J34" t="s">
        <v>775</v>
      </c>
      <c r="K34" t="s">
        <v>230</v>
      </c>
      <c r="L34" t="s">
        <v>226</v>
      </c>
      <c r="M34" t="s">
        <v>417</v>
      </c>
      <c r="N34" t="s">
        <v>1392</v>
      </c>
      <c r="O34" t="s">
        <v>1393</v>
      </c>
      <c r="Q34">
        <v>-432</v>
      </c>
      <c r="R34">
        <v>16</v>
      </c>
      <c r="S34">
        <v>56</v>
      </c>
      <c r="T34">
        <v>0</v>
      </c>
      <c r="U34">
        <v>0</v>
      </c>
      <c r="V34">
        <v>0</v>
      </c>
      <c r="W34">
        <v>56</v>
      </c>
      <c r="X34">
        <v>0</v>
      </c>
      <c r="Y34">
        <v>0</v>
      </c>
      <c r="Z34">
        <v>0</v>
      </c>
      <c r="AD34" s="5">
        <v>44081.333333333336</v>
      </c>
      <c r="AE34" s="5">
        <v>44087.666666666664</v>
      </c>
      <c r="AG34" s="5">
        <v>44135.333333333336</v>
      </c>
      <c r="AH34" s="5">
        <v>44141.666666666664</v>
      </c>
      <c r="AI34" s="5">
        <v>44135.333333333336</v>
      </c>
      <c r="AJ34" s="5">
        <v>44141.666666666664</v>
      </c>
      <c r="AK34" s="5">
        <v>44135.333333333336</v>
      </c>
      <c r="AL34" s="5">
        <v>44141.666666666664</v>
      </c>
      <c r="AM34" s="5">
        <v>44081.333333333336</v>
      </c>
      <c r="AN34" s="5">
        <v>44087.666666666664</v>
      </c>
      <c r="AP34" t="s">
        <v>418</v>
      </c>
      <c r="AU34" t="s">
        <v>1394</v>
      </c>
      <c r="AY34" t="s">
        <v>37</v>
      </c>
      <c r="AZ34">
        <v>0</v>
      </c>
      <c r="BA34">
        <v>0</v>
      </c>
      <c r="BI34" s="5">
        <v>44048.176388888889</v>
      </c>
      <c r="BJ34" s="5">
        <v>44048.176388888889</v>
      </c>
      <c r="BK34" t="s">
        <v>778</v>
      </c>
      <c r="BL34" t="s">
        <v>778</v>
      </c>
      <c r="BN34" t="s">
        <v>37</v>
      </c>
    </row>
    <row r="35" spans="1:66" x14ac:dyDescent="0.2">
      <c r="A35">
        <v>3692592</v>
      </c>
      <c r="B35">
        <v>21883</v>
      </c>
      <c r="C35">
        <v>523844</v>
      </c>
      <c r="D35">
        <v>15320</v>
      </c>
      <c r="E35">
        <v>0</v>
      </c>
      <c r="F35" t="s">
        <v>37</v>
      </c>
      <c r="G35">
        <v>1</v>
      </c>
      <c r="H35" t="s">
        <v>37</v>
      </c>
      <c r="I35" t="s">
        <v>37</v>
      </c>
      <c r="J35" t="s">
        <v>775</v>
      </c>
      <c r="K35" t="s">
        <v>230</v>
      </c>
      <c r="L35" t="s">
        <v>226</v>
      </c>
      <c r="M35" t="s">
        <v>417</v>
      </c>
      <c r="N35" t="s">
        <v>1395</v>
      </c>
      <c r="O35" t="s">
        <v>1396</v>
      </c>
      <c r="Q35">
        <v>-280</v>
      </c>
      <c r="R35">
        <v>0</v>
      </c>
      <c r="S35">
        <v>24</v>
      </c>
      <c r="T35">
        <v>0</v>
      </c>
      <c r="U35">
        <v>0</v>
      </c>
      <c r="V35">
        <v>0</v>
      </c>
      <c r="W35">
        <v>24</v>
      </c>
      <c r="X35">
        <v>0</v>
      </c>
      <c r="Y35">
        <v>0</v>
      </c>
      <c r="Z35">
        <v>0</v>
      </c>
      <c r="AD35" s="5">
        <v>44076.333333333336</v>
      </c>
      <c r="AE35" s="5">
        <v>44078.666666666664</v>
      </c>
      <c r="AG35" s="5">
        <v>44132.333333333336</v>
      </c>
      <c r="AH35" s="5">
        <v>44134.666666666664</v>
      </c>
      <c r="AI35" s="5">
        <v>44132.333333333336</v>
      </c>
      <c r="AJ35" s="5">
        <v>44134.666666666664</v>
      </c>
      <c r="AK35" s="5">
        <v>44132.333333333336</v>
      </c>
      <c r="AL35" s="5">
        <v>44134.666666666664</v>
      </c>
      <c r="AM35" s="5">
        <v>44076.333333333336</v>
      </c>
      <c r="AN35" s="5">
        <v>44078.666666666664</v>
      </c>
      <c r="AP35" t="s">
        <v>418</v>
      </c>
      <c r="AU35" t="s">
        <v>1397</v>
      </c>
      <c r="AY35" t="s">
        <v>37</v>
      </c>
      <c r="AZ35">
        <v>0</v>
      </c>
      <c r="BA35">
        <v>0</v>
      </c>
      <c r="BI35" s="5">
        <v>44048.176388888889</v>
      </c>
      <c r="BJ35" s="5">
        <v>44048.176388888889</v>
      </c>
      <c r="BK35" t="s">
        <v>778</v>
      </c>
      <c r="BL35" t="s">
        <v>778</v>
      </c>
      <c r="BN35" t="s">
        <v>37</v>
      </c>
    </row>
    <row r="36" spans="1:66" x14ac:dyDescent="0.2">
      <c r="A36">
        <v>3692593</v>
      </c>
      <c r="B36">
        <v>21883</v>
      </c>
      <c r="C36">
        <v>523843</v>
      </c>
      <c r="D36">
        <v>52895</v>
      </c>
      <c r="E36">
        <v>0</v>
      </c>
      <c r="F36" t="s">
        <v>37</v>
      </c>
      <c r="G36">
        <v>1</v>
      </c>
      <c r="H36" t="s">
        <v>37</v>
      </c>
      <c r="I36" t="s">
        <v>37</v>
      </c>
      <c r="J36" t="s">
        <v>775</v>
      </c>
      <c r="K36" t="s">
        <v>230</v>
      </c>
      <c r="L36" t="s">
        <v>226</v>
      </c>
      <c r="M36" t="s">
        <v>417</v>
      </c>
      <c r="N36" t="s">
        <v>1398</v>
      </c>
      <c r="O36" t="s">
        <v>1399</v>
      </c>
      <c r="Q36">
        <v>-464</v>
      </c>
      <c r="R36">
        <v>8</v>
      </c>
      <c r="S36">
        <v>56</v>
      </c>
      <c r="T36">
        <v>0</v>
      </c>
      <c r="U36">
        <v>0</v>
      </c>
      <c r="V36">
        <v>0</v>
      </c>
      <c r="W36">
        <v>56</v>
      </c>
      <c r="X36">
        <v>0</v>
      </c>
      <c r="Y36">
        <v>0</v>
      </c>
      <c r="Z36">
        <v>0</v>
      </c>
      <c r="AD36" s="5">
        <v>44081.333333333336</v>
      </c>
      <c r="AE36" s="5">
        <v>44087.666666666664</v>
      </c>
      <c r="AG36" s="5">
        <v>44139.333333333336</v>
      </c>
      <c r="AH36" s="5">
        <v>44145.666666666664</v>
      </c>
      <c r="AI36" s="5">
        <v>44139.333333333336</v>
      </c>
      <c r="AJ36" s="5">
        <v>44145.666666666664</v>
      </c>
      <c r="AK36" s="5">
        <v>44139.333333333336</v>
      </c>
      <c r="AL36" s="5">
        <v>44145.666666666664</v>
      </c>
      <c r="AM36" s="5">
        <v>44081.333333333336</v>
      </c>
      <c r="AN36" s="5">
        <v>44087.666666666664</v>
      </c>
      <c r="AP36" t="s">
        <v>418</v>
      </c>
      <c r="AU36" t="s">
        <v>1400</v>
      </c>
      <c r="AY36" t="s">
        <v>37</v>
      </c>
      <c r="AZ36">
        <v>0</v>
      </c>
      <c r="BA36">
        <v>0</v>
      </c>
      <c r="BI36" s="5">
        <v>44048.176388888889</v>
      </c>
      <c r="BJ36" s="5">
        <v>44048.176388888889</v>
      </c>
      <c r="BK36" t="s">
        <v>778</v>
      </c>
      <c r="BL36" t="s">
        <v>778</v>
      </c>
      <c r="BN36" t="s">
        <v>37</v>
      </c>
    </row>
    <row r="37" spans="1:66" x14ac:dyDescent="0.2">
      <c r="A37">
        <v>3692594</v>
      </c>
      <c r="B37">
        <v>21883</v>
      </c>
      <c r="C37">
        <v>523843</v>
      </c>
      <c r="D37">
        <v>15320</v>
      </c>
      <c r="E37">
        <v>0</v>
      </c>
      <c r="F37" t="s">
        <v>37</v>
      </c>
      <c r="G37">
        <v>1</v>
      </c>
      <c r="H37" t="s">
        <v>37</v>
      </c>
      <c r="I37" t="s">
        <v>37</v>
      </c>
      <c r="J37" t="s">
        <v>775</v>
      </c>
      <c r="K37" t="s">
        <v>230</v>
      </c>
      <c r="L37" t="s">
        <v>226</v>
      </c>
      <c r="M37" t="s">
        <v>417</v>
      </c>
      <c r="N37" t="s">
        <v>1401</v>
      </c>
      <c r="O37" t="s">
        <v>1402</v>
      </c>
      <c r="Q37">
        <v>-296</v>
      </c>
      <c r="R37">
        <v>0</v>
      </c>
      <c r="S37">
        <v>24</v>
      </c>
      <c r="T37">
        <v>0</v>
      </c>
      <c r="U37">
        <v>0</v>
      </c>
      <c r="V37">
        <v>0</v>
      </c>
      <c r="W37">
        <v>24</v>
      </c>
      <c r="X37">
        <v>0</v>
      </c>
      <c r="Y37">
        <v>0</v>
      </c>
      <c r="Z37">
        <v>0</v>
      </c>
      <c r="AD37" s="5">
        <v>44076.333333333336</v>
      </c>
      <c r="AE37" s="5">
        <v>44078.666666666664</v>
      </c>
      <c r="AG37" s="5">
        <v>44134.333333333336</v>
      </c>
      <c r="AH37" s="5">
        <v>44138.666666666664</v>
      </c>
      <c r="AI37" s="5">
        <v>44134.333333333336</v>
      </c>
      <c r="AJ37" s="5">
        <v>44138.666666666664</v>
      </c>
      <c r="AK37" s="5">
        <v>44134.333333333336</v>
      </c>
      <c r="AL37" s="5">
        <v>44138.666666666664</v>
      </c>
      <c r="AM37" s="5">
        <v>44076.333333333336</v>
      </c>
      <c r="AN37" s="5">
        <v>44078.666666666664</v>
      </c>
      <c r="AP37" t="s">
        <v>418</v>
      </c>
      <c r="AU37" t="s">
        <v>1403</v>
      </c>
      <c r="AY37" t="s">
        <v>37</v>
      </c>
      <c r="AZ37">
        <v>0</v>
      </c>
      <c r="BA37">
        <v>0</v>
      </c>
      <c r="BI37" s="5">
        <v>44048.176388888889</v>
      </c>
      <c r="BJ37" s="5">
        <v>44048.176388888889</v>
      </c>
      <c r="BK37" t="s">
        <v>778</v>
      </c>
      <c r="BL37" t="s">
        <v>778</v>
      </c>
      <c r="BN37" t="s">
        <v>37</v>
      </c>
    </row>
    <row r="38" spans="1:66" x14ac:dyDescent="0.2">
      <c r="A38">
        <v>3692595</v>
      </c>
      <c r="B38">
        <v>21883</v>
      </c>
      <c r="C38">
        <v>523842</v>
      </c>
      <c r="D38">
        <v>52895</v>
      </c>
      <c r="E38">
        <v>0</v>
      </c>
      <c r="F38" t="s">
        <v>37</v>
      </c>
      <c r="G38">
        <v>1</v>
      </c>
      <c r="H38" t="s">
        <v>37</v>
      </c>
      <c r="I38" t="s">
        <v>37</v>
      </c>
      <c r="J38" t="s">
        <v>775</v>
      </c>
      <c r="K38" t="s">
        <v>230</v>
      </c>
      <c r="L38" t="s">
        <v>226</v>
      </c>
      <c r="M38" t="s">
        <v>417</v>
      </c>
      <c r="N38" t="s">
        <v>1404</v>
      </c>
      <c r="O38" t="s">
        <v>1405</v>
      </c>
      <c r="Q38">
        <v>-480</v>
      </c>
      <c r="R38">
        <v>0</v>
      </c>
      <c r="S38">
        <v>56</v>
      </c>
      <c r="T38">
        <v>0</v>
      </c>
      <c r="U38">
        <v>0</v>
      </c>
      <c r="V38">
        <v>0</v>
      </c>
      <c r="W38">
        <v>56</v>
      </c>
      <c r="X38">
        <v>0</v>
      </c>
      <c r="Y38">
        <v>0</v>
      </c>
      <c r="Z38">
        <v>0</v>
      </c>
      <c r="AD38" s="5">
        <v>44081.333333333336</v>
      </c>
      <c r="AE38" s="5">
        <v>44087.666666666664</v>
      </c>
      <c r="AG38" s="5">
        <v>44141.333333333336</v>
      </c>
      <c r="AH38" s="5">
        <v>44147.666666666664</v>
      </c>
      <c r="AI38" s="5">
        <v>44141.333333333336</v>
      </c>
      <c r="AJ38" s="5">
        <v>44147.666666666664</v>
      </c>
      <c r="AK38" s="5">
        <v>44141.333333333336</v>
      </c>
      <c r="AL38" s="5">
        <v>44147.666666666664</v>
      </c>
      <c r="AM38" s="5">
        <v>44081.333333333336</v>
      </c>
      <c r="AN38" s="5">
        <v>44087.666666666664</v>
      </c>
      <c r="AP38" t="s">
        <v>418</v>
      </c>
      <c r="AU38" t="s">
        <v>1406</v>
      </c>
      <c r="AY38" t="s">
        <v>37</v>
      </c>
      <c r="AZ38">
        <v>0</v>
      </c>
      <c r="BA38">
        <v>0</v>
      </c>
      <c r="BI38" s="5">
        <v>44048.176388888889</v>
      </c>
      <c r="BJ38" s="5">
        <v>44048.176388888889</v>
      </c>
      <c r="BK38" t="s">
        <v>778</v>
      </c>
      <c r="BL38" t="s">
        <v>778</v>
      </c>
      <c r="BN38" t="s">
        <v>37</v>
      </c>
    </row>
    <row r="39" spans="1:66" x14ac:dyDescent="0.2">
      <c r="A39">
        <v>3692596</v>
      </c>
      <c r="B39">
        <v>21883</v>
      </c>
      <c r="C39">
        <v>523842</v>
      </c>
      <c r="D39">
        <v>15320</v>
      </c>
      <c r="E39">
        <v>0</v>
      </c>
      <c r="F39" t="s">
        <v>37</v>
      </c>
      <c r="G39">
        <v>1</v>
      </c>
      <c r="H39" t="s">
        <v>37</v>
      </c>
      <c r="I39" t="s">
        <v>37</v>
      </c>
      <c r="J39" t="s">
        <v>775</v>
      </c>
      <c r="K39" t="s">
        <v>230</v>
      </c>
      <c r="L39" t="s">
        <v>226</v>
      </c>
      <c r="M39" t="s">
        <v>417</v>
      </c>
      <c r="N39" t="s">
        <v>1407</v>
      </c>
      <c r="O39" t="s">
        <v>1408</v>
      </c>
      <c r="Q39">
        <v>-312</v>
      </c>
      <c r="R39">
        <v>0</v>
      </c>
      <c r="S39">
        <v>24</v>
      </c>
      <c r="T39">
        <v>0</v>
      </c>
      <c r="U39">
        <v>0</v>
      </c>
      <c r="V39">
        <v>0</v>
      </c>
      <c r="W39">
        <v>24</v>
      </c>
      <c r="X39">
        <v>0</v>
      </c>
      <c r="Y39">
        <v>0</v>
      </c>
      <c r="Z39">
        <v>0</v>
      </c>
      <c r="AD39" s="5">
        <v>44076.333333333336</v>
      </c>
      <c r="AE39" s="5">
        <v>44078.666666666664</v>
      </c>
      <c r="AG39" s="5">
        <v>44138.333333333336</v>
      </c>
      <c r="AH39" s="5">
        <v>44140.666666666664</v>
      </c>
      <c r="AI39" s="5">
        <v>44138.333333333336</v>
      </c>
      <c r="AJ39" s="5">
        <v>44140.666666666664</v>
      </c>
      <c r="AK39" s="5">
        <v>44138.333333333336</v>
      </c>
      <c r="AL39" s="5">
        <v>44140.666666666664</v>
      </c>
      <c r="AM39" s="5">
        <v>44076.333333333336</v>
      </c>
      <c r="AN39" s="5">
        <v>44078.666666666664</v>
      </c>
      <c r="AP39" t="s">
        <v>418</v>
      </c>
      <c r="AU39" t="s">
        <v>1409</v>
      </c>
      <c r="AY39" t="s">
        <v>37</v>
      </c>
      <c r="AZ39">
        <v>0</v>
      </c>
      <c r="BA39">
        <v>0</v>
      </c>
      <c r="BI39" s="5">
        <v>44048.176388888889</v>
      </c>
      <c r="BJ39" s="5">
        <v>44048.176388888889</v>
      </c>
      <c r="BK39" t="s">
        <v>778</v>
      </c>
      <c r="BL39" t="s">
        <v>778</v>
      </c>
      <c r="BN39" t="s">
        <v>37</v>
      </c>
    </row>
    <row r="40" spans="1:66" x14ac:dyDescent="0.2">
      <c r="A40">
        <v>3692597</v>
      </c>
      <c r="B40">
        <v>21883</v>
      </c>
      <c r="C40">
        <v>523850</v>
      </c>
      <c r="D40">
        <v>15320</v>
      </c>
      <c r="E40">
        <v>100</v>
      </c>
      <c r="F40" t="s">
        <v>37</v>
      </c>
      <c r="G40">
        <v>1</v>
      </c>
      <c r="H40" t="s">
        <v>37</v>
      </c>
      <c r="I40" t="s">
        <v>37</v>
      </c>
      <c r="J40" t="s">
        <v>775</v>
      </c>
      <c r="K40" t="s">
        <v>230</v>
      </c>
      <c r="L40" t="s">
        <v>226</v>
      </c>
      <c r="M40" t="s">
        <v>422</v>
      </c>
      <c r="N40" t="s">
        <v>1410</v>
      </c>
      <c r="O40" t="s">
        <v>1411</v>
      </c>
      <c r="S40">
        <v>0</v>
      </c>
      <c r="T40">
        <v>0</v>
      </c>
      <c r="U40">
        <v>0</v>
      </c>
      <c r="V40">
        <v>0</v>
      </c>
      <c r="W40">
        <v>16</v>
      </c>
      <c r="X40">
        <v>0</v>
      </c>
      <c r="Y40">
        <v>0</v>
      </c>
      <c r="Z40">
        <v>0</v>
      </c>
      <c r="AB40" s="5">
        <v>43951</v>
      </c>
      <c r="AC40" s="5">
        <v>43958</v>
      </c>
      <c r="AD40" s="5">
        <v>43970.333333333336</v>
      </c>
      <c r="AE40" s="5">
        <v>43970.333333333336</v>
      </c>
      <c r="AG40" s="5">
        <v>44044</v>
      </c>
      <c r="AH40" s="5">
        <v>44044</v>
      </c>
      <c r="AK40" s="5">
        <v>43962.333333333336</v>
      </c>
      <c r="AL40" s="5">
        <v>43963.666666666664</v>
      </c>
      <c r="AP40" t="s">
        <v>418</v>
      </c>
      <c r="AU40" t="s">
        <v>1412</v>
      </c>
      <c r="AY40" t="s">
        <v>40</v>
      </c>
      <c r="AZ40">
        <v>0</v>
      </c>
      <c r="BA40">
        <v>0</v>
      </c>
      <c r="BI40" s="5">
        <v>44048.176388888889</v>
      </c>
      <c r="BJ40" s="5">
        <v>44048.176388888889</v>
      </c>
      <c r="BK40" t="s">
        <v>778</v>
      </c>
      <c r="BL40" t="s">
        <v>778</v>
      </c>
      <c r="BN40" t="s">
        <v>37</v>
      </c>
    </row>
    <row r="41" spans="1:66" x14ac:dyDescent="0.2">
      <c r="A41">
        <v>3692598</v>
      </c>
      <c r="B41">
        <v>21883</v>
      </c>
      <c r="C41">
        <v>523851</v>
      </c>
      <c r="D41">
        <v>15320</v>
      </c>
      <c r="E41">
        <v>100</v>
      </c>
      <c r="F41" t="s">
        <v>37</v>
      </c>
      <c r="G41">
        <v>1</v>
      </c>
      <c r="H41" t="s">
        <v>37</v>
      </c>
      <c r="I41" t="s">
        <v>37</v>
      </c>
      <c r="J41" t="s">
        <v>775</v>
      </c>
      <c r="K41" t="s">
        <v>230</v>
      </c>
      <c r="L41" t="s">
        <v>226</v>
      </c>
      <c r="M41" t="s">
        <v>422</v>
      </c>
      <c r="N41" t="s">
        <v>1413</v>
      </c>
      <c r="O41" t="s">
        <v>1414</v>
      </c>
      <c r="S41">
        <v>0</v>
      </c>
      <c r="T41">
        <v>0</v>
      </c>
      <c r="U41">
        <v>0</v>
      </c>
      <c r="V41">
        <v>0</v>
      </c>
      <c r="W41">
        <v>16</v>
      </c>
      <c r="X41">
        <v>0</v>
      </c>
      <c r="Y41">
        <v>0</v>
      </c>
      <c r="Z41">
        <v>0</v>
      </c>
      <c r="AB41" s="5">
        <v>43950</v>
      </c>
      <c r="AC41" s="5">
        <v>43958</v>
      </c>
      <c r="AD41" s="5">
        <v>43970.333333333336</v>
      </c>
      <c r="AE41" s="5">
        <v>43970.333333333336</v>
      </c>
      <c r="AG41" s="5">
        <v>44044</v>
      </c>
      <c r="AH41" s="5">
        <v>44044</v>
      </c>
      <c r="AK41" s="5">
        <v>43957.333333333336</v>
      </c>
      <c r="AL41" s="5">
        <v>43958.666666666664</v>
      </c>
      <c r="AP41" t="s">
        <v>418</v>
      </c>
      <c r="AU41" t="s">
        <v>1415</v>
      </c>
      <c r="AY41" t="s">
        <v>40</v>
      </c>
      <c r="AZ41">
        <v>0</v>
      </c>
      <c r="BA41">
        <v>0</v>
      </c>
      <c r="BI41" s="5">
        <v>44048.176388888889</v>
      </c>
      <c r="BJ41" s="5">
        <v>44048.176388888889</v>
      </c>
      <c r="BK41" t="s">
        <v>778</v>
      </c>
      <c r="BL41" t="s">
        <v>778</v>
      </c>
      <c r="BN41" t="s">
        <v>37</v>
      </c>
    </row>
    <row r="42" spans="1:66" x14ac:dyDescent="0.2">
      <c r="A42">
        <v>3692599</v>
      </c>
      <c r="B42">
        <v>21883</v>
      </c>
      <c r="C42">
        <v>523852</v>
      </c>
      <c r="D42">
        <v>15320</v>
      </c>
      <c r="E42">
        <v>100</v>
      </c>
      <c r="F42" t="s">
        <v>37</v>
      </c>
      <c r="G42">
        <v>1</v>
      </c>
      <c r="H42" t="s">
        <v>37</v>
      </c>
      <c r="I42" t="s">
        <v>37</v>
      </c>
      <c r="J42" t="s">
        <v>775</v>
      </c>
      <c r="K42" t="s">
        <v>230</v>
      </c>
      <c r="L42" t="s">
        <v>226</v>
      </c>
      <c r="M42" t="s">
        <v>422</v>
      </c>
      <c r="N42" t="s">
        <v>1416</v>
      </c>
      <c r="O42" t="s">
        <v>1417</v>
      </c>
      <c r="S42">
        <v>0</v>
      </c>
      <c r="T42">
        <v>0</v>
      </c>
      <c r="U42">
        <v>0</v>
      </c>
      <c r="V42">
        <v>0</v>
      </c>
      <c r="W42">
        <v>16</v>
      </c>
      <c r="X42">
        <v>0</v>
      </c>
      <c r="Y42">
        <v>0</v>
      </c>
      <c r="Z42">
        <v>0</v>
      </c>
      <c r="AB42" s="5">
        <v>43899</v>
      </c>
      <c r="AC42" s="5">
        <v>43900</v>
      </c>
      <c r="AD42" s="5">
        <v>43970.333333333336</v>
      </c>
      <c r="AE42" s="5">
        <v>43970.333333333336</v>
      </c>
      <c r="AG42" s="5">
        <v>44044</v>
      </c>
      <c r="AH42" s="5">
        <v>44044</v>
      </c>
      <c r="AK42" s="5">
        <v>43922.333333333336</v>
      </c>
      <c r="AL42" s="5">
        <v>43923.666666666664</v>
      </c>
      <c r="AP42" t="s">
        <v>418</v>
      </c>
      <c r="AU42" t="s">
        <v>1418</v>
      </c>
      <c r="AY42" t="s">
        <v>40</v>
      </c>
      <c r="AZ42">
        <v>0</v>
      </c>
      <c r="BA42">
        <v>0</v>
      </c>
      <c r="BI42" s="5">
        <v>44048.176388888889</v>
      </c>
      <c r="BJ42" s="5">
        <v>44048.176388888889</v>
      </c>
      <c r="BK42" t="s">
        <v>778</v>
      </c>
      <c r="BL42" t="s">
        <v>778</v>
      </c>
      <c r="BN42" t="s">
        <v>37</v>
      </c>
    </row>
    <row r="43" spans="1:66" x14ac:dyDescent="0.2">
      <c r="A43">
        <v>3692600</v>
      </c>
      <c r="B43">
        <v>21883</v>
      </c>
      <c r="C43">
        <v>523910</v>
      </c>
      <c r="D43">
        <v>15320</v>
      </c>
      <c r="E43">
        <v>100</v>
      </c>
      <c r="F43" t="s">
        <v>37</v>
      </c>
      <c r="G43">
        <v>1</v>
      </c>
      <c r="H43" t="s">
        <v>37</v>
      </c>
      <c r="I43" t="s">
        <v>37</v>
      </c>
      <c r="J43" t="s">
        <v>775</v>
      </c>
      <c r="K43" t="s">
        <v>230</v>
      </c>
      <c r="L43" t="s">
        <v>226</v>
      </c>
      <c r="M43" t="s">
        <v>422</v>
      </c>
      <c r="N43" t="s">
        <v>1419</v>
      </c>
      <c r="O43" t="s">
        <v>1420</v>
      </c>
      <c r="S43">
        <v>0</v>
      </c>
      <c r="T43">
        <v>0</v>
      </c>
      <c r="U43">
        <v>0</v>
      </c>
      <c r="V43">
        <v>0</v>
      </c>
      <c r="W43">
        <v>8</v>
      </c>
      <c r="X43">
        <v>0</v>
      </c>
      <c r="Y43">
        <v>0</v>
      </c>
      <c r="Z43">
        <v>0</v>
      </c>
      <c r="AB43" s="5">
        <v>43965</v>
      </c>
      <c r="AC43" s="5">
        <v>43965</v>
      </c>
      <c r="AD43" s="5">
        <v>43970.333333333336</v>
      </c>
      <c r="AE43" s="5">
        <v>43970.333333333336</v>
      </c>
      <c r="AG43" s="5">
        <v>44044</v>
      </c>
      <c r="AH43" s="5">
        <v>44044</v>
      </c>
      <c r="AK43" s="5">
        <v>43969.333333333336</v>
      </c>
      <c r="AL43" s="5">
        <v>43969.666666666664</v>
      </c>
      <c r="AP43" t="s">
        <v>418</v>
      </c>
      <c r="AU43" t="s">
        <v>1421</v>
      </c>
      <c r="AY43" t="s">
        <v>40</v>
      </c>
      <c r="AZ43">
        <v>0</v>
      </c>
      <c r="BA43">
        <v>0</v>
      </c>
      <c r="BI43" s="5">
        <v>44048.176388888889</v>
      </c>
      <c r="BJ43" s="5">
        <v>44048.176388888889</v>
      </c>
      <c r="BK43" t="s">
        <v>778</v>
      </c>
      <c r="BL43" t="s">
        <v>778</v>
      </c>
      <c r="BN43" t="s">
        <v>37</v>
      </c>
    </row>
    <row r="44" spans="1:66" x14ac:dyDescent="0.2">
      <c r="A44">
        <v>3692601</v>
      </c>
      <c r="B44">
        <v>21883</v>
      </c>
      <c r="C44">
        <v>523910</v>
      </c>
      <c r="D44">
        <v>15320</v>
      </c>
      <c r="E44">
        <v>100</v>
      </c>
      <c r="F44" t="s">
        <v>37</v>
      </c>
      <c r="G44">
        <v>1</v>
      </c>
      <c r="H44" t="s">
        <v>37</v>
      </c>
      <c r="I44" t="s">
        <v>37</v>
      </c>
      <c r="J44" t="s">
        <v>775</v>
      </c>
      <c r="K44" t="s">
        <v>230</v>
      </c>
      <c r="L44" t="s">
        <v>226</v>
      </c>
      <c r="M44" t="s">
        <v>422</v>
      </c>
      <c r="N44" t="s">
        <v>1422</v>
      </c>
      <c r="O44" t="s">
        <v>1423</v>
      </c>
      <c r="S44">
        <v>0</v>
      </c>
      <c r="T44">
        <v>0</v>
      </c>
      <c r="U44">
        <v>0</v>
      </c>
      <c r="V44">
        <v>0</v>
      </c>
      <c r="W44">
        <v>8</v>
      </c>
      <c r="X44">
        <v>0</v>
      </c>
      <c r="Y44">
        <v>0</v>
      </c>
      <c r="Z44">
        <v>0</v>
      </c>
      <c r="AB44" s="5">
        <v>43922.333333333336</v>
      </c>
      <c r="AC44" s="5">
        <v>43928</v>
      </c>
      <c r="AD44" s="5">
        <v>43970.333333333336</v>
      </c>
      <c r="AE44" s="5">
        <v>43970.333333333336</v>
      </c>
      <c r="AG44" s="5">
        <v>44044</v>
      </c>
      <c r="AH44" s="5">
        <v>44044</v>
      </c>
      <c r="AK44" s="5">
        <v>43922.333333333336</v>
      </c>
      <c r="AL44" s="5">
        <v>43922.666666666664</v>
      </c>
      <c r="AP44" t="s">
        <v>418</v>
      </c>
      <c r="AU44" t="s">
        <v>1424</v>
      </c>
      <c r="AY44" t="s">
        <v>40</v>
      </c>
      <c r="AZ44">
        <v>0</v>
      </c>
      <c r="BA44">
        <v>0</v>
      </c>
      <c r="BI44" s="5">
        <v>44048.176388888889</v>
      </c>
      <c r="BJ44" s="5">
        <v>44048.176388888889</v>
      </c>
      <c r="BK44" t="s">
        <v>778</v>
      </c>
      <c r="BL44" t="s">
        <v>778</v>
      </c>
      <c r="BN44" t="s">
        <v>37</v>
      </c>
    </row>
    <row r="45" spans="1:66" x14ac:dyDescent="0.2">
      <c r="A45">
        <v>3692602</v>
      </c>
      <c r="B45">
        <v>21883</v>
      </c>
      <c r="C45">
        <v>523910</v>
      </c>
      <c r="D45">
        <v>15320</v>
      </c>
      <c r="E45">
        <v>100</v>
      </c>
      <c r="F45" t="s">
        <v>37</v>
      </c>
      <c r="G45">
        <v>1</v>
      </c>
      <c r="H45" t="s">
        <v>37</v>
      </c>
      <c r="I45" t="s">
        <v>37</v>
      </c>
      <c r="J45" t="s">
        <v>775</v>
      </c>
      <c r="K45" t="s">
        <v>230</v>
      </c>
      <c r="L45" t="s">
        <v>226</v>
      </c>
      <c r="M45" t="s">
        <v>422</v>
      </c>
      <c r="N45" t="s">
        <v>1425</v>
      </c>
      <c r="O45" t="s">
        <v>1426</v>
      </c>
      <c r="S45">
        <v>0</v>
      </c>
      <c r="T45">
        <v>0</v>
      </c>
      <c r="U45">
        <v>0</v>
      </c>
      <c r="V45">
        <v>0</v>
      </c>
      <c r="W45">
        <v>40</v>
      </c>
      <c r="X45">
        <v>0</v>
      </c>
      <c r="Y45">
        <v>0</v>
      </c>
      <c r="Z45">
        <v>0</v>
      </c>
      <c r="AB45" s="5">
        <v>43928</v>
      </c>
      <c r="AC45" s="5">
        <v>43956</v>
      </c>
      <c r="AD45" s="5">
        <v>43970.333333333336</v>
      </c>
      <c r="AE45" s="5">
        <v>43970.333333333336</v>
      </c>
      <c r="AG45" s="5">
        <v>44044</v>
      </c>
      <c r="AH45" s="5">
        <v>44044</v>
      </c>
      <c r="AK45" s="5">
        <v>43922.333333333336</v>
      </c>
      <c r="AL45" s="5">
        <v>43928.666666666664</v>
      </c>
      <c r="AP45" t="s">
        <v>418</v>
      </c>
      <c r="AU45" t="s">
        <v>1427</v>
      </c>
      <c r="AY45" t="s">
        <v>40</v>
      </c>
      <c r="AZ45">
        <v>0</v>
      </c>
      <c r="BA45">
        <v>0</v>
      </c>
      <c r="BI45" s="5">
        <v>44048.176388888889</v>
      </c>
      <c r="BJ45" s="5">
        <v>44048.176388888889</v>
      </c>
      <c r="BK45" t="s">
        <v>778</v>
      </c>
      <c r="BL45" t="s">
        <v>778</v>
      </c>
      <c r="BN45" t="s">
        <v>37</v>
      </c>
    </row>
    <row r="46" spans="1:66" x14ac:dyDescent="0.2">
      <c r="A46">
        <v>3692603</v>
      </c>
      <c r="B46">
        <v>21883</v>
      </c>
      <c r="C46">
        <v>523910</v>
      </c>
      <c r="D46">
        <v>15320</v>
      </c>
      <c r="E46">
        <v>100</v>
      </c>
      <c r="F46" t="s">
        <v>37</v>
      </c>
      <c r="G46">
        <v>1</v>
      </c>
      <c r="H46" t="s">
        <v>37</v>
      </c>
      <c r="I46" t="s">
        <v>37</v>
      </c>
      <c r="J46" t="s">
        <v>775</v>
      </c>
      <c r="K46" t="s">
        <v>230</v>
      </c>
      <c r="L46" t="s">
        <v>226</v>
      </c>
      <c r="M46" t="s">
        <v>422</v>
      </c>
      <c r="N46" t="s">
        <v>1428</v>
      </c>
      <c r="O46" t="s">
        <v>1429</v>
      </c>
      <c r="S46">
        <v>0</v>
      </c>
      <c r="T46">
        <v>0</v>
      </c>
      <c r="U46">
        <v>0</v>
      </c>
      <c r="V46">
        <v>0</v>
      </c>
      <c r="W46">
        <v>8</v>
      </c>
      <c r="X46">
        <v>0</v>
      </c>
      <c r="Y46">
        <v>0</v>
      </c>
      <c r="Z46">
        <v>0</v>
      </c>
      <c r="AB46" s="5">
        <v>43915</v>
      </c>
      <c r="AC46" s="5">
        <v>43920</v>
      </c>
      <c r="AD46" s="5">
        <v>43970.333333333336</v>
      </c>
      <c r="AE46" s="5">
        <v>43970.333333333336</v>
      </c>
      <c r="AG46" s="5">
        <v>44044</v>
      </c>
      <c r="AH46" s="5">
        <v>44044</v>
      </c>
      <c r="AK46" s="5">
        <v>43922.333333333336</v>
      </c>
      <c r="AL46" s="5">
        <v>43922.666666666664</v>
      </c>
      <c r="AP46" t="s">
        <v>418</v>
      </c>
      <c r="AU46" t="s">
        <v>1430</v>
      </c>
      <c r="AY46" t="s">
        <v>40</v>
      </c>
      <c r="AZ46">
        <v>0</v>
      </c>
      <c r="BA46">
        <v>0</v>
      </c>
      <c r="BI46" s="5">
        <v>44048.176388888889</v>
      </c>
      <c r="BJ46" s="5">
        <v>44048.176388888889</v>
      </c>
      <c r="BK46" t="s">
        <v>778</v>
      </c>
      <c r="BL46" t="s">
        <v>778</v>
      </c>
      <c r="BN46" t="s">
        <v>37</v>
      </c>
    </row>
    <row r="47" spans="1:66" x14ac:dyDescent="0.2">
      <c r="A47">
        <v>3692604</v>
      </c>
      <c r="B47">
        <v>21883</v>
      </c>
      <c r="C47">
        <v>523935</v>
      </c>
      <c r="D47">
        <v>52886</v>
      </c>
      <c r="E47">
        <v>100</v>
      </c>
      <c r="F47" t="s">
        <v>37</v>
      </c>
      <c r="G47">
        <v>1</v>
      </c>
      <c r="H47" t="s">
        <v>37</v>
      </c>
      <c r="I47" t="s">
        <v>37</v>
      </c>
      <c r="J47" t="s">
        <v>775</v>
      </c>
      <c r="K47" t="s">
        <v>230</v>
      </c>
      <c r="L47" t="s">
        <v>226</v>
      </c>
      <c r="M47" t="s">
        <v>422</v>
      </c>
      <c r="N47" t="s">
        <v>1431</v>
      </c>
      <c r="O47" t="s">
        <v>1432</v>
      </c>
      <c r="S47">
        <v>0</v>
      </c>
      <c r="T47">
        <v>0</v>
      </c>
      <c r="U47">
        <v>0</v>
      </c>
      <c r="V47">
        <v>0</v>
      </c>
      <c r="W47">
        <v>32</v>
      </c>
      <c r="X47">
        <v>0</v>
      </c>
      <c r="Y47">
        <v>0</v>
      </c>
      <c r="Z47">
        <v>0</v>
      </c>
      <c r="AB47" s="5">
        <v>43900</v>
      </c>
      <c r="AC47" s="5">
        <v>43907</v>
      </c>
      <c r="AD47" s="5">
        <v>44008.666666666664</v>
      </c>
      <c r="AE47" s="5">
        <v>44008.666666666664</v>
      </c>
      <c r="AG47" s="5">
        <v>44044</v>
      </c>
      <c r="AH47" s="5">
        <v>44044</v>
      </c>
      <c r="AK47" s="5">
        <v>43916.333333333336</v>
      </c>
      <c r="AL47" s="5">
        <v>43923.708333333336</v>
      </c>
      <c r="AP47" t="s">
        <v>418</v>
      </c>
      <c r="AU47" t="s">
        <v>1433</v>
      </c>
      <c r="AY47" t="s">
        <v>37</v>
      </c>
      <c r="AZ47">
        <v>0</v>
      </c>
      <c r="BA47">
        <v>0</v>
      </c>
      <c r="BI47" s="5">
        <v>44048.176388888889</v>
      </c>
      <c r="BJ47" s="5">
        <v>44048.176388888889</v>
      </c>
      <c r="BK47" t="s">
        <v>778</v>
      </c>
      <c r="BL47" t="s">
        <v>778</v>
      </c>
      <c r="BN47" t="s">
        <v>37</v>
      </c>
    </row>
    <row r="48" spans="1:66" x14ac:dyDescent="0.2">
      <c r="A48">
        <v>3692605</v>
      </c>
      <c r="B48">
        <v>21883</v>
      </c>
      <c r="C48">
        <v>523933</v>
      </c>
      <c r="D48">
        <v>52886</v>
      </c>
      <c r="E48">
        <v>100</v>
      </c>
      <c r="F48" t="s">
        <v>37</v>
      </c>
      <c r="G48">
        <v>1</v>
      </c>
      <c r="H48" t="s">
        <v>37</v>
      </c>
      <c r="I48" t="s">
        <v>37</v>
      </c>
      <c r="J48" t="s">
        <v>775</v>
      </c>
      <c r="K48" t="s">
        <v>230</v>
      </c>
      <c r="L48" t="s">
        <v>226</v>
      </c>
      <c r="M48" t="s">
        <v>422</v>
      </c>
      <c r="N48" t="s">
        <v>1434</v>
      </c>
      <c r="O48" t="s">
        <v>1435</v>
      </c>
      <c r="S48">
        <v>0</v>
      </c>
      <c r="T48">
        <v>0</v>
      </c>
      <c r="U48">
        <v>0</v>
      </c>
      <c r="V48">
        <v>0</v>
      </c>
      <c r="W48">
        <v>120</v>
      </c>
      <c r="X48">
        <v>0</v>
      </c>
      <c r="Y48">
        <v>0</v>
      </c>
      <c r="Z48">
        <v>0</v>
      </c>
      <c r="AB48" s="5">
        <v>43900</v>
      </c>
      <c r="AC48" s="5">
        <v>43965</v>
      </c>
      <c r="AD48" s="5">
        <v>43993.333333333336</v>
      </c>
      <c r="AE48" s="5">
        <v>43993.333333333336</v>
      </c>
      <c r="AG48" s="5">
        <v>44044</v>
      </c>
      <c r="AH48" s="5">
        <v>44044</v>
      </c>
      <c r="AK48" s="5">
        <v>43916.333333333336</v>
      </c>
      <c r="AL48" s="5">
        <v>43944.708333333336</v>
      </c>
      <c r="AP48" t="s">
        <v>418</v>
      </c>
      <c r="AU48" t="s">
        <v>1436</v>
      </c>
      <c r="AY48" t="s">
        <v>40</v>
      </c>
      <c r="AZ48">
        <v>0</v>
      </c>
      <c r="BA48">
        <v>0</v>
      </c>
      <c r="BI48" s="5">
        <v>44048.176388888889</v>
      </c>
      <c r="BJ48" s="5">
        <v>44048.176388888889</v>
      </c>
      <c r="BK48" t="s">
        <v>778</v>
      </c>
      <c r="BL48" t="s">
        <v>778</v>
      </c>
      <c r="BN48" t="s">
        <v>37</v>
      </c>
    </row>
    <row r="49" spans="1:66" x14ac:dyDescent="0.2">
      <c r="A49">
        <v>3692606</v>
      </c>
      <c r="B49">
        <v>21883</v>
      </c>
      <c r="C49">
        <v>524003</v>
      </c>
      <c r="D49">
        <v>15320</v>
      </c>
      <c r="E49">
        <v>100</v>
      </c>
      <c r="F49" t="s">
        <v>37</v>
      </c>
      <c r="G49">
        <v>1</v>
      </c>
      <c r="H49" t="s">
        <v>37</v>
      </c>
      <c r="I49" t="s">
        <v>37</v>
      </c>
      <c r="J49" t="s">
        <v>775</v>
      </c>
      <c r="K49" t="s">
        <v>230</v>
      </c>
      <c r="L49" t="s">
        <v>226</v>
      </c>
      <c r="M49" t="s">
        <v>422</v>
      </c>
      <c r="N49" t="s">
        <v>1437</v>
      </c>
      <c r="O49" t="s">
        <v>1438</v>
      </c>
      <c r="S49">
        <v>0</v>
      </c>
      <c r="T49">
        <v>0</v>
      </c>
      <c r="U49">
        <v>0</v>
      </c>
      <c r="V49">
        <v>0</v>
      </c>
      <c r="W49">
        <v>48</v>
      </c>
      <c r="X49">
        <v>0</v>
      </c>
      <c r="Y49">
        <v>0</v>
      </c>
      <c r="Z49">
        <v>0</v>
      </c>
      <c r="AB49" s="5">
        <v>43894</v>
      </c>
      <c r="AC49" s="5">
        <v>43894</v>
      </c>
      <c r="AD49" s="5">
        <v>43986.333333333336</v>
      </c>
      <c r="AE49" s="5">
        <v>43986.333333333336</v>
      </c>
      <c r="AG49" s="5">
        <v>44044</v>
      </c>
      <c r="AH49" s="5">
        <v>44044</v>
      </c>
      <c r="AK49" s="5">
        <v>43928.333333333336</v>
      </c>
      <c r="AL49" s="5">
        <v>43937.666666666664</v>
      </c>
      <c r="AP49" t="s">
        <v>418</v>
      </c>
      <c r="AU49" t="s">
        <v>1439</v>
      </c>
      <c r="AY49" t="s">
        <v>40</v>
      </c>
      <c r="AZ49">
        <v>0</v>
      </c>
      <c r="BA49">
        <v>0</v>
      </c>
      <c r="BI49" s="5">
        <v>44048.176388888889</v>
      </c>
      <c r="BJ49" s="5">
        <v>44048.176388888889</v>
      </c>
      <c r="BK49" t="s">
        <v>778</v>
      </c>
      <c r="BL49" t="s">
        <v>778</v>
      </c>
      <c r="BN49" t="s">
        <v>37</v>
      </c>
    </row>
    <row r="50" spans="1:66" x14ac:dyDescent="0.2">
      <c r="A50">
        <v>3692607</v>
      </c>
      <c r="B50">
        <v>21883</v>
      </c>
      <c r="C50">
        <v>523961</v>
      </c>
      <c r="D50">
        <v>15320</v>
      </c>
      <c r="E50">
        <v>0</v>
      </c>
      <c r="F50" t="s">
        <v>37</v>
      </c>
      <c r="G50">
        <v>1</v>
      </c>
      <c r="H50" t="s">
        <v>37</v>
      </c>
      <c r="I50" t="s">
        <v>37</v>
      </c>
      <c r="J50" t="s">
        <v>775</v>
      </c>
      <c r="K50" t="s">
        <v>230</v>
      </c>
      <c r="L50" t="s">
        <v>226</v>
      </c>
      <c r="M50" t="s">
        <v>417</v>
      </c>
      <c r="N50" t="s">
        <v>1440</v>
      </c>
      <c r="O50" t="s">
        <v>1441</v>
      </c>
      <c r="Q50">
        <v>216</v>
      </c>
      <c r="R50">
        <v>544</v>
      </c>
      <c r="S50">
        <v>120</v>
      </c>
      <c r="T50">
        <v>0</v>
      </c>
      <c r="U50">
        <v>0</v>
      </c>
      <c r="V50">
        <v>0</v>
      </c>
      <c r="W50">
        <v>120</v>
      </c>
      <c r="X50">
        <v>0</v>
      </c>
      <c r="Y50">
        <v>0</v>
      </c>
      <c r="Z50">
        <v>0</v>
      </c>
      <c r="AD50" s="5">
        <v>44090.333333333336</v>
      </c>
      <c r="AE50" s="5">
        <v>44116.666666666664</v>
      </c>
      <c r="AG50" s="5">
        <v>44046.333333333336</v>
      </c>
      <c r="AH50" s="5">
        <v>44070.666666666664</v>
      </c>
      <c r="AI50" s="5">
        <v>44046.333333333336</v>
      </c>
      <c r="AJ50" s="5">
        <v>44070.666666666664</v>
      </c>
      <c r="AK50" s="5">
        <v>44046.333333333336</v>
      </c>
      <c r="AL50" s="5">
        <v>44070.666666666664</v>
      </c>
      <c r="AM50" s="5">
        <v>44090.333333333336</v>
      </c>
      <c r="AN50" s="5">
        <v>44116.666666666664</v>
      </c>
      <c r="AP50" t="s">
        <v>418</v>
      </c>
      <c r="AU50" t="s">
        <v>1442</v>
      </c>
      <c r="AY50" t="s">
        <v>37</v>
      </c>
      <c r="AZ50">
        <v>0</v>
      </c>
      <c r="BA50">
        <v>0</v>
      </c>
      <c r="BI50" s="5">
        <v>44048.176388888889</v>
      </c>
      <c r="BJ50" s="5">
        <v>44048.176388888889</v>
      </c>
      <c r="BK50" t="s">
        <v>778</v>
      </c>
      <c r="BL50" t="s">
        <v>778</v>
      </c>
      <c r="BN50" t="s">
        <v>37</v>
      </c>
    </row>
    <row r="51" spans="1:66" x14ac:dyDescent="0.2">
      <c r="A51">
        <v>3692608</v>
      </c>
      <c r="B51">
        <v>21883</v>
      </c>
      <c r="C51">
        <v>523961</v>
      </c>
      <c r="D51">
        <v>52895</v>
      </c>
      <c r="E51">
        <v>100</v>
      </c>
      <c r="F51" t="s">
        <v>37</v>
      </c>
      <c r="G51">
        <v>1</v>
      </c>
      <c r="H51" t="s">
        <v>37</v>
      </c>
      <c r="I51" t="s">
        <v>37</v>
      </c>
      <c r="J51" t="s">
        <v>775</v>
      </c>
      <c r="K51" t="s">
        <v>230</v>
      </c>
      <c r="L51" t="s">
        <v>226</v>
      </c>
      <c r="M51" t="s">
        <v>422</v>
      </c>
      <c r="N51" t="s">
        <v>1443</v>
      </c>
      <c r="O51" t="s">
        <v>1444</v>
      </c>
      <c r="S51">
        <v>0</v>
      </c>
      <c r="T51">
        <v>0</v>
      </c>
      <c r="U51">
        <v>0</v>
      </c>
      <c r="V51">
        <v>0</v>
      </c>
      <c r="W51">
        <v>240</v>
      </c>
      <c r="X51">
        <v>0</v>
      </c>
      <c r="Y51">
        <v>0</v>
      </c>
      <c r="Z51">
        <v>0</v>
      </c>
      <c r="AB51" s="5">
        <v>43974</v>
      </c>
      <c r="AC51" s="5">
        <v>44000</v>
      </c>
      <c r="AD51" s="5">
        <v>44032.333333333336</v>
      </c>
      <c r="AE51" s="5">
        <v>44032.333333333336</v>
      </c>
      <c r="AG51" s="5">
        <v>44044</v>
      </c>
      <c r="AH51" s="5">
        <v>44044</v>
      </c>
      <c r="AK51" s="5">
        <v>43969.333333333336</v>
      </c>
      <c r="AL51" s="5">
        <v>43998.666666666664</v>
      </c>
      <c r="AP51" t="s">
        <v>418</v>
      </c>
      <c r="AU51" t="s">
        <v>1445</v>
      </c>
      <c r="AY51" t="s">
        <v>37</v>
      </c>
      <c r="AZ51">
        <v>0</v>
      </c>
      <c r="BA51">
        <v>0</v>
      </c>
      <c r="BI51" s="5">
        <v>44048.176388888889</v>
      </c>
      <c r="BJ51" s="5">
        <v>44048.176388888889</v>
      </c>
      <c r="BK51" t="s">
        <v>778</v>
      </c>
      <c r="BL51" t="s">
        <v>778</v>
      </c>
      <c r="BN51" t="s">
        <v>37</v>
      </c>
    </row>
    <row r="52" spans="1:66" x14ac:dyDescent="0.2">
      <c r="A52">
        <v>3692609</v>
      </c>
      <c r="B52">
        <v>21883</v>
      </c>
      <c r="C52">
        <v>524024</v>
      </c>
      <c r="D52">
        <v>52895</v>
      </c>
      <c r="E52">
        <v>100</v>
      </c>
      <c r="F52" t="s">
        <v>37</v>
      </c>
      <c r="G52">
        <v>1</v>
      </c>
      <c r="H52" t="s">
        <v>37</v>
      </c>
      <c r="I52" t="s">
        <v>37</v>
      </c>
      <c r="J52" t="s">
        <v>775</v>
      </c>
      <c r="K52" t="s">
        <v>230</v>
      </c>
      <c r="L52" t="s">
        <v>226</v>
      </c>
      <c r="M52" t="s">
        <v>422</v>
      </c>
      <c r="N52" t="s">
        <v>1446</v>
      </c>
      <c r="O52" t="s">
        <v>1447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B52" s="5">
        <v>44013</v>
      </c>
      <c r="AC52" s="5">
        <v>44013</v>
      </c>
      <c r="AD52" s="5">
        <v>44306.666666666664</v>
      </c>
      <c r="AE52" s="5">
        <v>44306.666666666664</v>
      </c>
      <c r="AG52" s="5">
        <v>44044</v>
      </c>
      <c r="AH52" s="5">
        <v>44044</v>
      </c>
      <c r="AK52" s="5">
        <v>44032.333333333336</v>
      </c>
      <c r="AL52" s="5">
        <v>44032.333333333336</v>
      </c>
      <c r="AP52" t="s">
        <v>418</v>
      </c>
      <c r="AU52" t="s">
        <v>1448</v>
      </c>
      <c r="AV52" t="s">
        <v>1449</v>
      </c>
      <c r="AY52" t="s">
        <v>37</v>
      </c>
      <c r="AZ52">
        <v>0</v>
      </c>
      <c r="BA52">
        <v>0</v>
      </c>
      <c r="BI52" s="5">
        <v>44048.176388888889</v>
      </c>
      <c r="BJ52" s="5">
        <v>44048.176388888889</v>
      </c>
      <c r="BK52" t="s">
        <v>778</v>
      </c>
      <c r="BL52" t="s">
        <v>778</v>
      </c>
      <c r="BN52" t="s">
        <v>37</v>
      </c>
    </row>
    <row r="53" spans="1:66" x14ac:dyDescent="0.2">
      <c r="A53">
        <v>3692610</v>
      </c>
      <c r="B53">
        <v>21883</v>
      </c>
      <c r="C53">
        <v>524024</v>
      </c>
      <c r="D53">
        <v>52897</v>
      </c>
      <c r="E53">
        <v>0</v>
      </c>
      <c r="F53" t="s">
        <v>37</v>
      </c>
      <c r="G53">
        <v>1</v>
      </c>
      <c r="H53" t="s">
        <v>37</v>
      </c>
      <c r="I53" t="s">
        <v>37</v>
      </c>
      <c r="J53" t="s">
        <v>775</v>
      </c>
      <c r="K53" t="s">
        <v>230</v>
      </c>
      <c r="L53" t="s">
        <v>226</v>
      </c>
      <c r="M53" t="s">
        <v>421</v>
      </c>
      <c r="N53" t="s">
        <v>1450</v>
      </c>
      <c r="O53" t="s">
        <v>1451</v>
      </c>
      <c r="Q53">
        <v>-56</v>
      </c>
      <c r="R53">
        <v>0</v>
      </c>
      <c r="S53">
        <v>16</v>
      </c>
      <c r="T53">
        <v>0</v>
      </c>
      <c r="U53">
        <v>0</v>
      </c>
      <c r="V53">
        <v>0</v>
      </c>
      <c r="W53">
        <v>24</v>
      </c>
      <c r="X53">
        <v>0</v>
      </c>
      <c r="Y53">
        <v>0</v>
      </c>
      <c r="Z53">
        <v>0</v>
      </c>
      <c r="AB53" s="5">
        <v>44035</v>
      </c>
      <c r="AD53" s="5">
        <v>44032.333333333336</v>
      </c>
      <c r="AE53" s="5">
        <v>44033.666666666664</v>
      </c>
      <c r="AG53" s="5">
        <v>44046.333333333336</v>
      </c>
      <c r="AH53" s="5">
        <v>44048.666666666664</v>
      </c>
      <c r="AI53" s="5">
        <v>44046.333333333336</v>
      </c>
      <c r="AJ53" s="5">
        <v>44048.666666666664</v>
      </c>
      <c r="AK53" s="5">
        <v>44042.333333333336</v>
      </c>
      <c r="AL53" s="5">
        <v>44046.666666666664</v>
      </c>
      <c r="AM53" s="5">
        <v>44032.333333333336</v>
      </c>
      <c r="AN53" s="5">
        <v>44033.666666666664</v>
      </c>
      <c r="AP53" t="s">
        <v>418</v>
      </c>
      <c r="AU53" t="s">
        <v>1452</v>
      </c>
      <c r="AV53" t="s">
        <v>1453</v>
      </c>
      <c r="AY53" t="s">
        <v>37</v>
      </c>
      <c r="AZ53">
        <v>0</v>
      </c>
      <c r="BA53">
        <v>0</v>
      </c>
      <c r="BI53" s="5">
        <v>44048.176388888889</v>
      </c>
      <c r="BJ53" s="5">
        <v>44048.176388888889</v>
      </c>
      <c r="BK53" t="s">
        <v>778</v>
      </c>
      <c r="BL53" t="s">
        <v>778</v>
      </c>
      <c r="BN53" t="s">
        <v>37</v>
      </c>
    </row>
    <row r="54" spans="1:66" x14ac:dyDescent="0.2">
      <c r="A54">
        <v>3692611</v>
      </c>
      <c r="B54">
        <v>21883</v>
      </c>
      <c r="C54">
        <v>524024</v>
      </c>
      <c r="D54">
        <v>52896</v>
      </c>
      <c r="E54">
        <v>100</v>
      </c>
      <c r="F54" t="s">
        <v>37</v>
      </c>
      <c r="G54">
        <v>1</v>
      </c>
      <c r="H54" t="s">
        <v>37</v>
      </c>
      <c r="I54" t="s">
        <v>37</v>
      </c>
      <c r="J54" t="s">
        <v>775</v>
      </c>
      <c r="K54" t="s">
        <v>230</v>
      </c>
      <c r="L54" t="s">
        <v>226</v>
      </c>
      <c r="M54" t="s">
        <v>422</v>
      </c>
      <c r="N54" t="s">
        <v>1454</v>
      </c>
      <c r="O54" t="s">
        <v>1455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B54" s="5">
        <v>44013</v>
      </c>
      <c r="AC54" s="5">
        <v>44013</v>
      </c>
      <c r="AD54" s="5">
        <v>44306.666666666664</v>
      </c>
      <c r="AE54" s="5">
        <v>44306.666666666664</v>
      </c>
      <c r="AG54" s="5">
        <v>44044</v>
      </c>
      <c r="AH54" s="5">
        <v>44044</v>
      </c>
      <c r="AK54" s="5">
        <v>44032.333333333336</v>
      </c>
      <c r="AL54" s="5">
        <v>44032.333333333336</v>
      </c>
      <c r="AP54" t="s">
        <v>418</v>
      </c>
      <c r="AU54" t="s">
        <v>1456</v>
      </c>
      <c r="AV54" t="s">
        <v>1457</v>
      </c>
      <c r="AY54" t="s">
        <v>37</v>
      </c>
      <c r="AZ54">
        <v>0</v>
      </c>
      <c r="BA54">
        <v>0</v>
      </c>
      <c r="BI54" s="5">
        <v>44048.176388888889</v>
      </c>
      <c r="BJ54" s="5">
        <v>44048.176388888889</v>
      </c>
      <c r="BK54" t="s">
        <v>778</v>
      </c>
      <c r="BL54" t="s">
        <v>778</v>
      </c>
      <c r="BN54" t="s">
        <v>37</v>
      </c>
    </row>
    <row r="55" spans="1:66" x14ac:dyDescent="0.2">
      <c r="A55">
        <v>3692612</v>
      </c>
      <c r="B55">
        <v>21883</v>
      </c>
      <c r="C55">
        <v>524024</v>
      </c>
      <c r="D55">
        <v>52897</v>
      </c>
      <c r="E55">
        <v>100</v>
      </c>
      <c r="F55" t="s">
        <v>37</v>
      </c>
      <c r="G55">
        <v>1</v>
      </c>
      <c r="H55" t="s">
        <v>37</v>
      </c>
      <c r="I55" t="s">
        <v>37</v>
      </c>
      <c r="J55" t="s">
        <v>775</v>
      </c>
      <c r="K55" t="s">
        <v>230</v>
      </c>
      <c r="L55" t="s">
        <v>226</v>
      </c>
      <c r="M55" t="s">
        <v>422</v>
      </c>
      <c r="N55" t="s">
        <v>1458</v>
      </c>
      <c r="O55" t="s">
        <v>1459</v>
      </c>
      <c r="S55">
        <v>0</v>
      </c>
      <c r="T55">
        <v>0</v>
      </c>
      <c r="U55">
        <v>0</v>
      </c>
      <c r="V55">
        <v>0</v>
      </c>
      <c r="W55">
        <v>32</v>
      </c>
      <c r="X55">
        <v>0</v>
      </c>
      <c r="Y55">
        <v>0</v>
      </c>
      <c r="Z55">
        <v>0</v>
      </c>
      <c r="AB55" s="5">
        <v>44021</v>
      </c>
      <c r="AC55" s="5">
        <v>44028</v>
      </c>
      <c r="AD55" s="5">
        <v>44032.333333333336</v>
      </c>
      <c r="AE55" s="5">
        <v>44032.333333333336</v>
      </c>
      <c r="AG55" s="5">
        <v>44044</v>
      </c>
      <c r="AH55" s="5">
        <v>44044</v>
      </c>
      <c r="AK55" s="5">
        <v>44026.333333333336</v>
      </c>
      <c r="AL55" s="5">
        <v>44032.666666666664</v>
      </c>
      <c r="AP55" t="s">
        <v>418</v>
      </c>
      <c r="AU55" t="s">
        <v>1460</v>
      </c>
      <c r="AV55" t="s">
        <v>1461</v>
      </c>
      <c r="AY55" t="s">
        <v>37</v>
      </c>
      <c r="AZ55">
        <v>0</v>
      </c>
      <c r="BA55">
        <v>0</v>
      </c>
      <c r="BI55" s="5">
        <v>44048.176388888889</v>
      </c>
      <c r="BJ55" s="5">
        <v>44048.176388888889</v>
      </c>
      <c r="BK55" t="s">
        <v>778</v>
      </c>
      <c r="BL55" t="s">
        <v>778</v>
      </c>
      <c r="BN55" t="s">
        <v>37</v>
      </c>
    </row>
    <row r="56" spans="1:66" x14ac:dyDescent="0.2">
      <c r="A56">
        <v>3692613</v>
      </c>
      <c r="B56">
        <v>21883</v>
      </c>
      <c r="C56">
        <v>524024</v>
      </c>
      <c r="D56">
        <v>52897</v>
      </c>
      <c r="E56">
        <v>100</v>
      </c>
      <c r="F56" t="s">
        <v>37</v>
      </c>
      <c r="G56">
        <v>1</v>
      </c>
      <c r="H56" t="s">
        <v>37</v>
      </c>
      <c r="I56" t="s">
        <v>37</v>
      </c>
      <c r="J56" t="s">
        <v>775</v>
      </c>
      <c r="K56" t="s">
        <v>230</v>
      </c>
      <c r="L56" t="s">
        <v>226</v>
      </c>
      <c r="M56" t="s">
        <v>422</v>
      </c>
      <c r="N56" t="s">
        <v>1462</v>
      </c>
      <c r="O56" t="s">
        <v>1463</v>
      </c>
      <c r="S56">
        <v>0</v>
      </c>
      <c r="T56">
        <v>0</v>
      </c>
      <c r="U56">
        <v>0</v>
      </c>
      <c r="V56">
        <v>0</v>
      </c>
      <c r="W56">
        <v>48</v>
      </c>
      <c r="X56">
        <v>0</v>
      </c>
      <c r="Y56">
        <v>0</v>
      </c>
      <c r="Z56">
        <v>0</v>
      </c>
      <c r="AB56" s="5">
        <v>44029</v>
      </c>
      <c r="AC56" s="5">
        <v>44032</v>
      </c>
      <c r="AD56" s="5">
        <v>44032.333333333336</v>
      </c>
      <c r="AE56" s="5">
        <v>44032.333333333336</v>
      </c>
      <c r="AG56" s="5">
        <v>44044</v>
      </c>
      <c r="AH56" s="5">
        <v>44044</v>
      </c>
      <c r="AK56" s="5">
        <v>44042.333333333336</v>
      </c>
      <c r="AL56" s="5">
        <v>44050.666666666664</v>
      </c>
      <c r="AP56" t="s">
        <v>418</v>
      </c>
      <c r="AU56" t="s">
        <v>1464</v>
      </c>
      <c r="AV56" t="s">
        <v>1465</v>
      </c>
      <c r="AY56" t="s">
        <v>37</v>
      </c>
      <c r="AZ56">
        <v>0</v>
      </c>
      <c r="BA56">
        <v>0</v>
      </c>
      <c r="BI56" s="5">
        <v>44048.176388888889</v>
      </c>
      <c r="BJ56" s="5">
        <v>44048.176388888889</v>
      </c>
      <c r="BK56" t="s">
        <v>778</v>
      </c>
      <c r="BL56" t="s">
        <v>778</v>
      </c>
      <c r="BN56" t="s">
        <v>37</v>
      </c>
    </row>
    <row r="57" spans="1:66" x14ac:dyDescent="0.2">
      <c r="A57">
        <v>3692614</v>
      </c>
      <c r="B57">
        <v>21883</v>
      </c>
      <c r="C57">
        <v>524024</v>
      </c>
      <c r="D57">
        <v>52886</v>
      </c>
      <c r="E57">
        <v>100</v>
      </c>
      <c r="F57" t="s">
        <v>37</v>
      </c>
      <c r="G57">
        <v>1</v>
      </c>
      <c r="H57" t="s">
        <v>37</v>
      </c>
      <c r="I57" t="s">
        <v>37</v>
      </c>
      <c r="J57" t="s">
        <v>775</v>
      </c>
      <c r="K57" t="s">
        <v>230</v>
      </c>
      <c r="L57" t="s">
        <v>226</v>
      </c>
      <c r="M57" t="s">
        <v>422</v>
      </c>
      <c r="N57" t="s">
        <v>1466</v>
      </c>
      <c r="O57" t="s">
        <v>1467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B57" s="5">
        <v>44013</v>
      </c>
      <c r="AC57" s="5">
        <v>44013</v>
      </c>
      <c r="AD57" s="5">
        <v>44306.666666666664</v>
      </c>
      <c r="AE57" s="5">
        <v>44306.666666666664</v>
      </c>
      <c r="AG57" s="5">
        <v>44044</v>
      </c>
      <c r="AH57" s="5">
        <v>44044</v>
      </c>
      <c r="AK57" s="5">
        <v>44032.333333333336</v>
      </c>
      <c r="AL57" s="5">
        <v>44032.333333333336</v>
      </c>
      <c r="AP57" t="s">
        <v>418</v>
      </c>
      <c r="AU57" t="s">
        <v>1468</v>
      </c>
      <c r="AV57" t="s">
        <v>1469</v>
      </c>
      <c r="AY57" t="s">
        <v>37</v>
      </c>
      <c r="AZ57">
        <v>0</v>
      </c>
      <c r="BA57">
        <v>0</v>
      </c>
      <c r="BI57" s="5">
        <v>44048.176388888889</v>
      </c>
      <c r="BJ57" s="5">
        <v>44048.176388888889</v>
      </c>
      <c r="BK57" t="s">
        <v>778</v>
      </c>
      <c r="BL57" t="s">
        <v>778</v>
      </c>
      <c r="BN57" t="s">
        <v>37</v>
      </c>
    </row>
    <row r="58" spans="1:66" x14ac:dyDescent="0.2">
      <c r="A58">
        <v>3692615</v>
      </c>
      <c r="B58">
        <v>21883</v>
      </c>
      <c r="C58">
        <v>524024</v>
      </c>
      <c r="D58">
        <v>52897</v>
      </c>
      <c r="E58">
        <v>0</v>
      </c>
      <c r="F58" t="s">
        <v>37</v>
      </c>
      <c r="G58">
        <v>1</v>
      </c>
      <c r="H58" t="s">
        <v>37</v>
      </c>
      <c r="I58" t="s">
        <v>37</v>
      </c>
      <c r="J58" t="s">
        <v>775</v>
      </c>
      <c r="K58" t="s">
        <v>230</v>
      </c>
      <c r="L58" t="s">
        <v>226</v>
      </c>
      <c r="M58" t="s">
        <v>417</v>
      </c>
      <c r="N58" t="s">
        <v>1470</v>
      </c>
      <c r="O58" t="s">
        <v>1471</v>
      </c>
      <c r="Q58">
        <v>-64</v>
      </c>
      <c r="R58">
        <v>0</v>
      </c>
      <c r="S58">
        <v>80</v>
      </c>
      <c r="T58">
        <v>0</v>
      </c>
      <c r="U58">
        <v>0</v>
      </c>
      <c r="V58">
        <v>0</v>
      </c>
      <c r="W58">
        <v>80</v>
      </c>
      <c r="X58">
        <v>0</v>
      </c>
      <c r="Y58">
        <v>0</v>
      </c>
      <c r="Z58">
        <v>0</v>
      </c>
      <c r="AD58" s="5">
        <v>44043.333333333336</v>
      </c>
      <c r="AE58" s="5">
        <v>44064.666666666664</v>
      </c>
      <c r="AG58" s="5">
        <v>44060.333333333336</v>
      </c>
      <c r="AH58" s="5">
        <v>44077.666666666664</v>
      </c>
      <c r="AI58" s="5">
        <v>44060.333333333336</v>
      </c>
      <c r="AJ58" s="5">
        <v>44077.666666666664</v>
      </c>
      <c r="AK58" s="5">
        <v>44060.333333333336</v>
      </c>
      <c r="AL58" s="5">
        <v>44077.666666666664</v>
      </c>
      <c r="AM58" s="5">
        <v>44043.333333333336</v>
      </c>
      <c r="AN58" s="5">
        <v>44064.666666666664</v>
      </c>
      <c r="AP58" t="s">
        <v>418</v>
      </c>
      <c r="AU58" t="s">
        <v>1472</v>
      </c>
      <c r="AV58" t="s">
        <v>1473</v>
      </c>
      <c r="AY58" t="s">
        <v>37</v>
      </c>
      <c r="AZ58">
        <v>0</v>
      </c>
      <c r="BA58">
        <v>0</v>
      </c>
      <c r="BI58" s="5">
        <v>44048.176388888889</v>
      </c>
      <c r="BJ58" s="5">
        <v>44048.176388888889</v>
      </c>
      <c r="BK58" t="s">
        <v>778</v>
      </c>
      <c r="BL58" t="s">
        <v>778</v>
      </c>
      <c r="BN58" t="s">
        <v>37</v>
      </c>
    </row>
    <row r="59" spans="1:66" x14ac:dyDescent="0.2">
      <c r="A59">
        <v>3692616</v>
      </c>
      <c r="B59">
        <v>21883</v>
      </c>
      <c r="C59">
        <v>524024</v>
      </c>
      <c r="D59">
        <v>52897</v>
      </c>
      <c r="E59">
        <v>0</v>
      </c>
      <c r="F59" t="s">
        <v>37</v>
      </c>
      <c r="G59">
        <v>1</v>
      </c>
      <c r="H59" t="s">
        <v>37</v>
      </c>
      <c r="I59" t="s">
        <v>37</v>
      </c>
      <c r="J59" t="s">
        <v>775</v>
      </c>
      <c r="K59" t="s">
        <v>230</v>
      </c>
      <c r="L59" t="s">
        <v>226</v>
      </c>
      <c r="M59" t="s">
        <v>417</v>
      </c>
      <c r="N59" t="s">
        <v>1474</v>
      </c>
      <c r="O59" t="s">
        <v>1475</v>
      </c>
      <c r="Q59">
        <v>-64</v>
      </c>
      <c r="R59">
        <v>0</v>
      </c>
      <c r="S59">
        <v>16</v>
      </c>
      <c r="T59">
        <v>0</v>
      </c>
      <c r="U59">
        <v>0</v>
      </c>
      <c r="V59">
        <v>0</v>
      </c>
      <c r="W59">
        <v>16</v>
      </c>
      <c r="X59">
        <v>0</v>
      </c>
      <c r="Y59">
        <v>0</v>
      </c>
      <c r="Z59">
        <v>0</v>
      </c>
      <c r="AD59" s="5">
        <v>44060.333333333336</v>
      </c>
      <c r="AE59" s="5">
        <v>44064.666666666664</v>
      </c>
      <c r="AG59" s="5">
        <v>44076.333333333336</v>
      </c>
      <c r="AH59" s="5">
        <v>44077.666666666664</v>
      </c>
      <c r="AI59" s="5">
        <v>44076.333333333336</v>
      </c>
      <c r="AJ59" s="5">
        <v>44077.666666666664</v>
      </c>
      <c r="AK59" s="5">
        <v>44076.333333333336</v>
      </c>
      <c r="AL59" s="5">
        <v>44077.666666666664</v>
      </c>
      <c r="AM59" s="5">
        <v>44060.333333333336</v>
      </c>
      <c r="AN59" s="5">
        <v>44064.666666666664</v>
      </c>
      <c r="AP59" t="s">
        <v>418</v>
      </c>
      <c r="AU59" t="s">
        <v>1476</v>
      </c>
      <c r="AV59" t="s">
        <v>1477</v>
      </c>
      <c r="AY59" t="s">
        <v>37</v>
      </c>
      <c r="AZ59">
        <v>0</v>
      </c>
      <c r="BA59">
        <v>0</v>
      </c>
      <c r="BI59" s="5">
        <v>44048.176388888889</v>
      </c>
      <c r="BJ59" s="5">
        <v>44048.176388888889</v>
      </c>
      <c r="BK59" t="s">
        <v>778</v>
      </c>
      <c r="BL59" t="s">
        <v>778</v>
      </c>
      <c r="BN59" t="s">
        <v>37</v>
      </c>
    </row>
    <row r="60" spans="1:66" x14ac:dyDescent="0.2">
      <c r="A60">
        <v>3692617</v>
      </c>
      <c r="B60">
        <v>21883</v>
      </c>
      <c r="C60">
        <v>524024</v>
      </c>
      <c r="D60">
        <v>52897</v>
      </c>
      <c r="E60">
        <v>0</v>
      </c>
      <c r="F60" t="s">
        <v>37</v>
      </c>
      <c r="G60">
        <v>1</v>
      </c>
      <c r="H60" t="s">
        <v>37</v>
      </c>
      <c r="I60" t="s">
        <v>37</v>
      </c>
      <c r="J60" t="s">
        <v>775</v>
      </c>
      <c r="K60" t="s">
        <v>230</v>
      </c>
      <c r="L60" t="s">
        <v>226</v>
      </c>
      <c r="M60" t="s">
        <v>417</v>
      </c>
      <c r="N60" t="s">
        <v>1478</v>
      </c>
      <c r="O60" t="s">
        <v>1479</v>
      </c>
      <c r="Q60">
        <v>-64</v>
      </c>
      <c r="R60">
        <v>192</v>
      </c>
      <c r="S60">
        <v>32</v>
      </c>
      <c r="T60">
        <v>0</v>
      </c>
      <c r="U60">
        <v>0</v>
      </c>
      <c r="V60">
        <v>0</v>
      </c>
      <c r="W60">
        <v>32</v>
      </c>
      <c r="X60">
        <v>0</v>
      </c>
      <c r="Y60">
        <v>0</v>
      </c>
      <c r="Z60">
        <v>0</v>
      </c>
      <c r="AD60" s="5">
        <v>44070.333333333336</v>
      </c>
      <c r="AE60" s="5">
        <v>44075.666666666664</v>
      </c>
      <c r="AG60" s="5">
        <v>44083.333333333336</v>
      </c>
      <c r="AH60" s="5">
        <v>44089.666666666664</v>
      </c>
      <c r="AI60" s="5">
        <v>44083.333333333336</v>
      </c>
      <c r="AJ60" s="5">
        <v>44089.666666666664</v>
      </c>
      <c r="AK60" s="5">
        <v>44083.333333333336</v>
      </c>
      <c r="AL60" s="5">
        <v>44089.666666666664</v>
      </c>
      <c r="AM60" s="5">
        <v>44070.333333333336</v>
      </c>
      <c r="AN60" s="5">
        <v>44075.666666666664</v>
      </c>
      <c r="AP60" t="s">
        <v>418</v>
      </c>
      <c r="AU60" t="s">
        <v>1480</v>
      </c>
      <c r="AV60" t="s">
        <v>1481</v>
      </c>
      <c r="AY60" t="s">
        <v>37</v>
      </c>
      <c r="AZ60">
        <v>0</v>
      </c>
      <c r="BA60">
        <v>0</v>
      </c>
      <c r="BI60" s="5">
        <v>44048.176388888889</v>
      </c>
      <c r="BJ60" s="5">
        <v>44048.176388888889</v>
      </c>
      <c r="BK60" t="s">
        <v>778</v>
      </c>
      <c r="BL60" t="s">
        <v>778</v>
      </c>
      <c r="BN60" t="s">
        <v>37</v>
      </c>
    </row>
    <row r="61" spans="1:66" x14ac:dyDescent="0.2">
      <c r="A61">
        <v>3692618</v>
      </c>
      <c r="B61">
        <v>21883</v>
      </c>
      <c r="C61">
        <v>524023</v>
      </c>
      <c r="D61">
        <v>15320</v>
      </c>
      <c r="E61">
        <v>100</v>
      </c>
      <c r="F61" t="s">
        <v>37</v>
      </c>
      <c r="G61">
        <v>1</v>
      </c>
      <c r="H61" t="s">
        <v>37</v>
      </c>
      <c r="I61" t="s">
        <v>37</v>
      </c>
      <c r="J61" t="s">
        <v>775</v>
      </c>
      <c r="K61" t="s">
        <v>230</v>
      </c>
      <c r="L61" t="s">
        <v>226</v>
      </c>
      <c r="M61" t="s">
        <v>422</v>
      </c>
      <c r="N61" t="s">
        <v>1482</v>
      </c>
      <c r="O61" t="s">
        <v>1483</v>
      </c>
      <c r="S61">
        <v>0</v>
      </c>
      <c r="T61">
        <v>0</v>
      </c>
      <c r="U61">
        <v>0</v>
      </c>
      <c r="V61">
        <v>0</v>
      </c>
      <c r="W61">
        <v>24</v>
      </c>
      <c r="X61">
        <v>0</v>
      </c>
      <c r="Y61">
        <v>0</v>
      </c>
      <c r="Z61">
        <v>0</v>
      </c>
      <c r="AB61" s="5">
        <v>43999</v>
      </c>
      <c r="AC61" s="5">
        <v>44013</v>
      </c>
      <c r="AD61" s="5">
        <v>44028.333333333336</v>
      </c>
      <c r="AE61" s="5">
        <v>44028.333333333336</v>
      </c>
      <c r="AG61" s="5">
        <v>44044</v>
      </c>
      <c r="AH61" s="5">
        <v>44044</v>
      </c>
      <c r="AK61" s="5">
        <v>44014.333333333336</v>
      </c>
      <c r="AL61" s="5">
        <v>44019.666666666664</v>
      </c>
      <c r="AP61" t="s">
        <v>418</v>
      </c>
      <c r="AU61" t="s">
        <v>1484</v>
      </c>
      <c r="AY61" t="s">
        <v>37</v>
      </c>
      <c r="AZ61">
        <v>0</v>
      </c>
      <c r="BA61">
        <v>0</v>
      </c>
      <c r="BI61" s="5">
        <v>44048.176388888889</v>
      </c>
      <c r="BJ61" s="5">
        <v>44048.176388888889</v>
      </c>
      <c r="BK61" t="s">
        <v>778</v>
      </c>
      <c r="BL61" t="s">
        <v>778</v>
      </c>
      <c r="BN61" t="s">
        <v>37</v>
      </c>
    </row>
    <row r="62" spans="1:66" x14ac:dyDescent="0.2">
      <c r="A62">
        <v>3692619</v>
      </c>
      <c r="B62">
        <v>21883</v>
      </c>
      <c r="C62">
        <v>524023</v>
      </c>
      <c r="D62">
        <v>52898</v>
      </c>
      <c r="E62">
        <v>0</v>
      </c>
      <c r="F62" t="s">
        <v>37</v>
      </c>
      <c r="G62">
        <v>1</v>
      </c>
      <c r="H62" t="s">
        <v>37</v>
      </c>
      <c r="I62" t="s">
        <v>37</v>
      </c>
      <c r="J62" t="s">
        <v>775</v>
      </c>
      <c r="K62" t="s">
        <v>230</v>
      </c>
      <c r="L62" t="s">
        <v>226</v>
      </c>
      <c r="M62" t="s">
        <v>417</v>
      </c>
      <c r="N62" t="s">
        <v>1485</v>
      </c>
      <c r="O62" t="s">
        <v>1486</v>
      </c>
      <c r="Q62">
        <v>120</v>
      </c>
      <c r="R62">
        <v>176</v>
      </c>
      <c r="S62">
        <v>56</v>
      </c>
      <c r="T62">
        <v>0</v>
      </c>
      <c r="U62">
        <v>0</v>
      </c>
      <c r="V62">
        <v>0</v>
      </c>
      <c r="W62">
        <v>56</v>
      </c>
      <c r="X62">
        <v>0</v>
      </c>
      <c r="Y62">
        <v>0</v>
      </c>
      <c r="Z62">
        <v>0</v>
      </c>
      <c r="AD62" s="5">
        <v>44140.333333333336</v>
      </c>
      <c r="AE62" s="5">
        <v>44159.666666666664</v>
      </c>
      <c r="AG62" s="5">
        <v>44110.333333333336</v>
      </c>
      <c r="AH62" s="5">
        <v>44120.666666666664</v>
      </c>
      <c r="AI62" s="5">
        <v>44110.333333333336</v>
      </c>
      <c r="AJ62" s="5">
        <v>44120.666666666664</v>
      </c>
      <c r="AK62" s="5">
        <v>44110.333333333336</v>
      </c>
      <c r="AL62" s="5">
        <v>44120.666666666664</v>
      </c>
      <c r="AM62" s="5">
        <v>44140.333333333336</v>
      </c>
      <c r="AN62" s="5">
        <v>44159.666666666664</v>
      </c>
      <c r="AP62" t="s">
        <v>418</v>
      </c>
      <c r="AU62" t="s">
        <v>1487</v>
      </c>
      <c r="AY62" t="s">
        <v>37</v>
      </c>
      <c r="AZ62">
        <v>0</v>
      </c>
      <c r="BA62">
        <v>0</v>
      </c>
      <c r="BI62" s="5">
        <v>44048.176388888889</v>
      </c>
      <c r="BJ62" s="5">
        <v>44048.176388888889</v>
      </c>
      <c r="BK62" t="s">
        <v>778</v>
      </c>
      <c r="BL62" t="s">
        <v>778</v>
      </c>
      <c r="BN62" t="s">
        <v>37</v>
      </c>
    </row>
    <row r="63" spans="1:66" x14ac:dyDescent="0.2">
      <c r="A63">
        <v>3692620</v>
      </c>
      <c r="B63">
        <v>21883</v>
      </c>
      <c r="C63">
        <v>524023</v>
      </c>
      <c r="D63">
        <v>15320</v>
      </c>
      <c r="E63">
        <v>0</v>
      </c>
      <c r="F63" t="s">
        <v>37</v>
      </c>
      <c r="G63">
        <v>1</v>
      </c>
      <c r="H63" t="s">
        <v>37</v>
      </c>
      <c r="I63" t="s">
        <v>37</v>
      </c>
      <c r="J63" t="s">
        <v>775</v>
      </c>
      <c r="K63" t="s">
        <v>230</v>
      </c>
      <c r="L63" t="s">
        <v>226</v>
      </c>
      <c r="M63" t="s">
        <v>417</v>
      </c>
      <c r="N63" t="s">
        <v>1488</v>
      </c>
      <c r="O63" t="s">
        <v>1489</v>
      </c>
      <c r="Q63">
        <v>-136</v>
      </c>
      <c r="R63">
        <v>0</v>
      </c>
      <c r="S63">
        <v>32</v>
      </c>
      <c r="T63">
        <v>0</v>
      </c>
      <c r="U63">
        <v>0</v>
      </c>
      <c r="V63">
        <v>0</v>
      </c>
      <c r="W63">
        <v>32</v>
      </c>
      <c r="X63">
        <v>0</v>
      </c>
      <c r="Y63">
        <v>0</v>
      </c>
      <c r="Z63">
        <v>0</v>
      </c>
      <c r="AD63" s="5">
        <v>44075.333333333336</v>
      </c>
      <c r="AE63" s="5">
        <v>44078.666666666664</v>
      </c>
      <c r="AG63" s="5">
        <v>44102.333333333336</v>
      </c>
      <c r="AH63" s="5">
        <v>44109.666666666664</v>
      </c>
      <c r="AI63" s="5">
        <v>44102.333333333336</v>
      </c>
      <c r="AJ63" s="5">
        <v>44109.666666666664</v>
      </c>
      <c r="AK63" s="5">
        <v>44102.333333333336</v>
      </c>
      <c r="AL63" s="5">
        <v>44109.666666666664</v>
      </c>
      <c r="AM63" s="5">
        <v>44075.333333333336</v>
      </c>
      <c r="AN63" s="5">
        <v>44078.666666666664</v>
      </c>
      <c r="AP63" t="s">
        <v>418</v>
      </c>
      <c r="AU63" t="s">
        <v>1490</v>
      </c>
      <c r="AY63" t="s">
        <v>37</v>
      </c>
      <c r="AZ63">
        <v>0</v>
      </c>
      <c r="BA63">
        <v>0</v>
      </c>
      <c r="BI63" s="5">
        <v>44048.176388888889</v>
      </c>
      <c r="BJ63" s="5">
        <v>44048.176388888889</v>
      </c>
      <c r="BK63" t="s">
        <v>778</v>
      </c>
      <c r="BL63" t="s">
        <v>778</v>
      </c>
      <c r="BN63" t="s">
        <v>37</v>
      </c>
    </row>
    <row r="64" spans="1:66" x14ac:dyDescent="0.2">
      <c r="A64">
        <v>3692621</v>
      </c>
      <c r="B64">
        <v>21883</v>
      </c>
      <c r="C64">
        <v>524023</v>
      </c>
      <c r="D64">
        <v>52898</v>
      </c>
      <c r="E64">
        <v>0</v>
      </c>
      <c r="F64" t="s">
        <v>37</v>
      </c>
      <c r="G64">
        <v>1</v>
      </c>
      <c r="H64" t="s">
        <v>37</v>
      </c>
      <c r="I64" t="s">
        <v>37</v>
      </c>
      <c r="J64" t="s">
        <v>775</v>
      </c>
      <c r="K64" t="s">
        <v>230</v>
      </c>
      <c r="L64" t="s">
        <v>226</v>
      </c>
      <c r="M64" t="s">
        <v>417</v>
      </c>
      <c r="N64" t="s">
        <v>1491</v>
      </c>
      <c r="O64" t="s">
        <v>1492</v>
      </c>
      <c r="Q64">
        <v>-112</v>
      </c>
      <c r="R64">
        <v>0</v>
      </c>
      <c r="S64">
        <v>24</v>
      </c>
      <c r="T64">
        <v>0</v>
      </c>
      <c r="U64">
        <v>0</v>
      </c>
      <c r="V64">
        <v>0</v>
      </c>
      <c r="W64">
        <v>24</v>
      </c>
      <c r="X64">
        <v>0</v>
      </c>
      <c r="Y64">
        <v>0</v>
      </c>
      <c r="Z64">
        <v>0</v>
      </c>
      <c r="AD64" s="5">
        <v>44070.333333333336</v>
      </c>
      <c r="AE64" s="5">
        <v>44074.666666666664</v>
      </c>
      <c r="AG64" s="5">
        <v>44096.333333333336</v>
      </c>
      <c r="AH64" s="5">
        <v>44099.666666666664</v>
      </c>
      <c r="AI64" s="5">
        <v>44096.333333333336</v>
      </c>
      <c r="AJ64" s="5">
        <v>44099.666666666664</v>
      </c>
      <c r="AK64" s="5">
        <v>44096.333333333336</v>
      </c>
      <c r="AL64" s="5">
        <v>44099.666666666664</v>
      </c>
      <c r="AM64" s="5">
        <v>44070.333333333336</v>
      </c>
      <c r="AN64" s="5">
        <v>44074.666666666664</v>
      </c>
      <c r="AP64" t="s">
        <v>418</v>
      </c>
      <c r="AU64" t="s">
        <v>1493</v>
      </c>
      <c r="AY64" t="s">
        <v>37</v>
      </c>
      <c r="AZ64">
        <v>0</v>
      </c>
      <c r="BA64">
        <v>0</v>
      </c>
      <c r="BI64" s="5">
        <v>44048.176388888889</v>
      </c>
      <c r="BJ64" s="5">
        <v>44048.176388888889</v>
      </c>
      <c r="BK64" t="s">
        <v>778</v>
      </c>
      <c r="BL64" t="s">
        <v>778</v>
      </c>
      <c r="BN64" t="s">
        <v>37</v>
      </c>
    </row>
    <row r="65" spans="1:66" x14ac:dyDescent="0.2">
      <c r="A65">
        <v>3692622</v>
      </c>
      <c r="B65">
        <v>21883</v>
      </c>
      <c r="C65">
        <v>524023</v>
      </c>
      <c r="D65">
        <v>52897</v>
      </c>
      <c r="E65">
        <v>0</v>
      </c>
      <c r="F65" t="s">
        <v>37</v>
      </c>
      <c r="G65">
        <v>1</v>
      </c>
      <c r="H65" t="s">
        <v>37</v>
      </c>
      <c r="I65" t="s">
        <v>37</v>
      </c>
      <c r="J65" t="s">
        <v>775</v>
      </c>
      <c r="K65" t="s">
        <v>230</v>
      </c>
      <c r="L65" t="s">
        <v>226</v>
      </c>
      <c r="M65" t="s">
        <v>417</v>
      </c>
      <c r="N65" t="s">
        <v>1494</v>
      </c>
      <c r="O65" t="s">
        <v>1495</v>
      </c>
      <c r="Q65">
        <v>-104</v>
      </c>
      <c r="R65">
        <v>8</v>
      </c>
      <c r="S65">
        <v>24</v>
      </c>
      <c r="T65">
        <v>0</v>
      </c>
      <c r="U65">
        <v>0</v>
      </c>
      <c r="V65">
        <v>0</v>
      </c>
      <c r="W65">
        <v>24</v>
      </c>
      <c r="X65">
        <v>0</v>
      </c>
      <c r="Y65">
        <v>0</v>
      </c>
      <c r="Z65">
        <v>0</v>
      </c>
      <c r="AD65" s="5">
        <v>44022.333333333336</v>
      </c>
      <c r="AE65" s="5">
        <v>44026.666666666664</v>
      </c>
      <c r="AG65" s="5">
        <v>44048.333333333336</v>
      </c>
      <c r="AH65" s="5">
        <v>44050.666666666664</v>
      </c>
      <c r="AI65" s="5">
        <v>44048.333333333336</v>
      </c>
      <c r="AJ65" s="5">
        <v>44050.666666666664</v>
      </c>
      <c r="AK65" s="5">
        <v>44048.333333333336</v>
      </c>
      <c r="AL65" s="5">
        <v>44050.666666666664</v>
      </c>
      <c r="AM65" s="5">
        <v>44022.333333333336</v>
      </c>
      <c r="AN65" s="5">
        <v>44026.666666666664</v>
      </c>
      <c r="AP65" t="s">
        <v>418</v>
      </c>
      <c r="AU65" t="s">
        <v>1496</v>
      </c>
      <c r="AY65" t="s">
        <v>37</v>
      </c>
      <c r="AZ65">
        <v>0</v>
      </c>
      <c r="BA65">
        <v>0</v>
      </c>
      <c r="BI65" s="5">
        <v>44048.176388888889</v>
      </c>
      <c r="BJ65" s="5">
        <v>44048.176388888889</v>
      </c>
      <c r="BK65" t="s">
        <v>778</v>
      </c>
      <c r="BL65" t="s">
        <v>778</v>
      </c>
      <c r="BN65" t="s">
        <v>37</v>
      </c>
    </row>
    <row r="66" spans="1:66" x14ac:dyDescent="0.2">
      <c r="A66">
        <v>3692623</v>
      </c>
      <c r="B66">
        <v>21883</v>
      </c>
      <c r="C66">
        <v>524023</v>
      </c>
      <c r="D66">
        <v>52897</v>
      </c>
      <c r="E66">
        <v>0</v>
      </c>
      <c r="F66" t="s">
        <v>37</v>
      </c>
      <c r="G66">
        <v>1</v>
      </c>
      <c r="H66" t="s">
        <v>37</v>
      </c>
      <c r="I66" t="s">
        <v>37</v>
      </c>
      <c r="J66" t="s">
        <v>775</v>
      </c>
      <c r="K66" t="s">
        <v>230</v>
      </c>
      <c r="L66" t="s">
        <v>226</v>
      </c>
      <c r="M66" t="s">
        <v>417</v>
      </c>
      <c r="N66" t="s">
        <v>1497</v>
      </c>
      <c r="O66" t="s">
        <v>1498</v>
      </c>
      <c r="Q66">
        <v>-112</v>
      </c>
      <c r="R66">
        <v>0</v>
      </c>
      <c r="S66">
        <v>64</v>
      </c>
      <c r="T66">
        <v>0</v>
      </c>
      <c r="U66">
        <v>0</v>
      </c>
      <c r="V66">
        <v>0</v>
      </c>
      <c r="W66">
        <v>64</v>
      </c>
      <c r="X66">
        <v>12</v>
      </c>
      <c r="Y66">
        <v>0</v>
      </c>
      <c r="Z66">
        <v>12</v>
      </c>
      <c r="AD66" s="5">
        <v>44050.333333333336</v>
      </c>
      <c r="AE66" s="5">
        <v>44069.666666666664</v>
      </c>
      <c r="AG66" s="5">
        <v>44078.333333333336</v>
      </c>
      <c r="AH66" s="5">
        <v>44092.666666666664</v>
      </c>
      <c r="AI66" s="5">
        <v>44078.333333333336</v>
      </c>
      <c r="AJ66" s="5">
        <v>44092.666666666664</v>
      </c>
      <c r="AK66" s="5">
        <v>44078.333333333336</v>
      </c>
      <c r="AL66" s="5">
        <v>44092.666666666664</v>
      </c>
      <c r="AM66" s="5">
        <v>44050.333333333336</v>
      </c>
      <c r="AN66" s="5">
        <v>44069.666666666664</v>
      </c>
      <c r="AP66" t="s">
        <v>418</v>
      </c>
      <c r="AU66" t="s">
        <v>1499</v>
      </c>
      <c r="AY66" t="s">
        <v>37</v>
      </c>
      <c r="AZ66">
        <v>0</v>
      </c>
      <c r="BA66">
        <v>0</v>
      </c>
      <c r="BI66" s="5">
        <v>44048.176388888889</v>
      </c>
      <c r="BJ66" s="5">
        <v>44048.176388888889</v>
      </c>
      <c r="BK66" t="s">
        <v>778</v>
      </c>
      <c r="BL66" t="s">
        <v>778</v>
      </c>
      <c r="BN66" t="s">
        <v>37</v>
      </c>
    </row>
    <row r="67" spans="1:66" x14ac:dyDescent="0.2">
      <c r="A67">
        <v>3692624</v>
      </c>
      <c r="B67">
        <v>21883</v>
      </c>
      <c r="C67">
        <v>524023</v>
      </c>
      <c r="D67">
        <v>52898</v>
      </c>
      <c r="E67">
        <v>0</v>
      </c>
      <c r="F67" t="s">
        <v>37</v>
      </c>
      <c r="G67">
        <v>1</v>
      </c>
      <c r="H67" t="s">
        <v>37</v>
      </c>
      <c r="I67" t="s">
        <v>37</v>
      </c>
      <c r="J67" t="s">
        <v>775</v>
      </c>
      <c r="K67" t="s">
        <v>230</v>
      </c>
      <c r="L67" t="s">
        <v>226</v>
      </c>
      <c r="M67" t="s">
        <v>417</v>
      </c>
      <c r="N67" t="s">
        <v>1500</v>
      </c>
      <c r="O67" t="s">
        <v>1501</v>
      </c>
      <c r="Q67">
        <v>-112</v>
      </c>
      <c r="R67">
        <v>0</v>
      </c>
      <c r="S67">
        <v>24</v>
      </c>
      <c r="T67">
        <v>0</v>
      </c>
      <c r="U67">
        <v>0</v>
      </c>
      <c r="V67">
        <v>0</v>
      </c>
      <c r="W67">
        <v>24</v>
      </c>
      <c r="X67">
        <v>0</v>
      </c>
      <c r="Y67">
        <v>0</v>
      </c>
      <c r="Z67">
        <v>0</v>
      </c>
      <c r="AD67" s="5">
        <v>44046.333333333336</v>
      </c>
      <c r="AE67" s="5">
        <v>44049.666666666664</v>
      </c>
      <c r="AG67" s="5">
        <v>44075.333333333336</v>
      </c>
      <c r="AH67" s="5">
        <v>44077.666666666664</v>
      </c>
      <c r="AI67" s="5">
        <v>44075.333333333336</v>
      </c>
      <c r="AJ67" s="5">
        <v>44077.666666666664</v>
      </c>
      <c r="AK67" s="5">
        <v>44075.333333333336</v>
      </c>
      <c r="AL67" s="5">
        <v>44077.666666666664</v>
      </c>
      <c r="AM67" s="5">
        <v>44046.333333333336</v>
      </c>
      <c r="AN67" s="5">
        <v>44049.666666666664</v>
      </c>
      <c r="AP67" t="s">
        <v>418</v>
      </c>
      <c r="AU67" t="s">
        <v>1502</v>
      </c>
      <c r="AY67" t="s">
        <v>37</v>
      </c>
      <c r="AZ67">
        <v>0</v>
      </c>
      <c r="BA67">
        <v>0</v>
      </c>
      <c r="BI67" s="5">
        <v>44048.176388888889</v>
      </c>
      <c r="BJ67" s="5">
        <v>44048.176388888889</v>
      </c>
      <c r="BK67" t="s">
        <v>778</v>
      </c>
      <c r="BL67" t="s">
        <v>778</v>
      </c>
      <c r="BN67" t="s">
        <v>37</v>
      </c>
    </row>
    <row r="68" spans="1:66" x14ac:dyDescent="0.2">
      <c r="A68">
        <v>3692625</v>
      </c>
      <c r="B68">
        <v>21883</v>
      </c>
      <c r="C68">
        <v>524023</v>
      </c>
      <c r="D68">
        <v>52898</v>
      </c>
      <c r="E68">
        <v>0</v>
      </c>
      <c r="F68" t="s">
        <v>37</v>
      </c>
      <c r="G68">
        <v>1</v>
      </c>
      <c r="H68" t="s">
        <v>37</v>
      </c>
      <c r="I68" t="s">
        <v>37</v>
      </c>
      <c r="J68" t="s">
        <v>775</v>
      </c>
      <c r="K68" t="s">
        <v>230</v>
      </c>
      <c r="L68" t="s">
        <v>226</v>
      </c>
      <c r="M68" t="s">
        <v>417</v>
      </c>
      <c r="N68" t="s">
        <v>1503</v>
      </c>
      <c r="O68" t="s">
        <v>1504</v>
      </c>
      <c r="Q68">
        <v>-112</v>
      </c>
      <c r="R68">
        <v>0</v>
      </c>
      <c r="S68">
        <v>16</v>
      </c>
      <c r="T68">
        <v>0</v>
      </c>
      <c r="U68">
        <v>0</v>
      </c>
      <c r="V68">
        <v>0</v>
      </c>
      <c r="W68">
        <v>16</v>
      </c>
      <c r="X68">
        <v>0</v>
      </c>
      <c r="Y68">
        <v>0</v>
      </c>
      <c r="Z68">
        <v>0</v>
      </c>
      <c r="AD68" s="5">
        <v>44042.333333333336</v>
      </c>
      <c r="AE68" s="5">
        <v>44043.666666666664</v>
      </c>
      <c r="AG68" s="5">
        <v>44071.333333333336</v>
      </c>
      <c r="AH68" s="5">
        <v>44074.666666666664</v>
      </c>
      <c r="AI68" s="5">
        <v>44071.333333333336</v>
      </c>
      <c r="AJ68" s="5">
        <v>44074.666666666664</v>
      </c>
      <c r="AK68" s="5">
        <v>44071.333333333336</v>
      </c>
      <c r="AL68" s="5">
        <v>44074.666666666664</v>
      </c>
      <c r="AM68" s="5">
        <v>44042.333333333336</v>
      </c>
      <c r="AN68" s="5">
        <v>44043.666666666664</v>
      </c>
      <c r="AP68" t="s">
        <v>418</v>
      </c>
      <c r="AU68" t="s">
        <v>1505</v>
      </c>
      <c r="AY68" t="s">
        <v>37</v>
      </c>
      <c r="AZ68">
        <v>0</v>
      </c>
      <c r="BA68">
        <v>0</v>
      </c>
      <c r="BI68" s="5">
        <v>44048.176388888889</v>
      </c>
      <c r="BJ68" s="5">
        <v>44048.176388888889</v>
      </c>
      <c r="BK68" t="s">
        <v>778</v>
      </c>
      <c r="BL68" t="s">
        <v>778</v>
      </c>
      <c r="BN68" t="s">
        <v>37</v>
      </c>
    </row>
    <row r="69" spans="1:66" x14ac:dyDescent="0.2">
      <c r="A69">
        <v>3692626</v>
      </c>
      <c r="B69">
        <v>21883</v>
      </c>
      <c r="C69">
        <v>524023</v>
      </c>
      <c r="D69">
        <v>52897</v>
      </c>
      <c r="E69">
        <v>0</v>
      </c>
      <c r="F69" t="s">
        <v>37</v>
      </c>
      <c r="G69">
        <v>1</v>
      </c>
      <c r="H69" t="s">
        <v>37</v>
      </c>
      <c r="I69" t="s">
        <v>37</v>
      </c>
      <c r="J69" t="s">
        <v>775</v>
      </c>
      <c r="K69" t="s">
        <v>230</v>
      </c>
      <c r="L69" t="s">
        <v>226</v>
      </c>
      <c r="M69" t="s">
        <v>421</v>
      </c>
      <c r="N69" t="s">
        <v>1506</v>
      </c>
      <c r="O69" t="s">
        <v>1507</v>
      </c>
      <c r="Q69">
        <v>-112</v>
      </c>
      <c r="R69">
        <v>0</v>
      </c>
      <c r="S69">
        <v>8</v>
      </c>
      <c r="T69">
        <v>0</v>
      </c>
      <c r="U69">
        <v>0</v>
      </c>
      <c r="V69">
        <v>0</v>
      </c>
      <c r="W69">
        <v>72</v>
      </c>
      <c r="X69">
        <v>0</v>
      </c>
      <c r="Y69">
        <v>0</v>
      </c>
      <c r="Z69">
        <v>0</v>
      </c>
      <c r="AB69" s="5">
        <v>44036</v>
      </c>
      <c r="AD69" s="5">
        <v>44018.333333333336</v>
      </c>
      <c r="AE69" s="5">
        <v>44018.666666666664</v>
      </c>
      <c r="AG69" s="5">
        <v>44046.333333333336</v>
      </c>
      <c r="AH69" s="5">
        <v>44046.666666666664</v>
      </c>
      <c r="AI69" s="5">
        <v>44046.333333333336</v>
      </c>
      <c r="AJ69" s="5">
        <v>44046.666666666664</v>
      </c>
      <c r="AK69" s="5">
        <v>44042.333333333336</v>
      </c>
      <c r="AL69" s="5">
        <v>44057.666666666664</v>
      </c>
      <c r="AM69" s="5">
        <v>44018.333333333336</v>
      </c>
      <c r="AN69" s="5">
        <v>44018.666666666664</v>
      </c>
      <c r="AP69" t="s">
        <v>418</v>
      </c>
      <c r="AU69" t="s">
        <v>1508</v>
      </c>
      <c r="AY69" t="s">
        <v>37</v>
      </c>
      <c r="AZ69">
        <v>0</v>
      </c>
      <c r="BA69">
        <v>0</v>
      </c>
      <c r="BI69" s="5">
        <v>44048.176388888889</v>
      </c>
      <c r="BJ69" s="5">
        <v>44048.176388888889</v>
      </c>
      <c r="BK69" t="s">
        <v>778</v>
      </c>
      <c r="BL69" t="s">
        <v>778</v>
      </c>
      <c r="BN69" t="s">
        <v>37</v>
      </c>
    </row>
    <row r="70" spans="1:66" x14ac:dyDescent="0.2">
      <c r="A70">
        <v>3692627</v>
      </c>
      <c r="B70">
        <v>21883</v>
      </c>
      <c r="C70">
        <v>524023</v>
      </c>
      <c r="D70">
        <v>15320</v>
      </c>
      <c r="E70">
        <v>100</v>
      </c>
      <c r="F70" t="s">
        <v>37</v>
      </c>
      <c r="G70">
        <v>1</v>
      </c>
      <c r="H70" t="s">
        <v>37</v>
      </c>
      <c r="I70" t="s">
        <v>37</v>
      </c>
      <c r="J70" t="s">
        <v>775</v>
      </c>
      <c r="K70" t="s">
        <v>230</v>
      </c>
      <c r="L70" t="s">
        <v>226</v>
      </c>
      <c r="M70" t="s">
        <v>422</v>
      </c>
      <c r="N70" t="s">
        <v>1509</v>
      </c>
      <c r="O70" t="s">
        <v>1510</v>
      </c>
      <c r="S70">
        <v>0</v>
      </c>
      <c r="T70">
        <v>0</v>
      </c>
      <c r="U70">
        <v>0</v>
      </c>
      <c r="V70">
        <v>0</v>
      </c>
      <c r="W70">
        <v>16</v>
      </c>
      <c r="X70">
        <v>0</v>
      </c>
      <c r="Y70">
        <v>0</v>
      </c>
      <c r="Z70">
        <v>0</v>
      </c>
      <c r="AB70" s="5">
        <v>44018</v>
      </c>
      <c r="AC70" s="5">
        <v>44018</v>
      </c>
      <c r="AD70" s="5">
        <v>44018.333333333336</v>
      </c>
      <c r="AE70" s="5">
        <v>44018.333333333336</v>
      </c>
      <c r="AG70" s="5">
        <v>44044</v>
      </c>
      <c r="AH70" s="5">
        <v>44044</v>
      </c>
      <c r="AK70" s="5">
        <v>44036.333333333336</v>
      </c>
      <c r="AL70" s="5">
        <v>44040.666666666664</v>
      </c>
      <c r="AP70" t="s">
        <v>418</v>
      </c>
      <c r="AU70" t="s">
        <v>1511</v>
      </c>
      <c r="AY70" t="s">
        <v>37</v>
      </c>
      <c r="AZ70">
        <v>0</v>
      </c>
      <c r="BA70">
        <v>0</v>
      </c>
      <c r="BI70" s="5">
        <v>44048.176388888889</v>
      </c>
      <c r="BJ70" s="5">
        <v>44048.176388888889</v>
      </c>
      <c r="BK70" t="s">
        <v>778</v>
      </c>
      <c r="BL70" t="s">
        <v>778</v>
      </c>
      <c r="BN70" t="s">
        <v>37</v>
      </c>
    </row>
    <row r="71" spans="1:66" x14ac:dyDescent="0.2">
      <c r="A71">
        <v>3692628</v>
      </c>
      <c r="B71">
        <v>21883</v>
      </c>
      <c r="C71">
        <v>524023</v>
      </c>
      <c r="D71">
        <v>52897</v>
      </c>
      <c r="E71">
        <v>100</v>
      </c>
      <c r="F71" t="s">
        <v>37</v>
      </c>
      <c r="G71">
        <v>1</v>
      </c>
      <c r="H71" t="s">
        <v>37</v>
      </c>
      <c r="I71" t="s">
        <v>37</v>
      </c>
      <c r="J71" t="s">
        <v>775</v>
      </c>
      <c r="K71" t="s">
        <v>230</v>
      </c>
      <c r="L71" t="s">
        <v>226</v>
      </c>
      <c r="M71" t="s">
        <v>422</v>
      </c>
      <c r="N71" t="s">
        <v>1512</v>
      </c>
      <c r="O71" t="s">
        <v>1513</v>
      </c>
      <c r="S71">
        <v>0</v>
      </c>
      <c r="T71">
        <v>0</v>
      </c>
      <c r="U71">
        <v>0</v>
      </c>
      <c r="V71">
        <v>0</v>
      </c>
      <c r="W71">
        <v>16</v>
      </c>
      <c r="X71">
        <v>0</v>
      </c>
      <c r="Y71">
        <v>0</v>
      </c>
      <c r="Z71">
        <v>0</v>
      </c>
      <c r="AB71" s="5">
        <v>44025</v>
      </c>
      <c r="AC71" s="5">
        <v>44029</v>
      </c>
      <c r="AD71" s="5">
        <v>44018.333333333336</v>
      </c>
      <c r="AE71" s="5">
        <v>44018.333333333336</v>
      </c>
      <c r="AG71" s="5">
        <v>44044</v>
      </c>
      <c r="AH71" s="5">
        <v>44044</v>
      </c>
      <c r="AK71" s="5">
        <v>44060.333333333336</v>
      </c>
      <c r="AL71" s="5">
        <v>44064.666666666664</v>
      </c>
      <c r="AP71" t="s">
        <v>418</v>
      </c>
      <c r="AU71" t="s">
        <v>1514</v>
      </c>
      <c r="AY71" t="s">
        <v>37</v>
      </c>
      <c r="AZ71">
        <v>0</v>
      </c>
      <c r="BA71">
        <v>0</v>
      </c>
      <c r="BI71" s="5">
        <v>44048.176388888889</v>
      </c>
      <c r="BJ71" s="5">
        <v>44048.176388888889</v>
      </c>
      <c r="BK71" t="s">
        <v>778</v>
      </c>
      <c r="BL71" t="s">
        <v>778</v>
      </c>
      <c r="BN71" t="s">
        <v>37</v>
      </c>
    </row>
    <row r="72" spans="1:66" x14ac:dyDescent="0.2">
      <c r="A72">
        <v>3692629</v>
      </c>
      <c r="B72">
        <v>21883</v>
      </c>
      <c r="C72">
        <v>524023</v>
      </c>
      <c r="D72">
        <v>52897</v>
      </c>
      <c r="E72">
        <v>100</v>
      </c>
      <c r="F72" t="s">
        <v>37</v>
      </c>
      <c r="G72">
        <v>1</v>
      </c>
      <c r="H72" t="s">
        <v>37</v>
      </c>
      <c r="I72" t="s">
        <v>37</v>
      </c>
      <c r="J72" t="s">
        <v>775</v>
      </c>
      <c r="K72" t="s">
        <v>230</v>
      </c>
      <c r="L72" t="s">
        <v>226</v>
      </c>
      <c r="M72" t="s">
        <v>422</v>
      </c>
      <c r="N72" t="s">
        <v>1515</v>
      </c>
      <c r="O72" t="s">
        <v>1516</v>
      </c>
      <c r="S72">
        <v>0</v>
      </c>
      <c r="T72">
        <v>0</v>
      </c>
      <c r="U72">
        <v>0</v>
      </c>
      <c r="V72">
        <v>0</v>
      </c>
      <c r="W72">
        <v>64</v>
      </c>
      <c r="X72">
        <v>0</v>
      </c>
      <c r="Y72">
        <v>0</v>
      </c>
      <c r="Z72">
        <v>0</v>
      </c>
      <c r="AB72" s="5">
        <v>44018</v>
      </c>
      <c r="AC72" s="5">
        <v>44022</v>
      </c>
      <c r="AD72" s="5">
        <v>44018.333333333336</v>
      </c>
      <c r="AE72" s="5">
        <v>44018.333333333336</v>
      </c>
      <c r="AG72" s="5">
        <v>44044</v>
      </c>
      <c r="AH72" s="5">
        <v>44044</v>
      </c>
      <c r="AK72" s="5">
        <v>44060.333333333336</v>
      </c>
      <c r="AL72" s="5">
        <v>44075.666666666664</v>
      </c>
      <c r="AP72" t="s">
        <v>418</v>
      </c>
      <c r="AU72" t="s">
        <v>1517</v>
      </c>
      <c r="AY72" t="s">
        <v>37</v>
      </c>
      <c r="AZ72">
        <v>0</v>
      </c>
      <c r="BA72">
        <v>0</v>
      </c>
      <c r="BI72" s="5">
        <v>44048.176388888889</v>
      </c>
      <c r="BJ72" s="5">
        <v>44048.176388888889</v>
      </c>
      <c r="BK72" t="s">
        <v>778</v>
      </c>
      <c r="BL72" t="s">
        <v>778</v>
      </c>
      <c r="BN72" t="s">
        <v>37</v>
      </c>
    </row>
    <row r="73" spans="1:66" x14ac:dyDescent="0.2">
      <c r="A73">
        <v>3692630</v>
      </c>
      <c r="B73">
        <v>21883</v>
      </c>
      <c r="C73">
        <v>524023</v>
      </c>
      <c r="D73">
        <v>52897</v>
      </c>
      <c r="E73">
        <v>0</v>
      </c>
      <c r="F73" t="s">
        <v>37</v>
      </c>
      <c r="G73">
        <v>1</v>
      </c>
      <c r="H73" t="s">
        <v>37</v>
      </c>
      <c r="I73" t="s">
        <v>37</v>
      </c>
      <c r="J73" t="s">
        <v>775</v>
      </c>
      <c r="K73" t="s">
        <v>230</v>
      </c>
      <c r="L73" t="s">
        <v>226</v>
      </c>
      <c r="M73" t="s">
        <v>417</v>
      </c>
      <c r="N73" t="s">
        <v>1518</v>
      </c>
      <c r="O73" t="s">
        <v>1519</v>
      </c>
      <c r="Q73">
        <v>-112</v>
      </c>
      <c r="R73">
        <v>0</v>
      </c>
      <c r="S73">
        <v>56</v>
      </c>
      <c r="T73">
        <v>0</v>
      </c>
      <c r="U73">
        <v>0</v>
      </c>
      <c r="V73">
        <v>0</v>
      </c>
      <c r="W73">
        <v>56</v>
      </c>
      <c r="X73">
        <v>0</v>
      </c>
      <c r="Y73">
        <v>0</v>
      </c>
      <c r="Z73">
        <v>0</v>
      </c>
      <c r="AD73" s="5">
        <v>44028.333333333336</v>
      </c>
      <c r="AE73" s="5">
        <v>44039.666666666664</v>
      </c>
      <c r="AG73" s="5">
        <v>44056.333333333336</v>
      </c>
      <c r="AH73" s="5">
        <v>44070.666666666664</v>
      </c>
      <c r="AI73" s="5">
        <v>44056.333333333336</v>
      </c>
      <c r="AJ73" s="5">
        <v>44070.666666666664</v>
      </c>
      <c r="AK73" s="5">
        <v>44056.333333333336</v>
      </c>
      <c r="AL73" s="5">
        <v>44070.666666666664</v>
      </c>
      <c r="AM73" s="5">
        <v>44028.333333333336</v>
      </c>
      <c r="AN73" s="5">
        <v>44039.666666666664</v>
      </c>
      <c r="AP73" t="s">
        <v>418</v>
      </c>
      <c r="AU73" t="s">
        <v>1520</v>
      </c>
      <c r="AY73" t="s">
        <v>37</v>
      </c>
      <c r="AZ73">
        <v>0</v>
      </c>
      <c r="BA73">
        <v>0</v>
      </c>
      <c r="BI73" s="5">
        <v>44048.176388888889</v>
      </c>
      <c r="BJ73" s="5">
        <v>44048.176388888889</v>
      </c>
      <c r="BK73" t="s">
        <v>778</v>
      </c>
      <c r="BL73" t="s">
        <v>778</v>
      </c>
      <c r="BN73" t="s">
        <v>37</v>
      </c>
    </row>
    <row r="74" spans="1:66" x14ac:dyDescent="0.2">
      <c r="A74">
        <v>3692631</v>
      </c>
      <c r="B74">
        <v>21883</v>
      </c>
      <c r="C74">
        <v>524023</v>
      </c>
      <c r="D74">
        <v>15320</v>
      </c>
      <c r="E74">
        <v>100</v>
      </c>
      <c r="F74" t="s">
        <v>37</v>
      </c>
      <c r="G74">
        <v>1</v>
      </c>
      <c r="H74" t="s">
        <v>37</v>
      </c>
      <c r="I74" t="s">
        <v>37</v>
      </c>
      <c r="J74" t="s">
        <v>775</v>
      </c>
      <c r="K74" t="s">
        <v>230</v>
      </c>
      <c r="L74" t="s">
        <v>226</v>
      </c>
      <c r="M74" t="s">
        <v>422</v>
      </c>
      <c r="N74" t="s">
        <v>1521</v>
      </c>
      <c r="O74" t="s">
        <v>1522</v>
      </c>
      <c r="S74">
        <v>0</v>
      </c>
      <c r="T74">
        <v>0</v>
      </c>
      <c r="U74">
        <v>0</v>
      </c>
      <c r="V74">
        <v>0</v>
      </c>
      <c r="W74">
        <v>24</v>
      </c>
      <c r="X74">
        <v>0</v>
      </c>
      <c r="Y74">
        <v>0</v>
      </c>
      <c r="Z74">
        <v>0</v>
      </c>
      <c r="AA74" s="5">
        <v>44004.333333333336</v>
      </c>
      <c r="AB74" s="5">
        <v>43994</v>
      </c>
      <c r="AC74" s="5">
        <v>44012</v>
      </c>
      <c r="AD74" s="5">
        <v>44018.333333333336</v>
      </c>
      <c r="AE74" s="5">
        <v>44018.333333333336</v>
      </c>
      <c r="AG74" s="5">
        <v>44044</v>
      </c>
      <c r="AH74" s="5">
        <v>44044</v>
      </c>
      <c r="AK74" s="5">
        <v>44011.333333333336</v>
      </c>
      <c r="AL74" s="5">
        <v>44013.666666666664</v>
      </c>
      <c r="AO74" t="s">
        <v>1523</v>
      </c>
      <c r="AP74" t="s">
        <v>418</v>
      </c>
      <c r="AU74" t="s">
        <v>1524</v>
      </c>
      <c r="AY74" t="s">
        <v>37</v>
      </c>
      <c r="AZ74">
        <v>0</v>
      </c>
      <c r="BA74">
        <v>0</v>
      </c>
      <c r="BI74" s="5">
        <v>44048.176388888889</v>
      </c>
      <c r="BJ74" s="5">
        <v>44048.176388888889</v>
      </c>
      <c r="BK74" t="s">
        <v>778</v>
      </c>
      <c r="BL74" t="s">
        <v>778</v>
      </c>
      <c r="BN74" t="s">
        <v>37</v>
      </c>
    </row>
    <row r="75" spans="1:66" x14ac:dyDescent="0.2">
      <c r="A75">
        <v>3692632</v>
      </c>
      <c r="B75">
        <v>21883</v>
      </c>
      <c r="C75">
        <v>523873</v>
      </c>
      <c r="D75">
        <v>15320</v>
      </c>
      <c r="E75">
        <v>100</v>
      </c>
      <c r="F75" t="s">
        <v>37</v>
      </c>
      <c r="G75">
        <v>1</v>
      </c>
      <c r="H75" t="s">
        <v>37</v>
      </c>
      <c r="I75" t="s">
        <v>37</v>
      </c>
      <c r="J75" t="s">
        <v>775</v>
      </c>
      <c r="K75" t="s">
        <v>230</v>
      </c>
      <c r="L75" t="s">
        <v>226</v>
      </c>
      <c r="M75" t="s">
        <v>422</v>
      </c>
      <c r="N75" t="s">
        <v>1525</v>
      </c>
      <c r="O75" t="s">
        <v>1526</v>
      </c>
      <c r="S75">
        <v>0</v>
      </c>
      <c r="T75">
        <v>0</v>
      </c>
      <c r="U75">
        <v>0</v>
      </c>
      <c r="V75">
        <v>0</v>
      </c>
      <c r="W75">
        <v>104</v>
      </c>
      <c r="X75">
        <v>0</v>
      </c>
      <c r="Y75">
        <v>0</v>
      </c>
      <c r="Z75">
        <v>0</v>
      </c>
      <c r="AB75" s="5">
        <v>43713</v>
      </c>
      <c r="AC75" s="5">
        <v>43733</v>
      </c>
      <c r="AD75" s="5">
        <v>43970.333333333336</v>
      </c>
      <c r="AE75" s="5">
        <v>43970.333333333336</v>
      </c>
      <c r="AG75" s="5">
        <v>44044</v>
      </c>
      <c r="AH75" s="5">
        <v>44044</v>
      </c>
      <c r="AK75" s="5">
        <v>43717.333333333336</v>
      </c>
      <c r="AL75" s="5">
        <v>43735.666666666664</v>
      </c>
      <c r="AP75" t="s">
        <v>418</v>
      </c>
      <c r="AU75" t="s">
        <v>1527</v>
      </c>
      <c r="AY75" t="s">
        <v>40</v>
      </c>
      <c r="AZ75">
        <v>0</v>
      </c>
      <c r="BA75">
        <v>0</v>
      </c>
      <c r="BI75" s="5">
        <v>44048.176388888889</v>
      </c>
      <c r="BJ75" s="5">
        <v>44048.176388888889</v>
      </c>
      <c r="BK75" t="s">
        <v>778</v>
      </c>
      <c r="BL75" t="s">
        <v>778</v>
      </c>
      <c r="BN75" t="s">
        <v>37</v>
      </c>
    </row>
    <row r="76" spans="1:66" x14ac:dyDescent="0.2">
      <c r="A76">
        <v>3692633</v>
      </c>
      <c r="B76">
        <v>21883</v>
      </c>
      <c r="C76">
        <v>523932</v>
      </c>
      <c r="D76">
        <v>15320</v>
      </c>
      <c r="E76">
        <v>0</v>
      </c>
      <c r="F76" t="s">
        <v>37</v>
      </c>
      <c r="G76">
        <v>1</v>
      </c>
      <c r="H76" t="s">
        <v>37</v>
      </c>
      <c r="I76" t="s">
        <v>37</v>
      </c>
      <c r="J76" t="s">
        <v>775</v>
      </c>
      <c r="K76" t="s">
        <v>230</v>
      </c>
      <c r="L76" t="s">
        <v>226</v>
      </c>
      <c r="M76" t="s">
        <v>417</v>
      </c>
      <c r="N76" t="s">
        <v>1528</v>
      </c>
      <c r="O76" t="s">
        <v>1529</v>
      </c>
      <c r="Q76">
        <v>-8</v>
      </c>
      <c r="R76">
        <v>0</v>
      </c>
      <c r="S76">
        <v>160</v>
      </c>
      <c r="T76">
        <v>0</v>
      </c>
      <c r="U76">
        <v>0</v>
      </c>
      <c r="V76">
        <v>0</v>
      </c>
      <c r="W76">
        <v>160</v>
      </c>
      <c r="X76">
        <v>0</v>
      </c>
      <c r="Y76">
        <v>0</v>
      </c>
      <c r="Z76">
        <v>0</v>
      </c>
      <c r="AD76" s="5">
        <v>44083.333333333336</v>
      </c>
      <c r="AE76" s="5">
        <v>44116.666666666664</v>
      </c>
      <c r="AG76" s="5">
        <v>44084.333333333336</v>
      </c>
      <c r="AH76" s="5">
        <v>44117.666666666664</v>
      </c>
      <c r="AI76" s="5">
        <v>44084.333333333336</v>
      </c>
      <c r="AJ76" s="5">
        <v>44117.666666666664</v>
      </c>
      <c r="AK76" s="5">
        <v>44084.333333333336</v>
      </c>
      <c r="AL76" s="5">
        <v>44117.666666666664</v>
      </c>
      <c r="AM76" s="5">
        <v>44083.333333333336</v>
      </c>
      <c r="AN76" s="5">
        <v>44116.666666666664</v>
      </c>
      <c r="AP76" t="s">
        <v>418</v>
      </c>
      <c r="AU76" t="s">
        <v>1530</v>
      </c>
      <c r="AY76" t="s">
        <v>37</v>
      </c>
      <c r="AZ76">
        <v>0</v>
      </c>
      <c r="BA76">
        <v>0</v>
      </c>
      <c r="BI76" s="5">
        <v>44048.176388888889</v>
      </c>
      <c r="BJ76" s="5">
        <v>44048.176388888889</v>
      </c>
      <c r="BK76" t="s">
        <v>778</v>
      </c>
      <c r="BL76" t="s">
        <v>778</v>
      </c>
      <c r="BN76" t="s">
        <v>37</v>
      </c>
    </row>
    <row r="77" spans="1:66" x14ac:dyDescent="0.2">
      <c r="A77">
        <v>3692634</v>
      </c>
      <c r="B77">
        <v>21883</v>
      </c>
      <c r="C77">
        <v>523910</v>
      </c>
      <c r="D77">
        <v>15320</v>
      </c>
      <c r="E77">
        <v>100</v>
      </c>
      <c r="F77" t="s">
        <v>37</v>
      </c>
      <c r="G77">
        <v>1</v>
      </c>
      <c r="H77" t="s">
        <v>37</v>
      </c>
      <c r="I77" t="s">
        <v>37</v>
      </c>
      <c r="J77" t="s">
        <v>775</v>
      </c>
      <c r="K77" t="s">
        <v>230</v>
      </c>
      <c r="L77" t="s">
        <v>226</v>
      </c>
      <c r="M77" t="s">
        <v>422</v>
      </c>
      <c r="N77" t="s">
        <v>1531</v>
      </c>
      <c r="O77" t="s">
        <v>1532</v>
      </c>
      <c r="S77">
        <v>0</v>
      </c>
      <c r="T77">
        <v>0</v>
      </c>
      <c r="U77">
        <v>0</v>
      </c>
      <c r="V77">
        <v>0</v>
      </c>
      <c r="W77">
        <v>40</v>
      </c>
      <c r="X77">
        <v>0</v>
      </c>
      <c r="Y77">
        <v>0</v>
      </c>
      <c r="Z77">
        <v>0</v>
      </c>
      <c r="AB77" s="5">
        <v>43903</v>
      </c>
      <c r="AC77" s="5">
        <v>43915</v>
      </c>
      <c r="AD77" s="5">
        <v>43970.333333333336</v>
      </c>
      <c r="AE77" s="5">
        <v>43970.333333333336</v>
      </c>
      <c r="AG77" s="5">
        <v>44044</v>
      </c>
      <c r="AH77" s="5">
        <v>44044</v>
      </c>
      <c r="AK77" s="5">
        <v>43901.333333333336</v>
      </c>
      <c r="AL77" s="5">
        <v>43907.666666666664</v>
      </c>
      <c r="AP77" t="s">
        <v>418</v>
      </c>
      <c r="AU77" t="s">
        <v>1533</v>
      </c>
      <c r="AY77" t="s">
        <v>40</v>
      </c>
      <c r="AZ77">
        <v>0</v>
      </c>
      <c r="BA77">
        <v>0</v>
      </c>
      <c r="BI77" s="5">
        <v>44048.176388888889</v>
      </c>
      <c r="BJ77" s="5">
        <v>44048.176388888889</v>
      </c>
      <c r="BK77" t="s">
        <v>778</v>
      </c>
      <c r="BL77" t="s">
        <v>778</v>
      </c>
      <c r="BN77" t="s">
        <v>37</v>
      </c>
    </row>
    <row r="78" spans="1:66" x14ac:dyDescent="0.2">
      <c r="A78">
        <v>3692635</v>
      </c>
      <c r="B78">
        <v>21883</v>
      </c>
      <c r="C78">
        <v>523869</v>
      </c>
      <c r="D78">
        <v>15320</v>
      </c>
      <c r="E78">
        <v>100</v>
      </c>
      <c r="F78" t="s">
        <v>37</v>
      </c>
      <c r="G78">
        <v>1</v>
      </c>
      <c r="H78" t="s">
        <v>37</v>
      </c>
      <c r="I78" t="s">
        <v>37</v>
      </c>
      <c r="J78" t="s">
        <v>775</v>
      </c>
      <c r="K78" t="s">
        <v>230</v>
      </c>
      <c r="L78" t="s">
        <v>226</v>
      </c>
      <c r="M78" t="s">
        <v>422</v>
      </c>
      <c r="N78" t="s">
        <v>1534</v>
      </c>
      <c r="O78" t="s">
        <v>1535</v>
      </c>
      <c r="S78">
        <v>0</v>
      </c>
      <c r="T78">
        <v>0</v>
      </c>
      <c r="U78">
        <v>0</v>
      </c>
      <c r="V78">
        <v>0</v>
      </c>
      <c r="W78">
        <v>32</v>
      </c>
      <c r="X78">
        <v>0</v>
      </c>
      <c r="Y78">
        <v>0</v>
      </c>
      <c r="Z78">
        <v>0</v>
      </c>
      <c r="AB78" s="5">
        <v>43706</v>
      </c>
      <c r="AC78" s="5">
        <v>43714</v>
      </c>
      <c r="AD78" s="5">
        <v>43970.333333333336</v>
      </c>
      <c r="AE78" s="5">
        <v>43970.333333333336</v>
      </c>
      <c r="AG78" s="5">
        <v>44044</v>
      </c>
      <c r="AH78" s="5">
        <v>44044</v>
      </c>
      <c r="AK78" s="5">
        <v>43711.333333333336</v>
      </c>
      <c r="AL78" s="5">
        <v>43714.666666666664</v>
      </c>
      <c r="AP78" t="s">
        <v>418</v>
      </c>
      <c r="AU78" t="s">
        <v>1536</v>
      </c>
      <c r="AY78" t="s">
        <v>40</v>
      </c>
      <c r="AZ78">
        <v>0</v>
      </c>
      <c r="BA78">
        <v>0</v>
      </c>
      <c r="BI78" s="5">
        <v>44048.176388888889</v>
      </c>
      <c r="BJ78" s="5">
        <v>44048.176388888889</v>
      </c>
      <c r="BK78" t="s">
        <v>778</v>
      </c>
      <c r="BL78" t="s">
        <v>778</v>
      </c>
      <c r="BN78" t="s">
        <v>37</v>
      </c>
    </row>
    <row r="79" spans="1:66" x14ac:dyDescent="0.2">
      <c r="A79">
        <v>3692636</v>
      </c>
      <c r="B79">
        <v>21883</v>
      </c>
      <c r="C79">
        <v>523845</v>
      </c>
      <c r="D79">
        <v>15320</v>
      </c>
      <c r="E79">
        <v>100</v>
      </c>
      <c r="F79" t="s">
        <v>37</v>
      </c>
      <c r="G79">
        <v>1</v>
      </c>
      <c r="H79" t="s">
        <v>37</v>
      </c>
      <c r="I79" t="s">
        <v>37</v>
      </c>
      <c r="J79" t="s">
        <v>775</v>
      </c>
      <c r="K79" t="s">
        <v>230</v>
      </c>
      <c r="L79" t="s">
        <v>226</v>
      </c>
      <c r="M79" t="s">
        <v>422</v>
      </c>
      <c r="N79" t="s">
        <v>1537</v>
      </c>
      <c r="O79" t="s">
        <v>1538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B79" s="5">
        <v>44013</v>
      </c>
      <c r="AC79" s="5">
        <v>44013</v>
      </c>
      <c r="AD79" s="5">
        <v>44306.666666666664</v>
      </c>
      <c r="AE79" s="5">
        <v>44306.666666666664</v>
      </c>
      <c r="AG79" s="5">
        <v>44044</v>
      </c>
      <c r="AH79" s="5">
        <v>44044</v>
      </c>
      <c r="AK79" s="5">
        <v>44034.333333333336</v>
      </c>
      <c r="AL79" s="5">
        <v>44034.333333333336</v>
      </c>
      <c r="AP79" t="s">
        <v>418</v>
      </c>
      <c r="AU79" t="s">
        <v>1539</v>
      </c>
      <c r="AY79" t="s">
        <v>37</v>
      </c>
      <c r="AZ79">
        <v>0</v>
      </c>
      <c r="BA79">
        <v>0</v>
      </c>
      <c r="BI79" s="5">
        <v>44048.176388888889</v>
      </c>
      <c r="BJ79" s="5">
        <v>44048.176388888889</v>
      </c>
      <c r="BK79" t="s">
        <v>778</v>
      </c>
      <c r="BL79" t="s">
        <v>778</v>
      </c>
      <c r="BN79" t="s">
        <v>37</v>
      </c>
    </row>
    <row r="80" spans="1:66" x14ac:dyDescent="0.2">
      <c r="A80">
        <v>3692637</v>
      </c>
      <c r="B80">
        <v>21883</v>
      </c>
      <c r="C80">
        <v>523844</v>
      </c>
      <c r="D80">
        <v>15320</v>
      </c>
      <c r="E80">
        <v>100</v>
      </c>
      <c r="F80" t="s">
        <v>37</v>
      </c>
      <c r="G80">
        <v>1</v>
      </c>
      <c r="H80" t="s">
        <v>37</v>
      </c>
      <c r="I80" t="s">
        <v>37</v>
      </c>
      <c r="J80" t="s">
        <v>775</v>
      </c>
      <c r="K80" t="s">
        <v>230</v>
      </c>
      <c r="L80" t="s">
        <v>226</v>
      </c>
      <c r="M80" t="s">
        <v>422</v>
      </c>
      <c r="N80" t="s">
        <v>1540</v>
      </c>
      <c r="O80" t="s">
        <v>1541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B80" s="5">
        <v>44013</v>
      </c>
      <c r="AC80" s="5">
        <v>44013</v>
      </c>
      <c r="AD80" s="5">
        <v>44306.666666666664</v>
      </c>
      <c r="AE80" s="5">
        <v>44306.666666666664</v>
      </c>
      <c r="AG80" s="5">
        <v>44044</v>
      </c>
      <c r="AH80" s="5">
        <v>44044</v>
      </c>
      <c r="AK80" s="5">
        <v>44034.333333333336</v>
      </c>
      <c r="AL80" s="5">
        <v>44034.333333333336</v>
      </c>
      <c r="AP80" t="s">
        <v>418</v>
      </c>
      <c r="AU80" t="s">
        <v>1542</v>
      </c>
      <c r="AY80" t="s">
        <v>37</v>
      </c>
      <c r="AZ80">
        <v>0</v>
      </c>
      <c r="BA80">
        <v>0</v>
      </c>
      <c r="BI80" s="5">
        <v>44048.176388888889</v>
      </c>
      <c r="BJ80" s="5">
        <v>44048.176388888889</v>
      </c>
      <c r="BK80" t="s">
        <v>778</v>
      </c>
      <c r="BL80" t="s">
        <v>778</v>
      </c>
      <c r="BN80" t="s">
        <v>37</v>
      </c>
    </row>
    <row r="81" spans="1:66" x14ac:dyDescent="0.2">
      <c r="A81">
        <v>3692638</v>
      </c>
      <c r="B81">
        <v>21883</v>
      </c>
      <c r="C81">
        <v>523909</v>
      </c>
      <c r="D81">
        <v>15320</v>
      </c>
      <c r="E81">
        <v>100</v>
      </c>
      <c r="F81" t="s">
        <v>37</v>
      </c>
      <c r="G81">
        <v>1</v>
      </c>
      <c r="H81" t="s">
        <v>37</v>
      </c>
      <c r="I81" t="s">
        <v>37</v>
      </c>
      <c r="J81" t="s">
        <v>775</v>
      </c>
      <c r="K81" t="s">
        <v>230</v>
      </c>
      <c r="L81" t="s">
        <v>226</v>
      </c>
      <c r="M81" t="s">
        <v>422</v>
      </c>
      <c r="N81" t="s">
        <v>1543</v>
      </c>
      <c r="O81" t="s">
        <v>1544</v>
      </c>
      <c r="S81">
        <v>0</v>
      </c>
      <c r="T81">
        <v>0</v>
      </c>
      <c r="U81">
        <v>0</v>
      </c>
      <c r="V81">
        <v>0</v>
      </c>
      <c r="W81">
        <v>32</v>
      </c>
      <c r="X81">
        <v>0</v>
      </c>
      <c r="Y81">
        <v>0</v>
      </c>
      <c r="Z81">
        <v>0</v>
      </c>
      <c r="AB81" s="5">
        <v>43928</v>
      </c>
      <c r="AC81" s="5">
        <v>43965</v>
      </c>
      <c r="AD81" s="5">
        <v>43970.333333333336</v>
      </c>
      <c r="AE81" s="5">
        <v>43970.333333333336</v>
      </c>
      <c r="AG81" s="5">
        <v>44044</v>
      </c>
      <c r="AH81" s="5">
        <v>44044</v>
      </c>
      <c r="AK81" s="5">
        <v>43937.333333333336</v>
      </c>
      <c r="AL81" s="5">
        <v>43943.666666666664</v>
      </c>
      <c r="AP81" t="s">
        <v>418</v>
      </c>
      <c r="AU81" t="s">
        <v>1545</v>
      </c>
      <c r="AV81" t="s">
        <v>1546</v>
      </c>
      <c r="AY81" t="s">
        <v>40</v>
      </c>
      <c r="AZ81">
        <v>0</v>
      </c>
      <c r="BA81">
        <v>0</v>
      </c>
      <c r="BI81" s="5">
        <v>44048.176388888889</v>
      </c>
      <c r="BJ81" s="5">
        <v>44048.176388888889</v>
      </c>
      <c r="BK81" t="s">
        <v>778</v>
      </c>
      <c r="BL81" t="s">
        <v>778</v>
      </c>
      <c r="BN81" t="s">
        <v>37</v>
      </c>
    </row>
    <row r="82" spans="1:66" x14ac:dyDescent="0.2">
      <c r="A82">
        <v>3692639</v>
      </c>
      <c r="B82">
        <v>21883</v>
      </c>
      <c r="C82">
        <v>523909</v>
      </c>
      <c r="D82">
        <v>15320</v>
      </c>
      <c r="E82">
        <v>100</v>
      </c>
      <c r="F82" t="s">
        <v>37</v>
      </c>
      <c r="G82">
        <v>1</v>
      </c>
      <c r="H82" t="s">
        <v>37</v>
      </c>
      <c r="I82" t="s">
        <v>37</v>
      </c>
      <c r="J82" t="s">
        <v>775</v>
      </c>
      <c r="K82" t="s">
        <v>230</v>
      </c>
      <c r="L82" t="s">
        <v>226</v>
      </c>
      <c r="M82" t="s">
        <v>422</v>
      </c>
      <c r="N82" t="s">
        <v>1547</v>
      </c>
      <c r="O82" t="s">
        <v>1548</v>
      </c>
      <c r="S82">
        <v>0</v>
      </c>
      <c r="T82">
        <v>0</v>
      </c>
      <c r="U82">
        <v>0</v>
      </c>
      <c r="V82">
        <v>0</v>
      </c>
      <c r="W82">
        <v>48</v>
      </c>
      <c r="X82">
        <v>0</v>
      </c>
      <c r="Y82">
        <v>0</v>
      </c>
      <c r="Z82">
        <v>0</v>
      </c>
      <c r="AB82" s="5">
        <v>43921</v>
      </c>
      <c r="AC82" s="5">
        <v>43927</v>
      </c>
      <c r="AD82" s="5">
        <v>43970.333333333336</v>
      </c>
      <c r="AE82" s="5">
        <v>43970.333333333336</v>
      </c>
      <c r="AG82" s="5">
        <v>44044</v>
      </c>
      <c r="AH82" s="5">
        <v>44044</v>
      </c>
      <c r="AK82" s="5">
        <v>43951.333333333336</v>
      </c>
      <c r="AL82" s="5">
        <v>43962.666666666664</v>
      </c>
      <c r="AP82" t="s">
        <v>418</v>
      </c>
      <c r="AU82" t="s">
        <v>1549</v>
      </c>
      <c r="AV82" t="s">
        <v>1550</v>
      </c>
      <c r="AY82" t="s">
        <v>40</v>
      </c>
      <c r="AZ82">
        <v>0</v>
      </c>
      <c r="BA82">
        <v>0</v>
      </c>
      <c r="BI82" s="5">
        <v>44048.176388888889</v>
      </c>
      <c r="BJ82" s="5">
        <v>44048.176388888889</v>
      </c>
      <c r="BK82" t="s">
        <v>778</v>
      </c>
      <c r="BL82" t="s">
        <v>778</v>
      </c>
      <c r="BN82" t="s">
        <v>37</v>
      </c>
    </row>
    <row r="83" spans="1:66" x14ac:dyDescent="0.2">
      <c r="A83">
        <v>3692640</v>
      </c>
      <c r="B83">
        <v>21883</v>
      </c>
      <c r="C83">
        <v>523909</v>
      </c>
      <c r="D83">
        <v>15320</v>
      </c>
      <c r="E83">
        <v>100</v>
      </c>
      <c r="F83" t="s">
        <v>37</v>
      </c>
      <c r="G83">
        <v>1</v>
      </c>
      <c r="H83" t="s">
        <v>37</v>
      </c>
      <c r="I83" t="s">
        <v>37</v>
      </c>
      <c r="J83" t="s">
        <v>775</v>
      </c>
      <c r="K83" t="s">
        <v>230</v>
      </c>
      <c r="L83" t="s">
        <v>226</v>
      </c>
      <c r="M83" t="s">
        <v>422</v>
      </c>
      <c r="N83" t="s">
        <v>1551</v>
      </c>
      <c r="O83" t="s">
        <v>1552</v>
      </c>
      <c r="S83">
        <v>0</v>
      </c>
      <c r="T83">
        <v>0</v>
      </c>
      <c r="U83">
        <v>0</v>
      </c>
      <c r="V83">
        <v>0</v>
      </c>
      <c r="W83">
        <v>16</v>
      </c>
      <c r="X83">
        <v>0</v>
      </c>
      <c r="Y83">
        <v>0</v>
      </c>
      <c r="Z83">
        <v>0</v>
      </c>
      <c r="AB83" s="5">
        <v>43920</v>
      </c>
      <c r="AC83" s="5">
        <v>43921</v>
      </c>
      <c r="AD83" s="5">
        <v>43970.333333333336</v>
      </c>
      <c r="AE83" s="5">
        <v>43970.333333333336</v>
      </c>
      <c r="AG83" s="5">
        <v>44044</v>
      </c>
      <c r="AH83" s="5">
        <v>44044</v>
      </c>
      <c r="AK83" s="5">
        <v>43951.333333333336</v>
      </c>
      <c r="AL83" s="5">
        <v>43955.666666666664</v>
      </c>
      <c r="AP83" t="s">
        <v>418</v>
      </c>
      <c r="AU83" t="s">
        <v>1553</v>
      </c>
      <c r="AV83" t="s">
        <v>1554</v>
      </c>
      <c r="AY83" t="s">
        <v>40</v>
      </c>
      <c r="AZ83">
        <v>0</v>
      </c>
      <c r="BA83">
        <v>0</v>
      </c>
      <c r="BI83" s="5">
        <v>44048.176388888889</v>
      </c>
      <c r="BJ83" s="5">
        <v>44048.176388888889</v>
      </c>
      <c r="BK83" t="s">
        <v>778</v>
      </c>
      <c r="BL83" t="s">
        <v>778</v>
      </c>
      <c r="BN83" t="s">
        <v>37</v>
      </c>
    </row>
    <row r="84" spans="1:66" x14ac:dyDescent="0.2">
      <c r="A84">
        <v>3692641</v>
      </c>
      <c r="B84">
        <v>21883</v>
      </c>
      <c r="C84">
        <v>523909</v>
      </c>
      <c r="D84">
        <v>15320</v>
      </c>
      <c r="E84">
        <v>100</v>
      </c>
      <c r="F84" t="s">
        <v>37</v>
      </c>
      <c r="G84">
        <v>1</v>
      </c>
      <c r="H84" t="s">
        <v>37</v>
      </c>
      <c r="I84" t="s">
        <v>37</v>
      </c>
      <c r="J84" t="s">
        <v>775</v>
      </c>
      <c r="K84" t="s">
        <v>230</v>
      </c>
      <c r="L84" t="s">
        <v>226</v>
      </c>
      <c r="M84" t="s">
        <v>422</v>
      </c>
      <c r="N84" t="s">
        <v>1555</v>
      </c>
      <c r="O84" t="s">
        <v>1556</v>
      </c>
      <c r="S84">
        <v>0</v>
      </c>
      <c r="T84">
        <v>0</v>
      </c>
      <c r="U84">
        <v>0</v>
      </c>
      <c r="V84">
        <v>0</v>
      </c>
      <c r="W84">
        <v>80</v>
      </c>
      <c r="X84">
        <v>0</v>
      </c>
      <c r="Y84">
        <v>0</v>
      </c>
      <c r="Z84">
        <v>0</v>
      </c>
      <c r="AB84" s="5">
        <v>43906.333333333336</v>
      </c>
      <c r="AC84" s="5">
        <v>43920</v>
      </c>
      <c r="AD84" s="5">
        <v>43970.333333333336</v>
      </c>
      <c r="AE84" s="5">
        <v>43970.333333333336</v>
      </c>
      <c r="AG84" s="5">
        <v>44044</v>
      </c>
      <c r="AH84" s="5">
        <v>44044</v>
      </c>
      <c r="AK84" s="5">
        <v>43906.333333333336</v>
      </c>
      <c r="AL84" s="5">
        <v>43920.666666666664</v>
      </c>
      <c r="AP84" t="s">
        <v>418</v>
      </c>
      <c r="AU84" t="s">
        <v>1557</v>
      </c>
      <c r="AV84" t="s">
        <v>1558</v>
      </c>
      <c r="AY84" t="s">
        <v>40</v>
      </c>
      <c r="AZ84">
        <v>0</v>
      </c>
      <c r="BA84">
        <v>0</v>
      </c>
      <c r="BI84" s="5">
        <v>44048.176388888889</v>
      </c>
      <c r="BJ84" s="5">
        <v>44048.176388888889</v>
      </c>
      <c r="BK84" t="s">
        <v>778</v>
      </c>
      <c r="BL84" t="s">
        <v>778</v>
      </c>
      <c r="BN84" t="s">
        <v>37</v>
      </c>
    </row>
    <row r="85" spans="1:66" x14ac:dyDescent="0.2">
      <c r="A85">
        <v>3692642</v>
      </c>
      <c r="B85">
        <v>21883</v>
      </c>
      <c r="C85">
        <v>523909</v>
      </c>
      <c r="D85">
        <v>15320</v>
      </c>
      <c r="E85">
        <v>100</v>
      </c>
      <c r="F85" t="s">
        <v>37</v>
      </c>
      <c r="G85">
        <v>1</v>
      </c>
      <c r="H85" t="s">
        <v>37</v>
      </c>
      <c r="I85" t="s">
        <v>37</v>
      </c>
      <c r="J85" t="s">
        <v>775</v>
      </c>
      <c r="K85" t="s">
        <v>230</v>
      </c>
      <c r="L85" t="s">
        <v>226</v>
      </c>
      <c r="M85" t="s">
        <v>422</v>
      </c>
      <c r="N85" t="s">
        <v>1559</v>
      </c>
      <c r="O85" t="s">
        <v>1560</v>
      </c>
      <c r="S85">
        <v>0</v>
      </c>
      <c r="T85">
        <v>0</v>
      </c>
      <c r="U85">
        <v>0</v>
      </c>
      <c r="V85">
        <v>0</v>
      </c>
      <c r="W85">
        <v>40</v>
      </c>
      <c r="X85">
        <v>0</v>
      </c>
      <c r="Y85">
        <v>0</v>
      </c>
      <c r="Z85">
        <v>0</v>
      </c>
      <c r="AB85" s="5">
        <v>43913</v>
      </c>
      <c r="AC85" s="5">
        <v>43914</v>
      </c>
      <c r="AD85" s="5">
        <v>44005.333333333336</v>
      </c>
      <c r="AE85" s="5">
        <v>44005.333333333336</v>
      </c>
      <c r="AG85" s="5">
        <v>44044</v>
      </c>
      <c r="AH85" s="5">
        <v>44044</v>
      </c>
      <c r="AK85" s="5">
        <v>43928.333333333336</v>
      </c>
      <c r="AL85" s="5">
        <v>43935.666666666664</v>
      </c>
      <c r="AP85" t="s">
        <v>418</v>
      </c>
      <c r="AU85" t="s">
        <v>1561</v>
      </c>
      <c r="AV85" t="s">
        <v>1562</v>
      </c>
      <c r="AY85" t="s">
        <v>37</v>
      </c>
      <c r="AZ85">
        <v>0</v>
      </c>
      <c r="BA85">
        <v>0</v>
      </c>
      <c r="BI85" s="5">
        <v>44048.176388888889</v>
      </c>
      <c r="BJ85" s="5">
        <v>44048.176388888889</v>
      </c>
      <c r="BK85" t="s">
        <v>778</v>
      </c>
      <c r="BL85" t="s">
        <v>778</v>
      </c>
      <c r="BN85" t="s">
        <v>37</v>
      </c>
    </row>
    <row r="86" spans="1:66" x14ac:dyDescent="0.2">
      <c r="A86">
        <v>3692643</v>
      </c>
      <c r="B86">
        <v>21883</v>
      </c>
      <c r="C86">
        <v>523909</v>
      </c>
      <c r="D86">
        <v>15320</v>
      </c>
      <c r="E86">
        <v>100</v>
      </c>
      <c r="F86" t="s">
        <v>37</v>
      </c>
      <c r="G86">
        <v>1</v>
      </c>
      <c r="H86" t="s">
        <v>37</v>
      </c>
      <c r="I86" t="s">
        <v>37</v>
      </c>
      <c r="J86" t="s">
        <v>775</v>
      </c>
      <c r="K86" t="s">
        <v>230</v>
      </c>
      <c r="L86" t="s">
        <v>226</v>
      </c>
      <c r="M86" t="s">
        <v>422</v>
      </c>
      <c r="N86" t="s">
        <v>1563</v>
      </c>
      <c r="O86" t="s">
        <v>1564</v>
      </c>
      <c r="S86">
        <v>0</v>
      </c>
      <c r="T86">
        <v>0</v>
      </c>
      <c r="U86">
        <v>0</v>
      </c>
      <c r="V86">
        <v>0</v>
      </c>
      <c r="W86">
        <v>40</v>
      </c>
      <c r="X86">
        <v>0</v>
      </c>
      <c r="Y86">
        <v>0</v>
      </c>
      <c r="Z86">
        <v>0</v>
      </c>
      <c r="AB86" s="5">
        <v>43915</v>
      </c>
      <c r="AC86" s="5">
        <v>43921</v>
      </c>
      <c r="AD86" s="5">
        <v>44005.333333333336</v>
      </c>
      <c r="AE86" s="5">
        <v>44005.333333333336</v>
      </c>
      <c r="AG86" s="5">
        <v>44044</v>
      </c>
      <c r="AH86" s="5">
        <v>44044</v>
      </c>
      <c r="AK86" s="5">
        <v>43928.333333333336</v>
      </c>
      <c r="AL86" s="5">
        <v>43935.666666666664</v>
      </c>
      <c r="AP86" t="s">
        <v>418</v>
      </c>
      <c r="AU86" t="s">
        <v>1565</v>
      </c>
      <c r="AV86" t="s">
        <v>1566</v>
      </c>
      <c r="AY86" t="s">
        <v>37</v>
      </c>
      <c r="AZ86">
        <v>0</v>
      </c>
      <c r="BA86">
        <v>0</v>
      </c>
      <c r="BI86" s="5">
        <v>44048.176388888889</v>
      </c>
      <c r="BJ86" s="5">
        <v>44048.176388888889</v>
      </c>
      <c r="BK86" t="s">
        <v>778</v>
      </c>
      <c r="BL86" t="s">
        <v>778</v>
      </c>
      <c r="BN86" t="s">
        <v>37</v>
      </c>
    </row>
    <row r="87" spans="1:66" x14ac:dyDescent="0.2">
      <c r="A87">
        <v>3692644</v>
      </c>
      <c r="B87">
        <v>21883</v>
      </c>
      <c r="C87">
        <v>523909</v>
      </c>
      <c r="D87">
        <v>15320</v>
      </c>
      <c r="E87">
        <v>100</v>
      </c>
      <c r="F87" t="s">
        <v>37</v>
      </c>
      <c r="G87">
        <v>1</v>
      </c>
      <c r="H87" t="s">
        <v>37</v>
      </c>
      <c r="I87" t="s">
        <v>37</v>
      </c>
      <c r="J87" t="s">
        <v>775</v>
      </c>
      <c r="K87" t="s">
        <v>230</v>
      </c>
      <c r="L87" t="s">
        <v>226</v>
      </c>
      <c r="M87" t="s">
        <v>422</v>
      </c>
      <c r="N87" t="s">
        <v>1567</v>
      </c>
      <c r="O87" t="s">
        <v>1568</v>
      </c>
      <c r="S87">
        <v>0</v>
      </c>
      <c r="T87">
        <v>0</v>
      </c>
      <c r="U87">
        <v>0</v>
      </c>
      <c r="V87">
        <v>0</v>
      </c>
      <c r="W87">
        <v>16</v>
      </c>
      <c r="X87">
        <v>0</v>
      </c>
      <c r="Y87">
        <v>0</v>
      </c>
      <c r="Z87">
        <v>0</v>
      </c>
      <c r="AB87" s="5">
        <v>43927</v>
      </c>
      <c r="AC87" s="5">
        <v>43928</v>
      </c>
      <c r="AD87" s="5">
        <v>44005.333333333336</v>
      </c>
      <c r="AE87" s="5">
        <v>44005.333333333336</v>
      </c>
      <c r="AG87" s="5">
        <v>44044</v>
      </c>
      <c r="AH87" s="5">
        <v>44044</v>
      </c>
      <c r="AK87" s="5">
        <v>43922.333333333336</v>
      </c>
      <c r="AL87" s="5">
        <v>43923.666666666664</v>
      </c>
      <c r="AP87" t="s">
        <v>418</v>
      </c>
      <c r="AU87" t="s">
        <v>1569</v>
      </c>
      <c r="AV87" t="s">
        <v>1570</v>
      </c>
      <c r="AY87" t="s">
        <v>37</v>
      </c>
      <c r="AZ87">
        <v>0</v>
      </c>
      <c r="BA87">
        <v>0</v>
      </c>
      <c r="BI87" s="5">
        <v>44048.176388888889</v>
      </c>
      <c r="BJ87" s="5">
        <v>44048.176388888889</v>
      </c>
      <c r="BK87" t="s">
        <v>778</v>
      </c>
      <c r="BL87" t="s">
        <v>778</v>
      </c>
      <c r="BN87" t="s">
        <v>37</v>
      </c>
    </row>
    <row r="88" spans="1:66" x14ac:dyDescent="0.2">
      <c r="A88">
        <v>3692645</v>
      </c>
      <c r="B88">
        <v>21883</v>
      </c>
      <c r="C88">
        <v>523909</v>
      </c>
      <c r="D88">
        <v>15320</v>
      </c>
      <c r="E88">
        <v>100</v>
      </c>
      <c r="F88" t="s">
        <v>37</v>
      </c>
      <c r="G88">
        <v>1</v>
      </c>
      <c r="H88" t="s">
        <v>37</v>
      </c>
      <c r="I88" t="s">
        <v>37</v>
      </c>
      <c r="J88" t="s">
        <v>775</v>
      </c>
      <c r="K88" t="s">
        <v>230</v>
      </c>
      <c r="L88" t="s">
        <v>226</v>
      </c>
      <c r="M88" t="s">
        <v>422</v>
      </c>
      <c r="N88" t="s">
        <v>1571</v>
      </c>
      <c r="O88" t="s">
        <v>1572</v>
      </c>
      <c r="S88">
        <v>0</v>
      </c>
      <c r="T88">
        <v>0</v>
      </c>
      <c r="U88">
        <v>0</v>
      </c>
      <c r="V88">
        <v>0</v>
      </c>
      <c r="W88">
        <v>88</v>
      </c>
      <c r="X88">
        <v>0</v>
      </c>
      <c r="Y88">
        <v>0</v>
      </c>
      <c r="Z88">
        <v>0</v>
      </c>
      <c r="AB88" s="5">
        <v>43906</v>
      </c>
      <c r="AC88" s="5">
        <v>43922.666666666664</v>
      </c>
      <c r="AD88" s="5">
        <v>44005.333333333336</v>
      </c>
      <c r="AE88" s="5">
        <v>44005.333333333336</v>
      </c>
      <c r="AG88" s="5">
        <v>44044</v>
      </c>
      <c r="AH88" s="5">
        <v>44044</v>
      </c>
      <c r="AK88" s="5">
        <v>43913.333333333336</v>
      </c>
      <c r="AL88" s="5">
        <v>43927.666666666664</v>
      </c>
      <c r="AP88" t="s">
        <v>418</v>
      </c>
      <c r="AU88" t="s">
        <v>1573</v>
      </c>
      <c r="AV88" t="s">
        <v>1574</v>
      </c>
      <c r="AY88" t="s">
        <v>37</v>
      </c>
      <c r="AZ88">
        <v>0</v>
      </c>
      <c r="BA88">
        <v>0</v>
      </c>
      <c r="BI88" s="5">
        <v>44048.176388888889</v>
      </c>
      <c r="BJ88" s="5">
        <v>44048.176388888889</v>
      </c>
      <c r="BK88" t="s">
        <v>778</v>
      </c>
      <c r="BL88" t="s">
        <v>778</v>
      </c>
      <c r="BN88" t="s">
        <v>37</v>
      </c>
    </row>
    <row r="89" spans="1:66" x14ac:dyDescent="0.2">
      <c r="A89">
        <v>3692646</v>
      </c>
      <c r="B89">
        <v>21883</v>
      </c>
      <c r="C89">
        <v>523909</v>
      </c>
      <c r="D89">
        <v>15320</v>
      </c>
      <c r="E89">
        <v>100</v>
      </c>
      <c r="F89" t="s">
        <v>37</v>
      </c>
      <c r="G89">
        <v>1</v>
      </c>
      <c r="H89" t="s">
        <v>37</v>
      </c>
      <c r="I89" t="s">
        <v>37</v>
      </c>
      <c r="J89" t="s">
        <v>775</v>
      </c>
      <c r="K89" t="s">
        <v>230</v>
      </c>
      <c r="L89" t="s">
        <v>226</v>
      </c>
      <c r="M89" t="s">
        <v>422</v>
      </c>
      <c r="N89" t="s">
        <v>1575</v>
      </c>
      <c r="O89" t="s">
        <v>1576</v>
      </c>
      <c r="S89">
        <v>0</v>
      </c>
      <c r="T89">
        <v>0</v>
      </c>
      <c r="U89">
        <v>0</v>
      </c>
      <c r="V89">
        <v>0</v>
      </c>
      <c r="W89">
        <v>80</v>
      </c>
      <c r="X89">
        <v>0</v>
      </c>
      <c r="Y89">
        <v>0</v>
      </c>
      <c r="Z89">
        <v>0</v>
      </c>
      <c r="AB89" s="5">
        <v>43906</v>
      </c>
      <c r="AC89" s="5">
        <v>43920</v>
      </c>
      <c r="AD89" s="5">
        <v>43970.333333333336</v>
      </c>
      <c r="AE89" s="5">
        <v>43970.333333333336</v>
      </c>
      <c r="AG89" s="5">
        <v>44044</v>
      </c>
      <c r="AH89" s="5">
        <v>44044</v>
      </c>
      <c r="AK89" s="5">
        <v>43909.333333333336</v>
      </c>
      <c r="AL89" s="5">
        <v>43922.666666666664</v>
      </c>
      <c r="AP89" t="s">
        <v>418</v>
      </c>
      <c r="AU89" t="s">
        <v>1577</v>
      </c>
      <c r="AV89" t="s">
        <v>1578</v>
      </c>
      <c r="AY89" t="s">
        <v>40</v>
      </c>
      <c r="AZ89">
        <v>0</v>
      </c>
      <c r="BA89">
        <v>0</v>
      </c>
      <c r="BI89" s="5">
        <v>44048.176388888889</v>
      </c>
      <c r="BJ89" s="5">
        <v>44048.176388888889</v>
      </c>
      <c r="BK89" t="s">
        <v>778</v>
      </c>
      <c r="BL89" t="s">
        <v>778</v>
      </c>
      <c r="BN89" t="s">
        <v>37</v>
      </c>
    </row>
    <row r="90" spans="1:66" x14ac:dyDescent="0.2">
      <c r="A90">
        <v>3692647</v>
      </c>
      <c r="B90">
        <v>21883</v>
      </c>
      <c r="C90">
        <v>523909</v>
      </c>
      <c r="D90">
        <v>15320</v>
      </c>
      <c r="E90">
        <v>100</v>
      </c>
      <c r="F90" t="s">
        <v>37</v>
      </c>
      <c r="G90">
        <v>1</v>
      </c>
      <c r="H90" t="s">
        <v>37</v>
      </c>
      <c r="I90" t="s">
        <v>37</v>
      </c>
      <c r="J90" t="s">
        <v>775</v>
      </c>
      <c r="K90" t="s">
        <v>230</v>
      </c>
      <c r="L90" t="s">
        <v>226</v>
      </c>
      <c r="M90" t="s">
        <v>422</v>
      </c>
      <c r="N90" t="s">
        <v>1579</v>
      </c>
      <c r="O90" t="s">
        <v>1580</v>
      </c>
      <c r="S90">
        <v>0</v>
      </c>
      <c r="T90">
        <v>0</v>
      </c>
      <c r="U90">
        <v>0</v>
      </c>
      <c r="V90">
        <v>0</v>
      </c>
      <c r="W90">
        <v>8</v>
      </c>
      <c r="X90">
        <v>0</v>
      </c>
      <c r="Y90">
        <v>0</v>
      </c>
      <c r="Z90">
        <v>0</v>
      </c>
      <c r="AB90" s="5">
        <v>43907.333333333336</v>
      </c>
      <c r="AC90" s="5">
        <v>43907.666666666664</v>
      </c>
      <c r="AD90" s="5">
        <v>43970.333333333336</v>
      </c>
      <c r="AE90" s="5">
        <v>43970.333333333336</v>
      </c>
      <c r="AG90" s="5">
        <v>44044</v>
      </c>
      <c r="AH90" s="5">
        <v>44044</v>
      </c>
      <c r="AK90" s="5">
        <v>43907.333333333336</v>
      </c>
      <c r="AL90" s="5">
        <v>43907.666666666664</v>
      </c>
      <c r="AP90" t="s">
        <v>418</v>
      </c>
      <c r="AU90" t="s">
        <v>1581</v>
      </c>
      <c r="AV90" t="s">
        <v>1582</v>
      </c>
      <c r="AY90" t="s">
        <v>40</v>
      </c>
      <c r="AZ90">
        <v>0</v>
      </c>
      <c r="BA90">
        <v>0</v>
      </c>
      <c r="BI90" s="5">
        <v>44048.176388888889</v>
      </c>
      <c r="BJ90" s="5">
        <v>44048.176388888889</v>
      </c>
      <c r="BK90" t="s">
        <v>778</v>
      </c>
      <c r="BL90" t="s">
        <v>778</v>
      </c>
      <c r="BN90" t="s">
        <v>37</v>
      </c>
    </row>
    <row r="91" spans="1:66" x14ac:dyDescent="0.2">
      <c r="A91">
        <v>3692648</v>
      </c>
      <c r="B91">
        <v>21883</v>
      </c>
      <c r="C91">
        <v>523909</v>
      </c>
      <c r="D91">
        <v>52899</v>
      </c>
      <c r="E91">
        <v>100</v>
      </c>
      <c r="F91" t="s">
        <v>37</v>
      </c>
      <c r="G91">
        <v>1</v>
      </c>
      <c r="H91" t="s">
        <v>37</v>
      </c>
      <c r="I91" t="s">
        <v>37</v>
      </c>
      <c r="J91" t="s">
        <v>775</v>
      </c>
      <c r="K91" t="s">
        <v>230</v>
      </c>
      <c r="L91" t="s">
        <v>226</v>
      </c>
      <c r="M91" t="s">
        <v>422</v>
      </c>
      <c r="N91" t="s">
        <v>1583</v>
      </c>
      <c r="O91" t="s">
        <v>1584</v>
      </c>
      <c r="S91">
        <v>0</v>
      </c>
      <c r="T91">
        <v>0</v>
      </c>
      <c r="U91">
        <v>0</v>
      </c>
      <c r="V91">
        <v>0</v>
      </c>
      <c r="W91">
        <v>16</v>
      </c>
      <c r="X91">
        <v>0</v>
      </c>
      <c r="Y91">
        <v>0</v>
      </c>
      <c r="Z91">
        <v>0</v>
      </c>
      <c r="AB91" s="5">
        <v>43903.333333333336</v>
      </c>
      <c r="AC91" s="5">
        <v>43906.666666666664</v>
      </c>
      <c r="AD91" s="5">
        <v>43970.333333333336</v>
      </c>
      <c r="AE91" s="5">
        <v>43970.333333333336</v>
      </c>
      <c r="AG91" s="5">
        <v>44044</v>
      </c>
      <c r="AH91" s="5">
        <v>44044</v>
      </c>
      <c r="AK91" s="5">
        <v>43903.333333333336</v>
      </c>
      <c r="AL91" s="5">
        <v>43906.666666666664</v>
      </c>
      <c r="AP91" t="s">
        <v>418</v>
      </c>
      <c r="AU91" t="s">
        <v>1585</v>
      </c>
      <c r="AV91" t="s">
        <v>1586</v>
      </c>
      <c r="AY91" t="s">
        <v>40</v>
      </c>
      <c r="AZ91">
        <v>0</v>
      </c>
      <c r="BA91">
        <v>0</v>
      </c>
      <c r="BI91" s="5">
        <v>44048.176388888889</v>
      </c>
      <c r="BJ91" s="5">
        <v>44048.176388888889</v>
      </c>
      <c r="BK91" t="s">
        <v>778</v>
      </c>
      <c r="BL91" t="s">
        <v>778</v>
      </c>
      <c r="BN91" t="s">
        <v>37</v>
      </c>
    </row>
    <row r="92" spans="1:66" x14ac:dyDescent="0.2">
      <c r="A92">
        <v>3692649</v>
      </c>
      <c r="B92">
        <v>21883</v>
      </c>
      <c r="C92">
        <v>524018</v>
      </c>
      <c r="D92">
        <v>52899</v>
      </c>
      <c r="E92">
        <v>0</v>
      </c>
      <c r="F92" t="s">
        <v>37</v>
      </c>
      <c r="G92">
        <v>1</v>
      </c>
      <c r="H92" t="s">
        <v>37</v>
      </c>
      <c r="I92" t="s">
        <v>37</v>
      </c>
      <c r="J92" t="s">
        <v>775</v>
      </c>
      <c r="K92" t="s">
        <v>423</v>
      </c>
      <c r="L92" t="s">
        <v>420</v>
      </c>
      <c r="M92" t="s">
        <v>417</v>
      </c>
      <c r="N92" t="s">
        <v>1587</v>
      </c>
      <c r="O92" t="s">
        <v>1588</v>
      </c>
      <c r="Q92">
        <v>-176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D92" s="5">
        <v>44008.666666666664</v>
      </c>
      <c r="AE92" s="5">
        <v>44008.666666666664</v>
      </c>
      <c r="AG92" s="5">
        <v>44046.333333333336</v>
      </c>
      <c r="AH92" s="5">
        <v>44046.333333333336</v>
      </c>
      <c r="AI92" s="5">
        <v>44046.333333333336</v>
      </c>
      <c r="AJ92" s="5">
        <v>44046.333333333336</v>
      </c>
      <c r="AK92" s="5">
        <v>44046.333333333336</v>
      </c>
      <c r="AL92" s="5">
        <v>44046.333333333336</v>
      </c>
      <c r="AM92" s="5">
        <v>44008.666666666664</v>
      </c>
      <c r="AN92" s="5">
        <v>44008.666666666664</v>
      </c>
      <c r="AP92" t="s">
        <v>418</v>
      </c>
      <c r="AU92" t="s">
        <v>1589</v>
      </c>
      <c r="AV92" t="s">
        <v>1590</v>
      </c>
      <c r="AY92" t="s">
        <v>37</v>
      </c>
      <c r="AZ92">
        <v>0</v>
      </c>
      <c r="BA92">
        <v>0</v>
      </c>
      <c r="BI92" s="5">
        <v>44048.176388888889</v>
      </c>
      <c r="BJ92" s="5">
        <v>44048.176388888889</v>
      </c>
      <c r="BK92" t="s">
        <v>778</v>
      </c>
      <c r="BL92" t="s">
        <v>778</v>
      </c>
      <c r="BN92" t="s">
        <v>37</v>
      </c>
    </row>
    <row r="93" spans="1:66" x14ac:dyDescent="0.2">
      <c r="A93">
        <v>3692650</v>
      </c>
      <c r="B93">
        <v>21883</v>
      </c>
      <c r="C93">
        <v>523926</v>
      </c>
      <c r="D93">
        <v>52895</v>
      </c>
      <c r="E93">
        <v>0</v>
      </c>
      <c r="F93" t="s">
        <v>37</v>
      </c>
      <c r="G93">
        <v>1</v>
      </c>
      <c r="H93" t="s">
        <v>37</v>
      </c>
      <c r="I93" t="s">
        <v>37</v>
      </c>
      <c r="J93" t="s">
        <v>775</v>
      </c>
      <c r="K93" t="s">
        <v>230</v>
      </c>
      <c r="L93" t="s">
        <v>226</v>
      </c>
      <c r="M93" t="s">
        <v>421</v>
      </c>
      <c r="N93" t="s">
        <v>1591</v>
      </c>
      <c r="O93" t="s">
        <v>1592</v>
      </c>
      <c r="Q93">
        <v>80</v>
      </c>
      <c r="R93">
        <v>0</v>
      </c>
      <c r="S93">
        <v>48</v>
      </c>
      <c r="T93">
        <v>0</v>
      </c>
      <c r="U93">
        <v>0</v>
      </c>
      <c r="V93">
        <v>0</v>
      </c>
      <c r="W93">
        <v>56</v>
      </c>
      <c r="X93">
        <v>0</v>
      </c>
      <c r="Y93">
        <v>0</v>
      </c>
      <c r="Z93">
        <v>0</v>
      </c>
      <c r="AB93" s="5">
        <v>44043.333333333336</v>
      </c>
      <c r="AD93" s="5">
        <v>44054.333333333336</v>
      </c>
      <c r="AE93" s="5">
        <v>44059.666666666664</v>
      </c>
      <c r="AG93" s="5">
        <v>44044.333333333336</v>
      </c>
      <c r="AH93" s="5">
        <v>44049.666666666664</v>
      </c>
      <c r="AI93" s="5">
        <v>44044.333333333336</v>
      </c>
      <c r="AJ93" s="5">
        <v>44049.666666666664</v>
      </c>
      <c r="AK93" s="5">
        <v>44043.333333333336</v>
      </c>
      <c r="AL93" s="5">
        <v>44049.666666666664</v>
      </c>
      <c r="AM93" s="5">
        <v>44054.333333333336</v>
      </c>
      <c r="AN93" s="5">
        <v>44059.666666666664</v>
      </c>
      <c r="AP93" t="s">
        <v>418</v>
      </c>
      <c r="AU93" t="s">
        <v>1593</v>
      </c>
      <c r="AV93" t="s">
        <v>1594</v>
      </c>
      <c r="AY93" t="s">
        <v>37</v>
      </c>
      <c r="AZ93">
        <v>0</v>
      </c>
      <c r="BA93">
        <v>0</v>
      </c>
      <c r="BI93" s="5">
        <v>44048.176388888889</v>
      </c>
      <c r="BJ93" s="5">
        <v>44048.176388888889</v>
      </c>
      <c r="BK93" t="s">
        <v>778</v>
      </c>
      <c r="BL93" t="s">
        <v>778</v>
      </c>
      <c r="BN93" t="s">
        <v>37</v>
      </c>
    </row>
    <row r="94" spans="1:66" x14ac:dyDescent="0.2">
      <c r="A94">
        <v>3692651</v>
      </c>
      <c r="B94">
        <v>21883</v>
      </c>
      <c r="C94">
        <v>523924</v>
      </c>
      <c r="D94">
        <v>52895</v>
      </c>
      <c r="E94">
        <v>0</v>
      </c>
      <c r="F94" t="s">
        <v>37</v>
      </c>
      <c r="G94">
        <v>1</v>
      </c>
      <c r="H94" t="s">
        <v>37</v>
      </c>
      <c r="I94" t="s">
        <v>37</v>
      </c>
      <c r="J94" t="s">
        <v>775</v>
      </c>
      <c r="K94" t="s">
        <v>230</v>
      </c>
      <c r="L94" t="s">
        <v>226</v>
      </c>
      <c r="M94" t="s">
        <v>417</v>
      </c>
      <c r="N94" t="s">
        <v>1595</v>
      </c>
      <c r="O94" t="s">
        <v>1596</v>
      </c>
      <c r="Q94">
        <v>-416</v>
      </c>
      <c r="R94">
        <v>0</v>
      </c>
      <c r="S94">
        <v>56</v>
      </c>
      <c r="T94">
        <v>0</v>
      </c>
      <c r="U94">
        <v>0</v>
      </c>
      <c r="V94">
        <v>0</v>
      </c>
      <c r="W94">
        <v>56</v>
      </c>
      <c r="X94">
        <v>0</v>
      </c>
      <c r="Y94">
        <v>0</v>
      </c>
      <c r="Z94">
        <v>0</v>
      </c>
      <c r="AD94" s="5">
        <v>44067.333333333336</v>
      </c>
      <c r="AE94" s="5">
        <v>44073.666666666664</v>
      </c>
      <c r="AG94" s="5">
        <v>44119.333333333336</v>
      </c>
      <c r="AH94" s="5">
        <v>44125.666666666664</v>
      </c>
      <c r="AI94" s="5">
        <v>44119.333333333336</v>
      </c>
      <c r="AJ94" s="5">
        <v>44125.666666666664</v>
      </c>
      <c r="AK94" s="5">
        <v>44119.333333333336</v>
      </c>
      <c r="AL94" s="5">
        <v>44125.666666666664</v>
      </c>
      <c r="AM94" s="5">
        <v>44067.333333333336</v>
      </c>
      <c r="AN94" s="5">
        <v>44073.666666666664</v>
      </c>
      <c r="AP94" t="s">
        <v>418</v>
      </c>
      <c r="AU94" t="s">
        <v>1449</v>
      </c>
      <c r="AY94" t="s">
        <v>40</v>
      </c>
      <c r="AZ94">
        <v>0</v>
      </c>
      <c r="BA94">
        <v>0</v>
      </c>
      <c r="BI94" s="5">
        <v>44048.176388888889</v>
      </c>
      <c r="BJ94" s="5">
        <v>44048.176388888889</v>
      </c>
      <c r="BK94" t="s">
        <v>778</v>
      </c>
      <c r="BL94" t="s">
        <v>778</v>
      </c>
      <c r="BN94" t="s">
        <v>37</v>
      </c>
    </row>
    <row r="95" spans="1:66" x14ac:dyDescent="0.2">
      <c r="A95">
        <v>3692652</v>
      </c>
      <c r="B95">
        <v>21883</v>
      </c>
      <c r="C95">
        <v>524022</v>
      </c>
      <c r="D95">
        <v>52895</v>
      </c>
      <c r="E95">
        <v>0</v>
      </c>
      <c r="F95" t="s">
        <v>37</v>
      </c>
      <c r="G95">
        <v>1</v>
      </c>
      <c r="H95" t="s">
        <v>37</v>
      </c>
      <c r="I95" t="s">
        <v>37</v>
      </c>
      <c r="J95" t="s">
        <v>775</v>
      </c>
      <c r="K95" t="s">
        <v>230</v>
      </c>
      <c r="L95" t="s">
        <v>226</v>
      </c>
      <c r="M95" t="s">
        <v>417</v>
      </c>
      <c r="N95" t="s">
        <v>1597</v>
      </c>
      <c r="O95" t="s">
        <v>1598</v>
      </c>
      <c r="Q95">
        <v>-384</v>
      </c>
      <c r="R95">
        <v>0</v>
      </c>
      <c r="S95">
        <v>56</v>
      </c>
      <c r="T95">
        <v>0</v>
      </c>
      <c r="U95">
        <v>0</v>
      </c>
      <c r="V95">
        <v>0</v>
      </c>
      <c r="W95">
        <v>56</v>
      </c>
      <c r="X95">
        <v>0</v>
      </c>
      <c r="Y95">
        <v>0</v>
      </c>
      <c r="Z95">
        <v>0</v>
      </c>
      <c r="AD95" s="5">
        <v>44069.333333333336</v>
      </c>
      <c r="AE95" s="5">
        <v>44075.666666666664</v>
      </c>
      <c r="AG95" s="5">
        <v>44117.333333333336</v>
      </c>
      <c r="AH95" s="5">
        <v>44123.666666666664</v>
      </c>
      <c r="AI95" s="5">
        <v>44117.333333333336</v>
      </c>
      <c r="AJ95" s="5">
        <v>44123.666666666664</v>
      </c>
      <c r="AK95" s="5">
        <v>44117.333333333336</v>
      </c>
      <c r="AL95" s="5">
        <v>44123.666666666664</v>
      </c>
      <c r="AM95" s="5">
        <v>44069.333333333336</v>
      </c>
      <c r="AN95" s="5">
        <v>44075.666666666664</v>
      </c>
      <c r="AP95" t="s">
        <v>418</v>
      </c>
      <c r="AU95" t="s">
        <v>1594</v>
      </c>
      <c r="AY95" t="s">
        <v>40</v>
      </c>
      <c r="AZ95">
        <v>0</v>
      </c>
      <c r="BA95">
        <v>0</v>
      </c>
      <c r="BI95" s="5">
        <v>44048.176388888889</v>
      </c>
      <c r="BJ95" s="5">
        <v>44048.176388888889</v>
      </c>
      <c r="BK95" t="s">
        <v>778</v>
      </c>
      <c r="BL95" t="s">
        <v>778</v>
      </c>
      <c r="BN95" t="s">
        <v>37</v>
      </c>
    </row>
    <row r="96" spans="1:66" x14ac:dyDescent="0.2">
      <c r="A96">
        <v>3692653</v>
      </c>
      <c r="B96">
        <v>21883</v>
      </c>
      <c r="C96">
        <v>524022</v>
      </c>
      <c r="D96">
        <v>52897</v>
      </c>
      <c r="E96">
        <v>0</v>
      </c>
      <c r="F96" t="s">
        <v>37</v>
      </c>
      <c r="G96">
        <v>1</v>
      </c>
      <c r="H96" t="s">
        <v>37</v>
      </c>
      <c r="I96" t="s">
        <v>37</v>
      </c>
      <c r="J96" t="s">
        <v>775</v>
      </c>
      <c r="K96" t="s">
        <v>230</v>
      </c>
      <c r="L96" t="s">
        <v>226</v>
      </c>
      <c r="M96" t="s">
        <v>417</v>
      </c>
      <c r="N96" t="s">
        <v>1599</v>
      </c>
      <c r="O96" t="s">
        <v>1600</v>
      </c>
      <c r="Q96">
        <v>-208</v>
      </c>
      <c r="R96">
        <v>0</v>
      </c>
      <c r="S96">
        <v>56</v>
      </c>
      <c r="T96">
        <v>0</v>
      </c>
      <c r="U96">
        <v>0</v>
      </c>
      <c r="V96">
        <v>0</v>
      </c>
      <c r="W96">
        <v>56</v>
      </c>
      <c r="X96">
        <v>0</v>
      </c>
      <c r="Y96">
        <v>0</v>
      </c>
      <c r="Z96">
        <v>0</v>
      </c>
      <c r="AD96" s="5">
        <v>44049.333333333336</v>
      </c>
      <c r="AE96" s="5">
        <v>44064.666666666664</v>
      </c>
      <c r="AG96" s="5">
        <v>44102.333333333336</v>
      </c>
      <c r="AH96" s="5">
        <v>44112.666666666664</v>
      </c>
      <c r="AI96" s="5">
        <v>44102.333333333336</v>
      </c>
      <c r="AJ96" s="5">
        <v>44112.666666666664</v>
      </c>
      <c r="AK96" s="5">
        <v>44102.333333333336</v>
      </c>
      <c r="AL96" s="5">
        <v>44112.666666666664</v>
      </c>
      <c r="AM96" s="5">
        <v>44049.333333333336</v>
      </c>
      <c r="AN96" s="5">
        <v>44064.666666666664</v>
      </c>
      <c r="AP96" t="s">
        <v>418</v>
      </c>
      <c r="AU96" t="s">
        <v>1601</v>
      </c>
      <c r="AV96" t="s">
        <v>1453</v>
      </c>
      <c r="AY96" t="s">
        <v>40</v>
      </c>
      <c r="AZ96">
        <v>0</v>
      </c>
      <c r="BA96">
        <v>0</v>
      </c>
      <c r="BI96" s="5">
        <v>44048.176388888889</v>
      </c>
      <c r="BJ96" s="5">
        <v>44048.176388888889</v>
      </c>
      <c r="BK96" t="s">
        <v>778</v>
      </c>
      <c r="BL96" t="s">
        <v>778</v>
      </c>
      <c r="BN96" t="s">
        <v>37</v>
      </c>
    </row>
    <row r="97" spans="1:66" x14ac:dyDescent="0.2">
      <c r="A97">
        <v>3692654</v>
      </c>
      <c r="B97">
        <v>21883</v>
      </c>
      <c r="C97">
        <v>524022</v>
      </c>
      <c r="D97">
        <v>52896</v>
      </c>
      <c r="E97">
        <v>0</v>
      </c>
      <c r="F97" t="s">
        <v>37</v>
      </c>
      <c r="G97">
        <v>1</v>
      </c>
      <c r="H97" t="s">
        <v>37</v>
      </c>
      <c r="I97" t="s">
        <v>37</v>
      </c>
      <c r="J97" t="s">
        <v>775</v>
      </c>
      <c r="K97" t="s">
        <v>230</v>
      </c>
      <c r="L97" t="s">
        <v>226</v>
      </c>
      <c r="M97" t="s">
        <v>417</v>
      </c>
      <c r="N97" t="s">
        <v>1602</v>
      </c>
      <c r="O97" t="s">
        <v>1603</v>
      </c>
      <c r="Q97">
        <v>-264</v>
      </c>
      <c r="R97">
        <v>24</v>
      </c>
      <c r="S97">
        <v>16</v>
      </c>
      <c r="T97">
        <v>0</v>
      </c>
      <c r="U97">
        <v>0</v>
      </c>
      <c r="V97">
        <v>0</v>
      </c>
      <c r="W97">
        <v>16</v>
      </c>
      <c r="X97">
        <v>0</v>
      </c>
      <c r="Y97">
        <v>0</v>
      </c>
      <c r="Z97">
        <v>0</v>
      </c>
      <c r="AD97" s="5">
        <v>44054.333333333336</v>
      </c>
      <c r="AE97" s="5">
        <v>44055.666666666664</v>
      </c>
      <c r="AG97" s="5">
        <v>44102.333333333336</v>
      </c>
      <c r="AH97" s="5">
        <v>44103.666666666664</v>
      </c>
      <c r="AI97" s="5">
        <v>44102.333333333336</v>
      </c>
      <c r="AJ97" s="5">
        <v>44103.666666666664</v>
      </c>
      <c r="AK97" s="5">
        <v>44102.333333333336</v>
      </c>
      <c r="AL97" s="5">
        <v>44103.666666666664</v>
      </c>
      <c r="AM97" s="5">
        <v>44054.333333333336</v>
      </c>
      <c r="AN97" s="5">
        <v>44055.666666666664</v>
      </c>
      <c r="AP97" t="s">
        <v>418</v>
      </c>
      <c r="AU97" t="s">
        <v>1604</v>
      </c>
      <c r="AV97" t="s">
        <v>1457</v>
      </c>
      <c r="AY97" t="s">
        <v>37</v>
      </c>
      <c r="AZ97">
        <v>0</v>
      </c>
      <c r="BA97">
        <v>0</v>
      </c>
      <c r="BI97" s="5">
        <v>44048.176388888889</v>
      </c>
      <c r="BJ97" s="5">
        <v>44048.176388888889</v>
      </c>
      <c r="BK97" t="s">
        <v>778</v>
      </c>
      <c r="BL97" t="s">
        <v>778</v>
      </c>
      <c r="BN97" t="s">
        <v>37</v>
      </c>
    </row>
    <row r="98" spans="1:66" x14ac:dyDescent="0.2">
      <c r="A98">
        <v>3692655</v>
      </c>
      <c r="B98">
        <v>21883</v>
      </c>
      <c r="C98">
        <v>524022</v>
      </c>
      <c r="D98">
        <v>52897</v>
      </c>
      <c r="E98">
        <v>0</v>
      </c>
      <c r="F98" t="s">
        <v>37</v>
      </c>
      <c r="G98">
        <v>1</v>
      </c>
      <c r="H98" t="s">
        <v>37</v>
      </c>
      <c r="I98" t="s">
        <v>37</v>
      </c>
      <c r="J98" t="s">
        <v>775</v>
      </c>
      <c r="K98" t="s">
        <v>230</v>
      </c>
      <c r="L98" t="s">
        <v>226</v>
      </c>
      <c r="M98" t="s">
        <v>417</v>
      </c>
      <c r="N98" t="s">
        <v>1605</v>
      </c>
      <c r="O98" t="s">
        <v>1606</v>
      </c>
      <c r="Q98">
        <v>-208</v>
      </c>
      <c r="R98">
        <v>0</v>
      </c>
      <c r="S98">
        <v>40</v>
      </c>
      <c r="T98">
        <v>0</v>
      </c>
      <c r="U98">
        <v>0</v>
      </c>
      <c r="V98">
        <v>0</v>
      </c>
      <c r="W98">
        <v>40</v>
      </c>
      <c r="X98">
        <v>0</v>
      </c>
      <c r="Y98">
        <v>0</v>
      </c>
      <c r="Z98">
        <v>0</v>
      </c>
      <c r="AD98" s="5">
        <v>44029.333333333336</v>
      </c>
      <c r="AE98" s="5">
        <v>44036.666666666664</v>
      </c>
      <c r="AG98" s="5">
        <v>44082.333333333336</v>
      </c>
      <c r="AH98" s="5">
        <v>44089.666666666664</v>
      </c>
      <c r="AI98" s="5">
        <v>44082.333333333336</v>
      </c>
      <c r="AJ98" s="5">
        <v>44089.666666666664</v>
      </c>
      <c r="AK98" s="5">
        <v>44082.333333333336</v>
      </c>
      <c r="AL98" s="5">
        <v>44089.666666666664</v>
      </c>
      <c r="AM98" s="5">
        <v>44029.333333333336</v>
      </c>
      <c r="AN98" s="5">
        <v>44036.666666666664</v>
      </c>
      <c r="AP98" t="s">
        <v>418</v>
      </c>
      <c r="AU98" t="s">
        <v>1607</v>
      </c>
      <c r="AV98" t="s">
        <v>1461</v>
      </c>
      <c r="AY98" t="s">
        <v>40</v>
      </c>
      <c r="AZ98">
        <v>0</v>
      </c>
      <c r="BA98">
        <v>0</v>
      </c>
      <c r="BI98" s="5">
        <v>44048.176388888889</v>
      </c>
      <c r="BJ98" s="5">
        <v>44048.176388888889</v>
      </c>
      <c r="BK98" t="s">
        <v>778</v>
      </c>
      <c r="BL98" t="s">
        <v>778</v>
      </c>
      <c r="BN98" t="s">
        <v>37</v>
      </c>
    </row>
    <row r="99" spans="1:66" x14ac:dyDescent="0.2">
      <c r="A99">
        <v>3692656</v>
      </c>
      <c r="B99">
        <v>21883</v>
      </c>
      <c r="C99">
        <v>524022</v>
      </c>
      <c r="D99">
        <v>52899</v>
      </c>
      <c r="E99">
        <v>100</v>
      </c>
      <c r="F99" t="s">
        <v>37</v>
      </c>
      <c r="G99">
        <v>1</v>
      </c>
      <c r="H99" t="s">
        <v>37</v>
      </c>
      <c r="I99" t="s">
        <v>37</v>
      </c>
      <c r="J99" t="s">
        <v>775</v>
      </c>
      <c r="K99" t="s">
        <v>230</v>
      </c>
      <c r="L99" t="s">
        <v>226</v>
      </c>
      <c r="M99" t="s">
        <v>422</v>
      </c>
      <c r="N99" t="s">
        <v>1608</v>
      </c>
      <c r="O99" t="s">
        <v>1609</v>
      </c>
      <c r="S99">
        <v>0</v>
      </c>
      <c r="T99">
        <v>0</v>
      </c>
      <c r="U99">
        <v>0</v>
      </c>
      <c r="V99">
        <v>0</v>
      </c>
      <c r="W99">
        <v>32</v>
      </c>
      <c r="X99">
        <v>0</v>
      </c>
      <c r="Y99">
        <v>0</v>
      </c>
      <c r="Z99">
        <v>0</v>
      </c>
      <c r="AB99" s="5">
        <v>44026</v>
      </c>
      <c r="AC99" s="5">
        <v>44027</v>
      </c>
      <c r="AD99" s="5">
        <v>44025.333333333336</v>
      </c>
      <c r="AE99" s="5">
        <v>44025.333333333336</v>
      </c>
      <c r="AG99" s="5">
        <v>44075.666666666664</v>
      </c>
      <c r="AH99" s="5">
        <v>44075.666666666664</v>
      </c>
      <c r="AK99" s="5">
        <v>44070.333333333336</v>
      </c>
      <c r="AL99" s="5">
        <v>44075.666666666664</v>
      </c>
      <c r="AP99" t="s">
        <v>418</v>
      </c>
      <c r="AU99" t="s">
        <v>1610</v>
      </c>
      <c r="AV99" t="s">
        <v>1611</v>
      </c>
      <c r="AY99" t="s">
        <v>40</v>
      </c>
      <c r="AZ99">
        <v>0</v>
      </c>
      <c r="BA99">
        <v>0</v>
      </c>
      <c r="BI99" s="5">
        <v>44048.176388888889</v>
      </c>
      <c r="BJ99" s="5">
        <v>44048.176388888889</v>
      </c>
      <c r="BK99" t="s">
        <v>778</v>
      </c>
      <c r="BL99" t="s">
        <v>778</v>
      </c>
      <c r="BN99" t="s">
        <v>37</v>
      </c>
    </row>
    <row r="100" spans="1:66" x14ac:dyDescent="0.2">
      <c r="A100">
        <v>3692657</v>
      </c>
      <c r="B100">
        <v>21883</v>
      </c>
      <c r="C100">
        <v>524022</v>
      </c>
      <c r="D100">
        <v>52898</v>
      </c>
      <c r="E100">
        <v>0</v>
      </c>
      <c r="F100" t="s">
        <v>37</v>
      </c>
      <c r="G100">
        <v>1</v>
      </c>
      <c r="H100" t="s">
        <v>37</v>
      </c>
      <c r="I100" t="s">
        <v>37</v>
      </c>
      <c r="J100" t="s">
        <v>775</v>
      </c>
      <c r="K100" t="s">
        <v>230</v>
      </c>
      <c r="L100" t="s">
        <v>226</v>
      </c>
      <c r="M100" t="s">
        <v>417</v>
      </c>
      <c r="N100" t="s">
        <v>1612</v>
      </c>
      <c r="O100" t="s">
        <v>1613</v>
      </c>
      <c r="Q100">
        <v>-208</v>
      </c>
      <c r="R100">
        <v>0</v>
      </c>
      <c r="S100">
        <v>24</v>
      </c>
      <c r="T100">
        <v>0</v>
      </c>
      <c r="U100">
        <v>0</v>
      </c>
      <c r="V100">
        <v>0</v>
      </c>
      <c r="W100">
        <v>24</v>
      </c>
      <c r="X100">
        <v>0</v>
      </c>
      <c r="Y100">
        <v>0</v>
      </c>
      <c r="Z100">
        <v>0</v>
      </c>
      <c r="AD100" s="5">
        <v>44025.333333333336</v>
      </c>
      <c r="AE100" s="5">
        <v>44028.666666666664</v>
      </c>
      <c r="AG100" s="5">
        <v>44076.333333333336</v>
      </c>
      <c r="AH100" s="5">
        <v>44078.666666666664</v>
      </c>
      <c r="AI100" s="5">
        <v>44076.333333333336</v>
      </c>
      <c r="AJ100" s="5">
        <v>44078.666666666664</v>
      </c>
      <c r="AK100" s="5">
        <v>44076.333333333336</v>
      </c>
      <c r="AL100" s="5">
        <v>44078.666666666664</v>
      </c>
      <c r="AM100" s="5">
        <v>44025.333333333336</v>
      </c>
      <c r="AN100" s="5">
        <v>44028.666666666664</v>
      </c>
      <c r="AP100" t="s">
        <v>418</v>
      </c>
      <c r="AU100" t="s">
        <v>1614</v>
      </c>
      <c r="AV100" t="s">
        <v>1615</v>
      </c>
      <c r="AY100" t="s">
        <v>40</v>
      </c>
      <c r="AZ100">
        <v>0</v>
      </c>
      <c r="BA100">
        <v>0</v>
      </c>
      <c r="BI100" s="5">
        <v>44048.176388888889</v>
      </c>
      <c r="BJ100" s="5">
        <v>44048.176388888889</v>
      </c>
      <c r="BK100" t="s">
        <v>778</v>
      </c>
      <c r="BL100" t="s">
        <v>778</v>
      </c>
      <c r="BN100" t="s">
        <v>37</v>
      </c>
    </row>
    <row r="101" spans="1:66" x14ac:dyDescent="0.2">
      <c r="A101">
        <v>3692658</v>
      </c>
      <c r="B101">
        <v>21883</v>
      </c>
      <c r="C101">
        <v>524022</v>
      </c>
      <c r="D101">
        <v>52897</v>
      </c>
      <c r="E101">
        <v>0</v>
      </c>
      <c r="F101" t="s">
        <v>37</v>
      </c>
      <c r="G101">
        <v>1</v>
      </c>
      <c r="H101" t="s">
        <v>37</v>
      </c>
      <c r="I101" t="s">
        <v>37</v>
      </c>
      <c r="J101" t="s">
        <v>775</v>
      </c>
      <c r="K101" t="s">
        <v>230</v>
      </c>
      <c r="L101" t="s">
        <v>226</v>
      </c>
      <c r="M101" t="s">
        <v>417</v>
      </c>
      <c r="N101" t="s">
        <v>1616</v>
      </c>
      <c r="O101" t="s">
        <v>1617</v>
      </c>
      <c r="Q101">
        <v>-208</v>
      </c>
      <c r="R101">
        <v>0</v>
      </c>
      <c r="S101">
        <v>64</v>
      </c>
      <c r="T101">
        <v>0</v>
      </c>
      <c r="U101">
        <v>0</v>
      </c>
      <c r="V101">
        <v>0</v>
      </c>
      <c r="W101">
        <v>64</v>
      </c>
      <c r="X101">
        <v>0</v>
      </c>
      <c r="Y101">
        <v>0</v>
      </c>
      <c r="Z101">
        <v>0</v>
      </c>
      <c r="AD101" s="5">
        <v>44033.333333333336</v>
      </c>
      <c r="AE101" s="5">
        <v>44048.666666666664</v>
      </c>
      <c r="AG101" s="5">
        <v>44084.333333333336</v>
      </c>
      <c r="AH101" s="5">
        <v>44099.666666666664</v>
      </c>
      <c r="AI101" s="5">
        <v>44084.333333333336</v>
      </c>
      <c r="AJ101" s="5">
        <v>44099.666666666664</v>
      </c>
      <c r="AK101" s="5">
        <v>44084.333333333336</v>
      </c>
      <c r="AL101" s="5">
        <v>44099.666666666664</v>
      </c>
      <c r="AM101" s="5">
        <v>44033.333333333336</v>
      </c>
      <c r="AN101" s="5">
        <v>44048.666666666664</v>
      </c>
      <c r="AP101" t="s">
        <v>418</v>
      </c>
      <c r="AU101" t="s">
        <v>1618</v>
      </c>
      <c r="AV101" t="s">
        <v>1465</v>
      </c>
      <c r="AY101" t="s">
        <v>40</v>
      </c>
      <c r="AZ101">
        <v>0</v>
      </c>
      <c r="BA101">
        <v>0</v>
      </c>
      <c r="BI101" s="5">
        <v>44048.176388888889</v>
      </c>
      <c r="BJ101" s="5">
        <v>44048.176388888889</v>
      </c>
      <c r="BK101" t="s">
        <v>778</v>
      </c>
      <c r="BL101" t="s">
        <v>778</v>
      </c>
      <c r="BN101" t="s">
        <v>37</v>
      </c>
    </row>
    <row r="102" spans="1:66" x14ac:dyDescent="0.2">
      <c r="A102">
        <v>3692659</v>
      </c>
      <c r="B102">
        <v>21883</v>
      </c>
      <c r="C102">
        <v>524022</v>
      </c>
      <c r="D102">
        <v>52897</v>
      </c>
      <c r="E102">
        <v>0</v>
      </c>
      <c r="F102" t="s">
        <v>37</v>
      </c>
      <c r="G102">
        <v>1</v>
      </c>
      <c r="H102" t="s">
        <v>37</v>
      </c>
      <c r="I102" t="s">
        <v>37</v>
      </c>
      <c r="J102" t="s">
        <v>775</v>
      </c>
      <c r="K102" t="s">
        <v>230</v>
      </c>
      <c r="L102" t="s">
        <v>226</v>
      </c>
      <c r="M102" t="s">
        <v>417</v>
      </c>
      <c r="N102" t="s">
        <v>1619</v>
      </c>
      <c r="O102" t="s">
        <v>1620</v>
      </c>
      <c r="Q102">
        <v>-128</v>
      </c>
      <c r="R102">
        <v>80</v>
      </c>
      <c r="S102">
        <v>96</v>
      </c>
      <c r="T102">
        <v>0</v>
      </c>
      <c r="U102">
        <v>0</v>
      </c>
      <c r="V102">
        <v>0</v>
      </c>
      <c r="W102">
        <v>96</v>
      </c>
      <c r="X102">
        <v>0</v>
      </c>
      <c r="Y102">
        <v>0</v>
      </c>
      <c r="Z102">
        <v>0</v>
      </c>
      <c r="AD102" s="5">
        <v>44011.333333333336</v>
      </c>
      <c r="AE102" s="5">
        <v>44035.666666666664</v>
      </c>
      <c r="AG102" s="5">
        <v>44046.333333333336</v>
      </c>
      <c r="AH102" s="5">
        <v>44070.666666666664</v>
      </c>
      <c r="AI102" s="5">
        <v>44046.333333333336</v>
      </c>
      <c r="AJ102" s="5">
        <v>44070.666666666664</v>
      </c>
      <c r="AK102" s="5">
        <v>44046.333333333336</v>
      </c>
      <c r="AL102" s="5">
        <v>44070.666666666664</v>
      </c>
      <c r="AM102" s="5">
        <v>44011.333333333336</v>
      </c>
      <c r="AN102" s="5">
        <v>44035.666666666664</v>
      </c>
      <c r="AP102" t="s">
        <v>418</v>
      </c>
      <c r="AU102" t="s">
        <v>1621</v>
      </c>
      <c r="AV102" t="s">
        <v>1622</v>
      </c>
      <c r="AY102" t="s">
        <v>37</v>
      </c>
      <c r="AZ102">
        <v>0</v>
      </c>
      <c r="BA102">
        <v>0</v>
      </c>
      <c r="BI102" s="5">
        <v>44048.176388888889</v>
      </c>
      <c r="BJ102" s="5">
        <v>44048.176388888889</v>
      </c>
      <c r="BK102" t="s">
        <v>778</v>
      </c>
      <c r="BL102" t="s">
        <v>778</v>
      </c>
      <c r="BN102" t="s">
        <v>37</v>
      </c>
    </row>
    <row r="103" spans="1:66" x14ac:dyDescent="0.2">
      <c r="A103">
        <v>3692660</v>
      </c>
      <c r="B103">
        <v>21883</v>
      </c>
      <c r="C103">
        <v>524022</v>
      </c>
      <c r="D103">
        <v>52886</v>
      </c>
      <c r="E103">
        <v>0</v>
      </c>
      <c r="F103" t="s">
        <v>37</v>
      </c>
      <c r="G103">
        <v>1</v>
      </c>
      <c r="H103" t="s">
        <v>37</v>
      </c>
      <c r="I103" t="s">
        <v>37</v>
      </c>
      <c r="J103" t="s">
        <v>775</v>
      </c>
      <c r="K103" t="s">
        <v>230</v>
      </c>
      <c r="L103" t="s">
        <v>226</v>
      </c>
      <c r="M103" t="s">
        <v>417</v>
      </c>
      <c r="N103" t="s">
        <v>1623</v>
      </c>
      <c r="O103" t="s">
        <v>1624</v>
      </c>
      <c r="Q103">
        <v>-207</v>
      </c>
      <c r="R103">
        <v>1</v>
      </c>
      <c r="S103">
        <v>40</v>
      </c>
      <c r="T103">
        <v>0</v>
      </c>
      <c r="U103">
        <v>0</v>
      </c>
      <c r="V103">
        <v>0</v>
      </c>
      <c r="W103">
        <v>40</v>
      </c>
      <c r="X103">
        <v>0</v>
      </c>
      <c r="Y103">
        <v>0</v>
      </c>
      <c r="Z103">
        <v>0</v>
      </c>
      <c r="AD103" s="5">
        <v>44056.333333333336</v>
      </c>
      <c r="AE103" s="5">
        <v>44067.708333333336</v>
      </c>
      <c r="AG103" s="5">
        <v>44106.666666666664</v>
      </c>
      <c r="AH103" s="5">
        <v>44116.666666666664</v>
      </c>
      <c r="AI103" s="5">
        <v>44106.666666666664</v>
      </c>
      <c r="AJ103" s="5">
        <v>44116.666666666664</v>
      </c>
      <c r="AK103" s="5">
        <v>44106.666666666664</v>
      </c>
      <c r="AL103" s="5">
        <v>44116.666666666664</v>
      </c>
      <c r="AM103" s="5">
        <v>44056.333333333336</v>
      </c>
      <c r="AN103" s="5">
        <v>44067.708333333336</v>
      </c>
      <c r="AP103" t="s">
        <v>418</v>
      </c>
      <c r="AU103" t="s">
        <v>1625</v>
      </c>
      <c r="AV103" t="s">
        <v>1469</v>
      </c>
      <c r="AY103" t="s">
        <v>40</v>
      </c>
      <c r="AZ103">
        <v>0</v>
      </c>
      <c r="BA103">
        <v>0</v>
      </c>
      <c r="BI103" s="5">
        <v>44048.176388888889</v>
      </c>
      <c r="BJ103" s="5">
        <v>44048.176388888889</v>
      </c>
      <c r="BK103" t="s">
        <v>778</v>
      </c>
      <c r="BL103" t="s">
        <v>778</v>
      </c>
      <c r="BN103" t="s">
        <v>37</v>
      </c>
    </row>
    <row r="104" spans="1:66" x14ac:dyDescent="0.2">
      <c r="A104">
        <v>3692661</v>
      </c>
      <c r="B104">
        <v>21883</v>
      </c>
      <c r="C104">
        <v>524022</v>
      </c>
      <c r="D104">
        <v>52897</v>
      </c>
      <c r="E104">
        <v>0</v>
      </c>
      <c r="F104" t="s">
        <v>37</v>
      </c>
      <c r="G104">
        <v>1</v>
      </c>
      <c r="H104" t="s">
        <v>37</v>
      </c>
      <c r="I104" t="s">
        <v>37</v>
      </c>
      <c r="J104" t="s">
        <v>775</v>
      </c>
      <c r="K104" t="s">
        <v>230</v>
      </c>
      <c r="L104" t="s">
        <v>226</v>
      </c>
      <c r="M104" t="s">
        <v>417</v>
      </c>
      <c r="N104" t="s">
        <v>1626</v>
      </c>
      <c r="O104" t="s">
        <v>1627</v>
      </c>
      <c r="Q104">
        <v>-192</v>
      </c>
      <c r="R104">
        <v>0</v>
      </c>
      <c r="S104">
        <v>64</v>
      </c>
      <c r="T104">
        <v>0</v>
      </c>
      <c r="U104">
        <v>0</v>
      </c>
      <c r="V104">
        <v>0</v>
      </c>
      <c r="W104">
        <v>64</v>
      </c>
      <c r="X104">
        <v>0</v>
      </c>
      <c r="Y104">
        <v>0</v>
      </c>
      <c r="Z104">
        <v>0</v>
      </c>
      <c r="AD104" s="5">
        <v>44076.333333333336</v>
      </c>
      <c r="AE104" s="5">
        <v>44089.666666666664</v>
      </c>
      <c r="AG104" s="5">
        <v>44124.333333333336</v>
      </c>
      <c r="AH104" s="5">
        <v>44139.666666666664</v>
      </c>
      <c r="AI104" s="5">
        <v>44124.333333333336</v>
      </c>
      <c r="AJ104" s="5">
        <v>44139.666666666664</v>
      </c>
      <c r="AK104" s="5">
        <v>44124.333333333336</v>
      </c>
      <c r="AL104" s="5">
        <v>44139.666666666664</v>
      </c>
      <c r="AM104" s="5">
        <v>44076.333333333336</v>
      </c>
      <c r="AN104" s="5">
        <v>44089.666666666664</v>
      </c>
      <c r="AP104" t="s">
        <v>418</v>
      </c>
      <c r="AU104" t="s">
        <v>1628</v>
      </c>
      <c r="AV104" t="s">
        <v>1473</v>
      </c>
      <c r="AY104" t="s">
        <v>40</v>
      </c>
      <c r="AZ104">
        <v>0</v>
      </c>
      <c r="BA104">
        <v>0</v>
      </c>
      <c r="BI104" s="5">
        <v>44048.176388888889</v>
      </c>
      <c r="BJ104" s="5">
        <v>44048.176388888889</v>
      </c>
      <c r="BK104" t="s">
        <v>778</v>
      </c>
      <c r="BL104" t="s">
        <v>778</v>
      </c>
      <c r="BN104" t="s">
        <v>37</v>
      </c>
    </row>
    <row r="105" spans="1:66" x14ac:dyDescent="0.2">
      <c r="A105">
        <v>3692662</v>
      </c>
      <c r="B105">
        <v>21883</v>
      </c>
      <c r="C105">
        <v>524022</v>
      </c>
      <c r="D105">
        <v>52897</v>
      </c>
      <c r="E105">
        <v>0</v>
      </c>
      <c r="F105" t="s">
        <v>37</v>
      </c>
      <c r="G105">
        <v>1</v>
      </c>
      <c r="H105" t="s">
        <v>37</v>
      </c>
      <c r="I105" t="s">
        <v>37</v>
      </c>
      <c r="J105" t="s">
        <v>775</v>
      </c>
      <c r="K105" t="s">
        <v>230</v>
      </c>
      <c r="L105" t="s">
        <v>226</v>
      </c>
      <c r="M105" t="s">
        <v>417</v>
      </c>
      <c r="N105" t="s">
        <v>1629</v>
      </c>
      <c r="O105" t="s">
        <v>1630</v>
      </c>
      <c r="Q105">
        <v>-192</v>
      </c>
      <c r="R105">
        <v>0</v>
      </c>
      <c r="S105">
        <v>32</v>
      </c>
      <c r="T105">
        <v>0</v>
      </c>
      <c r="U105">
        <v>0</v>
      </c>
      <c r="V105">
        <v>0</v>
      </c>
      <c r="W105">
        <v>32</v>
      </c>
      <c r="X105">
        <v>0</v>
      </c>
      <c r="Y105">
        <v>0</v>
      </c>
      <c r="Z105">
        <v>0</v>
      </c>
      <c r="AD105" s="5">
        <v>44090.333333333336</v>
      </c>
      <c r="AE105" s="5">
        <v>44098.666666666664</v>
      </c>
      <c r="AG105" s="5">
        <v>44140.333333333336</v>
      </c>
      <c r="AH105" s="5">
        <v>44148.666666666664</v>
      </c>
      <c r="AI105" s="5">
        <v>44140.333333333336</v>
      </c>
      <c r="AJ105" s="5">
        <v>44148.666666666664</v>
      </c>
      <c r="AK105" s="5">
        <v>44140.333333333336</v>
      </c>
      <c r="AL105" s="5">
        <v>44148.666666666664</v>
      </c>
      <c r="AM105" s="5">
        <v>44090.333333333336</v>
      </c>
      <c r="AN105" s="5">
        <v>44098.666666666664</v>
      </c>
      <c r="AP105" t="s">
        <v>418</v>
      </c>
      <c r="AU105" t="s">
        <v>1631</v>
      </c>
      <c r="AV105" t="s">
        <v>1477</v>
      </c>
      <c r="AY105" t="s">
        <v>40</v>
      </c>
      <c r="AZ105">
        <v>0</v>
      </c>
      <c r="BA105">
        <v>0</v>
      </c>
      <c r="BI105" s="5">
        <v>44048.176388888889</v>
      </c>
      <c r="BJ105" s="5">
        <v>44048.176388888889</v>
      </c>
      <c r="BK105" t="s">
        <v>778</v>
      </c>
      <c r="BL105" t="s">
        <v>778</v>
      </c>
      <c r="BN105" t="s">
        <v>37</v>
      </c>
    </row>
    <row r="106" spans="1:66" x14ac:dyDescent="0.2">
      <c r="A106">
        <v>3692663</v>
      </c>
      <c r="B106">
        <v>21883</v>
      </c>
      <c r="C106">
        <v>524022</v>
      </c>
      <c r="D106">
        <v>52897</v>
      </c>
      <c r="E106">
        <v>0</v>
      </c>
      <c r="F106" t="s">
        <v>37</v>
      </c>
      <c r="G106">
        <v>1</v>
      </c>
      <c r="H106" t="s">
        <v>37</v>
      </c>
      <c r="I106" t="s">
        <v>37</v>
      </c>
      <c r="J106" t="s">
        <v>775</v>
      </c>
      <c r="K106" t="s">
        <v>230</v>
      </c>
      <c r="L106" t="s">
        <v>226</v>
      </c>
      <c r="M106" t="s">
        <v>417</v>
      </c>
      <c r="N106" t="s">
        <v>1632</v>
      </c>
      <c r="O106" t="s">
        <v>1633</v>
      </c>
      <c r="Q106">
        <v>-192</v>
      </c>
      <c r="R106">
        <v>0</v>
      </c>
      <c r="S106">
        <v>32</v>
      </c>
      <c r="T106">
        <v>0</v>
      </c>
      <c r="U106">
        <v>0</v>
      </c>
      <c r="V106">
        <v>0</v>
      </c>
      <c r="W106">
        <v>32</v>
      </c>
      <c r="X106">
        <v>0</v>
      </c>
      <c r="Y106">
        <v>0</v>
      </c>
      <c r="Z106">
        <v>0</v>
      </c>
      <c r="AD106" s="5">
        <v>44099.333333333336</v>
      </c>
      <c r="AE106" s="5">
        <v>44106.666666666664</v>
      </c>
      <c r="AG106" s="5">
        <v>44155.333333333336</v>
      </c>
      <c r="AH106" s="5">
        <v>44160.666666666664</v>
      </c>
      <c r="AI106" s="5">
        <v>44155.333333333336</v>
      </c>
      <c r="AJ106" s="5">
        <v>44160.666666666664</v>
      </c>
      <c r="AK106" s="5">
        <v>44155.333333333336</v>
      </c>
      <c r="AL106" s="5">
        <v>44160.666666666664</v>
      </c>
      <c r="AM106" s="5">
        <v>44099.333333333336</v>
      </c>
      <c r="AN106" s="5">
        <v>44106.666666666664</v>
      </c>
      <c r="AP106" t="s">
        <v>418</v>
      </c>
      <c r="AU106" t="s">
        <v>1634</v>
      </c>
      <c r="AV106" t="s">
        <v>1481</v>
      </c>
      <c r="AY106" t="s">
        <v>40</v>
      </c>
      <c r="AZ106">
        <v>0</v>
      </c>
      <c r="BA106">
        <v>0</v>
      </c>
      <c r="BI106" s="5">
        <v>44048.176388888889</v>
      </c>
      <c r="BJ106" s="5">
        <v>44048.176388888889</v>
      </c>
      <c r="BK106" t="s">
        <v>778</v>
      </c>
      <c r="BL106" t="s">
        <v>778</v>
      </c>
      <c r="BN106" t="s">
        <v>37</v>
      </c>
    </row>
    <row r="107" spans="1:66" x14ac:dyDescent="0.2">
      <c r="A107">
        <v>3692664</v>
      </c>
      <c r="B107">
        <v>21883</v>
      </c>
      <c r="C107">
        <v>524022</v>
      </c>
      <c r="D107">
        <v>52897</v>
      </c>
      <c r="E107">
        <v>0</v>
      </c>
      <c r="F107" t="s">
        <v>37</v>
      </c>
      <c r="G107">
        <v>1</v>
      </c>
      <c r="H107" t="s">
        <v>37</v>
      </c>
      <c r="I107" t="s">
        <v>37</v>
      </c>
      <c r="J107" t="s">
        <v>775</v>
      </c>
      <c r="K107" t="s">
        <v>230</v>
      </c>
      <c r="L107" t="s">
        <v>226</v>
      </c>
      <c r="M107" t="s">
        <v>417</v>
      </c>
      <c r="N107" t="s">
        <v>1635</v>
      </c>
      <c r="O107" t="s">
        <v>1636</v>
      </c>
      <c r="Q107">
        <v>-192</v>
      </c>
      <c r="R107">
        <v>0</v>
      </c>
      <c r="S107">
        <v>128</v>
      </c>
      <c r="T107">
        <v>0</v>
      </c>
      <c r="U107">
        <v>0</v>
      </c>
      <c r="V107">
        <v>0</v>
      </c>
      <c r="W107">
        <v>128</v>
      </c>
      <c r="X107">
        <v>26</v>
      </c>
      <c r="Y107">
        <v>0</v>
      </c>
      <c r="Z107">
        <v>26</v>
      </c>
      <c r="AD107" s="5">
        <v>44116.333333333336</v>
      </c>
      <c r="AE107" s="5">
        <v>44148.666666666664</v>
      </c>
      <c r="AG107" s="5">
        <v>44179.333333333336</v>
      </c>
      <c r="AH107" s="5">
        <v>44225.666666666664</v>
      </c>
      <c r="AI107" s="5">
        <v>44179.333333333336</v>
      </c>
      <c r="AJ107" s="5">
        <v>44225.666666666664</v>
      </c>
      <c r="AK107" s="5">
        <v>44179.333333333336</v>
      </c>
      <c r="AL107" s="5">
        <v>44225.666666666664</v>
      </c>
      <c r="AM107" s="5">
        <v>44116.333333333336</v>
      </c>
      <c r="AN107" s="5">
        <v>44148.666666666664</v>
      </c>
      <c r="AP107" t="s">
        <v>418</v>
      </c>
      <c r="AU107" t="s">
        <v>1637</v>
      </c>
      <c r="AV107" t="s">
        <v>1638</v>
      </c>
      <c r="AY107" t="s">
        <v>40</v>
      </c>
      <c r="AZ107">
        <v>0</v>
      </c>
      <c r="BA107">
        <v>0</v>
      </c>
      <c r="BI107" s="5">
        <v>44048.176388888889</v>
      </c>
      <c r="BJ107" s="5">
        <v>44048.176388888889</v>
      </c>
      <c r="BK107" t="s">
        <v>778</v>
      </c>
      <c r="BL107" t="s">
        <v>778</v>
      </c>
      <c r="BN107" t="s">
        <v>37</v>
      </c>
    </row>
    <row r="108" spans="1:66" x14ac:dyDescent="0.2">
      <c r="A108">
        <v>3692665</v>
      </c>
      <c r="B108">
        <v>21883</v>
      </c>
      <c r="C108">
        <v>524022</v>
      </c>
      <c r="D108">
        <v>52897</v>
      </c>
      <c r="E108">
        <v>0</v>
      </c>
      <c r="F108" t="s">
        <v>37</v>
      </c>
      <c r="G108">
        <v>1</v>
      </c>
      <c r="H108" t="s">
        <v>37</v>
      </c>
      <c r="I108" t="s">
        <v>37</v>
      </c>
      <c r="J108" t="s">
        <v>775</v>
      </c>
      <c r="K108" t="s">
        <v>230</v>
      </c>
      <c r="L108" t="s">
        <v>226</v>
      </c>
      <c r="M108" t="s">
        <v>417</v>
      </c>
      <c r="N108" t="s">
        <v>1639</v>
      </c>
      <c r="O108" t="s">
        <v>1640</v>
      </c>
      <c r="Q108">
        <v>-192</v>
      </c>
      <c r="R108">
        <v>0</v>
      </c>
      <c r="S108">
        <v>32</v>
      </c>
      <c r="T108">
        <v>0</v>
      </c>
      <c r="U108">
        <v>0</v>
      </c>
      <c r="V108">
        <v>0</v>
      </c>
      <c r="W108">
        <v>32</v>
      </c>
      <c r="X108">
        <v>0</v>
      </c>
      <c r="Y108">
        <v>0</v>
      </c>
      <c r="Z108">
        <v>0</v>
      </c>
      <c r="AD108" s="5">
        <v>44109.333333333336</v>
      </c>
      <c r="AE108" s="5">
        <v>44112.666666666664</v>
      </c>
      <c r="AG108" s="5">
        <v>44165.333333333336</v>
      </c>
      <c r="AH108" s="5">
        <v>44168.666666666664</v>
      </c>
      <c r="AI108" s="5">
        <v>44165.333333333336</v>
      </c>
      <c r="AJ108" s="5">
        <v>44168.666666666664</v>
      </c>
      <c r="AK108" s="5">
        <v>44165.333333333336</v>
      </c>
      <c r="AL108" s="5">
        <v>44168.666666666664</v>
      </c>
      <c r="AM108" s="5">
        <v>44109.333333333336</v>
      </c>
      <c r="AN108" s="5">
        <v>44112.666666666664</v>
      </c>
      <c r="AP108" t="s">
        <v>418</v>
      </c>
      <c r="AU108" t="s">
        <v>1641</v>
      </c>
      <c r="AV108" t="s">
        <v>1642</v>
      </c>
      <c r="AY108" t="s">
        <v>40</v>
      </c>
      <c r="AZ108">
        <v>0</v>
      </c>
      <c r="BA108">
        <v>0</v>
      </c>
      <c r="BI108" s="5">
        <v>44048.176388888889</v>
      </c>
      <c r="BJ108" s="5">
        <v>44048.176388888889</v>
      </c>
      <c r="BK108" t="s">
        <v>778</v>
      </c>
      <c r="BL108" t="s">
        <v>778</v>
      </c>
      <c r="BN108" t="s">
        <v>37</v>
      </c>
    </row>
    <row r="109" spans="1:66" x14ac:dyDescent="0.2">
      <c r="A109">
        <v>3692666</v>
      </c>
      <c r="B109">
        <v>21883</v>
      </c>
      <c r="C109">
        <v>524022</v>
      </c>
      <c r="D109">
        <v>52898</v>
      </c>
      <c r="E109">
        <v>0</v>
      </c>
      <c r="F109" t="s">
        <v>37</v>
      </c>
      <c r="G109">
        <v>1</v>
      </c>
      <c r="H109" t="s">
        <v>37</v>
      </c>
      <c r="I109" t="s">
        <v>37</v>
      </c>
      <c r="J109" t="s">
        <v>775</v>
      </c>
      <c r="K109" t="s">
        <v>230</v>
      </c>
      <c r="L109" t="s">
        <v>226</v>
      </c>
      <c r="M109" t="s">
        <v>417</v>
      </c>
      <c r="N109" t="s">
        <v>1643</v>
      </c>
      <c r="O109" t="s">
        <v>1644</v>
      </c>
      <c r="Q109">
        <v>-56</v>
      </c>
      <c r="R109">
        <v>0</v>
      </c>
      <c r="S109">
        <v>24</v>
      </c>
      <c r="T109">
        <v>0</v>
      </c>
      <c r="U109">
        <v>0</v>
      </c>
      <c r="V109">
        <v>0</v>
      </c>
      <c r="W109">
        <v>24</v>
      </c>
      <c r="X109">
        <v>0</v>
      </c>
      <c r="Y109">
        <v>0</v>
      </c>
      <c r="Z109">
        <v>0</v>
      </c>
      <c r="AD109" s="5">
        <v>44155.333333333336</v>
      </c>
      <c r="AE109" s="5">
        <v>44159.666666666664</v>
      </c>
      <c r="AG109" s="5">
        <v>44256.333333333336</v>
      </c>
      <c r="AH109" s="5">
        <v>44258.666666666664</v>
      </c>
      <c r="AI109" s="5">
        <v>44256.333333333336</v>
      </c>
      <c r="AJ109" s="5">
        <v>44258.666666666664</v>
      </c>
      <c r="AK109" s="5">
        <v>44256.333333333336</v>
      </c>
      <c r="AL109" s="5">
        <v>44258.666666666664</v>
      </c>
      <c r="AM109" s="5">
        <v>44155.333333333336</v>
      </c>
      <c r="AN109" s="5">
        <v>44159.666666666664</v>
      </c>
      <c r="AP109" t="s">
        <v>418</v>
      </c>
      <c r="AU109" t="s">
        <v>1645</v>
      </c>
      <c r="AV109" t="s">
        <v>1646</v>
      </c>
      <c r="AY109" t="s">
        <v>40</v>
      </c>
      <c r="AZ109">
        <v>0</v>
      </c>
      <c r="BA109">
        <v>0</v>
      </c>
      <c r="BI109" s="5">
        <v>44048.176388888889</v>
      </c>
      <c r="BJ109" s="5">
        <v>44048.176388888889</v>
      </c>
      <c r="BK109" t="s">
        <v>778</v>
      </c>
      <c r="BL109" t="s">
        <v>778</v>
      </c>
      <c r="BN109" t="s">
        <v>37</v>
      </c>
    </row>
    <row r="110" spans="1:66" x14ac:dyDescent="0.2">
      <c r="A110">
        <v>3692667</v>
      </c>
      <c r="B110">
        <v>21883</v>
      </c>
      <c r="C110">
        <v>524022</v>
      </c>
      <c r="D110">
        <v>52899</v>
      </c>
      <c r="E110">
        <v>0</v>
      </c>
      <c r="F110" t="s">
        <v>37</v>
      </c>
      <c r="G110">
        <v>1</v>
      </c>
      <c r="H110" t="s">
        <v>37</v>
      </c>
      <c r="I110" t="s">
        <v>37</v>
      </c>
      <c r="J110" t="s">
        <v>775</v>
      </c>
      <c r="K110" t="s">
        <v>230</v>
      </c>
      <c r="L110" t="s">
        <v>226</v>
      </c>
      <c r="M110" t="s">
        <v>417</v>
      </c>
      <c r="N110" t="s">
        <v>1647</v>
      </c>
      <c r="O110" t="s">
        <v>1648</v>
      </c>
      <c r="Q110">
        <v>-312</v>
      </c>
      <c r="R110">
        <v>128</v>
      </c>
      <c r="S110">
        <v>16</v>
      </c>
      <c r="T110">
        <v>0</v>
      </c>
      <c r="U110">
        <v>0</v>
      </c>
      <c r="V110">
        <v>0</v>
      </c>
      <c r="W110">
        <v>16</v>
      </c>
      <c r="X110">
        <v>0</v>
      </c>
      <c r="Y110">
        <v>0</v>
      </c>
      <c r="Z110">
        <v>0</v>
      </c>
      <c r="AD110" s="5">
        <v>44153.333333333336</v>
      </c>
      <c r="AE110" s="5">
        <v>44154.666666666664</v>
      </c>
      <c r="AG110" s="5">
        <v>44228.333333333336</v>
      </c>
      <c r="AH110" s="5">
        <v>44229.666666666664</v>
      </c>
      <c r="AI110" s="5">
        <v>44228.333333333336</v>
      </c>
      <c r="AJ110" s="5">
        <v>44229.666666666664</v>
      </c>
      <c r="AK110" s="5">
        <v>44228.333333333336</v>
      </c>
      <c r="AL110" s="5">
        <v>44229.666666666664</v>
      </c>
      <c r="AM110" s="5">
        <v>44153.333333333336</v>
      </c>
      <c r="AN110" s="5">
        <v>44154.666666666664</v>
      </c>
      <c r="AP110" t="s">
        <v>418</v>
      </c>
      <c r="AU110" t="s">
        <v>1649</v>
      </c>
      <c r="AV110" t="s">
        <v>1650</v>
      </c>
      <c r="AY110" t="s">
        <v>40</v>
      </c>
      <c r="AZ110">
        <v>0</v>
      </c>
      <c r="BA110">
        <v>0</v>
      </c>
      <c r="BI110" s="5">
        <v>44048.176388888889</v>
      </c>
      <c r="BJ110" s="5">
        <v>44048.176388888889</v>
      </c>
      <c r="BK110" t="s">
        <v>778</v>
      </c>
      <c r="BL110" t="s">
        <v>778</v>
      </c>
      <c r="BN110" t="s">
        <v>37</v>
      </c>
    </row>
    <row r="111" spans="1:66" x14ac:dyDescent="0.2">
      <c r="A111">
        <v>3692668</v>
      </c>
      <c r="B111">
        <v>21883</v>
      </c>
      <c r="C111">
        <v>524004</v>
      </c>
      <c r="D111">
        <v>52894</v>
      </c>
      <c r="E111">
        <v>100</v>
      </c>
      <c r="F111" t="s">
        <v>37</v>
      </c>
      <c r="G111">
        <v>1</v>
      </c>
      <c r="H111" t="s">
        <v>37</v>
      </c>
      <c r="I111" t="s">
        <v>37</v>
      </c>
      <c r="J111" t="s">
        <v>775</v>
      </c>
      <c r="K111" t="s">
        <v>230</v>
      </c>
      <c r="L111" t="s">
        <v>226</v>
      </c>
      <c r="M111" t="s">
        <v>422</v>
      </c>
      <c r="N111" t="s">
        <v>1651</v>
      </c>
      <c r="O111" t="s">
        <v>1652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B111" s="5">
        <v>44012</v>
      </c>
      <c r="AC111" s="5">
        <v>44012</v>
      </c>
      <c r="AD111" s="5">
        <v>43983.333333333336</v>
      </c>
      <c r="AE111" s="5">
        <v>43983.333333333336</v>
      </c>
      <c r="AG111" s="5">
        <v>44044</v>
      </c>
      <c r="AH111" s="5">
        <v>44044</v>
      </c>
      <c r="AK111" s="5">
        <v>44023.333333333336</v>
      </c>
      <c r="AL111" s="5">
        <v>44023.333333333336</v>
      </c>
      <c r="AP111" t="s">
        <v>418</v>
      </c>
      <c r="AU111" t="s">
        <v>1653</v>
      </c>
      <c r="AY111" t="s">
        <v>37</v>
      </c>
      <c r="AZ111">
        <v>0</v>
      </c>
      <c r="BA111">
        <v>0</v>
      </c>
      <c r="BI111" s="5">
        <v>44048.176388888889</v>
      </c>
      <c r="BJ111" s="5">
        <v>44048.176388888889</v>
      </c>
      <c r="BK111" t="s">
        <v>778</v>
      </c>
      <c r="BL111" t="s">
        <v>778</v>
      </c>
      <c r="BN111" t="s">
        <v>37</v>
      </c>
    </row>
    <row r="112" spans="1:66" x14ac:dyDescent="0.2">
      <c r="A112">
        <v>3692669</v>
      </c>
      <c r="B112">
        <v>21883</v>
      </c>
      <c r="C112">
        <v>524005</v>
      </c>
      <c r="D112">
        <v>52897</v>
      </c>
      <c r="E112">
        <v>100</v>
      </c>
      <c r="F112" t="s">
        <v>37</v>
      </c>
      <c r="G112">
        <v>1</v>
      </c>
      <c r="H112" t="s">
        <v>37</v>
      </c>
      <c r="I112" t="s">
        <v>37</v>
      </c>
      <c r="J112" t="s">
        <v>775</v>
      </c>
      <c r="K112" t="s">
        <v>230</v>
      </c>
      <c r="L112" t="s">
        <v>226</v>
      </c>
      <c r="M112" t="s">
        <v>422</v>
      </c>
      <c r="N112" t="s">
        <v>1654</v>
      </c>
      <c r="O112" t="s">
        <v>1655</v>
      </c>
      <c r="S112">
        <v>0</v>
      </c>
      <c r="T112">
        <v>0</v>
      </c>
      <c r="U112">
        <v>0</v>
      </c>
      <c r="V112">
        <v>0</v>
      </c>
      <c r="W112">
        <v>16</v>
      </c>
      <c r="X112">
        <v>0</v>
      </c>
      <c r="Y112">
        <v>0</v>
      </c>
      <c r="Z112">
        <v>0</v>
      </c>
      <c r="AB112" s="5">
        <v>43986</v>
      </c>
      <c r="AC112" s="5">
        <v>43986</v>
      </c>
      <c r="AD112" s="5">
        <v>43983.333333333336</v>
      </c>
      <c r="AE112" s="5">
        <v>43983.333333333336</v>
      </c>
      <c r="AG112" s="5">
        <v>44044</v>
      </c>
      <c r="AH112" s="5">
        <v>44044</v>
      </c>
      <c r="AK112" s="5">
        <v>43997.333333333336</v>
      </c>
      <c r="AL112" s="5">
        <v>43999.666666666664</v>
      </c>
      <c r="AP112" t="s">
        <v>418</v>
      </c>
      <c r="AU112" t="s">
        <v>1656</v>
      </c>
      <c r="AV112" t="s">
        <v>1657</v>
      </c>
      <c r="AY112" t="s">
        <v>37</v>
      </c>
      <c r="AZ112">
        <v>0</v>
      </c>
      <c r="BA112">
        <v>0</v>
      </c>
      <c r="BI112" s="5">
        <v>44048.176388888889</v>
      </c>
      <c r="BJ112" s="5">
        <v>44048.176388888889</v>
      </c>
      <c r="BK112" t="s">
        <v>778</v>
      </c>
      <c r="BL112" t="s">
        <v>778</v>
      </c>
      <c r="BN112" t="s">
        <v>37</v>
      </c>
    </row>
    <row r="113" spans="1:66" x14ac:dyDescent="0.2">
      <c r="A113">
        <v>3692670</v>
      </c>
      <c r="B113">
        <v>21883</v>
      </c>
      <c r="C113">
        <v>524005</v>
      </c>
      <c r="D113">
        <v>52895</v>
      </c>
      <c r="E113">
        <v>100</v>
      </c>
      <c r="F113" t="s">
        <v>37</v>
      </c>
      <c r="G113">
        <v>1</v>
      </c>
      <c r="H113" t="s">
        <v>37</v>
      </c>
      <c r="I113" t="s">
        <v>37</v>
      </c>
      <c r="J113" t="s">
        <v>775</v>
      </c>
      <c r="K113" t="s">
        <v>230</v>
      </c>
      <c r="L113" t="s">
        <v>226</v>
      </c>
      <c r="M113" t="s">
        <v>422</v>
      </c>
      <c r="N113" t="s">
        <v>1658</v>
      </c>
      <c r="O113" t="s">
        <v>1659</v>
      </c>
      <c r="S113">
        <v>0</v>
      </c>
      <c r="T113">
        <v>0</v>
      </c>
      <c r="U113">
        <v>0</v>
      </c>
      <c r="V113">
        <v>0</v>
      </c>
      <c r="W113">
        <v>56</v>
      </c>
      <c r="X113">
        <v>0</v>
      </c>
      <c r="Y113">
        <v>0</v>
      </c>
      <c r="Z113">
        <v>0</v>
      </c>
      <c r="AB113" s="5">
        <v>43967</v>
      </c>
      <c r="AC113" s="5">
        <v>43973</v>
      </c>
      <c r="AD113" s="5">
        <v>43983.333333333336</v>
      </c>
      <c r="AE113" s="5">
        <v>43983.333333333336</v>
      </c>
      <c r="AG113" s="5">
        <v>44044</v>
      </c>
      <c r="AH113" s="5">
        <v>44044</v>
      </c>
      <c r="AK113" s="5">
        <v>43962.333333333336</v>
      </c>
      <c r="AL113" s="5">
        <v>43968.666666666664</v>
      </c>
      <c r="AP113" t="s">
        <v>418</v>
      </c>
      <c r="AU113" t="s">
        <v>1660</v>
      </c>
      <c r="AV113" t="s">
        <v>1661</v>
      </c>
      <c r="AY113" t="s">
        <v>37</v>
      </c>
      <c r="AZ113">
        <v>0</v>
      </c>
      <c r="BA113">
        <v>0</v>
      </c>
      <c r="BI113" s="5">
        <v>44048.176388888889</v>
      </c>
      <c r="BJ113" s="5">
        <v>44048.176388888889</v>
      </c>
      <c r="BK113" t="s">
        <v>778</v>
      </c>
      <c r="BL113" t="s">
        <v>778</v>
      </c>
      <c r="BN113" t="s">
        <v>37</v>
      </c>
    </row>
    <row r="114" spans="1:66" x14ac:dyDescent="0.2">
      <c r="A114">
        <v>3692671</v>
      </c>
      <c r="B114">
        <v>21883</v>
      </c>
      <c r="C114">
        <v>524005</v>
      </c>
      <c r="D114">
        <v>52886</v>
      </c>
      <c r="E114">
        <v>100</v>
      </c>
      <c r="F114" t="s">
        <v>37</v>
      </c>
      <c r="G114">
        <v>1</v>
      </c>
      <c r="H114" t="s">
        <v>37</v>
      </c>
      <c r="I114" t="s">
        <v>37</v>
      </c>
      <c r="J114" t="s">
        <v>775</v>
      </c>
      <c r="K114" t="s">
        <v>230</v>
      </c>
      <c r="L114" t="s">
        <v>226</v>
      </c>
      <c r="M114" t="s">
        <v>422</v>
      </c>
      <c r="N114" t="s">
        <v>1662</v>
      </c>
      <c r="O114" t="s">
        <v>1663</v>
      </c>
      <c r="S114">
        <v>0</v>
      </c>
      <c r="T114">
        <v>0</v>
      </c>
      <c r="U114">
        <v>0</v>
      </c>
      <c r="V114">
        <v>0</v>
      </c>
      <c r="W114">
        <v>32</v>
      </c>
      <c r="X114">
        <v>0</v>
      </c>
      <c r="Y114">
        <v>0</v>
      </c>
      <c r="Z114">
        <v>0</v>
      </c>
      <c r="AB114" s="5">
        <v>43904</v>
      </c>
      <c r="AC114" s="5">
        <v>43965</v>
      </c>
      <c r="AD114" s="5">
        <v>43983.333333333336</v>
      </c>
      <c r="AE114" s="5">
        <v>43983.333333333336</v>
      </c>
      <c r="AG114" s="5">
        <v>44044</v>
      </c>
      <c r="AH114" s="5">
        <v>44044</v>
      </c>
      <c r="AK114" s="5">
        <v>43962.666666666664</v>
      </c>
      <c r="AL114" s="5">
        <v>43970.666666666664</v>
      </c>
      <c r="AP114" t="s">
        <v>418</v>
      </c>
      <c r="AU114" t="s">
        <v>1664</v>
      </c>
      <c r="AV114" t="s">
        <v>1665</v>
      </c>
      <c r="AY114" t="s">
        <v>37</v>
      </c>
      <c r="AZ114">
        <v>0</v>
      </c>
      <c r="BA114">
        <v>0</v>
      </c>
      <c r="BI114" s="5">
        <v>44048.176388888889</v>
      </c>
      <c r="BJ114" s="5">
        <v>44048.176388888889</v>
      </c>
      <c r="BK114" t="s">
        <v>778</v>
      </c>
      <c r="BL114" t="s">
        <v>778</v>
      </c>
      <c r="BN114" t="s">
        <v>37</v>
      </c>
    </row>
    <row r="115" spans="1:66" x14ac:dyDescent="0.2">
      <c r="A115">
        <v>3692672</v>
      </c>
      <c r="B115">
        <v>21883</v>
      </c>
      <c r="C115">
        <v>524005</v>
      </c>
      <c r="D115">
        <v>52896</v>
      </c>
      <c r="E115">
        <v>100</v>
      </c>
      <c r="F115" t="s">
        <v>37</v>
      </c>
      <c r="G115">
        <v>1</v>
      </c>
      <c r="H115" t="s">
        <v>37</v>
      </c>
      <c r="I115" t="s">
        <v>37</v>
      </c>
      <c r="J115" t="s">
        <v>775</v>
      </c>
      <c r="K115" t="s">
        <v>230</v>
      </c>
      <c r="L115" t="s">
        <v>226</v>
      </c>
      <c r="M115" t="s">
        <v>422</v>
      </c>
      <c r="N115" t="s">
        <v>1666</v>
      </c>
      <c r="O115" t="s">
        <v>1667</v>
      </c>
      <c r="S115">
        <v>0</v>
      </c>
      <c r="T115">
        <v>0</v>
      </c>
      <c r="U115">
        <v>0</v>
      </c>
      <c r="V115">
        <v>0</v>
      </c>
      <c r="W115">
        <v>16</v>
      </c>
      <c r="X115">
        <v>0</v>
      </c>
      <c r="Y115">
        <v>0</v>
      </c>
      <c r="Z115">
        <v>0</v>
      </c>
      <c r="AB115" s="5">
        <v>43922</v>
      </c>
      <c r="AC115" s="5">
        <v>43927</v>
      </c>
      <c r="AD115" s="5">
        <v>43983.333333333336</v>
      </c>
      <c r="AE115" s="5">
        <v>43983.333333333336</v>
      </c>
      <c r="AG115" s="5">
        <v>44044</v>
      </c>
      <c r="AH115" s="5">
        <v>44044</v>
      </c>
      <c r="AK115" s="5">
        <v>43937.333333333336</v>
      </c>
      <c r="AL115" s="5">
        <v>43938.666666666664</v>
      </c>
      <c r="AP115" t="s">
        <v>418</v>
      </c>
      <c r="AU115" t="s">
        <v>1668</v>
      </c>
      <c r="AV115" t="s">
        <v>1669</v>
      </c>
      <c r="AY115" t="s">
        <v>37</v>
      </c>
      <c r="AZ115">
        <v>0</v>
      </c>
      <c r="BA115">
        <v>0</v>
      </c>
      <c r="BI115" s="5">
        <v>44048.176388888889</v>
      </c>
      <c r="BJ115" s="5">
        <v>44048.176388888889</v>
      </c>
      <c r="BK115" t="s">
        <v>778</v>
      </c>
      <c r="BL115" t="s">
        <v>778</v>
      </c>
      <c r="BN115" t="s">
        <v>37</v>
      </c>
    </row>
    <row r="116" spans="1:66" x14ac:dyDescent="0.2">
      <c r="A116">
        <v>3692673</v>
      </c>
      <c r="B116">
        <v>21883</v>
      </c>
      <c r="C116">
        <v>524005</v>
      </c>
      <c r="D116">
        <v>52886</v>
      </c>
      <c r="E116">
        <v>100</v>
      </c>
      <c r="F116" t="s">
        <v>37</v>
      </c>
      <c r="G116">
        <v>1</v>
      </c>
      <c r="H116" t="s">
        <v>37</v>
      </c>
      <c r="I116" t="s">
        <v>37</v>
      </c>
      <c r="J116" t="s">
        <v>775</v>
      </c>
      <c r="K116" t="s">
        <v>230</v>
      </c>
      <c r="L116" t="s">
        <v>226</v>
      </c>
      <c r="M116" t="s">
        <v>422</v>
      </c>
      <c r="N116" t="s">
        <v>1670</v>
      </c>
      <c r="O116" t="s">
        <v>1671</v>
      </c>
      <c r="S116">
        <v>0</v>
      </c>
      <c r="T116">
        <v>0</v>
      </c>
      <c r="U116">
        <v>0</v>
      </c>
      <c r="V116">
        <v>0</v>
      </c>
      <c r="W116">
        <v>16</v>
      </c>
      <c r="X116">
        <v>0</v>
      </c>
      <c r="Y116">
        <v>0</v>
      </c>
      <c r="Z116">
        <v>0</v>
      </c>
      <c r="AB116" s="5">
        <v>43962</v>
      </c>
      <c r="AC116" s="5">
        <v>43965</v>
      </c>
      <c r="AD116" s="5">
        <v>43983.333333333336</v>
      </c>
      <c r="AE116" s="5">
        <v>43983.333333333336</v>
      </c>
      <c r="AG116" s="5">
        <v>44044</v>
      </c>
      <c r="AH116" s="5">
        <v>44044</v>
      </c>
      <c r="AK116" s="5">
        <v>43962.333333333336</v>
      </c>
      <c r="AL116" s="5">
        <v>43963.708333333336</v>
      </c>
      <c r="AP116" t="s">
        <v>418</v>
      </c>
      <c r="AU116" t="s">
        <v>1672</v>
      </c>
      <c r="AV116" t="s">
        <v>1673</v>
      </c>
      <c r="AY116" t="s">
        <v>37</v>
      </c>
      <c r="AZ116">
        <v>0</v>
      </c>
      <c r="BA116">
        <v>0</v>
      </c>
      <c r="BI116" s="5">
        <v>44048.176388888889</v>
      </c>
      <c r="BJ116" s="5">
        <v>44048.176388888889</v>
      </c>
      <c r="BK116" t="s">
        <v>778</v>
      </c>
      <c r="BL116" t="s">
        <v>778</v>
      </c>
      <c r="BN116" t="s">
        <v>37</v>
      </c>
    </row>
    <row r="117" spans="1:66" x14ac:dyDescent="0.2">
      <c r="A117">
        <v>3692674</v>
      </c>
      <c r="B117">
        <v>21883</v>
      </c>
      <c r="C117">
        <v>524005</v>
      </c>
      <c r="D117">
        <v>52897</v>
      </c>
      <c r="E117">
        <v>100</v>
      </c>
      <c r="F117" t="s">
        <v>37</v>
      </c>
      <c r="G117">
        <v>1</v>
      </c>
      <c r="H117" t="s">
        <v>37</v>
      </c>
      <c r="I117" t="s">
        <v>37</v>
      </c>
      <c r="J117" t="s">
        <v>775</v>
      </c>
      <c r="K117" t="s">
        <v>230</v>
      </c>
      <c r="L117" t="s">
        <v>226</v>
      </c>
      <c r="M117" t="s">
        <v>422</v>
      </c>
      <c r="N117" t="s">
        <v>1674</v>
      </c>
      <c r="O117" t="s">
        <v>1675</v>
      </c>
      <c r="S117">
        <v>0</v>
      </c>
      <c r="T117">
        <v>0</v>
      </c>
      <c r="U117">
        <v>0</v>
      </c>
      <c r="V117">
        <v>0</v>
      </c>
      <c r="W117">
        <v>24</v>
      </c>
      <c r="X117">
        <v>0</v>
      </c>
      <c r="Y117">
        <v>0</v>
      </c>
      <c r="Z117">
        <v>0</v>
      </c>
      <c r="AB117" s="5">
        <v>43984</v>
      </c>
      <c r="AC117" s="5">
        <v>43987</v>
      </c>
      <c r="AD117" s="5">
        <v>43983.333333333336</v>
      </c>
      <c r="AE117" s="5">
        <v>43983.333333333336</v>
      </c>
      <c r="AG117" s="5">
        <v>44044</v>
      </c>
      <c r="AH117" s="5">
        <v>44044</v>
      </c>
      <c r="AK117" s="5">
        <v>43992.333333333336</v>
      </c>
      <c r="AL117" s="5">
        <v>43994.666666666664</v>
      </c>
      <c r="AP117" t="s">
        <v>418</v>
      </c>
      <c r="AU117" t="s">
        <v>1676</v>
      </c>
      <c r="AV117" t="s">
        <v>1677</v>
      </c>
      <c r="AY117" t="s">
        <v>37</v>
      </c>
      <c r="AZ117">
        <v>0</v>
      </c>
      <c r="BA117">
        <v>0</v>
      </c>
      <c r="BI117" s="5">
        <v>44048.176388888889</v>
      </c>
      <c r="BJ117" s="5">
        <v>44048.176388888889</v>
      </c>
      <c r="BK117" t="s">
        <v>778</v>
      </c>
      <c r="BL117" t="s">
        <v>778</v>
      </c>
      <c r="BN117" t="s">
        <v>37</v>
      </c>
    </row>
    <row r="118" spans="1:66" x14ac:dyDescent="0.2">
      <c r="A118">
        <v>3692675</v>
      </c>
      <c r="B118">
        <v>21883</v>
      </c>
      <c r="C118">
        <v>524005</v>
      </c>
      <c r="D118">
        <v>52897</v>
      </c>
      <c r="E118">
        <v>100</v>
      </c>
      <c r="F118" t="s">
        <v>37</v>
      </c>
      <c r="G118">
        <v>1</v>
      </c>
      <c r="H118" t="s">
        <v>37</v>
      </c>
      <c r="I118" t="s">
        <v>37</v>
      </c>
      <c r="J118" t="s">
        <v>775</v>
      </c>
      <c r="K118" t="s">
        <v>230</v>
      </c>
      <c r="L118" t="s">
        <v>226</v>
      </c>
      <c r="M118" t="s">
        <v>422</v>
      </c>
      <c r="N118" t="s">
        <v>1678</v>
      </c>
      <c r="O118" t="s">
        <v>1679</v>
      </c>
      <c r="S118">
        <v>0</v>
      </c>
      <c r="T118">
        <v>16</v>
      </c>
      <c r="U118">
        <v>0</v>
      </c>
      <c r="V118">
        <v>16</v>
      </c>
      <c r="W118">
        <v>16</v>
      </c>
      <c r="X118">
        <v>0</v>
      </c>
      <c r="Y118">
        <v>0</v>
      </c>
      <c r="Z118">
        <v>0</v>
      </c>
      <c r="AB118" s="5">
        <v>43994</v>
      </c>
      <c r="AC118" s="5">
        <v>43994</v>
      </c>
      <c r="AD118" s="5">
        <v>43983.333333333336</v>
      </c>
      <c r="AE118" s="5">
        <v>43983.333333333336</v>
      </c>
      <c r="AG118" s="5">
        <v>44044</v>
      </c>
      <c r="AH118" s="5">
        <v>44044</v>
      </c>
      <c r="AK118" s="5">
        <v>43992.333333333336</v>
      </c>
      <c r="AL118" s="5">
        <v>43993.666666666664</v>
      </c>
      <c r="AP118" t="s">
        <v>418</v>
      </c>
      <c r="AU118" t="s">
        <v>1680</v>
      </c>
      <c r="AV118" t="s">
        <v>1681</v>
      </c>
      <c r="AY118" t="s">
        <v>37</v>
      </c>
      <c r="AZ118">
        <v>0</v>
      </c>
      <c r="BA118">
        <v>0</v>
      </c>
      <c r="BI118" s="5">
        <v>44048.176388888889</v>
      </c>
      <c r="BJ118" s="5">
        <v>44048.176388888889</v>
      </c>
      <c r="BK118" t="s">
        <v>778</v>
      </c>
      <c r="BL118" t="s">
        <v>778</v>
      </c>
      <c r="BN118" t="s">
        <v>37</v>
      </c>
    </row>
    <row r="119" spans="1:66" x14ac:dyDescent="0.2">
      <c r="A119">
        <v>3692676</v>
      </c>
      <c r="B119">
        <v>21883</v>
      </c>
      <c r="C119">
        <v>524005</v>
      </c>
      <c r="D119">
        <v>52897</v>
      </c>
      <c r="E119">
        <v>100</v>
      </c>
      <c r="F119" t="s">
        <v>37</v>
      </c>
      <c r="G119">
        <v>1</v>
      </c>
      <c r="H119" t="s">
        <v>37</v>
      </c>
      <c r="I119" t="s">
        <v>37</v>
      </c>
      <c r="J119" t="s">
        <v>775</v>
      </c>
      <c r="K119" t="s">
        <v>230</v>
      </c>
      <c r="L119" t="s">
        <v>226</v>
      </c>
      <c r="M119" t="s">
        <v>422</v>
      </c>
      <c r="N119" t="s">
        <v>1682</v>
      </c>
      <c r="O119" t="s">
        <v>1683</v>
      </c>
      <c r="S119">
        <v>0</v>
      </c>
      <c r="T119">
        <v>0</v>
      </c>
      <c r="U119">
        <v>0</v>
      </c>
      <c r="V119">
        <v>0</v>
      </c>
      <c r="W119">
        <v>168</v>
      </c>
      <c r="X119">
        <v>0</v>
      </c>
      <c r="Y119">
        <v>0</v>
      </c>
      <c r="Z119">
        <v>0</v>
      </c>
      <c r="AB119" s="5">
        <v>43904</v>
      </c>
      <c r="AC119" s="5">
        <v>43910</v>
      </c>
      <c r="AD119" s="5">
        <v>43983.333333333336</v>
      </c>
      <c r="AE119" s="5">
        <v>43983.333333333336</v>
      </c>
      <c r="AG119" s="5">
        <v>44044</v>
      </c>
      <c r="AH119" s="5">
        <v>44044</v>
      </c>
      <c r="AK119" s="5">
        <v>43922.333333333336</v>
      </c>
      <c r="AL119" s="5">
        <v>43962.666666666664</v>
      </c>
      <c r="AP119" t="s">
        <v>418</v>
      </c>
      <c r="AU119" t="s">
        <v>1684</v>
      </c>
      <c r="AV119" t="s">
        <v>1685</v>
      </c>
      <c r="AY119" t="s">
        <v>37</v>
      </c>
      <c r="AZ119">
        <v>0</v>
      </c>
      <c r="BA119">
        <v>0</v>
      </c>
      <c r="BI119" s="5">
        <v>44048.176388888889</v>
      </c>
      <c r="BJ119" s="5">
        <v>44048.176388888889</v>
      </c>
      <c r="BK119" t="s">
        <v>778</v>
      </c>
      <c r="BL119" t="s">
        <v>778</v>
      </c>
      <c r="BN119" t="s">
        <v>37</v>
      </c>
    </row>
    <row r="120" spans="1:66" x14ac:dyDescent="0.2">
      <c r="A120">
        <v>3692677</v>
      </c>
      <c r="B120">
        <v>21883</v>
      </c>
      <c r="C120">
        <v>524005</v>
      </c>
      <c r="D120">
        <v>52897</v>
      </c>
      <c r="E120">
        <v>100</v>
      </c>
      <c r="F120" t="s">
        <v>37</v>
      </c>
      <c r="G120">
        <v>1</v>
      </c>
      <c r="H120" t="s">
        <v>37</v>
      </c>
      <c r="I120" t="s">
        <v>37</v>
      </c>
      <c r="J120" t="s">
        <v>775</v>
      </c>
      <c r="K120" t="s">
        <v>230</v>
      </c>
      <c r="L120" t="s">
        <v>226</v>
      </c>
      <c r="M120" t="s">
        <v>422</v>
      </c>
      <c r="N120" t="s">
        <v>1686</v>
      </c>
      <c r="O120" t="s">
        <v>1687</v>
      </c>
      <c r="S120">
        <v>0</v>
      </c>
      <c r="T120">
        <v>0</v>
      </c>
      <c r="U120">
        <v>0</v>
      </c>
      <c r="V120">
        <v>0</v>
      </c>
      <c r="W120">
        <v>16</v>
      </c>
      <c r="X120">
        <v>0</v>
      </c>
      <c r="Y120">
        <v>0</v>
      </c>
      <c r="Z120">
        <v>0</v>
      </c>
      <c r="AB120" s="5">
        <v>43908</v>
      </c>
      <c r="AC120" s="5">
        <v>43910</v>
      </c>
      <c r="AD120" s="5">
        <v>43983.333333333336</v>
      </c>
      <c r="AE120" s="5">
        <v>43983.333333333336</v>
      </c>
      <c r="AG120" s="5">
        <v>44044</v>
      </c>
      <c r="AH120" s="5">
        <v>44044</v>
      </c>
      <c r="AK120" s="5">
        <v>43936.333333333336</v>
      </c>
      <c r="AL120" s="5">
        <v>43937.666666666664</v>
      </c>
      <c r="AP120" t="s">
        <v>418</v>
      </c>
      <c r="AU120" t="s">
        <v>1688</v>
      </c>
      <c r="AV120" t="s">
        <v>1689</v>
      </c>
      <c r="AY120" t="s">
        <v>37</v>
      </c>
      <c r="AZ120">
        <v>0</v>
      </c>
      <c r="BA120">
        <v>0</v>
      </c>
      <c r="BI120" s="5">
        <v>44048.176388888889</v>
      </c>
      <c r="BJ120" s="5">
        <v>44048.176388888889</v>
      </c>
      <c r="BK120" t="s">
        <v>778</v>
      </c>
      <c r="BL120" t="s">
        <v>778</v>
      </c>
      <c r="BN120" t="s">
        <v>37</v>
      </c>
    </row>
    <row r="121" spans="1:66" x14ac:dyDescent="0.2">
      <c r="A121">
        <v>3692678</v>
      </c>
      <c r="B121">
        <v>21883</v>
      </c>
      <c r="C121">
        <v>524004</v>
      </c>
      <c r="D121">
        <v>52897</v>
      </c>
      <c r="E121">
        <v>100</v>
      </c>
      <c r="F121" t="s">
        <v>37</v>
      </c>
      <c r="G121">
        <v>1</v>
      </c>
      <c r="H121" t="s">
        <v>37</v>
      </c>
      <c r="I121" t="s">
        <v>37</v>
      </c>
      <c r="J121" t="s">
        <v>775</v>
      </c>
      <c r="K121" t="s">
        <v>230</v>
      </c>
      <c r="L121" t="s">
        <v>226</v>
      </c>
      <c r="M121" t="s">
        <v>422</v>
      </c>
      <c r="N121" t="s">
        <v>1690</v>
      </c>
      <c r="O121" t="s">
        <v>1342</v>
      </c>
      <c r="S121">
        <v>0</v>
      </c>
      <c r="T121">
        <v>0</v>
      </c>
      <c r="U121">
        <v>0</v>
      </c>
      <c r="V121">
        <v>0</v>
      </c>
      <c r="W121">
        <v>24</v>
      </c>
      <c r="X121">
        <v>0</v>
      </c>
      <c r="Y121">
        <v>0</v>
      </c>
      <c r="Z121">
        <v>0</v>
      </c>
      <c r="AB121" s="5">
        <v>43999</v>
      </c>
      <c r="AC121" s="5">
        <v>44000</v>
      </c>
      <c r="AD121" s="5">
        <v>43983.333333333336</v>
      </c>
      <c r="AE121" s="5">
        <v>43983.333333333336</v>
      </c>
      <c r="AG121" s="5">
        <v>44044</v>
      </c>
      <c r="AH121" s="5">
        <v>44044</v>
      </c>
      <c r="AK121" s="5">
        <v>44025.333333333336</v>
      </c>
      <c r="AL121" s="5">
        <v>44028.666666666664</v>
      </c>
      <c r="AP121" t="s">
        <v>418</v>
      </c>
      <c r="AU121" t="s">
        <v>1691</v>
      </c>
      <c r="AV121" t="s">
        <v>1692</v>
      </c>
      <c r="AY121" t="s">
        <v>37</v>
      </c>
      <c r="AZ121">
        <v>0</v>
      </c>
      <c r="BA121">
        <v>0</v>
      </c>
      <c r="BI121" s="5">
        <v>44048.176388888889</v>
      </c>
      <c r="BJ121" s="5">
        <v>44048.176388888889</v>
      </c>
      <c r="BK121" t="s">
        <v>778</v>
      </c>
      <c r="BL121" t="s">
        <v>778</v>
      </c>
      <c r="BN121" t="s">
        <v>37</v>
      </c>
    </row>
    <row r="122" spans="1:66" x14ac:dyDescent="0.2">
      <c r="A122">
        <v>3692679</v>
      </c>
      <c r="B122">
        <v>21883</v>
      </c>
      <c r="C122">
        <v>524004</v>
      </c>
      <c r="D122">
        <v>52897</v>
      </c>
      <c r="E122">
        <v>100</v>
      </c>
      <c r="F122" t="s">
        <v>37</v>
      </c>
      <c r="G122">
        <v>1</v>
      </c>
      <c r="H122" t="s">
        <v>37</v>
      </c>
      <c r="I122" t="s">
        <v>37</v>
      </c>
      <c r="J122" t="s">
        <v>775</v>
      </c>
      <c r="K122" t="s">
        <v>230</v>
      </c>
      <c r="L122" t="s">
        <v>226</v>
      </c>
      <c r="M122" t="s">
        <v>422</v>
      </c>
      <c r="N122" t="s">
        <v>1693</v>
      </c>
      <c r="O122" t="s">
        <v>1345</v>
      </c>
      <c r="S122">
        <v>0</v>
      </c>
      <c r="T122">
        <v>0</v>
      </c>
      <c r="U122">
        <v>0</v>
      </c>
      <c r="V122">
        <v>0</v>
      </c>
      <c r="W122">
        <v>16</v>
      </c>
      <c r="X122">
        <v>0</v>
      </c>
      <c r="Y122">
        <v>0</v>
      </c>
      <c r="Z122">
        <v>0</v>
      </c>
      <c r="AB122" s="5">
        <v>43985</v>
      </c>
      <c r="AC122" s="5">
        <v>43985</v>
      </c>
      <c r="AD122" s="5">
        <v>43983.333333333336</v>
      </c>
      <c r="AE122" s="5">
        <v>43983.333333333336</v>
      </c>
      <c r="AG122" s="5">
        <v>44044</v>
      </c>
      <c r="AH122" s="5">
        <v>44044</v>
      </c>
      <c r="AK122" s="5">
        <v>44000.333333333336</v>
      </c>
      <c r="AL122" s="5">
        <v>44001.666666666664</v>
      </c>
      <c r="AP122" t="s">
        <v>418</v>
      </c>
      <c r="AU122" t="s">
        <v>1694</v>
      </c>
      <c r="AV122" t="s">
        <v>1695</v>
      </c>
      <c r="AY122" t="s">
        <v>37</v>
      </c>
      <c r="AZ122">
        <v>0</v>
      </c>
      <c r="BA122">
        <v>0</v>
      </c>
      <c r="BI122" s="5">
        <v>44048.176388888889</v>
      </c>
      <c r="BJ122" s="5">
        <v>44048.176388888889</v>
      </c>
      <c r="BK122" t="s">
        <v>778</v>
      </c>
      <c r="BL122" t="s">
        <v>778</v>
      </c>
      <c r="BN122" t="s">
        <v>37</v>
      </c>
    </row>
    <row r="123" spans="1:66" x14ac:dyDescent="0.2">
      <c r="A123">
        <v>3692680</v>
      </c>
      <c r="B123">
        <v>21883</v>
      </c>
      <c r="C123">
        <v>524004</v>
      </c>
      <c r="D123">
        <v>52895</v>
      </c>
      <c r="E123">
        <v>100</v>
      </c>
      <c r="F123" t="s">
        <v>37</v>
      </c>
      <c r="G123">
        <v>1</v>
      </c>
      <c r="H123" t="s">
        <v>37</v>
      </c>
      <c r="I123" t="s">
        <v>37</v>
      </c>
      <c r="J123" t="s">
        <v>775</v>
      </c>
      <c r="K123" t="s">
        <v>230</v>
      </c>
      <c r="L123" t="s">
        <v>226</v>
      </c>
      <c r="M123" t="s">
        <v>422</v>
      </c>
      <c r="N123" t="s">
        <v>1696</v>
      </c>
      <c r="O123" t="s">
        <v>1697</v>
      </c>
      <c r="S123">
        <v>0</v>
      </c>
      <c r="T123">
        <v>0</v>
      </c>
      <c r="U123">
        <v>0</v>
      </c>
      <c r="V123">
        <v>0</v>
      </c>
      <c r="W123">
        <v>56</v>
      </c>
      <c r="X123">
        <v>0</v>
      </c>
      <c r="Y123">
        <v>0</v>
      </c>
      <c r="Z123">
        <v>0</v>
      </c>
      <c r="AB123" s="5">
        <v>43967</v>
      </c>
      <c r="AC123" s="5">
        <v>43969</v>
      </c>
      <c r="AD123" s="5">
        <v>43983.333333333336</v>
      </c>
      <c r="AE123" s="5">
        <v>43983.333333333336</v>
      </c>
      <c r="AG123" s="5">
        <v>44044</v>
      </c>
      <c r="AH123" s="5">
        <v>44044</v>
      </c>
      <c r="AK123" s="5">
        <v>43962.333333333336</v>
      </c>
      <c r="AL123" s="5">
        <v>43968.666666666664</v>
      </c>
      <c r="AP123" t="s">
        <v>418</v>
      </c>
      <c r="AU123" t="s">
        <v>1698</v>
      </c>
      <c r="AV123" t="s">
        <v>1699</v>
      </c>
      <c r="AY123" t="s">
        <v>37</v>
      </c>
      <c r="AZ123">
        <v>0</v>
      </c>
      <c r="BA123">
        <v>0</v>
      </c>
      <c r="BI123" s="5">
        <v>44048.176388888889</v>
      </c>
      <c r="BJ123" s="5">
        <v>44048.176388888889</v>
      </c>
      <c r="BK123" t="s">
        <v>778</v>
      </c>
      <c r="BL123" t="s">
        <v>778</v>
      </c>
      <c r="BN123" t="s">
        <v>37</v>
      </c>
    </row>
    <row r="124" spans="1:66" x14ac:dyDescent="0.2">
      <c r="A124">
        <v>3692681</v>
      </c>
      <c r="B124">
        <v>21883</v>
      </c>
      <c r="C124">
        <v>524004</v>
      </c>
      <c r="D124">
        <v>52886</v>
      </c>
      <c r="E124">
        <v>100</v>
      </c>
      <c r="F124" t="s">
        <v>37</v>
      </c>
      <c r="G124">
        <v>1</v>
      </c>
      <c r="H124" t="s">
        <v>37</v>
      </c>
      <c r="I124" t="s">
        <v>37</v>
      </c>
      <c r="J124" t="s">
        <v>775</v>
      </c>
      <c r="K124" t="s">
        <v>230</v>
      </c>
      <c r="L124" t="s">
        <v>226</v>
      </c>
      <c r="M124" t="s">
        <v>422</v>
      </c>
      <c r="N124" t="s">
        <v>1700</v>
      </c>
      <c r="O124" t="s">
        <v>1701</v>
      </c>
      <c r="S124">
        <v>0</v>
      </c>
      <c r="T124">
        <v>0</v>
      </c>
      <c r="U124">
        <v>0</v>
      </c>
      <c r="V124">
        <v>0</v>
      </c>
      <c r="W124">
        <v>24</v>
      </c>
      <c r="X124">
        <v>0</v>
      </c>
      <c r="Y124">
        <v>0</v>
      </c>
      <c r="Z124">
        <v>0</v>
      </c>
      <c r="AB124" s="5">
        <v>43962.333333333336</v>
      </c>
      <c r="AC124" s="5">
        <v>43965</v>
      </c>
      <c r="AD124" s="5">
        <v>43983.333333333336</v>
      </c>
      <c r="AE124" s="5">
        <v>43983.333333333336</v>
      </c>
      <c r="AG124" s="5">
        <v>44044</v>
      </c>
      <c r="AH124" s="5">
        <v>44044</v>
      </c>
      <c r="AK124" s="5">
        <v>43962.333333333336</v>
      </c>
      <c r="AL124" s="5">
        <v>43966.708333333336</v>
      </c>
      <c r="AP124" t="s">
        <v>418</v>
      </c>
      <c r="AU124" t="s">
        <v>1702</v>
      </c>
      <c r="AV124" t="s">
        <v>1703</v>
      </c>
      <c r="AY124" t="s">
        <v>37</v>
      </c>
      <c r="AZ124">
        <v>0</v>
      </c>
      <c r="BA124">
        <v>0</v>
      </c>
      <c r="BI124" s="5">
        <v>44048.176388888889</v>
      </c>
      <c r="BJ124" s="5">
        <v>44048.176388888889</v>
      </c>
      <c r="BK124" t="s">
        <v>778</v>
      </c>
      <c r="BL124" t="s">
        <v>778</v>
      </c>
      <c r="BN124" t="s">
        <v>37</v>
      </c>
    </row>
    <row r="125" spans="1:66" x14ac:dyDescent="0.2">
      <c r="A125">
        <v>3692682</v>
      </c>
      <c r="B125">
        <v>21883</v>
      </c>
      <c r="C125">
        <v>524004</v>
      </c>
      <c r="D125">
        <v>52896</v>
      </c>
      <c r="E125">
        <v>100</v>
      </c>
      <c r="F125" t="s">
        <v>37</v>
      </c>
      <c r="G125">
        <v>1</v>
      </c>
      <c r="H125" t="s">
        <v>37</v>
      </c>
      <c r="I125" t="s">
        <v>37</v>
      </c>
      <c r="J125" t="s">
        <v>775</v>
      </c>
      <c r="K125" t="s">
        <v>230</v>
      </c>
      <c r="L125" t="s">
        <v>226</v>
      </c>
      <c r="M125" t="s">
        <v>422</v>
      </c>
      <c r="N125" t="s">
        <v>1704</v>
      </c>
      <c r="O125" t="s">
        <v>1705</v>
      </c>
      <c r="S125">
        <v>0</v>
      </c>
      <c r="T125">
        <v>0</v>
      </c>
      <c r="U125">
        <v>0</v>
      </c>
      <c r="V125">
        <v>0</v>
      </c>
      <c r="W125">
        <v>16</v>
      </c>
      <c r="X125">
        <v>0</v>
      </c>
      <c r="Y125">
        <v>0</v>
      </c>
      <c r="Z125">
        <v>0</v>
      </c>
      <c r="AB125" s="5">
        <v>43903</v>
      </c>
      <c r="AC125" s="5">
        <v>43915</v>
      </c>
      <c r="AD125" s="5">
        <v>43983.333333333336</v>
      </c>
      <c r="AE125" s="5">
        <v>43983.333333333336</v>
      </c>
      <c r="AG125" s="5">
        <v>44044</v>
      </c>
      <c r="AH125" s="5">
        <v>44044</v>
      </c>
      <c r="AK125" s="5">
        <v>43928.333333333336</v>
      </c>
      <c r="AL125" s="5">
        <v>43929.666666666664</v>
      </c>
      <c r="AP125" t="s">
        <v>418</v>
      </c>
      <c r="AU125" t="s">
        <v>1706</v>
      </c>
      <c r="AV125" t="s">
        <v>1707</v>
      </c>
      <c r="AY125" t="s">
        <v>37</v>
      </c>
      <c r="AZ125">
        <v>0</v>
      </c>
      <c r="BA125">
        <v>0</v>
      </c>
      <c r="BI125" s="5">
        <v>44048.176388888889</v>
      </c>
      <c r="BJ125" s="5">
        <v>44048.176388888889</v>
      </c>
      <c r="BK125" t="s">
        <v>778</v>
      </c>
      <c r="BL125" t="s">
        <v>778</v>
      </c>
      <c r="BN125" t="s">
        <v>37</v>
      </c>
    </row>
    <row r="126" spans="1:66" x14ac:dyDescent="0.2">
      <c r="A126">
        <v>3692683</v>
      </c>
      <c r="B126">
        <v>21883</v>
      </c>
      <c r="C126">
        <v>524004</v>
      </c>
      <c r="D126">
        <v>52886</v>
      </c>
      <c r="E126">
        <v>100</v>
      </c>
      <c r="F126" t="s">
        <v>37</v>
      </c>
      <c r="G126">
        <v>1</v>
      </c>
      <c r="H126" t="s">
        <v>37</v>
      </c>
      <c r="I126" t="s">
        <v>37</v>
      </c>
      <c r="J126" t="s">
        <v>775</v>
      </c>
      <c r="K126" t="s">
        <v>230</v>
      </c>
      <c r="L126" t="s">
        <v>226</v>
      </c>
      <c r="M126" t="s">
        <v>422</v>
      </c>
      <c r="N126" t="s">
        <v>1708</v>
      </c>
      <c r="O126" t="s">
        <v>1709</v>
      </c>
      <c r="S126">
        <v>0</v>
      </c>
      <c r="T126">
        <v>0</v>
      </c>
      <c r="U126">
        <v>0</v>
      </c>
      <c r="V126">
        <v>0</v>
      </c>
      <c r="W126">
        <v>24</v>
      </c>
      <c r="X126">
        <v>0</v>
      </c>
      <c r="Y126">
        <v>0</v>
      </c>
      <c r="Z126">
        <v>0</v>
      </c>
      <c r="AB126" s="5">
        <v>43963</v>
      </c>
      <c r="AC126" s="5">
        <v>43966.708333333336</v>
      </c>
      <c r="AD126" s="5">
        <v>43983.333333333336</v>
      </c>
      <c r="AE126" s="5">
        <v>43983.333333333336</v>
      </c>
      <c r="AG126" s="5">
        <v>44044</v>
      </c>
      <c r="AH126" s="5">
        <v>44044</v>
      </c>
      <c r="AK126" s="5">
        <v>43962.333333333336</v>
      </c>
      <c r="AL126" s="5">
        <v>43966.708333333336</v>
      </c>
      <c r="AP126" t="s">
        <v>418</v>
      </c>
      <c r="AU126" t="s">
        <v>1710</v>
      </c>
      <c r="AV126" t="s">
        <v>1711</v>
      </c>
      <c r="AY126" t="s">
        <v>37</v>
      </c>
      <c r="AZ126">
        <v>0</v>
      </c>
      <c r="BA126">
        <v>0</v>
      </c>
      <c r="BI126" s="5">
        <v>44048.176388888889</v>
      </c>
      <c r="BJ126" s="5">
        <v>44048.176388888889</v>
      </c>
      <c r="BK126" t="s">
        <v>778</v>
      </c>
      <c r="BL126" t="s">
        <v>778</v>
      </c>
      <c r="BN126" t="s">
        <v>37</v>
      </c>
    </row>
    <row r="127" spans="1:66" x14ac:dyDescent="0.2">
      <c r="A127">
        <v>3692684</v>
      </c>
      <c r="B127">
        <v>21883</v>
      </c>
      <c r="C127">
        <v>524004</v>
      </c>
      <c r="D127">
        <v>52897</v>
      </c>
      <c r="E127">
        <v>100</v>
      </c>
      <c r="F127" t="s">
        <v>37</v>
      </c>
      <c r="G127">
        <v>1</v>
      </c>
      <c r="H127" t="s">
        <v>37</v>
      </c>
      <c r="I127" t="s">
        <v>37</v>
      </c>
      <c r="J127" t="s">
        <v>775</v>
      </c>
      <c r="K127" t="s">
        <v>230</v>
      </c>
      <c r="L127" t="s">
        <v>226</v>
      </c>
      <c r="M127" t="s">
        <v>422</v>
      </c>
      <c r="N127" t="s">
        <v>1712</v>
      </c>
      <c r="O127" t="s">
        <v>1713</v>
      </c>
      <c r="S127">
        <v>0</v>
      </c>
      <c r="T127">
        <v>0</v>
      </c>
      <c r="U127">
        <v>0</v>
      </c>
      <c r="V127">
        <v>0</v>
      </c>
      <c r="W127">
        <v>24</v>
      </c>
      <c r="X127">
        <v>0</v>
      </c>
      <c r="Y127">
        <v>0</v>
      </c>
      <c r="Z127">
        <v>0</v>
      </c>
      <c r="AB127" s="5">
        <v>43977</v>
      </c>
      <c r="AC127" s="5">
        <v>43986</v>
      </c>
      <c r="AD127" s="5">
        <v>43983.333333333336</v>
      </c>
      <c r="AE127" s="5">
        <v>43983.333333333336</v>
      </c>
      <c r="AG127" s="5">
        <v>44044</v>
      </c>
      <c r="AH127" s="5">
        <v>44044</v>
      </c>
      <c r="AK127" s="5">
        <v>43978.333333333336</v>
      </c>
      <c r="AL127" s="5">
        <v>43980.666666666664</v>
      </c>
      <c r="AP127" t="s">
        <v>418</v>
      </c>
      <c r="AU127" t="s">
        <v>1714</v>
      </c>
      <c r="AV127" t="s">
        <v>1715</v>
      </c>
      <c r="AY127" t="s">
        <v>37</v>
      </c>
      <c r="AZ127">
        <v>0</v>
      </c>
      <c r="BA127">
        <v>0</v>
      </c>
      <c r="BI127" s="5">
        <v>44048.176388888889</v>
      </c>
      <c r="BJ127" s="5">
        <v>44048.176388888889</v>
      </c>
      <c r="BK127" t="s">
        <v>778</v>
      </c>
      <c r="BL127" t="s">
        <v>778</v>
      </c>
      <c r="BN127" t="s">
        <v>37</v>
      </c>
    </row>
    <row r="128" spans="1:66" x14ac:dyDescent="0.2">
      <c r="A128">
        <v>3692685</v>
      </c>
      <c r="B128">
        <v>21883</v>
      </c>
      <c r="C128">
        <v>524004</v>
      </c>
      <c r="D128">
        <v>52897</v>
      </c>
      <c r="E128">
        <v>100</v>
      </c>
      <c r="F128" t="s">
        <v>37</v>
      </c>
      <c r="G128">
        <v>1</v>
      </c>
      <c r="H128" t="s">
        <v>37</v>
      </c>
      <c r="I128" t="s">
        <v>37</v>
      </c>
      <c r="J128" t="s">
        <v>775</v>
      </c>
      <c r="K128" t="s">
        <v>230</v>
      </c>
      <c r="L128" t="s">
        <v>226</v>
      </c>
      <c r="M128" t="s">
        <v>422</v>
      </c>
      <c r="N128" t="s">
        <v>1716</v>
      </c>
      <c r="O128" t="s">
        <v>1717</v>
      </c>
      <c r="S128">
        <v>0</v>
      </c>
      <c r="T128">
        <v>16</v>
      </c>
      <c r="U128">
        <v>0</v>
      </c>
      <c r="V128">
        <v>16</v>
      </c>
      <c r="W128">
        <v>8</v>
      </c>
      <c r="X128">
        <v>0</v>
      </c>
      <c r="Y128">
        <v>0</v>
      </c>
      <c r="Z128">
        <v>0</v>
      </c>
      <c r="AB128" s="5">
        <v>43994</v>
      </c>
      <c r="AC128" s="5">
        <v>43994</v>
      </c>
      <c r="AD128" s="5">
        <v>43983.333333333336</v>
      </c>
      <c r="AE128" s="5">
        <v>43983.333333333336</v>
      </c>
      <c r="AG128" s="5">
        <v>44044</v>
      </c>
      <c r="AH128" s="5">
        <v>44044</v>
      </c>
      <c r="AK128" s="5">
        <v>44004.333333333336</v>
      </c>
      <c r="AL128" s="5">
        <v>44004.666666666664</v>
      </c>
      <c r="AP128" t="s">
        <v>418</v>
      </c>
      <c r="AU128" t="s">
        <v>1718</v>
      </c>
      <c r="AV128" t="s">
        <v>1719</v>
      </c>
      <c r="AY128" t="s">
        <v>37</v>
      </c>
      <c r="AZ128">
        <v>0</v>
      </c>
      <c r="BA128">
        <v>0</v>
      </c>
      <c r="BI128" s="5">
        <v>44048.176388888889</v>
      </c>
      <c r="BJ128" s="5">
        <v>44048.176388888889</v>
      </c>
      <c r="BK128" t="s">
        <v>778</v>
      </c>
      <c r="BL128" t="s">
        <v>778</v>
      </c>
      <c r="BN128" t="s">
        <v>37</v>
      </c>
    </row>
    <row r="129" spans="1:66" x14ac:dyDescent="0.2">
      <c r="A129">
        <v>3692686</v>
      </c>
      <c r="B129">
        <v>21883</v>
      </c>
      <c r="C129">
        <v>524004</v>
      </c>
      <c r="D129">
        <v>52886</v>
      </c>
      <c r="E129">
        <v>100</v>
      </c>
      <c r="F129" t="s">
        <v>37</v>
      </c>
      <c r="G129">
        <v>1</v>
      </c>
      <c r="H129" t="s">
        <v>37</v>
      </c>
      <c r="I129" t="s">
        <v>37</v>
      </c>
      <c r="J129" t="s">
        <v>775</v>
      </c>
      <c r="K129" t="s">
        <v>230</v>
      </c>
      <c r="L129" t="s">
        <v>226</v>
      </c>
      <c r="M129" t="s">
        <v>422</v>
      </c>
      <c r="N129" t="s">
        <v>1720</v>
      </c>
      <c r="O129" t="s">
        <v>1721</v>
      </c>
      <c r="S129">
        <v>0</v>
      </c>
      <c r="T129">
        <v>0</v>
      </c>
      <c r="U129">
        <v>0</v>
      </c>
      <c r="V129">
        <v>0</v>
      </c>
      <c r="W129">
        <v>40</v>
      </c>
      <c r="X129">
        <v>0</v>
      </c>
      <c r="Y129">
        <v>0</v>
      </c>
      <c r="Z129">
        <v>0</v>
      </c>
      <c r="AB129" s="5">
        <v>43909</v>
      </c>
      <c r="AC129" s="5">
        <v>43928</v>
      </c>
      <c r="AD129" s="5">
        <v>43983.333333333336</v>
      </c>
      <c r="AE129" s="5">
        <v>43983.333333333336</v>
      </c>
      <c r="AG129" s="5">
        <v>44044</v>
      </c>
      <c r="AH129" s="5">
        <v>44044</v>
      </c>
      <c r="AK129" s="5">
        <v>43922.333333333336</v>
      </c>
      <c r="AL129" s="5">
        <v>43929.708333333336</v>
      </c>
      <c r="AP129" t="s">
        <v>418</v>
      </c>
      <c r="AU129" t="s">
        <v>1722</v>
      </c>
      <c r="AV129" t="s">
        <v>1723</v>
      </c>
      <c r="AY129" t="s">
        <v>37</v>
      </c>
      <c r="AZ129">
        <v>0</v>
      </c>
      <c r="BA129">
        <v>0</v>
      </c>
      <c r="BI129" s="5">
        <v>44048.176388888889</v>
      </c>
      <c r="BJ129" s="5">
        <v>44048.176388888889</v>
      </c>
      <c r="BK129" t="s">
        <v>778</v>
      </c>
      <c r="BL129" t="s">
        <v>778</v>
      </c>
      <c r="BN129" t="s">
        <v>37</v>
      </c>
    </row>
    <row r="130" spans="1:66" x14ac:dyDescent="0.2">
      <c r="A130">
        <v>3692687</v>
      </c>
      <c r="B130">
        <v>21883</v>
      </c>
      <c r="C130">
        <v>524004</v>
      </c>
      <c r="D130">
        <v>52897</v>
      </c>
      <c r="E130">
        <v>100</v>
      </c>
      <c r="F130" t="s">
        <v>37</v>
      </c>
      <c r="G130">
        <v>1</v>
      </c>
      <c r="H130" t="s">
        <v>37</v>
      </c>
      <c r="I130" t="s">
        <v>37</v>
      </c>
      <c r="J130" t="s">
        <v>775</v>
      </c>
      <c r="K130" t="s">
        <v>230</v>
      </c>
      <c r="L130" t="s">
        <v>226</v>
      </c>
      <c r="M130" t="s">
        <v>422</v>
      </c>
      <c r="N130" t="s">
        <v>1724</v>
      </c>
      <c r="O130" t="s">
        <v>1725</v>
      </c>
      <c r="S130">
        <v>0</v>
      </c>
      <c r="T130">
        <v>0</v>
      </c>
      <c r="U130">
        <v>0</v>
      </c>
      <c r="V130">
        <v>0</v>
      </c>
      <c r="W130">
        <v>8</v>
      </c>
      <c r="X130">
        <v>0</v>
      </c>
      <c r="Y130">
        <v>0</v>
      </c>
      <c r="Z130">
        <v>0</v>
      </c>
      <c r="AB130" s="5">
        <v>43896</v>
      </c>
      <c r="AC130" s="5">
        <v>43896</v>
      </c>
      <c r="AD130" s="5">
        <v>43983.333333333336</v>
      </c>
      <c r="AE130" s="5">
        <v>43983.333333333336</v>
      </c>
      <c r="AG130" s="5">
        <v>44044</v>
      </c>
      <c r="AH130" s="5">
        <v>44044</v>
      </c>
      <c r="AK130" s="5">
        <v>43901.333333333336</v>
      </c>
      <c r="AL130" s="5">
        <v>43901.666666666664</v>
      </c>
      <c r="AP130" t="s">
        <v>418</v>
      </c>
      <c r="AU130" t="s">
        <v>1726</v>
      </c>
      <c r="AV130" t="s">
        <v>1727</v>
      </c>
      <c r="AY130" t="s">
        <v>37</v>
      </c>
      <c r="AZ130">
        <v>0</v>
      </c>
      <c r="BA130">
        <v>0</v>
      </c>
      <c r="BI130" s="5">
        <v>44048.176388888889</v>
      </c>
      <c r="BJ130" s="5">
        <v>44048.176388888889</v>
      </c>
      <c r="BK130" t="s">
        <v>778</v>
      </c>
      <c r="BL130" t="s">
        <v>778</v>
      </c>
      <c r="BN130" t="s">
        <v>37</v>
      </c>
    </row>
    <row r="131" spans="1:66" x14ac:dyDescent="0.2">
      <c r="A131">
        <v>3692688</v>
      </c>
      <c r="B131">
        <v>21883</v>
      </c>
      <c r="C131">
        <v>524006</v>
      </c>
      <c r="D131">
        <v>52897</v>
      </c>
      <c r="E131">
        <v>100</v>
      </c>
      <c r="F131" t="s">
        <v>37</v>
      </c>
      <c r="G131">
        <v>1</v>
      </c>
      <c r="H131" t="s">
        <v>37</v>
      </c>
      <c r="I131" t="s">
        <v>37</v>
      </c>
      <c r="J131" t="s">
        <v>775</v>
      </c>
      <c r="K131" t="s">
        <v>230</v>
      </c>
      <c r="L131" t="s">
        <v>226</v>
      </c>
      <c r="M131" t="s">
        <v>422</v>
      </c>
      <c r="N131" t="s">
        <v>1728</v>
      </c>
      <c r="O131" t="s">
        <v>1729</v>
      </c>
      <c r="S131">
        <v>0</v>
      </c>
      <c r="T131">
        <v>0</v>
      </c>
      <c r="U131">
        <v>0</v>
      </c>
      <c r="V131">
        <v>0</v>
      </c>
      <c r="W131">
        <v>24</v>
      </c>
      <c r="X131">
        <v>0</v>
      </c>
      <c r="Y131">
        <v>0</v>
      </c>
      <c r="Z131">
        <v>0</v>
      </c>
      <c r="AB131" s="5">
        <v>43893</v>
      </c>
      <c r="AC131" s="5">
        <v>43901</v>
      </c>
      <c r="AD131" s="5">
        <v>43983.333333333336</v>
      </c>
      <c r="AE131" s="5">
        <v>43983.333333333336</v>
      </c>
      <c r="AG131" s="5">
        <v>44044</v>
      </c>
      <c r="AH131" s="5">
        <v>44044</v>
      </c>
      <c r="AK131" s="5">
        <v>43901.333333333336</v>
      </c>
      <c r="AL131" s="5">
        <v>43907.666666666664</v>
      </c>
      <c r="AP131" t="s">
        <v>418</v>
      </c>
      <c r="AU131" t="s">
        <v>1730</v>
      </c>
      <c r="AY131" t="s">
        <v>37</v>
      </c>
      <c r="AZ131">
        <v>0</v>
      </c>
      <c r="BA131">
        <v>0</v>
      </c>
      <c r="BI131" s="5">
        <v>44048.176388888889</v>
      </c>
      <c r="BJ131" s="5">
        <v>44048.176388888889</v>
      </c>
      <c r="BK131" t="s">
        <v>778</v>
      </c>
      <c r="BL131" t="s">
        <v>778</v>
      </c>
      <c r="BN131" t="s">
        <v>37</v>
      </c>
    </row>
    <row r="132" spans="1:66" x14ac:dyDescent="0.2">
      <c r="A132">
        <v>3692689</v>
      </c>
      <c r="B132">
        <v>21883</v>
      </c>
      <c r="C132">
        <v>524006</v>
      </c>
      <c r="D132">
        <v>52897</v>
      </c>
      <c r="E132">
        <v>100</v>
      </c>
      <c r="F132" t="s">
        <v>37</v>
      </c>
      <c r="G132">
        <v>1</v>
      </c>
      <c r="H132" t="s">
        <v>37</v>
      </c>
      <c r="I132" t="s">
        <v>37</v>
      </c>
      <c r="J132" t="s">
        <v>775</v>
      </c>
      <c r="K132" t="s">
        <v>230</v>
      </c>
      <c r="L132" t="s">
        <v>226</v>
      </c>
      <c r="M132" t="s">
        <v>422</v>
      </c>
      <c r="N132" t="s">
        <v>1731</v>
      </c>
      <c r="O132" t="s">
        <v>1732</v>
      </c>
      <c r="S132">
        <v>0</v>
      </c>
      <c r="T132">
        <v>0</v>
      </c>
      <c r="U132">
        <v>0</v>
      </c>
      <c r="V132">
        <v>0</v>
      </c>
      <c r="W132">
        <v>16</v>
      </c>
      <c r="X132">
        <v>0</v>
      </c>
      <c r="Y132">
        <v>0</v>
      </c>
      <c r="Z132">
        <v>0</v>
      </c>
      <c r="AB132" s="5">
        <v>43948</v>
      </c>
      <c r="AC132" s="5">
        <v>43948</v>
      </c>
      <c r="AD132" s="5">
        <v>43983.333333333336</v>
      </c>
      <c r="AE132" s="5">
        <v>43983.333333333336</v>
      </c>
      <c r="AG132" s="5">
        <v>44044</v>
      </c>
      <c r="AH132" s="5">
        <v>44044</v>
      </c>
      <c r="AK132" s="5">
        <v>43952.333333333336</v>
      </c>
      <c r="AL132" s="5">
        <v>43955.666666666664</v>
      </c>
      <c r="AP132" t="s">
        <v>418</v>
      </c>
      <c r="AU132" t="s">
        <v>1733</v>
      </c>
      <c r="AV132" t="s">
        <v>1734</v>
      </c>
      <c r="AY132" t="s">
        <v>37</v>
      </c>
      <c r="AZ132">
        <v>0</v>
      </c>
      <c r="BA132">
        <v>0</v>
      </c>
      <c r="BI132" s="5">
        <v>44048.176388888889</v>
      </c>
      <c r="BJ132" s="5">
        <v>44048.176388888889</v>
      </c>
      <c r="BK132" t="s">
        <v>778</v>
      </c>
      <c r="BL132" t="s">
        <v>778</v>
      </c>
      <c r="BN132" t="s">
        <v>37</v>
      </c>
    </row>
    <row r="133" spans="1:66" x14ac:dyDescent="0.2">
      <c r="A133">
        <v>3692690</v>
      </c>
      <c r="B133">
        <v>21883</v>
      </c>
      <c r="C133">
        <v>524006</v>
      </c>
      <c r="D133">
        <v>52897</v>
      </c>
      <c r="E133">
        <v>100</v>
      </c>
      <c r="F133" t="s">
        <v>37</v>
      </c>
      <c r="G133">
        <v>1</v>
      </c>
      <c r="H133" t="s">
        <v>37</v>
      </c>
      <c r="I133" t="s">
        <v>37</v>
      </c>
      <c r="J133" t="s">
        <v>775</v>
      </c>
      <c r="K133" t="s">
        <v>230</v>
      </c>
      <c r="L133" t="s">
        <v>226</v>
      </c>
      <c r="M133" t="s">
        <v>422</v>
      </c>
      <c r="N133" t="s">
        <v>1735</v>
      </c>
      <c r="O133" t="s">
        <v>1713</v>
      </c>
      <c r="S133">
        <v>0</v>
      </c>
      <c r="T133">
        <v>0</v>
      </c>
      <c r="U133">
        <v>0</v>
      </c>
      <c r="V133">
        <v>0</v>
      </c>
      <c r="W133">
        <v>24</v>
      </c>
      <c r="X133">
        <v>0</v>
      </c>
      <c r="Y133">
        <v>0</v>
      </c>
      <c r="Z133">
        <v>0</v>
      </c>
      <c r="AB133" s="5">
        <v>43901</v>
      </c>
      <c r="AC133" s="5">
        <v>43908</v>
      </c>
      <c r="AD133" s="5">
        <v>43983.333333333336</v>
      </c>
      <c r="AE133" s="5">
        <v>43983.333333333336</v>
      </c>
      <c r="AG133" s="5">
        <v>44044</v>
      </c>
      <c r="AH133" s="5">
        <v>44044</v>
      </c>
      <c r="AK133" s="5">
        <v>43937.333333333336</v>
      </c>
      <c r="AL133" s="5">
        <v>43941.666666666664</v>
      </c>
      <c r="AP133" t="s">
        <v>418</v>
      </c>
      <c r="AU133" t="s">
        <v>1736</v>
      </c>
      <c r="AV133" t="s">
        <v>1737</v>
      </c>
      <c r="AY133" t="s">
        <v>37</v>
      </c>
      <c r="AZ133">
        <v>0</v>
      </c>
      <c r="BA133">
        <v>0</v>
      </c>
      <c r="BI133" s="5">
        <v>44048.176388888889</v>
      </c>
      <c r="BJ133" s="5">
        <v>44048.176388888889</v>
      </c>
      <c r="BK133" t="s">
        <v>778</v>
      </c>
      <c r="BL133" t="s">
        <v>778</v>
      </c>
      <c r="BN133" t="s">
        <v>37</v>
      </c>
    </row>
    <row r="134" spans="1:66" x14ac:dyDescent="0.2">
      <c r="A134">
        <v>3692691</v>
      </c>
      <c r="B134">
        <v>21883</v>
      </c>
      <c r="C134">
        <v>524006</v>
      </c>
      <c r="D134">
        <v>52897</v>
      </c>
      <c r="E134">
        <v>100</v>
      </c>
      <c r="F134" t="s">
        <v>37</v>
      </c>
      <c r="G134">
        <v>1</v>
      </c>
      <c r="H134" t="s">
        <v>37</v>
      </c>
      <c r="I134" t="s">
        <v>37</v>
      </c>
      <c r="J134" t="s">
        <v>775</v>
      </c>
      <c r="K134" t="s">
        <v>230</v>
      </c>
      <c r="L134" t="s">
        <v>226</v>
      </c>
      <c r="M134" t="s">
        <v>422</v>
      </c>
      <c r="N134" t="s">
        <v>1738</v>
      </c>
      <c r="O134" t="s">
        <v>1739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B134" s="5">
        <v>43922</v>
      </c>
      <c r="AC134" s="5">
        <v>43922</v>
      </c>
      <c r="AD134" s="5">
        <v>43983.333333333336</v>
      </c>
      <c r="AE134" s="5">
        <v>43983.333333333336</v>
      </c>
      <c r="AG134" s="5">
        <v>44044</v>
      </c>
      <c r="AH134" s="5">
        <v>44044</v>
      </c>
      <c r="AK134" s="5">
        <v>43934.333333333336</v>
      </c>
      <c r="AL134" s="5">
        <v>43934.333333333336</v>
      </c>
      <c r="AP134" t="s">
        <v>418</v>
      </c>
      <c r="AU134" t="s">
        <v>1740</v>
      </c>
      <c r="AV134" t="s">
        <v>1741</v>
      </c>
      <c r="AY134" t="s">
        <v>37</v>
      </c>
      <c r="AZ134">
        <v>0</v>
      </c>
      <c r="BA134">
        <v>0</v>
      </c>
      <c r="BI134" s="5">
        <v>44048.176388888889</v>
      </c>
      <c r="BJ134" s="5">
        <v>44048.176388888889</v>
      </c>
      <c r="BK134" t="s">
        <v>778</v>
      </c>
      <c r="BL134" t="s">
        <v>778</v>
      </c>
      <c r="BN134" t="s">
        <v>37</v>
      </c>
    </row>
    <row r="135" spans="1:66" x14ac:dyDescent="0.2">
      <c r="A135">
        <v>3692692</v>
      </c>
      <c r="B135">
        <v>21883</v>
      </c>
      <c r="C135">
        <v>524006</v>
      </c>
      <c r="D135">
        <v>52897</v>
      </c>
      <c r="E135">
        <v>100</v>
      </c>
      <c r="F135" t="s">
        <v>37</v>
      </c>
      <c r="G135">
        <v>1</v>
      </c>
      <c r="H135" t="s">
        <v>37</v>
      </c>
      <c r="I135" t="s">
        <v>37</v>
      </c>
      <c r="J135" t="s">
        <v>775</v>
      </c>
      <c r="K135" t="s">
        <v>230</v>
      </c>
      <c r="L135" t="s">
        <v>226</v>
      </c>
      <c r="M135" t="s">
        <v>422</v>
      </c>
      <c r="N135" t="s">
        <v>1742</v>
      </c>
      <c r="O135" t="s">
        <v>1743</v>
      </c>
      <c r="S135">
        <v>0</v>
      </c>
      <c r="T135">
        <v>0</v>
      </c>
      <c r="U135">
        <v>0</v>
      </c>
      <c r="V135">
        <v>0</v>
      </c>
      <c r="W135">
        <v>16</v>
      </c>
      <c r="X135">
        <v>0</v>
      </c>
      <c r="Y135">
        <v>0</v>
      </c>
      <c r="Z135">
        <v>0</v>
      </c>
      <c r="AB135" s="5">
        <v>43879</v>
      </c>
      <c r="AC135" s="5">
        <v>43880</v>
      </c>
      <c r="AD135" s="5">
        <v>43983.333333333336</v>
      </c>
      <c r="AE135" s="5">
        <v>43983.333333333336</v>
      </c>
      <c r="AG135" s="5">
        <v>44044</v>
      </c>
      <c r="AH135" s="5">
        <v>44044</v>
      </c>
      <c r="AK135" s="5">
        <v>43872.333333333336</v>
      </c>
      <c r="AL135" s="5">
        <v>43874.666666666664</v>
      </c>
      <c r="AP135" t="s">
        <v>418</v>
      </c>
      <c r="AU135" t="s">
        <v>1744</v>
      </c>
      <c r="AV135" t="s">
        <v>1745</v>
      </c>
      <c r="AY135" t="s">
        <v>37</v>
      </c>
      <c r="AZ135">
        <v>0</v>
      </c>
      <c r="BA135">
        <v>0</v>
      </c>
      <c r="BI135" s="5">
        <v>44048.176388888889</v>
      </c>
      <c r="BJ135" s="5">
        <v>44048.176388888889</v>
      </c>
      <c r="BK135" t="s">
        <v>778</v>
      </c>
      <c r="BL135" t="s">
        <v>778</v>
      </c>
      <c r="BN135" t="s">
        <v>37</v>
      </c>
    </row>
    <row r="136" spans="1:66" x14ac:dyDescent="0.2">
      <c r="A136">
        <v>3692693</v>
      </c>
      <c r="B136">
        <v>21883</v>
      </c>
      <c r="C136">
        <v>524006</v>
      </c>
      <c r="D136">
        <v>52897</v>
      </c>
      <c r="E136">
        <v>100</v>
      </c>
      <c r="F136" t="s">
        <v>37</v>
      </c>
      <c r="G136">
        <v>1</v>
      </c>
      <c r="H136" t="s">
        <v>37</v>
      </c>
      <c r="I136" t="s">
        <v>37</v>
      </c>
      <c r="J136" t="s">
        <v>775</v>
      </c>
      <c r="K136" t="s">
        <v>230</v>
      </c>
      <c r="L136" t="s">
        <v>226</v>
      </c>
      <c r="M136" t="s">
        <v>422</v>
      </c>
      <c r="N136" t="s">
        <v>1746</v>
      </c>
      <c r="O136" t="s">
        <v>1747</v>
      </c>
      <c r="S136">
        <v>0</v>
      </c>
      <c r="T136">
        <v>0</v>
      </c>
      <c r="U136">
        <v>0</v>
      </c>
      <c r="V136">
        <v>0</v>
      </c>
      <c r="W136">
        <v>24</v>
      </c>
      <c r="X136">
        <v>0</v>
      </c>
      <c r="Y136">
        <v>0</v>
      </c>
      <c r="Z136">
        <v>0</v>
      </c>
      <c r="AB136" s="5">
        <v>43887</v>
      </c>
      <c r="AC136" s="5">
        <v>43919</v>
      </c>
      <c r="AD136" s="5">
        <v>43983.333333333336</v>
      </c>
      <c r="AE136" s="5">
        <v>43983.333333333336</v>
      </c>
      <c r="AG136" s="5">
        <v>44044</v>
      </c>
      <c r="AH136" s="5">
        <v>44044</v>
      </c>
      <c r="AK136" s="5">
        <v>43865.333333333336</v>
      </c>
      <c r="AL136" s="5">
        <v>43868.666666666664</v>
      </c>
      <c r="AP136" t="s">
        <v>418</v>
      </c>
      <c r="AU136" t="s">
        <v>1748</v>
      </c>
      <c r="AV136" t="s">
        <v>1749</v>
      </c>
      <c r="AY136" t="s">
        <v>37</v>
      </c>
      <c r="AZ136">
        <v>0</v>
      </c>
      <c r="BA136">
        <v>0</v>
      </c>
      <c r="BI136" s="5">
        <v>44048.176388888889</v>
      </c>
      <c r="BJ136" s="5">
        <v>44048.176388888889</v>
      </c>
      <c r="BK136" t="s">
        <v>778</v>
      </c>
      <c r="BL136" t="s">
        <v>778</v>
      </c>
      <c r="BN136" t="s">
        <v>37</v>
      </c>
    </row>
    <row r="137" spans="1:66" x14ac:dyDescent="0.2">
      <c r="A137">
        <v>3692694</v>
      </c>
      <c r="B137">
        <v>21883</v>
      </c>
      <c r="C137">
        <v>523933</v>
      </c>
      <c r="D137">
        <v>52897</v>
      </c>
      <c r="E137">
        <v>100</v>
      </c>
      <c r="F137" t="s">
        <v>37</v>
      </c>
      <c r="G137">
        <v>1</v>
      </c>
      <c r="H137" t="s">
        <v>37</v>
      </c>
      <c r="I137" t="s">
        <v>37</v>
      </c>
      <c r="J137" t="s">
        <v>775</v>
      </c>
      <c r="K137" t="s">
        <v>230</v>
      </c>
      <c r="L137" t="s">
        <v>226</v>
      </c>
      <c r="M137" t="s">
        <v>422</v>
      </c>
      <c r="N137" t="s">
        <v>1750</v>
      </c>
      <c r="O137" t="s">
        <v>1751</v>
      </c>
      <c r="S137">
        <v>0</v>
      </c>
      <c r="T137">
        <v>0</v>
      </c>
      <c r="U137">
        <v>0</v>
      </c>
      <c r="V137">
        <v>0</v>
      </c>
      <c r="W137">
        <v>32</v>
      </c>
      <c r="X137">
        <v>0</v>
      </c>
      <c r="Y137">
        <v>0</v>
      </c>
      <c r="Z137">
        <v>0</v>
      </c>
      <c r="AB137" s="5">
        <v>44006</v>
      </c>
      <c r="AC137" s="5">
        <v>44012</v>
      </c>
      <c r="AD137" s="5">
        <v>43993.333333333336</v>
      </c>
      <c r="AE137" s="5">
        <v>43993.333333333336</v>
      </c>
      <c r="AG137" s="5">
        <v>44044</v>
      </c>
      <c r="AH137" s="5">
        <v>44044</v>
      </c>
      <c r="AK137" s="5">
        <v>44011.333333333336</v>
      </c>
      <c r="AL137" s="5">
        <v>44021.666666666664</v>
      </c>
      <c r="AP137" t="s">
        <v>418</v>
      </c>
      <c r="AU137" t="s">
        <v>1752</v>
      </c>
      <c r="AY137" t="s">
        <v>40</v>
      </c>
      <c r="AZ137">
        <v>0</v>
      </c>
      <c r="BA137">
        <v>0</v>
      </c>
      <c r="BI137" s="5">
        <v>44048.176388888889</v>
      </c>
      <c r="BJ137" s="5">
        <v>44048.176388888889</v>
      </c>
      <c r="BK137" t="s">
        <v>778</v>
      </c>
      <c r="BL137" t="s">
        <v>778</v>
      </c>
      <c r="BN137" t="s">
        <v>37</v>
      </c>
    </row>
    <row r="138" spans="1:66" x14ac:dyDescent="0.2">
      <c r="A138">
        <v>3692695</v>
      </c>
      <c r="B138">
        <v>21883</v>
      </c>
      <c r="C138">
        <v>524021</v>
      </c>
      <c r="D138">
        <v>52898</v>
      </c>
      <c r="E138">
        <v>0</v>
      </c>
      <c r="F138" t="s">
        <v>37</v>
      </c>
      <c r="G138">
        <v>1</v>
      </c>
      <c r="H138" t="s">
        <v>37</v>
      </c>
      <c r="I138" t="s">
        <v>37</v>
      </c>
      <c r="J138" t="s">
        <v>775</v>
      </c>
      <c r="K138" t="s">
        <v>230</v>
      </c>
      <c r="L138" t="s">
        <v>226</v>
      </c>
      <c r="M138" t="s">
        <v>417</v>
      </c>
      <c r="N138" t="s">
        <v>1753</v>
      </c>
      <c r="O138" t="s">
        <v>1754</v>
      </c>
      <c r="Q138">
        <v>-248</v>
      </c>
      <c r="R138">
        <v>0</v>
      </c>
      <c r="S138">
        <v>48</v>
      </c>
      <c r="T138">
        <v>0</v>
      </c>
      <c r="U138">
        <v>24</v>
      </c>
      <c r="V138">
        <v>24</v>
      </c>
      <c r="W138">
        <v>48</v>
      </c>
      <c r="X138">
        <v>0</v>
      </c>
      <c r="Y138">
        <v>0</v>
      </c>
      <c r="Z138">
        <v>0</v>
      </c>
      <c r="AD138" s="5">
        <v>43983.333333333336</v>
      </c>
      <c r="AE138" s="5">
        <v>43993.666666666664</v>
      </c>
      <c r="AG138" s="5">
        <v>44046.333333333336</v>
      </c>
      <c r="AH138" s="5">
        <v>44056.666666666664</v>
      </c>
      <c r="AI138" s="5">
        <v>44046.333333333336</v>
      </c>
      <c r="AJ138" s="5">
        <v>44056.666666666664</v>
      </c>
      <c r="AK138" s="5">
        <v>44046.333333333336</v>
      </c>
      <c r="AL138" s="5">
        <v>44056.666666666664</v>
      </c>
      <c r="AM138" s="5">
        <v>43983.333333333336</v>
      </c>
      <c r="AN138" s="5">
        <v>43993.666666666664</v>
      </c>
      <c r="AP138" t="s">
        <v>418</v>
      </c>
      <c r="AU138" t="s">
        <v>1755</v>
      </c>
      <c r="AV138" t="s">
        <v>1756</v>
      </c>
      <c r="AY138" t="s">
        <v>37</v>
      </c>
      <c r="AZ138">
        <v>0</v>
      </c>
      <c r="BA138">
        <v>0</v>
      </c>
      <c r="BI138" s="5">
        <v>44048.176388888889</v>
      </c>
      <c r="BJ138" s="5">
        <v>44048.176388888889</v>
      </c>
      <c r="BK138" t="s">
        <v>778</v>
      </c>
      <c r="BL138" t="s">
        <v>778</v>
      </c>
      <c r="BN138" t="s">
        <v>37</v>
      </c>
    </row>
    <row r="139" spans="1:66" x14ac:dyDescent="0.2">
      <c r="A139">
        <v>3692696</v>
      </c>
      <c r="B139">
        <v>21883</v>
      </c>
      <c r="C139">
        <v>524021</v>
      </c>
      <c r="D139">
        <v>52898</v>
      </c>
      <c r="E139">
        <v>0</v>
      </c>
      <c r="F139" t="s">
        <v>37</v>
      </c>
      <c r="G139">
        <v>1</v>
      </c>
      <c r="H139" t="s">
        <v>37</v>
      </c>
      <c r="I139" t="s">
        <v>37</v>
      </c>
      <c r="J139" t="s">
        <v>775</v>
      </c>
      <c r="K139" t="s">
        <v>230</v>
      </c>
      <c r="L139" t="s">
        <v>226</v>
      </c>
      <c r="M139" t="s">
        <v>417</v>
      </c>
      <c r="N139" t="s">
        <v>1757</v>
      </c>
      <c r="O139" t="s">
        <v>1758</v>
      </c>
      <c r="Q139">
        <v>-248</v>
      </c>
      <c r="R139">
        <v>0</v>
      </c>
      <c r="S139">
        <v>16</v>
      </c>
      <c r="T139">
        <v>0</v>
      </c>
      <c r="U139">
        <v>16</v>
      </c>
      <c r="V139">
        <v>16</v>
      </c>
      <c r="W139">
        <v>16</v>
      </c>
      <c r="X139">
        <v>0</v>
      </c>
      <c r="Y139">
        <v>0</v>
      </c>
      <c r="Z139">
        <v>0</v>
      </c>
      <c r="AD139" s="5">
        <v>43994.333333333336</v>
      </c>
      <c r="AE139" s="5">
        <v>43997.666666666664</v>
      </c>
      <c r="AG139" s="5">
        <v>44057.333333333336</v>
      </c>
      <c r="AH139" s="5">
        <v>44060.666666666664</v>
      </c>
      <c r="AI139" s="5">
        <v>44057.333333333336</v>
      </c>
      <c r="AJ139" s="5">
        <v>44060.666666666664</v>
      </c>
      <c r="AK139" s="5">
        <v>44057.333333333336</v>
      </c>
      <c r="AL139" s="5">
        <v>44060.666666666664</v>
      </c>
      <c r="AM139" s="5">
        <v>43994.333333333336</v>
      </c>
      <c r="AN139" s="5">
        <v>43997.666666666664</v>
      </c>
      <c r="AP139" t="s">
        <v>418</v>
      </c>
      <c r="AU139" t="s">
        <v>1759</v>
      </c>
      <c r="AV139" t="s">
        <v>1760</v>
      </c>
      <c r="AY139" t="s">
        <v>37</v>
      </c>
      <c r="AZ139">
        <v>0</v>
      </c>
      <c r="BA139">
        <v>0</v>
      </c>
      <c r="BI139" s="5">
        <v>44048.176388888889</v>
      </c>
      <c r="BJ139" s="5">
        <v>44048.176388888889</v>
      </c>
      <c r="BK139" t="s">
        <v>778</v>
      </c>
      <c r="BL139" t="s">
        <v>778</v>
      </c>
      <c r="BN139" t="s">
        <v>37</v>
      </c>
    </row>
    <row r="140" spans="1:66" x14ac:dyDescent="0.2">
      <c r="A140">
        <v>3692697</v>
      </c>
      <c r="B140">
        <v>21883</v>
      </c>
      <c r="C140">
        <v>524021</v>
      </c>
      <c r="D140">
        <v>52898</v>
      </c>
      <c r="E140">
        <v>100</v>
      </c>
      <c r="F140" t="s">
        <v>37</v>
      </c>
      <c r="G140">
        <v>1</v>
      </c>
      <c r="H140" t="s">
        <v>37</v>
      </c>
      <c r="I140" t="s">
        <v>37</v>
      </c>
      <c r="J140" t="s">
        <v>775</v>
      </c>
      <c r="K140" t="s">
        <v>230</v>
      </c>
      <c r="L140" t="s">
        <v>226</v>
      </c>
      <c r="M140" t="s">
        <v>422</v>
      </c>
      <c r="N140" t="s">
        <v>1761</v>
      </c>
      <c r="O140" t="s">
        <v>1762</v>
      </c>
      <c r="S140">
        <v>0</v>
      </c>
      <c r="T140">
        <v>0</v>
      </c>
      <c r="U140">
        <v>0</v>
      </c>
      <c r="V140">
        <v>0</v>
      </c>
      <c r="W140">
        <v>16</v>
      </c>
      <c r="X140">
        <v>0</v>
      </c>
      <c r="Y140">
        <v>0</v>
      </c>
      <c r="Z140">
        <v>0</v>
      </c>
      <c r="AB140" s="5">
        <v>44025</v>
      </c>
      <c r="AC140" s="5">
        <v>44027</v>
      </c>
      <c r="AD140" s="5">
        <v>43983.333333333336</v>
      </c>
      <c r="AE140" s="5">
        <v>43983.333333333336</v>
      </c>
      <c r="AG140" s="5">
        <v>44044</v>
      </c>
      <c r="AH140" s="5">
        <v>44044</v>
      </c>
      <c r="AK140" s="5">
        <v>44026.333333333336</v>
      </c>
      <c r="AL140" s="5">
        <v>44028.666666666664</v>
      </c>
      <c r="AP140" t="s">
        <v>418</v>
      </c>
      <c r="AU140" t="s">
        <v>1763</v>
      </c>
      <c r="AV140" t="s">
        <v>1764</v>
      </c>
      <c r="AY140" t="s">
        <v>37</v>
      </c>
      <c r="AZ140">
        <v>0</v>
      </c>
      <c r="BA140">
        <v>0</v>
      </c>
      <c r="BI140" s="5">
        <v>44048.176388888889</v>
      </c>
      <c r="BJ140" s="5">
        <v>44048.176388888889</v>
      </c>
      <c r="BK140" t="s">
        <v>778</v>
      </c>
      <c r="BL140" t="s">
        <v>778</v>
      </c>
      <c r="BN140" t="s">
        <v>37</v>
      </c>
    </row>
    <row r="141" spans="1:66" x14ac:dyDescent="0.2">
      <c r="A141">
        <v>3692698</v>
      </c>
      <c r="B141">
        <v>21883</v>
      </c>
      <c r="C141">
        <v>524021</v>
      </c>
      <c r="D141">
        <v>52899</v>
      </c>
      <c r="E141">
        <v>100</v>
      </c>
      <c r="F141" t="s">
        <v>37</v>
      </c>
      <c r="G141">
        <v>1</v>
      </c>
      <c r="H141" t="s">
        <v>37</v>
      </c>
      <c r="I141" t="s">
        <v>37</v>
      </c>
      <c r="J141" t="s">
        <v>775</v>
      </c>
      <c r="K141" t="s">
        <v>230</v>
      </c>
      <c r="L141" t="s">
        <v>226</v>
      </c>
      <c r="M141" t="s">
        <v>422</v>
      </c>
      <c r="N141" t="s">
        <v>1765</v>
      </c>
      <c r="O141" t="s">
        <v>1766</v>
      </c>
      <c r="S141">
        <v>0</v>
      </c>
      <c r="T141">
        <v>0</v>
      </c>
      <c r="U141">
        <v>0</v>
      </c>
      <c r="V141">
        <v>0</v>
      </c>
      <c r="W141">
        <v>24</v>
      </c>
      <c r="X141">
        <v>0</v>
      </c>
      <c r="Y141">
        <v>0</v>
      </c>
      <c r="Z141">
        <v>0</v>
      </c>
      <c r="AB141" s="5">
        <v>44025</v>
      </c>
      <c r="AC141" s="5">
        <v>44025</v>
      </c>
      <c r="AD141" s="5">
        <v>43983.333333333336</v>
      </c>
      <c r="AE141" s="5">
        <v>43983.333333333336</v>
      </c>
      <c r="AG141" s="5">
        <v>44044</v>
      </c>
      <c r="AH141" s="5">
        <v>44044</v>
      </c>
      <c r="AK141" s="5">
        <v>44026.333333333336</v>
      </c>
      <c r="AL141" s="5">
        <v>44028.666666666664</v>
      </c>
      <c r="AP141" t="s">
        <v>418</v>
      </c>
      <c r="AU141" t="s">
        <v>1767</v>
      </c>
      <c r="AV141" t="s">
        <v>1768</v>
      </c>
      <c r="AY141" t="s">
        <v>37</v>
      </c>
      <c r="AZ141">
        <v>0</v>
      </c>
      <c r="BA141">
        <v>0</v>
      </c>
      <c r="BI141" s="5">
        <v>44048.176388888889</v>
      </c>
      <c r="BJ141" s="5">
        <v>44048.176388888889</v>
      </c>
      <c r="BK141" t="s">
        <v>778</v>
      </c>
      <c r="BL141" t="s">
        <v>778</v>
      </c>
      <c r="BN141" t="s">
        <v>37</v>
      </c>
    </row>
    <row r="142" spans="1:66" x14ac:dyDescent="0.2">
      <c r="A142">
        <v>3692699</v>
      </c>
      <c r="B142">
        <v>21883</v>
      </c>
      <c r="C142">
        <v>524021</v>
      </c>
      <c r="D142">
        <v>52897</v>
      </c>
      <c r="E142">
        <v>100</v>
      </c>
      <c r="F142" t="s">
        <v>37</v>
      </c>
      <c r="G142">
        <v>1</v>
      </c>
      <c r="H142" t="s">
        <v>37</v>
      </c>
      <c r="I142" t="s">
        <v>37</v>
      </c>
      <c r="J142" t="s">
        <v>775</v>
      </c>
      <c r="K142" t="s">
        <v>230</v>
      </c>
      <c r="L142" t="s">
        <v>226</v>
      </c>
      <c r="M142" t="s">
        <v>422</v>
      </c>
      <c r="N142" t="s">
        <v>1769</v>
      </c>
      <c r="O142" t="s">
        <v>1770</v>
      </c>
      <c r="S142">
        <v>0</v>
      </c>
      <c r="T142">
        <v>0</v>
      </c>
      <c r="U142">
        <v>0</v>
      </c>
      <c r="V142">
        <v>0</v>
      </c>
      <c r="W142">
        <v>16</v>
      </c>
      <c r="X142">
        <v>0</v>
      </c>
      <c r="Y142">
        <v>0</v>
      </c>
      <c r="Z142">
        <v>0</v>
      </c>
      <c r="AB142" s="5">
        <v>44029</v>
      </c>
      <c r="AC142" s="5">
        <v>44032</v>
      </c>
      <c r="AD142" s="5">
        <v>43983.333333333336</v>
      </c>
      <c r="AE142" s="5">
        <v>43983.333333333336</v>
      </c>
      <c r="AG142" s="5">
        <v>44044</v>
      </c>
      <c r="AH142" s="5">
        <v>44044</v>
      </c>
      <c r="AK142" s="5">
        <v>44032.333333333336</v>
      </c>
      <c r="AL142" s="5">
        <v>44033.666666666664</v>
      </c>
      <c r="AP142" t="s">
        <v>418</v>
      </c>
      <c r="AU142" t="s">
        <v>1771</v>
      </c>
      <c r="AV142" t="s">
        <v>1772</v>
      </c>
      <c r="AY142" t="s">
        <v>37</v>
      </c>
      <c r="AZ142">
        <v>0</v>
      </c>
      <c r="BA142">
        <v>0</v>
      </c>
      <c r="BI142" s="5">
        <v>44048.176388888889</v>
      </c>
      <c r="BJ142" s="5">
        <v>44048.176388888889</v>
      </c>
      <c r="BK142" t="s">
        <v>778</v>
      </c>
      <c r="BL142" t="s">
        <v>778</v>
      </c>
      <c r="BN142" t="s">
        <v>37</v>
      </c>
    </row>
    <row r="143" spans="1:66" x14ac:dyDescent="0.2">
      <c r="A143">
        <v>3692700</v>
      </c>
      <c r="B143">
        <v>21883</v>
      </c>
      <c r="C143">
        <v>523933</v>
      </c>
      <c r="D143">
        <v>52897</v>
      </c>
      <c r="E143">
        <v>0</v>
      </c>
      <c r="F143" t="s">
        <v>37</v>
      </c>
      <c r="G143">
        <v>1</v>
      </c>
      <c r="H143" t="s">
        <v>37</v>
      </c>
      <c r="I143" t="s">
        <v>37</v>
      </c>
      <c r="J143" t="s">
        <v>775</v>
      </c>
      <c r="K143" t="s">
        <v>230</v>
      </c>
      <c r="L143" t="s">
        <v>226</v>
      </c>
      <c r="M143" t="s">
        <v>421</v>
      </c>
      <c r="N143" t="s">
        <v>1773</v>
      </c>
      <c r="O143" t="s">
        <v>1774</v>
      </c>
      <c r="Q143">
        <v>-208</v>
      </c>
      <c r="R143">
        <v>0</v>
      </c>
      <c r="S143">
        <v>32</v>
      </c>
      <c r="T143">
        <v>0</v>
      </c>
      <c r="U143">
        <v>0</v>
      </c>
      <c r="V143">
        <v>0</v>
      </c>
      <c r="W143">
        <v>16</v>
      </c>
      <c r="X143">
        <v>0</v>
      </c>
      <c r="Y143">
        <v>0</v>
      </c>
      <c r="Z143">
        <v>0</v>
      </c>
      <c r="AB143" s="5">
        <v>44002</v>
      </c>
      <c r="AD143" s="5">
        <v>43993.333333333336</v>
      </c>
      <c r="AE143" s="5">
        <v>43999.666666666664</v>
      </c>
      <c r="AG143" s="5">
        <v>44046.333333333336</v>
      </c>
      <c r="AH143" s="5">
        <v>44050.666666666664</v>
      </c>
      <c r="AI143" s="5">
        <v>44046.333333333336</v>
      </c>
      <c r="AJ143" s="5">
        <v>44050.666666666664</v>
      </c>
      <c r="AK143" s="5">
        <v>44011.333333333336</v>
      </c>
      <c r="AL143" s="5">
        <v>44014.666666666664</v>
      </c>
      <c r="AM143" s="5">
        <v>43993.333333333336</v>
      </c>
      <c r="AN143" s="5">
        <v>43999.666666666664</v>
      </c>
      <c r="AP143" t="s">
        <v>418</v>
      </c>
      <c r="AU143" t="s">
        <v>1775</v>
      </c>
      <c r="AY143" t="s">
        <v>40</v>
      </c>
      <c r="AZ143">
        <v>0</v>
      </c>
      <c r="BA143">
        <v>0</v>
      </c>
      <c r="BI143" s="5">
        <v>44048.176388888889</v>
      </c>
      <c r="BJ143" s="5">
        <v>44048.176388888889</v>
      </c>
      <c r="BK143" t="s">
        <v>778</v>
      </c>
      <c r="BL143" t="s">
        <v>778</v>
      </c>
      <c r="BN143" t="s">
        <v>37</v>
      </c>
    </row>
    <row r="144" spans="1:66" x14ac:dyDescent="0.2">
      <c r="A144">
        <v>3692701</v>
      </c>
      <c r="B144">
        <v>21883</v>
      </c>
      <c r="C144">
        <v>523934</v>
      </c>
      <c r="D144">
        <v>15320</v>
      </c>
      <c r="E144">
        <v>100</v>
      </c>
      <c r="F144" t="s">
        <v>37</v>
      </c>
      <c r="G144">
        <v>1</v>
      </c>
      <c r="H144" t="s">
        <v>37</v>
      </c>
      <c r="I144" t="s">
        <v>37</v>
      </c>
      <c r="J144" t="s">
        <v>775</v>
      </c>
      <c r="K144" t="s">
        <v>230</v>
      </c>
      <c r="L144" t="s">
        <v>226</v>
      </c>
      <c r="M144" t="s">
        <v>422</v>
      </c>
      <c r="N144" t="s">
        <v>1776</v>
      </c>
      <c r="O144" t="s">
        <v>1777</v>
      </c>
      <c r="S144">
        <v>0</v>
      </c>
      <c r="T144">
        <v>0</v>
      </c>
      <c r="U144">
        <v>0</v>
      </c>
      <c r="V144">
        <v>0</v>
      </c>
      <c r="W144">
        <v>120</v>
      </c>
      <c r="X144">
        <v>0</v>
      </c>
      <c r="Y144">
        <v>0</v>
      </c>
      <c r="Z144">
        <v>0</v>
      </c>
      <c r="AB144" s="5">
        <v>43741</v>
      </c>
      <c r="AC144" s="5">
        <v>43790</v>
      </c>
      <c r="AD144" s="5">
        <v>43983.333333333336</v>
      </c>
      <c r="AE144" s="5">
        <v>43983.333333333336</v>
      </c>
      <c r="AG144" s="5">
        <v>44044</v>
      </c>
      <c r="AH144" s="5">
        <v>44044</v>
      </c>
      <c r="AK144" s="5">
        <v>43770.333333333336</v>
      </c>
      <c r="AL144" s="5">
        <v>43797.666666666664</v>
      </c>
      <c r="AP144" t="s">
        <v>418</v>
      </c>
      <c r="AU144" t="s">
        <v>1778</v>
      </c>
      <c r="AY144" t="s">
        <v>37</v>
      </c>
      <c r="AZ144">
        <v>0</v>
      </c>
      <c r="BA144">
        <v>0</v>
      </c>
      <c r="BI144" s="5">
        <v>44048.176388888889</v>
      </c>
      <c r="BJ144" s="5">
        <v>44048.176388888889</v>
      </c>
      <c r="BK144" t="s">
        <v>778</v>
      </c>
      <c r="BL144" t="s">
        <v>778</v>
      </c>
      <c r="BN144" t="s">
        <v>37</v>
      </c>
    </row>
    <row r="145" spans="1:66" x14ac:dyDescent="0.2">
      <c r="A145">
        <v>3692702</v>
      </c>
      <c r="B145">
        <v>21883</v>
      </c>
      <c r="C145">
        <v>524003</v>
      </c>
      <c r="D145">
        <v>52897</v>
      </c>
      <c r="E145">
        <v>100</v>
      </c>
      <c r="F145" t="s">
        <v>37</v>
      </c>
      <c r="G145">
        <v>1</v>
      </c>
      <c r="H145" t="s">
        <v>37</v>
      </c>
      <c r="I145" t="s">
        <v>37</v>
      </c>
      <c r="J145" t="s">
        <v>775</v>
      </c>
      <c r="K145" t="s">
        <v>230</v>
      </c>
      <c r="L145" t="s">
        <v>226</v>
      </c>
      <c r="M145" t="s">
        <v>422</v>
      </c>
      <c r="N145" t="s">
        <v>1779</v>
      </c>
      <c r="O145" t="s">
        <v>1780</v>
      </c>
      <c r="S145">
        <v>0</v>
      </c>
      <c r="T145">
        <v>0</v>
      </c>
      <c r="U145">
        <v>0</v>
      </c>
      <c r="V145">
        <v>0</v>
      </c>
      <c r="W145">
        <v>16</v>
      </c>
      <c r="X145">
        <v>0</v>
      </c>
      <c r="Y145">
        <v>0</v>
      </c>
      <c r="Z145">
        <v>0</v>
      </c>
      <c r="AB145" s="5">
        <v>43994</v>
      </c>
      <c r="AC145" s="5">
        <v>43994</v>
      </c>
      <c r="AD145" s="5">
        <v>43986.333333333336</v>
      </c>
      <c r="AE145" s="5">
        <v>43986.333333333336</v>
      </c>
      <c r="AG145" s="5">
        <v>44044</v>
      </c>
      <c r="AH145" s="5">
        <v>44044</v>
      </c>
      <c r="AK145" s="5">
        <v>44011.333333333336</v>
      </c>
      <c r="AL145" s="5">
        <v>44014.666666666664</v>
      </c>
      <c r="AP145" t="s">
        <v>418</v>
      </c>
      <c r="AU145" t="s">
        <v>1781</v>
      </c>
      <c r="AY145" t="s">
        <v>40</v>
      </c>
      <c r="AZ145">
        <v>0</v>
      </c>
      <c r="BA145">
        <v>0</v>
      </c>
      <c r="BI145" s="5">
        <v>44048.176388888889</v>
      </c>
      <c r="BJ145" s="5">
        <v>44048.176388888889</v>
      </c>
      <c r="BK145" t="s">
        <v>778</v>
      </c>
      <c r="BL145" t="s">
        <v>778</v>
      </c>
      <c r="BN145" t="s">
        <v>37</v>
      </c>
    </row>
    <row r="146" spans="1:66" x14ac:dyDescent="0.2">
      <c r="A146">
        <v>3692703</v>
      </c>
      <c r="B146">
        <v>21883</v>
      </c>
      <c r="C146">
        <v>524002</v>
      </c>
      <c r="D146">
        <v>52897</v>
      </c>
      <c r="E146">
        <v>100</v>
      </c>
      <c r="F146" t="s">
        <v>37</v>
      </c>
      <c r="G146">
        <v>1</v>
      </c>
      <c r="H146" t="s">
        <v>37</v>
      </c>
      <c r="I146" t="s">
        <v>37</v>
      </c>
      <c r="J146" t="s">
        <v>775</v>
      </c>
      <c r="K146" t="s">
        <v>230</v>
      </c>
      <c r="L146" t="s">
        <v>226</v>
      </c>
      <c r="M146" t="s">
        <v>422</v>
      </c>
      <c r="N146" t="s">
        <v>1782</v>
      </c>
      <c r="O146" t="s">
        <v>1783</v>
      </c>
      <c r="S146">
        <v>0</v>
      </c>
      <c r="T146">
        <v>0</v>
      </c>
      <c r="U146">
        <v>0</v>
      </c>
      <c r="V146">
        <v>0</v>
      </c>
      <c r="W146">
        <v>24</v>
      </c>
      <c r="X146">
        <v>0</v>
      </c>
      <c r="Y146">
        <v>0</v>
      </c>
      <c r="Z146">
        <v>0</v>
      </c>
      <c r="AB146" s="5">
        <v>43948</v>
      </c>
      <c r="AC146" s="5">
        <v>43991</v>
      </c>
      <c r="AD146" s="5">
        <v>43986.333333333336</v>
      </c>
      <c r="AE146" s="5">
        <v>43986.333333333336</v>
      </c>
      <c r="AG146" s="5">
        <v>44044</v>
      </c>
      <c r="AH146" s="5">
        <v>44044</v>
      </c>
      <c r="AK146" s="5">
        <v>43969.333333333336</v>
      </c>
      <c r="AL146" s="5">
        <v>43973.666666666664</v>
      </c>
      <c r="AP146" t="s">
        <v>418</v>
      </c>
      <c r="AU146" t="s">
        <v>1692</v>
      </c>
      <c r="AY146" t="s">
        <v>40</v>
      </c>
      <c r="AZ146">
        <v>0</v>
      </c>
      <c r="BA146">
        <v>0</v>
      </c>
      <c r="BI146" s="5">
        <v>44048.176388888889</v>
      </c>
      <c r="BJ146" s="5">
        <v>44048.176388888889</v>
      </c>
      <c r="BK146" t="s">
        <v>778</v>
      </c>
      <c r="BL146" t="s">
        <v>778</v>
      </c>
      <c r="BN146" t="s">
        <v>37</v>
      </c>
    </row>
    <row r="147" spans="1:66" x14ac:dyDescent="0.2">
      <c r="A147">
        <v>3692704</v>
      </c>
      <c r="B147">
        <v>21883</v>
      </c>
      <c r="C147">
        <v>524003</v>
      </c>
      <c r="D147">
        <v>52897</v>
      </c>
      <c r="E147">
        <v>100</v>
      </c>
      <c r="F147" t="s">
        <v>37</v>
      </c>
      <c r="G147">
        <v>1</v>
      </c>
      <c r="H147" t="s">
        <v>37</v>
      </c>
      <c r="I147" t="s">
        <v>37</v>
      </c>
      <c r="J147" t="s">
        <v>775</v>
      </c>
      <c r="K147" t="s">
        <v>230</v>
      </c>
      <c r="L147" t="s">
        <v>226</v>
      </c>
      <c r="M147" t="s">
        <v>422</v>
      </c>
      <c r="N147" t="s">
        <v>1784</v>
      </c>
      <c r="O147" t="s">
        <v>1783</v>
      </c>
      <c r="S147">
        <v>0</v>
      </c>
      <c r="T147">
        <v>0</v>
      </c>
      <c r="U147">
        <v>0</v>
      </c>
      <c r="V147">
        <v>0</v>
      </c>
      <c r="W147">
        <v>40</v>
      </c>
      <c r="X147">
        <v>0</v>
      </c>
      <c r="Y147">
        <v>0</v>
      </c>
      <c r="Z147">
        <v>0</v>
      </c>
      <c r="AB147" s="5">
        <v>43948.333333333336</v>
      </c>
      <c r="AC147" s="5">
        <v>43985</v>
      </c>
      <c r="AD147" s="5">
        <v>43986.333333333336</v>
      </c>
      <c r="AE147" s="5">
        <v>43986.333333333336</v>
      </c>
      <c r="AG147" s="5">
        <v>44044</v>
      </c>
      <c r="AH147" s="5">
        <v>44044</v>
      </c>
      <c r="AK147" s="5">
        <v>43948.333333333336</v>
      </c>
      <c r="AL147" s="5">
        <v>43956.666666666664</v>
      </c>
      <c r="AP147" t="s">
        <v>418</v>
      </c>
      <c r="AU147" t="s">
        <v>1785</v>
      </c>
      <c r="AY147" t="s">
        <v>40</v>
      </c>
      <c r="AZ147">
        <v>0</v>
      </c>
      <c r="BA147">
        <v>0</v>
      </c>
      <c r="BI147" s="5">
        <v>44048.176388888889</v>
      </c>
      <c r="BJ147" s="5">
        <v>44048.176388888889</v>
      </c>
      <c r="BK147" t="s">
        <v>778</v>
      </c>
      <c r="BL147" t="s">
        <v>778</v>
      </c>
      <c r="BN147" t="s">
        <v>37</v>
      </c>
    </row>
    <row r="148" spans="1:66" x14ac:dyDescent="0.2">
      <c r="A148">
        <v>3692705</v>
      </c>
      <c r="B148">
        <v>21883</v>
      </c>
      <c r="C148">
        <v>524003</v>
      </c>
      <c r="D148">
        <v>52897</v>
      </c>
      <c r="E148">
        <v>100</v>
      </c>
      <c r="F148" t="s">
        <v>37</v>
      </c>
      <c r="G148">
        <v>1</v>
      </c>
      <c r="H148" t="s">
        <v>37</v>
      </c>
      <c r="I148" t="s">
        <v>37</v>
      </c>
      <c r="J148" t="s">
        <v>775</v>
      </c>
      <c r="K148" t="s">
        <v>230</v>
      </c>
      <c r="L148" t="s">
        <v>226</v>
      </c>
      <c r="M148" t="s">
        <v>422</v>
      </c>
      <c r="N148" t="s">
        <v>1786</v>
      </c>
      <c r="O148" t="s">
        <v>1787</v>
      </c>
      <c r="S148">
        <v>0</v>
      </c>
      <c r="T148">
        <v>0</v>
      </c>
      <c r="U148">
        <v>0</v>
      </c>
      <c r="V148">
        <v>0</v>
      </c>
      <c r="W148">
        <v>24</v>
      </c>
      <c r="X148">
        <v>0</v>
      </c>
      <c r="Y148">
        <v>0</v>
      </c>
      <c r="Z148">
        <v>0</v>
      </c>
      <c r="AB148" s="5">
        <v>43887</v>
      </c>
      <c r="AC148" s="5">
        <v>43893</v>
      </c>
      <c r="AD148" s="5">
        <v>43986.333333333336</v>
      </c>
      <c r="AE148" s="5">
        <v>43986.333333333336</v>
      </c>
      <c r="AG148" s="5">
        <v>44044</v>
      </c>
      <c r="AH148" s="5">
        <v>44044</v>
      </c>
      <c r="AK148" s="5">
        <v>43874.333333333336</v>
      </c>
      <c r="AL148" s="5">
        <v>43878.666666666664</v>
      </c>
      <c r="AP148" t="s">
        <v>418</v>
      </c>
      <c r="AU148" t="s">
        <v>1788</v>
      </c>
      <c r="AY148" t="s">
        <v>40</v>
      </c>
      <c r="AZ148">
        <v>0</v>
      </c>
      <c r="BA148">
        <v>0</v>
      </c>
      <c r="BI148" s="5">
        <v>44048.176388888889</v>
      </c>
      <c r="BJ148" s="5">
        <v>44048.176388888889</v>
      </c>
      <c r="BK148" t="s">
        <v>778</v>
      </c>
      <c r="BL148" t="s">
        <v>778</v>
      </c>
      <c r="BN148" t="s">
        <v>37</v>
      </c>
    </row>
    <row r="149" spans="1:66" x14ac:dyDescent="0.2">
      <c r="A149">
        <v>3692706</v>
      </c>
      <c r="B149">
        <v>21883</v>
      </c>
      <c r="C149">
        <v>524017</v>
      </c>
      <c r="D149">
        <v>52898</v>
      </c>
      <c r="E149">
        <v>100</v>
      </c>
      <c r="F149" t="s">
        <v>37</v>
      </c>
      <c r="G149">
        <v>1</v>
      </c>
      <c r="H149" t="s">
        <v>37</v>
      </c>
      <c r="I149" t="s">
        <v>37</v>
      </c>
      <c r="J149" t="s">
        <v>775</v>
      </c>
      <c r="K149" t="s">
        <v>230</v>
      </c>
      <c r="L149" t="s">
        <v>226</v>
      </c>
      <c r="M149" t="s">
        <v>422</v>
      </c>
      <c r="N149" t="s">
        <v>1789</v>
      </c>
      <c r="O149" t="s">
        <v>1790</v>
      </c>
      <c r="S149">
        <v>0</v>
      </c>
      <c r="T149">
        <v>8</v>
      </c>
      <c r="U149">
        <v>0</v>
      </c>
      <c r="V149">
        <v>8</v>
      </c>
      <c r="W149">
        <v>80</v>
      </c>
      <c r="X149">
        <v>0</v>
      </c>
      <c r="Y149">
        <v>0</v>
      </c>
      <c r="Z149">
        <v>0</v>
      </c>
      <c r="AB149" s="5">
        <v>44011</v>
      </c>
      <c r="AC149" s="5">
        <v>44026</v>
      </c>
      <c r="AD149" s="5">
        <v>43986.333333333336</v>
      </c>
      <c r="AE149" s="5">
        <v>43986.333333333336</v>
      </c>
      <c r="AG149" s="5">
        <v>44044</v>
      </c>
      <c r="AH149" s="5">
        <v>44044</v>
      </c>
      <c r="AK149" s="5">
        <v>44022.333333333336</v>
      </c>
      <c r="AL149" s="5">
        <v>44039.666666666664</v>
      </c>
      <c r="AP149" t="s">
        <v>418</v>
      </c>
      <c r="AU149" t="s">
        <v>1791</v>
      </c>
      <c r="AV149" t="s">
        <v>1792</v>
      </c>
      <c r="AY149" t="s">
        <v>40</v>
      </c>
      <c r="AZ149">
        <v>0</v>
      </c>
      <c r="BA149">
        <v>0</v>
      </c>
      <c r="BI149" s="5">
        <v>44048.176388888889</v>
      </c>
      <c r="BJ149" s="5">
        <v>44048.176388888889</v>
      </c>
      <c r="BK149" t="s">
        <v>778</v>
      </c>
      <c r="BL149" t="s">
        <v>778</v>
      </c>
      <c r="BN149" t="s">
        <v>37</v>
      </c>
    </row>
    <row r="150" spans="1:66" x14ac:dyDescent="0.2">
      <c r="A150">
        <v>3692707</v>
      </c>
      <c r="B150">
        <v>21883</v>
      </c>
      <c r="C150">
        <v>524017</v>
      </c>
      <c r="D150">
        <v>52898</v>
      </c>
      <c r="E150">
        <v>0</v>
      </c>
      <c r="F150" t="s">
        <v>37</v>
      </c>
      <c r="G150">
        <v>1</v>
      </c>
      <c r="H150" t="s">
        <v>37</v>
      </c>
      <c r="I150" t="s">
        <v>37</v>
      </c>
      <c r="J150" t="s">
        <v>775</v>
      </c>
      <c r="K150" t="s">
        <v>230</v>
      </c>
      <c r="L150" t="s">
        <v>226</v>
      </c>
      <c r="M150" t="s">
        <v>421</v>
      </c>
      <c r="N150" t="s">
        <v>1793</v>
      </c>
      <c r="O150" t="s">
        <v>1794</v>
      </c>
      <c r="Q150">
        <v>-240</v>
      </c>
      <c r="R150">
        <v>0</v>
      </c>
      <c r="S150">
        <v>24</v>
      </c>
      <c r="T150">
        <v>0</v>
      </c>
      <c r="U150">
        <v>8</v>
      </c>
      <c r="V150">
        <v>8</v>
      </c>
      <c r="W150">
        <v>16</v>
      </c>
      <c r="X150">
        <v>0</v>
      </c>
      <c r="Y150">
        <v>0</v>
      </c>
      <c r="Z150">
        <v>0</v>
      </c>
      <c r="AB150" s="5">
        <v>44027</v>
      </c>
      <c r="AD150" s="5">
        <v>43986.333333333336</v>
      </c>
      <c r="AE150" s="5">
        <v>43990.666666666664</v>
      </c>
      <c r="AG150" s="5">
        <v>44046.333333333336</v>
      </c>
      <c r="AH150" s="5">
        <v>44049.666666666664</v>
      </c>
      <c r="AI150" s="5">
        <v>44046.333333333336</v>
      </c>
      <c r="AJ150" s="5">
        <v>44049.666666666664</v>
      </c>
      <c r="AK150" s="5">
        <v>44042.333333333336</v>
      </c>
      <c r="AL150" s="5">
        <v>44043.666666666664</v>
      </c>
      <c r="AM150" s="5">
        <v>43986.333333333336</v>
      </c>
      <c r="AN150" s="5">
        <v>43990.666666666664</v>
      </c>
      <c r="AP150" t="s">
        <v>418</v>
      </c>
      <c r="AU150" t="s">
        <v>1795</v>
      </c>
      <c r="AV150" t="s">
        <v>1796</v>
      </c>
      <c r="AY150" t="s">
        <v>40</v>
      </c>
      <c r="AZ150">
        <v>0</v>
      </c>
      <c r="BA150">
        <v>0</v>
      </c>
      <c r="BI150" s="5">
        <v>44048.176388888889</v>
      </c>
      <c r="BJ150" s="5">
        <v>44048.176388888889</v>
      </c>
      <c r="BK150" t="s">
        <v>778</v>
      </c>
      <c r="BL150" t="s">
        <v>778</v>
      </c>
      <c r="BN150" t="s">
        <v>37</v>
      </c>
    </row>
    <row r="151" spans="1:66" x14ac:dyDescent="0.2">
      <c r="A151">
        <v>3692708</v>
      </c>
      <c r="B151">
        <v>21883</v>
      </c>
      <c r="C151">
        <v>524017</v>
      </c>
      <c r="D151">
        <v>52898</v>
      </c>
      <c r="E151">
        <v>100</v>
      </c>
      <c r="F151" t="s">
        <v>37</v>
      </c>
      <c r="G151">
        <v>1</v>
      </c>
      <c r="H151" t="s">
        <v>37</v>
      </c>
      <c r="I151" t="s">
        <v>37</v>
      </c>
      <c r="J151" t="s">
        <v>775</v>
      </c>
      <c r="K151" t="s">
        <v>230</v>
      </c>
      <c r="L151" t="s">
        <v>226</v>
      </c>
      <c r="M151" t="s">
        <v>422</v>
      </c>
      <c r="N151" t="s">
        <v>1797</v>
      </c>
      <c r="O151" t="s">
        <v>1798</v>
      </c>
      <c r="S151">
        <v>0</v>
      </c>
      <c r="T151">
        <v>0</v>
      </c>
      <c r="U151">
        <v>0</v>
      </c>
      <c r="V151">
        <v>0</v>
      </c>
      <c r="W151">
        <v>16</v>
      </c>
      <c r="X151">
        <v>0</v>
      </c>
      <c r="Y151">
        <v>0</v>
      </c>
      <c r="Z151">
        <v>0</v>
      </c>
      <c r="AB151" s="5">
        <v>44005</v>
      </c>
      <c r="AC151" s="5">
        <v>44021</v>
      </c>
      <c r="AD151" s="5">
        <v>43986.333333333336</v>
      </c>
      <c r="AE151" s="5">
        <v>43986.333333333336</v>
      </c>
      <c r="AG151" s="5">
        <v>44044</v>
      </c>
      <c r="AH151" s="5">
        <v>44044</v>
      </c>
      <c r="AK151" s="5">
        <v>44014.333333333336</v>
      </c>
      <c r="AL151" s="5">
        <v>44018.666666666664</v>
      </c>
      <c r="AP151" t="s">
        <v>418</v>
      </c>
      <c r="AU151" t="s">
        <v>1799</v>
      </c>
      <c r="AV151" t="s">
        <v>1800</v>
      </c>
      <c r="AY151" t="s">
        <v>40</v>
      </c>
      <c r="AZ151">
        <v>0</v>
      </c>
      <c r="BA151">
        <v>0</v>
      </c>
      <c r="BI151" s="5">
        <v>44048.176388888889</v>
      </c>
      <c r="BJ151" s="5">
        <v>44048.176388888889</v>
      </c>
      <c r="BK151" t="s">
        <v>778</v>
      </c>
      <c r="BL151" t="s">
        <v>778</v>
      </c>
      <c r="BN151" t="s">
        <v>37</v>
      </c>
    </row>
    <row r="152" spans="1:66" x14ac:dyDescent="0.2">
      <c r="A152">
        <v>3692709</v>
      </c>
      <c r="B152">
        <v>21883</v>
      </c>
      <c r="C152">
        <v>524017</v>
      </c>
      <c r="D152">
        <v>52899</v>
      </c>
      <c r="E152">
        <v>100</v>
      </c>
      <c r="F152" t="s">
        <v>37</v>
      </c>
      <c r="G152">
        <v>1</v>
      </c>
      <c r="H152" t="s">
        <v>37</v>
      </c>
      <c r="I152" t="s">
        <v>37</v>
      </c>
      <c r="J152" t="s">
        <v>775</v>
      </c>
      <c r="K152" t="s">
        <v>230</v>
      </c>
      <c r="L152" t="s">
        <v>226</v>
      </c>
      <c r="M152" t="s">
        <v>422</v>
      </c>
      <c r="N152" t="s">
        <v>1801</v>
      </c>
      <c r="O152" t="s">
        <v>1802</v>
      </c>
      <c r="S152">
        <v>0</v>
      </c>
      <c r="T152">
        <v>0</v>
      </c>
      <c r="U152">
        <v>0</v>
      </c>
      <c r="V152">
        <v>0</v>
      </c>
      <c r="W152">
        <v>16</v>
      </c>
      <c r="X152">
        <v>0</v>
      </c>
      <c r="Y152">
        <v>0</v>
      </c>
      <c r="Z152">
        <v>0</v>
      </c>
      <c r="AB152" s="5">
        <v>43994</v>
      </c>
      <c r="AC152" s="5">
        <v>44004</v>
      </c>
      <c r="AD152" s="5">
        <v>43986.333333333336</v>
      </c>
      <c r="AE152" s="5">
        <v>43986.333333333336</v>
      </c>
      <c r="AG152" s="5">
        <v>44044</v>
      </c>
      <c r="AH152" s="5">
        <v>44044</v>
      </c>
      <c r="AK152" s="5">
        <v>44001.333333333336</v>
      </c>
      <c r="AL152" s="5">
        <v>44004.666666666664</v>
      </c>
      <c r="AP152" t="s">
        <v>418</v>
      </c>
      <c r="AU152" t="s">
        <v>1803</v>
      </c>
      <c r="AV152" t="s">
        <v>1804</v>
      </c>
      <c r="AY152" t="s">
        <v>40</v>
      </c>
      <c r="AZ152">
        <v>0</v>
      </c>
      <c r="BA152">
        <v>0</v>
      </c>
      <c r="BI152" s="5">
        <v>44048.176388888889</v>
      </c>
      <c r="BJ152" s="5">
        <v>44048.176388888889</v>
      </c>
      <c r="BK152" t="s">
        <v>778</v>
      </c>
      <c r="BL152" t="s">
        <v>778</v>
      </c>
      <c r="BN152" t="s">
        <v>37</v>
      </c>
    </row>
    <row r="153" spans="1:66" x14ac:dyDescent="0.2">
      <c r="A153">
        <v>3692710</v>
      </c>
      <c r="B153">
        <v>21883</v>
      </c>
      <c r="C153">
        <v>524017</v>
      </c>
      <c r="D153">
        <v>52897</v>
      </c>
      <c r="E153">
        <v>100</v>
      </c>
      <c r="F153" t="s">
        <v>37</v>
      </c>
      <c r="G153">
        <v>1</v>
      </c>
      <c r="H153" t="s">
        <v>37</v>
      </c>
      <c r="I153" t="s">
        <v>37</v>
      </c>
      <c r="J153" t="s">
        <v>775</v>
      </c>
      <c r="K153" t="s">
        <v>230</v>
      </c>
      <c r="L153" t="s">
        <v>226</v>
      </c>
      <c r="M153" t="s">
        <v>422</v>
      </c>
      <c r="N153" t="s">
        <v>1805</v>
      </c>
      <c r="O153" t="s">
        <v>1806</v>
      </c>
      <c r="S153">
        <v>0</v>
      </c>
      <c r="T153">
        <v>0</v>
      </c>
      <c r="U153">
        <v>0</v>
      </c>
      <c r="V153">
        <v>0</v>
      </c>
      <c r="W153">
        <v>8</v>
      </c>
      <c r="X153">
        <v>0</v>
      </c>
      <c r="Y153">
        <v>0</v>
      </c>
      <c r="Z153">
        <v>0</v>
      </c>
      <c r="AB153" s="5">
        <v>44007</v>
      </c>
      <c r="AC153" s="5">
        <v>44008</v>
      </c>
      <c r="AD153" s="5">
        <v>43986.333333333336</v>
      </c>
      <c r="AE153" s="5">
        <v>43986.333333333336</v>
      </c>
      <c r="AG153" s="5">
        <v>44044</v>
      </c>
      <c r="AH153" s="5">
        <v>44044</v>
      </c>
      <c r="AK153" s="5">
        <v>44022.333333333336</v>
      </c>
      <c r="AL153" s="5">
        <v>44022.666666666664</v>
      </c>
      <c r="AP153" t="s">
        <v>418</v>
      </c>
      <c r="AU153" t="s">
        <v>1807</v>
      </c>
      <c r="AV153" t="s">
        <v>1808</v>
      </c>
      <c r="AY153" t="s">
        <v>40</v>
      </c>
      <c r="AZ153">
        <v>0</v>
      </c>
      <c r="BA153">
        <v>0</v>
      </c>
      <c r="BI153" s="5">
        <v>44048.176388888889</v>
      </c>
      <c r="BJ153" s="5">
        <v>44048.176388888889</v>
      </c>
      <c r="BK153" t="s">
        <v>778</v>
      </c>
      <c r="BL153" t="s">
        <v>778</v>
      </c>
      <c r="BN153" t="s">
        <v>37</v>
      </c>
    </row>
    <row r="154" spans="1:66" x14ac:dyDescent="0.2">
      <c r="A154">
        <v>3692711</v>
      </c>
      <c r="B154">
        <v>21883</v>
      </c>
      <c r="C154">
        <v>523935</v>
      </c>
      <c r="D154">
        <v>15320</v>
      </c>
      <c r="E154">
        <v>100</v>
      </c>
      <c r="F154" t="s">
        <v>37</v>
      </c>
      <c r="G154">
        <v>1</v>
      </c>
      <c r="H154" t="s">
        <v>37</v>
      </c>
      <c r="I154" t="s">
        <v>37</v>
      </c>
      <c r="J154" t="s">
        <v>775</v>
      </c>
      <c r="K154" t="s">
        <v>230</v>
      </c>
      <c r="L154" t="s">
        <v>226</v>
      </c>
      <c r="M154" t="s">
        <v>422</v>
      </c>
      <c r="N154" t="s">
        <v>1809</v>
      </c>
      <c r="O154" t="s">
        <v>1810</v>
      </c>
      <c r="S154">
        <v>0</v>
      </c>
      <c r="T154">
        <v>0</v>
      </c>
      <c r="U154">
        <v>0</v>
      </c>
      <c r="V154">
        <v>0</v>
      </c>
      <c r="W154">
        <v>32</v>
      </c>
      <c r="X154">
        <v>0</v>
      </c>
      <c r="Y154">
        <v>0</v>
      </c>
      <c r="Z154">
        <v>0</v>
      </c>
      <c r="AB154" s="5">
        <v>43962.333333333336</v>
      </c>
      <c r="AC154" s="5">
        <v>43965</v>
      </c>
      <c r="AD154" s="5">
        <v>44008.666666666664</v>
      </c>
      <c r="AE154" s="5">
        <v>44008.666666666664</v>
      </c>
      <c r="AG154" s="5">
        <v>44044</v>
      </c>
      <c r="AH154" s="5">
        <v>44044</v>
      </c>
      <c r="AK154" s="5">
        <v>43962.333333333336</v>
      </c>
      <c r="AL154" s="5">
        <v>43965.666666666664</v>
      </c>
      <c r="AP154" t="s">
        <v>418</v>
      </c>
      <c r="AU154" t="s">
        <v>1811</v>
      </c>
      <c r="AY154" t="s">
        <v>37</v>
      </c>
      <c r="AZ154">
        <v>0</v>
      </c>
      <c r="BA154">
        <v>0</v>
      </c>
      <c r="BI154" s="5">
        <v>44048.176388888889</v>
      </c>
      <c r="BJ154" s="5">
        <v>44048.176388888889</v>
      </c>
      <c r="BK154" t="s">
        <v>778</v>
      </c>
      <c r="BL154" t="s">
        <v>778</v>
      </c>
      <c r="BN154" t="s">
        <v>37</v>
      </c>
    </row>
    <row r="155" spans="1:66" x14ac:dyDescent="0.2">
      <c r="A155">
        <v>3692712</v>
      </c>
      <c r="B155">
        <v>21883</v>
      </c>
      <c r="C155">
        <v>524003</v>
      </c>
      <c r="D155">
        <v>52897</v>
      </c>
      <c r="E155">
        <v>100</v>
      </c>
      <c r="F155" t="s">
        <v>37</v>
      </c>
      <c r="G155">
        <v>1</v>
      </c>
      <c r="H155" t="s">
        <v>37</v>
      </c>
      <c r="I155" t="s">
        <v>37</v>
      </c>
      <c r="J155" t="s">
        <v>775</v>
      </c>
      <c r="K155" t="s">
        <v>230</v>
      </c>
      <c r="L155" t="s">
        <v>226</v>
      </c>
      <c r="M155" t="s">
        <v>422</v>
      </c>
      <c r="N155" t="s">
        <v>1812</v>
      </c>
      <c r="O155" t="s">
        <v>1813</v>
      </c>
      <c r="S155">
        <v>0</v>
      </c>
      <c r="T155">
        <v>0</v>
      </c>
      <c r="U155">
        <v>0</v>
      </c>
      <c r="V155">
        <v>0</v>
      </c>
      <c r="W155">
        <v>32</v>
      </c>
      <c r="X155">
        <v>0</v>
      </c>
      <c r="Y155">
        <v>0</v>
      </c>
      <c r="Z155">
        <v>0</v>
      </c>
      <c r="AB155" s="5">
        <v>43887</v>
      </c>
      <c r="AC155" s="5">
        <v>43893</v>
      </c>
      <c r="AD155" s="5">
        <v>43986.333333333336</v>
      </c>
      <c r="AE155" s="5">
        <v>43986.333333333336</v>
      </c>
      <c r="AG155" s="5">
        <v>44044</v>
      </c>
      <c r="AH155" s="5">
        <v>44044</v>
      </c>
      <c r="AK155" s="5">
        <v>43865.333333333336</v>
      </c>
      <c r="AL155" s="5">
        <v>43872.666666666664</v>
      </c>
      <c r="AP155" t="s">
        <v>418</v>
      </c>
      <c r="AU155" t="s">
        <v>1814</v>
      </c>
      <c r="AV155" t="s">
        <v>1727</v>
      </c>
      <c r="AY155" t="s">
        <v>40</v>
      </c>
      <c r="AZ155">
        <v>0</v>
      </c>
      <c r="BA155">
        <v>0</v>
      </c>
      <c r="BI155" s="5">
        <v>44048.176388888889</v>
      </c>
      <c r="BJ155" s="5">
        <v>44048.176388888889</v>
      </c>
      <c r="BK155" t="s">
        <v>778</v>
      </c>
      <c r="BL155" t="s">
        <v>778</v>
      </c>
      <c r="BN155" t="s">
        <v>37</v>
      </c>
    </row>
    <row r="156" spans="1:66" x14ac:dyDescent="0.2">
      <c r="A156">
        <v>3692713</v>
      </c>
      <c r="B156">
        <v>21883</v>
      </c>
      <c r="C156">
        <v>523935</v>
      </c>
      <c r="D156">
        <v>15320</v>
      </c>
      <c r="E156">
        <v>100</v>
      </c>
      <c r="F156" t="s">
        <v>37</v>
      </c>
      <c r="G156">
        <v>1</v>
      </c>
      <c r="H156" t="s">
        <v>37</v>
      </c>
      <c r="I156" t="s">
        <v>37</v>
      </c>
      <c r="J156" t="s">
        <v>775</v>
      </c>
      <c r="K156" t="s">
        <v>230</v>
      </c>
      <c r="L156" t="s">
        <v>226</v>
      </c>
      <c r="M156" t="s">
        <v>422</v>
      </c>
      <c r="N156" t="s">
        <v>1815</v>
      </c>
      <c r="O156" t="s">
        <v>1816</v>
      </c>
      <c r="S156">
        <v>0</v>
      </c>
      <c r="T156">
        <v>0</v>
      </c>
      <c r="U156">
        <v>0</v>
      </c>
      <c r="V156">
        <v>0</v>
      </c>
      <c r="W156">
        <v>56</v>
      </c>
      <c r="X156">
        <v>0</v>
      </c>
      <c r="Y156">
        <v>0</v>
      </c>
      <c r="Z156">
        <v>0</v>
      </c>
      <c r="AB156" s="5">
        <v>43950</v>
      </c>
      <c r="AC156" s="5">
        <v>43952</v>
      </c>
      <c r="AD156" s="5">
        <v>44008.666666666664</v>
      </c>
      <c r="AE156" s="5">
        <v>44008.666666666664</v>
      </c>
      <c r="AG156" s="5">
        <v>44044</v>
      </c>
      <c r="AH156" s="5">
        <v>44044</v>
      </c>
      <c r="AK156" s="5">
        <v>43955.333333333336</v>
      </c>
      <c r="AL156" s="5">
        <v>43964.666666666664</v>
      </c>
      <c r="AP156" t="s">
        <v>418</v>
      </c>
      <c r="AU156" t="s">
        <v>1817</v>
      </c>
      <c r="AY156" t="s">
        <v>37</v>
      </c>
      <c r="AZ156">
        <v>0</v>
      </c>
      <c r="BA156">
        <v>0</v>
      </c>
      <c r="BI156" s="5">
        <v>44048.176388888889</v>
      </c>
      <c r="BJ156" s="5">
        <v>44048.176388888889</v>
      </c>
      <c r="BK156" t="s">
        <v>778</v>
      </c>
      <c r="BL156" t="s">
        <v>778</v>
      </c>
      <c r="BN156" t="s">
        <v>37</v>
      </c>
    </row>
    <row r="157" spans="1:66" x14ac:dyDescent="0.2">
      <c r="A157">
        <v>3692714</v>
      </c>
      <c r="B157">
        <v>21883</v>
      </c>
      <c r="C157">
        <v>524014</v>
      </c>
      <c r="D157">
        <v>15320</v>
      </c>
      <c r="E157">
        <v>100</v>
      </c>
      <c r="F157" t="s">
        <v>37</v>
      </c>
      <c r="G157">
        <v>1</v>
      </c>
      <c r="H157" t="s">
        <v>37</v>
      </c>
      <c r="I157" t="s">
        <v>37</v>
      </c>
      <c r="J157" t="s">
        <v>775</v>
      </c>
      <c r="K157" t="s">
        <v>230</v>
      </c>
      <c r="L157" t="s">
        <v>226</v>
      </c>
      <c r="M157" t="s">
        <v>422</v>
      </c>
      <c r="N157" t="s">
        <v>1818</v>
      </c>
      <c r="O157" t="s">
        <v>1819</v>
      </c>
      <c r="S157">
        <v>0</v>
      </c>
      <c r="T157">
        <v>0</v>
      </c>
      <c r="U157">
        <v>0</v>
      </c>
      <c r="V157">
        <v>0</v>
      </c>
      <c r="W157">
        <v>16</v>
      </c>
      <c r="X157">
        <v>0</v>
      </c>
      <c r="Y157">
        <v>0</v>
      </c>
      <c r="Z157">
        <v>0</v>
      </c>
      <c r="AB157" s="5">
        <v>43740</v>
      </c>
      <c r="AC157" s="5">
        <v>43747</v>
      </c>
      <c r="AD157" s="5">
        <v>44117.333333333336</v>
      </c>
      <c r="AE157" s="5">
        <v>44117.333333333336</v>
      </c>
      <c r="AG157" s="5">
        <v>44044</v>
      </c>
      <c r="AH157" s="5">
        <v>44044</v>
      </c>
      <c r="AK157" s="5">
        <v>43739.333333333336</v>
      </c>
      <c r="AL157" s="5">
        <v>43740.666666666664</v>
      </c>
      <c r="AP157" t="s">
        <v>418</v>
      </c>
      <c r="AU157" t="s">
        <v>1820</v>
      </c>
      <c r="AV157" t="s">
        <v>1821</v>
      </c>
      <c r="AY157" t="s">
        <v>37</v>
      </c>
      <c r="AZ157">
        <v>0</v>
      </c>
      <c r="BA157">
        <v>0</v>
      </c>
      <c r="BI157" s="5">
        <v>44048.176388888889</v>
      </c>
      <c r="BJ157" s="5">
        <v>44048.176388888889</v>
      </c>
      <c r="BK157" t="s">
        <v>778</v>
      </c>
      <c r="BL157" t="s">
        <v>778</v>
      </c>
      <c r="BN157" t="s">
        <v>37</v>
      </c>
    </row>
    <row r="158" spans="1:66" x14ac:dyDescent="0.2">
      <c r="A158">
        <v>3692715</v>
      </c>
      <c r="B158">
        <v>21883</v>
      </c>
      <c r="C158">
        <v>524014</v>
      </c>
      <c r="D158">
        <v>15320</v>
      </c>
      <c r="E158">
        <v>100</v>
      </c>
      <c r="F158" t="s">
        <v>37</v>
      </c>
      <c r="G158">
        <v>1</v>
      </c>
      <c r="H158" t="s">
        <v>37</v>
      </c>
      <c r="I158" t="s">
        <v>37</v>
      </c>
      <c r="J158" t="s">
        <v>775</v>
      </c>
      <c r="K158" t="s">
        <v>230</v>
      </c>
      <c r="L158" t="s">
        <v>226</v>
      </c>
      <c r="M158" t="s">
        <v>422</v>
      </c>
      <c r="N158" t="s">
        <v>1822</v>
      </c>
      <c r="O158" t="s">
        <v>1823</v>
      </c>
      <c r="S158">
        <v>0</v>
      </c>
      <c r="T158">
        <v>0</v>
      </c>
      <c r="U158">
        <v>0</v>
      </c>
      <c r="V158">
        <v>0</v>
      </c>
      <c r="W158">
        <v>104</v>
      </c>
      <c r="X158">
        <v>0</v>
      </c>
      <c r="Y158">
        <v>0</v>
      </c>
      <c r="Z158">
        <v>0</v>
      </c>
      <c r="AB158" s="5">
        <v>43719</v>
      </c>
      <c r="AC158" s="5">
        <v>43747</v>
      </c>
      <c r="AD158" s="5">
        <v>43990.333333333336</v>
      </c>
      <c r="AE158" s="5">
        <v>43990.333333333336</v>
      </c>
      <c r="AG158" s="5">
        <v>44044</v>
      </c>
      <c r="AH158" s="5">
        <v>44044</v>
      </c>
      <c r="AK158" s="5">
        <v>43739.333333333336</v>
      </c>
      <c r="AL158" s="5">
        <v>43755.666666666664</v>
      </c>
      <c r="AP158" t="s">
        <v>418</v>
      </c>
      <c r="AU158" t="s">
        <v>1824</v>
      </c>
      <c r="AV158" t="s">
        <v>1825</v>
      </c>
      <c r="AY158" t="s">
        <v>37</v>
      </c>
      <c r="AZ158">
        <v>0</v>
      </c>
      <c r="BA158">
        <v>0</v>
      </c>
      <c r="BI158" s="5">
        <v>44048.176388888889</v>
      </c>
      <c r="BJ158" s="5">
        <v>44048.176388888889</v>
      </c>
      <c r="BK158" t="s">
        <v>778</v>
      </c>
      <c r="BL158" t="s">
        <v>778</v>
      </c>
      <c r="BN158" t="s">
        <v>37</v>
      </c>
    </row>
    <row r="159" spans="1:66" x14ac:dyDescent="0.2">
      <c r="A159">
        <v>3692716</v>
      </c>
      <c r="B159">
        <v>21883</v>
      </c>
      <c r="C159">
        <v>524014</v>
      </c>
      <c r="D159">
        <v>52899</v>
      </c>
      <c r="E159">
        <v>100</v>
      </c>
      <c r="F159" t="s">
        <v>37</v>
      </c>
      <c r="G159">
        <v>1</v>
      </c>
      <c r="H159" t="s">
        <v>37</v>
      </c>
      <c r="I159" t="s">
        <v>37</v>
      </c>
      <c r="J159" t="s">
        <v>775</v>
      </c>
      <c r="K159" t="s">
        <v>230</v>
      </c>
      <c r="L159" t="s">
        <v>226</v>
      </c>
      <c r="M159" t="s">
        <v>422</v>
      </c>
      <c r="N159" t="s">
        <v>1826</v>
      </c>
      <c r="O159" t="s">
        <v>1827</v>
      </c>
      <c r="S159">
        <v>0</v>
      </c>
      <c r="T159">
        <v>0</v>
      </c>
      <c r="U159">
        <v>0</v>
      </c>
      <c r="V159">
        <v>0</v>
      </c>
      <c r="W159">
        <v>80</v>
      </c>
      <c r="X159">
        <v>0</v>
      </c>
      <c r="Y159">
        <v>0</v>
      </c>
      <c r="Z159">
        <v>0</v>
      </c>
      <c r="AB159" s="5">
        <v>43696</v>
      </c>
      <c r="AC159" s="5">
        <v>43734</v>
      </c>
      <c r="AD159" s="5">
        <v>43990.333333333336</v>
      </c>
      <c r="AE159" s="5">
        <v>43990.333333333336</v>
      </c>
      <c r="AG159" s="5">
        <v>44044</v>
      </c>
      <c r="AH159" s="5">
        <v>44044</v>
      </c>
      <c r="AK159" s="5">
        <v>43703.333333333336</v>
      </c>
      <c r="AL159" s="5">
        <v>43718.666666666664</v>
      </c>
      <c r="AP159" t="s">
        <v>418</v>
      </c>
      <c r="AU159" t="s">
        <v>1828</v>
      </c>
      <c r="AV159" t="s">
        <v>1829</v>
      </c>
      <c r="AY159" t="s">
        <v>37</v>
      </c>
      <c r="AZ159">
        <v>0</v>
      </c>
      <c r="BA159">
        <v>0</v>
      </c>
      <c r="BI159" s="5">
        <v>44048.176388888889</v>
      </c>
      <c r="BJ159" s="5">
        <v>44048.176388888889</v>
      </c>
      <c r="BK159" t="s">
        <v>778</v>
      </c>
      <c r="BL159" t="s">
        <v>778</v>
      </c>
      <c r="BN159" t="s">
        <v>37</v>
      </c>
    </row>
    <row r="160" spans="1:66" x14ac:dyDescent="0.2">
      <c r="A160">
        <v>3692717</v>
      </c>
      <c r="B160">
        <v>21883</v>
      </c>
      <c r="C160">
        <v>524002</v>
      </c>
      <c r="D160">
        <v>52897</v>
      </c>
      <c r="E160">
        <v>100</v>
      </c>
      <c r="F160" t="s">
        <v>37</v>
      </c>
      <c r="G160">
        <v>1</v>
      </c>
      <c r="H160" t="s">
        <v>37</v>
      </c>
      <c r="I160" t="s">
        <v>37</v>
      </c>
      <c r="J160" t="s">
        <v>775</v>
      </c>
      <c r="K160" t="s">
        <v>230</v>
      </c>
      <c r="L160" t="s">
        <v>226</v>
      </c>
      <c r="M160" t="s">
        <v>422</v>
      </c>
      <c r="N160" t="s">
        <v>1830</v>
      </c>
      <c r="O160" t="s">
        <v>1438</v>
      </c>
      <c r="S160">
        <v>0</v>
      </c>
      <c r="T160">
        <v>0</v>
      </c>
      <c r="U160">
        <v>0</v>
      </c>
      <c r="V160">
        <v>0</v>
      </c>
      <c r="W160">
        <v>16</v>
      </c>
      <c r="X160">
        <v>0</v>
      </c>
      <c r="Y160">
        <v>0</v>
      </c>
      <c r="Z160">
        <v>0</v>
      </c>
      <c r="AB160" s="5">
        <v>43951</v>
      </c>
      <c r="AC160" s="5">
        <v>43955</v>
      </c>
      <c r="AD160" s="5">
        <v>43986.333333333336</v>
      </c>
      <c r="AE160" s="5">
        <v>43986.333333333336</v>
      </c>
      <c r="AG160" s="5">
        <v>44044</v>
      </c>
      <c r="AH160" s="5">
        <v>44044</v>
      </c>
      <c r="AK160" s="5">
        <v>43962.333333333336</v>
      </c>
      <c r="AL160" s="5">
        <v>43963.666666666664</v>
      </c>
      <c r="AP160" t="s">
        <v>418</v>
      </c>
      <c r="AU160" t="s">
        <v>1695</v>
      </c>
      <c r="AV160" t="s">
        <v>1657</v>
      </c>
      <c r="AY160" t="s">
        <v>40</v>
      </c>
      <c r="AZ160">
        <v>0</v>
      </c>
      <c r="BA160">
        <v>0</v>
      </c>
      <c r="BI160" s="5">
        <v>44048.176388888889</v>
      </c>
      <c r="BJ160" s="5">
        <v>44048.176388888889</v>
      </c>
      <c r="BK160" t="s">
        <v>778</v>
      </c>
      <c r="BL160" t="s">
        <v>778</v>
      </c>
      <c r="BN160" t="s">
        <v>37</v>
      </c>
    </row>
    <row r="161" spans="1:66" x14ac:dyDescent="0.2">
      <c r="A161">
        <v>3692718</v>
      </c>
      <c r="B161">
        <v>21883</v>
      </c>
      <c r="C161">
        <v>524002</v>
      </c>
      <c r="D161">
        <v>52895</v>
      </c>
      <c r="E161">
        <v>100</v>
      </c>
      <c r="F161" t="s">
        <v>37</v>
      </c>
      <c r="G161">
        <v>1</v>
      </c>
      <c r="H161" t="s">
        <v>37</v>
      </c>
      <c r="I161" t="s">
        <v>37</v>
      </c>
      <c r="J161" t="s">
        <v>775</v>
      </c>
      <c r="K161" t="s">
        <v>230</v>
      </c>
      <c r="L161" t="s">
        <v>226</v>
      </c>
      <c r="M161" t="s">
        <v>422</v>
      </c>
      <c r="N161" t="s">
        <v>1831</v>
      </c>
      <c r="O161" t="s">
        <v>1832</v>
      </c>
      <c r="S161">
        <v>0</v>
      </c>
      <c r="T161">
        <v>0</v>
      </c>
      <c r="U161">
        <v>0</v>
      </c>
      <c r="V161">
        <v>0</v>
      </c>
      <c r="W161">
        <v>56</v>
      </c>
      <c r="X161">
        <v>0</v>
      </c>
      <c r="Y161">
        <v>0</v>
      </c>
      <c r="Z161">
        <v>0</v>
      </c>
      <c r="AB161" s="5">
        <v>43930</v>
      </c>
      <c r="AC161" s="5">
        <v>43940</v>
      </c>
      <c r="AD161" s="5">
        <v>43986.333333333336</v>
      </c>
      <c r="AE161" s="5">
        <v>43986.333333333336</v>
      </c>
      <c r="AG161" s="5">
        <v>44044</v>
      </c>
      <c r="AH161" s="5">
        <v>44044</v>
      </c>
      <c r="AK161" s="5">
        <v>43934.333333333336</v>
      </c>
      <c r="AL161" s="5">
        <v>43940.666666666664</v>
      </c>
      <c r="AP161" t="s">
        <v>418</v>
      </c>
      <c r="AU161" t="s">
        <v>1699</v>
      </c>
      <c r="AV161" t="s">
        <v>1661</v>
      </c>
      <c r="AY161" t="s">
        <v>40</v>
      </c>
      <c r="AZ161">
        <v>0</v>
      </c>
      <c r="BA161">
        <v>0</v>
      </c>
      <c r="BI161" s="5">
        <v>44048.176388888889</v>
      </c>
      <c r="BJ161" s="5">
        <v>44048.176388888889</v>
      </c>
      <c r="BK161" t="s">
        <v>778</v>
      </c>
      <c r="BL161" t="s">
        <v>778</v>
      </c>
      <c r="BN161" t="s">
        <v>37</v>
      </c>
    </row>
    <row r="162" spans="1:66" x14ac:dyDescent="0.2">
      <c r="A162">
        <v>3692719</v>
      </c>
      <c r="B162">
        <v>21883</v>
      </c>
      <c r="C162">
        <v>524002</v>
      </c>
      <c r="D162">
        <v>52886</v>
      </c>
      <c r="E162">
        <v>100</v>
      </c>
      <c r="F162" t="s">
        <v>37</v>
      </c>
      <c r="G162">
        <v>1</v>
      </c>
      <c r="H162" t="s">
        <v>37</v>
      </c>
      <c r="I162" t="s">
        <v>37</v>
      </c>
      <c r="J162" t="s">
        <v>775</v>
      </c>
      <c r="K162" t="s">
        <v>230</v>
      </c>
      <c r="L162" t="s">
        <v>226</v>
      </c>
      <c r="M162" t="s">
        <v>422</v>
      </c>
      <c r="N162" t="s">
        <v>1833</v>
      </c>
      <c r="O162" t="s">
        <v>1834</v>
      </c>
      <c r="S162">
        <v>0</v>
      </c>
      <c r="T162">
        <v>0</v>
      </c>
      <c r="U162">
        <v>0</v>
      </c>
      <c r="V162">
        <v>0</v>
      </c>
      <c r="W162">
        <v>56</v>
      </c>
      <c r="X162">
        <v>0</v>
      </c>
      <c r="Y162">
        <v>0</v>
      </c>
      <c r="Z162">
        <v>0</v>
      </c>
      <c r="AB162" s="5">
        <v>43899</v>
      </c>
      <c r="AC162" s="5">
        <v>43901</v>
      </c>
      <c r="AD162" s="5">
        <v>43983.333333333336</v>
      </c>
      <c r="AE162" s="5">
        <v>43983.333333333336</v>
      </c>
      <c r="AG162" s="5">
        <v>44044</v>
      </c>
      <c r="AH162" s="5">
        <v>44044</v>
      </c>
      <c r="AK162" s="5">
        <v>43916.333333333336</v>
      </c>
      <c r="AL162" s="5">
        <v>43929.708333333336</v>
      </c>
      <c r="AP162" t="s">
        <v>418</v>
      </c>
      <c r="AU162" t="s">
        <v>1703</v>
      </c>
      <c r="AV162" t="s">
        <v>1665</v>
      </c>
      <c r="AY162" t="s">
        <v>40</v>
      </c>
      <c r="AZ162">
        <v>0</v>
      </c>
      <c r="BA162">
        <v>0</v>
      </c>
      <c r="BI162" s="5">
        <v>44048.176388888889</v>
      </c>
      <c r="BJ162" s="5">
        <v>44048.176388888889</v>
      </c>
      <c r="BK162" t="s">
        <v>778</v>
      </c>
      <c r="BL162" t="s">
        <v>778</v>
      </c>
      <c r="BN162" t="s">
        <v>37</v>
      </c>
    </row>
    <row r="163" spans="1:66" x14ac:dyDescent="0.2">
      <c r="A163">
        <v>3692720</v>
      </c>
      <c r="B163">
        <v>21883</v>
      </c>
      <c r="C163">
        <v>524002</v>
      </c>
      <c r="D163">
        <v>52896</v>
      </c>
      <c r="E163">
        <v>100</v>
      </c>
      <c r="F163" t="s">
        <v>37</v>
      </c>
      <c r="G163">
        <v>1</v>
      </c>
      <c r="H163" t="s">
        <v>37</v>
      </c>
      <c r="I163" t="s">
        <v>37</v>
      </c>
      <c r="J163" t="s">
        <v>775</v>
      </c>
      <c r="K163" t="s">
        <v>230</v>
      </c>
      <c r="L163" t="s">
        <v>226</v>
      </c>
      <c r="M163" t="s">
        <v>422</v>
      </c>
      <c r="N163" t="s">
        <v>1835</v>
      </c>
      <c r="O163" t="s">
        <v>1836</v>
      </c>
      <c r="S163">
        <v>0</v>
      </c>
      <c r="T163">
        <v>0</v>
      </c>
      <c r="U163">
        <v>0</v>
      </c>
      <c r="V163">
        <v>0</v>
      </c>
      <c r="W163">
        <v>80</v>
      </c>
      <c r="X163">
        <v>0</v>
      </c>
      <c r="Y163">
        <v>0</v>
      </c>
      <c r="Z163">
        <v>0</v>
      </c>
      <c r="AB163" s="5">
        <v>43742</v>
      </c>
      <c r="AC163" s="5">
        <v>43759</v>
      </c>
      <c r="AD163" s="5">
        <v>43983.333333333336</v>
      </c>
      <c r="AE163" s="5">
        <v>43983.333333333336</v>
      </c>
      <c r="AG163" s="5">
        <v>44044</v>
      </c>
      <c r="AH163" s="5">
        <v>44044</v>
      </c>
      <c r="AK163" s="5">
        <v>43739.333333333336</v>
      </c>
      <c r="AL163" s="5">
        <v>43752.666666666664</v>
      </c>
      <c r="AP163" t="s">
        <v>418</v>
      </c>
      <c r="AU163" t="s">
        <v>1707</v>
      </c>
      <c r="AV163" t="s">
        <v>1669</v>
      </c>
      <c r="AY163" t="s">
        <v>40</v>
      </c>
      <c r="AZ163">
        <v>0</v>
      </c>
      <c r="BA163">
        <v>0</v>
      </c>
      <c r="BI163" s="5">
        <v>44048.176388888889</v>
      </c>
      <c r="BJ163" s="5">
        <v>44048.176388888889</v>
      </c>
      <c r="BK163" t="s">
        <v>778</v>
      </c>
      <c r="BL163" t="s">
        <v>778</v>
      </c>
      <c r="BN163" t="s">
        <v>37</v>
      </c>
    </row>
    <row r="164" spans="1:66" x14ac:dyDescent="0.2">
      <c r="A164">
        <v>3692721</v>
      </c>
      <c r="B164">
        <v>21883</v>
      </c>
      <c r="C164">
        <v>524002</v>
      </c>
      <c r="D164">
        <v>52886</v>
      </c>
      <c r="E164">
        <v>100</v>
      </c>
      <c r="F164" t="s">
        <v>37</v>
      </c>
      <c r="G164">
        <v>1</v>
      </c>
      <c r="H164" t="s">
        <v>37</v>
      </c>
      <c r="I164" t="s">
        <v>37</v>
      </c>
      <c r="J164" t="s">
        <v>775</v>
      </c>
      <c r="K164" t="s">
        <v>230</v>
      </c>
      <c r="L164" t="s">
        <v>226</v>
      </c>
      <c r="M164" t="s">
        <v>422</v>
      </c>
      <c r="N164" t="s">
        <v>1837</v>
      </c>
      <c r="O164" t="s">
        <v>1838</v>
      </c>
      <c r="S164">
        <v>0</v>
      </c>
      <c r="T164">
        <v>0</v>
      </c>
      <c r="U164">
        <v>0</v>
      </c>
      <c r="V164">
        <v>0</v>
      </c>
      <c r="W164">
        <v>24</v>
      </c>
      <c r="X164">
        <v>0</v>
      </c>
      <c r="Y164">
        <v>0</v>
      </c>
      <c r="Z164">
        <v>0</v>
      </c>
      <c r="AB164" s="5">
        <v>43928</v>
      </c>
      <c r="AC164" s="5">
        <v>43931</v>
      </c>
      <c r="AD164" s="5">
        <v>43983.333333333336</v>
      </c>
      <c r="AE164" s="5">
        <v>43983.333333333336</v>
      </c>
      <c r="AG164" s="5">
        <v>44044</v>
      </c>
      <c r="AH164" s="5">
        <v>44044</v>
      </c>
      <c r="AK164" s="5">
        <v>43934.333333333336</v>
      </c>
      <c r="AL164" s="5">
        <v>43937.708333333336</v>
      </c>
      <c r="AP164" t="s">
        <v>418</v>
      </c>
      <c r="AU164" t="s">
        <v>1711</v>
      </c>
      <c r="AV164" t="s">
        <v>1673</v>
      </c>
      <c r="AY164" t="s">
        <v>40</v>
      </c>
      <c r="AZ164">
        <v>0</v>
      </c>
      <c r="BA164">
        <v>0</v>
      </c>
      <c r="BI164" s="5">
        <v>44048.176388888889</v>
      </c>
      <c r="BJ164" s="5">
        <v>44048.176388888889</v>
      </c>
      <c r="BK164" t="s">
        <v>778</v>
      </c>
      <c r="BL164" t="s">
        <v>778</v>
      </c>
      <c r="BN164" t="s">
        <v>37</v>
      </c>
    </row>
    <row r="165" spans="1:66" x14ac:dyDescent="0.2">
      <c r="A165">
        <v>3692722</v>
      </c>
      <c r="B165">
        <v>21883</v>
      </c>
      <c r="C165">
        <v>524002</v>
      </c>
      <c r="D165">
        <v>52897</v>
      </c>
      <c r="E165">
        <v>100</v>
      </c>
      <c r="F165" t="s">
        <v>37</v>
      </c>
      <c r="G165">
        <v>1</v>
      </c>
      <c r="H165" t="s">
        <v>37</v>
      </c>
      <c r="I165" t="s">
        <v>37</v>
      </c>
      <c r="J165" t="s">
        <v>775</v>
      </c>
      <c r="K165" t="s">
        <v>230</v>
      </c>
      <c r="L165" t="s">
        <v>226</v>
      </c>
      <c r="M165" t="s">
        <v>422</v>
      </c>
      <c r="N165" t="s">
        <v>1839</v>
      </c>
      <c r="O165" t="s">
        <v>1360</v>
      </c>
      <c r="S165">
        <v>0</v>
      </c>
      <c r="T165">
        <v>0</v>
      </c>
      <c r="U165">
        <v>0</v>
      </c>
      <c r="V165">
        <v>0</v>
      </c>
      <c r="W165">
        <v>24</v>
      </c>
      <c r="X165">
        <v>0</v>
      </c>
      <c r="Y165">
        <v>0</v>
      </c>
      <c r="Z165">
        <v>0</v>
      </c>
      <c r="AB165" s="5">
        <v>43948</v>
      </c>
      <c r="AC165" s="5">
        <v>43950</v>
      </c>
      <c r="AD165" s="5">
        <v>43986.333333333336</v>
      </c>
      <c r="AE165" s="5">
        <v>43986.333333333336</v>
      </c>
      <c r="AG165" s="5">
        <v>44044</v>
      </c>
      <c r="AH165" s="5">
        <v>44044</v>
      </c>
      <c r="AK165" s="5">
        <v>43952.333333333336</v>
      </c>
      <c r="AL165" s="5">
        <v>43956.666666666664</v>
      </c>
      <c r="AP165" t="s">
        <v>418</v>
      </c>
      <c r="AU165" t="s">
        <v>1715</v>
      </c>
      <c r="AV165" t="s">
        <v>1677</v>
      </c>
      <c r="AY165" t="s">
        <v>40</v>
      </c>
      <c r="AZ165">
        <v>0</v>
      </c>
      <c r="BA165">
        <v>0</v>
      </c>
      <c r="BI165" s="5">
        <v>44048.176388888889</v>
      </c>
      <c r="BJ165" s="5">
        <v>44048.176388888889</v>
      </c>
      <c r="BK165" t="s">
        <v>778</v>
      </c>
      <c r="BL165" t="s">
        <v>778</v>
      </c>
      <c r="BN165" t="s">
        <v>37</v>
      </c>
    </row>
    <row r="166" spans="1:66" x14ac:dyDescent="0.2">
      <c r="A166">
        <v>3692723</v>
      </c>
      <c r="B166">
        <v>21883</v>
      </c>
      <c r="C166">
        <v>524002</v>
      </c>
      <c r="D166">
        <v>52897</v>
      </c>
      <c r="E166">
        <v>100</v>
      </c>
      <c r="F166" t="s">
        <v>37</v>
      </c>
      <c r="G166">
        <v>1</v>
      </c>
      <c r="H166" t="s">
        <v>37</v>
      </c>
      <c r="I166" t="s">
        <v>37</v>
      </c>
      <c r="J166" t="s">
        <v>775</v>
      </c>
      <c r="K166" t="s">
        <v>230</v>
      </c>
      <c r="L166" t="s">
        <v>226</v>
      </c>
      <c r="M166" t="s">
        <v>422</v>
      </c>
      <c r="N166" t="s">
        <v>1840</v>
      </c>
      <c r="O166" t="s">
        <v>1841</v>
      </c>
      <c r="S166">
        <v>0</v>
      </c>
      <c r="T166">
        <v>16</v>
      </c>
      <c r="U166">
        <v>0</v>
      </c>
      <c r="V166">
        <v>16</v>
      </c>
      <c r="W166">
        <v>16</v>
      </c>
      <c r="X166">
        <v>0</v>
      </c>
      <c r="Y166">
        <v>0</v>
      </c>
      <c r="Z166">
        <v>0</v>
      </c>
      <c r="AB166" s="5">
        <v>43956</v>
      </c>
      <c r="AC166" s="5">
        <v>43956</v>
      </c>
      <c r="AD166" s="5">
        <v>43986.333333333336</v>
      </c>
      <c r="AE166" s="5">
        <v>43986.333333333336</v>
      </c>
      <c r="AG166" s="5">
        <v>44044</v>
      </c>
      <c r="AH166" s="5">
        <v>44044</v>
      </c>
      <c r="AK166" s="5">
        <v>43962.333333333336</v>
      </c>
      <c r="AL166" s="5">
        <v>43963.666666666664</v>
      </c>
      <c r="AP166" t="s">
        <v>418</v>
      </c>
      <c r="AU166" t="s">
        <v>1719</v>
      </c>
      <c r="AV166" t="s">
        <v>1681</v>
      </c>
      <c r="AY166" t="s">
        <v>40</v>
      </c>
      <c r="AZ166">
        <v>0</v>
      </c>
      <c r="BA166">
        <v>0</v>
      </c>
      <c r="BI166" s="5">
        <v>44048.176388888889</v>
      </c>
      <c r="BJ166" s="5">
        <v>44048.176388888889</v>
      </c>
      <c r="BK166" t="s">
        <v>778</v>
      </c>
      <c r="BL166" t="s">
        <v>778</v>
      </c>
      <c r="BN166" t="s">
        <v>37</v>
      </c>
    </row>
    <row r="167" spans="1:66" x14ac:dyDescent="0.2">
      <c r="A167">
        <v>3692724</v>
      </c>
      <c r="B167">
        <v>21883</v>
      </c>
      <c r="C167">
        <v>524002</v>
      </c>
      <c r="D167">
        <v>52897</v>
      </c>
      <c r="E167">
        <v>100</v>
      </c>
      <c r="F167" t="s">
        <v>37</v>
      </c>
      <c r="G167">
        <v>1</v>
      </c>
      <c r="H167" t="s">
        <v>37</v>
      </c>
      <c r="I167" t="s">
        <v>37</v>
      </c>
      <c r="J167" t="s">
        <v>775</v>
      </c>
      <c r="K167" t="s">
        <v>230</v>
      </c>
      <c r="L167" t="s">
        <v>226</v>
      </c>
      <c r="M167" t="s">
        <v>422</v>
      </c>
      <c r="N167" t="s">
        <v>1842</v>
      </c>
      <c r="O167" t="s">
        <v>1843</v>
      </c>
      <c r="S167">
        <v>0</v>
      </c>
      <c r="T167">
        <v>0</v>
      </c>
      <c r="U167">
        <v>0</v>
      </c>
      <c r="V167">
        <v>0</v>
      </c>
      <c r="W167">
        <v>80</v>
      </c>
      <c r="X167">
        <v>0</v>
      </c>
      <c r="Y167">
        <v>0</v>
      </c>
      <c r="Z167">
        <v>0</v>
      </c>
      <c r="AB167" s="5">
        <v>43726</v>
      </c>
      <c r="AC167" s="5">
        <v>43741</v>
      </c>
      <c r="AD167" s="5">
        <v>43983.333333333336</v>
      </c>
      <c r="AE167" s="5">
        <v>43983.333333333336</v>
      </c>
      <c r="AG167" s="5">
        <v>44044</v>
      </c>
      <c r="AH167" s="5">
        <v>44044</v>
      </c>
      <c r="AK167" s="5">
        <v>43739.333333333336</v>
      </c>
      <c r="AL167" s="5">
        <v>43756.666666666664</v>
      </c>
      <c r="AP167" t="s">
        <v>418</v>
      </c>
      <c r="AU167" t="s">
        <v>1723</v>
      </c>
      <c r="AV167" t="s">
        <v>1685</v>
      </c>
      <c r="AY167" t="s">
        <v>40</v>
      </c>
      <c r="AZ167">
        <v>0</v>
      </c>
      <c r="BA167">
        <v>0</v>
      </c>
      <c r="BI167" s="5">
        <v>44048.176388888889</v>
      </c>
      <c r="BJ167" s="5">
        <v>44048.176388888889</v>
      </c>
      <c r="BK167" t="s">
        <v>778</v>
      </c>
      <c r="BL167" t="s">
        <v>778</v>
      </c>
      <c r="BN167" t="s">
        <v>37</v>
      </c>
    </row>
    <row r="168" spans="1:66" x14ac:dyDescent="0.2">
      <c r="A168">
        <v>3692725</v>
      </c>
      <c r="B168">
        <v>21883</v>
      </c>
      <c r="C168">
        <v>524002</v>
      </c>
      <c r="D168">
        <v>52897</v>
      </c>
      <c r="E168">
        <v>100</v>
      </c>
      <c r="F168" t="s">
        <v>37</v>
      </c>
      <c r="G168">
        <v>1</v>
      </c>
      <c r="H168" t="s">
        <v>37</v>
      </c>
      <c r="I168" t="s">
        <v>37</v>
      </c>
      <c r="J168" t="s">
        <v>775</v>
      </c>
      <c r="K168" t="s">
        <v>230</v>
      </c>
      <c r="L168" t="s">
        <v>226</v>
      </c>
      <c r="M168" t="s">
        <v>422</v>
      </c>
      <c r="N168" t="s">
        <v>1844</v>
      </c>
      <c r="O168" t="s">
        <v>1845</v>
      </c>
      <c r="S168">
        <v>0</v>
      </c>
      <c r="T168">
        <v>0</v>
      </c>
      <c r="U168">
        <v>0</v>
      </c>
      <c r="V168">
        <v>0</v>
      </c>
      <c r="W168">
        <v>32</v>
      </c>
      <c r="X168">
        <v>0</v>
      </c>
      <c r="Y168">
        <v>0</v>
      </c>
      <c r="Z168">
        <v>0</v>
      </c>
      <c r="AB168" s="5">
        <v>43724</v>
      </c>
      <c r="AC168" s="5">
        <v>43725</v>
      </c>
      <c r="AD168" s="5">
        <v>43983.333333333336</v>
      </c>
      <c r="AE168" s="5">
        <v>43983.333333333336</v>
      </c>
      <c r="AG168" s="5">
        <v>44044</v>
      </c>
      <c r="AH168" s="5">
        <v>44044</v>
      </c>
      <c r="AK168" s="5">
        <v>43739.333333333336</v>
      </c>
      <c r="AL168" s="5">
        <v>43742.666666666664</v>
      </c>
      <c r="AP168" t="s">
        <v>418</v>
      </c>
      <c r="AU168" t="s">
        <v>1727</v>
      </c>
      <c r="AV168" t="s">
        <v>1689</v>
      </c>
      <c r="AY168" t="s">
        <v>40</v>
      </c>
      <c r="AZ168">
        <v>0</v>
      </c>
      <c r="BA168">
        <v>0</v>
      </c>
      <c r="BI168" s="5">
        <v>44048.176388888889</v>
      </c>
      <c r="BJ168" s="5">
        <v>44048.176388888889</v>
      </c>
      <c r="BK168" t="s">
        <v>778</v>
      </c>
      <c r="BL168" t="s">
        <v>778</v>
      </c>
      <c r="BN168" t="s">
        <v>37</v>
      </c>
    </row>
    <row r="169" spans="1:66" x14ac:dyDescent="0.2">
      <c r="A169">
        <v>3692726</v>
      </c>
      <c r="B169">
        <v>21883</v>
      </c>
      <c r="C169">
        <v>524001</v>
      </c>
      <c r="D169">
        <v>52897</v>
      </c>
      <c r="E169">
        <v>100</v>
      </c>
      <c r="F169" t="s">
        <v>37</v>
      </c>
      <c r="G169">
        <v>1</v>
      </c>
      <c r="H169" t="s">
        <v>37</v>
      </c>
      <c r="I169" t="s">
        <v>37</v>
      </c>
      <c r="J169" t="s">
        <v>775</v>
      </c>
      <c r="K169" t="s">
        <v>230</v>
      </c>
      <c r="L169" t="s">
        <v>226</v>
      </c>
      <c r="M169" t="s">
        <v>422</v>
      </c>
      <c r="N169" t="s">
        <v>1846</v>
      </c>
      <c r="O169" t="s">
        <v>1847</v>
      </c>
      <c r="S169">
        <v>0</v>
      </c>
      <c r="T169">
        <v>0</v>
      </c>
      <c r="U169">
        <v>0</v>
      </c>
      <c r="V169">
        <v>0</v>
      </c>
      <c r="W169">
        <v>16</v>
      </c>
      <c r="X169">
        <v>0</v>
      </c>
      <c r="Y169">
        <v>0</v>
      </c>
      <c r="Z169">
        <v>0</v>
      </c>
      <c r="AB169" s="5">
        <v>43980</v>
      </c>
      <c r="AC169" s="5">
        <v>43984</v>
      </c>
      <c r="AD169" s="5">
        <v>43986.333333333336</v>
      </c>
      <c r="AE169" s="5">
        <v>43986.333333333336</v>
      </c>
      <c r="AG169" s="5">
        <v>44044</v>
      </c>
      <c r="AH169" s="5">
        <v>44044</v>
      </c>
      <c r="AK169" s="5">
        <v>43978.333333333336</v>
      </c>
      <c r="AL169" s="5">
        <v>43979.666666666664</v>
      </c>
      <c r="AP169" t="s">
        <v>418</v>
      </c>
      <c r="AU169" t="s">
        <v>1657</v>
      </c>
      <c r="AV169" t="s">
        <v>1848</v>
      </c>
      <c r="AY169" t="s">
        <v>40</v>
      </c>
      <c r="AZ169">
        <v>0</v>
      </c>
      <c r="BA169">
        <v>0</v>
      </c>
      <c r="BI169" s="5">
        <v>44048.176388888889</v>
      </c>
      <c r="BJ169" s="5">
        <v>44048.176388888889</v>
      </c>
      <c r="BK169" t="s">
        <v>778</v>
      </c>
      <c r="BL169" t="s">
        <v>778</v>
      </c>
      <c r="BN169" t="s">
        <v>37</v>
      </c>
    </row>
    <row r="170" spans="1:66" x14ac:dyDescent="0.2">
      <c r="A170">
        <v>3692727</v>
      </c>
      <c r="B170">
        <v>21883</v>
      </c>
      <c r="C170">
        <v>524001</v>
      </c>
      <c r="D170">
        <v>52895</v>
      </c>
      <c r="E170">
        <v>100</v>
      </c>
      <c r="F170" t="s">
        <v>37</v>
      </c>
      <c r="G170">
        <v>1</v>
      </c>
      <c r="H170" t="s">
        <v>37</v>
      </c>
      <c r="I170" t="s">
        <v>37</v>
      </c>
      <c r="J170" t="s">
        <v>775</v>
      </c>
      <c r="K170" t="s">
        <v>230</v>
      </c>
      <c r="L170" t="s">
        <v>226</v>
      </c>
      <c r="M170" t="s">
        <v>422</v>
      </c>
      <c r="N170" t="s">
        <v>1849</v>
      </c>
      <c r="O170" t="s">
        <v>1850</v>
      </c>
      <c r="S170">
        <v>0</v>
      </c>
      <c r="T170">
        <v>0</v>
      </c>
      <c r="U170">
        <v>0</v>
      </c>
      <c r="V170">
        <v>0</v>
      </c>
      <c r="W170">
        <v>56</v>
      </c>
      <c r="X170">
        <v>0</v>
      </c>
      <c r="Y170">
        <v>0</v>
      </c>
      <c r="Z170">
        <v>0</v>
      </c>
      <c r="AB170" s="5">
        <v>43960</v>
      </c>
      <c r="AC170" s="5">
        <v>43966</v>
      </c>
      <c r="AD170" s="5">
        <v>43986.333333333336</v>
      </c>
      <c r="AE170" s="5">
        <v>43986.333333333336</v>
      </c>
      <c r="AG170" s="5">
        <v>44044</v>
      </c>
      <c r="AH170" s="5">
        <v>44044</v>
      </c>
      <c r="AK170" s="5">
        <v>43969.333333333336</v>
      </c>
      <c r="AL170" s="5">
        <v>43975.666666666664</v>
      </c>
      <c r="AP170" t="s">
        <v>418</v>
      </c>
      <c r="AU170" t="s">
        <v>1661</v>
      </c>
      <c r="AV170" t="s">
        <v>1851</v>
      </c>
      <c r="AY170" t="s">
        <v>40</v>
      </c>
      <c r="AZ170">
        <v>0</v>
      </c>
      <c r="BA170">
        <v>0</v>
      </c>
      <c r="BI170" s="5">
        <v>44048.176388888889</v>
      </c>
      <c r="BJ170" s="5">
        <v>44048.176388888889</v>
      </c>
      <c r="BK170" t="s">
        <v>778</v>
      </c>
      <c r="BL170" t="s">
        <v>778</v>
      </c>
      <c r="BN170" t="s">
        <v>37</v>
      </c>
    </row>
    <row r="171" spans="1:66" x14ac:dyDescent="0.2">
      <c r="A171">
        <v>3692728</v>
      </c>
      <c r="B171">
        <v>21883</v>
      </c>
      <c r="C171">
        <v>524001</v>
      </c>
      <c r="D171">
        <v>52886</v>
      </c>
      <c r="E171">
        <v>100</v>
      </c>
      <c r="F171" t="s">
        <v>37</v>
      </c>
      <c r="G171">
        <v>1</v>
      </c>
      <c r="H171" t="s">
        <v>37</v>
      </c>
      <c r="I171" t="s">
        <v>37</v>
      </c>
      <c r="J171" t="s">
        <v>775</v>
      </c>
      <c r="K171" t="s">
        <v>230</v>
      </c>
      <c r="L171" t="s">
        <v>226</v>
      </c>
      <c r="M171" t="s">
        <v>422</v>
      </c>
      <c r="N171" t="s">
        <v>1852</v>
      </c>
      <c r="O171" t="s">
        <v>1853</v>
      </c>
      <c r="S171">
        <v>0</v>
      </c>
      <c r="T171">
        <v>0</v>
      </c>
      <c r="U171">
        <v>0</v>
      </c>
      <c r="V171">
        <v>0</v>
      </c>
      <c r="W171">
        <v>40</v>
      </c>
      <c r="X171">
        <v>0</v>
      </c>
      <c r="Y171">
        <v>0</v>
      </c>
      <c r="Z171">
        <v>0</v>
      </c>
      <c r="AB171" s="5">
        <v>43902</v>
      </c>
      <c r="AC171" s="5">
        <v>43959</v>
      </c>
      <c r="AD171" s="5">
        <v>43986.333333333336</v>
      </c>
      <c r="AE171" s="5">
        <v>43986.333333333336</v>
      </c>
      <c r="AG171" s="5">
        <v>44044</v>
      </c>
      <c r="AH171" s="5">
        <v>44044</v>
      </c>
      <c r="AK171" s="5">
        <v>43923.666666666664</v>
      </c>
      <c r="AL171" s="5">
        <v>43934.666666666664</v>
      </c>
      <c r="AP171" t="s">
        <v>418</v>
      </c>
      <c r="AU171" t="s">
        <v>1665</v>
      </c>
      <c r="AV171" t="s">
        <v>1854</v>
      </c>
      <c r="AY171" t="s">
        <v>40</v>
      </c>
      <c r="AZ171">
        <v>0</v>
      </c>
      <c r="BA171">
        <v>0</v>
      </c>
      <c r="BI171" s="5">
        <v>44048.176388888889</v>
      </c>
      <c r="BJ171" s="5">
        <v>44048.176388888889</v>
      </c>
      <c r="BK171" t="s">
        <v>778</v>
      </c>
      <c r="BL171" t="s">
        <v>778</v>
      </c>
      <c r="BN171" t="s">
        <v>37</v>
      </c>
    </row>
    <row r="172" spans="1:66" x14ac:dyDescent="0.2">
      <c r="A172">
        <v>3692729</v>
      </c>
      <c r="B172">
        <v>21883</v>
      </c>
      <c r="C172">
        <v>524001</v>
      </c>
      <c r="D172">
        <v>52896</v>
      </c>
      <c r="E172">
        <v>100</v>
      </c>
      <c r="F172" t="s">
        <v>37</v>
      </c>
      <c r="G172">
        <v>1</v>
      </c>
      <c r="H172" t="s">
        <v>37</v>
      </c>
      <c r="I172" t="s">
        <v>37</v>
      </c>
      <c r="J172" t="s">
        <v>775</v>
      </c>
      <c r="K172" t="s">
        <v>230</v>
      </c>
      <c r="L172" t="s">
        <v>226</v>
      </c>
      <c r="M172" t="s">
        <v>422</v>
      </c>
      <c r="N172" t="s">
        <v>1855</v>
      </c>
      <c r="O172" t="s">
        <v>1856</v>
      </c>
      <c r="S172">
        <v>0</v>
      </c>
      <c r="T172">
        <v>0</v>
      </c>
      <c r="U172">
        <v>0</v>
      </c>
      <c r="V172">
        <v>0</v>
      </c>
      <c r="W172">
        <v>16</v>
      </c>
      <c r="X172">
        <v>0</v>
      </c>
      <c r="Y172">
        <v>0</v>
      </c>
      <c r="Z172">
        <v>0</v>
      </c>
      <c r="AB172" s="5">
        <v>43903</v>
      </c>
      <c r="AC172" s="5">
        <v>43908</v>
      </c>
      <c r="AD172" s="5">
        <v>43986.333333333336</v>
      </c>
      <c r="AE172" s="5">
        <v>43986.333333333336</v>
      </c>
      <c r="AG172" s="5">
        <v>44044</v>
      </c>
      <c r="AH172" s="5">
        <v>44044</v>
      </c>
      <c r="AK172" s="5">
        <v>43924.333333333336</v>
      </c>
      <c r="AL172" s="5">
        <v>43927.666666666664</v>
      </c>
      <c r="AP172" t="s">
        <v>418</v>
      </c>
      <c r="AU172" t="s">
        <v>1669</v>
      </c>
      <c r="AV172" t="s">
        <v>1857</v>
      </c>
      <c r="AY172" t="s">
        <v>40</v>
      </c>
      <c r="AZ172">
        <v>0</v>
      </c>
      <c r="BA172">
        <v>0</v>
      </c>
      <c r="BI172" s="5">
        <v>44048.176388888889</v>
      </c>
      <c r="BJ172" s="5">
        <v>44048.176388888889</v>
      </c>
      <c r="BK172" t="s">
        <v>778</v>
      </c>
      <c r="BL172" t="s">
        <v>778</v>
      </c>
      <c r="BN172" t="s">
        <v>37</v>
      </c>
    </row>
    <row r="173" spans="1:66" x14ac:dyDescent="0.2">
      <c r="A173">
        <v>3692730</v>
      </c>
      <c r="B173">
        <v>21883</v>
      </c>
      <c r="C173">
        <v>524001</v>
      </c>
      <c r="D173">
        <v>52886</v>
      </c>
      <c r="E173">
        <v>100</v>
      </c>
      <c r="F173" t="s">
        <v>37</v>
      </c>
      <c r="G173">
        <v>1</v>
      </c>
      <c r="H173" t="s">
        <v>37</v>
      </c>
      <c r="I173" t="s">
        <v>37</v>
      </c>
      <c r="J173" t="s">
        <v>775</v>
      </c>
      <c r="K173" t="s">
        <v>230</v>
      </c>
      <c r="L173" t="s">
        <v>226</v>
      </c>
      <c r="M173" t="s">
        <v>422</v>
      </c>
      <c r="N173" t="s">
        <v>1858</v>
      </c>
      <c r="O173" t="s">
        <v>1859</v>
      </c>
      <c r="S173">
        <v>0</v>
      </c>
      <c r="T173">
        <v>0</v>
      </c>
      <c r="U173">
        <v>0</v>
      </c>
      <c r="V173">
        <v>0</v>
      </c>
      <c r="W173">
        <v>24</v>
      </c>
      <c r="X173">
        <v>0</v>
      </c>
      <c r="Y173">
        <v>0</v>
      </c>
      <c r="Z173">
        <v>0</v>
      </c>
      <c r="AB173" s="5">
        <v>43957</v>
      </c>
      <c r="AC173" s="5">
        <v>43959</v>
      </c>
      <c r="AD173" s="5">
        <v>43986.333333333336</v>
      </c>
      <c r="AE173" s="5">
        <v>43986.333333333336</v>
      </c>
      <c r="AG173" s="5">
        <v>44044</v>
      </c>
      <c r="AH173" s="5">
        <v>44044</v>
      </c>
      <c r="AK173" s="5">
        <v>43969.333333333336</v>
      </c>
      <c r="AL173" s="5">
        <v>43973.708333333336</v>
      </c>
      <c r="AP173" t="s">
        <v>418</v>
      </c>
      <c r="AU173" t="s">
        <v>1673</v>
      </c>
      <c r="AV173" t="s">
        <v>1860</v>
      </c>
      <c r="AY173" t="s">
        <v>40</v>
      </c>
      <c r="AZ173">
        <v>0</v>
      </c>
      <c r="BA173">
        <v>0</v>
      </c>
      <c r="BI173" s="5">
        <v>44048.176388888889</v>
      </c>
      <c r="BJ173" s="5">
        <v>44048.176388888889</v>
      </c>
      <c r="BK173" t="s">
        <v>778</v>
      </c>
      <c r="BL173" t="s">
        <v>778</v>
      </c>
      <c r="BN173" t="s">
        <v>37</v>
      </c>
    </row>
    <row r="174" spans="1:66" x14ac:dyDescent="0.2">
      <c r="A174">
        <v>3692731</v>
      </c>
      <c r="B174">
        <v>21883</v>
      </c>
      <c r="C174">
        <v>524001</v>
      </c>
      <c r="D174">
        <v>52897</v>
      </c>
      <c r="E174">
        <v>100</v>
      </c>
      <c r="F174" t="s">
        <v>37</v>
      </c>
      <c r="G174">
        <v>1</v>
      </c>
      <c r="H174" t="s">
        <v>37</v>
      </c>
      <c r="I174" t="s">
        <v>37</v>
      </c>
      <c r="J174" t="s">
        <v>775</v>
      </c>
      <c r="K174" t="s">
        <v>230</v>
      </c>
      <c r="L174" t="s">
        <v>226</v>
      </c>
      <c r="M174" t="s">
        <v>422</v>
      </c>
      <c r="N174" t="s">
        <v>1861</v>
      </c>
      <c r="O174" t="s">
        <v>1862</v>
      </c>
      <c r="S174">
        <v>0</v>
      </c>
      <c r="T174">
        <v>0</v>
      </c>
      <c r="U174">
        <v>0</v>
      </c>
      <c r="V174">
        <v>0</v>
      </c>
      <c r="W174">
        <v>24</v>
      </c>
      <c r="X174">
        <v>0</v>
      </c>
      <c r="Y174">
        <v>0</v>
      </c>
      <c r="Z174">
        <v>0</v>
      </c>
      <c r="AB174" s="5">
        <v>43969.333333333336</v>
      </c>
      <c r="AC174" s="5">
        <v>43977</v>
      </c>
      <c r="AD174" s="5">
        <v>43986.333333333336</v>
      </c>
      <c r="AE174" s="5">
        <v>43986.333333333336</v>
      </c>
      <c r="AG174" s="5">
        <v>44044</v>
      </c>
      <c r="AH174" s="5">
        <v>44044</v>
      </c>
      <c r="AK174" s="5">
        <v>43969.333333333336</v>
      </c>
      <c r="AL174" s="5">
        <v>43973.666666666664</v>
      </c>
      <c r="AP174" t="s">
        <v>418</v>
      </c>
      <c r="AU174" t="s">
        <v>1677</v>
      </c>
      <c r="AV174" t="s">
        <v>1863</v>
      </c>
      <c r="AY174" t="s">
        <v>40</v>
      </c>
      <c r="AZ174">
        <v>0</v>
      </c>
      <c r="BA174">
        <v>0</v>
      </c>
      <c r="BI174" s="5">
        <v>44048.176388888889</v>
      </c>
      <c r="BJ174" s="5">
        <v>44048.176388888889</v>
      </c>
      <c r="BK174" t="s">
        <v>778</v>
      </c>
      <c r="BL174" t="s">
        <v>778</v>
      </c>
      <c r="BN174" t="s">
        <v>37</v>
      </c>
    </row>
    <row r="175" spans="1:66" x14ac:dyDescent="0.2">
      <c r="A175">
        <v>3692732</v>
      </c>
      <c r="B175">
        <v>21883</v>
      </c>
      <c r="C175">
        <v>524001</v>
      </c>
      <c r="D175">
        <v>52897</v>
      </c>
      <c r="E175">
        <v>100</v>
      </c>
      <c r="F175" t="s">
        <v>37</v>
      </c>
      <c r="G175">
        <v>1</v>
      </c>
      <c r="H175" t="s">
        <v>37</v>
      </c>
      <c r="I175" t="s">
        <v>37</v>
      </c>
      <c r="J175" t="s">
        <v>775</v>
      </c>
      <c r="K175" t="s">
        <v>230</v>
      </c>
      <c r="L175" t="s">
        <v>226</v>
      </c>
      <c r="M175" t="s">
        <v>422</v>
      </c>
      <c r="N175" t="s">
        <v>1864</v>
      </c>
      <c r="O175" t="s">
        <v>1865</v>
      </c>
      <c r="S175">
        <v>0</v>
      </c>
      <c r="T175">
        <v>16</v>
      </c>
      <c r="U175">
        <v>0</v>
      </c>
      <c r="V175">
        <v>16</v>
      </c>
      <c r="W175">
        <v>16</v>
      </c>
      <c r="X175">
        <v>0</v>
      </c>
      <c r="Y175">
        <v>0</v>
      </c>
      <c r="Z175">
        <v>0</v>
      </c>
      <c r="AB175" s="5">
        <v>43990</v>
      </c>
      <c r="AC175" s="5">
        <v>43990</v>
      </c>
      <c r="AD175" s="5">
        <v>43986.333333333336</v>
      </c>
      <c r="AE175" s="5">
        <v>43986.333333333336</v>
      </c>
      <c r="AG175" s="5">
        <v>44044</v>
      </c>
      <c r="AH175" s="5">
        <v>44044</v>
      </c>
      <c r="AK175" s="5">
        <v>43992.333333333336</v>
      </c>
      <c r="AL175" s="5">
        <v>43993.666666666664</v>
      </c>
      <c r="AP175" t="s">
        <v>418</v>
      </c>
      <c r="AU175" t="s">
        <v>1681</v>
      </c>
      <c r="AV175" t="s">
        <v>1866</v>
      </c>
      <c r="AY175" t="s">
        <v>40</v>
      </c>
      <c r="AZ175">
        <v>0</v>
      </c>
      <c r="BA175">
        <v>0</v>
      </c>
      <c r="BI175" s="5">
        <v>44048.176388888889</v>
      </c>
      <c r="BJ175" s="5">
        <v>44048.176388888889</v>
      </c>
      <c r="BK175" t="s">
        <v>778</v>
      </c>
      <c r="BL175" t="s">
        <v>778</v>
      </c>
      <c r="BN175" t="s">
        <v>37</v>
      </c>
    </row>
    <row r="176" spans="1:66" x14ac:dyDescent="0.2">
      <c r="A176">
        <v>3692733</v>
      </c>
      <c r="B176">
        <v>21883</v>
      </c>
      <c r="C176">
        <v>524001</v>
      </c>
      <c r="D176">
        <v>52897</v>
      </c>
      <c r="E176">
        <v>100</v>
      </c>
      <c r="F176" t="s">
        <v>37</v>
      </c>
      <c r="G176">
        <v>1</v>
      </c>
      <c r="H176" t="s">
        <v>37</v>
      </c>
      <c r="I176" t="s">
        <v>37</v>
      </c>
      <c r="J176" t="s">
        <v>775</v>
      </c>
      <c r="K176" t="s">
        <v>230</v>
      </c>
      <c r="L176" t="s">
        <v>226</v>
      </c>
      <c r="M176" t="s">
        <v>422</v>
      </c>
      <c r="N176" t="s">
        <v>1867</v>
      </c>
      <c r="O176" t="s">
        <v>1868</v>
      </c>
      <c r="S176">
        <v>0</v>
      </c>
      <c r="T176">
        <v>0</v>
      </c>
      <c r="U176">
        <v>0</v>
      </c>
      <c r="V176">
        <v>0</v>
      </c>
      <c r="W176">
        <v>16</v>
      </c>
      <c r="X176">
        <v>0</v>
      </c>
      <c r="Y176">
        <v>0</v>
      </c>
      <c r="Z176">
        <v>0</v>
      </c>
      <c r="AB176" s="5">
        <v>43889</v>
      </c>
      <c r="AC176" s="5">
        <v>43901</v>
      </c>
      <c r="AD176" s="5">
        <v>43986.333333333336</v>
      </c>
      <c r="AE176" s="5">
        <v>43986.333333333336</v>
      </c>
      <c r="AG176" s="5">
        <v>44044</v>
      </c>
      <c r="AH176" s="5">
        <v>44044</v>
      </c>
      <c r="AK176" s="5">
        <v>43922.333333333336</v>
      </c>
      <c r="AL176" s="5">
        <v>43923.666666666664</v>
      </c>
      <c r="AP176" t="s">
        <v>418</v>
      </c>
      <c r="AU176" t="s">
        <v>1685</v>
      </c>
      <c r="AY176" t="s">
        <v>40</v>
      </c>
      <c r="AZ176">
        <v>0</v>
      </c>
      <c r="BA176">
        <v>0</v>
      </c>
      <c r="BI176" s="5">
        <v>44048.176388888889</v>
      </c>
      <c r="BJ176" s="5">
        <v>44048.176388888889</v>
      </c>
      <c r="BK176" t="s">
        <v>778</v>
      </c>
      <c r="BL176" t="s">
        <v>778</v>
      </c>
      <c r="BN176" t="s">
        <v>37</v>
      </c>
    </row>
    <row r="177" spans="1:66" x14ac:dyDescent="0.2">
      <c r="A177">
        <v>3692734</v>
      </c>
      <c r="B177">
        <v>21883</v>
      </c>
      <c r="C177">
        <v>524001</v>
      </c>
      <c r="D177">
        <v>52897</v>
      </c>
      <c r="E177">
        <v>100</v>
      </c>
      <c r="F177" t="s">
        <v>37</v>
      </c>
      <c r="G177">
        <v>1</v>
      </c>
      <c r="H177" t="s">
        <v>37</v>
      </c>
      <c r="I177" t="s">
        <v>37</v>
      </c>
      <c r="J177" t="s">
        <v>775</v>
      </c>
      <c r="K177" t="s">
        <v>230</v>
      </c>
      <c r="L177" t="s">
        <v>226</v>
      </c>
      <c r="M177" t="s">
        <v>422</v>
      </c>
      <c r="N177" t="s">
        <v>1869</v>
      </c>
      <c r="O177" t="s">
        <v>1870</v>
      </c>
      <c r="S177">
        <v>0</v>
      </c>
      <c r="T177">
        <v>0</v>
      </c>
      <c r="U177">
        <v>0</v>
      </c>
      <c r="V177">
        <v>0</v>
      </c>
      <c r="W177">
        <v>16</v>
      </c>
      <c r="X177">
        <v>0</v>
      </c>
      <c r="Y177">
        <v>0</v>
      </c>
      <c r="Z177">
        <v>0</v>
      </c>
      <c r="AB177" s="5">
        <v>43885</v>
      </c>
      <c r="AC177" s="5">
        <v>43888</v>
      </c>
      <c r="AD177" s="5">
        <v>43986.333333333336</v>
      </c>
      <c r="AE177" s="5">
        <v>43986.333333333336</v>
      </c>
      <c r="AG177" s="5">
        <v>44044</v>
      </c>
      <c r="AH177" s="5">
        <v>44044</v>
      </c>
      <c r="AK177" s="5">
        <v>43916.333333333336</v>
      </c>
      <c r="AL177" s="5">
        <v>43917.666666666664</v>
      </c>
      <c r="AP177" t="s">
        <v>418</v>
      </c>
      <c r="AU177" t="s">
        <v>1689</v>
      </c>
      <c r="AY177" t="s">
        <v>40</v>
      </c>
      <c r="AZ177">
        <v>0</v>
      </c>
      <c r="BA177">
        <v>0</v>
      </c>
      <c r="BI177" s="5">
        <v>44048.176388888889</v>
      </c>
      <c r="BJ177" s="5">
        <v>44048.176388888889</v>
      </c>
      <c r="BK177" t="s">
        <v>778</v>
      </c>
      <c r="BL177" t="s">
        <v>778</v>
      </c>
      <c r="BN177" t="s">
        <v>37</v>
      </c>
    </row>
    <row r="178" spans="1:66" x14ac:dyDescent="0.2">
      <c r="A178">
        <v>3692735</v>
      </c>
      <c r="B178">
        <v>21883</v>
      </c>
      <c r="C178">
        <v>523997</v>
      </c>
      <c r="D178">
        <v>15320</v>
      </c>
      <c r="E178">
        <v>100</v>
      </c>
      <c r="F178" t="s">
        <v>37</v>
      </c>
      <c r="G178">
        <v>1</v>
      </c>
      <c r="H178" t="s">
        <v>37</v>
      </c>
      <c r="I178" t="s">
        <v>37</v>
      </c>
      <c r="J178" t="s">
        <v>775</v>
      </c>
      <c r="K178" t="s">
        <v>230</v>
      </c>
      <c r="L178" t="s">
        <v>226</v>
      </c>
      <c r="M178" t="s">
        <v>422</v>
      </c>
      <c r="N178" t="s">
        <v>1871</v>
      </c>
      <c r="O178" t="s">
        <v>1872</v>
      </c>
      <c r="S178">
        <v>0</v>
      </c>
      <c r="T178">
        <v>0</v>
      </c>
      <c r="U178">
        <v>0</v>
      </c>
      <c r="V178">
        <v>0</v>
      </c>
      <c r="W178">
        <v>64</v>
      </c>
      <c r="X178">
        <v>0</v>
      </c>
      <c r="Y178">
        <v>0</v>
      </c>
      <c r="Z178">
        <v>0</v>
      </c>
      <c r="AB178" s="5">
        <v>43752</v>
      </c>
      <c r="AC178" s="5">
        <v>43770</v>
      </c>
      <c r="AD178" s="5">
        <v>43970.333333333336</v>
      </c>
      <c r="AE178" s="5">
        <v>43970.333333333336</v>
      </c>
      <c r="AG178" s="5">
        <v>44044</v>
      </c>
      <c r="AH178" s="5">
        <v>44044</v>
      </c>
      <c r="AK178" s="5">
        <v>43741.333333333336</v>
      </c>
      <c r="AL178" s="5">
        <v>43752.666666666664</v>
      </c>
      <c r="AP178" t="s">
        <v>418</v>
      </c>
      <c r="AU178" t="s">
        <v>1873</v>
      </c>
      <c r="AY178" t="s">
        <v>40</v>
      </c>
      <c r="AZ178">
        <v>0</v>
      </c>
      <c r="BA178">
        <v>0</v>
      </c>
      <c r="BI178" s="5">
        <v>44048.176388888889</v>
      </c>
      <c r="BJ178" s="5">
        <v>44048.176388888889</v>
      </c>
      <c r="BK178" t="s">
        <v>778</v>
      </c>
      <c r="BL178" t="s">
        <v>778</v>
      </c>
      <c r="BN178" t="s">
        <v>37</v>
      </c>
    </row>
    <row r="179" spans="1:66" x14ac:dyDescent="0.2">
      <c r="A179">
        <v>3692736</v>
      </c>
      <c r="B179">
        <v>21883</v>
      </c>
      <c r="C179">
        <v>523997</v>
      </c>
      <c r="D179">
        <v>15320</v>
      </c>
      <c r="E179">
        <v>100</v>
      </c>
      <c r="F179" t="s">
        <v>37</v>
      </c>
      <c r="G179">
        <v>1</v>
      </c>
      <c r="H179" t="s">
        <v>37</v>
      </c>
      <c r="I179" t="s">
        <v>37</v>
      </c>
      <c r="J179" t="s">
        <v>775</v>
      </c>
      <c r="K179" t="s">
        <v>230</v>
      </c>
      <c r="L179" t="s">
        <v>226</v>
      </c>
      <c r="M179" t="s">
        <v>422</v>
      </c>
      <c r="N179" t="s">
        <v>1874</v>
      </c>
      <c r="O179" t="s">
        <v>1875</v>
      </c>
      <c r="S179">
        <v>0</v>
      </c>
      <c r="T179">
        <v>0</v>
      </c>
      <c r="U179">
        <v>0</v>
      </c>
      <c r="V179">
        <v>0</v>
      </c>
      <c r="W179">
        <v>8</v>
      </c>
      <c r="X179">
        <v>0</v>
      </c>
      <c r="Y179">
        <v>0</v>
      </c>
      <c r="Z179">
        <v>0</v>
      </c>
      <c r="AB179" s="5">
        <v>43748</v>
      </c>
      <c r="AC179" s="5">
        <v>43753</v>
      </c>
      <c r="AD179" s="5">
        <v>43970.333333333336</v>
      </c>
      <c r="AE179" s="5">
        <v>43970.333333333336</v>
      </c>
      <c r="AG179" s="5">
        <v>44044</v>
      </c>
      <c r="AH179" s="5">
        <v>44044</v>
      </c>
      <c r="AK179" s="5">
        <v>43741.333333333336</v>
      </c>
      <c r="AL179" s="5">
        <v>43741.666666666664</v>
      </c>
      <c r="AP179" t="s">
        <v>418</v>
      </c>
      <c r="AU179" t="s">
        <v>1876</v>
      </c>
      <c r="AY179" t="s">
        <v>40</v>
      </c>
      <c r="AZ179">
        <v>0</v>
      </c>
      <c r="BA179">
        <v>0</v>
      </c>
      <c r="BI179" s="5">
        <v>44048.176388888889</v>
      </c>
      <c r="BJ179" s="5">
        <v>44048.176388888889</v>
      </c>
      <c r="BK179" t="s">
        <v>778</v>
      </c>
      <c r="BL179" t="s">
        <v>778</v>
      </c>
      <c r="BN179" t="s">
        <v>37</v>
      </c>
    </row>
    <row r="180" spans="1:66" x14ac:dyDescent="0.2">
      <c r="A180">
        <v>3692737</v>
      </c>
      <c r="B180">
        <v>21883</v>
      </c>
      <c r="C180">
        <v>524007</v>
      </c>
      <c r="D180">
        <v>15320</v>
      </c>
      <c r="E180">
        <v>100</v>
      </c>
      <c r="F180" t="s">
        <v>37</v>
      </c>
      <c r="G180">
        <v>1</v>
      </c>
      <c r="H180" t="s">
        <v>37</v>
      </c>
      <c r="I180" t="s">
        <v>37</v>
      </c>
      <c r="J180" t="s">
        <v>775</v>
      </c>
      <c r="K180" t="s">
        <v>230</v>
      </c>
      <c r="L180" t="s">
        <v>226</v>
      </c>
      <c r="M180" t="s">
        <v>422</v>
      </c>
      <c r="N180" t="s">
        <v>1877</v>
      </c>
      <c r="O180" t="s">
        <v>1878</v>
      </c>
      <c r="S180">
        <v>0</v>
      </c>
      <c r="T180">
        <v>0</v>
      </c>
      <c r="U180">
        <v>0</v>
      </c>
      <c r="V180">
        <v>0</v>
      </c>
      <c r="W180">
        <v>8</v>
      </c>
      <c r="X180">
        <v>0</v>
      </c>
      <c r="Y180">
        <v>0</v>
      </c>
      <c r="Z180">
        <v>0</v>
      </c>
      <c r="AB180" s="5">
        <v>43743</v>
      </c>
      <c r="AC180" s="5">
        <v>43743</v>
      </c>
      <c r="AD180" s="5">
        <v>43970.333333333336</v>
      </c>
      <c r="AE180" s="5">
        <v>43970.333333333336</v>
      </c>
      <c r="AG180" s="5">
        <v>44044</v>
      </c>
      <c r="AH180" s="5">
        <v>44044</v>
      </c>
      <c r="AK180" s="5">
        <v>43739.333333333336</v>
      </c>
      <c r="AL180" s="5">
        <v>43739.666666666664</v>
      </c>
      <c r="AP180" t="s">
        <v>418</v>
      </c>
      <c r="AU180" t="s">
        <v>1879</v>
      </c>
      <c r="AY180" t="s">
        <v>40</v>
      </c>
      <c r="AZ180">
        <v>0</v>
      </c>
      <c r="BA180">
        <v>0</v>
      </c>
      <c r="BI180" s="5">
        <v>44048.176388888889</v>
      </c>
      <c r="BJ180" s="5">
        <v>44048.176388888889</v>
      </c>
      <c r="BK180" t="s">
        <v>778</v>
      </c>
      <c r="BL180" t="s">
        <v>778</v>
      </c>
      <c r="BN180" t="s">
        <v>37</v>
      </c>
    </row>
    <row r="181" spans="1:66" x14ac:dyDescent="0.2">
      <c r="A181">
        <v>3692738</v>
      </c>
      <c r="B181">
        <v>21883</v>
      </c>
      <c r="C181">
        <v>524007</v>
      </c>
      <c r="D181">
        <v>52897</v>
      </c>
      <c r="E181">
        <v>100</v>
      </c>
      <c r="F181" t="s">
        <v>37</v>
      </c>
      <c r="G181">
        <v>1</v>
      </c>
      <c r="H181" t="s">
        <v>37</v>
      </c>
      <c r="I181" t="s">
        <v>37</v>
      </c>
      <c r="J181" t="s">
        <v>775</v>
      </c>
      <c r="K181" t="s">
        <v>230</v>
      </c>
      <c r="L181" t="s">
        <v>226</v>
      </c>
      <c r="M181" t="s">
        <v>422</v>
      </c>
      <c r="N181" t="s">
        <v>1880</v>
      </c>
      <c r="O181" t="s">
        <v>1881</v>
      </c>
      <c r="S181">
        <v>0</v>
      </c>
      <c r="T181">
        <v>0</v>
      </c>
      <c r="U181">
        <v>0</v>
      </c>
      <c r="V181">
        <v>0</v>
      </c>
      <c r="W181">
        <v>16</v>
      </c>
      <c r="X181">
        <v>0</v>
      </c>
      <c r="Y181">
        <v>0</v>
      </c>
      <c r="Z181">
        <v>0</v>
      </c>
      <c r="AB181" s="5">
        <v>43731</v>
      </c>
      <c r="AC181" s="5">
        <v>43731</v>
      </c>
      <c r="AD181" s="5">
        <v>43970.333333333336</v>
      </c>
      <c r="AE181" s="5">
        <v>43970.333333333336</v>
      </c>
      <c r="AG181" s="5">
        <v>44044</v>
      </c>
      <c r="AH181" s="5">
        <v>44044</v>
      </c>
      <c r="AK181" s="5">
        <v>43739.333333333336</v>
      </c>
      <c r="AL181" s="5">
        <v>43740.666666666664</v>
      </c>
      <c r="AP181" t="s">
        <v>418</v>
      </c>
      <c r="AU181" t="s">
        <v>1734</v>
      </c>
      <c r="AY181" t="s">
        <v>40</v>
      </c>
      <c r="AZ181">
        <v>0</v>
      </c>
      <c r="BA181">
        <v>0</v>
      </c>
      <c r="BI181" s="5">
        <v>44048.176388888889</v>
      </c>
      <c r="BJ181" s="5">
        <v>44048.176388888889</v>
      </c>
      <c r="BK181" t="s">
        <v>778</v>
      </c>
      <c r="BL181" t="s">
        <v>778</v>
      </c>
      <c r="BN181" t="s">
        <v>37</v>
      </c>
    </row>
    <row r="182" spans="1:66" x14ac:dyDescent="0.2">
      <c r="A182">
        <v>3692739</v>
      </c>
      <c r="B182">
        <v>21883</v>
      </c>
      <c r="C182">
        <v>524007</v>
      </c>
      <c r="D182">
        <v>52897</v>
      </c>
      <c r="E182">
        <v>100</v>
      </c>
      <c r="F182" t="s">
        <v>37</v>
      </c>
      <c r="G182">
        <v>1</v>
      </c>
      <c r="H182" t="s">
        <v>37</v>
      </c>
      <c r="I182" t="s">
        <v>37</v>
      </c>
      <c r="J182" t="s">
        <v>775</v>
      </c>
      <c r="K182" t="s">
        <v>230</v>
      </c>
      <c r="L182" t="s">
        <v>226</v>
      </c>
      <c r="M182" t="s">
        <v>422</v>
      </c>
      <c r="N182" t="s">
        <v>1882</v>
      </c>
      <c r="O182" t="s">
        <v>1883</v>
      </c>
      <c r="S182">
        <v>0</v>
      </c>
      <c r="T182">
        <v>0</v>
      </c>
      <c r="U182">
        <v>0</v>
      </c>
      <c r="V182">
        <v>0</v>
      </c>
      <c r="W182">
        <v>16</v>
      </c>
      <c r="X182">
        <v>0</v>
      </c>
      <c r="Y182">
        <v>0</v>
      </c>
      <c r="Z182">
        <v>0</v>
      </c>
      <c r="AB182" s="5">
        <v>43718</v>
      </c>
      <c r="AC182" s="5">
        <v>43721</v>
      </c>
      <c r="AD182" s="5">
        <v>43970.333333333336</v>
      </c>
      <c r="AE182" s="5">
        <v>43970.333333333336</v>
      </c>
      <c r="AG182" s="5">
        <v>44044</v>
      </c>
      <c r="AH182" s="5">
        <v>44044</v>
      </c>
      <c r="AK182" s="5">
        <v>43739.333333333336</v>
      </c>
      <c r="AL182" s="5">
        <v>43740.666666666664</v>
      </c>
      <c r="AP182" t="s">
        <v>418</v>
      </c>
      <c r="AU182" t="s">
        <v>1737</v>
      </c>
      <c r="AY182" t="s">
        <v>40</v>
      </c>
      <c r="AZ182">
        <v>0</v>
      </c>
      <c r="BA182">
        <v>0</v>
      </c>
      <c r="BI182" s="5">
        <v>44048.176388888889</v>
      </c>
      <c r="BJ182" s="5">
        <v>44048.176388888889</v>
      </c>
      <c r="BK182" t="s">
        <v>778</v>
      </c>
      <c r="BL182" t="s">
        <v>778</v>
      </c>
      <c r="BN182" t="s">
        <v>37</v>
      </c>
    </row>
    <row r="183" spans="1:66" x14ac:dyDescent="0.2">
      <c r="A183">
        <v>3692740</v>
      </c>
      <c r="B183">
        <v>21883</v>
      </c>
      <c r="C183">
        <v>524007</v>
      </c>
      <c r="D183">
        <v>52897</v>
      </c>
      <c r="E183">
        <v>100</v>
      </c>
      <c r="F183" t="s">
        <v>37</v>
      </c>
      <c r="G183">
        <v>1</v>
      </c>
      <c r="H183" t="s">
        <v>37</v>
      </c>
      <c r="I183" t="s">
        <v>37</v>
      </c>
      <c r="J183" t="s">
        <v>775</v>
      </c>
      <c r="K183" t="s">
        <v>230</v>
      </c>
      <c r="L183" t="s">
        <v>226</v>
      </c>
      <c r="M183" t="s">
        <v>422</v>
      </c>
      <c r="N183" t="s">
        <v>1884</v>
      </c>
      <c r="O183" t="s">
        <v>1885</v>
      </c>
      <c r="S183">
        <v>0</v>
      </c>
      <c r="T183">
        <v>0</v>
      </c>
      <c r="U183">
        <v>0</v>
      </c>
      <c r="V183">
        <v>0</v>
      </c>
      <c r="W183">
        <v>16</v>
      </c>
      <c r="X183">
        <v>0</v>
      </c>
      <c r="Y183">
        <v>0</v>
      </c>
      <c r="Z183">
        <v>0</v>
      </c>
      <c r="AB183" s="5">
        <v>43714</v>
      </c>
      <c r="AC183" s="5">
        <v>43718</v>
      </c>
      <c r="AD183" s="5">
        <v>43970.333333333336</v>
      </c>
      <c r="AE183" s="5">
        <v>43970.333333333336</v>
      </c>
      <c r="AG183" s="5">
        <v>44044</v>
      </c>
      <c r="AH183" s="5">
        <v>44044</v>
      </c>
      <c r="AK183" s="5">
        <v>43739.333333333336</v>
      </c>
      <c r="AL183" s="5">
        <v>43740.666666666664</v>
      </c>
      <c r="AP183" t="s">
        <v>418</v>
      </c>
      <c r="AU183" t="s">
        <v>1741</v>
      </c>
      <c r="AY183" t="s">
        <v>40</v>
      </c>
      <c r="AZ183">
        <v>0</v>
      </c>
      <c r="BA183">
        <v>0</v>
      </c>
      <c r="BI183" s="5">
        <v>44048.176388888889</v>
      </c>
      <c r="BJ183" s="5">
        <v>44048.176388888889</v>
      </c>
      <c r="BK183" t="s">
        <v>778</v>
      </c>
      <c r="BL183" t="s">
        <v>778</v>
      </c>
      <c r="BN183" t="s">
        <v>37</v>
      </c>
    </row>
    <row r="184" spans="1:66" x14ac:dyDescent="0.2">
      <c r="A184">
        <v>3692741</v>
      </c>
      <c r="B184">
        <v>21883</v>
      </c>
      <c r="C184">
        <v>524007</v>
      </c>
      <c r="D184">
        <v>52897</v>
      </c>
      <c r="E184">
        <v>100</v>
      </c>
      <c r="F184" t="s">
        <v>37</v>
      </c>
      <c r="G184">
        <v>1</v>
      </c>
      <c r="H184" t="s">
        <v>37</v>
      </c>
      <c r="I184" t="s">
        <v>37</v>
      </c>
      <c r="J184" t="s">
        <v>775</v>
      </c>
      <c r="K184" t="s">
        <v>230</v>
      </c>
      <c r="L184" t="s">
        <v>226</v>
      </c>
      <c r="M184" t="s">
        <v>422</v>
      </c>
      <c r="N184" t="s">
        <v>1886</v>
      </c>
      <c r="O184" t="s">
        <v>1887</v>
      </c>
      <c r="S184">
        <v>0</v>
      </c>
      <c r="T184">
        <v>0</v>
      </c>
      <c r="U184">
        <v>0</v>
      </c>
      <c r="V184">
        <v>0</v>
      </c>
      <c r="W184">
        <v>24</v>
      </c>
      <c r="X184">
        <v>0</v>
      </c>
      <c r="Y184">
        <v>0</v>
      </c>
      <c r="Z184">
        <v>0</v>
      </c>
      <c r="AB184" s="5">
        <v>43712</v>
      </c>
      <c r="AC184" s="5">
        <v>43713</v>
      </c>
      <c r="AD184" s="5">
        <v>43970.333333333336</v>
      </c>
      <c r="AE184" s="5">
        <v>43970.333333333336</v>
      </c>
      <c r="AG184" s="5">
        <v>44044</v>
      </c>
      <c r="AH184" s="5">
        <v>44044</v>
      </c>
      <c r="AK184" s="5">
        <v>43739.333333333336</v>
      </c>
      <c r="AL184" s="5">
        <v>43741.666666666664</v>
      </c>
      <c r="AP184" t="s">
        <v>418</v>
      </c>
      <c r="AU184" t="s">
        <v>1745</v>
      </c>
      <c r="AY184" t="s">
        <v>40</v>
      </c>
      <c r="AZ184">
        <v>0</v>
      </c>
      <c r="BA184">
        <v>0</v>
      </c>
      <c r="BI184" s="5">
        <v>44048.176388888889</v>
      </c>
      <c r="BJ184" s="5">
        <v>44048.176388888889</v>
      </c>
      <c r="BK184" t="s">
        <v>778</v>
      </c>
      <c r="BL184" t="s">
        <v>778</v>
      </c>
      <c r="BN184" t="s">
        <v>37</v>
      </c>
    </row>
    <row r="185" spans="1:66" x14ac:dyDescent="0.2">
      <c r="A185">
        <v>3692742</v>
      </c>
      <c r="B185">
        <v>21883</v>
      </c>
      <c r="C185">
        <v>524007</v>
      </c>
      <c r="D185">
        <v>15320</v>
      </c>
      <c r="E185">
        <v>100</v>
      </c>
      <c r="F185" t="s">
        <v>37</v>
      </c>
      <c r="G185">
        <v>1</v>
      </c>
      <c r="H185" t="s">
        <v>37</v>
      </c>
      <c r="I185" t="s">
        <v>37</v>
      </c>
      <c r="J185" t="s">
        <v>775</v>
      </c>
      <c r="K185" t="s">
        <v>230</v>
      </c>
      <c r="L185" t="s">
        <v>226</v>
      </c>
      <c r="M185" t="s">
        <v>422</v>
      </c>
      <c r="N185" t="s">
        <v>1888</v>
      </c>
      <c r="O185" t="s">
        <v>1889</v>
      </c>
      <c r="S185">
        <v>0</v>
      </c>
      <c r="T185">
        <v>0</v>
      </c>
      <c r="U185">
        <v>0</v>
      </c>
      <c r="V185">
        <v>0</v>
      </c>
      <c r="W185">
        <v>16</v>
      </c>
      <c r="X185">
        <v>0</v>
      </c>
      <c r="Y185">
        <v>0</v>
      </c>
      <c r="Z185">
        <v>0</v>
      </c>
      <c r="AB185" s="5">
        <v>43705</v>
      </c>
      <c r="AC185" s="5">
        <v>43712</v>
      </c>
      <c r="AD185" s="5">
        <v>43970.333333333336</v>
      </c>
      <c r="AE185" s="5">
        <v>43970.333333333336</v>
      </c>
      <c r="AG185" s="5">
        <v>44044</v>
      </c>
      <c r="AH185" s="5">
        <v>44044</v>
      </c>
      <c r="AK185" s="5">
        <v>43703.333333333336</v>
      </c>
      <c r="AL185" s="5">
        <v>43704.666666666664</v>
      </c>
      <c r="AP185" t="s">
        <v>418</v>
      </c>
      <c r="AU185" t="s">
        <v>1749</v>
      </c>
      <c r="AY185" t="s">
        <v>40</v>
      </c>
      <c r="AZ185">
        <v>0</v>
      </c>
      <c r="BA185">
        <v>0</v>
      </c>
      <c r="BI185" s="5">
        <v>44048.176388888889</v>
      </c>
      <c r="BJ185" s="5">
        <v>44048.176388888889</v>
      </c>
      <c r="BK185" t="s">
        <v>778</v>
      </c>
      <c r="BL185" t="s">
        <v>778</v>
      </c>
      <c r="BN185" t="s">
        <v>37</v>
      </c>
    </row>
    <row r="186" spans="1:66" x14ac:dyDescent="0.2">
      <c r="A186">
        <v>3692743</v>
      </c>
      <c r="B186">
        <v>21883</v>
      </c>
      <c r="C186">
        <v>524009</v>
      </c>
      <c r="D186">
        <v>15320</v>
      </c>
      <c r="E186">
        <v>100</v>
      </c>
      <c r="F186" t="s">
        <v>37</v>
      </c>
      <c r="G186">
        <v>1</v>
      </c>
      <c r="H186" t="s">
        <v>37</v>
      </c>
      <c r="I186" t="s">
        <v>37</v>
      </c>
      <c r="J186" t="s">
        <v>775</v>
      </c>
      <c r="K186" t="s">
        <v>230</v>
      </c>
      <c r="L186" t="s">
        <v>226</v>
      </c>
      <c r="M186" t="s">
        <v>422</v>
      </c>
      <c r="N186" t="s">
        <v>1890</v>
      </c>
      <c r="O186" t="s">
        <v>1891</v>
      </c>
      <c r="S186">
        <v>0</v>
      </c>
      <c r="T186">
        <v>0</v>
      </c>
      <c r="U186">
        <v>0</v>
      </c>
      <c r="V186">
        <v>0</v>
      </c>
      <c r="W186">
        <v>24</v>
      </c>
      <c r="X186">
        <v>0</v>
      </c>
      <c r="Y186">
        <v>0</v>
      </c>
      <c r="Z186">
        <v>0</v>
      </c>
      <c r="AB186" s="5">
        <v>43744</v>
      </c>
      <c r="AC186" s="5">
        <v>43748</v>
      </c>
      <c r="AD186" s="5">
        <v>43970.333333333336</v>
      </c>
      <c r="AE186" s="5">
        <v>43970.333333333336</v>
      </c>
      <c r="AG186" s="5">
        <v>44044</v>
      </c>
      <c r="AH186" s="5">
        <v>44044</v>
      </c>
      <c r="AK186" s="5">
        <v>43770.333333333336</v>
      </c>
      <c r="AL186" s="5">
        <v>43774.666666666664</v>
      </c>
      <c r="AP186" t="s">
        <v>418</v>
      </c>
      <c r="AU186" t="s">
        <v>1892</v>
      </c>
      <c r="AY186" t="s">
        <v>40</v>
      </c>
      <c r="AZ186">
        <v>0</v>
      </c>
      <c r="BA186">
        <v>0</v>
      </c>
      <c r="BI186" s="5">
        <v>44048.176388888889</v>
      </c>
      <c r="BJ186" s="5">
        <v>44048.176388888889</v>
      </c>
      <c r="BK186" t="s">
        <v>778</v>
      </c>
      <c r="BL186" t="s">
        <v>778</v>
      </c>
      <c r="BN186" t="s">
        <v>37</v>
      </c>
    </row>
    <row r="187" spans="1:66" x14ac:dyDescent="0.2">
      <c r="A187">
        <v>3692744</v>
      </c>
      <c r="B187">
        <v>21883</v>
      </c>
      <c r="C187">
        <v>524009</v>
      </c>
      <c r="D187">
        <v>15320</v>
      </c>
      <c r="E187">
        <v>100</v>
      </c>
      <c r="F187" t="s">
        <v>37</v>
      </c>
      <c r="G187">
        <v>1</v>
      </c>
      <c r="H187" t="s">
        <v>37</v>
      </c>
      <c r="I187" t="s">
        <v>37</v>
      </c>
      <c r="J187" t="s">
        <v>775</v>
      </c>
      <c r="K187" t="s">
        <v>230</v>
      </c>
      <c r="L187" t="s">
        <v>226</v>
      </c>
      <c r="M187" t="s">
        <v>422</v>
      </c>
      <c r="N187" t="s">
        <v>1893</v>
      </c>
      <c r="O187" t="s">
        <v>1894</v>
      </c>
      <c r="S187">
        <v>0</v>
      </c>
      <c r="T187">
        <v>0</v>
      </c>
      <c r="U187">
        <v>0</v>
      </c>
      <c r="V187">
        <v>0</v>
      </c>
      <c r="W187">
        <v>8</v>
      </c>
      <c r="X187">
        <v>0</v>
      </c>
      <c r="Y187">
        <v>0</v>
      </c>
      <c r="Z187">
        <v>0</v>
      </c>
      <c r="AB187" s="5">
        <v>43732</v>
      </c>
      <c r="AC187" s="5">
        <v>43732</v>
      </c>
      <c r="AD187" s="5">
        <v>43970.333333333336</v>
      </c>
      <c r="AE187" s="5">
        <v>43970.333333333336</v>
      </c>
      <c r="AG187" s="5">
        <v>44044</v>
      </c>
      <c r="AH187" s="5">
        <v>44044</v>
      </c>
      <c r="AK187" s="5">
        <v>43761.333333333336</v>
      </c>
      <c r="AL187" s="5">
        <v>43761.666666666664</v>
      </c>
      <c r="AP187" t="s">
        <v>418</v>
      </c>
      <c r="AU187" t="s">
        <v>1895</v>
      </c>
      <c r="AY187" t="s">
        <v>40</v>
      </c>
      <c r="AZ187">
        <v>0</v>
      </c>
      <c r="BA187">
        <v>0</v>
      </c>
      <c r="BI187" s="5">
        <v>44048.176388888889</v>
      </c>
      <c r="BJ187" s="5">
        <v>44048.176388888889</v>
      </c>
      <c r="BK187" t="s">
        <v>778</v>
      </c>
      <c r="BL187" t="s">
        <v>778</v>
      </c>
      <c r="BN187" t="s">
        <v>37</v>
      </c>
    </row>
    <row r="188" spans="1:66" x14ac:dyDescent="0.2">
      <c r="A188">
        <v>3692745</v>
      </c>
      <c r="B188">
        <v>21883</v>
      </c>
      <c r="C188">
        <v>524010</v>
      </c>
      <c r="D188">
        <v>52897</v>
      </c>
      <c r="E188">
        <v>100</v>
      </c>
      <c r="F188" t="s">
        <v>37</v>
      </c>
      <c r="G188">
        <v>1</v>
      </c>
      <c r="H188" t="s">
        <v>37</v>
      </c>
      <c r="I188" t="s">
        <v>37</v>
      </c>
      <c r="J188" t="s">
        <v>775</v>
      </c>
      <c r="K188" t="s">
        <v>230</v>
      </c>
      <c r="L188" t="s">
        <v>226</v>
      </c>
      <c r="M188" t="s">
        <v>422</v>
      </c>
      <c r="N188" t="s">
        <v>1896</v>
      </c>
      <c r="O188" t="s">
        <v>1897</v>
      </c>
      <c r="S188">
        <v>0</v>
      </c>
      <c r="T188">
        <v>0</v>
      </c>
      <c r="U188">
        <v>0</v>
      </c>
      <c r="V188">
        <v>0</v>
      </c>
      <c r="W188">
        <v>8</v>
      </c>
      <c r="X188">
        <v>0</v>
      </c>
      <c r="Y188">
        <v>0</v>
      </c>
      <c r="Z188">
        <v>0</v>
      </c>
      <c r="AB188" s="5">
        <v>43734</v>
      </c>
      <c r="AC188" s="5">
        <v>43734</v>
      </c>
      <c r="AD188" s="5">
        <v>43970.333333333336</v>
      </c>
      <c r="AE188" s="5">
        <v>43970.333333333336</v>
      </c>
      <c r="AG188" s="5">
        <v>44044</v>
      </c>
      <c r="AH188" s="5">
        <v>44044</v>
      </c>
      <c r="AK188" s="5">
        <v>43739.333333333336</v>
      </c>
      <c r="AL188" s="5">
        <v>43739.666666666664</v>
      </c>
      <c r="AP188" t="s">
        <v>418</v>
      </c>
      <c r="AU188" t="s">
        <v>1898</v>
      </c>
      <c r="AY188" t="s">
        <v>40</v>
      </c>
      <c r="AZ188">
        <v>0</v>
      </c>
      <c r="BA188">
        <v>0</v>
      </c>
      <c r="BI188" s="5">
        <v>44048.176388888889</v>
      </c>
      <c r="BJ188" s="5">
        <v>44048.176388888889</v>
      </c>
      <c r="BK188" t="s">
        <v>778</v>
      </c>
      <c r="BL188" t="s">
        <v>778</v>
      </c>
      <c r="BN188" t="s">
        <v>37</v>
      </c>
    </row>
    <row r="189" spans="1:66" x14ac:dyDescent="0.2">
      <c r="A189">
        <v>3692746</v>
      </c>
      <c r="B189">
        <v>21883</v>
      </c>
      <c r="C189">
        <v>524010</v>
      </c>
      <c r="D189">
        <v>52897</v>
      </c>
      <c r="E189">
        <v>100</v>
      </c>
      <c r="F189" t="s">
        <v>37</v>
      </c>
      <c r="G189">
        <v>1</v>
      </c>
      <c r="H189" t="s">
        <v>37</v>
      </c>
      <c r="I189" t="s">
        <v>37</v>
      </c>
      <c r="J189" t="s">
        <v>775</v>
      </c>
      <c r="K189" t="s">
        <v>230</v>
      </c>
      <c r="L189" t="s">
        <v>226</v>
      </c>
      <c r="M189" t="s">
        <v>422</v>
      </c>
      <c r="N189" t="s">
        <v>1899</v>
      </c>
      <c r="O189" t="s">
        <v>1900</v>
      </c>
      <c r="S189">
        <v>0</v>
      </c>
      <c r="T189">
        <v>0</v>
      </c>
      <c r="U189">
        <v>0</v>
      </c>
      <c r="V189">
        <v>0</v>
      </c>
      <c r="W189">
        <v>8</v>
      </c>
      <c r="X189">
        <v>0</v>
      </c>
      <c r="Y189">
        <v>0</v>
      </c>
      <c r="Z189">
        <v>0</v>
      </c>
      <c r="AB189" s="5">
        <v>43731</v>
      </c>
      <c r="AC189" s="5">
        <v>43731</v>
      </c>
      <c r="AD189" s="5">
        <v>43970.333333333336</v>
      </c>
      <c r="AE189" s="5">
        <v>43970.333333333336</v>
      </c>
      <c r="AG189" s="5">
        <v>44044</v>
      </c>
      <c r="AH189" s="5">
        <v>44044</v>
      </c>
      <c r="AK189" s="5">
        <v>43739.333333333336</v>
      </c>
      <c r="AL189" s="5">
        <v>43739.666666666664</v>
      </c>
      <c r="AP189" t="s">
        <v>418</v>
      </c>
      <c r="AU189" t="s">
        <v>1901</v>
      </c>
      <c r="AY189" t="s">
        <v>40</v>
      </c>
      <c r="AZ189">
        <v>0</v>
      </c>
      <c r="BA189">
        <v>0</v>
      </c>
      <c r="BI189" s="5">
        <v>44048.176388888889</v>
      </c>
      <c r="BJ189" s="5">
        <v>44048.176388888889</v>
      </c>
      <c r="BK189" t="s">
        <v>778</v>
      </c>
      <c r="BL189" t="s">
        <v>778</v>
      </c>
      <c r="BN189" t="s">
        <v>37</v>
      </c>
    </row>
    <row r="190" spans="1:66" x14ac:dyDescent="0.2">
      <c r="A190">
        <v>3692747</v>
      </c>
      <c r="B190">
        <v>21883</v>
      </c>
      <c r="C190">
        <v>524010</v>
      </c>
      <c r="D190">
        <v>52897</v>
      </c>
      <c r="E190">
        <v>100</v>
      </c>
      <c r="F190" t="s">
        <v>37</v>
      </c>
      <c r="G190">
        <v>1</v>
      </c>
      <c r="H190" t="s">
        <v>37</v>
      </c>
      <c r="I190" t="s">
        <v>37</v>
      </c>
      <c r="J190" t="s">
        <v>775</v>
      </c>
      <c r="K190" t="s">
        <v>230</v>
      </c>
      <c r="L190" t="s">
        <v>226</v>
      </c>
      <c r="M190" t="s">
        <v>422</v>
      </c>
      <c r="N190" t="s">
        <v>1902</v>
      </c>
      <c r="O190" t="s">
        <v>1903</v>
      </c>
      <c r="S190">
        <v>0</v>
      </c>
      <c r="T190">
        <v>0</v>
      </c>
      <c r="U190">
        <v>0</v>
      </c>
      <c r="V190">
        <v>0</v>
      </c>
      <c r="W190">
        <v>8</v>
      </c>
      <c r="X190">
        <v>0</v>
      </c>
      <c r="Y190">
        <v>0</v>
      </c>
      <c r="Z190">
        <v>0</v>
      </c>
      <c r="AB190" s="5">
        <v>43731</v>
      </c>
      <c r="AC190" s="5">
        <v>43731</v>
      </c>
      <c r="AD190" s="5">
        <v>43970.333333333336</v>
      </c>
      <c r="AE190" s="5">
        <v>43970.333333333336</v>
      </c>
      <c r="AG190" s="5">
        <v>44044</v>
      </c>
      <c r="AH190" s="5">
        <v>44044</v>
      </c>
      <c r="AK190" s="5">
        <v>43739.333333333336</v>
      </c>
      <c r="AL190" s="5">
        <v>43739.666666666664</v>
      </c>
      <c r="AP190" t="s">
        <v>418</v>
      </c>
      <c r="AU190" t="s">
        <v>1904</v>
      </c>
      <c r="AY190" t="s">
        <v>40</v>
      </c>
      <c r="AZ190">
        <v>0</v>
      </c>
      <c r="BA190">
        <v>0</v>
      </c>
      <c r="BI190" s="5">
        <v>44048.176388888889</v>
      </c>
      <c r="BJ190" s="5">
        <v>44048.176388888889</v>
      </c>
      <c r="BK190" t="s">
        <v>778</v>
      </c>
      <c r="BL190" t="s">
        <v>778</v>
      </c>
      <c r="BN190" t="s">
        <v>37</v>
      </c>
    </row>
    <row r="191" spans="1:66" x14ac:dyDescent="0.2">
      <c r="A191">
        <v>3692748</v>
      </c>
      <c r="B191">
        <v>21883</v>
      </c>
      <c r="C191">
        <v>524010</v>
      </c>
      <c r="D191">
        <v>52897</v>
      </c>
      <c r="E191">
        <v>100</v>
      </c>
      <c r="F191" t="s">
        <v>37</v>
      </c>
      <c r="G191">
        <v>1</v>
      </c>
      <c r="H191" t="s">
        <v>37</v>
      </c>
      <c r="I191" t="s">
        <v>37</v>
      </c>
      <c r="J191" t="s">
        <v>775</v>
      </c>
      <c r="K191" t="s">
        <v>230</v>
      </c>
      <c r="L191" t="s">
        <v>226</v>
      </c>
      <c r="M191" t="s">
        <v>422</v>
      </c>
      <c r="N191" t="s">
        <v>1905</v>
      </c>
      <c r="O191" t="s">
        <v>1906</v>
      </c>
      <c r="S191">
        <v>0</v>
      </c>
      <c r="T191">
        <v>0</v>
      </c>
      <c r="U191">
        <v>0</v>
      </c>
      <c r="V191">
        <v>0</v>
      </c>
      <c r="W191">
        <v>56</v>
      </c>
      <c r="X191">
        <v>0</v>
      </c>
      <c r="Y191">
        <v>0</v>
      </c>
      <c r="Z191">
        <v>0</v>
      </c>
      <c r="AB191" s="5">
        <v>43696</v>
      </c>
      <c r="AC191" s="5">
        <v>43705</v>
      </c>
      <c r="AD191" s="5">
        <v>43970.333333333336</v>
      </c>
      <c r="AE191" s="5">
        <v>43970.333333333336</v>
      </c>
      <c r="AG191" s="5">
        <v>44044</v>
      </c>
      <c r="AH191" s="5">
        <v>44044</v>
      </c>
      <c r="AK191" s="5">
        <v>43703.333333333336</v>
      </c>
      <c r="AL191" s="5">
        <v>43713.666666666664</v>
      </c>
      <c r="AP191" t="s">
        <v>418</v>
      </c>
      <c r="AU191" t="s">
        <v>1907</v>
      </c>
      <c r="AY191" t="s">
        <v>40</v>
      </c>
      <c r="AZ191">
        <v>0</v>
      </c>
      <c r="BA191">
        <v>0</v>
      </c>
      <c r="BI191" s="5">
        <v>44048.176388888889</v>
      </c>
      <c r="BJ191" s="5">
        <v>44048.176388888889</v>
      </c>
      <c r="BK191" t="s">
        <v>778</v>
      </c>
      <c r="BL191" t="s">
        <v>778</v>
      </c>
      <c r="BN191" t="s">
        <v>37</v>
      </c>
    </row>
    <row r="192" spans="1:66" x14ac:dyDescent="0.2">
      <c r="A192">
        <v>3692749</v>
      </c>
      <c r="B192">
        <v>21883</v>
      </c>
      <c r="C192">
        <v>524009</v>
      </c>
      <c r="D192">
        <v>15320</v>
      </c>
      <c r="E192">
        <v>100</v>
      </c>
      <c r="F192" t="s">
        <v>37</v>
      </c>
      <c r="G192">
        <v>1</v>
      </c>
      <c r="H192" t="s">
        <v>37</v>
      </c>
      <c r="I192" t="s">
        <v>37</v>
      </c>
      <c r="J192" t="s">
        <v>775</v>
      </c>
      <c r="K192" t="s">
        <v>230</v>
      </c>
      <c r="L192" t="s">
        <v>226</v>
      </c>
      <c r="M192" t="s">
        <v>422</v>
      </c>
      <c r="N192" t="s">
        <v>1908</v>
      </c>
      <c r="O192" t="s">
        <v>1909</v>
      </c>
      <c r="S192">
        <v>0</v>
      </c>
      <c r="T192">
        <v>0</v>
      </c>
      <c r="U192">
        <v>0</v>
      </c>
      <c r="V192">
        <v>0</v>
      </c>
      <c r="W192">
        <v>8</v>
      </c>
      <c r="X192">
        <v>0</v>
      </c>
      <c r="Y192">
        <v>0</v>
      </c>
      <c r="Z192">
        <v>0</v>
      </c>
      <c r="AB192" s="5">
        <v>43743</v>
      </c>
      <c r="AC192" s="5">
        <v>43743</v>
      </c>
      <c r="AD192" s="5">
        <v>43970.333333333336</v>
      </c>
      <c r="AE192" s="5">
        <v>43970.333333333336</v>
      </c>
      <c r="AG192" s="5">
        <v>44044</v>
      </c>
      <c r="AH192" s="5">
        <v>44044</v>
      </c>
      <c r="AK192" s="5">
        <v>43770.333333333336</v>
      </c>
      <c r="AL192" s="5">
        <v>43770.666666666664</v>
      </c>
      <c r="AP192" t="s">
        <v>418</v>
      </c>
      <c r="AU192" t="s">
        <v>1910</v>
      </c>
      <c r="AY192" t="s">
        <v>40</v>
      </c>
      <c r="AZ192">
        <v>0</v>
      </c>
      <c r="BA192">
        <v>0</v>
      </c>
      <c r="BI192" s="5">
        <v>44048.176388888889</v>
      </c>
      <c r="BJ192" s="5">
        <v>44048.176388888889</v>
      </c>
      <c r="BK192" t="s">
        <v>778</v>
      </c>
      <c r="BL192" t="s">
        <v>778</v>
      </c>
      <c r="BN192" t="s">
        <v>37</v>
      </c>
    </row>
    <row r="193" spans="1:66" x14ac:dyDescent="0.2">
      <c r="A193">
        <v>3692750</v>
      </c>
      <c r="B193">
        <v>21883</v>
      </c>
      <c r="C193">
        <v>524011</v>
      </c>
      <c r="D193">
        <v>15320</v>
      </c>
      <c r="E193">
        <v>100</v>
      </c>
      <c r="F193" t="s">
        <v>37</v>
      </c>
      <c r="G193">
        <v>1</v>
      </c>
      <c r="H193" t="s">
        <v>37</v>
      </c>
      <c r="I193" t="s">
        <v>37</v>
      </c>
      <c r="J193" t="s">
        <v>775</v>
      </c>
      <c r="K193" t="s">
        <v>230</v>
      </c>
      <c r="L193" t="s">
        <v>226</v>
      </c>
      <c r="M193" t="s">
        <v>422</v>
      </c>
      <c r="N193" t="s">
        <v>1911</v>
      </c>
      <c r="O193" t="s">
        <v>1912</v>
      </c>
      <c r="S193">
        <v>0</v>
      </c>
      <c r="T193">
        <v>0</v>
      </c>
      <c r="U193">
        <v>0</v>
      </c>
      <c r="V193">
        <v>0</v>
      </c>
      <c r="W193">
        <v>8</v>
      </c>
      <c r="X193">
        <v>0</v>
      </c>
      <c r="Y193">
        <v>0</v>
      </c>
      <c r="Z193">
        <v>0</v>
      </c>
      <c r="AB193" s="5">
        <v>43734</v>
      </c>
      <c r="AC193" s="5">
        <v>43734</v>
      </c>
      <c r="AD193" s="5">
        <v>43970.333333333336</v>
      </c>
      <c r="AE193" s="5">
        <v>43970.333333333336</v>
      </c>
      <c r="AG193" s="5">
        <v>44044</v>
      </c>
      <c r="AH193" s="5">
        <v>44044</v>
      </c>
      <c r="AK193" s="5">
        <v>43739.333333333336</v>
      </c>
      <c r="AL193" s="5">
        <v>43739.666666666664</v>
      </c>
      <c r="AP193" t="s">
        <v>418</v>
      </c>
      <c r="AU193" t="s">
        <v>1913</v>
      </c>
      <c r="AY193" t="s">
        <v>40</v>
      </c>
      <c r="AZ193">
        <v>0</v>
      </c>
      <c r="BA193">
        <v>0</v>
      </c>
      <c r="BI193" s="5">
        <v>44048.176388888889</v>
      </c>
      <c r="BJ193" s="5">
        <v>44048.176388888889</v>
      </c>
      <c r="BK193" t="s">
        <v>778</v>
      </c>
      <c r="BL193" t="s">
        <v>778</v>
      </c>
      <c r="BN193" t="s">
        <v>37</v>
      </c>
    </row>
    <row r="194" spans="1:66" x14ac:dyDescent="0.2">
      <c r="A194">
        <v>3692751</v>
      </c>
      <c r="B194">
        <v>21883</v>
      </c>
      <c r="C194">
        <v>524012</v>
      </c>
      <c r="D194">
        <v>15320</v>
      </c>
      <c r="E194">
        <v>100</v>
      </c>
      <c r="F194" t="s">
        <v>37</v>
      </c>
      <c r="G194">
        <v>1</v>
      </c>
      <c r="H194" t="s">
        <v>37</v>
      </c>
      <c r="I194" t="s">
        <v>37</v>
      </c>
      <c r="J194" t="s">
        <v>775</v>
      </c>
      <c r="K194" t="s">
        <v>230</v>
      </c>
      <c r="L194" t="s">
        <v>226</v>
      </c>
      <c r="M194" t="s">
        <v>422</v>
      </c>
      <c r="N194" t="s">
        <v>1914</v>
      </c>
      <c r="O194" t="s">
        <v>1915</v>
      </c>
      <c r="S194">
        <v>0</v>
      </c>
      <c r="T194">
        <v>0</v>
      </c>
      <c r="U194">
        <v>0</v>
      </c>
      <c r="V194">
        <v>0</v>
      </c>
      <c r="W194">
        <v>16</v>
      </c>
      <c r="X194">
        <v>0</v>
      </c>
      <c r="Y194">
        <v>0</v>
      </c>
      <c r="Z194">
        <v>0</v>
      </c>
      <c r="AB194" s="5">
        <v>43956</v>
      </c>
      <c r="AC194" s="5">
        <v>44029</v>
      </c>
      <c r="AD194" s="5">
        <v>43990.333333333336</v>
      </c>
      <c r="AE194" s="5">
        <v>43990.333333333336</v>
      </c>
      <c r="AG194" s="5">
        <v>44044</v>
      </c>
      <c r="AH194" s="5">
        <v>44044</v>
      </c>
      <c r="AK194" s="5">
        <v>43963.333333333336</v>
      </c>
      <c r="AL194" s="5">
        <v>43964.666666666664</v>
      </c>
      <c r="AP194" t="s">
        <v>418</v>
      </c>
      <c r="AU194" t="s">
        <v>1821</v>
      </c>
      <c r="AV194" t="s">
        <v>1916</v>
      </c>
      <c r="AY194" t="s">
        <v>37</v>
      </c>
      <c r="AZ194">
        <v>0</v>
      </c>
      <c r="BA194">
        <v>0</v>
      </c>
      <c r="BI194" s="5">
        <v>44048.176388888889</v>
      </c>
      <c r="BJ194" s="5">
        <v>44048.176388888889</v>
      </c>
      <c r="BK194" t="s">
        <v>778</v>
      </c>
      <c r="BL194" t="s">
        <v>778</v>
      </c>
      <c r="BN194" t="s">
        <v>37</v>
      </c>
    </row>
    <row r="195" spans="1:66" x14ac:dyDescent="0.2">
      <c r="A195">
        <v>3692752</v>
      </c>
      <c r="B195">
        <v>21883</v>
      </c>
      <c r="C195">
        <v>524012</v>
      </c>
      <c r="D195">
        <v>15320</v>
      </c>
      <c r="E195">
        <v>100</v>
      </c>
      <c r="F195" t="s">
        <v>37</v>
      </c>
      <c r="G195">
        <v>1</v>
      </c>
      <c r="H195" t="s">
        <v>37</v>
      </c>
      <c r="I195" t="s">
        <v>37</v>
      </c>
      <c r="J195" t="s">
        <v>775</v>
      </c>
      <c r="K195" t="s">
        <v>230</v>
      </c>
      <c r="L195" t="s">
        <v>226</v>
      </c>
      <c r="M195" t="s">
        <v>422</v>
      </c>
      <c r="N195" t="s">
        <v>1917</v>
      </c>
      <c r="O195" t="s">
        <v>1918</v>
      </c>
      <c r="S195">
        <v>0</v>
      </c>
      <c r="T195">
        <v>0</v>
      </c>
      <c r="U195">
        <v>0</v>
      </c>
      <c r="V195">
        <v>0</v>
      </c>
      <c r="W195">
        <v>136</v>
      </c>
      <c r="X195">
        <v>0</v>
      </c>
      <c r="Y195">
        <v>0</v>
      </c>
      <c r="Z195">
        <v>0</v>
      </c>
      <c r="AB195" s="5">
        <v>43934</v>
      </c>
      <c r="AC195" s="5">
        <v>44028</v>
      </c>
      <c r="AD195" s="5">
        <v>43990.333333333336</v>
      </c>
      <c r="AE195" s="5">
        <v>43990.333333333336</v>
      </c>
      <c r="AG195" s="5">
        <v>44044</v>
      </c>
      <c r="AH195" s="5">
        <v>44044</v>
      </c>
      <c r="AK195" s="5">
        <v>43965.333333333336</v>
      </c>
      <c r="AL195" s="5">
        <v>43993.666666666664</v>
      </c>
      <c r="AP195" t="s">
        <v>418</v>
      </c>
      <c r="AU195" t="s">
        <v>1825</v>
      </c>
      <c r="AV195" t="s">
        <v>1919</v>
      </c>
      <c r="AY195" t="s">
        <v>37</v>
      </c>
      <c r="AZ195">
        <v>0</v>
      </c>
      <c r="BA195">
        <v>0</v>
      </c>
      <c r="BI195" s="5">
        <v>44048.176388888889</v>
      </c>
      <c r="BJ195" s="5">
        <v>44048.176388888889</v>
      </c>
      <c r="BK195" t="s">
        <v>778</v>
      </c>
      <c r="BL195" t="s">
        <v>778</v>
      </c>
      <c r="BN195" t="s">
        <v>37</v>
      </c>
    </row>
    <row r="196" spans="1:66" x14ac:dyDescent="0.2">
      <c r="A196">
        <v>3692753</v>
      </c>
      <c r="B196">
        <v>21883</v>
      </c>
      <c r="C196">
        <v>524012</v>
      </c>
      <c r="D196">
        <v>52899</v>
      </c>
      <c r="E196">
        <v>100</v>
      </c>
      <c r="F196" t="s">
        <v>37</v>
      </c>
      <c r="G196">
        <v>1</v>
      </c>
      <c r="H196" t="s">
        <v>37</v>
      </c>
      <c r="I196" t="s">
        <v>37</v>
      </c>
      <c r="J196" t="s">
        <v>775</v>
      </c>
      <c r="K196" t="s">
        <v>230</v>
      </c>
      <c r="L196" t="s">
        <v>226</v>
      </c>
      <c r="M196" t="s">
        <v>422</v>
      </c>
      <c r="N196" t="s">
        <v>1920</v>
      </c>
      <c r="O196" t="s">
        <v>1921</v>
      </c>
      <c r="S196">
        <v>0</v>
      </c>
      <c r="T196">
        <v>0</v>
      </c>
      <c r="U196">
        <v>0</v>
      </c>
      <c r="V196">
        <v>0</v>
      </c>
      <c r="W196">
        <v>96</v>
      </c>
      <c r="X196">
        <v>0</v>
      </c>
      <c r="Y196">
        <v>0</v>
      </c>
      <c r="Z196">
        <v>0</v>
      </c>
      <c r="AB196" s="5">
        <v>43920</v>
      </c>
      <c r="AC196" s="5">
        <v>43963</v>
      </c>
      <c r="AD196" s="5">
        <v>43990.333333333336</v>
      </c>
      <c r="AE196" s="5">
        <v>43990.333333333336</v>
      </c>
      <c r="AG196" s="5">
        <v>44044</v>
      </c>
      <c r="AH196" s="5">
        <v>44044</v>
      </c>
      <c r="AK196" s="5">
        <v>43922.333333333336</v>
      </c>
      <c r="AL196" s="5">
        <v>43941.666666666664</v>
      </c>
      <c r="AP196" t="s">
        <v>418</v>
      </c>
      <c r="AU196" t="s">
        <v>1829</v>
      </c>
      <c r="AV196" t="s">
        <v>1922</v>
      </c>
      <c r="AY196" t="s">
        <v>37</v>
      </c>
      <c r="AZ196">
        <v>0</v>
      </c>
      <c r="BA196">
        <v>0</v>
      </c>
      <c r="BI196" s="5">
        <v>44048.176388888889</v>
      </c>
      <c r="BJ196" s="5">
        <v>44048.176388888889</v>
      </c>
      <c r="BK196" t="s">
        <v>778</v>
      </c>
      <c r="BL196" t="s">
        <v>778</v>
      </c>
      <c r="BN196" t="s">
        <v>37</v>
      </c>
    </row>
    <row r="197" spans="1:66" x14ac:dyDescent="0.2">
      <c r="A197">
        <v>3692754</v>
      </c>
      <c r="B197">
        <v>21883</v>
      </c>
      <c r="C197">
        <v>524011</v>
      </c>
      <c r="D197">
        <v>52897</v>
      </c>
      <c r="E197">
        <v>100</v>
      </c>
      <c r="F197" t="s">
        <v>37</v>
      </c>
      <c r="G197">
        <v>1</v>
      </c>
      <c r="H197" t="s">
        <v>37</v>
      </c>
      <c r="I197" t="s">
        <v>37</v>
      </c>
      <c r="J197" t="s">
        <v>775</v>
      </c>
      <c r="K197" t="s">
        <v>230</v>
      </c>
      <c r="L197" t="s">
        <v>226</v>
      </c>
      <c r="M197" t="s">
        <v>422</v>
      </c>
      <c r="N197" t="s">
        <v>1923</v>
      </c>
      <c r="O197" t="s">
        <v>1924</v>
      </c>
      <c r="S197">
        <v>0</v>
      </c>
      <c r="T197">
        <v>0</v>
      </c>
      <c r="U197">
        <v>0</v>
      </c>
      <c r="V197">
        <v>0</v>
      </c>
      <c r="W197">
        <v>8</v>
      </c>
      <c r="X197">
        <v>0</v>
      </c>
      <c r="Y197">
        <v>0</v>
      </c>
      <c r="Z197">
        <v>0</v>
      </c>
      <c r="AB197" s="5">
        <v>43734</v>
      </c>
      <c r="AC197" s="5">
        <v>43734</v>
      </c>
      <c r="AD197" s="5">
        <v>43970.333333333336</v>
      </c>
      <c r="AE197" s="5">
        <v>43970.333333333336</v>
      </c>
      <c r="AG197" s="5">
        <v>44044</v>
      </c>
      <c r="AH197" s="5">
        <v>44044</v>
      </c>
      <c r="AK197" s="5">
        <v>43739.333333333336</v>
      </c>
      <c r="AL197" s="5">
        <v>43739.666666666664</v>
      </c>
      <c r="AP197" t="s">
        <v>418</v>
      </c>
      <c r="AU197" t="s">
        <v>1925</v>
      </c>
      <c r="AY197" t="s">
        <v>40</v>
      </c>
      <c r="AZ197">
        <v>0</v>
      </c>
      <c r="BA197">
        <v>0</v>
      </c>
      <c r="BI197" s="5">
        <v>44048.176388888889</v>
      </c>
      <c r="BJ197" s="5">
        <v>44048.176388888889</v>
      </c>
      <c r="BK197" t="s">
        <v>778</v>
      </c>
      <c r="BL197" t="s">
        <v>778</v>
      </c>
      <c r="BN197" t="s">
        <v>37</v>
      </c>
    </row>
    <row r="198" spans="1:66" x14ac:dyDescent="0.2">
      <c r="A198">
        <v>3692755</v>
      </c>
      <c r="B198">
        <v>21883</v>
      </c>
      <c r="C198">
        <v>524011</v>
      </c>
      <c r="D198">
        <v>52897</v>
      </c>
      <c r="E198">
        <v>100</v>
      </c>
      <c r="F198" t="s">
        <v>37</v>
      </c>
      <c r="G198">
        <v>1</v>
      </c>
      <c r="H198" t="s">
        <v>37</v>
      </c>
      <c r="I198" t="s">
        <v>37</v>
      </c>
      <c r="J198" t="s">
        <v>775</v>
      </c>
      <c r="K198" t="s">
        <v>230</v>
      </c>
      <c r="L198" t="s">
        <v>226</v>
      </c>
      <c r="M198" t="s">
        <v>422</v>
      </c>
      <c r="N198" t="s">
        <v>1926</v>
      </c>
      <c r="O198" t="s">
        <v>1927</v>
      </c>
      <c r="S198">
        <v>0</v>
      </c>
      <c r="T198">
        <v>0</v>
      </c>
      <c r="U198">
        <v>0</v>
      </c>
      <c r="V198">
        <v>0</v>
      </c>
      <c r="W198">
        <v>8</v>
      </c>
      <c r="X198">
        <v>0</v>
      </c>
      <c r="Y198">
        <v>0</v>
      </c>
      <c r="Z198">
        <v>0</v>
      </c>
      <c r="AB198" s="5">
        <v>43732</v>
      </c>
      <c r="AC198" s="5">
        <v>43733</v>
      </c>
      <c r="AD198" s="5">
        <v>43970.333333333336</v>
      </c>
      <c r="AE198" s="5">
        <v>43970.333333333336</v>
      </c>
      <c r="AG198" s="5">
        <v>44044</v>
      </c>
      <c r="AH198" s="5">
        <v>44044</v>
      </c>
      <c r="AK198" s="5">
        <v>43739.333333333336</v>
      </c>
      <c r="AL198" s="5">
        <v>43739.666666666664</v>
      </c>
      <c r="AP198" t="s">
        <v>418</v>
      </c>
      <c r="AU198" t="s">
        <v>1928</v>
      </c>
      <c r="AY198" t="s">
        <v>40</v>
      </c>
      <c r="AZ198">
        <v>0</v>
      </c>
      <c r="BA198">
        <v>0</v>
      </c>
      <c r="BI198" s="5">
        <v>44048.176388888889</v>
      </c>
      <c r="BJ198" s="5">
        <v>44048.176388888889</v>
      </c>
      <c r="BK198" t="s">
        <v>778</v>
      </c>
      <c r="BL198" t="s">
        <v>778</v>
      </c>
      <c r="BN198" t="s">
        <v>37</v>
      </c>
    </row>
    <row r="199" spans="1:66" x14ac:dyDescent="0.2">
      <c r="A199">
        <v>3692756</v>
      </c>
      <c r="B199">
        <v>21883</v>
      </c>
      <c r="C199">
        <v>524011</v>
      </c>
      <c r="D199">
        <v>52897</v>
      </c>
      <c r="E199">
        <v>100</v>
      </c>
      <c r="F199" t="s">
        <v>37</v>
      </c>
      <c r="G199">
        <v>1</v>
      </c>
      <c r="H199" t="s">
        <v>37</v>
      </c>
      <c r="I199" t="s">
        <v>37</v>
      </c>
      <c r="J199" t="s">
        <v>775</v>
      </c>
      <c r="K199" t="s">
        <v>230</v>
      </c>
      <c r="L199" t="s">
        <v>226</v>
      </c>
      <c r="M199" t="s">
        <v>422</v>
      </c>
      <c r="N199" t="s">
        <v>1929</v>
      </c>
      <c r="O199" t="s">
        <v>1930</v>
      </c>
      <c r="S199">
        <v>0</v>
      </c>
      <c r="T199">
        <v>0</v>
      </c>
      <c r="U199">
        <v>0</v>
      </c>
      <c r="V199">
        <v>0</v>
      </c>
      <c r="W199">
        <v>8</v>
      </c>
      <c r="X199">
        <v>0</v>
      </c>
      <c r="Y199">
        <v>0</v>
      </c>
      <c r="Z199">
        <v>0</v>
      </c>
      <c r="AB199" s="5">
        <v>43731</v>
      </c>
      <c r="AC199" s="5">
        <v>43731</v>
      </c>
      <c r="AD199" s="5">
        <v>43970.333333333336</v>
      </c>
      <c r="AE199" s="5">
        <v>43970.333333333336</v>
      </c>
      <c r="AG199" s="5">
        <v>44044</v>
      </c>
      <c r="AH199" s="5">
        <v>44044</v>
      </c>
      <c r="AK199" s="5">
        <v>43739.333333333336</v>
      </c>
      <c r="AL199" s="5">
        <v>43739.666666666664</v>
      </c>
      <c r="AP199" t="s">
        <v>418</v>
      </c>
      <c r="AU199" t="s">
        <v>1931</v>
      </c>
      <c r="AY199" t="s">
        <v>40</v>
      </c>
      <c r="AZ199">
        <v>0</v>
      </c>
      <c r="BA199">
        <v>0</v>
      </c>
      <c r="BI199" s="5">
        <v>44048.176388888889</v>
      </c>
      <c r="BJ199" s="5">
        <v>44048.176388888889</v>
      </c>
      <c r="BK199" t="s">
        <v>778</v>
      </c>
      <c r="BL199" t="s">
        <v>778</v>
      </c>
      <c r="BN199" t="s">
        <v>37</v>
      </c>
    </row>
    <row r="200" spans="1:66" x14ac:dyDescent="0.2">
      <c r="A200">
        <v>3692757</v>
      </c>
      <c r="B200">
        <v>21883</v>
      </c>
      <c r="C200">
        <v>524012</v>
      </c>
      <c r="D200">
        <v>15320</v>
      </c>
      <c r="E200">
        <v>100</v>
      </c>
      <c r="F200" t="s">
        <v>37</v>
      </c>
      <c r="G200">
        <v>1</v>
      </c>
      <c r="H200" t="s">
        <v>37</v>
      </c>
      <c r="I200" t="s">
        <v>37</v>
      </c>
      <c r="J200" t="s">
        <v>775</v>
      </c>
      <c r="K200" t="s">
        <v>230</v>
      </c>
      <c r="L200" t="s">
        <v>226</v>
      </c>
      <c r="M200" t="s">
        <v>422</v>
      </c>
      <c r="N200" t="s">
        <v>1932</v>
      </c>
      <c r="O200" t="s">
        <v>1933</v>
      </c>
      <c r="S200">
        <v>0</v>
      </c>
      <c r="T200">
        <v>0</v>
      </c>
      <c r="U200">
        <v>0</v>
      </c>
      <c r="V200">
        <v>0</v>
      </c>
      <c r="W200">
        <v>16</v>
      </c>
      <c r="X200">
        <v>0</v>
      </c>
      <c r="Y200">
        <v>0</v>
      </c>
      <c r="Z200">
        <v>0</v>
      </c>
      <c r="AB200" s="5">
        <v>43704</v>
      </c>
      <c r="AC200" s="5">
        <v>43704</v>
      </c>
      <c r="AD200" s="5">
        <v>44117.333333333336</v>
      </c>
      <c r="AE200" s="5">
        <v>44117.333333333336</v>
      </c>
      <c r="AG200" s="5">
        <v>44044</v>
      </c>
      <c r="AH200" s="5">
        <v>44044</v>
      </c>
      <c r="AK200" s="5">
        <v>43703.333333333336</v>
      </c>
      <c r="AL200" s="5">
        <v>43704.666666666664</v>
      </c>
      <c r="AP200" t="s">
        <v>418</v>
      </c>
      <c r="AU200" t="s">
        <v>1916</v>
      </c>
      <c r="AY200" t="s">
        <v>37</v>
      </c>
      <c r="AZ200">
        <v>0</v>
      </c>
      <c r="BA200">
        <v>0</v>
      </c>
      <c r="BI200" s="5">
        <v>44048.176388888889</v>
      </c>
      <c r="BJ200" s="5">
        <v>44048.176388888889</v>
      </c>
      <c r="BK200" t="s">
        <v>778</v>
      </c>
      <c r="BL200" t="s">
        <v>778</v>
      </c>
      <c r="BN200" t="s">
        <v>37</v>
      </c>
    </row>
    <row r="201" spans="1:66" x14ac:dyDescent="0.2">
      <c r="A201">
        <v>3692758</v>
      </c>
      <c r="B201">
        <v>21883</v>
      </c>
      <c r="C201">
        <v>524012</v>
      </c>
      <c r="D201">
        <v>15320</v>
      </c>
      <c r="E201">
        <v>100</v>
      </c>
      <c r="F201" t="s">
        <v>37</v>
      </c>
      <c r="G201">
        <v>1</v>
      </c>
      <c r="H201" t="s">
        <v>37</v>
      </c>
      <c r="I201" t="s">
        <v>37</v>
      </c>
      <c r="J201" t="s">
        <v>775</v>
      </c>
      <c r="K201" t="s">
        <v>230</v>
      </c>
      <c r="L201" t="s">
        <v>226</v>
      </c>
      <c r="M201" t="s">
        <v>422</v>
      </c>
      <c r="N201" t="s">
        <v>1934</v>
      </c>
      <c r="O201" t="s">
        <v>1935</v>
      </c>
      <c r="S201">
        <v>0</v>
      </c>
      <c r="T201">
        <v>0</v>
      </c>
      <c r="U201">
        <v>0</v>
      </c>
      <c r="V201">
        <v>0</v>
      </c>
      <c r="W201">
        <v>120</v>
      </c>
      <c r="X201">
        <v>0</v>
      </c>
      <c r="Y201">
        <v>0</v>
      </c>
      <c r="Z201">
        <v>0</v>
      </c>
      <c r="AB201" s="5">
        <v>43685</v>
      </c>
      <c r="AC201" s="5">
        <v>43698</v>
      </c>
      <c r="AD201" s="5">
        <v>43970.333333333336</v>
      </c>
      <c r="AE201" s="5">
        <v>43970.333333333336</v>
      </c>
      <c r="AG201" s="5">
        <v>44044</v>
      </c>
      <c r="AH201" s="5">
        <v>44044</v>
      </c>
      <c r="AK201" s="5">
        <v>43703.333333333336</v>
      </c>
      <c r="AL201" s="5">
        <v>43726.666666666664</v>
      </c>
      <c r="AP201" t="s">
        <v>418</v>
      </c>
      <c r="AU201" t="s">
        <v>1919</v>
      </c>
      <c r="AY201" t="s">
        <v>40</v>
      </c>
      <c r="AZ201">
        <v>0</v>
      </c>
      <c r="BA201">
        <v>0</v>
      </c>
      <c r="BI201" s="5">
        <v>44048.176388888889</v>
      </c>
      <c r="BJ201" s="5">
        <v>44048.176388888889</v>
      </c>
      <c r="BK201" t="s">
        <v>778</v>
      </c>
      <c r="BL201" t="s">
        <v>778</v>
      </c>
      <c r="BN201" t="s">
        <v>37</v>
      </c>
    </row>
    <row r="202" spans="1:66" x14ac:dyDescent="0.2">
      <c r="A202">
        <v>3692759</v>
      </c>
      <c r="B202">
        <v>21883</v>
      </c>
      <c r="C202">
        <v>524011</v>
      </c>
      <c r="D202">
        <v>15320</v>
      </c>
      <c r="E202">
        <v>100</v>
      </c>
      <c r="F202" t="s">
        <v>37</v>
      </c>
      <c r="G202">
        <v>1</v>
      </c>
      <c r="H202" t="s">
        <v>37</v>
      </c>
      <c r="I202" t="s">
        <v>37</v>
      </c>
      <c r="J202" t="s">
        <v>775</v>
      </c>
      <c r="K202" t="s">
        <v>230</v>
      </c>
      <c r="L202" t="s">
        <v>226</v>
      </c>
      <c r="M202" t="s">
        <v>422</v>
      </c>
      <c r="N202" t="s">
        <v>1936</v>
      </c>
      <c r="O202" t="s">
        <v>1937</v>
      </c>
      <c r="S202">
        <v>0</v>
      </c>
      <c r="T202">
        <v>0</v>
      </c>
      <c r="U202">
        <v>0</v>
      </c>
      <c r="V202">
        <v>0</v>
      </c>
      <c r="W202">
        <v>32</v>
      </c>
      <c r="X202">
        <v>0</v>
      </c>
      <c r="Y202">
        <v>0</v>
      </c>
      <c r="Z202">
        <v>0</v>
      </c>
      <c r="AB202" s="5">
        <v>43723</v>
      </c>
      <c r="AC202" s="5">
        <v>43732</v>
      </c>
      <c r="AD202" s="5">
        <v>43970.333333333336</v>
      </c>
      <c r="AE202" s="5">
        <v>43970.333333333336</v>
      </c>
      <c r="AG202" s="5">
        <v>44044</v>
      </c>
      <c r="AH202" s="5">
        <v>44044</v>
      </c>
      <c r="AK202" s="5">
        <v>43739.333333333336</v>
      </c>
      <c r="AL202" s="5">
        <v>43742.666666666664</v>
      </c>
      <c r="AP202" t="s">
        <v>418</v>
      </c>
      <c r="AU202" t="s">
        <v>1938</v>
      </c>
      <c r="AY202" t="s">
        <v>40</v>
      </c>
      <c r="AZ202">
        <v>0</v>
      </c>
      <c r="BA202">
        <v>0</v>
      </c>
      <c r="BI202" s="5">
        <v>44048.176388888889</v>
      </c>
      <c r="BJ202" s="5">
        <v>44048.176388888889</v>
      </c>
      <c r="BK202" t="s">
        <v>778</v>
      </c>
      <c r="BL202" t="s">
        <v>778</v>
      </c>
      <c r="BN202" t="s">
        <v>37</v>
      </c>
    </row>
    <row r="203" spans="1:66" x14ac:dyDescent="0.2">
      <c r="A203">
        <v>3692760</v>
      </c>
      <c r="B203">
        <v>21883</v>
      </c>
      <c r="C203">
        <v>524011</v>
      </c>
      <c r="D203">
        <v>52897</v>
      </c>
      <c r="E203">
        <v>100</v>
      </c>
      <c r="F203" t="s">
        <v>37</v>
      </c>
      <c r="G203">
        <v>1</v>
      </c>
      <c r="H203" t="s">
        <v>37</v>
      </c>
      <c r="I203" t="s">
        <v>37</v>
      </c>
      <c r="J203" t="s">
        <v>775</v>
      </c>
      <c r="K203" t="s">
        <v>230</v>
      </c>
      <c r="L203" t="s">
        <v>226</v>
      </c>
      <c r="M203" t="s">
        <v>422</v>
      </c>
      <c r="N203" t="s">
        <v>1939</v>
      </c>
      <c r="O203" t="s">
        <v>1940</v>
      </c>
      <c r="S203">
        <v>0</v>
      </c>
      <c r="T203">
        <v>0</v>
      </c>
      <c r="U203">
        <v>0</v>
      </c>
      <c r="V203">
        <v>0</v>
      </c>
      <c r="W203">
        <v>16</v>
      </c>
      <c r="X203">
        <v>0</v>
      </c>
      <c r="Y203">
        <v>0</v>
      </c>
      <c r="Z203">
        <v>0</v>
      </c>
      <c r="AB203" s="5">
        <v>43715</v>
      </c>
      <c r="AC203" s="5">
        <v>43721</v>
      </c>
      <c r="AD203" s="5">
        <v>43970.333333333336</v>
      </c>
      <c r="AE203" s="5">
        <v>43970.333333333336</v>
      </c>
      <c r="AG203" s="5">
        <v>44044</v>
      </c>
      <c r="AH203" s="5">
        <v>44044</v>
      </c>
      <c r="AK203" s="5">
        <v>43739.333333333336</v>
      </c>
      <c r="AL203" s="5">
        <v>43740.666666666664</v>
      </c>
      <c r="AP203" t="s">
        <v>418</v>
      </c>
      <c r="AU203" t="s">
        <v>1941</v>
      </c>
      <c r="AY203" t="s">
        <v>40</v>
      </c>
      <c r="AZ203">
        <v>0</v>
      </c>
      <c r="BA203">
        <v>0</v>
      </c>
      <c r="BI203" s="5">
        <v>44048.176388888889</v>
      </c>
      <c r="BJ203" s="5">
        <v>44048.176388888889</v>
      </c>
      <c r="BK203" t="s">
        <v>778</v>
      </c>
      <c r="BL203" t="s">
        <v>778</v>
      </c>
      <c r="BN203" t="s">
        <v>37</v>
      </c>
    </row>
    <row r="204" spans="1:66" x14ac:dyDescent="0.2">
      <c r="A204">
        <v>3692761</v>
      </c>
      <c r="B204">
        <v>21883</v>
      </c>
      <c r="C204">
        <v>524011</v>
      </c>
      <c r="D204">
        <v>52897</v>
      </c>
      <c r="E204">
        <v>100</v>
      </c>
      <c r="F204" t="s">
        <v>37</v>
      </c>
      <c r="G204">
        <v>1</v>
      </c>
      <c r="H204" t="s">
        <v>37</v>
      </c>
      <c r="I204" t="s">
        <v>37</v>
      </c>
      <c r="J204" t="s">
        <v>775</v>
      </c>
      <c r="K204" t="s">
        <v>230</v>
      </c>
      <c r="L204" t="s">
        <v>226</v>
      </c>
      <c r="M204" t="s">
        <v>422</v>
      </c>
      <c r="N204" t="s">
        <v>1942</v>
      </c>
      <c r="O204" t="s">
        <v>1943</v>
      </c>
      <c r="S204">
        <v>0</v>
      </c>
      <c r="T204">
        <v>0</v>
      </c>
      <c r="U204">
        <v>0</v>
      </c>
      <c r="V204">
        <v>0</v>
      </c>
      <c r="W204">
        <v>16</v>
      </c>
      <c r="X204">
        <v>0</v>
      </c>
      <c r="Y204">
        <v>0</v>
      </c>
      <c r="Z204">
        <v>0</v>
      </c>
      <c r="AB204" s="5">
        <v>43714</v>
      </c>
      <c r="AC204" s="5">
        <v>43721</v>
      </c>
      <c r="AD204" s="5">
        <v>43970.333333333336</v>
      </c>
      <c r="AE204" s="5">
        <v>43970.333333333336</v>
      </c>
      <c r="AG204" s="5">
        <v>44044</v>
      </c>
      <c r="AH204" s="5">
        <v>44044</v>
      </c>
      <c r="AK204" s="5">
        <v>43739.333333333336</v>
      </c>
      <c r="AL204" s="5">
        <v>43740.666666666664</v>
      </c>
      <c r="AP204" t="s">
        <v>418</v>
      </c>
      <c r="AU204" t="s">
        <v>1944</v>
      </c>
      <c r="AY204" t="s">
        <v>40</v>
      </c>
      <c r="AZ204">
        <v>0</v>
      </c>
      <c r="BA204">
        <v>0</v>
      </c>
      <c r="BI204" s="5">
        <v>44048.176388888889</v>
      </c>
      <c r="BJ204" s="5">
        <v>44048.176388888889</v>
      </c>
      <c r="BK204" t="s">
        <v>778</v>
      </c>
      <c r="BL204" t="s">
        <v>778</v>
      </c>
      <c r="BN204" t="s">
        <v>37</v>
      </c>
    </row>
    <row r="205" spans="1:66" x14ac:dyDescent="0.2">
      <c r="A205">
        <v>3692762</v>
      </c>
      <c r="B205">
        <v>21883</v>
      </c>
      <c r="C205">
        <v>524011</v>
      </c>
      <c r="D205">
        <v>52897</v>
      </c>
      <c r="E205">
        <v>100</v>
      </c>
      <c r="F205" t="s">
        <v>37</v>
      </c>
      <c r="G205">
        <v>1</v>
      </c>
      <c r="H205" t="s">
        <v>37</v>
      </c>
      <c r="I205" t="s">
        <v>37</v>
      </c>
      <c r="J205" t="s">
        <v>775</v>
      </c>
      <c r="K205" t="s">
        <v>230</v>
      </c>
      <c r="L205" t="s">
        <v>226</v>
      </c>
      <c r="M205" t="s">
        <v>422</v>
      </c>
      <c r="N205" t="s">
        <v>1945</v>
      </c>
      <c r="O205" t="s">
        <v>1946</v>
      </c>
      <c r="S205">
        <v>0</v>
      </c>
      <c r="T205">
        <v>0</v>
      </c>
      <c r="U205">
        <v>0</v>
      </c>
      <c r="V205">
        <v>0</v>
      </c>
      <c r="W205">
        <v>8</v>
      </c>
      <c r="X205">
        <v>0</v>
      </c>
      <c r="Y205">
        <v>0</v>
      </c>
      <c r="Z205">
        <v>0</v>
      </c>
      <c r="AB205" s="5">
        <v>43704</v>
      </c>
      <c r="AC205" s="5">
        <v>43713</v>
      </c>
      <c r="AD205" s="5">
        <v>43970.333333333336</v>
      </c>
      <c r="AE205" s="5">
        <v>43970.333333333336</v>
      </c>
      <c r="AG205" s="5">
        <v>44044</v>
      </c>
      <c r="AH205" s="5">
        <v>44044</v>
      </c>
      <c r="AK205" s="5">
        <v>43703.333333333336</v>
      </c>
      <c r="AL205" s="5">
        <v>43703.666666666664</v>
      </c>
      <c r="AP205" t="s">
        <v>418</v>
      </c>
      <c r="AU205" t="s">
        <v>1947</v>
      </c>
      <c r="AY205" t="s">
        <v>40</v>
      </c>
      <c r="AZ205">
        <v>0</v>
      </c>
      <c r="BA205">
        <v>0</v>
      </c>
      <c r="BI205" s="5">
        <v>44048.176388888889</v>
      </c>
      <c r="BJ205" s="5">
        <v>44048.176388888889</v>
      </c>
      <c r="BK205" t="s">
        <v>778</v>
      </c>
      <c r="BL205" t="s">
        <v>778</v>
      </c>
      <c r="BN205" t="s">
        <v>37</v>
      </c>
    </row>
    <row r="206" spans="1:66" x14ac:dyDescent="0.2">
      <c r="A206">
        <v>3692763</v>
      </c>
      <c r="B206">
        <v>21883</v>
      </c>
      <c r="C206">
        <v>523869</v>
      </c>
      <c r="D206">
        <v>15320</v>
      </c>
      <c r="E206">
        <v>100</v>
      </c>
      <c r="F206" t="s">
        <v>37</v>
      </c>
      <c r="G206">
        <v>1</v>
      </c>
      <c r="H206" t="s">
        <v>37</v>
      </c>
      <c r="I206" t="s">
        <v>37</v>
      </c>
      <c r="J206" t="s">
        <v>775</v>
      </c>
      <c r="K206" t="s">
        <v>230</v>
      </c>
      <c r="L206" t="s">
        <v>226</v>
      </c>
      <c r="M206" t="s">
        <v>422</v>
      </c>
      <c r="N206" t="s">
        <v>1948</v>
      </c>
      <c r="O206" t="s">
        <v>1532</v>
      </c>
      <c r="S206">
        <v>0</v>
      </c>
      <c r="T206">
        <v>0</v>
      </c>
      <c r="U206">
        <v>0</v>
      </c>
      <c r="V206">
        <v>0</v>
      </c>
      <c r="W206">
        <v>40</v>
      </c>
      <c r="X206">
        <v>0</v>
      </c>
      <c r="Y206">
        <v>0</v>
      </c>
      <c r="Z206">
        <v>0</v>
      </c>
      <c r="AB206" s="5">
        <v>43697</v>
      </c>
      <c r="AC206" s="5">
        <v>43702</v>
      </c>
      <c r="AD206" s="5">
        <v>43970.333333333336</v>
      </c>
      <c r="AE206" s="5">
        <v>43970.333333333336</v>
      </c>
      <c r="AG206" s="5">
        <v>44044</v>
      </c>
      <c r="AH206" s="5">
        <v>44044</v>
      </c>
      <c r="AK206" s="5">
        <v>43703.333333333336</v>
      </c>
      <c r="AL206" s="5">
        <v>43711.666666666664</v>
      </c>
      <c r="AP206" t="s">
        <v>418</v>
      </c>
      <c r="AU206" t="s">
        <v>1949</v>
      </c>
      <c r="AY206" t="s">
        <v>40</v>
      </c>
      <c r="AZ206">
        <v>0</v>
      </c>
      <c r="BA206">
        <v>0</v>
      </c>
      <c r="BI206" s="5">
        <v>44048.176388888889</v>
      </c>
      <c r="BJ206" s="5">
        <v>44048.176388888889</v>
      </c>
      <c r="BK206" t="s">
        <v>778</v>
      </c>
      <c r="BL206" t="s">
        <v>778</v>
      </c>
      <c r="BN206" t="s">
        <v>37</v>
      </c>
    </row>
    <row r="207" spans="1:66" x14ac:dyDescent="0.2">
      <c r="A207">
        <v>3692764</v>
      </c>
      <c r="B207">
        <v>21883</v>
      </c>
      <c r="C207">
        <v>523862</v>
      </c>
      <c r="D207">
        <v>15320</v>
      </c>
      <c r="E207">
        <v>100</v>
      </c>
      <c r="F207" t="s">
        <v>37</v>
      </c>
      <c r="G207">
        <v>1</v>
      </c>
      <c r="H207" t="s">
        <v>37</v>
      </c>
      <c r="I207" t="s">
        <v>37</v>
      </c>
      <c r="J207" t="s">
        <v>775</v>
      </c>
      <c r="K207" t="s">
        <v>230</v>
      </c>
      <c r="L207" t="s">
        <v>226</v>
      </c>
      <c r="M207" t="s">
        <v>422</v>
      </c>
      <c r="N207" t="s">
        <v>1950</v>
      </c>
      <c r="O207" t="s">
        <v>1951</v>
      </c>
      <c r="S207">
        <v>0</v>
      </c>
      <c r="T207">
        <v>0</v>
      </c>
      <c r="U207">
        <v>0</v>
      </c>
      <c r="V207">
        <v>0</v>
      </c>
      <c r="W207">
        <v>40</v>
      </c>
      <c r="X207">
        <v>0</v>
      </c>
      <c r="Y207">
        <v>0</v>
      </c>
      <c r="Z207">
        <v>0</v>
      </c>
      <c r="AB207" s="5">
        <v>43777</v>
      </c>
      <c r="AC207" s="5">
        <v>43782</v>
      </c>
      <c r="AD207" s="5">
        <v>43970.333333333336</v>
      </c>
      <c r="AE207" s="5">
        <v>43970.333333333336</v>
      </c>
      <c r="AG207" s="5">
        <v>44044</v>
      </c>
      <c r="AH207" s="5">
        <v>44044</v>
      </c>
      <c r="AK207" s="5">
        <v>43802.333333333336</v>
      </c>
      <c r="AL207" s="5">
        <v>43808.666666666664</v>
      </c>
      <c r="AP207" t="s">
        <v>418</v>
      </c>
      <c r="AU207" t="s">
        <v>1952</v>
      </c>
      <c r="AY207" t="s">
        <v>40</v>
      </c>
      <c r="AZ207">
        <v>0</v>
      </c>
      <c r="BA207">
        <v>0</v>
      </c>
      <c r="BI207" s="5">
        <v>44048.176388888889</v>
      </c>
      <c r="BJ207" s="5">
        <v>44048.176388888889</v>
      </c>
      <c r="BK207" t="s">
        <v>778</v>
      </c>
      <c r="BL207" t="s">
        <v>778</v>
      </c>
      <c r="BN207" t="s">
        <v>37</v>
      </c>
    </row>
    <row r="208" spans="1:66" x14ac:dyDescent="0.2">
      <c r="A208">
        <v>3692765</v>
      </c>
      <c r="B208">
        <v>21883</v>
      </c>
      <c r="C208">
        <v>523999</v>
      </c>
      <c r="D208">
        <v>15320</v>
      </c>
      <c r="E208">
        <v>100</v>
      </c>
      <c r="F208" t="s">
        <v>37</v>
      </c>
      <c r="G208">
        <v>1</v>
      </c>
      <c r="H208" t="s">
        <v>37</v>
      </c>
      <c r="I208" t="s">
        <v>37</v>
      </c>
      <c r="J208" t="s">
        <v>775</v>
      </c>
      <c r="K208" t="s">
        <v>230</v>
      </c>
      <c r="L208" t="s">
        <v>226</v>
      </c>
      <c r="M208" t="s">
        <v>422</v>
      </c>
      <c r="N208" t="s">
        <v>1953</v>
      </c>
      <c r="O208" t="s">
        <v>1954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B208" s="5">
        <v>43766</v>
      </c>
      <c r="AC208" s="5">
        <v>43766</v>
      </c>
      <c r="AD208" s="5">
        <v>44306.666666666664</v>
      </c>
      <c r="AE208" s="5">
        <v>44306.666666666664</v>
      </c>
      <c r="AG208" s="5">
        <v>44044</v>
      </c>
      <c r="AH208" s="5">
        <v>44044</v>
      </c>
      <c r="AK208" s="5">
        <v>43739.333333333336</v>
      </c>
      <c r="AL208" s="5">
        <v>43739.333333333336</v>
      </c>
      <c r="AP208" t="s">
        <v>418</v>
      </c>
      <c r="AU208" t="s">
        <v>1955</v>
      </c>
      <c r="AY208" t="s">
        <v>37</v>
      </c>
      <c r="AZ208">
        <v>0</v>
      </c>
      <c r="BA208">
        <v>0</v>
      </c>
      <c r="BI208" s="5">
        <v>44048.176388888889</v>
      </c>
      <c r="BJ208" s="5">
        <v>44048.176388888889</v>
      </c>
      <c r="BK208" t="s">
        <v>778</v>
      </c>
      <c r="BL208" t="s">
        <v>778</v>
      </c>
      <c r="BN208" t="s">
        <v>37</v>
      </c>
    </row>
    <row r="209" spans="1:66" x14ac:dyDescent="0.2">
      <c r="A209">
        <v>3692766</v>
      </c>
      <c r="B209">
        <v>21883</v>
      </c>
      <c r="C209">
        <v>523919</v>
      </c>
      <c r="D209">
        <v>15320</v>
      </c>
      <c r="E209">
        <v>100</v>
      </c>
      <c r="F209" t="s">
        <v>37</v>
      </c>
      <c r="G209">
        <v>1</v>
      </c>
      <c r="H209" t="s">
        <v>37</v>
      </c>
      <c r="I209" t="s">
        <v>37</v>
      </c>
      <c r="J209" t="s">
        <v>775</v>
      </c>
      <c r="K209" t="s">
        <v>230</v>
      </c>
      <c r="L209" t="s">
        <v>226</v>
      </c>
      <c r="M209" t="s">
        <v>422</v>
      </c>
      <c r="N209" t="s">
        <v>1956</v>
      </c>
      <c r="O209" t="s">
        <v>1544</v>
      </c>
      <c r="S209">
        <v>0</v>
      </c>
      <c r="T209">
        <v>0</v>
      </c>
      <c r="U209">
        <v>0</v>
      </c>
      <c r="V209">
        <v>0</v>
      </c>
      <c r="W209">
        <v>24</v>
      </c>
      <c r="X209">
        <v>0</v>
      </c>
      <c r="Y209">
        <v>0</v>
      </c>
      <c r="Z209">
        <v>0</v>
      </c>
      <c r="AB209" s="5">
        <v>43687</v>
      </c>
      <c r="AC209" s="5">
        <v>43696</v>
      </c>
      <c r="AD209" s="5">
        <v>43970.333333333336</v>
      </c>
      <c r="AE209" s="5">
        <v>43970.333333333336</v>
      </c>
      <c r="AG209" s="5">
        <v>44044</v>
      </c>
      <c r="AH209" s="5">
        <v>44044</v>
      </c>
      <c r="AK209" s="5">
        <v>43703.333333333336</v>
      </c>
      <c r="AL209" s="5">
        <v>43705.666666666664</v>
      </c>
      <c r="AP209" t="s">
        <v>418</v>
      </c>
      <c r="AU209" t="s">
        <v>1546</v>
      </c>
      <c r="AY209" t="s">
        <v>40</v>
      </c>
      <c r="AZ209">
        <v>0</v>
      </c>
      <c r="BA209">
        <v>0</v>
      </c>
      <c r="BI209" s="5">
        <v>44048.176388888889</v>
      </c>
      <c r="BJ209" s="5">
        <v>44048.176388888889</v>
      </c>
      <c r="BK209" t="s">
        <v>778</v>
      </c>
      <c r="BL209" t="s">
        <v>778</v>
      </c>
      <c r="BN209" t="s">
        <v>37</v>
      </c>
    </row>
    <row r="210" spans="1:66" x14ac:dyDescent="0.2">
      <c r="A210">
        <v>3692767</v>
      </c>
      <c r="B210">
        <v>21883</v>
      </c>
      <c r="C210">
        <v>523919</v>
      </c>
      <c r="D210">
        <v>15320</v>
      </c>
      <c r="E210">
        <v>100</v>
      </c>
      <c r="F210" t="s">
        <v>37</v>
      </c>
      <c r="G210">
        <v>1</v>
      </c>
      <c r="H210" t="s">
        <v>37</v>
      </c>
      <c r="I210" t="s">
        <v>37</v>
      </c>
      <c r="J210" t="s">
        <v>775</v>
      </c>
      <c r="K210" t="s">
        <v>230</v>
      </c>
      <c r="L210" t="s">
        <v>226</v>
      </c>
      <c r="M210" t="s">
        <v>422</v>
      </c>
      <c r="N210" t="s">
        <v>1957</v>
      </c>
      <c r="O210" t="s">
        <v>1548</v>
      </c>
      <c r="S210">
        <v>0</v>
      </c>
      <c r="T210">
        <v>0</v>
      </c>
      <c r="U210">
        <v>0</v>
      </c>
      <c r="V210">
        <v>0</v>
      </c>
      <c r="W210">
        <v>48</v>
      </c>
      <c r="X210">
        <v>0</v>
      </c>
      <c r="Y210">
        <v>0</v>
      </c>
      <c r="Z210">
        <v>0</v>
      </c>
      <c r="AB210" s="5">
        <v>43687</v>
      </c>
      <c r="AC210" s="5">
        <v>43690</v>
      </c>
      <c r="AD210" s="5">
        <v>43970.333333333336</v>
      </c>
      <c r="AE210" s="5">
        <v>43970.333333333336</v>
      </c>
      <c r="AG210" s="5">
        <v>44044</v>
      </c>
      <c r="AH210" s="5">
        <v>44044</v>
      </c>
      <c r="AK210" s="5">
        <v>43703.333333333336</v>
      </c>
      <c r="AL210" s="5">
        <v>43712.666666666664</v>
      </c>
      <c r="AP210" t="s">
        <v>418</v>
      </c>
      <c r="AU210" t="s">
        <v>1550</v>
      </c>
      <c r="AY210" t="s">
        <v>40</v>
      </c>
      <c r="AZ210">
        <v>0</v>
      </c>
      <c r="BA210">
        <v>0</v>
      </c>
      <c r="BI210" s="5">
        <v>44048.176388888889</v>
      </c>
      <c r="BJ210" s="5">
        <v>44048.176388888889</v>
      </c>
      <c r="BK210" t="s">
        <v>778</v>
      </c>
      <c r="BL210" t="s">
        <v>778</v>
      </c>
      <c r="BN210" t="s">
        <v>37</v>
      </c>
    </row>
    <row r="211" spans="1:66" x14ac:dyDescent="0.2">
      <c r="A211">
        <v>3692768</v>
      </c>
      <c r="B211">
        <v>21883</v>
      </c>
      <c r="C211">
        <v>523919</v>
      </c>
      <c r="D211">
        <v>15320</v>
      </c>
      <c r="E211">
        <v>100</v>
      </c>
      <c r="F211" t="s">
        <v>37</v>
      </c>
      <c r="G211">
        <v>1</v>
      </c>
      <c r="H211" t="s">
        <v>37</v>
      </c>
      <c r="I211" t="s">
        <v>37</v>
      </c>
      <c r="J211" t="s">
        <v>775</v>
      </c>
      <c r="K211" t="s">
        <v>230</v>
      </c>
      <c r="L211" t="s">
        <v>226</v>
      </c>
      <c r="M211" t="s">
        <v>422</v>
      </c>
      <c r="N211" t="s">
        <v>1958</v>
      </c>
      <c r="O211" t="s">
        <v>1552</v>
      </c>
      <c r="S211">
        <v>0</v>
      </c>
      <c r="T211">
        <v>0</v>
      </c>
      <c r="U211">
        <v>0</v>
      </c>
      <c r="V211">
        <v>0</v>
      </c>
      <c r="W211">
        <v>40</v>
      </c>
      <c r="X211">
        <v>0</v>
      </c>
      <c r="Y211">
        <v>0</v>
      </c>
      <c r="Z211">
        <v>0</v>
      </c>
      <c r="AB211" s="5">
        <v>43682</v>
      </c>
      <c r="AC211" s="5">
        <v>43683</v>
      </c>
      <c r="AD211" s="5">
        <v>43970.333333333336</v>
      </c>
      <c r="AE211" s="5">
        <v>43970.333333333336</v>
      </c>
      <c r="AG211" s="5">
        <v>44044</v>
      </c>
      <c r="AH211" s="5">
        <v>44044</v>
      </c>
      <c r="AK211" s="5">
        <v>43703.333333333336</v>
      </c>
      <c r="AL211" s="5">
        <v>43711.666666666664</v>
      </c>
      <c r="AP211" t="s">
        <v>418</v>
      </c>
      <c r="AU211" t="s">
        <v>1554</v>
      </c>
      <c r="AY211" t="s">
        <v>40</v>
      </c>
      <c r="AZ211">
        <v>0</v>
      </c>
      <c r="BA211">
        <v>0</v>
      </c>
      <c r="BI211" s="5">
        <v>44048.176388888889</v>
      </c>
      <c r="BJ211" s="5">
        <v>44048.176388888889</v>
      </c>
      <c r="BK211" t="s">
        <v>778</v>
      </c>
      <c r="BL211" t="s">
        <v>778</v>
      </c>
      <c r="BN211" t="s">
        <v>37</v>
      </c>
    </row>
    <row r="212" spans="1:66" x14ac:dyDescent="0.2">
      <c r="A212">
        <v>3692769</v>
      </c>
      <c r="B212">
        <v>21883</v>
      </c>
      <c r="C212">
        <v>523919</v>
      </c>
      <c r="D212">
        <v>15320</v>
      </c>
      <c r="E212">
        <v>100</v>
      </c>
      <c r="F212" t="s">
        <v>37</v>
      </c>
      <c r="G212">
        <v>1</v>
      </c>
      <c r="H212" t="s">
        <v>37</v>
      </c>
      <c r="I212" t="s">
        <v>37</v>
      </c>
      <c r="J212" t="s">
        <v>775</v>
      </c>
      <c r="K212" t="s">
        <v>230</v>
      </c>
      <c r="L212" t="s">
        <v>226</v>
      </c>
      <c r="M212" t="s">
        <v>422</v>
      </c>
      <c r="N212" t="s">
        <v>1959</v>
      </c>
      <c r="O212" t="s">
        <v>1556</v>
      </c>
      <c r="S212">
        <v>0</v>
      </c>
      <c r="T212">
        <v>0</v>
      </c>
      <c r="U212">
        <v>0</v>
      </c>
      <c r="V212">
        <v>0</v>
      </c>
      <c r="W212">
        <v>160</v>
      </c>
      <c r="X212">
        <v>0</v>
      </c>
      <c r="Y212">
        <v>0</v>
      </c>
      <c r="Z212">
        <v>0</v>
      </c>
      <c r="AB212" s="5">
        <v>43664</v>
      </c>
      <c r="AC212" s="5">
        <v>43677</v>
      </c>
      <c r="AD212" s="5">
        <v>43970.333333333336</v>
      </c>
      <c r="AE212" s="5">
        <v>43970.333333333336</v>
      </c>
      <c r="AG212" s="5">
        <v>44044</v>
      </c>
      <c r="AH212" s="5">
        <v>44044</v>
      </c>
      <c r="AK212" s="5">
        <v>43678.333333333336</v>
      </c>
      <c r="AL212" s="5">
        <v>43712.666666666664</v>
      </c>
      <c r="AP212" t="s">
        <v>418</v>
      </c>
      <c r="AU212" t="s">
        <v>1558</v>
      </c>
      <c r="AY212" t="s">
        <v>40</v>
      </c>
      <c r="AZ212">
        <v>0</v>
      </c>
      <c r="BA212">
        <v>0</v>
      </c>
      <c r="BI212" s="5">
        <v>44048.176388888889</v>
      </c>
      <c r="BJ212" s="5">
        <v>44048.176388888889</v>
      </c>
      <c r="BK212" t="s">
        <v>778</v>
      </c>
      <c r="BL212" t="s">
        <v>778</v>
      </c>
      <c r="BN212" t="s">
        <v>37</v>
      </c>
    </row>
    <row r="213" spans="1:66" x14ac:dyDescent="0.2">
      <c r="A213">
        <v>3692770</v>
      </c>
      <c r="B213">
        <v>21883</v>
      </c>
      <c r="C213">
        <v>523919</v>
      </c>
      <c r="D213">
        <v>15320</v>
      </c>
      <c r="E213">
        <v>100</v>
      </c>
      <c r="F213" t="s">
        <v>37</v>
      </c>
      <c r="G213">
        <v>1</v>
      </c>
      <c r="H213" t="s">
        <v>37</v>
      </c>
      <c r="I213" t="s">
        <v>37</v>
      </c>
      <c r="J213" t="s">
        <v>775</v>
      </c>
      <c r="K213" t="s">
        <v>230</v>
      </c>
      <c r="L213" t="s">
        <v>226</v>
      </c>
      <c r="M213" t="s">
        <v>422</v>
      </c>
      <c r="N213" t="s">
        <v>1960</v>
      </c>
      <c r="O213" t="s">
        <v>1560</v>
      </c>
      <c r="S213">
        <v>0</v>
      </c>
      <c r="T213">
        <v>0</v>
      </c>
      <c r="U213">
        <v>0</v>
      </c>
      <c r="V213">
        <v>0</v>
      </c>
      <c r="W213">
        <v>40</v>
      </c>
      <c r="X213">
        <v>0</v>
      </c>
      <c r="Y213">
        <v>0</v>
      </c>
      <c r="Z213">
        <v>0</v>
      </c>
      <c r="AB213" s="5">
        <v>43682</v>
      </c>
      <c r="AC213" s="5">
        <v>43682</v>
      </c>
      <c r="AD213" s="5">
        <v>43970.333333333336</v>
      </c>
      <c r="AE213" s="5">
        <v>43970.333333333336</v>
      </c>
      <c r="AG213" s="5">
        <v>44044</v>
      </c>
      <c r="AH213" s="5">
        <v>44044</v>
      </c>
      <c r="AK213" s="5">
        <v>43703.333333333336</v>
      </c>
      <c r="AL213" s="5">
        <v>43711.666666666664</v>
      </c>
      <c r="AP213" t="s">
        <v>418</v>
      </c>
      <c r="AU213" t="s">
        <v>1562</v>
      </c>
      <c r="AY213" t="s">
        <v>40</v>
      </c>
      <c r="AZ213">
        <v>0</v>
      </c>
      <c r="BA213">
        <v>0</v>
      </c>
      <c r="BI213" s="5">
        <v>44048.176388888889</v>
      </c>
      <c r="BJ213" s="5">
        <v>44048.176388888889</v>
      </c>
      <c r="BK213" t="s">
        <v>778</v>
      </c>
      <c r="BL213" t="s">
        <v>778</v>
      </c>
      <c r="BN213" t="s">
        <v>37</v>
      </c>
    </row>
    <row r="214" spans="1:66" x14ac:dyDescent="0.2">
      <c r="A214">
        <v>3692771</v>
      </c>
      <c r="B214">
        <v>21883</v>
      </c>
      <c r="C214">
        <v>523919</v>
      </c>
      <c r="D214">
        <v>15320</v>
      </c>
      <c r="E214">
        <v>100</v>
      </c>
      <c r="F214" t="s">
        <v>37</v>
      </c>
      <c r="G214">
        <v>1</v>
      </c>
      <c r="H214" t="s">
        <v>37</v>
      </c>
      <c r="I214" t="s">
        <v>37</v>
      </c>
      <c r="J214" t="s">
        <v>775</v>
      </c>
      <c r="K214" t="s">
        <v>230</v>
      </c>
      <c r="L214" t="s">
        <v>226</v>
      </c>
      <c r="M214" t="s">
        <v>422</v>
      </c>
      <c r="N214" t="s">
        <v>1961</v>
      </c>
      <c r="O214" t="s">
        <v>1564</v>
      </c>
      <c r="S214">
        <v>0</v>
      </c>
      <c r="T214">
        <v>0</v>
      </c>
      <c r="U214">
        <v>0</v>
      </c>
      <c r="V214">
        <v>0</v>
      </c>
      <c r="W214">
        <v>40</v>
      </c>
      <c r="X214">
        <v>0</v>
      </c>
      <c r="Y214">
        <v>0</v>
      </c>
      <c r="Z214">
        <v>0</v>
      </c>
      <c r="AB214" s="5">
        <v>43684</v>
      </c>
      <c r="AC214" s="5">
        <v>43686</v>
      </c>
      <c r="AD214" s="5">
        <v>43970.333333333336</v>
      </c>
      <c r="AE214" s="5">
        <v>43970.333333333336</v>
      </c>
      <c r="AG214" s="5">
        <v>44044</v>
      </c>
      <c r="AH214" s="5">
        <v>44044</v>
      </c>
      <c r="AK214" s="5">
        <v>43703.333333333336</v>
      </c>
      <c r="AL214" s="5">
        <v>43711.666666666664</v>
      </c>
      <c r="AP214" t="s">
        <v>418</v>
      </c>
      <c r="AU214" t="s">
        <v>1566</v>
      </c>
      <c r="AY214" t="s">
        <v>40</v>
      </c>
      <c r="AZ214">
        <v>0</v>
      </c>
      <c r="BA214">
        <v>0</v>
      </c>
      <c r="BI214" s="5">
        <v>44048.176388888889</v>
      </c>
      <c r="BJ214" s="5">
        <v>44048.176388888889</v>
      </c>
      <c r="BK214" t="s">
        <v>778</v>
      </c>
      <c r="BL214" t="s">
        <v>778</v>
      </c>
      <c r="BN214" t="s">
        <v>37</v>
      </c>
    </row>
    <row r="215" spans="1:66" x14ac:dyDescent="0.2">
      <c r="A215">
        <v>3692772</v>
      </c>
      <c r="B215">
        <v>21883</v>
      </c>
      <c r="C215">
        <v>523919</v>
      </c>
      <c r="D215">
        <v>15320</v>
      </c>
      <c r="E215">
        <v>100</v>
      </c>
      <c r="F215" t="s">
        <v>37</v>
      </c>
      <c r="G215">
        <v>1</v>
      </c>
      <c r="H215" t="s">
        <v>37</v>
      </c>
      <c r="I215" t="s">
        <v>37</v>
      </c>
      <c r="J215" t="s">
        <v>775</v>
      </c>
      <c r="K215" t="s">
        <v>230</v>
      </c>
      <c r="L215" t="s">
        <v>226</v>
      </c>
      <c r="M215" t="s">
        <v>422</v>
      </c>
      <c r="N215" t="s">
        <v>1962</v>
      </c>
      <c r="O215" t="s">
        <v>1568</v>
      </c>
      <c r="S215">
        <v>0</v>
      </c>
      <c r="T215">
        <v>0</v>
      </c>
      <c r="U215">
        <v>0</v>
      </c>
      <c r="V215">
        <v>0</v>
      </c>
      <c r="W215">
        <v>8</v>
      </c>
      <c r="X215">
        <v>0</v>
      </c>
      <c r="Y215">
        <v>0</v>
      </c>
      <c r="Z215">
        <v>0</v>
      </c>
      <c r="AB215" s="5">
        <v>43686</v>
      </c>
      <c r="AC215" s="5">
        <v>43690</v>
      </c>
      <c r="AD215" s="5">
        <v>43970.333333333336</v>
      </c>
      <c r="AE215" s="5">
        <v>43970.333333333336</v>
      </c>
      <c r="AG215" s="5">
        <v>44044</v>
      </c>
      <c r="AH215" s="5">
        <v>44044</v>
      </c>
      <c r="AK215" s="5">
        <v>43703.333333333336</v>
      </c>
      <c r="AL215" s="5">
        <v>43703.666666666664</v>
      </c>
      <c r="AP215" t="s">
        <v>418</v>
      </c>
      <c r="AU215" t="s">
        <v>1570</v>
      </c>
      <c r="AY215" t="s">
        <v>40</v>
      </c>
      <c r="AZ215">
        <v>0</v>
      </c>
      <c r="BA215">
        <v>0</v>
      </c>
      <c r="BI215" s="5">
        <v>44048.176388888889</v>
      </c>
      <c r="BJ215" s="5">
        <v>44048.176388888889</v>
      </c>
      <c r="BK215" t="s">
        <v>778</v>
      </c>
      <c r="BL215" t="s">
        <v>778</v>
      </c>
      <c r="BN215" t="s">
        <v>37</v>
      </c>
    </row>
    <row r="216" spans="1:66" x14ac:dyDescent="0.2">
      <c r="A216">
        <v>3692773</v>
      </c>
      <c r="B216">
        <v>21883</v>
      </c>
      <c r="C216">
        <v>523919</v>
      </c>
      <c r="D216">
        <v>15320</v>
      </c>
      <c r="E216">
        <v>100</v>
      </c>
      <c r="F216" t="s">
        <v>37</v>
      </c>
      <c r="G216">
        <v>1</v>
      </c>
      <c r="H216" t="s">
        <v>37</v>
      </c>
      <c r="I216" t="s">
        <v>37</v>
      </c>
      <c r="J216" t="s">
        <v>775</v>
      </c>
      <c r="K216" t="s">
        <v>230</v>
      </c>
      <c r="L216" t="s">
        <v>226</v>
      </c>
      <c r="M216" t="s">
        <v>422</v>
      </c>
      <c r="N216" t="s">
        <v>1963</v>
      </c>
      <c r="O216" t="s">
        <v>1572</v>
      </c>
      <c r="S216">
        <v>0</v>
      </c>
      <c r="T216">
        <v>0</v>
      </c>
      <c r="U216">
        <v>0</v>
      </c>
      <c r="V216">
        <v>0</v>
      </c>
      <c r="W216">
        <v>88</v>
      </c>
      <c r="X216">
        <v>0</v>
      </c>
      <c r="Y216">
        <v>0</v>
      </c>
      <c r="Z216">
        <v>0</v>
      </c>
      <c r="AB216" s="5">
        <v>43666</v>
      </c>
      <c r="AC216" s="5">
        <v>43686</v>
      </c>
      <c r="AD216" s="5">
        <v>43970.333333333336</v>
      </c>
      <c r="AE216" s="5">
        <v>43970.333333333336</v>
      </c>
      <c r="AG216" s="5">
        <v>44044</v>
      </c>
      <c r="AH216" s="5">
        <v>44044</v>
      </c>
      <c r="AK216" s="5">
        <v>43678.333333333336</v>
      </c>
      <c r="AL216" s="5">
        <v>43696.666666666664</v>
      </c>
      <c r="AP216" t="s">
        <v>418</v>
      </c>
      <c r="AU216" t="s">
        <v>1574</v>
      </c>
      <c r="AY216" t="s">
        <v>40</v>
      </c>
      <c r="AZ216">
        <v>0</v>
      </c>
      <c r="BA216">
        <v>0</v>
      </c>
      <c r="BI216" s="5">
        <v>44048.176388888889</v>
      </c>
      <c r="BJ216" s="5">
        <v>44048.176388888889</v>
      </c>
      <c r="BK216" t="s">
        <v>778</v>
      </c>
      <c r="BL216" t="s">
        <v>778</v>
      </c>
      <c r="BN216" t="s">
        <v>37</v>
      </c>
    </row>
    <row r="217" spans="1:66" x14ac:dyDescent="0.2">
      <c r="A217">
        <v>3692774</v>
      </c>
      <c r="B217">
        <v>21883</v>
      </c>
      <c r="C217">
        <v>523919</v>
      </c>
      <c r="D217">
        <v>15320</v>
      </c>
      <c r="E217">
        <v>100</v>
      </c>
      <c r="F217" t="s">
        <v>37</v>
      </c>
      <c r="G217">
        <v>1</v>
      </c>
      <c r="H217" t="s">
        <v>37</v>
      </c>
      <c r="I217" t="s">
        <v>37</v>
      </c>
      <c r="J217" t="s">
        <v>775</v>
      </c>
      <c r="K217" t="s">
        <v>230</v>
      </c>
      <c r="L217" t="s">
        <v>226</v>
      </c>
      <c r="M217" t="s">
        <v>422</v>
      </c>
      <c r="N217" t="s">
        <v>1964</v>
      </c>
      <c r="O217" t="s">
        <v>1576</v>
      </c>
      <c r="S217">
        <v>0</v>
      </c>
      <c r="T217">
        <v>0</v>
      </c>
      <c r="U217">
        <v>0</v>
      </c>
      <c r="V217">
        <v>0</v>
      </c>
      <c r="W217">
        <v>40</v>
      </c>
      <c r="X217">
        <v>0</v>
      </c>
      <c r="Y217">
        <v>0</v>
      </c>
      <c r="Z217">
        <v>0</v>
      </c>
      <c r="AB217" s="5">
        <v>43670</v>
      </c>
      <c r="AC217" s="5">
        <v>43683</v>
      </c>
      <c r="AD217" s="5">
        <v>43970.333333333336</v>
      </c>
      <c r="AE217" s="5">
        <v>43970.333333333336</v>
      </c>
      <c r="AG217" s="5">
        <v>44044</v>
      </c>
      <c r="AH217" s="5">
        <v>44044</v>
      </c>
      <c r="AK217" s="5">
        <v>43678.333333333336</v>
      </c>
      <c r="AL217" s="5">
        <v>43685.666666666664</v>
      </c>
      <c r="AP217" t="s">
        <v>418</v>
      </c>
      <c r="AU217" t="s">
        <v>1578</v>
      </c>
      <c r="AY217" t="s">
        <v>40</v>
      </c>
      <c r="AZ217">
        <v>0</v>
      </c>
      <c r="BA217">
        <v>0</v>
      </c>
      <c r="BI217" s="5">
        <v>44048.176388888889</v>
      </c>
      <c r="BJ217" s="5">
        <v>44048.176388888889</v>
      </c>
      <c r="BK217" t="s">
        <v>778</v>
      </c>
      <c r="BL217" t="s">
        <v>778</v>
      </c>
      <c r="BN217" t="s">
        <v>37</v>
      </c>
    </row>
    <row r="218" spans="1:66" x14ac:dyDescent="0.2">
      <c r="A218">
        <v>3692775</v>
      </c>
      <c r="B218">
        <v>21883</v>
      </c>
      <c r="C218">
        <v>523919</v>
      </c>
      <c r="D218">
        <v>15320</v>
      </c>
      <c r="E218">
        <v>100</v>
      </c>
      <c r="F218" t="s">
        <v>37</v>
      </c>
      <c r="G218">
        <v>1</v>
      </c>
      <c r="H218" t="s">
        <v>37</v>
      </c>
      <c r="I218" t="s">
        <v>37</v>
      </c>
      <c r="J218" t="s">
        <v>775</v>
      </c>
      <c r="K218" t="s">
        <v>230</v>
      </c>
      <c r="L218" t="s">
        <v>226</v>
      </c>
      <c r="M218" t="s">
        <v>422</v>
      </c>
      <c r="N218" t="s">
        <v>1965</v>
      </c>
      <c r="O218" t="s">
        <v>1580</v>
      </c>
      <c r="S218">
        <v>0</v>
      </c>
      <c r="T218">
        <v>0</v>
      </c>
      <c r="U218">
        <v>0</v>
      </c>
      <c r="V218">
        <v>0</v>
      </c>
      <c r="W218">
        <v>8</v>
      </c>
      <c r="X218">
        <v>0</v>
      </c>
      <c r="Y218">
        <v>0</v>
      </c>
      <c r="Z218">
        <v>0</v>
      </c>
      <c r="AB218" s="5">
        <v>43665</v>
      </c>
      <c r="AC218" s="5">
        <v>43665</v>
      </c>
      <c r="AD218" s="5">
        <v>43970.333333333336</v>
      </c>
      <c r="AE218" s="5">
        <v>43970.333333333336</v>
      </c>
      <c r="AG218" s="5">
        <v>44044</v>
      </c>
      <c r="AH218" s="5">
        <v>44044</v>
      </c>
      <c r="AK218" s="5">
        <v>43678.333333333336</v>
      </c>
      <c r="AL218" s="5">
        <v>43678.666666666664</v>
      </c>
      <c r="AP218" t="s">
        <v>418</v>
      </c>
      <c r="AU218" t="s">
        <v>1582</v>
      </c>
      <c r="AY218" t="s">
        <v>40</v>
      </c>
      <c r="AZ218">
        <v>0</v>
      </c>
      <c r="BA218">
        <v>0</v>
      </c>
      <c r="BI218" s="5">
        <v>44048.176388888889</v>
      </c>
      <c r="BJ218" s="5">
        <v>44048.176388888889</v>
      </c>
      <c r="BK218" t="s">
        <v>778</v>
      </c>
      <c r="BL218" t="s">
        <v>778</v>
      </c>
      <c r="BN218" t="s">
        <v>37</v>
      </c>
    </row>
    <row r="219" spans="1:66" x14ac:dyDescent="0.2">
      <c r="A219">
        <v>3692776</v>
      </c>
      <c r="B219">
        <v>21883</v>
      </c>
      <c r="C219">
        <v>523919</v>
      </c>
      <c r="D219">
        <v>52899</v>
      </c>
      <c r="E219">
        <v>100</v>
      </c>
      <c r="F219" t="s">
        <v>37</v>
      </c>
      <c r="G219">
        <v>1</v>
      </c>
      <c r="H219" t="s">
        <v>37</v>
      </c>
      <c r="I219" t="s">
        <v>37</v>
      </c>
      <c r="J219" t="s">
        <v>775</v>
      </c>
      <c r="K219" t="s">
        <v>230</v>
      </c>
      <c r="L219" t="s">
        <v>226</v>
      </c>
      <c r="M219" t="s">
        <v>422</v>
      </c>
      <c r="N219" t="s">
        <v>1966</v>
      </c>
      <c r="O219" t="s">
        <v>1584</v>
      </c>
      <c r="S219">
        <v>0</v>
      </c>
      <c r="T219">
        <v>0</v>
      </c>
      <c r="U219">
        <v>0</v>
      </c>
      <c r="V219">
        <v>0</v>
      </c>
      <c r="W219">
        <v>16</v>
      </c>
      <c r="X219">
        <v>0</v>
      </c>
      <c r="Y219">
        <v>0</v>
      </c>
      <c r="Z219">
        <v>0</v>
      </c>
      <c r="AB219" s="5">
        <v>43665</v>
      </c>
      <c r="AC219" s="5">
        <v>43665</v>
      </c>
      <c r="AD219" s="5">
        <v>43970.333333333336</v>
      </c>
      <c r="AE219" s="5">
        <v>43970.333333333336</v>
      </c>
      <c r="AG219" s="5">
        <v>44044</v>
      </c>
      <c r="AH219" s="5">
        <v>44044</v>
      </c>
      <c r="AK219" s="5">
        <v>43678.333333333336</v>
      </c>
      <c r="AL219" s="5">
        <v>43679.666666666664</v>
      </c>
      <c r="AP219" t="s">
        <v>418</v>
      </c>
      <c r="AU219" t="s">
        <v>1586</v>
      </c>
      <c r="AY219" t="s">
        <v>40</v>
      </c>
      <c r="AZ219">
        <v>0</v>
      </c>
      <c r="BA219">
        <v>0</v>
      </c>
      <c r="BI219" s="5">
        <v>44048.176388888889</v>
      </c>
      <c r="BJ219" s="5">
        <v>44048.176388888889</v>
      </c>
      <c r="BK219" t="s">
        <v>778</v>
      </c>
      <c r="BL219" t="s">
        <v>778</v>
      </c>
      <c r="BN219" t="s">
        <v>37</v>
      </c>
    </row>
    <row r="220" spans="1:66" x14ac:dyDescent="0.2">
      <c r="A220">
        <v>3692777</v>
      </c>
      <c r="B220">
        <v>21883</v>
      </c>
      <c r="C220">
        <v>523937</v>
      </c>
      <c r="D220">
        <v>52895</v>
      </c>
      <c r="E220">
        <v>100</v>
      </c>
      <c r="F220" t="s">
        <v>37</v>
      </c>
      <c r="G220">
        <v>1</v>
      </c>
      <c r="H220" t="s">
        <v>37</v>
      </c>
      <c r="I220" t="s">
        <v>37</v>
      </c>
      <c r="J220" t="s">
        <v>775</v>
      </c>
      <c r="K220" t="s">
        <v>230</v>
      </c>
      <c r="L220" t="s">
        <v>226</v>
      </c>
      <c r="M220" t="s">
        <v>422</v>
      </c>
      <c r="N220" t="s">
        <v>1967</v>
      </c>
      <c r="O220" t="s">
        <v>1968</v>
      </c>
      <c r="S220">
        <v>0</v>
      </c>
      <c r="T220">
        <v>0</v>
      </c>
      <c r="U220">
        <v>0</v>
      </c>
      <c r="V220">
        <v>0</v>
      </c>
      <c r="W220">
        <v>208</v>
      </c>
      <c r="X220">
        <v>0</v>
      </c>
      <c r="Y220">
        <v>0</v>
      </c>
      <c r="Z220">
        <v>0</v>
      </c>
      <c r="AB220" s="5">
        <v>43601</v>
      </c>
      <c r="AC220" s="5">
        <v>43647</v>
      </c>
      <c r="AD220" s="5">
        <v>43970.333333333336</v>
      </c>
      <c r="AE220" s="5">
        <v>43970.333333333336</v>
      </c>
      <c r="AG220" s="5">
        <v>44044</v>
      </c>
      <c r="AH220" s="5">
        <v>44044</v>
      </c>
      <c r="AK220" s="5">
        <v>43617.333333333336</v>
      </c>
      <c r="AL220" s="5">
        <v>43642.666666666664</v>
      </c>
      <c r="AP220" t="s">
        <v>418</v>
      </c>
      <c r="AU220" t="s">
        <v>1969</v>
      </c>
      <c r="AY220" t="s">
        <v>40</v>
      </c>
      <c r="AZ220">
        <v>0</v>
      </c>
      <c r="BA220">
        <v>0</v>
      </c>
      <c r="BI220" s="5">
        <v>44048.176388888889</v>
      </c>
      <c r="BJ220" s="5">
        <v>44048.176388888889</v>
      </c>
      <c r="BK220" t="s">
        <v>778</v>
      </c>
      <c r="BL220" t="s">
        <v>778</v>
      </c>
      <c r="BN220" t="s">
        <v>37</v>
      </c>
    </row>
    <row r="221" spans="1:66" x14ac:dyDescent="0.2">
      <c r="A221">
        <v>3692778</v>
      </c>
      <c r="B221">
        <v>21883</v>
      </c>
      <c r="C221">
        <v>523999</v>
      </c>
      <c r="D221">
        <v>15320</v>
      </c>
      <c r="E221">
        <v>100</v>
      </c>
      <c r="F221" t="s">
        <v>37</v>
      </c>
      <c r="G221">
        <v>1</v>
      </c>
      <c r="H221" t="s">
        <v>37</v>
      </c>
      <c r="I221" t="s">
        <v>37</v>
      </c>
      <c r="J221" t="s">
        <v>775</v>
      </c>
      <c r="K221" t="s">
        <v>230</v>
      </c>
      <c r="L221" t="s">
        <v>226</v>
      </c>
      <c r="M221" t="s">
        <v>422</v>
      </c>
      <c r="N221" t="s">
        <v>1970</v>
      </c>
      <c r="O221" t="s">
        <v>1971</v>
      </c>
      <c r="S221">
        <v>0</v>
      </c>
      <c r="T221">
        <v>0</v>
      </c>
      <c r="U221">
        <v>0</v>
      </c>
      <c r="V221">
        <v>0</v>
      </c>
      <c r="W221">
        <v>40</v>
      </c>
      <c r="X221">
        <v>0</v>
      </c>
      <c r="Y221">
        <v>0</v>
      </c>
      <c r="Z221">
        <v>0</v>
      </c>
      <c r="AB221" s="5">
        <v>43677</v>
      </c>
      <c r="AC221" s="5">
        <v>43677</v>
      </c>
      <c r="AD221" s="5">
        <v>44306.666666666664</v>
      </c>
      <c r="AE221" s="5">
        <v>44306.666666666664</v>
      </c>
      <c r="AG221" s="5">
        <v>44044</v>
      </c>
      <c r="AH221" s="5">
        <v>44044</v>
      </c>
      <c r="AK221" s="5">
        <v>43678.333333333336</v>
      </c>
      <c r="AL221" s="5">
        <v>43685.666666666664</v>
      </c>
      <c r="AP221" t="s">
        <v>418</v>
      </c>
      <c r="AU221" t="s">
        <v>1972</v>
      </c>
      <c r="AV221" t="s">
        <v>1973</v>
      </c>
      <c r="AY221" t="s">
        <v>37</v>
      </c>
      <c r="AZ221">
        <v>0</v>
      </c>
      <c r="BA221">
        <v>0</v>
      </c>
      <c r="BI221" s="5">
        <v>44048.176388888889</v>
      </c>
      <c r="BJ221" s="5">
        <v>44048.176388888889</v>
      </c>
      <c r="BK221" t="s">
        <v>778</v>
      </c>
      <c r="BL221" t="s">
        <v>778</v>
      </c>
      <c r="BN221" t="s">
        <v>37</v>
      </c>
    </row>
    <row r="222" spans="1:66" x14ac:dyDescent="0.2">
      <c r="A222">
        <v>3692779</v>
      </c>
      <c r="B222">
        <v>21883</v>
      </c>
      <c r="C222">
        <v>523999</v>
      </c>
      <c r="D222">
        <v>15320</v>
      </c>
      <c r="E222">
        <v>100</v>
      </c>
      <c r="F222" t="s">
        <v>37</v>
      </c>
      <c r="G222">
        <v>1</v>
      </c>
      <c r="H222" t="s">
        <v>37</v>
      </c>
      <c r="I222" t="s">
        <v>37</v>
      </c>
      <c r="J222" t="s">
        <v>775</v>
      </c>
      <c r="K222" t="s">
        <v>230</v>
      </c>
      <c r="L222" t="s">
        <v>226</v>
      </c>
      <c r="M222" t="s">
        <v>422</v>
      </c>
      <c r="N222" t="s">
        <v>1974</v>
      </c>
      <c r="O222" t="s">
        <v>1975</v>
      </c>
      <c r="S222">
        <v>0</v>
      </c>
      <c r="T222">
        <v>0</v>
      </c>
      <c r="U222">
        <v>0</v>
      </c>
      <c r="V222">
        <v>0</v>
      </c>
      <c r="W222">
        <v>80</v>
      </c>
      <c r="X222">
        <v>0</v>
      </c>
      <c r="Y222">
        <v>0</v>
      </c>
      <c r="Z222">
        <v>0</v>
      </c>
      <c r="AB222" s="5">
        <v>43677</v>
      </c>
      <c r="AC222" s="5">
        <v>43677</v>
      </c>
      <c r="AD222" s="5">
        <v>44306.666666666664</v>
      </c>
      <c r="AE222" s="5">
        <v>44306.666666666664</v>
      </c>
      <c r="AG222" s="5">
        <v>44044</v>
      </c>
      <c r="AH222" s="5">
        <v>44044</v>
      </c>
      <c r="AK222" s="5">
        <v>43678.333333333336</v>
      </c>
      <c r="AL222" s="5">
        <v>43693.666666666664</v>
      </c>
      <c r="AP222" t="s">
        <v>418</v>
      </c>
      <c r="AU222" t="s">
        <v>1976</v>
      </c>
      <c r="AV222" t="s">
        <v>1977</v>
      </c>
      <c r="AY222" t="s">
        <v>37</v>
      </c>
      <c r="AZ222">
        <v>0</v>
      </c>
      <c r="BA222">
        <v>0</v>
      </c>
      <c r="BI222" s="5">
        <v>44048.176388888889</v>
      </c>
      <c r="BJ222" s="5">
        <v>44048.176388888889</v>
      </c>
      <c r="BK222" t="s">
        <v>778</v>
      </c>
      <c r="BL222" t="s">
        <v>778</v>
      </c>
      <c r="BN222" t="s">
        <v>37</v>
      </c>
    </row>
    <row r="223" spans="1:66" x14ac:dyDescent="0.2">
      <c r="A223">
        <v>3692780</v>
      </c>
      <c r="B223">
        <v>21883</v>
      </c>
      <c r="C223">
        <v>523999</v>
      </c>
      <c r="D223">
        <v>15320</v>
      </c>
      <c r="E223">
        <v>100</v>
      </c>
      <c r="F223" t="s">
        <v>37</v>
      </c>
      <c r="G223">
        <v>1</v>
      </c>
      <c r="H223" t="s">
        <v>37</v>
      </c>
      <c r="I223" t="s">
        <v>37</v>
      </c>
      <c r="J223" t="s">
        <v>775</v>
      </c>
      <c r="K223" t="s">
        <v>230</v>
      </c>
      <c r="L223" t="s">
        <v>226</v>
      </c>
      <c r="M223" t="s">
        <v>422</v>
      </c>
      <c r="N223" t="s">
        <v>1978</v>
      </c>
      <c r="O223" t="s">
        <v>1979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B223" s="5">
        <v>43677</v>
      </c>
      <c r="AC223" s="5">
        <v>43677</v>
      </c>
      <c r="AD223" s="5">
        <v>44306.666666666664</v>
      </c>
      <c r="AE223" s="5">
        <v>44306.666666666664</v>
      </c>
      <c r="AG223" s="5">
        <v>44044</v>
      </c>
      <c r="AH223" s="5">
        <v>44044</v>
      </c>
      <c r="AK223" s="5">
        <v>43678.333333333336</v>
      </c>
      <c r="AL223" s="5">
        <v>43678.333333333336</v>
      </c>
      <c r="AP223" t="s">
        <v>418</v>
      </c>
      <c r="AU223" t="s">
        <v>1980</v>
      </c>
      <c r="AV223" t="s">
        <v>1981</v>
      </c>
      <c r="AY223" t="s">
        <v>37</v>
      </c>
      <c r="AZ223">
        <v>0</v>
      </c>
      <c r="BA223">
        <v>0</v>
      </c>
      <c r="BI223" s="5">
        <v>44048.176388888889</v>
      </c>
      <c r="BJ223" s="5">
        <v>44048.176388888889</v>
      </c>
      <c r="BK223" t="s">
        <v>778</v>
      </c>
      <c r="BL223" t="s">
        <v>778</v>
      </c>
      <c r="BN223" t="s">
        <v>37</v>
      </c>
    </row>
    <row r="224" spans="1:66" x14ac:dyDescent="0.2">
      <c r="A224">
        <v>3692781</v>
      </c>
      <c r="B224">
        <v>21883</v>
      </c>
      <c r="C224">
        <v>523851</v>
      </c>
      <c r="D224">
        <v>15320</v>
      </c>
      <c r="E224">
        <v>100</v>
      </c>
      <c r="F224" t="s">
        <v>37</v>
      </c>
      <c r="G224">
        <v>1</v>
      </c>
      <c r="H224" t="s">
        <v>37</v>
      </c>
      <c r="I224" t="s">
        <v>37</v>
      </c>
      <c r="J224" t="s">
        <v>775</v>
      </c>
      <c r="K224" t="s">
        <v>230</v>
      </c>
      <c r="L224" t="s">
        <v>226</v>
      </c>
      <c r="M224" t="s">
        <v>422</v>
      </c>
      <c r="N224" t="s">
        <v>1982</v>
      </c>
      <c r="O224" t="s">
        <v>1983</v>
      </c>
      <c r="S224">
        <v>0</v>
      </c>
      <c r="T224">
        <v>0</v>
      </c>
      <c r="U224">
        <v>0</v>
      </c>
      <c r="V224">
        <v>0</v>
      </c>
      <c r="W224">
        <v>24</v>
      </c>
      <c r="X224">
        <v>0</v>
      </c>
      <c r="Y224">
        <v>0</v>
      </c>
      <c r="Z224">
        <v>0</v>
      </c>
      <c r="AB224" s="5">
        <v>44026</v>
      </c>
      <c r="AC224" s="5">
        <v>44030</v>
      </c>
      <c r="AD224" s="5">
        <v>43983.333333333336</v>
      </c>
      <c r="AE224" s="5">
        <v>43983.333333333336</v>
      </c>
      <c r="AG224" s="5">
        <v>44044</v>
      </c>
      <c r="AH224" s="5">
        <v>44044</v>
      </c>
      <c r="AK224" s="5">
        <v>44032.333333333336</v>
      </c>
      <c r="AL224" s="5">
        <v>44035.666666666664</v>
      </c>
      <c r="AP224" t="s">
        <v>418</v>
      </c>
      <c r="AU224" t="s">
        <v>1973</v>
      </c>
      <c r="AV224" t="s">
        <v>1984</v>
      </c>
      <c r="AY224" t="s">
        <v>37</v>
      </c>
      <c r="AZ224">
        <v>0</v>
      </c>
      <c r="BA224">
        <v>0</v>
      </c>
      <c r="BI224" s="5">
        <v>44048.176388888889</v>
      </c>
      <c r="BJ224" s="5">
        <v>44048.176388888889</v>
      </c>
      <c r="BK224" t="s">
        <v>778</v>
      </c>
      <c r="BL224" t="s">
        <v>778</v>
      </c>
      <c r="BN224" t="s">
        <v>37</v>
      </c>
    </row>
    <row r="225" spans="1:66" x14ac:dyDescent="0.2">
      <c r="A225">
        <v>3692782</v>
      </c>
      <c r="B225">
        <v>21883</v>
      </c>
      <c r="C225">
        <v>523999</v>
      </c>
      <c r="D225">
        <v>15320</v>
      </c>
      <c r="E225">
        <v>100</v>
      </c>
      <c r="F225" t="s">
        <v>37</v>
      </c>
      <c r="G225">
        <v>1</v>
      </c>
      <c r="H225" t="s">
        <v>37</v>
      </c>
      <c r="I225" t="s">
        <v>37</v>
      </c>
      <c r="J225" t="s">
        <v>775</v>
      </c>
      <c r="K225" t="s">
        <v>230</v>
      </c>
      <c r="L225" t="s">
        <v>226</v>
      </c>
      <c r="M225" t="s">
        <v>422</v>
      </c>
      <c r="N225" t="s">
        <v>1985</v>
      </c>
      <c r="O225" t="s">
        <v>1986</v>
      </c>
      <c r="S225">
        <v>0</v>
      </c>
      <c r="T225">
        <v>0</v>
      </c>
      <c r="U225">
        <v>0</v>
      </c>
      <c r="V225">
        <v>0</v>
      </c>
      <c r="W225">
        <v>80</v>
      </c>
      <c r="X225">
        <v>0</v>
      </c>
      <c r="Y225">
        <v>0</v>
      </c>
      <c r="Z225">
        <v>0</v>
      </c>
      <c r="AB225" s="5">
        <v>43677</v>
      </c>
      <c r="AC225" s="5">
        <v>43677</v>
      </c>
      <c r="AD225" s="5">
        <v>44306.666666666664</v>
      </c>
      <c r="AE225" s="5">
        <v>44306.666666666664</v>
      </c>
      <c r="AG225" s="5">
        <v>44044</v>
      </c>
      <c r="AH225" s="5">
        <v>44044</v>
      </c>
      <c r="AK225" s="5">
        <v>43745.333333333336</v>
      </c>
      <c r="AL225" s="5">
        <v>43756.666666666664</v>
      </c>
      <c r="AP225" t="s">
        <v>418</v>
      </c>
      <c r="AU225" t="s">
        <v>1977</v>
      </c>
      <c r="AV225" t="s">
        <v>1987</v>
      </c>
      <c r="AY225" t="s">
        <v>37</v>
      </c>
      <c r="AZ225">
        <v>0</v>
      </c>
      <c r="BA225">
        <v>0</v>
      </c>
      <c r="BI225" s="5">
        <v>44048.176388888889</v>
      </c>
      <c r="BJ225" s="5">
        <v>44048.176388888889</v>
      </c>
      <c r="BK225" t="s">
        <v>778</v>
      </c>
      <c r="BL225" t="s">
        <v>778</v>
      </c>
      <c r="BN225" t="s">
        <v>37</v>
      </c>
    </row>
    <row r="226" spans="1:66" x14ac:dyDescent="0.2">
      <c r="A226">
        <v>3692783</v>
      </c>
      <c r="B226">
        <v>21883</v>
      </c>
      <c r="C226">
        <v>523869</v>
      </c>
      <c r="D226">
        <v>15320</v>
      </c>
      <c r="E226">
        <v>100</v>
      </c>
      <c r="F226" t="s">
        <v>37</v>
      </c>
      <c r="G226">
        <v>1</v>
      </c>
      <c r="H226" t="s">
        <v>37</v>
      </c>
      <c r="I226" t="s">
        <v>37</v>
      </c>
      <c r="J226" t="s">
        <v>775</v>
      </c>
      <c r="K226" t="s">
        <v>230</v>
      </c>
      <c r="L226" t="s">
        <v>226</v>
      </c>
      <c r="M226" t="s">
        <v>422</v>
      </c>
      <c r="N226" t="s">
        <v>1988</v>
      </c>
      <c r="O226" t="s">
        <v>1989</v>
      </c>
      <c r="S226">
        <v>0</v>
      </c>
      <c r="T226">
        <v>0</v>
      </c>
      <c r="U226">
        <v>0</v>
      </c>
      <c r="V226">
        <v>0</v>
      </c>
      <c r="W226">
        <v>56</v>
      </c>
      <c r="X226">
        <v>0</v>
      </c>
      <c r="Y226">
        <v>0</v>
      </c>
      <c r="Z226">
        <v>0</v>
      </c>
      <c r="AB226" s="5">
        <v>43756</v>
      </c>
      <c r="AC226" s="5">
        <v>43774</v>
      </c>
      <c r="AD226" s="5">
        <v>43970.333333333336</v>
      </c>
      <c r="AE226" s="5">
        <v>43970.333333333336</v>
      </c>
      <c r="AG226" s="5">
        <v>44044</v>
      </c>
      <c r="AH226" s="5">
        <v>44044</v>
      </c>
      <c r="AK226" s="5">
        <v>43770.333333333336</v>
      </c>
      <c r="AL226" s="5">
        <v>43783.666666666664</v>
      </c>
      <c r="AP226" t="s">
        <v>418</v>
      </c>
      <c r="AU226" t="s">
        <v>1981</v>
      </c>
      <c r="AV226" t="s">
        <v>1990</v>
      </c>
      <c r="AY226" t="s">
        <v>40</v>
      </c>
      <c r="AZ226">
        <v>0</v>
      </c>
      <c r="BA226">
        <v>0</v>
      </c>
      <c r="BI226" s="5">
        <v>44048.176388888889</v>
      </c>
      <c r="BJ226" s="5">
        <v>44048.176388888889</v>
      </c>
      <c r="BK226" t="s">
        <v>778</v>
      </c>
      <c r="BL226" t="s">
        <v>778</v>
      </c>
      <c r="BN226" t="s">
        <v>37</v>
      </c>
    </row>
    <row r="227" spans="1:66" x14ac:dyDescent="0.2">
      <c r="A227">
        <v>3692784</v>
      </c>
      <c r="B227">
        <v>21883</v>
      </c>
      <c r="C227">
        <v>523852</v>
      </c>
      <c r="D227">
        <v>15320</v>
      </c>
      <c r="E227">
        <v>100</v>
      </c>
      <c r="F227" t="s">
        <v>37</v>
      </c>
      <c r="G227">
        <v>1</v>
      </c>
      <c r="H227" t="s">
        <v>37</v>
      </c>
      <c r="I227" t="s">
        <v>37</v>
      </c>
      <c r="J227" t="s">
        <v>775</v>
      </c>
      <c r="K227" t="s">
        <v>230</v>
      </c>
      <c r="L227" t="s">
        <v>226</v>
      </c>
      <c r="M227" t="s">
        <v>422</v>
      </c>
      <c r="N227" t="s">
        <v>1991</v>
      </c>
      <c r="O227" t="s">
        <v>1992</v>
      </c>
      <c r="S227">
        <v>0</v>
      </c>
      <c r="T227">
        <v>0</v>
      </c>
      <c r="U227">
        <v>0</v>
      </c>
      <c r="V227">
        <v>0</v>
      </c>
      <c r="W227">
        <v>24</v>
      </c>
      <c r="X227">
        <v>0</v>
      </c>
      <c r="Y227">
        <v>0</v>
      </c>
      <c r="Z227">
        <v>0</v>
      </c>
      <c r="AB227" s="5">
        <v>43999</v>
      </c>
      <c r="AC227" s="5">
        <v>44008</v>
      </c>
      <c r="AD227" s="5">
        <v>43983.333333333336</v>
      </c>
      <c r="AE227" s="5">
        <v>43983.333333333336</v>
      </c>
      <c r="AG227" s="5">
        <v>44044</v>
      </c>
      <c r="AH227" s="5">
        <v>44044</v>
      </c>
      <c r="AK227" s="5">
        <v>44011.333333333336</v>
      </c>
      <c r="AL227" s="5">
        <v>44013.666666666664</v>
      </c>
      <c r="AP227" t="s">
        <v>418</v>
      </c>
      <c r="AU227" t="s">
        <v>1984</v>
      </c>
      <c r="AY227" t="s">
        <v>37</v>
      </c>
      <c r="AZ227">
        <v>0</v>
      </c>
      <c r="BA227">
        <v>0</v>
      </c>
      <c r="BI227" s="5">
        <v>44048.176388888889</v>
      </c>
      <c r="BJ227" s="5">
        <v>44048.176388888889</v>
      </c>
      <c r="BK227" t="s">
        <v>778</v>
      </c>
      <c r="BL227" t="s">
        <v>778</v>
      </c>
      <c r="BN227" t="s">
        <v>37</v>
      </c>
    </row>
    <row r="228" spans="1:66" x14ac:dyDescent="0.2">
      <c r="A228">
        <v>3692785</v>
      </c>
      <c r="B228">
        <v>21883</v>
      </c>
      <c r="C228">
        <v>523999</v>
      </c>
      <c r="D228">
        <v>15320</v>
      </c>
      <c r="E228">
        <v>100</v>
      </c>
      <c r="F228" t="s">
        <v>37</v>
      </c>
      <c r="G228">
        <v>1</v>
      </c>
      <c r="H228" t="s">
        <v>37</v>
      </c>
      <c r="I228" t="s">
        <v>37</v>
      </c>
      <c r="J228" t="s">
        <v>775</v>
      </c>
      <c r="K228" t="s">
        <v>230</v>
      </c>
      <c r="L228" t="s">
        <v>226</v>
      </c>
      <c r="M228" t="s">
        <v>422</v>
      </c>
      <c r="N228" t="s">
        <v>1993</v>
      </c>
      <c r="O228" t="s">
        <v>1994</v>
      </c>
      <c r="S228">
        <v>0</v>
      </c>
      <c r="T228">
        <v>0</v>
      </c>
      <c r="U228">
        <v>0</v>
      </c>
      <c r="V228">
        <v>0</v>
      </c>
      <c r="W228">
        <v>80</v>
      </c>
      <c r="X228">
        <v>0</v>
      </c>
      <c r="Y228">
        <v>0</v>
      </c>
      <c r="Z228">
        <v>0</v>
      </c>
      <c r="AB228" s="5">
        <v>43677</v>
      </c>
      <c r="AC228" s="5">
        <v>43677</v>
      </c>
      <c r="AD228" s="5">
        <v>44306.666666666664</v>
      </c>
      <c r="AE228" s="5">
        <v>44306.666666666664</v>
      </c>
      <c r="AG228" s="5">
        <v>44044</v>
      </c>
      <c r="AH228" s="5">
        <v>44044</v>
      </c>
      <c r="AK228" s="5">
        <v>43713.333333333336</v>
      </c>
      <c r="AL228" s="5">
        <v>43727.666666666664</v>
      </c>
      <c r="AP228" t="s">
        <v>418</v>
      </c>
      <c r="AU228" t="s">
        <v>1987</v>
      </c>
      <c r="AY228" t="s">
        <v>37</v>
      </c>
      <c r="AZ228">
        <v>0</v>
      </c>
      <c r="BA228">
        <v>0</v>
      </c>
      <c r="BI228" s="5">
        <v>44048.176388888889</v>
      </c>
      <c r="BJ228" s="5">
        <v>44048.176388888889</v>
      </c>
      <c r="BK228" t="s">
        <v>778</v>
      </c>
      <c r="BL228" t="s">
        <v>778</v>
      </c>
      <c r="BN228" t="s">
        <v>37</v>
      </c>
    </row>
    <row r="229" spans="1:66" x14ac:dyDescent="0.2">
      <c r="A229">
        <v>3692786</v>
      </c>
      <c r="B229">
        <v>21883</v>
      </c>
      <c r="C229">
        <v>523870</v>
      </c>
      <c r="D229">
        <v>15320</v>
      </c>
      <c r="E229">
        <v>100</v>
      </c>
      <c r="F229" t="s">
        <v>37</v>
      </c>
      <c r="G229">
        <v>1</v>
      </c>
      <c r="H229" t="s">
        <v>37</v>
      </c>
      <c r="I229" t="s">
        <v>37</v>
      </c>
      <c r="J229" t="s">
        <v>775</v>
      </c>
      <c r="K229" t="s">
        <v>230</v>
      </c>
      <c r="L229" t="s">
        <v>226</v>
      </c>
      <c r="M229" t="s">
        <v>422</v>
      </c>
      <c r="N229" t="s">
        <v>1995</v>
      </c>
      <c r="O229" t="s">
        <v>1996</v>
      </c>
      <c r="S229">
        <v>0</v>
      </c>
      <c r="T229">
        <v>0</v>
      </c>
      <c r="U229">
        <v>0</v>
      </c>
      <c r="V229">
        <v>0</v>
      </c>
      <c r="W229">
        <v>40</v>
      </c>
      <c r="X229">
        <v>0</v>
      </c>
      <c r="Y229">
        <v>0</v>
      </c>
      <c r="Z229">
        <v>0</v>
      </c>
      <c r="AB229" s="5">
        <v>43706</v>
      </c>
      <c r="AC229" s="5">
        <v>43720</v>
      </c>
      <c r="AD229" s="5">
        <v>43970.333333333336</v>
      </c>
      <c r="AE229" s="5">
        <v>43970.333333333336</v>
      </c>
      <c r="AG229" s="5">
        <v>44044</v>
      </c>
      <c r="AH229" s="5">
        <v>44044</v>
      </c>
      <c r="AK229" s="5">
        <v>43711.333333333336</v>
      </c>
      <c r="AL229" s="5">
        <v>43717.666666666664</v>
      </c>
      <c r="AP229" t="s">
        <v>418</v>
      </c>
      <c r="AU229" t="s">
        <v>1990</v>
      </c>
      <c r="AY229" t="s">
        <v>40</v>
      </c>
      <c r="AZ229">
        <v>0</v>
      </c>
      <c r="BA229">
        <v>0</v>
      </c>
      <c r="BI229" s="5">
        <v>44048.176388888889</v>
      </c>
      <c r="BJ229" s="5">
        <v>44048.176388888889</v>
      </c>
      <c r="BK229" t="s">
        <v>778</v>
      </c>
      <c r="BL229" t="s">
        <v>778</v>
      </c>
      <c r="BN229" t="s">
        <v>37</v>
      </c>
    </row>
    <row r="230" spans="1:66" x14ac:dyDescent="0.2">
      <c r="A230">
        <v>3692787</v>
      </c>
      <c r="B230">
        <v>21883</v>
      </c>
      <c r="C230">
        <v>523995</v>
      </c>
      <c r="D230">
        <v>15320</v>
      </c>
      <c r="E230">
        <v>0</v>
      </c>
      <c r="F230" t="s">
        <v>37</v>
      </c>
      <c r="G230">
        <v>1</v>
      </c>
      <c r="H230" t="s">
        <v>37</v>
      </c>
      <c r="I230" t="s">
        <v>37</v>
      </c>
      <c r="J230" t="s">
        <v>775</v>
      </c>
      <c r="K230" t="s">
        <v>423</v>
      </c>
      <c r="L230" t="s">
        <v>420</v>
      </c>
      <c r="M230" t="s">
        <v>417</v>
      </c>
      <c r="N230" t="s">
        <v>1997</v>
      </c>
      <c r="O230" t="s">
        <v>1998</v>
      </c>
      <c r="Q230">
        <v>-448</v>
      </c>
      <c r="R230">
        <v>16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D230" s="5">
        <v>44159.666666666664</v>
      </c>
      <c r="AE230" s="5">
        <v>44159.666666666664</v>
      </c>
      <c r="AG230" s="5">
        <v>44258.666666666664</v>
      </c>
      <c r="AH230" s="5">
        <v>44258.666666666664</v>
      </c>
      <c r="AI230" s="5">
        <v>44258.666666666664</v>
      </c>
      <c r="AJ230" s="5">
        <v>44258.666666666664</v>
      </c>
      <c r="AK230" s="5">
        <v>44258.666666666664</v>
      </c>
      <c r="AL230" s="5">
        <v>44258.666666666664</v>
      </c>
      <c r="AM230" s="5">
        <v>44159.666666666664</v>
      </c>
      <c r="AN230" s="5">
        <v>44159.666666666664</v>
      </c>
      <c r="AP230" t="s">
        <v>418</v>
      </c>
      <c r="AU230" t="s">
        <v>1999</v>
      </c>
      <c r="AY230" t="s">
        <v>40</v>
      </c>
      <c r="AZ230">
        <v>0</v>
      </c>
      <c r="BA230">
        <v>0</v>
      </c>
      <c r="BI230" s="5">
        <v>44048.176388888889</v>
      </c>
      <c r="BJ230" s="5">
        <v>44048.176388888889</v>
      </c>
      <c r="BK230" t="s">
        <v>778</v>
      </c>
      <c r="BL230" t="s">
        <v>778</v>
      </c>
      <c r="BN230" t="s">
        <v>37</v>
      </c>
    </row>
    <row r="231" spans="1:66" x14ac:dyDescent="0.2">
      <c r="A231">
        <v>3692788</v>
      </c>
      <c r="B231">
        <v>21883</v>
      </c>
      <c r="C231">
        <v>523995</v>
      </c>
      <c r="D231">
        <v>15320</v>
      </c>
      <c r="E231">
        <v>0</v>
      </c>
      <c r="F231" t="s">
        <v>37</v>
      </c>
      <c r="G231">
        <v>1</v>
      </c>
      <c r="H231" t="s">
        <v>37</v>
      </c>
      <c r="I231" t="s">
        <v>37</v>
      </c>
      <c r="J231" t="s">
        <v>775</v>
      </c>
      <c r="K231" t="s">
        <v>423</v>
      </c>
      <c r="L231" t="s">
        <v>420</v>
      </c>
      <c r="M231" t="s">
        <v>417</v>
      </c>
      <c r="N231" t="s">
        <v>2000</v>
      </c>
      <c r="O231" t="s">
        <v>2001</v>
      </c>
      <c r="Q231">
        <v>-328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D231" s="5">
        <v>44113.666666666664</v>
      </c>
      <c r="AE231" s="5">
        <v>44113.666666666664</v>
      </c>
      <c r="AG231" s="5">
        <v>44183.333333333336</v>
      </c>
      <c r="AH231" s="5">
        <v>44183.333333333336</v>
      </c>
      <c r="AI231" s="5">
        <v>44183.333333333336</v>
      </c>
      <c r="AJ231" s="5">
        <v>44183.333333333336</v>
      </c>
      <c r="AK231" s="5">
        <v>44183.333333333336</v>
      </c>
      <c r="AL231" s="5">
        <v>44183.333333333336</v>
      </c>
      <c r="AM231" s="5">
        <v>44113.666666666664</v>
      </c>
      <c r="AN231" s="5">
        <v>44113.666666666664</v>
      </c>
      <c r="AP231" t="s">
        <v>418</v>
      </c>
      <c r="AU231" t="s">
        <v>2002</v>
      </c>
      <c r="AY231" t="s">
        <v>40</v>
      </c>
      <c r="AZ231">
        <v>0</v>
      </c>
      <c r="BA231">
        <v>0</v>
      </c>
      <c r="BI231" s="5">
        <v>44048.176388888889</v>
      </c>
      <c r="BJ231" s="5">
        <v>44048.176388888889</v>
      </c>
      <c r="BK231" t="s">
        <v>778</v>
      </c>
      <c r="BL231" t="s">
        <v>778</v>
      </c>
      <c r="BN231" t="s">
        <v>37</v>
      </c>
    </row>
    <row r="232" spans="1:66" x14ac:dyDescent="0.2">
      <c r="A232">
        <v>3692789</v>
      </c>
      <c r="B232">
        <v>21883</v>
      </c>
      <c r="C232">
        <v>523978</v>
      </c>
      <c r="D232">
        <v>15320</v>
      </c>
      <c r="E232">
        <v>0</v>
      </c>
      <c r="F232" t="s">
        <v>37</v>
      </c>
      <c r="G232">
        <v>1</v>
      </c>
      <c r="H232" t="s">
        <v>37</v>
      </c>
      <c r="I232" t="s">
        <v>37</v>
      </c>
      <c r="J232" t="s">
        <v>775</v>
      </c>
      <c r="K232" t="s">
        <v>230</v>
      </c>
      <c r="L232" t="s">
        <v>226</v>
      </c>
      <c r="M232" t="s">
        <v>417</v>
      </c>
      <c r="N232" t="s">
        <v>2003</v>
      </c>
      <c r="O232" t="s">
        <v>2004</v>
      </c>
      <c r="Q232">
        <v>-328</v>
      </c>
      <c r="R232">
        <v>0</v>
      </c>
      <c r="S232">
        <v>8</v>
      </c>
      <c r="T232">
        <v>0</v>
      </c>
      <c r="U232">
        <v>0</v>
      </c>
      <c r="V232">
        <v>0</v>
      </c>
      <c r="W232">
        <v>8</v>
      </c>
      <c r="X232">
        <v>0</v>
      </c>
      <c r="Y232">
        <v>0</v>
      </c>
      <c r="Z232">
        <v>0</v>
      </c>
      <c r="AD232" s="5">
        <v>44116.333333333336</v>
      </c>
      <c r="AE232" s="5">
        <v>44116.666666666664</v>
      </c>
      <c r="AG232" s="5">
        <v>44183.333333333336</v>
      </c>
      <c r="AH232" s="5">
        <v>44183.666666666664</v>
      </c>
      <c r="AI232" s="5">
        <v>44183.333333333336</v>
      </c>
      <c r="AJ232" s="5">
        <v>44183.666666666664</v>
      </c>
      <c r="AK232" s="5">
        <v>44183.333333333336</v>
      </c>
      <c r="AL232" s="5">
        <v>44183.666666666664</v>
      </c>
      <c r="AM232" s="5">
        <v>44116.333333333336</v>
      </c>
      <c r="AN232" s="5">
        <v>44116.666666666664</v>
      </c>
      <c r="AP232" t="s">
        <v>418</v>
      </c>
      <c r="AU232" t="s">
        <v>2005</v>
      </c>
      <c r="AY232" t="s">
        <v>40</v>
      </c>
      <c r="AZ232">
        <v>0</v>
      </c>
      <c r="BA232">
        <v>0</v>
      </c>
      <c r="BI232" s="5">
        <v>44048.176388888889</v>
      </c>
      <c r="BJ232" s="5">
        <v>44048.176388888889</v>
      </c>
      <c r="BK232" t="s">
        <v>778</v>
      </c>
      <c r="BL232" t="s">
        <v>778</v>
      </c>
      <c r="BN232" t="s">
        <v>37</v>
      </c>
    </row>
    <row r="233" spans="1:66" x14ac:dyDescent="0.2">
      <c r="A233">
        <v>3692790</v>
      </c>
      <c r="B233">
        <v>21883</v>
      </c>
      <c r="C233">
        <v>523878</v>
      </c>
      <c r="D233">
        <v>52899</v>
      </c>
      <c r="E233">
        <v>100</v>
      </c>
      <c r="F233" t="s">
        <v>37</v>
      </c>
      <c r="G233">
        <v>1</v>
      </c>
      <c r="H233" t="s">
        <v>37</v>
      </c>
      <c r="I233" t="s">
        <v>37</v>
      </c>
      <c r="J233" t="s">
        <v>775</v>
      </c>
      <c r="K233" t="s">
        <v>230</v>
      </c>
      <c r="L233" t="s">
        <v>226</v>
      </c>
      <c r="M233" t="s">
        <v>422</v>
      </c>
      <c r="N233" t="s">
        <v>2006</v>
      </c>
      <c r="O233" t="s">
        <v>2007</v>
      </c>
      <c r="S233">
        <v>0</v>
      </c>
      <c r="T233">
        <v>0</v>
      </c>
      <c r="U233">
        <v>0</v>
      </c>
      <c r="V233">
        <v>0</v>
      </c>
      <c r="W233">
        <v>8</v>
      </c>
      <c r="X233">
        <v>0</v>
      </c>
      <c r="Y233">
        <v>0</v>
      </c>
      <c r="Z233">
        <v>0</v>
      </c>
      <c r="AB233" s="5">
        <v>43561</v>
      </c>
      <c r="AC233" s="5">
        <v>43561</v>
      </c>
      <c r="AD233" s="5">
        <v>43970.333333333336</v>
      </c>
      <c r="AE233" s="5">
        <v>43970.333333333336</v>
      </c>
      <c r="AG233" s="5">
        <v>44044</v>
      </c>
      <c r="AH233" s="5">
        <v>44044</v>
      </c>
      <c r="AK233" s="5">
        <v>43586.333333333336</v>
      </c>
      <c r="AL233" s="5">
        <v>43586.666666666664</v>
      </c>
      <c r="AP233" t="s">
        <v>418</v>
      </c>
      <c r="AU233" t="s">
        <v>2008</v>
      </c>
      <c r="AY233" t="s">
        <v>40</v>
      </c>
      <c r="AZ233">
        <v>0</v>
      </c>
      <c r="BA233">
        <v>0</v>
      </c>
      <c r="BI233" s="5">
        <v>44048.176388888889</v>
      </c>
      <c r="BJ233" s="5">
        <v>44048.176388888889</v>
      </c>
      <c r="BK233" t="s">
        <v>778</v>
      </c>
      <c r="BL233" t="s">
        <v>778</v>
      </c>
      <c r="BN233" t="s">
        <v>37</v>
      </c>
    </row>
    <row r="234" spans="1:66" x14ac:dyDescent="0.2">
      <c r="A234">
        <v>3692791</v>
      </c>
      <c r="B234">
        <v>21883</v>
      </c>
      <c r="C234">
        <v>523878</v>
      </c>
      <c r="D234">
        <v>52899</v>
      </c>
      <c r="E234">
        <v>100</v>
      </c>
      <c r="F234" t="s">
        <v>37</v>
      </c>
      <c r="G234">
        <v>1</v>
      </c>
      <c r="H234" t="s">
        <v>37</v>
      </c>
      <c r="I234" t="s">
        <v>37</v>
      </c>
      <c r="J234" t="s">
        <v>775</v>
      </c>
      <c r="K234" t="s">
        <v>230</v>
      </c>
      <c r="L234" t="s">
        <v>226</v>
      </c>
      <c r="M234" t="s">
        <v>422</v>
      </c>
      <c r="N234" t="s">
        <v>2009</v>
      </c>
      <c r="O234" t="s">
        <v>2010</v>
      </c>
      <c r="S234">
        <v>0</v>
      </c>
      <c r="T234">
        <v>0</v>
      </c>
      <c r="U234">
        <v>0</v>
      </c>
      <c r="V234">
        <v>0</v>
      </c>
      <c r="W234">
        <v>8</v>
      </c>
      <c r="X234">
        <v>0</v>
      </c>
      <c r="Y234">
        <v>0</v>
      </c>
      <c r="Z234">
        <v>0</v>
      </c>
      <c r="AB234" s="5">
        <v>43531</v>
      </c>
      <c r="AC234" s="5">
        <v>43531</v>
      </c>
      <c r="AD234" s="5">
        <v>43970.333333333336</v>
      </c>
      <c r="AE234" s="5">
        <v>43970.333333333336</v>
      </c>
      <c r="AG234" s="5">
        <v>44044</v>
      </c>
      <c r="AH234" s="5">
        <v>44044</v>
      </c>
      <c r="AK234" s="5">
        <v>43556.333333333336</v>
      </c>
      <c r="AL234" s="5">
        <v>43556.666666666664</v>
      </c>
      <c r="AP234" t="s">
        <v>418</v>
      </c>
      <c r="AU234" t="e" cm="1">
        <f t="array" ref="AU234">+XNI0FThSU2ZWGiaXzZ5/A</f>
        <v>#NAME?</v>
      </c>
      <c r="AY234" t="s">
        <v>40</v>
      </c>
      <c r="AZ234">
        <v>0</v>
      </c>
      <c r="BA234">
        <v>0</v>
      </c>
      <c r="BI234" s="5">
        <v>44048.176388888889</v>
      </c>
      <c r="BJ234" s="5">
        <v>44048.176388888889</v>
      </c>
      <c r="BK234" t="s">
        <v>778</v>
      </c>
      <c r="BL234" t="s">
        <v>778</v>
      </c>
      <c r="BN234" t="s">
        <v>37</v>
      </c>
    </row>
    <row r="235" spans="1:66" x14ac:dyDescent="0.2">
      <c r="A235">
        <v>3692792</v>
      </c>
      <c r="B235">
        <v>21883</v>
      </c>
      <c r="C235">
        <v>523879</v>
      </c>
      <c r="D235">
        <v>52899</v>
      </c>
      <c r="E235">
        <v>100</v>
      </c>
      <c r="F235" t="s">
        <v>37</v>
      </c>
      <c r="G235">
        <v>1</v>
      </c>
      <c r="H235" t="s">
        <v>37</v>
      </c>
      <c r="I235" t="s">
        <v>37</v>
      </c>
      <c r="J235" t="s">
        <v>775</v>
      </c>
      <c r="K235" t="s">
        <v>230</v>
      </c>
      <c r="L235" t="s">
        <v>226</v>
      </c>
      <c r="M235" t="s">
        <v>422</v>
      </c>
      <c r="N235" t="s">
        <v>2011</v>
      </c>
      <c r="O235" t="s">
        <v>2012</v>
      </c>
      <c r="S235">
        <v>0</v>
      </c>
      <c r="T235">
        <v>0</v>
      </c>
      <c r="U235">
        <v>0</v>
      </c>
      <c r="V235">
        <v>0</v>
      </c>
      <c r="W235">
        <v>8</v>
      </c>
      <c r="X235">
        <v>0</v>
      </c>
      <c r="Y235">
        <v>0</v>
      </c>
      <c r="Z235">
        <v>0</v>
      </c>
      <c r="AB235" s="5">
        <v>43546</v>
      </c>
      <c r="AC235" s="5">
        <v>43546</v>
      </c>
      <c r="AD235" s="5">
        <v>43970.333333333336</v>
      </c>
      <c r="AE235" s="5">
        <v>43970.333333333336</v>
      </c>
      <c r="AG235" s="5">
        <v>44044</v>
      </c>
      <c r="AH235" s="5">
        <v>44044</v>
      </c>
      <c r="AK235" s="5">
        <v>43559.333333333336</v>
      </c>
      <c r="AL235" s="5">
        <v>43559.666666666664</v>
      </c>
      <c r="AP235" t="s">
        <v>418</v>
      </c>
      <c r="AU235" t="s">
        <v>2013</v>
      </c>
      <c r="AY235" t="s">
        <v>40</v>
      </c>
      <c r="AZ235">
        <v>0</v>
      </c>
      <c r="BA235">
        <v>0</v>
      </c>
      <c r="BI235" s="5">
        <v>44048.176388888889</v>
      </c>
      <c r="BJ235" s="5">
        <v>44048.176388888889</v>
      </c>
      <c r="BK235" t="s">
        <v>778</v>
      </c>
      <c r="BL235" t="s">
        <v>778</v>
      </c>
      <c r="BN235" t="s">
        <v>37</v>
      </c>
    </row>
    <row r="236" spans="1:66" x14ac:dyDescent="0.2">
      <c r="A236">
        <v>3692793</v>
      </c>
      <c r="B236">
        <v>21883</v>
      </c>
      <c r="C236">
        <v>523880</v>
      </c>
      <c r="D236">
        <v>52899</v>
      </c>
      <c r="E236">
        <v>100</v>
      </c>
      <c r="F236" t="s">
        <v>37</v>
      </c>
      <c r="G236">
        <v>1</v>
      </c>
      <c r="H236" t="s">
        <v>37</v>
      </c>
      <c r="I236" t="s">
        <v>37</v>
      </c>
      <c r="J236" t="s">
        <v>775</v>
      </c>
      <c r="K236" t="s">
        <v>230</v>
      </c>
      <c r="L236" t="s">
        <v>226</v>
      </c>
      <c r="M236" t="s">
        <v>422</v>
      </c>
      <c r="N236" t="s">
        <v>2014</v>
      </c>
      <c r="O236" t="s">
        <v>2015</v>
      </c>
      <c r="S236">
        <v>0</v>
      </c>
      <c r="T236">
        <v>0</v>
      </c>
      <c r="U236">
        <v>0</v>
      </c>
      <c r="V236">
        <v>0</v>
      </c>
      <c r="W236">
        <v>8</v>
      </c>
      <c r="X236">
        <v>0</v>
      </c>
      <c r="Y236">
        <v>0</v>
      </c>
      <c r="Z236">
        <v>0</v>
      </c>
      <c r="AB236" s="5">
        <v>43559</v>
      </c>
      <c r="AC236" s="5">
        <v>43559</v>
      </c>
      <c r="AD236" s="5">
        <v>43970.333333333336</v>
      </c>
      <c r="AE236" s="5">
        <v>43970.333333333336</v>
      </c>
      <c r="AG236" s="5">
        <v>44044</v>
      </c>
      <c r="AH236" s="5">
        <v>44044</v>
      </c>
      <c r="AK236" s="5">
        <v>43586.333333333336</v>
      </c>
      <c r="AL236" s="5">
        <v>43586.666666666664</v>
      </c>
      <c r="AP236" t="s">
        <v>418</v>
      </c>
      <c r="AU236" t="s">
        <v>2016</v>
      </c>
      <c r="AY236" t="s">
        <v>40</v>
      </c>
      <c r="AZ236">
        <v>0</v>
      </c>
      <c r="BA236">
        <v>0</v>
      </c>
      <c r="BI236" s="5">
        <v>44048.176388888889</v>
      </c>
      <c r="BJ236" s="5">
        <v>44048.176388888889</v>
      </c>
      <c r="BK236" t="s">
        <v>778</v>
      </c>
      <c r="BL236" t="s">
        <v>778</v>
      </c>
      <c r="BN236" t="s">
        <v>37</v>
      </c>
    </row>
    <row r="237" spans="1:66" x14ac:dyDescent="0.2">
      <c r="A237">
        <v>3692794</v>
      </c>
      <c r="B237">
        <v>21883</v>
      </c>
      <c r="C237">
        <v>523881</v>
      </c>
      <c r="D237">
        <v>52899</v>
      </c>
      <c r="E237">
        <v>100</v>
      </c>
      <c r="F237" t="s">
        <v>37</v>
      </c>
      <c r="G237">
        <v>1</v>
      </c>
      <c r="H237" t="s">
        <v>37</v>
      </c>
      <c r="I237" t="s">
        <v>37</v>
      </c>
      <c r="J237" t="s">
        <v>775</v>
      </c>
      <c r="K237" t="s">
        <v>230</v>
      </c>
      <c r="L237" t="s">
        <v>226</v>
      </c>
      <c r="M237" t="s">
        <v>422</v>
      </c>
      <c r="N237" t="s">
        <v>2017</v>
      </c>
      <c r="O237" t="s">
        <v>2018</v>
      </c>
      <c r="S237">
        <v>0</v>
      </c>
      <c r="T237">
        <v>0</v>
      </c>
      <c r="U237">
        <v>0</v>
      </c>
      <c r="V237">
        <v>0</v>
      </c>
      <c r="W237">
        <v>8</v>
      </c>
      <c r="X237">
        <v>0</v>
      </c>
      <c r="Y237">
        <v>0</v>
      </c>
      <c r="Z237">
        <v>0</v>
      </c>
      <c r="AB237" s="5">
        <v>43543</v>
      </c>
      <c r="AC237" s="5">
        <v>43543</v>
      </c>
      <c r="AD237" s="5">
        <v>43970.333333333336</v>
      </c>
      <c r="AE237" s="5">
        <v>43970.333333333336</v>
      </c>
      <c r="AG237" s="5">
        <v>44044</v>
      </c>
      <c r="AH237" s="5">
        <v>44044</v>
      </c>
      <c r="AK237" s="5">
        <v>43563.333333333336</v>
      </c>
      <c r="AL237" s="5">
        <v>43563.666666666664</v>
      </c>
      <c r="AP237" t="s">
        <v>418</v>
      </c>
      <c r="AU237" t="s">
        <v>2019</v>
      </c>
      <c r="AY237" t="s">
        <v>40</v>
      </c>
      <c r="AZ237">
        <v>0</v>
      </c>
      <c r="BA237">
        <v>0</v>
      </c>
      <c r="BI237" s="5">
        <v>44048.176388888889</v>
      </c>
      <c r="BJ237" s="5">
        <v>44048.176388888889</v>
      </c>
      <c r="BK237" t="s">
        <v>778</v>
      </c>
      <c r="BL237" t="s">
        <v>778</v>
      </c>
      <c r="BN237" t="s">
        <v>37</v>
      </c>
    </row>
    <row r="238" spans="1:66" x14ac:dyDescent="0.2">
      <c r="A238">
        <v>3692795</v>
      </c>
      <c r="B238">
        <v>21883</v>
      </c>
      <c r="C238">
        <v>523882</v>
      </c>
      <c r="D238">
        <v>52899</v>
      </c>
      <c r="E238">
        <v>100</v>
      </c>
      <c r="F238" t="s">
        <v>37</v>
      </c>
      <c r="G238">
        <v>1</v>
      </c>
      <c r="H238" t="s">
        <v>37</v>
      </c>
      <c r="I238" t="s">
        <v>37</v>
      </c>
      <c r="J238" t="s">
        <v>775</v>
      </c>
      <c r="K238" t="s">
        <v>230</v>
      </c>
      <c r="L238" t="s">
        <v>226</v>
      </c>
      <c r="M238" t="s">
        <v>422</v>
      </c>
      <c r="N238" t="s">
        <v>2020</v>
      </c>
      <c r="O238" t="s">
        <v>2021</v>
      </c>
      <c r="S238">
        <v>0</v>
      </c>
      <c r="T238">
        <v>0</v>
      </c>
      <c r="U238">
        <v>0</v>
      </c>
      <c r="V238">
        <v>0</v>
      </c>
      <c r="W238">
        <v>8</v>
      </c>
      <c r="X238">
        <v>0</v>
      </c>
      <c r="Y238">
        <v>0</v>
      </c>
      <c r="Z238">
        <v>0</v>
      </c>
      <c r="AB238" s="5">
        <v>43543</v>
      </c>
      <c r="AC238" s="5">
        <v>43543</v>
      </c>
      <c r="AD238" s="5">
        <v>43970.333333333336</v>
      </c>
      <c r="AE238" s="5">
        <v>43970.333333333336</v>
      </c>
      <c r="AG238" s="5">
        <v>44044</v>
      </c>
      <c r="AH238" s="5">
        <v>44044</v>
      </c>
      <c r="AK238" s="5">
        <v>43563.333333333336</v>
      </c>
      <c r="AL238" s="5">
        <v>43563.666666666664</v>
      </c>
      <c r="AP238" t="s">
        <v>418</v>
      </c>
      <c r="AU238" t="s">
        <v>2022</v>
      </c>
      <c r="AY238" t="s">
        <v>40</v>
      </c>
      <c r="AZ238">
        <v>0</v>
      </c>
      <c r="BA238">
        <v>0</v>
      </c>
      <c r="BI238" s="5">
        <v>44048.176388888889</v>
      </c>
      <c r="BJ238" s="5">
        <v>44048.176388888889</v>
      </c>
      <c r="BK238" t="s">
        <v>778</v>
      </c>
      <c r="BL238" t="s">
        <v>778</v>
      </c>
      <c r="BN238" t="s">
        <v>37</v>
      </c>
    </row>
    <row r="239" spans="1:66" x14ac:dyDescent="0.2">
      <c r="A239">
        <v>3692796</v>
      </c>
      <c r="B239">
        <v>21883</v>
      </c>
      <c r="C239">
        <v>523883</v>
      </c>
      <c r="D239">
        <v>52899</v>
      </c>
      <c r="E239">
        <v>100</v>
      </c>
      <c r="F239" t="s">
        <v>37</v>
      </c>
      <c r="G239">
        <v>1</v>
      </c>
      <c r="H239" t="s">
        <v>37</v>
      </c>
      <c r="I239" t="s">
        <v>37</v>
      </c>
      <c r="J239" t="s">
        <v>775</v>
      </c>
      <c r="K239" t="s">
        <v>230</v>
      </c>
      <c r="L239" t="s">
        <v>226</v>
      </c>
      <c r="M239" t="s">
        <v>422</v>
      </c>
      <c r="N239" t="s">
        <v>2023</v>
      </c>
      <c r="O239" t="s">
        <v>2024</v>
      </c>
      <c r="S239">
        <v>0</v>
      </c>
      <c r="T239">
        <v>0</v>
      </c>
      <c r="U239">
        <v>0</v>
      </c>
      <c r="V239">
        <v>0</v>
      </c>
      <c r="W239">
        <v>8</v>
      </c>
      <c r="X239">
        <v>0</v>
      </c>
      <c r="Y239">
        <v>0</v>
      </c>
      <c r="Z239">
        <v>0</v>
      </c>
      <c r="AB239" s="5">
        <v>43543</v>
      </c>
      <c r="AC239" s="5">
        <v>43543</v>
      </c>
      <c r="AD239" s="5">
        <v>43970.333333333336</v>
      </c>
      <c r="AE239" s="5">
        <v>43970.333333333336</v>
      </c>
      <c r="AG239" s="5">
        <v>44044</v>
      </c>
      <c r="AH239" s="5">
        <v>44044</v>
      </c>
      <c r="AK239" s="5">
        <v>43586.333333333336</v>
      </c>
      <c r="AL239" s="5">
        <v>43586.666666666664</v>
      </c>
      <c r="AP239" t="s">
        <v>418</v>
      </c>
      <c r="AU239" t="s">
        <v>2025</v>
      </c>
      <c r="AY239" t="s">
        <v>40</v>
      </c>
      <c r="AZ239">
        <v>0</v>
      </c>
      <c r="BA239">
        <v>0</v>
      </c>
      <c r="BI239" s="5">
        <v>44048.176388888889</v>
      </c>
      <c r="BJ239" s="5">
        <v>44048.176388888889</v>
      </c>
      <c r="BK239" t="s">
        <v>778</v>
      </c>
      <c r="BL239" t="s">
        <v>778</v>
      </c>
      <c r="BN239" t="s">
        <v>37</v>
      </c>
    </row>
    <row r="240" spans="1:66" x14ac:dyDescent="0.2">
      <c r="A240">
        <v>3692797</v>
      </c>
      <c r="B240">
        <v>21883</v>
      </c>
      <c r="C240">
        <v>523884</v>
      </c>
      <c r="D240">
        <v>52899</v>
      </c>
      <c r="E240">
        <v>100</v>
      </c>
      <c r="F240" t="s">
        <v>37</v>
      </c>
      <c r="G240">
        <v>1</v>
      </c>
      <c r="H240" t="s">
        <v>37</v>
      </c>
      <c r="I240" t="s">
        <v>37</v>
      </c>
      <c r="J240" t="s">
        <v>775</v>
      </c>
      <c r="K240" t="s">
        <v>230</v>
      </c>
      <c r="L240" t="s">
        <v>226</v>
      </c>
      <c r="M240" t="s">
        <v>422</v>
      </c>
      <c r="N240" t="s">
        <v>2026</v>
      </c>
      <c r="O240" t="s">
        <v>2027</v>
      </c>
      <c r="S240">
        <v>0</v>
      </c>
      <c r="T240">
        <v>0</v>
      </c>
      <c r="U240">
        <v>0</v>
      </c>
      <c r="V240">
        <v>0</v>
      </c>
      <c r="W240">
        <v>8</v>
      </c>
      <c r="X240">
        <v>0</v>
      </c>
      <c r="Y240">
        <v>0</v>
      </c>
      <c r="Z240">
        <v>0</v>
      </c>
      <c r="AB240" s="5">
        <v>43553</v>
      </c>
      <c r="AC240" s="5">
        <v>43553</v>
      </c>
      <c r="AD240" s="5">
        <v>43970.333333333336</v>
      </c>
      <c r="AE240" s="5">
        <v>43970.333333333336</v>
      </c>
      <c r="AG240" s="5">
        <v>44044</v>
      </c>
      <c r="AH240" s="5">
        <v>44044</v>
      </c>
      <c r="AK240" s="5">
        <v>43563.333333333336</v>
      </c>
      <c r="AL240" s="5">
        <v>43563.666666666664</v>
      </c>
      <c r="AP240" t="s">
        <v>418</v>
      </c>
      <c r="AU240" t="s">
        <v>2028</v>
      </c>
      <c r="AY240" t="s">
        <v>40</v>
      </c>
      <c r="AZ240">
        <v>0</v>
      </c>
      <c r="BA240">
        <v>0</v>
      </c>
      <c r="BI240" s="5">
        <v>44048.176388888889</v>
      </c>
      <c r="BJ240" s="5">
        <v>44048.176388888889</v>
      </c>
      <c r="BK240" t="s">
        <v>778</v>
      </c>
      <c r="BL240" t="s">
        <v>778</v>
      </c>
      <c r="BN240" t="s">
        <v>37</v>
      </c>
    </row>
    <row r="241" spans="1:66" x14ac:dyDescent="0.2">
      <c r="A241">
        <v>3692798</v>
      </c>
      <c r="B241">
        <v>21883</v>
      </c>
      <c r="C241">
        <v>523885</v>
      </c>
      <c r="D241">
        <v>52899</v>
      </c>
      <c r="E241">
        <v>100</v>
      </c>
      <c r="F241" t="s">
        <v>37</v>
      </c>
      <c r="G241">
        <v>1</v>
      </c>
      <c r="H241" t="s">
        <v>37</v>
      </c>
      <c r="I241" t="s">
        <v>37</v>
      </c>
      <c r="J241" t="s">
        <v>775</v>
      </c>
      <c r="K241" t="s">
        <v>230</v>
      </c>
      <c r="L241" t="s">
        <v>226</v>
      </c>
      <c r="M241" t="s">
        <v>422</v>
      </c>
      <c r="N241" t="s">
        <v>2029</v>
      </c>
      <c r="O241" t="s">
        <v>2030</v>
      </c>
      <c r="S241">
        <v>0</v>
      </c>
      <c r="T241">
        <v>0</v>
      </c>
      <c r="U241">
        <v>0</v>
      </c>
      <c r="V241">
        <v>0</v>
      </c>
      <c r="W241">
        <v>8</v>
      </c>
      <c r="X241">
        <v>0</v>
      </c>
      <c r="Y241">
        <v>0</v>
      </c>
      <c r="Z241">
        <v>0</v>
      </c>
      <c r="AB241" s="5">
        <v>43553</v>
      </c>
      <c r="AC241" s="5">
        <v>43553</v>
      </c>
      <c r="AD241" s="5">
        <v>43970.333333333336</v>
      </c>
      <c r="AE241" s="5">
        <v>43970.333333333336</v>
      </c>
      <c r="AG241" s="5">
        <v>44044</v>
      </c>
      <c r="AH241" s="5">
        <v>44044</v>
      </c>
      <c r="AK241" s="5">
        <v>43591.333333333336</v>
      </c>
      <c r="AL241" s="5">
        <v>43591.666666666664</v>
      </c>
      <c r="AP241" t="s">
        <v>418</v>
      </c>
      <c r="AU241" t="s">
        <v>2031</v>
      </c>
      <c r="AY241" t="s">
        <v>40</v>
      </c>
      <c r="AZ241">
        <v>0</v>
      </c>
      <c r="BA241">
        <v>0</v>
      </c>
      <c r="BI241" s="5">
        <v>44048.176388888889</v>
      </c>
      <c r="BJ241" s="5">
        <v>44048.176388888889</v>
      </c>
      <c r="BK241" t="s">
        <v>778</v>
      </c>
      <c r="BL241" t="s">
        <v>778</v>
      </c>
      <c r="BN241" t="s">
        <v>37</v>
      </c>
    </row>
    <row r="242" spans="1:66" x14ac:dyDescent="0.2">
      <c r="A242">
        <v>3692799</v>
      </c>
      <c r="B242">
        <v>21883</v>
      </c>
      <c r="C242">
        <v>523999</v>
      </c>
      <c r="D242">
        <v>52897</v>
      </c>
      <c r="E242">
        <v>100</v>
      </c>
      <c r="F242" t="s">
        <v>37</v>
      </c>
      <c r="G242">
        <v>1</v>
      </c>
      <c r="H242" t="s">
        <v>37</v>
      </c>
      <c r="I242" t="s">
        <v>37</v>
      </c>
      <c r="J242" t="s">
        <v>775</v>
      </c>
      <c r="K242" t="s">
        <v>230</v>
      </c>
      <c r="L242" t="s">
        <v>226</v>
      </c>
      <c r="M242" t="s">
        <v>422</v>
      </c>
      <c r="N242" t="s">
        <v>2032</v>
      </c>
      <c r="O242" t="s">
        <v>2033</v>
      </c>
      <c r="S242">
        <v>0</v>
      </c>
      <c r="T242">
        <v>0</v>
      </c>
      <c r="U242">
        <v>0</v>
      </c>
      <c r="V242">
        <v>0</v>
      </c>
      <c r="W242">
        <v>16</v>
      </c>
      <c r="X242">
        <v>0</v>
      </c>
      <c r="Y242">
        <v>0</v>
      </c>
      <c r="Z242">
        <v>0</v>
      </c>
      <c r="AB242" s="5">
        <v>43677</v>
      </c>
      <c r="AC242" s="5">
        <v>43677</v>
      </c>
      <c r="AD242" s="5">
        <v>44306.666666666664</v>
      </c>
      <c r="AE242" s="5">
        <v>44306.666666666664</v>
      </c>
      <c r="AG242" s="5">
        <v>44044</v>
      </c>
      <c r="AH242" s="5">
        <v>44044</v>
      </c>
      <c r="AK242" s="5">
        <v>43978.333333333336</v>
      </c>
      <c r="AL242" s="5">
        <v>43979.666666666664</v>
      </c>
      <c r="AP242" t="s">
        <v>418</v>
      </c>
      <c r="AU242" t="s">
        <v>2034</v>
      </c>
      <c r="AY242" t="s">
        <v>37</v>
      </c>
      <c r="AZ242">
        <v>0</v>
      </c>
      <c r="BA242">
        <v>0</v>
      </c>
      <c r="BI242" s="5">
        <v>44048.176388888889</v>
      </c>
      <c r="BJ242" s="5">
        <v>44048.176388888889</v>
      </c>
      <c r="BK242" t="s">
        <v>778</v>
      </c>
      <c r="BL242" t="s">
        <v>778</v>
      </c>
      <c r="BN242" t="s">
        <v>37</v>
      </c>
    </row>
    <row r="243" spans="1:66" x14ac:dyDescent="0.2">
      <c r="A243">
        <v>3692800</v>
      </c>
      <c r="B243">
        <v>21883</v>
      </c>
      <c r="C243">
        <v>523999</v>
      </c>
      <c r="D243">
        <v>52895</v>
      </c>
      <c r="E243">
        <v>100</v>
      </c>
      <c r="F243" t="s">
        <v>37</v>
      </c>
      <c r="G243">
        <v>1</v>
      </c>
      <c r="H243" t="s">
        <v>37</v>
      </c>
      <c r="I243" t="s">
        <v>37</v>
      </c>
      <c r="J243" t="s">
        <v>775</v>
      </c>
      <c r="K243" t="s">
        <v>230</v>
      </c>
      <c r="L243" t="s">
        <v>226</v>
      </c>
      <c r="M243" t="s">
        <v>422</v>
      </c>
      <c r="N243" t="s">
        <v>2035</v>
      </c>
      <c r="O243" t="s">
        <v>2036</v>
      </c>
      <c r="S243">
        <v>0</v>
      </c>
      <c r="T243">
        <v>0</v>
      </c>
      <c r="U243">
        <v>0</v>
      </c>
      <c r="V243">
        <v>0</v>
      </c>
      <c r="W243">
        <v>56</v>
      </c>
      <c r="X243">
        <v>0</v>
      </c>
      <c r="Y243">
        <v>0</v>
      </c>
      <c r="Z243">
        <v>0</v>
      </c>
      <c r="AB243" s="5">
        <v>43677</v>
      </c>
      <c r="AC243" s="5">
        <v>43677</v>
      </c>
      <c r="AD243" s="5">
        <v>44306.666666666664</v>
      </c>
      <c r="AE243" s="5">
        <v>44306.666666666664</v>
      </c>
      <c r="AG243" s="5">
        <v>44044</v>
      </c>
      <c r="AH243" s="5">
        <v>44044</v>
      </c>
      <c r="AK243" s="5">
        <v>43957.333333333336</v>
      </c>
      <c r="AL243" s="5">
        <v>43963.666666666664</v>
      </c>
      <c r="AP243" t="s">
        <v>418</v>
      </c>
      <c r="AU243" t="s">
        <v>2037</v>
      </c>
      <c r="AY243" t="s">
        <v>37</v>
      </c>
      <c r="AZ243">
        <v>0</v>
      </c>
      <c r="BA243">
        <v>0</v>
      </c>
      <c r="BI243" s="5">
        <v>44048.176388888889</v>
      </c>
      <c r="BJ243" s="5">
        <v>44048.176388888889</v>
      </c>
      <c r="BK243" t="s">
        <v>778</v>
      </c>
      <c r="BL243" t="s">
        <v>778</v>
      </c>
      <c r="BN243" t="s">
        <v>37</v>
      </c>
    </row>
    <row r="244" spans="1:66" x14ac:dyDescent="0.2">
      <c r="A244">
        <v>3692801</v>
      </c>
      <c r="B244">
        <v>21883</v>
      </c>
      <c r="C244">
        <v>523999</v>
      </c>
      <c r="D244">
        <v>52896</v>
      </c>
      <c r="E244">
        <v>100</v>
      </c>
      <c r="F244" t="s">
        <v>37</v>
      </c>
      <c r="G244">
        <v>1</v>
      </c>
      <c r="H244" t="s">
        <v>37</v>
      </c>
      <c r="I244" t="s">
        <v>37</v>
      </c>
      <c r="J244" t="s">
        <v>775</v>
      </c>
      <c r="K244" t="s">
        <v>230</v>
      </c>
      <c r="L244" t="s">
        <v>226</v>
      </c>
      <c r="M244" t="s">
        <v>422</v>
      </c>
      <c r="N244" t="s">
        <v>2038</v>
      </c>
      <c r="O244" t="s">
        <v>2039</v>
      </c>
      <c r="S244">
        <v>0</v>
      </c>
      <c r="T244">
        <v>0</v>
      </c>
      <c r="U244">
        <v>0</v>
      </c>
      <c r="V244">
        <v>0</v>
      </c>
      <c r="W244">
        <v>160</v>
      </c>
      <c r="X244">
        <v>0</v>
      </c>
      <c r="Y244">
        <v>0</v>
      </c>
      <c r="Z244">
        <v>0</v>
      </c>
      <c r="AB244" s="5">
        <v>43677</v>
      </c>
      <c r="AC244" s="5">
        <v>43677</v>
      </c>
      <c r="AD244" s="5">
        <v>44306.666666666664</v>
      </c>
      <c r="AE244" s="5">
        <v>44306.666666666664</v>
      </c>
      <c r="AG244" s="5">
        <v>44044</v>
      </c>
      <c r="AH244" s="5">
        <v>44044</v>
      </c>
      <c r="AK244" s="5">
        <v>43917.333333333336</v>
      </c>
      <c r="AL244" s="5">
        <v>43945.666666666664</v>
      </c>
      <c r="AP244" t="s">
        <v>418</v>
      </c>
      <c r="AU244" t="s">
        <v>2040</v>
      </c>
      <c r="AY244" t="s">
        <v>37</v>
      </c>
      <c r="AZ244">
        <v>0</v>
      </c>
      <c r="BA244">
        <v>0</v>
      </c>
      <c r="BI244" s="5">
        <v>44048.176388888889</v>
      </c>
      <c r="BJ244" s="5">
        <v>44048.176388888889</v>
      </c>
      <c r="BK244" t="s">
        <v>778</v>
      </c>
      <c r="BL244" t="s">
        <v>778</v>
      </c>
      <c r="BN244" t="s">
        <v>37</v>
      </c>
    </row>
    <row r="245" spans="1:66" x14ac:dyDescent="0.2">
      <c r="A245">
        <v>3692802</v>
      </c>
      <c r="B245">
        <v>21883</v>
      </c>
      <c r="C245">
        <v>523999</v>
      </c>
      <c r="D245">
        <v>52897</v>
      </c>
      <c r="E245">
        <v>100</v>
      </c>
      <c r="F245" t="s">
        <v>37</v>
      </c>
      <c r="G245">
        <v>1</v>
      </c>
      <c r="H245" t="s">
        <v>37</v>
      </c>
      <c r="I245" t="s">
        <v>37</v>
      </c>
      <c r="J245" t="s">
        <v>775</v>
      </c>
      <c r="K245" t="s">
        <v>230</v>
      </c>
      <c r="L245" t="s">
        <v>226</v>
      </c>
      <c r="M245" t="s">
        <v>422</v>
      </c>
      <c r="N245" t="s">
        <v>2041</v>
      </c>
      <c r="O245" t="s">
        <v>2042</v>
      </c>
      <c r="S245">
        <v>0</v>
      </c>
      <c r="T245">
        <v>0</v>
      </c>
      <c r="U245">
        <v>0</v>
      </c>
      <c r="V245">
        <v>0</v>
      </c>
      <c r="W245">
        <v>56</v>
      </c>
      <c r="X245">
        <v>0</v>
      </c>
      <c r="Y245">
        <v>0</v>
      </c>
      <c r="Z245">
        <v>0</v>
      </c>
      <c r="AB245" s="5">
        <v>43677</v>
      </c>
      <c r="AC245" s="5">
        <v>43677</v>
      </c>
      <c r="AD245" s="5">
        <v>44306.666666666664</v>
      </c>
      <c r="AE245" s="5">
        <v>44306.666666666664</v>
      </c>
      <c r="AG245" s="5">
        <v>44044</v>
      </c>
      <c r="AH245" s="5">
        <v>44044</v>
      </c>
      <c r="AK245" s="5">
        <v>43917.333333333336</v>
      </c>
      <c r="AL245" s="5">
        <v>43930.666666666664</v>
      </c>
      <c r="AP245" t="s">
        <v>418</v>
      </c>
      <c r="AU245" t="s">
        <v>2043</v>
      </c>
      <c r="AY245" t="s">
        <v>37</v>
      </c>
      <c r="AZ245">
        <v>0</v>
      </c>
      <c r="BA245">
        <v>0</v>
      </c>
      <c r="BI245" s="5">
        <v>44048.176388888889</v>
      </c>
      <c r="BJ245" s="5">
        <v>44048.176388888889</v>
      </c>
      <c r="BK245" t="s">
        <v>778</v>
      </c>
      <c r="BL245" t="s">
        <v>778</v>
      </c>
      <c r="BN245" t="s">
        <v>37</v>
      </c>
    </row>
    <row r="246" spans="1:66" x14ac:dyDescent="0.2">
      <c r="A246">
        <v>3692803</v>
      </c>
      <c r="B246">
        <v>21883</v>
      </c>
      <c r="C246">
        <v>523999</v>
      </c>
      <c r="D246">
        <v>52897</v>
      </c>
      <c r="E246">
        <v>100</v>
      </c>
      <c r="F246" t="s">
        <v>37</v>
      </c>
      <c r="G246">
        <v>1</v>
      </c>
      <c r="H246" t="s">
        <v>37</v>
      </c>
      <c r="I246" t="s">
        <v>37</v>
      </c>
      <c r="J246" t="s">
        <v>775</v>
      </c>
      <c r="K246" t="s">
        <v>230</v>
      </c>
      <c r="L246" t="s">
        <v>226</v>
      </c>
      <c r="M246" t="s">
        <v>422</v>
      </c>
      <c r="N246" t="s">
        <v>2044</v>
      </c>
      <c r="O246" t="s">
        <v>2045</v>
      </c>
      <c r="S246">
        <v>0</v>
      </c>
      <c r="T246">
        <v>0</v>
      </c>
      <c r="U246">
        <v>0</v>
      </c>
      <c r="V246">
        <v>0</v>
      </c>
      <c r="W246">
        <v>16</v>
      </c>
      <c r="X246">
        <v>0</v>
      </c>
      <c r="Y246">
        <v>0</v>
      </c>
      <c r="Z246">
        <v>0</v>
      </c>
      <c r="AB246" s="5">
        <v>43677</v>
      </c>
      <c r="AC246" s="5">
        <v>43677</v>
      </c>
      <c r="AD246" s="5">
        <v>44306.666666666664</v>
      </c>
      <c r="AE246" s="5">
        <v>44306.666666666664</v>
      </c>
      <c r="AG246" s="5">
        <v>44044</v>
      </c>
      <c r="AH246" s="5">
        <v>44044</v>
      </c>
      <c r="AK246" s="5">
        <v>43678.333333333336</v>
      </c>
      <c r="AL246" s="5">
        <v>43679.666666666664</v>
      </c>
      <c r="AP246" t="s">
        <v>418</v>
      </c>
      <c r="AU246" t="s">
        <v>2046</v>
      </c>
      <c r="AY246" t="s">
        <v>37</v>
      </c>
      <c r="AZ246">
        <v>0</v>
      </c>
      <c r="BA246">
        <v>0</v>
      </c>
      <c r="BI246" s="5">
        <v>44048.176388888889</v>
      </c>
      <c r="BJ246" s="5">
        <v>44048.176388888889</v>
      </c>
      <c r="BK246" t="s">
        <v>778</v>
      </c>
      <c r="BL246" t="s">
        <v>778</v>
      </c>
      <c r="BN246" t="s">
        <v>37</v>
      </c>
    </row>
    <row r="247" spans="1:66" x14ac:dyDescent="0.2">
      <c r="A247">
        <v>3692804</v>
      </c>
      <c r="B247">
        <v>21883</v>
      </c>
      <c r="C247">
        <v>523999</v>
      </c>
      <c r="D247">
        <v>52897</v>
      </c>
      <c r="E247">
        <v>100</v>
      </c>
      <c r="F247" t="s">
        <v>37</v>
      </c>
      <c r="G247">
        <v>1</v>
      </c>
      <c r="H247" t="s">
        <v>37</v>
      </c>
      <c r="I247" t="s">
        <v>37</v>
      </c>
      <c r="J247" t="s">
        <v>775</v>
      </c>
      <c r="K247" t="s">
        <v>230</v>
      </c>
      <c r="L247" t="s">
        <v>226</v>
      </c>
      <c r="M247" t="s">
        <v>422</v>
      </c>
      <c r="N247" t="s">
        <v>2047</v>
      </c>
      <c r="O247" t="s">
        <v>2048</v>
      </c>
      <c r="S247">
        <v>0</v>
      </c>
      <c r="T247">
        <v>0</v>
      </c>
      <c r="U247">
        <v>0</v>
      </c>
      <c r="V247">
        <v>0</v>
      </c>
      <c r="W247">
        <v>24</v>
      </c>
      <c r="X247">
        <v>0</v>
      </c>
      <c r="Y247">
        <v>0</v>
      </c>
      <c r="Z247">
        <v>0</v>
      </c>
      <c r="AB247" s="5">
        <v>43677</v>
      </c>
      <c r="AC247" s="5">
        <v>43677</v>
      </c>
      <c r="AD247" s="5">
        <v>44306.666666666664</v>
      </c>
      <c r="AE247" s="5">
        <v>44306.666666666664</v>
      </c>
      <c r="AG247" s="5">
        <v>44044</v>
      </c>
      <c r="AH247" s="5">
        <v>44044</v>
      </c>
      <c r="AK247" s="5">
        <v>43678.333333333336</v>
      </c>
      <c r="AL247" s="5">
        <v>43683.666666666664</v>
      </c>
      <c r="AP247" t="s">
        <v>418</v>
      </c>
      <c r="AU247" t="s">
        <v>2049</v>
      </c>
      <c r="AY247" t="s">
        <v>37</v>
      </c>
      <c r="AZ247">
        <v>0</v>
      </c>
      <c r="BA247">
        <v>0</v>
      </c>
      <c r="BI247" s="5">
        <v>44048.176388888889</v>
      </c>
      <c r="BJ247" s="5">
        <v>44048.176388888889</v>
      </c>
      <c r="BK247" t="s">
        <v>778</v>
      </c>
      <c r="BL247" t="s">
        <v>778</v>
      </c>
      <c r="BN247" t="s">
        <v>37</v>
      </c>
    </row>
    <row r="248" spans="1:66" x14ac:dyDescent="0.2">
      <c r="A248">
        <v>3692805</v>
      </c>
      <c r="B248">
        <v>21883</v>
      </c>
      <c r="C248">
        <v>523999</v>
      </c>
      <c r="D248">
        <v>52895</v>
      </c>
      <c r="E248">
        <v>100</v>
      </c>
      <c r="F248" t="s">
        <v>37</v>
      </c>
      <c r="G248">
        <v>1</v>
      </c>
      <c r="H248" t="s">
        <v>37</v>
      </c>
      <c r="I248" t="s">
        <v>37</v>
      </c>
      <c r="J248" t="s">
        <v>775</v>
      </c>
      <c r="K248" t="s">
        <v>230</v>
      </c>
      <c r="L248" t="s">
        <v>226</v>
      </c>
      <c r="M248" t="s">
        <v>422</v>
      </c>
      <c r="N248" t="s">
        <v>2050</v>
      </c>
      <c r="O248" t="s">
        <v>2051</v>
      </c>
      <c r="S248">
        <v>0</v>
      </c>
      <c r="T248">
        <v>0</v>
      </c>
      <c r="U248">
        <v>0</v>
      </c>
      <c r="V248">
        <v>0</v>
      </c>
      <c r="W248">
        <v>56</v>
      </c>
      <c r="X248">
        <v>0</v>
      </c>
      <c r="Y248">
        <v>0</v>
      </c>
      <c r="Z248">
        <v>0</v>
      </c>
      <c r="AB248" s="5">
        <v>43677</v>
      </c>
      <c r="AC248" s="5">
        <v>43677</v>
      </c>
      <c r="AD248" s="5">
        <v>44306.666666666664</v>
      </c>
      <c r="AE248" s="5">
        <v>44306.666666666664</v>
      </c>
      <c r="AG248" s="5">
        <v>44044</v>
      </c>
      <c r="AH248" s="5">
        <v>44044</v>
      </c>
      <c r="AK248" s="5">
        <v>43678.333333333336</v>
      </c>
      <c r="AL248" s="5">
        <v>43684.666666666664</v>
      </c>
      <c r="AP248" t="s">
        <v>418</v>
      </c>
      <c r="AU248" t="e" cm="1">
        <f t="array" ref="AU248">+vMn7QmlK0uLB+jV7UEhtw</f>
        <v>#NAME?</v>
      </c>
      <c r="AY248" t="s">
        <v>37</v>
      </c>
      <c r="AZ248">
        <v>0</v>
      </c>
      <c r="BA248">
        <v>0</v>
      </c>
      <c r="BI248" s="5">
        <v>44048.176388888889</v>
      </c>
      <c r="BJ248" s="5">
        <v>44048.176388888889</v>
      </c>
      <c r="BK248" t="s">
        <v>778</v>
      </c>
      <c r="BL248" t="s">
        <v>778</v>
      </c>
      <c r="BN248" t="s">
        <v>37</v>
      </c>
    </row>
    <row r="249" spans="1:66" x14ac:dyDescent="0.2">
      <c r="A249">
        <v>3692806</v>
      </c>
      <c r="B249">
        <v>21883</v>
      </c>
      <c r="C249">
        <v>523999</v>
      </c>
      <c r="D249">
        <v>52896</v>
      </c>
      <c r="E249">
        <v>100</v>
      </c>
      <c r="F249" t="s">
        <v>37</v>
      </c>
      <c r="G249">
        <v>1</v>
      </c>
      <c r="H249" t="s">
        <v>37</v>
      </c>
      <c r="I249" t="s">
        <v>37</v>
      </c>
      <c r="J249" t="s">
        <v>775</v>
      </c>
      <c r="K249" t="s">
        <v>230</v>
      </c>
      <c r="L249" t="s">
        <v>226</v>
      </c>
      <c r="M249" t="s">
        <v>422</v>
      </c>
      <c r="N249" t="s">
        <v>2052</v>
      </c>
      <c r="O249" t="s">
        <v>2053</v>
      </c>
      <c r="S249">
        <v>0</v>
      </c>
      <c r="T249">
        <v>0</v>
      </c>
      <c r="U249">
        <v>0</v>
      </c>
      <c r="V249">
        <v>0</v>
      </c>
      <c r="W249">
        <v>160</v>
      </c>
      <c r="X249">
        <v>0</v>
      </c>
      <c r="Y249">
        <v>0</v>
      </c>
      <c r="Z249">
        <v>0</v>
      </c>
      <c r="AB249" s="5">
        <v>43677</v>
      </c>
      <c r="AC249" s="5">
        <v>43677</v>
      </c>
      <c r="AD249" s="5">
        <v>44306.666666666664</v>
      </c>
      <c r="AE249" s="5">
        <v>44306.666666666664</v>
      </c>
      <c r="AG249" s="5">
        <v>44044</v>
      </c>
      <c r="AH249" s="5">
        <v>44044</v>
      </c>
      <c r="AK249" s="5">
        <v>43678.333333333336</v>
      </c>
      <c r="AL249" s="5">
        <v>43705.666666666664</v>
      </c>
      <c r="AP249" t="s">
        <v>418</v>
      </c>
      <c r="AU249" t="s">
        <v>2054</v>
      </c>
      <c r="AY249" t="s">
        <v>37</v>
      </c>
      <c r="AZ249">
        <v>0</v>
      </c>
      <c r="BA249">
        <v>0</v>
      </c>
      <c r="BI249" s="5">
        <v>44048.176388888889</v>
      </c>
      <c r="BJ249" s="5">
        <v>44048.176388888889</v>
      </c>
      <c r="BK249" t="s">
        <v>778</v>
      </c>
      <c r="BL249" t="s">
        <v>778</v>
      </c>
      <c r="BN249" t="s">
        <v>37</v>
      </c>
    </row>
    <row r="250" spans="1:66" x14ac:dyDescent="0.2">
      <c r="A250">
        <v>3692807</v>
      </c>
      <c r="B250">
        <v>21883</v>
      </c>
      <c r="C250">
        <v>523933</v>
      </c>
      <c r="D250">
        <v>52897</v>
      </c>
      <c r="E250">
        <v>100</v>
      </c>
      <c r="F250" t="s">
        <v>37</v>
      </c>
      <c r="G250">
        <v>1</v>
      </c>
      <c r="H250" t="s">
        <v>37</v>
      </c>
      <c r="I250" t="s">
        <v>37</v>
      </c>
      <c r="J250" t="s">
        <v>775</v>
      </c>
      <c r="K250" t="s">
        <v>230</v>
      </c>
      <c r="L250" t="s">
        <v>226</v>
      </c>
      <c r="M250" t="s">
        <v>422</v>
      </c>
      <c r="N250" t="s">
        <v>2055</v>
      </c>
      <c r="O250" t="s">
        <v>2056</v>
      </c>
      <c r="S250">
        <v>0</v>
      </c>
      <c r="T250">
        <v>0</v>
      </c>
      <c r="U250">
        <v>0</v>
      </c>
      <c r="V250">
        <v>0</v>
      </c>
      <c r="W250">
        <v>16</v>
      </c>
      <c r="X250">
        <v>0</v>
      </c>
      <c r="Y250">
        <v>0</v>
      </c>
      <c r="Z250">
        <v>0</v>
      </c>
      <c r="AB250" s="5">
        <v>43990</v>
      </c>
      <c r="AC250" s="5">
        <v>43990</v>
      </c>
      <c r="AD250" s="5">
        <v>43993.333333333336</v>
      </c>
      <c r="AE250" s="5">
        <v>43993.333333333336</v>
      </c>
      <c r="AG250" s="5">
        <v>44044</v>
      </c>
      <c r="AH250" s="5">
        <v>44044</v>
      </c>
      <c r="AK250" s="5">
        <v>43993.333333333336</v>
      </c>
      <c r="AL250" s="5">
        <v>43994.666666666664</v>
      </c>
      <c r="AP250" t="s">
        <v>418</v>
      </c>
      <c r="AU250" t="s">
        <v>2057</v>
      </c>
      <c r="AY250" t="s">
        <v>40</v>
      </c>
      <c r="AZ250">
        <v>0</v>
      </c>
      <c r="BA250">
        <v>0</v>
      </c>
      <c r="BI250" s="5">
        <v>44048.176388888889</v>
      </c>
      <c r="BJ250" s="5">
        <v>44048.176388888889</v>
      </c>
      <c r="BK250" t="s">
        <v>778</v>
      </c>
      <c r="BL250" t="s">
        <v>778</v>
      </c>
      <c r="BN250" t="s">
        <v>37</v>
      </c>
    </row>
    <row r="251" spans="1:66" x14ac:dyDescent="0.2">
      <c r="A251">
        <v>3692808</v>
      </c>
      <c r="B251">
        <v>21883</v>
      </c>
      <c r="C251">
        <v>523933</v>
      </c>
      <c r="D251">
        <v>52897</v>
      </c>
      <c r="E251">
        <v>100</v>
      </c>
      <c r="F251" t="s">
        <v>37</v>
      </c>
      <c r="G251">
        <v>1</v>
      </c>
      <c r="H251" t="s">
        <v>37</v>
      </c>
      <c r="I251" t="s">
        <v>37</v>
      </c>
      <c r="J251" t="s">
        <v>775</v>
      </c>
      <c r="K251" t="s">
        <v>230</v>
      </c>
      <c r="L251" t="s">
        <v>226</v>
      </c>
      <c r="M251" t="s">
        <v>422</v>
      </c>
      <c r="N251" t="s">
        <v>2058</v>
      </c>
      <c r="O251" t="s">
        <v>2059</v>
      </c>
      <c r="S251">
        <v>0</v>
      </c>
      <c r="T251">
        <v>0</v>
      </c>
      <c r="U251">
        <v>0</v>
      </c>
      <c r="V251">
        <v>0</v>
      </c>
      <c r="W251">
        <v>32</v>
      </c>
      <c r="X251">
        <v>0</v>
      </c>
      <c r="Y251">
        <v>0</v>
      </c>
      <c r="Z251">
        <v>0</v>
      </c>
      <c r="AB251" s="5">
        <v>43963</v>
      </c>
      <c r="AC251" s="5">
        <v>43965</v>
      </c>
      <c r="AD251" s="5">
        <v>43993.333333333336</v>
      </c>
      <c r="AE251" s="5">
        <v>43993.333333333336</v>
      </c>
      <c r="AG251" s="5">
        <v>44044</v>
      </c>
      <c r="AH251" s="5">
        <v>44044</v>
      </c>
      <c r="AK251" s="5">
        <v>43969.333333333336</v>
      </c>
      <c r="AL251" s="5">
        <v>43977.666666666664</v>
      </c>
      <c r="AP251" t="s">
        <v>418</v>
      </c>
      <c r="AU251" t="s">
        <v>2060</v>
      </c>
      <c r="AY251" t="s">
        <v>40</v>
      </c>
      <c r="AZ251">
        <v>0</v>
      </c>
      <c r="BA251">
        <v>0</v>
      </c>
      <c r="BI251" s="5">
        <v>44048.176388888889</v>
      </c>
      <c r="BJ251" s="5">
        <v>44048.176388888889</v>
      </c>
      <c r="BK251" t="s">
        <v>778</v>
      </c>
      <c r="BL251" t="s">
        <v>778</v>
      </c>
      <c r="BN251" t="s">
        <v>37</v>
      </c>
    </row>
    <row r="252" spans="1:66" x14ac:dyDescent="0.2">
      <c r="A252">
        <v>3692809</v>
      </c>
      <c r="B252">
        <v>21883</v>
      </c>
      <c r="C252">
        <v>523933</v>
      </c>
      <c r="D252">
        <v>52895</v>
      </c>
      <c r="E252">
        <v>100</v>
      </c>
      <c r="F252" t="s">
        <v>37</v>
      </c>
      <c r="G252">
        <v>1</v>
      </c>
      <c r="H252" t="s">
        <v>37</v>
      </c>
      <c r="I252" t="s">
        <v>37</v>
      </c>
      <c r="J252" t="s">
        <v>775</v>
      </c>
      <c r="K252" t="s">
        <v>230</v>
      </c>
      <c r="L252" t="s">
        <v>226</v>
      </c>
      <c r="M252" t="s">
        <v>422</v>
      </c>
      <c r="N252" t="s">
        <v>2061</v>
      </c>
      <c r="O252" t="s">
        <v>2062</v>
      </c>
      <c r="S252">
        <v>0</v>
      </c>
      <c r="T252">
        <v>0</v>
      </c>
      <c r="U252">
        <v>0</v>
      </c>
      <c r="V252">
        <v>0</v>
      </c>
      <c r="W252">
        <v>56</v>
      </c>
      <c r="X252">
        <v>0</v>
      </c>
      <c r="Y252">
        <v>0</v>
      </c>
      <c r="Z252">
        <v>0</v>
      </c>
      <c r="AB252" s="5">
        <v>43969.333333333336</v>
      </c>
      <c r="AC252" s="5">
        <v>43971</v>
      </c>
      <c r="AD252" s="5">
        <v>43993.333333333336</v>
      </c>
      <c r="AE252" s="5">
        <v>43993.333333333336</v>
      </c>
      <c r="AG252" s="5">
        <v>44044</v>
      </c>
      <c r="AH252" s="5">
        <v>44044</v>
      </c>
      <c r="AK252" s="5">
        <v>43969.333333333336</v>
      </c>
      <c r="AL252" s="5">
        <v>43975.666666666664</v>
      </c>
      <c r="AP252" t="s">
        <v>418</v>
      </c>
      <c r="AU252" t="s">
        <v>2063</v>
      </c>
      <c r="AY252" t="s">
        <v>40</v>
      </c>
      <c r="AZ252">
        <v>0</v>
      </c>
      <c r="BA252">
        <v>0</v>
      </c>
      <c r="BI252" s="5">
        <v>44048.176388888889</v>
      </c>
      <c r="BJ252" s="5">
        <v>44048.176388888889</v>
      </c>
      <c r="BK252" t="s">
        <v>778</v>
      </c>
      <c r="BL252" t="s">
        <v>778</v>
      </c>
      <c r="BN252" t="s">
        <v>37</v>
      </c>
    </row>
    <row r="253" spans="1:66" x14ac:dyDescent="0.2">
      <c r="A253">
        <v>3692810</v>
      </c>
      <c r="B253">
        <v>21883</v>
      </c>
      <c r="C253">
        <v>523933</v>
      </c>
      <c r="D253">
        <v>52896</v>
      </c>
      <c r="E253">
        <v>100</v>
      </c>
      <c r="F253" t="s">
        <v>37</v>
      </c>
      <c r="G253">
        <v>1</v>
      </c>
      <c r="H253" t="s">
        <v>37</v>
      </c>
      <c r="I253" t="s">
        <v>37</v>
      </c>
      <c r="J253" t="s">
        <v>775</v>
      </c>
      <c r="K253" t="s">
        <v>230</v>
      </c>
      <c r="L253" t="s">
        <v>226</v>
      </c>
      <c r="M253" t="s">
        <v>422</v>
      </c>
      <c r="N253" t="s">
        <v>2064</v>
      </c>
      <c r="O253" t="s">
        <v>2065</v>
      </c>
      <c r="S253">
        <v>0</v>
      </c>
      <c r="T253">
        <v>0</v>
      </c>
      <c r="U253">
        <v>0</v>
      </c>
      <c r="V253">
        <v>0</v>
      </c>
      <c r="W253">
        <v>16</v>
      </c>
      <c r="X253">
        <v>0</v>
      </c>
      <c r="Y253">
        <v>0</v>
      </c>
      <c r="Z253">
        <v>0</v>
      </c>
      <c r="AB253" s="5">
        <v>43938</v>
      </c>
      <c r="AC253" s="5">
        <v>43955</v>
      </c>
      <c r="AD253" s="5">
        <v>43993.333333333336</v>
      </c>
      <c r="AE253" s="5">
        <v>43993.333333333336</v>
      </c>
      <c r="AG253" s="5">
        <v>44044</v>
      </c>
      <c r="AH253" s="5">
        <v>44044</v>
      </c>
      <c r="AK253" s="5">
        <v>43956.333333333336</v>
      </c>
      <c r="AL253" s="5">
        <v>43957.666666666664</v>
      </c>
      <c r="AP253" t="s">
        <v>418</v>
      </c>
      <c r="AU253" t="s">
        <v>2066</v>
      </c>
      <c r="AY253" t="s">
        <v>40</v>
      </c>
      <c r="AZ253">
        <v>0</v>
      </c>
      <c r="BA253">
        <v>0</v>
      </c>
      <c r="BI253" s="5">
        <v>44048.176388888889</v>
      </c>
      <c r="BJ253" s="5">
        <v>44048.176388888889</v>
      </c>
      <c r="BK253" t="s">
        <v>778</v>
      </c>
      <c r="BL253" t="s">
        <v>778</v>
      </c>
      <c r="BN253" t="s">
        <v>37</v>
      </c>
    </row>
    <row r="254" spans="1:66" x14ac:dyDescent="0.2">
      <c r="A254">
        <v>3692811</v>
      </c>
      <c r="B254">
        <v>21883</v>
      </c>
      <c r="C254">
        <v>523935</v>
      </c>
      <c r="D254">
        <v>52897</v>
      </c>
      <c r="E254">
        <v>100</v>
      </c>
      <c r="F254" t="s">
        <v>37</v>
      </c>
      <c r="G254">
        <v>1</v>
      </c>
      <c r="H254" t="s">
        <v>37</v>
      </c>
      <c r="I254" t="s">
        <v>37</v>
      </c>
      <c r="J254" t="s">
        <v>775</v>
      </c>
      <c r="K254" t="s">
        <v>230</v>
      </c>
      <c r="L254" t="s">
        <v>226</v>
      </c>
      <c r="M254" t="s">
        <v>422</v>
      </c>
      <c r="N254" t="s">
        <v>2067</v>
      </c>
      <c r="O254" t="s">
        <v>2068</v>
      </c>
      <c r="S254">
        <v>0</v>
      </c>
      <c r="T254">
        <v>0</v>
      </c>
      <c r="U254">
        <v>0</v>
      </c>
      <c r="V254">
        <v>0</v>
      </c>
      <c r="W254">
        <v>16</v>
      </c>
      <c r="X254">
        <v>0</v>
      </c>
      <c r="Y254">
        <v>0</v>
      </c>
      <c r="Z254">
        <v>0</v>
      </c>
      <c r="AB254" s="5">
        <v>43948.333333333336</v>
      </c>
      <c r="AC254" s="5">
        <v>43951</v>
      </c>
      <c r="AD254" s="5">
        <v>44008.666666666664</v>
      </c>
      <c r="AE254" s="5">
        <v>44008.666666666664</v>
      </c>
      <c r="AG254" s="5">
        <v>44044</v>
      </c>
      <c r="AH254" s="5">
        <v>44044</v>
      </c>
      <c r="AK254" s="5">
        <v>43948.333333333336</v>
      </c>
      <c r="AL254" s="5">
        <v>43951.666666666664</v>
      </c>
      <c r="AP254" t="s">
        <v>418</v>
      </c>
      <c r="AU254" t="s">
        <v>1848</v>
      </c>
      <c r="AY254" t="s">
        <v>37</v>
      </c>
      <c r="AZ254">
        <v>0</v>
      </c>
      <c r="BA254">
        <v>0</v>
      </c>
      <c r="BI254" s="5">
        <v>44048.176388888889</v>
      </c>
      <c r="BJ254" s="5">
        <v>44048.176388888889</v>
      </c>
      <c r="BK254" t="s">
        <v>778</v>
      </c>
      <c r="BL254" t="s">
        <v>778</v>
      </c>
      <c r="BN254" t="s">
        <v>37</v>
      </c>
    </row>
    <row r="255" spans="1:66" x14ac:dyDescent="0.2">
      <c r="A255">
        <v>3692812</v>
      </c>
      <c r="B255">
        <v>21883</v>
      </c>
      <c r="C255">
        <v>523935</v>
      </c>
      <c r="D255">
        <v>52895</v>
      </c>
      <c r="E255">
        <v>100</v>
      </c>
      <c r="F255" t="s">
        <v>37</v>
      </c>
      <c r="G255">
        <v>1</v>
      </c>
      <c r="H255" t="s">
        <v>37</v>
      </c>
      <c r="I255" t="s">
        <v>37</v>
      </c>
      <c r="J255" t="s">
        <v>775</v>
      </c>
      <c r="K255" t="s">
        <v>230</v>
      </c>
      <c r="L255" t="s">
        <v>226</v>
      </c>
      <c r="M255" t="s">
        <v>422</v>
      </c>
      <c r="N255" t="s">
        <v>2069</v>
      </c>
      <c r="O255" t="s">
        <v>2070</v>
      </c>
      <c r="S255">
        <v>0</v>
      </c>
      <c r="T255">
        <v>0</v>
      </c>
      <c r="U255">
        <v>0</v>
      </c>
      <c r="V255">
        <v>0</v>
      </c>
      <c r="W255">
        <v>56</v>
      </c>
      <c r="X255">
        <v>0</v>
      </c>
      <c r="Y255">
        <v>0</v>
      </c>
      <c r="Z255">
        <v>0</v>
      </c>
      <c r="AB255" s="5">
        <v>43929</v>
      </c>
      <c r="AC255" s="5">
        <v>43938</v>
      </c>
      <c r="AD255" s="5">
        <v>44008.666666666664</v>
      </c>
      <c r="AE255" s="5">
        <v>44008.666666666664</v>
      </c>
      <c r="AG255" s="5">
        <v>44044</v>
      </c>
      <c r="AH255" s="5">
        <v>44044</v>
      </c>
      <c r="AK255" s="5">
        <v>43934.333333333336</v>
      </c>
      <c r="AL255" s="5">
        <v>43940.666666666664</v>
      </c>
      <c r="AP255" t="s">
        <v>418</v>
      </c>
      <c r="AU255" t="s">
        <v>1851</v>
      </c>
      <c r="AY255" t="s">
        <v>37</v>
      </c>
      <c r="AZ255">
        <v>0</v>
      </c>
      <c r="BA255">
        <v>0</v>
      </c>
      <c r="BI255" s="5">
        <v>44048.176388888889</v>
      </c>
      <c r="BJ255" s="5">
        <v>44048.176388888889</v>
      </c>
      <c r="BK255" t="s">
        <v>778</v>
      </c>
      <c r="BL255" t="s">
        <v>778</v>
      </c>
      <c r="BN255" t="s">
        <v>37</v>
      </c>
    </row>
    <row r="256" spans="1:66" x14ac:dyDescent="0.2">
      <c r="A256">
        <v>3692813</v>
      </c>
      <c r="B256">
        <v>21883</v>
      </c>
      <c r="C256">
        <v>523935</v>
      </c>
      <c r="D256">
        <v>52897</v>
      </c>
      <c r="E256">
        <v>100</v>
      </c>
      <c r="F256" t="s">
        <v>37</v>
      </c>
      <c r="G256">
        <v>1</v>
      </c>
      <c r="H256" t="s">
        <v>37</v>
      </c>
      <c r="I256" t="s">
        <v>37</v>
      </c>
      <c r="J256" t="s">
        <v>775</v>
      </c>
      <c r="K256" t="s">
        <v>230</v>
      </c>
      <c r="L256" t="s">
        <v>226</v>
      </c>
      <c r="M256" t="s">
        <v>422</v>
      </c>
      <c r="N256" t="s">
        <v>2071</v>
      </c>
      <c r="O256" t="s">
        <v>1432</v>
      </c>
      <c r="S256">
        <v>0</v>
      </c>
      <c r="T256">
        <v>0</v>
      </c>
      <c r="U256">
        <v>0</v>
      </c>
      <c r="V256">
        <v>0</v>
      </c>
      <c r="W256">
        <v>40</v>
      </c>
      <c r="X256">
        <v>0</v>
      </c>
      <c r="Y256">
        <v>0</v>
      </c>
      <c r="Z256">
        <v>0</v>
      </c>
      <c r="AB256" s="5">
        <v>43746</v>
      </c>
      <c r="AC256" s="5">
        <v>43752</v>
      </c>
      <c r="AD256" s="5">
        <v>43986.333333333336</v>
      </c>
      <c r="AE256" s="5">
        <v>43986.333333333336</v>
      </c>
      <c r="AG256" s="5">
        <v>44044</v>
      </c>
      <c r="AH256" s="5">
        <v>44044</v>
      </c>
      <c r="AK256" s="5">
        <v>43739.333333333336</v>
      </c>
      <c r="AL256" s="5">
        <v>43745.666666666664</v>
      </c>
      <c r="AP256" t="s">
        <v>418</v>
      </c>
      <c r="AU256" t="s">
        <v>1854</v>
      </c>
      <c r="AY256" t="s">
        <v>40</v>
      </c>
      <c r="AZ256">
        <v>0</v>
      </c>
      <c r="BA256">
        <v>0</v>
      </c>
      <c r="BI256" s="5">
        <v>44048.176388888889</v>
      </c>
      <c r="BJ256" s="5">
        <v>44048.176388888889</v>
      </c>
      <c r="BK256" t="s">
        <v>778</v>
      </c>
      <c r="BL256" t="s">
        <v>778</v>
      </c>
      <c r="BN256" t="s">
        <v>37</v>
      </c>
    </row>
    <row r="257" spans="1:66" x14ac:dyDescent="0.2">
      <c r="A257">
        <v>3692814</v>
      </c>
      <c r="B257">
        <v>21883</v>
      </c>
      <c r="C257">
        <v>524013</v>
      </c>
      <c r="D257">
        <v>52899</v>
      </c>
      <c r="E257">
        <v>0</v>
      </c>
      <c r="F257" t="s">
        <v>37</v>
      </c>
      <c r="G257">
        <v>1</v>
      </c>
      <c r="H257" t="s">
        <v>37</v>
      </c>
      <c r="I257" t="s">
        <v>37</v>
      </c>
      <c r="J257" t="s">
        <v>775</v>
      </c>
      <c r="K257" t="s">
        <v>423</v>
      </c>
      <c r="L257" t="s">
        <v>420</v>
      </c>
      <c r="M257" t="s">
        <v>417</v>
      </c>
      <c r="N257" t="s">
        <v>2072</v>
      </c>
      <c r="O257" t="s">
        <v>2073</v>
      </c>
      <c r="Q257">
        <v>-8</v>
      </c>
      <c r="R257">
        <v>320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D257" s="5">
        <v>44116.666666666664</v>
      </c>
      <c r="AE257" s="5">
        <v>44116.666666666664</v>
      </c>
      <c r="AG257" s="5">
        <v>44117.666666666664</v>
      </c>
      <c r="AH257" s="5">
        <v>44117.666666666664</v>
      </c>
      <c r="AI257" s="5">
        <v>44117.666666666664</v>
      </c>
      <c r="AJ257" s="5">
        <v>44117.666666666664</v>
      </c>
      <c r="AK257" s="5">
        <v>44117.666666666664</v>
      </c>
      <c r="AL257" s="5">
        <v>44117.666666666664</v>
      </c>
      <c r="AM257" s="5">
        <v>44116.666666666664</v>
      </c>
      <c r="AN257" s="5">
        <v>44116.666666666664</v>
      </c>
      <c r="AP257" t="s">
        <v>418</v>
      </c>
      <c r="AU257" t="s">
        <v>2074</v>
      </c>
      <c r="AY257" t="s">
        <v>37</v>
      </c>
      <c r="AZ257">
        <v>0</v>
      </c>
      <c r="BA257">
        <v>0</v>
      </c>
      <c r="BI257" s="5">
        <v>44048.176388888889</v>
      </c>
      <c r="BJ257" s="5">
        <v>44048.176388888889</v>
      </c>
      <c r="BK257" t="s">
        <v>778</v>
      </c>
      <c r="BL257" t="s">
        <v>778</v>
      </c>
      <c r="BN257" t="s">
        <v>37</v>
      </c>
    </row>
    <row r="258" spans="1:66" x14ac:dyDescent="0.2">
      <c r="A258">
        <v>3692815</v>
      </c>
      <c r="B258">
        <v>21883</v>
      </c>
      <c r="C258">
        <v>523936</v>
      </c>
      <c r="D258">
        <v>52899</v>
      </c>
      <c r="E258">
        <v>100</v>
      </c>
      <c r="F258" t="s">
        <v>37</v>
      </c>
      <c r="G258">
        <v>1</v>
      </c>
      <c r="H258" t="s">
        <v>37</v>
      </c>
      <c r="I258" t="s">
        <v>37</v>
      </c>
      <c r="J258" t="s">
        <v>775</v>
      </c>
      <c r="K258" t="s">
        <v>423</v>
      </c>
      <c r="L258" t="s">
        <v>420</v>
      </c>
      <c r="M258" t="s">
        <v>422</v>
      </c>
      <c r="N258" t="s">
        <v>2075</v>
      </c>
      <c r="O258" t="s">
        <v>2076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B258" s="5">
        <v>43634</v>
      </c>
      <c r="AC258" s="5">
        <v>43634</v>
      </c>
      <c r="AD258" s="5">
        <v>43970.333333333336</v>
      </c>
      <c r="AE258" s="5">
        <v>43970.333333333336</v>
      </c>
      <c r="AG258" s="5">
        <v>44044</v>
      </c>
      <c r="AH258" s="5">
        <v>44044</v>
      </c>
      <c r="AK258" s="5">
        <v>43647.333333333336</v>
      </c>
      <c r="AL258" s="5">
        <v>43647.333333333336</v>
      </c>
      <c r="AP258" t="s">
        <v>418</v>
      </c>
      <c r="AU258" t="s">
        <v>2077</v>
      </c>
      <c r="AY258" t="s">
        <v>40</v>
      </c>
      <c r="AZ258">
        <v>0</v>
      </c>
      <c r="BA258">
        <v>0</v>
      </c>
      <c r="BI258" s="5">
        <v>44048.176388888889</v>
      </c>
      <c r="BJ258" s="5">
        <v>44048.176388888889</v>
      </c>
      <c r="BK258" t="s">
        <v>778</v>
      </c>
      <c r="BL258" t="s">
        <v>778</v>
      </c>
      <c r="BN258" t="s">
        <v>37</v>
      </c>
    </row>
    <row r="259" spans="1:66" x14ac:dyDescent="0.2">
      <c r="A259">
        <v>3692816</v>
      </c>
      <c r="B259">
        <v>21883</v>
      </c>
      <c r="C259">
        <v>523937</v>
      </c>
      <c r="D259">
        <v>52899</v>
      </c>
      <c r="E259">
        <v>100</v>
      </c>
      <c r="F259" t="s">
        <v>37</v>
      </c>
      <c r="G259">
        <v>1</v>
      </c>
      <c r="H259" t="s">
        <v>37</v>
      </c>
      <c r="I259" t="s">
        <v>37</v>
      </c>
      <c r="J259" t="s">
        <v>775</v>
      </c>
      <c r="K259" t="s">
        <v>423</v>
      </c>
      <c r="L259" t="s">
        <v>420</v>
      </c>
      <c r="M259" t="s">
        <v>422</v>
      </c>
      <c r="N259" t="s">
        <v>2078</v>
      </c>
      <c r="O259" t="s">
        <v>2079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B259" s="5">
        <v>43659</v>
      </c>
      <c r="AC259" s="5">
        <v>43659</v>
      </c>
      <c r="AD259" s="5">
        <v>43970.333333333336</v>
      </c>
      <c r="AE259" s="5">
        <v>43970.333333333336</v>
      </c>
      <c r="AG259" s="5">
        <v>44044</v>
      </c>
      <c r="AH259" s="5">
        <v>44044</v>
      </c>
      <c r="AK259" s="5">
        <v>43678.333333333336</v>
      </c>
      <c r="AL259" s="5">
        <v>43678.333333333336</v>
      </c>
      <c r="AP259" t="s">
        <v>418</v>
      </c>
      <c r="AU259" t="s">
        <v>2080</v>
      </c>
      <c r="AY259" t="s">
        <v>40</v>
      </c>
      <c r="AZ259">
        <v>0</v>
      </c>
      <c r="BA259">
        <v>0</v>
      </c>
      <c r="BI259" s="5">
        <v>44048.176388888889</v>
      </c>
      <c r="BJ259" s="5">
        <v>44048.176388888889</v>
      </c>
      <c r="BK259" t="s">
        <v>778</v>
      </c>
      <c r="BL259" t="s">
        <v>778</v>
      </c>
      <c r="BN259" t="s">
        <v>37</v>
      </c>
    </row>
    <row r="260" spans="1:66" x14ac:dyDescent="0.2">
      <c r="A260">
        <v>3692817</v>
      </c>
      <c r="B260">
        <v>21883</v>
      </c>
      <c r="C260">
        <v>523999</v>
      </c>
      <c r="D260">
        <v>52899</v>
      </c>
      <c r="E260">
        <v>100</v>
      </c>
      <c r="F260" t="s">
        <v>37</v>
      </c>
      <c r="G260">
        <v>1</v>
      </c>
      <c r="H260" t="s">
        <v>37</v>
      </c>
      <c r="I260" t="s">
        <v>37</v>
      </c>
      <c r="J260" t="s">
        <v>775</v>
      </c>
      <c r="K260" t="s">
        <v>423</v>
      </c>
      <c r="L260" t="s">
        <v>420</v>
      </c>
      <c r="M260" t="s">
        <v>422</v>
      </c>
      <c r="N260" t="s">
        <v>2081</v>
      </c>
      <c r="O260" t="s">
        <v>2082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B260" s="5">
        <v>43677</v>
      </c>
      <c r="AC260" s="5">
        <v>43677</v>
      </c>
      <c r="AD260" s="5">
        <v>44306.666666666664</v>
      </c>
      <c r="AE260" s="5">
        <v>44306.666666666664</v>
      </c>
      <c r="AG260" s="5">
        <v>44044</v>
      </c>
      <c r="AH260" s="5">
        <v>44044</v>
      </c>
      <c r="AK260" s="5">
        <v>43678.333333333336</v>
      </c>
      <c r="AL260" s="5">
        <v>43678.333333333336</v>
      </c>
      <c r="AP260" t="s">
        <v>418</v>
      </c>
      <c r="AU260" t="s">
        <v>2083</v>
      </c>
      <c r="AY260" t="s">
        <v>37</v>
      </c>
      <c r="AZ260">
        <v>0</v>
      </c>
      <c r="BA260">
        <v>0</v>
      </c>
      <c r="BI260" s="5">
        <v>44048.176388888889</v>
      </c>
      <c r="BJ260" s="5">
        <v>44048.176388888889</v>
      </c>
      <c r="BK260" t="s">
        <v>778</v>
      </c>
      <c r="BL260" t="s">
        <v>778</v>
      </c>
      <c r="BN260" t="s">
        <v>37</v>
      </c>
    </row>
    <row r="261" spans="1:66" x14ac:dyDescent="0.2">
      <c r="A261">
        <v>3692818</v>
      </c>
      <c r="B261">
        <v>21883</v>
      </c>
      <c r="C261">
        <v>524019</v>
      </c>
      <c r="D261">
        <v>52899</v>
      </c>
      <c r="E261">
        <v>0</v>
      </c>
      <c r="F261" t="s">
        <v>37</v>
      </c>
      <c r="G261">
        <v>1</v>
      </c>
      <c r="H261" t="s">
        <v>37</v>
      </c>
      <c r="I261" t="s">
        <v>37</v>
      </c>
      <c r="J261" t="s">
        <v>775</v>
      </c>
      <c r="K261" t="s">
        <v>423</v>
      </c>
      <c r="L261" t="s">
        <v>420</v>
      </c>
      <c r="M261" t="s">
        <v>417</v>
      </c>
      <c r="N261" t="s">
        <v>2084</v>
      </c>
      <c r="O261" t="s">
        <v>2085</v>
      </c>
      <c r="Q261">
        <v>-248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D261" s="5">
        <v>44022.666666666664</v>
      </c>
      <c r="AE261" s="5">
        <v>44022.666666666664</v>
      </c>
      <c r="AG261" s="5">
        <v>44075.666666666664</v>
      </c>
      <c r="AH261" s="5">
        <v>44075.666666666664</v>
      </c>
      <c r="AI261" s="5">
        <v>44075.666666666664</v>
      </c>
      <c r="AJ261" s="5">
        <v>44075.666666666664</v>
      </c>
      <c r="AK261" s="5">
        <v>44075.666666666664</v>
      </c>
      <c r="AL261" s="5">
        <v>44075.666666666664</v>
      </c>
      <c r="AM261" s="5">
        <v>44022.666666666664</v>
      </c>
      <c r="AN261" s="5">
        <v>44022.666666666664</v>
      </c>
      <c r="AP261" t="s">
        <v>418</v>
      </c>
      <c r="AU261" t="s">
        <v>2086</v>
      </c>
      <c r="AY261" t="s">
        <v>40</v>
      </c>
      <c r="AZ261">
        <v>0</v>
      </c>
      <c r="BA261">
        <v>0</v>
      </c>
      <c r="BI261" s="5">
        <v>44048.176388888889</v>
      </c>
      <c r="BJ261" s="5">
        <v>44048.176388888889</v>
      </c>
      <c r="BK261" t="s">
        <v>778</v>
      </c>
      <c r="BL261" t="s">
        <v>778</v>
      </c>
      <c r="BN261" t="s">
        <v>37</v>
      </c>
    </row>
    <row r="262" spans="1:66" x14ac:dyDescent="0.2">
      <c r="A262">
        <v>3692819</v>
      </c>
      <c r="B262">
        <v>21883</v>
      </c>
      <c r="C262">
        <v>523935</v>
      </c>
      <c r="D262">
        <v>52896</v>
      </c>
      <c r="E262">
        <v>100</v>
      </c>
      <c r="F262" t="s">
        <v>37</v>
      </c>
      <c r="G262">
        <v>1</v>
      </c>
      <c r="H262" t="s">
        <v>37</v>
      </c>
      <c r="I262" t="s">
        <v>37</v>
      </c>
      <c r="J262" t="s">
        <v>775</v>
      </c>
      <c r="K262" t="s">
        <v>230</v>
      </c>
      <c r="L262" t="s">
        <v>226</v>
      </c>
      <c r="M262" t="s">
        <v>422</v>
      </c>
      <c r="N262" t="s">
        <v>2087</v>
      </c>
      <c r="O262" t="s">
        <v>2088</v>
      </c>
      <c r="S262">
        <v>0</v>
      </c>
      <c r="T262">
        <v>0</v>
      </c>
      <c r="U262">
        <v>0</v>
      </c>
      <c r="V262">
        <v>0</v>
      </c>
      <c r="W262">
        <v>80</v>
      </c>
      <c r="X262">
        <v>0</v>
      </c>
      <c r="Y262">
        <v>0</v>
      </c>
      <c r="Z262">
        <v>0</v>
      </c>
      <c r="AB262" s="5">
        <v>43696</v>
      </c>
      <c r="AC262" s="5">
        <v>43741</v>
      </c>
      <c r="AD262" s="5">
        <v>44008.666666666664</v>
      </c>
      <c r="AE262" s="5">
        <v>44008.666666666664</v>
      </c>
      <c r="AG262" s="5">
        <v>44044</v>
      </c>
      <c r="AH262" s="5">
        <v>44044</v>
      </c>
      <c r="AK262" s="5">
        <v>43739.333333333336</v>
      </c>
      <c r="AL262" s="5">
        <v>43752.666666666664</v>
      </c>
      <c r="AP262" t="s">
        <v>418</v>
      </c>
      <c r="AU262" t="s">
        <v>1857</v>
      </c>
      <c r="AY262" t="s">
        <v>37</v>
      </c>
      <c r="AZ262">
        <v>0</v>
      </c>
      <c r="BA262">
        <v>0</v>
      </c>
      <c r="BI262" s="5">
        <v>44048.176388888889</v>
      </c>
      <c r="BJ262" s="5">
        <v>44048.176388888889</v>
      </c>
      <c r="BK262" t="s">
        <v>778</v>
      </c>
      <c r="BL262" t="s">
        <v>778</v>
      </c>
      <c r="BN262" t="s">
        <v>37</v>
      </c>
    </row>
    <row r="263" spans="1:66" x14ac:dyDescent="0.2">
      <c r="A263">
        <v>3692820</v>
      </c>
      <c r="B263">
        <v>21883</v>
      </c>
      <c r="C263">
        <v>523937</v>
      </c>
      <c r="D263">
        <v>52896</v>
      </c>
      <c r="E263">
        <v>100</v>
      </c>
      <c r="F263" t="s">
        <v>37</v>
      </c>
      <c r="G263">
        <v>1</v>
      </c>
      <c r="H263" t="s">
        <v>37</v>
      </c>
      <c r="I263" t="s">
        <v>37</v>
      </c>
      <c r="J263" t="s">
        <v>775</v>
      </c>
      <c r="K263" t="s">
        <v>230</v>
      </c>
      <c r="L263" t="s">
        <v>226</v>
      </c>
      <c r="M263" t="s">
        <v>422</v>
      </c>
      <c r="N263" t="s">
        <v>2089</v>
      </c>
      <c r="O263" t="s">
        <v>2090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B263" s="5">
        <v>43501</v>
      </c>
      <c r="AC263" s="5">
        <v>43501</v>
      </c>
      <c r="AD263" s="5">
        <v>43970.333333333336</v>
      </c>
      <c r="AE263" s="5">
        <v>43970.333333333336</v>
      </c>
      <c r="AG263" s="5">
        <v>44044</v>
      </c>
      <c r="AH263" s="5">
        <v>44044</v>
      </c>
      <c r="AK263" s="5">
        <v>43525.333333333336</v>
      </c>
      <c r="AL263" s="5">
        <v>43525.333333333336</v>
      </c>
      <c r="AP263" t="s">
        <v>418</v>
      </c>
      <c r="AU263" t="s">
        <v>2091</v>
      </c>
      <c r="AY263" t="s">
        <v>40</v>
      </c>
      <c r="AZ263">
        <v>0</v>
      </c>
      <c r="BA263">
        <v>0</v>
      </c>
      <c r="BI263" s="5">
        <v>44048.176388888889</v>
      </c>
      <c r="BJ263" s="5">
        <v>44048.176388888889</v>
      </c>
      <c r="BK263" t="s">
        <v>778</v>
      </c>
      <c r="BL263" t="s">
        <v>778</v>
      </c>
      <c r="BN263" t="s">
        <v>37</v>
      </c>
    </row>
    <row r="264" spans="1:66" x14ac:dyDescent="0.2">
      <c r="A264">
        <v>3692821</v>
      </c>
      <c r="B264">
        <v>21883</v>
      </c>
      <c r="C264">
        <v>524000</v>
      </c>
      <c r="D264">
        <v>52899</v>
      </c>
      <c r="E264">
        <v>0</v>
      </c>
      <c r="F264" t="s">
        <v>37</v>
      </c>
      <c r="G264">
        <v>1</v>
      </c>
      <c r="H264" t="s">
        <v>37</v>
      </c>
      <c r="I264" t="s">
        <v>37</v>
      </c>
      <c r="J264" t="s">
        <v>775</v>
      </c>
      <c r="K264" t="s">
        <v>423</v>
      </c>
      <c r="L264" t="s">
        <v>420</v>
      </c>
      <c r="M264" t="s">
        <v>417</v>
      </c>
      <c r="N264" t="s">
        <v>2092</v>
      </c>
      <c r="O264" t="s">
        <v>2093</v>
      </c>
      <c r="Q264">
        <v>-296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D264" s="5">
        <v>43991.666666666664</v>
      </c>
      <c r="AE264" s="5">
        <v>43991.666666666664</v>
      </c>
      <c r="AG264" s="5">
        <v>44049.666666666664</v>
      </c>
      <c r="AH264" s="5">
        <v>44049.666666666664</v>
      </c>
      <c r="AI264" s="5">
        <v>44049.666666666664</v>
      </c>
      <c r="AJ264" s="5">
        <v>44049.666666666664</v>
      </c>
      <c r="AK264" s="5">
        <v>44049.666666666664</v>
      </c>
      <c r="AL264" s="5">
        <v>44049.666666666664</v>
      </c>
      <c r="AM264" s="5">
        <v>43991.666666666664</v>
      </c>
      <c r="AN264" s="5">
        <v>43991.666666666664</v>
      </c>
      <c r="AP264" t="s">
        <v>418</v>
      </c>
      <c r="AU264" t="s">
        <v>1590</v>
      </c>
      <c r="AY264" t="s">
        <v>40</v>
      </c>
      <c r="AZ264">
        <v>0</v>
      </c>
      <c r="BA264">
        <v>0</v>
      </c>
      <c r="BI264" s="5">
        <v>44048.176388888889</v>
      </c>
      <c r="BJ264" s="5">
        <v>44048.176388888889</v>
      </c>
      <c r="BK264" t="s">
        <v>778</v>
      </c>
      <c r="BL264" t="s">
        <v>778</v>
      </c>
      <c r="BN264" t="s">
        <v>37</v>
      </c>
    </row>
    <row r="265" spans="1:66" x14ac:dyDescent="0.2">
      <c r="A265">
        <v>3692822</v>
      </c>
      <c r="B265">
        <v>21883</v>
      </c>
      <c r="C265">
        <v>523998</v>
      </c>
      <c r="D265">
        <v>52895</v>
      </c>
      <c r="E265">
        <v>0</v>
      </c>
      <c r="F265" t="s">
        <v>37</v>
      </c>
      <c r="G265">
        <v>1</v>
      </c>
      <c r="H265" t="s">
        <v>37</v>
      </c>
      <c r="I265" t="s">
        <v>37</v>
      </c>
      <c r="J265" t="s">
        <v>775</v>
      </c>
      <c r="K265" t="s">
        <v>423</v>
      </c>
      <c r="L265" t="s">
        <v>420</v>
      </c>
      <c r="M265" t="s">
        <v>417</v>
      </c>
      <c r="N265" t="s">
        <v>2094</v>
      </c>
      <c r="O265" t="s">
        <v>2095</v>
      </c>
      <c r="Q265">
        <v>-152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D265" s="5">
        <v>44273.666666666664</v>
      </c>
      <c r="AE265" s="5">
        <v>44273.666666666664</v>
      </c>
      <c r="AG265" s="5">
        <v>44292.666666666664</v>
      </c>
      <c r="AH265" s="5">
        <v>44292.666666666664</v>
      </c>
      <c r="AI265" s="5">
        <v>44292.666666666664</v>
      </c>
      <c r="AJ265" s="5">
        <v>44292.666666666664</v>
      </c>
      <c r="AK265" s="5">
        <v>44292.666666666664</v>
      </c>
      <c r="AL265" s="5">
        <v>44292.666666666664</v>
      </c>
      <c r="AM265" s="5">
        <v>44273.666666666664</v>
      </c>
      <c r="AN265" s="5">
        <v>44273.666666666664</v>
      </c>
      <c r="AP265" t="s">
        <v>418</v>
      </c>
      <c r="AU265" t="s">
        <v>2096</v>
      </c>
      <c r="AV265" t="s">
        <v>2097</v>
      </c>
      <c r="AY265" t="s">
        <v>40</v>
      </c>
      <c r="AZ265">
        <v>0</v>
      </c>
      <c r="BA265">
        <v>0</v>
      </c>
      <c r="BI265" s="5">
        <v>44048.176388888889</v>
      </c>
      <c r="BJ265" s="5">
        <v>44048.176388888889</v>
      </c>
      <c r="BK265" t="s">
        <v>778</v>
      </c>
      <c r="BL265" t="s">
        <v>778</v>
      </c>
      <c r="BN265" t="s">
        <v>37</v>
      </c>
    </row>
    <row r="266" spans="1:66" x14ac:dyDescent="0.2">
      <c r="A266">
        <v>3692823</v>
      </c>
      <c r="B266">
        <v>21883</v>
      </c>
      <c r="C266">
        <v>523998</v>
      </c>
      <c r="D266">
        <v>52895</v>
      </c>
      <c r="E266">
        <v>0</v>
      </c>
      <c r="F266" t="s">
        <v>37</v>
      </c>
      <c r="G266">
        <v>1</v>
      </c>
      <c r="H266" t="s">
        <v>37</v>
      </c>
      <c r="I266" t="s">
        <v>37</v>
      </c>
      <c r="J266" t="s">
        <v>775</v>
      </c>
      <c r="K266" t="s">
        <v>426</v>
      </c>
      <c r="L266" t="s">
        <v>226</v>
      </c>
      <c r="M266" t="s">
        <v>417</v>
      </c>
      <c r="N266" t="s">
        <v>2098</v>
      </c>
      <c r="O266" t="s">
        <v>2099</v>
      </c>
      <c r="Q266">
        <v>-152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D266" s="5">
        <v>44273.666666666664</v>
      </c>
      <c r="AE266" s="5">
        <v>44273.666666666664</v>
      </c>
      <c r="AG266" s="5">
        <v>44293.333333333336</v>
      </c>
      <c r="AH266" s="5">
        <v>44293.333333333336</v>
      </c>
      <c r="AI266" s="5">
        <v>44293.333333333336</v>
      </c>
      <c r="AJ266" s="5">
        <v>44293.333333333336</v>
      </c>
      <c r="AK266" s="5">
        <v>44293.333333333336</v>
      </c>
      <c r="AL266" s="5">
        <v>44293.333333333336</v>
      </c>
      <c r="AM266" s="5">
        <v>44273.666666666664</v>
      </c>
      <c r="AN266" s="5">
        <v>44273.666666666664</v>
      </c>
      <c r="AP266" t="s">
        <v>418</v>
      </c>
      <c r="AU266" t="s">
        <v>2100</v>
      </c>
      <c r="AV266" t="s">
        <v>2101</v>
      </c>
      <c r="AY266" t="s">
        <v>40</v>
      </c>
      <c r="AZ266">
        <v>0</v>
      </c>
      <c r="BA266">
        <v>0</v>
      </c>
      <c r="BI266" s="5">
        <v>44048.176388888889</v>
      </c>
      <c r="BJ266" s="5">
        <v>44048.176388888889</v>
      </c>
      <c r="BK266" t="s">
        <v>778</v>
      </c>
      <c r="BL266" t="s">
        <v>778</v>
      </c>
      <c r="BN266" t="s">
        <v>37</v>
      </c>
    </row>
    <row r="267" spans="1:66" x14ac:dyDescent="0.2">
      <c r="A267">
        <v>3692824</v>
      </c>
      <c r="B267">
        <v>21883</v>
      </c>
      <c r="C267">
        <v>523999</v>
      </c>
      <c r="D267">
        <v>52895</v>
      </c>
      <c r="E267">
        <v>100</v>
      </c>
      <c r="F267" t="s">
        <v>37</v>
      </c>
      <c r="G267">
        <v>1</v>
      </c>
      <c r="H267" t="s">
        <v>37</v>
      </c>
      <c r="I267" t="s">
        <v>37</v>
      </c>
      <c r="J267" t="s">
        <v>775</v>
      </c>
      <c r="K267" t="s">
        <v>426</v>
      </c>
      <c r="L267" t="s">
        <v>226</v>
      </c>
      <c r="M267" t="s">
        <v>422</v>
      </c>
      <c r="N267" t="s">
        <v>2102</v>
      </c>
      <c r="O267" t="s">
        <v>2103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B267" s="5">
        <v>42913.333333333336</v>
      </c>
      <c r="AC267" s="5">
        <v>43703.333333333336</v>
      </c>
      <c r="AK267" s="5">
        <v>43703.333333333336</v>
      </c>
      <c r="AL267" s="5">
        <v>43703.333333333336</v>
      </c>
      <c r="AP267" t="s">
        <v>418</v>
      </c>
      <c r="AU267" t="s">
        <v>2104</v>
      </c>
      <c r="AV267" t="s">
        <v>2105</v>
      </c>
      <c r="AY267" t="s">
        <v>37</v>
      </c>
      <c r="AZ267">
        <v>0</v>
      </c>
      <c r="BA267">
        <v>0</v>
      </c>
      <c r="BI267" s="5">
        <v>44048.176388888889</v>
      </c>
      <c r="BJ267" s="5">
        <v>44048.176388888889</v>
      </c>
      <c r="BK267" t="s">
        <v>778</v>
      </c>
      <c r="BL267" t="s">
        <v>778</v>
      </c>
      <c r="BN267" t="s">
        <v>37</v>
      </c>
    </row>
    <row r="268" spans="1:66" x14ac:dyDescent="0.2">
      <c r="A268">
        <v>3692825</v>
      </c>
      <c r="B268">
        <v>21883</v>
      </c>
      <c r="C268">
        <v>523999</v>
      </c>
      <c r="D268">
        <v>52895</v>
      </c>
      <c r="E268">
        <v>100</v>
      </c>
      <c r="F268" t="s">
        <v>37</v>
      </c>
      <c r="G268">
        <v>1</v>
      </c>
      <c r="H268" t="s">
        <v>37</v>
      </c>
      <c r="I268" t="s">
        <v>37</v>
      </c>
      <c r="J268" t="s">
        <v>775</v>
      </c>
      <c r="K268" t="s">
        <v>423</v>
      </c>
      <c r="L268" t="s">
        <v>420</v>
      </c>
      <c r="M268" t="s">
        <v>422</v>
      </c>
      <c r="N268" t="s">
        <v>2106</v>
      </c>
      <c r="O268" t="s">
        <v>2107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 s="5">
        <v>43677</v>
      </c>
      <c r="AB268" s="5">
        <v>43677</v>
      </c>
      <c r="AC268" s="5">
        <v>43677</v>
      </c>
      <c r="AD268" s="5">
        <v>44306.666666666664</v>
      </c>
      <c r="AE268" s="5">
        <v>44306.666666666664</v>
      </c>
      <c r="AG268" s="5">
        <v>44044</v>
      </c>
      <c r="AH268" s="5">
        <v>44044</v>
      </c>
      <c r="AK268" s="5">
        <v>43703.333333333336</v>
      </c>
      <c r="AL268" s="5">
        <v>43703.333333333336</v>
      </c>
      <c r="AO268" t="s">
        <v>427</v>
      </c>
      <c r="AP268" t="s">
        <v>418</v>
      </c>
      <c r="AU268" t="s">
        <v>2108</v>
      </c>
      <c r="AV268" t="s">
        <v>2109</v>
      </c>
      <c r="AY268" t="s">
        <v>37</v>
      </c>
      <c r="AZ268">
        <v>0</v>
      </c>
      <c r="BA268">
        <v>0</v>
      </c>
      <c r="BI268" s="5">
        <v>44048.176388888889</v>
      </c>
      <c r="BJ268" s="5">
        <v>44048.176388888889</v>
      </c>
      <c r="BK268" t="s">
        <v>778</v>
      </c>
      <c r="BL268" t="s">
        <v>778</v>
      </c>
      <c r="BN268" t="s">
        <v>37</v>
      </c>
    </row>
    <row r="269" spans="1:66" x14ac:dyDescent="0.2">
      <c r="A269">
        <v>3692826</v>
      </c>
      <c r="B269">
        <v>21883</v>
      </c>
      <c r="C269">
        <v>523998</v>
      </c>
      <c r="D269">
        <v>52895</v>
      </c>
      <c r="E269">
        <v>0</v>
      </c>
      <c r="F269" t="s">
        <v>37</v>
      </c>
      <c r="G269">
        <v>1</v>
      </c>
      <c r="H269" t="s">
        <v>37</v>
      </c>
      <c r="I269" t="s">
        <v>37</v>
      </c>
      <c r="J269" t="s">
        <v>775</v>
      </c>
      <c r="K269" t="s">
        <v>423</v>
      </c>
      <c r="L269" t="s">
        <v>420</v>
      </c>
      <c r="M269" t="s">
        <v>417</v>
      </c>
      <c r="N269" t="s">
        <v>2110</v>
      </c>
      <c r="O269" t="s">
        <v>2111</v>
      </c>
      <c r="Q269">
        <v>-160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D269" s="5">
        <v>44306.666666666664</v>
      </c>
      <c r="AE269" s="5">
        <v>44306.666666666664</v>
      </c>
      <c r="AG269" s="5">
        <v>44326.666666666664</v>
      </c>
      <c r="AH269" s="5">
        <v>44326.666666666664</v>
      </c>
      <c r="AI269" s="5">
        <v>44326.666666666664</v>
      </c>
      <c r="AJ269" s="5">
        <v>44326.666666666664</v>
      </c>
      <c r="AK269" s="5">
        <v>44326.666666666664</v>
      </c>
      <c r="AL269" s="5">
        <v>44326.666666666664</v>
      </c>
      <c r="AM269" s="5">
        <v>44306.666666666664</v>
      </c>
      <c r="AN269" s="5">
        <v>44306.666666666664</v>
      </c>
      <c r="AP269" t="s">
        <v>418</v>
      </c>
      <c r="AU269" t="s">
        <v>2112</v>
      </c>
      <c r="AV269" t="s">
        <v>2113</v>
      </c>
      <c r="AY269" t="s">
        <v>40</v>
      </c>
      <c r="AZ269">
        <v>0</v>
      </c>
      <c r="BA269">
        <v>0</v>
      </c>
      <c r="BI269" s="5">
        <v>44048.176388888889</v>
      </c>
      <c r="BJ269" s="5">
        <v>44048.176388888889</v>
      </c>
      <c r="BK269" t="s">
        <v>778</v>
      </c>
      <c r="BL269" t="s">
        <v>778</v>
      </c>
      <c r="BN269" t="s">
        <v>37</v>
      </c>
    </row>
    <row r="270" spans="1:66" x14ac:dyDescent="0.2">
      <c r="A270">
        <v>3692827</v>
      </c>
      <c r="B270">
        <v>21883</v>
      </c>
      <c r="C270">
        <v>523998</v>
      </c>
      <c r="D270">
        <v>52899</v>
      </c>
      <c r="E270">
        <v>0</v>
      </c>
      <c r="F270" t="s">
        <v>37</v>
      </c>
      <c r="G270">
        <v>1</v>
      </c>
      <c r="H270" t="s">
        <v>37</v>
      </c>
      <c r="I270" t="s">
        <v>37</v>
      </c>
      <c r="J270" t="s">
        <v>775</v>
      </c>
      <c r="K270" t="s">
        <v>230</v>
      </c>
      <c r="L270" t="s">
        <v>226</v>
      </c>
      <c r="M270" t="s">
        <v>417</v>
      </c>
      <c r="N270" t="s">
        <v>2114</v>
      </c>
      <c r="O270" t="s">
        <v>2115</v>
      </c>
      <c r="Q270">
        <v>-96</v>
      </c>
      <c r="R270">
        <v>0</v>
      </c>
      <c r="S270">
        <v>160</v>
      </c>
      <c r="T270">
        <v>0</v>
      </c>
      <c r="U270">
        <v>0</v>
      </c>
      <c r="V270">
        <v>0</v>
      </c>
      <c r="W270">
        <v>160</v>
      </c>
      <c r="X270">
        <v>0</v>
      </c>
      <c r="Y270">
        <v>0</v>
      </c>
      <c r="Z270">
        <v>0</v>
      </c>
      <c r="AD270" s="5">
        <v>44274.333333333336</v>
      </c>
      <c r="AE270" s="5">
        <v>44305.666666666664</v>
      </c>
      <c r="AG270" s="5">
        <v>44293.333333333336</v>
      </c>
      <c r="AH270" s="5">
        <v>44326.666666666664</v>
      </c>
      <c r="AI270" s="5">
        <v>44293.333333333336</v>
      </c>
      <c r="AJ270" s="5">
        <v>44326.666666666664</v>
      </c>
      <c r="AK270" s="5">
        <v>44293.333333333336</v>
      </c>
      <c r="AL270" s="5">
        <v>44326.666666666664</v>
      </c>
      <c r="AM270" s="5">
        <v>44274.333333333336</v>
      </c>
      <c r="AN270" s="5">
        <v>44305.666666666664</v>
      </c>
      <c r="AP270" t="s">
        <v>418</v>
      </c>
      <c r="AU270" t="s">
        <v>2116</v>
      </c>
      <c r="AV270" t="s">
        <v>2117</v>
      </c>
      <c r="AY270" t="s">
        <v>40</v>
      </c>
      <c r="AZ270">
        <v>0</v>
      </c>
      <c r="BA270">
        <v>0</v>
      </c>
      <c r="BI270" s="5">
        <v>44048.176388888889</v>
      </c>
      <c r="BJ270" s="5">
        <v>44048.176388888889</v>
      </c>
      <c r="BK270" t="s">
        <v>778</v>
      </c>
      <c r="BL270" t="s">
        <v>778</v>
      </c>
      <c r="BN270" t="s">
        <v>37</v>
      </c>
    </row>
    <row r="271" spans="1:66" x14ac:dyDescent="0.2">
      <c r="A271">
        <v>3692828</v>
      </c>
      <c r="B271">
        <v>21883</v>
      </c>
      <c r="C271">
        <v>523998</v>
      </c>
      <c r="D271">
        <v>52895</v>
      </c>
      <c r="E271">
        <v>0</v>
      </c>
      <c r="F271" t="s">
        <v>37</v>
      </c>
      <c r="G271">
        <v>1</v>
      </c>
      <c r="H271" t="s">
        <v>37</v>
      </c>
      <c r="I271" t="s">
        <v>37</v>
      </c>
      <c r="J271" t="s">
        <v>775</v>
      </c>
      <c r="K271" t="s">
        <v>423</v>
      </c>
      <c r="L271" t="s">
        <v>420</v>
      </c>
      <c r="M271" t="s">
        <v>417</v>
      </c>
      <c r="N271" t="s">
        <v>2118</v>
      </c>
      <c r="O271" t="s">
        <v>2119</v>
      </c>
      <c r="Q271">
        <v>-152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D271" s="5">
        <v>44273.666666666664</v>
      </c>
      <c r="AE271" s="5">
        <v>44273.666666666664</v>
      </c>
      <c r="AG271" s="5">
        <v>44292.666666666664</v>
      </c>
      <c r="AH271" s="5">
        <v>44292.666666666664</v>
      </c>
      <c r="AI271" s="5">
        <v>44292.666666666664</v>
      </c>
      <c r="AJ271" s="5">
        <v>44292.666666666664</v>
      </c>
      <c r="AK271" s="5">
        <v>44292.666666666664</v>
      </c>
      <c r="AL271" s="5">
        <v>44292.666666666664</v>
      </c>
      <c r="AM271" s="5">
        <v>44273.666666666664</v>
      </c>
      <c r="AN271" s="5">
        <v>44273.666666666664</v>
      </c>
      <c r="AP271" t="s">
        <v>418</v>
      </c>
      <c r="AU271" t="s">
        <v>2120</v>
      </c>
      <c r="AV271" t="e" cm="1">
        <f t="array" ref="AV271">+xrOs0FJlE+jqN77uHlkMw</f>
        <v>#NAME?</v>
      </c>
      <c r="AY271" t="s">
        <v>40</v>
      </c>
      <c r="AZ271">
        <v>0</v>
      </c>
      <c r="BA271">
        <v>0</v>
      </c>
      <c r="BI271" s="5">
        <v>44048.176388888889</v>
      </c>
      <c r="BJ271" s="5">
        <v>44048.176388888889</v>
      </c>
      <c r="BK271" t="s">
        <v>778</v>
      </c>
      <c r="BL271" t="s">
        <v>778</v>
      </c>
      <c r="BN271" t="s">
        <v>37</v>
      </c>
    </row>
    <row r="272" spans="1:66" x14ac:dyDescent="0.2">
      <c r="A272">
        <v>3692829</v>
      </c>
      <c r="B272">
        <v>21883</v>
      </c>
      <c r="C272">
        <v>523998</v>
      </c>
      <c r="D272">
        <v>52895</v>
      </c>
      <c r="E272">
        <v>100</v>
      </c>
      <c r="F272" t="s">
        <v>37</v>
      </c>
      <c r="G272">
        <v>1</v>
      </c>
      <c r="H272" t="s">
        <v>37</v>
      </c>
      <c r="I272" t="s">
        <v>37</v>
      </c>
      <c r="J272" t="s">
        <v>775</v>
      </c>
      <c r="K272" t="s">
        <v>419</v>
      </c>
      <c r="L272" t="s">
        <v>420</v>
      </c>
      <c r="M272" t="s">
        <v>422</v>
      </c>
      <c r="N272" t="s">
        <v>2121</v>
      </c>
      <c r="O272" t="s">
        <v>2122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B272" s="5">
        <v>43210.333333333336</v>
      </c>
      <c r="AC272" s="5">
        <v>43210.333333333336</v>
      </c>
      <c r="AD272" s="5">
        <v>43970.333333333336</v>
      </c>
      <c r="AE272" s="5">
        <v>43970.333333333336</v>
      </c>
      <c r="AG272" s="5">
        <v>44044</v>
      </c>
      <c r="AH272" s="5">
        <v>44044</v>
      </c>
      <c r="AK272" s="5">
        <v>43230.333333333336</v>
      </c>
      <c r="AL272" s="5">
        <v>43230.333333333336</v>
      </c>
      <c r="AP272" t="s">
        <v>418</v>
      </c>
      <c r="AU272" t="s">
        <v>2123</v>
      </c>
      <c r="AV272" t="s">
        <v>2124</v>
      </c>
      <c r="AY272" t="s">
        <v>40</v>
      </c>
      <c r="AZ272">
        <v>0</v>
      </c>
      <c r="BA272">
        <v>0</v>
      </c>
      <c r="BI272" s="5">
        <v>44048.176388888889</v>
      </c>
      <c r="BJ272" s="5">
        <v>44048.176388888889</v>
      </c>
      <c r="BK272" t="s">
        <v>778</v>
      </c>
      <c r="BL272" t="s">
        <v>778</v>
      </c>
      <c r="BN272" t="s">
        <v>37</v>
      </c>
    </row>
    <row r="273" spans="1:66" x14ac:dyDescent="0.2">
      <c r="A273">
        <v>3692830</v>
      </c>
      <c r="B273">
        <v>21883</v>
      </c>
      <c r="C273">
        <v>523998</v>
      </c>
      <c r="D273">
        <v>52895</v>
      </c>
      <c r="E273">
        <v>100</v>
      </c>
      <c r="F273" t="s">
        <v>37</v>
      </c>
      <c r="G273">
        <v>1</v>
      </c>
      <c r="H273" t="s">
        <v>37</v>
      </c>
      <c r="I273" t="s">
        <v>37</v>
      </c>
      <c r="J273" t="s">
        <v>775</v>
      </c>
      <c r="K273" t="s">
        <v>419</v>
      </c>
      <c r="L273" t="s">
        <v>420</v>
      </c>
      <c r="M273" t="s">
        <v>422</v>
      </c>
      <c r="N273" t="s">
        <v>2125</v>
      </c>
      <c r="O273" t="s">
        <v>2126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 s="5">
        <v>42975.333333333336</v>
      </c>
      <c r="AB273" s="5">
        <v>42975.333333333336</v>
      </c>
      <c r="AC273" s="5">
        <v>42975.333333333336</v>
      </c>
      <c r="AD273" s="5">
        <v>43970.333333333336</v>
      </c>
      <c r="AE273" s="5">
        <v>43970.333333333336</v>
      </c>
      <c r="AG273" s="5">
        <v>44044</v>
      </c>
      <c r="AH273" s="5">
        <v>44044</v>
      </c>
      <c r="AK273" s="5">
        <v>43160.333333333336</v>
      </c>
      <c r="AL273" s="5">
        <v>43160.333333333336</v>
      </c>
      <c r="AO273" t="s">
        <v>1523</v>
      </c>
      <c r="AP273" t="s">
        <v>418</v>
      </c>
      <c r="AU273" t="s">
        <v>2127</v>
      </c>
      <c r="AV273" t="s">
        <v>2128</v>
      </c>
      <c r="AY273" t="s">
        <v>40</v>
      </c>
      <c r="AZ273">
        <v>0</v>
      </c>
      <c r="BA273">
        <v>0</v>
      </c>
      <c r="BI273" s="5">
        <v>44048.176388888889</v>
      </c>
      <c r="BJ273" s="5">
        <v>44048.176388888889</v>
      </c>
      <c r="BK273" t="s">
        <v>778</v>
      </c>
      <c r="BL273" t="s">
        <v>778</v>
      </c>
      <c r="BN273" t="s">
        <v>37</v>
      </c>
    </row>
    <row r="274" spans="1:66" x14ac:dyDescent="0.2">
      <c r="A274">
        <v>3692831</v>
      </c>
      <c r="B274">
        <v>21883</v>
      </c>
      <c r="C274">
        <v>523999</v>
      </c>
      <c r="D274">
        <v>52899</v>
      </c>
      <c r="E274">
        <v>100</v>
      </c>
      <c r="F274" t="s">
        <v>37</v>
      </c>
      <c r="G274">
        <v>1</v>
      </c>
      <c r="H274" t="s">
        <v>37</v>
      </c>
      <c r="I274" t="s">
        <v>37</v>
      </c>
      <c r="J274" t="s">
        <v>775</v>
      </c>
      <c r="K274" t="s">
        <v>230</v>
      </c>
      <c r="L274" t="s">
        <v>226</v>
      </c>
      <c r="M274" t="s">
        <v>422</v>
      </c>
      <c r="N274" t="s">
        <v>2129</v>
      </c>
      <c r="O274" t="s">
        <v>2130</v>
      </c>
      <c r="S274">
        <v>0</v>
      </c>
      <c r="T274">
        <v>0</v>
      </c>
      <c r="U274">
        <v>0</v>
      </c>
      <c r="V274">
        <v>0</v>
      </c>
      <c r="W274">
        <v>24</v>
      </c>
      <c r="X274">
        <v>0</v>
      </c>
      <c r="Y274">
        <v>0</v>
      </c>
      <c r="Z274">
        <v>0</v>
      </c>
      <c r="AB274" s="5">
        <v>43677</v>
      </c>
      <c r="AC274" s="5">
        <v>43677</v>
      </c>
      <c r="AD274" s="5">
        <v>44306.666666666664</v>
      </c>
      <c r="AE274" s="5">
        <v>44306.666666666664</v>
      </c>
      <c r="AG274" s="5">
        <v>44044</v>
      </c>
      <c r="AH274" s="5">
        <v>44044</v>
      </c>
      <c r="AK274" s="5">
        <v>43678.333333333336</v>
      </c>
      <c r="AL274" s="5">
        <v>43683.666666666664</v>
      </c>
      <c r="AP274" t="s">
        <v>418</v>
      </c>
      <c r="AU274" t="s">
        <v>2131</v>
      </c>
      <c r="AV274" t="s">
        <v>2132</v>
      </c>
      <c r="AY274" t="s">
        <v>37</v>
      </c>
      <c r="AZ274">
        <v>0</v>
      </c>
      <c r="BA274">
        <v>0</v>
      </c>
      <c r="BI274" s="5">
        <v>44048.176388888889</v>
      </c>
      <c r="BJ274" s="5">
        <v>44048.176388888889</v>
      </c>
      <c r="BK274" t="s">
        <v>778</v>
      </c>
      <c r="BL274" t="s">
        <v>778</v>
      </c>
      <c r="BN274" t="s">
        <v>37</v>
      </c>
    </row>
    <row r="275" spans="1:66" x14ac:dyDescent="0.2">
      <c r="A275">
        <v>3692832</v>
      </c>
      <c r="B275">
        <v>21883</v>
      </c>
      <c r="C275">
        <v>523999</v>
      </c>
      <c r="D275">
        <v>52897</v>
      </c>
      <c r="E275">
        <v>100</v>
      </c>
      <c r="F275" t="s">
        <v>37</v>
      </c>
      <c r="G275">
        <v>1</v>
      </c>
      <c r="H275" t="s">
        <v>37</v>
      </c>
      <c r="I275" t="s">
        <v>37</v>
      </c>
      <c r="J275" t="s">
        <v>775</v>
      </c>
      <c r="K275" t="s">
        <v>230</v>
      </c>
      <c r="L275" t="s">
        <v>226</v>
      </c>
      <c r="M275" t="s">
        <v>422</v>
      </c>
      <c r="N275" t="s">
        <v>2133</v>
      </c>
      <c r="O275" t="s">
        <v>2134</v>
      </c>
      <c r="S275">
        <v>0</v>
      </c>
      <c r="T275">
        <v>0</v>
      </c>
      <c r="U275">
        <v>0</v>
      </c>
      <c r="V275">
        <v>0</v>
      </c>
      <c r="W275">
        <v>8</v>
      </c>
      <c r="X275">
        <v>0</v>
      </c>
      <c r="Y275">
        <v>0</v>
      </c>
      <c r="Z275">
        <v>0</v>
      </c>
      <c r="AB275" s="5">
        <v>43831</v>
      </c>
      <c r="AC275" s="5">
        <v>43831</v>
      </c>
      <c r="AD275" s="5">
        <v>44306.666666666664</v>
      </c>
      <c r="AE275" s="5">
        <v>44306.666666666664</v>
      </c>
      <c r="AG275" s="5">
        <v>44044</v>
      </c>
      <c r="AH275" s="5">
        <v>44044</v>
      </c>
      <c r="AK275" s="5">
        <v>43865.333333333336</v>
      </c>
      <c r="AL275" s="5">
        <v>43865.666666666664</v>
      </c>
      <c r="AP275" t="s">
        <v>418</v>
      </c>
      <c r="AU275" t="s">
        <v>2135</v>
      </c>
      <c r="AV275" t="e" cm="1">
        <f t="array" ref="AV275">+AyOkz7ai0+nfKgUs0LxUA</f>
        <v>#NAME?</v>
      </c>
      <c r="AY275" t="s">
        <v>37</v>
      </c>
      <c r="AZ275">
        <v>0</v>
      </c>
      <c r="BA275">
        <v>0</v>
      </c>
      <c r="BI275" s="5">
        <v>44048.176388888889</v>
      </c>
      <c r="BJ275" s="5">
        <v>44048.176388888889</v>
      </c>
      <c r="BK275" t="s">
        <v>778</v>
      </c>
      <c r="BL275" t="s">
        <v>778</v>
      </c>
      <c r="BN275" t="s">
        <v>37</v>
      </c>
    </row>
    <row r="276" spans="1:66" x14ac:dyDescent="0.2">
      <c r="A276">
        <v>3692833</v>
      </c>
      <c r="B276">
        <v>21883</v>
      </c>
      <c r="C276">
        <v>523997</v>
      </c>
      <c r="D276">
        <v>52897</v>
      </c>
      <c r="E276">
        <v>100</v>
      </c>
      <c r="F276" t="s">
        <v>37</v>
      </c>
      <c r="G276">
        <v>1</v>
      </c>
      <c r="H276" t="s">
        <v>37</v>
      </c>
      <c r="I276" t="s">
        <v>37</v>
      </c>
      <c r="J276" t="s">
        <v>775</v>
      </c>
      <c r="K276" t="s">
        <v>230</v>
      </c>
      <c r="L276" t="s">
        <v>226</v>
      </c>
      <c r="M276" t="s">
        <v>422</v>
      </c>
      <c r="N276" t="s">
        <v>2136</v>
      </c>
      <c r="O276" t="s">
        <v>2137</v>
      </c>
      <c r="S276">
        <v>0</v>
      </c>
      <c r="T276">
        <v>0</v>
      </c>
      <c r="U276">
        <v>0</v>
      </c>
      <c r="V276">
        <v>0</v>
      </c>
      <c r="W276">
        <v>16</v>
      </c>
      <c r="X276">
        <v>0</v>
      </c>
      <c r="Y276">
        <v>0</v>
      </c>
      <c r="Z276">
        <v>0</v>
      </c>
      <c r="AB276" s="5">
        <v>43888</v>
      </c>
      <c r="AC276" s="5">
        <v>43889</v>
      </c>
      <c r="AD276" s="5">
        <v>43970.333333333336</v>
      </c>
      <c r="AE276" s="5">
        <v>43970.333333333336</v>
      </c>
      <c r="AG276" s="5">
        <v>44044</v>
      </c>
      <c r="AH276" s="5">
        <v>44044</v>
      </c>
      <c r="AK276" s="5">
        <v>43875.333333333336</v>
      </c>
      <c r="AL276" s="5">
        <v>43878.666666666664</v>
      </c>
      <c r="AP276" t="s">
        <v>418</v>
      </c>
      <c r="AU276" t="s">
        <v>2138</v>
      </c>
      <c r="AV276" t="s">
        <v>2139</v>
      </c>
      <c r="AY276" t="s">
        <v>40</v>
      </c>
      <c r="AZ276">
        <v>0</v>
      </c>
      <c r="BA276">
        <v>0</v>
      </c>
      <c r="BI276" s="5">
        <v>44048.176388888889</v>
      </c>
      <c r="BJ276" s="5">
        <v>44048.176388888889</v>
      </c>
      <c r="BK276" t="s">
        <v>778</v>
      </c>
      <c r="BL276" t="s">
        <v>778</v>
      </c>
      <c r="BN276" t="s">
        <v>37</v>
      </c>
    </row>
    <row r="277" spans="1:66" x14ac:dyDescent="0.2">
      <c r="A277">
        <v>3692834</v>
      </c>
      <c r="B277">
        <v>21883</v>
      </c>
      <c r="C277">
        <v>523999</v>
      </c>
      <c r="D277">
        <v>52895</v>
      </c>
      <c r="E277">
        <v>100</v>
      </c>
      <c r="F277" t="s">
        <v>37</v>
      </c>
      <c r="G277">
        <v>1</v>
      </c>
      <c r="H277" t="s">
        <v>37</v>
      </c>
      <c r="I277" t="s">
        <v>37</v>
      </c>
      <c r="J277" t="s">
        <v>775</v>
      </c>
      <c r="K277" t="s">
        <v>230</v>
      </c>
      <c r="L277" t="s">
        <v>226</v>
      </c>
      <c r="M277" t="s">
        <v>422</v>
      </c>
      <c r="N277" t="s">
        <v>2140</v>
      </c>
      <c r="O277" t="s">
        <v>2141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B277" s="5">
        <v>43831</v>
      </c>
      <c r="AC277" s="5">
        <v>43831</v>
      </c>
      <c r="AD277" s="5">
        <v>44306.666666666664</v>
      </c>
      <c r="AE277" s="5">
        <v>44306.666666666664</v>
      </c>
      <c r="AG277" s="5">
        <v>44044</v>
      </c>
      <c r="AH277" s="5">
        <v>44044</v>
      </c>
      <c r="AK277" s="5">
        <v>43862.333333333336</v>
      </c>
      <c r="AL277" s="5">
        <v>43862.333333333336</v>
      </c>
      <c r="AP277" t="s">
        <v>418</v>
      </c>
      <c r="AU277" t="s">
        <v>2142</v>
      </c>
      <c r="AV277" t="s">
        <v>2143</v>
      </c>
      <c r="AY277" t="s">
        <v>37</v>
      </c>
      <c r="AZ277">
        <v>0</v>
      </c>
      <c r="BA277">
        <v>0</v>
      </c>
      <c r="BI277" s="5">
        <v>44048.176388888889</v>
      </c>
      <c r="BJ277" s="5">
        <v>44048.176388888889</v>
      </c>
      <c r="BK277" t="s">
        <v>778</v>
      </c>
      <c r="BL277" t="s">
        <v>778</v>
      </c>
      <c r="BN277" t="s">
        <v>37</v>
      </c>
    </row>
    <row r="278" spans="1:66" x14ac:dyDescent="0.2">
      <c r="A278">
        <v>3692835</v>
      </c>
      <c r="B278">
        <v>21883</v>
      </c>
      <c r="C278">
        <v>523997</v>
      </c>
      <c r="D278">
        <v>52897</v>
      </c>
      <c r="E278">
        <v>100</v>
      </c>
      <c r="F278" t="s">
        <v>37</v>
      </c>
      <c r="G278">
        <v>1</v>
      </c>
      <c r="H278" t="s">
        <v>37</v>
      </c>
      <c r="I278" t="s">
        <v>37</v>
      </c>
      <c r="J278" t="s">
        <v>775</v>
      </c>
      <c r="K278" t="s">
        <v>230</v>
      </c>
      <c r="L278" t="s">
        <v>226</v>
      </c>
      <c r="M278" t="s">
        <v>422</v>
      </c>
      <c r="N278" t="s">
        <v>2144</v>
      </c>
      <c r="O278" t="s">
        <v>2145</v>
      </c>
      <c r="S278">
        <v>0</v>
      </c>
      <c r="T278">
        <v>0</v>
      </c>
      <c r="U278">
        <v>0</v>
      </c>
      <c r="V278">
        <v>0</v>
      </c>
      <c r="W278">
        <v>24</v>
      </c>
      <c r="X278">
        <v>0</v>
      </c>
      <c r="Y278">
        <v>0</v>
      </c>
      <c r="Z278">
        <v>0</v>
      </c>
      <c r="AB278" s="5">
        <v>43853</v>
      </c>
      <c r="AC278" s="5">
        <v>43861</v>
      </c>
      <c r="AD278" s="5">
        <v>43970.333333333336</v>
      </c>
      <c r="AE278" s="5">
        <v>43970.333333333336</v>
      </c>
      <c r="AG278" s="5">
        <v>44044</v>
      </c>
      <c r="AH278" s="5">
        <v>44044</v>
      </c>
      <c r="AK278" s="5">
        <v>43833.333333333336</v>
      </c>
      <c r="AL278" s="5">
        <v>43837.666666666664</v>
      </c>
      <c r="AP278" t="s">
        <v>418</v>
      </c>
      <c r="AU278" t="s">
        <v>2146</v>
      </c>
      <c r="AV278" t="s">
        <v>2147</v>
      </c>
      <c r="AY278" t="s">
        <v>40</v>
      </c>
      <c r="AZ278">
        <v>0</v>
      </c>
      <c r="BA278">
        <v>0</v>
      </c>
      <c r="BI278" s="5">
        <v>44048.176388888889</v>
      </c>
      <c r="BJ278" s="5">
        <v>44048.176388888889</v>
      </c>
      <c r="BK278" t="s">
        <v>778</v>
      </c>
      <c r="BL278" t="s">
        <v>778</v>
      </c>
      <c r="BN278" t="s">
        <v>37</v>
      </c>
    </row>
    <row r="279" spans="1:66" x14ac:dyDescent="0.2">
      <c r="A279">
        <v>3692836</v>
      </c>
      <c r="B279">
        <v>21883</v>
      </c>
      <c r="C279">
        <v>523997</v>
      </c>
      <c r="D279">
        <v>52896</v>
      </c>
      <c r="E279">
        <v>100</v>
      </c>
      <c r="F279" t="s">
        <v>37</v>
      </c>
      <c r="G279">
        <v>1</v>
      </c>
      <c r="H279" t="s">
        <v>37</v>
      </c>
      <c r="I279" t="s">
        <v>37</v>
      </c>
      <c r="J279" t="s">
        <v>775</v>
      </c>
      <c r="K279" t="s">
        <v>230</v>
      </c>
      <c r="L279" t="s">
        <v>226</v>
      </c>
      <c r="M279" t="s">
        <v>422</v>
      </c>
      <c r="N279" t="s">
        <v>2148</v>
      </c>
      <c r="O279" t="s">
        <v>2149</v>
      </c>
      <c r="S279">
        <v>0</v>
      </c>
      <c r="T279">
        <v>0</v>
      </c>
      <c r="U279">
        <v>0</v>
      </c>
      <c r="V279">
        <v>0</v>
      </c>
      <c r="W279">
        <v>80</v>
      </c>
      <c r="X279">
        <v>0</v>
      </c>
      <c r="Y279">
        <v>0</v>
      </c>
      <c r="Z279">
        <v>0</v>
      </c>
      <c r="AB279" s="5">
        <v>43746</v>
      </c>
      <c r="AC279" s="5">
        <v>43763</v>
      </c>
      <c r="AD279" s="5">
        <v>43970.333333333336</v>
      </c>
      <c r="AE279" s="5">
        <v>43970.333333333336</v>
      </c>
      <c r="AG279" s="5">
        <v>44044</v>
      </c>
      <c r="AH279" s="5">
        <v>44044</v>
      </c>
      <c r="AK279" s="5">
        <v>43739.333333333336</v>
      </c>
      <c r="AL279" s="5">
        <v>43752.666666666664</v>
      </c>
      <c r="AP279" t="s">
        <v>418</v>
      </c>
      <c r="AU279" t="s">
        <v>2150</v>
      </c>
      <c r="AV279" t="s">
        <v>2151</v>
      </c>
      <c r="AY279" t="s">
        <v>40</v>
      </c>
      <c r="AZ279">
        <v>0</v>
      </c>
      <c r="BA279">
        <v>0</v>
      </c>
      <c r="BI279" s="5">
        <v>44048.176388888889</v>
      </c>
      <c r="BJ279" s="5">
        <v>44048.176388888889</v>
      </c>
      <c r="BK279" t="s">
        <v>778</v>
      </c>
      <c r="BL279" t="s">
        <v>778</v>
      </c>
      <c r="BN279" t="s">
        <v>37</v>
      </c>
    </row>
    <row r="280" spans="1:66" x14ac:dyDescent="0.2">
      <c r="A280">
        <v>3692837</v>
      </c>
      <c r="B280">
        <v>21883</v>
      </c>
      <c r="C280">
        <v>523997</v>
      </c>
      <c r="D280">
        <v>52897</v>
      </c>
      <c r="E280">
        <v>100</v>
      </c>
      <c r="F280" t="s">
        <v>37</v>
      </c>
      <c r="G280">
        <v>1</v>
      </c>
      <c r="H280" t="s">
        <v>37</v>
      </c>
      <c r="I280" t="s">
        <v>37</v>
      </c>
      <c r="J280" t="s">
        <v>775</v>
      </c>
      <c r="K280" t="s">
        <v>230</v>
      </c>
      <c r="L280" t="s">
        <v>226</v>
      </c>
      <c r="M280" t="s">
        <v>422</v>
      </c>
      <c r="N280" t="s">
        <v>2152</v>
      </c>
      <c r="O280" t="s">
        <v>2153</v>
      </c>
      <c r="S280">
        <v>0</v>
      </c>
      <c r="T280">
        <v>0</v>
      </c>
      <c r="U280">
        <v>0</v>
      </c>
      <c r="V280">
        <v>0</v>
      </c>
      <c r="W280">
        <v>32</v>
      </c>
      <c r="X280">
        <v>0</v>
      </c>
      <c r="Y280">
        <v>0</v>
      </c>
      <c r="Z280">
        <v>0</v>
      </c>
      <c r="AB280" s="5">
        <v>43735</v>
      </c>
      <c r="AC280" s="5">
        <v>43740</v>
      </c>
      <c r="AD280" s="5">
        <v>43970.333333333336</v>
      </c>
      <c r="AE280" s="5">
        <v>43970.333333333336</v>
      </c>
      <c r="AG280" s="5">
        <v>44044</v>
      </c>
      <c r="AH280" s="5">
        <v>44044</v>
      </c>
      <c r="AK280" s="5">
        <v>43739.333333333336</v>
      </c>
      <c r="AL280" s="5">
        <v>43742.666666666664</v>
      </c>
      <c r="AP280" t="s">
        <v>418</v>
      </c>
      <c r="AU280" t="s">
        <v>2154</v>
      </c>
      <c r="AV280" t="s">
        <v>2155</v>
      </c>
      <c r="AY280" t="s">
        <v>40</v>
      </c>
      <c r="AZ280">
        <v>0</v>
      </c>
      <c r="BA280">
        <v>0</v>
      </c>
      <c r="BI280" s="5">
        <v>44048.176388888889</v>
      </c>
      <c r="BJ280" s="5">
        <v>44048.176388888889</v>
      </c>
      <c r="BK280" t="s">
        <v>778</v>
      </c>
      <c r="BL280" t="s">
        <v>778</v>
      </c>
      <c r="BN280" t="s">
        <v>37</v>
      </c>
    </row>
    <row r="281" spans="1:66" x14ac:dyDescent="0.2">
      <c r="A281">
        <v>3692838</v>
      </c>
      <c r="B281">
        <v>21883</v>
      </c>
      <c r="C281">
        <v>523997</v>
      </c>
      <c r="D281">
        <v>52899</v>
      </c>
      <c r="E281">
        <v>100</v>
      </c>
      <c r="F281" t="s">
        <v>37</v>
      </c>
      <c r="G281">
        <v>1</v>
      </c>
      <c r="H281" t="s">
        <v>37</v>
      </c>
      <c r="I281" t="s">
        <v>37</v>
      </c>
      <c r="J281" t="s">
        <v>775</v>
      </c>
      <c r="K281" t="s">
        <v>230</v>
      </c>
      <c r="L281" t="s">
        <v>226</v>
      </c>
      <c r="M281" t="s">
        <v>422</v>
      </c>
      <c r="N281" t="s">
        <v>2156</v>
      </c>
      <c r="O281" t="s">
        <v>2157</v>
      </c>
      <c r="S281">
        <v>0</v>
      </c>
      <c r="T281">
        <v>0</v>
      </c>
      <c r="U281">
        <v>0</v>
      </c>
      <c r="V281">
        <v>0</v>
      </c>
      <c r="W281">
        <v>8</v>
      </c>
      <c r="X281">
        <v>0</v>
      </c>
      <c r="Y281">
        <v>0</v>
      </c>
      <c r="Z281">
        <v>0</v>
      </c>
      <c r="AB281" s="5">
        <v>43663</v>
      </c>
      <c r="AC281" s="5">
        <v>43663</v>
      </c>
      <c r="AD281" s="5">
        <v>43970.333333333336</v>
      </c>
      <c r="AE281" s="5">
        <v>43970.333333333336</v>
      </c>
      <c r="AG281" s="5">
        <v>44044</v>
      </c>
      <c r="AH281" s="5">
        <v>44044</v>
      </c>
      <c r="AK281" s="5">
        <v>43724.333333333336</v>
      </c>
      <c r="AL281" s="5">
        <v>43724.666666666664</v>
      </c>
      <c r="AP281" t="s">
        <v>418</v>
      </c>
      <c r="AU281" t="s">
        <v>2158</v>
      </c>
      <c r="AV281" t="s">
        <v>2159</v>
      </c>
      <c r="AY281" t="s">
        <v>40</v>
      </c>
      <c r="AZ281">
        <v>0</v>
      </c>
      <c r="BA281">
        <v>0</v>
      </c>
      <c r="BI281" s="5">
        <v>44048.176388888889</v>
      </c>
      <c r="BJ281" s="5">
        <v>44048.176388888889</v>
      </c>
      <c r="BK281" t="s">
        <v>778</v>
      </c>
      <c r="BL281" t="s">
        <v>778</v>
      </c>
      <c r="BN281" t="s">
        <v>37</v>
      </c>
    </row>
    <row r="282" spans="1:66" x14ac:dyDescent="0.2">
      <c r="A282">
        <v>3692839</v>
      </c>
      <c r="B282">
        <v>21883</v>
      </c>
      <c r="C282">
        <v>523999</v>
      </c>
      <c r="D282">
        <v>52897</v>
      </c>
      <c r="E282">
        <v>100</v>
      </c>
      <c r="F282" t="s">
        <v>37</v>
      </c>
      <c r="G282">
        <v>1</v>
      </c>
      <c r="H282" t="s">
        <v>37</v>
      </c>
      <c r="I282" t="s">
        <v>37</v>
      </c>
      <c r="J282" t="s">
        <v>775</v>
      </c>
      <c r="K282" t="s">
        <v>230</v>
      </c>
      <c r="L282" t="s">
        <v>226</v>
      </c>
      <c r="M282" t="s">
        <v>422</v>
      </c>
      <c r="N282" t="s">
        <v>2160</v>
      </c>
      <c r="O282" t="s">
        <v>2161</v>
      </c>
      <c r="S282">
        <v>0</v>
      </c>
      <c r="T282">
        <v>0</v>
      </c>
      <c r="U282">
        <v>0</v>
      </c>
      <c r="V282">
        <v>0</v>
      </c>
      <c r="W282">
        <v>16</v>
      </c>
      <c r="X282">
        <v>0</v>
      </c>
      <c r="Y282">
        <v>0</v>
      </c>
      <c r="Z282">
        <v>0</v>
      </c>
      <c r="AB282" s="5">
        <v>43831</v>
      </c>
      <c r="AC282" s="5">
        <v>43831</v>
      </c>
      <c r="AD282" s="5">
        <v>44306.666666666664</v>
      </c>
      <c r="AE282" s="5">
        <v>44306.666666666664</v>
      </c>
      <c r="AG282" s="5">
        <v>44044</v>
      </c>
      <c r="AH282" s="5">
        <v>44044</v>
      </c>
      <c r="AK282" s="5">
        <v>43833.333333333336</v>
      </c>
      <c r="AL282" s="5">
        <v>43836.666666666664</v>
      </c>
      <c r="AP282" t="s">
        <v>418</v>
      </c>
      <c r="AU282" t="s">
        <v>2162</v>
      </c>
      <c r="AV282" t="s">
        <v>2163</v>
      </c>
      <c r="AY282" t="s">
        <v>37</v>
      </c>
      <c r="AZ282">
        <v>0</v>
      </c>
      <c r="BA282">
        <v>0</v>
      </c>
      <c r="BI282" s="5">
        <v>44048.176388888889</v>
      </c>
      <c r="BJ282" s="5">
        <v>44048.176388888889</v>
      </c>
      <c r="BK282" t="s">
        <v>778</v>
      </c>
      <c r="BL282" t="s">
        <v>778</v>
      </c>
      <c r="BN282" t="s">
        <v>37</v>
      </c>
    </row>
    <row r="283" spans="1:66" x14ac:dyDescent="0.2">
      <c r="A283">
        <v>3692840</v>
      </c>
      <c r="B283">
        <v>21883</v>
      </c>
      <c r="C283">
        <v>523997</v>
      </c>
      <c r="D283">
        <v>52897</v>
      </c>
      <c r="E283">
        <v>100</v>
      </c>
      <c r="F283" t="s">
        <v>37</v>
      </c>
      <c r="G283">
        <v>1</v>
      </c>
      <c r="H283" t="s">
        <v>37</v>
      </c>
      <c r="I283" t="s">
        <v>37</v>
      </c>
      <c r="J283" t="s">
        <v>775</v>
      </c>
      <c r="K283" t="s">
        <v>230</v>
      </c>
      <c r="L283" t="s">
        <v>226</v>
      </c>
      <c r="M283" t="s">
        <v>422</v>
      </c>
      <c r="N283" t="s">
        <v>2164</v>
      </c>
      <c r="O283" t="s">
        <v>2165</v>
      </c>
      <c r="S283">
        <v>0</v>
      </c>
      <c r="T283">
        <v>0</v>
      </c>
      <c r="U283">
        <v>0</v>
      </c>
      <c r="V283">
        <v>0</v>
      </c>
      <c r="W283">
        <v>32</v>
      </c>
      <c r="X283">
        <v>0</v>
      </c>
      <c r="Y283">
        <v>0</v>
      </c>
      <c r="Z283">
        <v>0</v>
      </c>
      <c r="AB283" s="5">
        <v>43741</v>
      </c>
      <c r="AC283" s="5">
        <v>43752</v>
      </c>
      <c r="AD283" s="5">
        <v>43970.333333333336</v>
      </c>
      <c r="AE283" s="5">
        <v>43970.333333333336</v>
      </c>
      <c r="AG283" s="5">
        <v>44044</v>
      </c>
      <c r="AH283" s="5">
        <v>44044</v>
      </c>
      <c r="AK283" s="5">
        <v>43739.333333333336</v>
      </c>
      <c r="AL283" s="5">
        <v>43742.666666666664</v>
      </c>
      <c r="AP283" t="s">
        <v>418</v>
      </c>
      <c r="AU283" t="s">
        <v>2166</v>
      </c>
      <c r="AV283" t="s">
        <v>2167</v>
      </c>
      <c r="AY283" t="s">
        <v>40</v>
      </c>
      <c r="AZ283">
        <v>0</v>
      </c>
      <c r="BA283">
        <v>0</v>
      </c>
      <c r="BI283" s="5">
        <v>44048.176388888889</v>
      </c>
      <c r="BJ283" s="5">
        <v>44048.176388888889</v>
      </c>
      <c r="BK283" t="s">
        <v>778</v>
      </c>
      <c r="BL283" t="s">
        <v>778</v>
      </c>
      <c r="BN283" t="s">
        <v>37</v>
      </c>
    </row>
    <row r="284" spans="1:66" x14ac:dyDescent="0.2">
      <c r="A284">
        <v>3692841</v>
      </c>
      <c r="B284">
        <v>21883</v>
      </c>
      <c r="C284">
        <v>523997</v>
      </c>
      <c r="D284">
        <v>52897</v>
      </c>
      <c r="E284">
        <v>100</v>
      </c>
      <c r="F284" t="s">
        <v>37</v>
      </c>
      <c r="G284">
        <v>1</v>
      </c>
      <c r="H284" t="s">
        <v>37</v>
      </c>
      <c r="I284" t="s">
        <v>37</v>
      </c>
      <c r="J284" t="s">
        <v>775</v>
      </c>
      <c r="K284" t="s">
        <v>230</v>
      </c>
      <c r="L284" t="s">
        <v>226</v>
      </c>
      <c r="M284" t="s">
        <v>422</v>
      </c>
      <c r="N284" t="s">
        <v>2168</v>
      </c>
      <c r="O284" t="s">
        <v>2169</v>
      </c>
      <c r="S284">
        <v>0</v>
      </c>
      <c r="T284">
        <v>0</v>
      </c>
      <c r="U284">
        <v>0</v>
      </c>
      <c r="V284">
        <v>0</v>
      </c>
      <c r="W284">
        <v>80</v>
      </c>
      <c r="X284">
        <v>0</v>
      </c>
      <c r="Y284">
        <v>0</v>
      </c>
      <c r="Z284">
        <v>0</v>
      </c>
      <c r="AB284" s="5">
        <v>43726</v>
      </c>
      <c r="AC284" s="5">
        <v>43731</v>
      </c>
      <c r="AD284" s="5">
        <v>43970.333333333336</v>
      </c>
      <c r="AE284" s="5">
        <v>43970.333333333336</v>
      </c>
      <c r="AG284" s="5">
        <v>44044</v>
      </c>
      <c r="AH284" s="5">
        <v>44044</v>
      </c>
      <c r="AK284" s="5">
        <v>43739.333333333336</v>
      </c>
      <c r="AL284" s="5">
        <v>43756.666666666664</v>
      </c>
      <c r="AP284" t="s">
        <v>418</v>
      </c>
      <c r="AU284" t="s">
        <v>2170</v>
      </c>
      <c r="AV284" t="s">
        <v>2171</v>
      </c>
      <c r="AY284" t="s">
        <v>40</v>
      </c>
      <c r="AZ284">
        <v>0</v>
      </c>
      <c r="BA284">
        <v>0</v>
      </c>
      <c r="BI284" s="5">
        <v>44048.176388888889</v>
      </c>
      <c r="BJ284" s="5">
        <v>44048.176388888889</v>
      </c>
      <c r="BK284" t="s">
        <v>778</v>
      </c>
      <c r="BL284" t="s">
        <v>778</v>
      </c>
      <c r="BN284" t="s">
        <v>37</v>
      </c>
    </row>
    <row r="285" spans="1:66" x14ac:dyDescent="0.2">
      <c r="A285">
        <v>3692842</v>
      </c>
      <c r="B285">
        <v>21883</v>
      </c>
      <c r="C285">
        <v>523997</v>
      </c>
      <c r="D285">
        <v>52899</v>
      </c>
      <c r="E285">
        <v>100</v>
      </c>
      <c r="F285" t="s">
        <v>37</v>
      </c>
      <c r="G285">
        <v>1</v>
      </c>
      <c r="H285" t="s">
        <v>37</v>
      </c>
      <c r="I285" t="s">
        <v>37</v>
      </c>
      <c r="J285" t="s">
        <v>775</v>
      </c>
      <c r="K285" t="s">
        <v>230</v>
      </c>
      <c r="L285" t="s">
        <v>226</v>
      </c>
      <c r="M285" t="s">
        <v>422</v>
      </c>
      <c r="N285" t="s">
        <v>2172</v>
      </c>
      <c r="O285" t="s">
        <v>2173</v>
      </c>
      <c r="S285">
        <v>0</v>
      </c>
      <c r="T285">
        <v>0</v>
      </c>
      <c r="U285">
        <v>0</v>
      </c>
      <c r="V285">
        <v>0</v>
      </c>
      <c r="W285">
        <v>16</v>
      </c>
      <c r="X285">
        <v>0</v>
      </c>
      <c r="Y285">
        <v>0</v>
      </c>
      <c r="Z285">
        <v>0</v>
      </c>
      <c r="AB285" s="5">
        <v>43853</v>
      </c>
      <c r="AC285" s="5">
        <v>43861</v>
      </c>
      <c r="AD285" s="5">
        <v>43970.333333333336</v>
      </c>
      <c r="AE285" s="5">
        <v>43970.333333333336</v>
      </c>
      <c r="AG285" s="5">
        <v>44044</v>
      </c>
      <c r="AH285" s="5">
        <v>44044</v>
      </c>
      <c r="AK285" s="5">
        <v>43865.333333333336</v>
      </c>
      <c r="AL285" s="5">
        <v>43866.666666666664</v>
      </c>
      <c r="AP285" t="s">
        <v>418</v>
      </c>
      <c r="AU285" t="s">
        <v>2174</v>
      </c>
      <c r="AV285" t="s">
        <v>2175</v>
      </c>
      <c r="AY285" t="s">
        <v>40</v>
      </c>
      <c r="AZ285">
        <v>0</v>
      </c>
      <c r="BA285">
        <v>0</v>
      </c>
      <c r="BI285" s="5">
        <v>44048.176388888889</v>
      </c>
      <c r="BJ285" s="5">
        <v>44048.176388888889</v>
      </c>
      <c r="BK285" t="s">
        <v>778</v>
      </c>
      <c r="BL285" t="s">
        <v>778</v>
      </c>
      <c r="BN285" t="s">
        <v>37</v>
      </c>
    </row>
    <row r="286" spans="1:66" x14ac:dyDescent="0.2">
      <c r="A286">
        <v>3692843</v>
      </c>
      <c r="B286">
        <v>21883</v>
      </c>
      <c r="C286">
        <v>523997</v>
      </c>
      <c r="D286">
        <v>52897</v>
      </c>
      <c r="E286">
        <v>100</v>
      </c>
      <c r="F286" t="s">
        <v>37</v>
      </c>
      <c r="G286">
        <v>1</v>
      </c>
      <c r="H286" t="s">
        <v>37</v>
      </c>
      <c r="I286" t="s">
        <v>37</v>
      </c>
      <c r="J286" t="s">
        <v>775</v>
      </c>
      <c r="K286" t="s">
        <v>230</v>
      </c>
      <c r="L286" t="s">
        <v>226</v>
      </c>
      <c r="M286" t="s">
        <v>422</v>
      </c>
      <c r="N286" t="s">
        <v>2176</v>
      </c>
      <c r="O286" t="s">
        <v>2177</v>
      </c>
      <c r="S286">
        <v>0</v>
      </c>
      <c r="T286">
        <v>0</v>
      </c>
      <c r="U286">
        <v>0</v>
      </c>
      <c r="V286">
        <v>0</v>
      </c>
      <c r="W286">
        <v>24</v>
      </c>
      <c r="X286">
        <v>0</v>
      </c>
      <c r="Y286">
        <v>0</v>
      </c>
      <c r="Z286">
        <v>0</v>
      </c>
      <c r="AB286" s="5">
        <v>43864</v>
      </c>
      <c r="AC286" s="5">
        <v>43878</v>
      </c>
      <c r="AD286" s="5">
        <v>43970.333333333336</v>
      </c>
      <c r="AE286" s="5">
        <v>43970.333333333336</v>
      </c>
      <c r="AG286" s="5">
        <v>44044</v>
      </c>
      <c r="AH286" s="5">
        <v>44044</v>
      </c>
      <c r="AK286" s="5">
        <v>43865.333333333336</v>
      </c>
      <c r="AL286" s="5">
        <v>43868.666666666664</v>
      </c>
      <c r="AP286" t="s">
        <v>418</v>
      </c>
      <c r="AU286" t="s">
        <v>2178</v>
      </c>
      <c r="AV286" t="s">
        <v>2179</v>
      </c>
      <c r="AY286" t="s">
        <v>40</v>
      </c>
      <c r="AZ286">
        <v>0</v>
      </c>
      <c r="BA286">
        <v>0</v>
      </c>
      <c r="BI286" s="5">
        <v>44048.176388888889</v>
      </c>
      <c r="BJ286" s="5">
        <v>44048.176388888889</v>
      </c>
      <c r="BK286" t="s">
        <v>778</v>
      </c>
      <c r="BL286" t="s">
        <v>778</v>
      </c>
      <c r="BN286" t="s">
        <v>37</v>
      </c>
    </row>
    <row r="287" spans="1:66" x14ac:dyDescent="0.2">
      <c r="A287">
        <v>3692844</v>
      </c>
      <c r="B287">
        <v>21883</v>
      </c>
      <c r="C287">
        <v>523997</v>
      </c>
      <c r="D287">
        <v>52897</v>
      </c>
      <c r="E287">
        <v>100</v>
      </c>
      <c r="F287" t="s">
        <v>37</v>
      </c>
      <c r="G287">
        <v>1</v>
      </c>
      <c r="H287" t="s">
        <v>37</v>
      </c>
      <c r="I287" t="s">
        <v>37</v>
      </c>
      <c r="J287" t="s">
        <v>775</v>
      </c>
      <c r="K287" t="s">
        <v>230</v>
      </c>
      <c r="L287" t="s">
        <v>226</v>
      </c>
      <c r="M287" t="s">
        <v>422</v>
      </c>
      <c r="N287" t="s">
        <v>2180</v>
      </c>
      <c r="O287" t="s">
        <v>2181</v>
      </c>
      <c r="S287">
        <v>0</v>
      </c>
      <c r="T287">
        <v>0</v>
      </c>
      <c r="U287">
        <v>0</v>
      </c>
      <c r="V287">
        <v>0</v>
      </c>
      <c r="W287">
        <v>16</v>
      </c>
      <c r="X287">
        <v>0</v>
      </c>
      <c r="Y287">
        <v>0</v>
      </c>
      <c r="Z287">
        <v>0</v>
      </c>
      <c r="AB287" s="5">
        <v>43873</v>
      </c>
      <c r="AC287" s="5">
        <v>43878</v>
      </c>
      <c r="AD287" s="5">
        <v>43970.333333333336</v>
      </c>
      <c r="AE287" s="5">
        <v>43970.333333333336</v>
      </c>
      <c r="AG287" s="5">
        <v>44044</v>
      </c>
      <c r="AH287" s="5">
        <v>44044</v>
      </c>
      <c r="AK287" s="5">
        <v>43872.333333333336</v>
      </c>
      <c r="AL287" s="5">
        <v>43874.666666666664</v>
      </c>
      <c r="AP287" t="s">
        <v>418</v>
      </c>
      <c r="AU287" t="s">
        <v>2182</v>
      </c>
      <c r="AV287" t="s">
        <v>2183</v>
      </c>
      <c r="AY287" t="s">
        <v>40</v>
      </c>
      <c r="AZ287">
        <v>0</v>
      </c>
      <c r="BA287">
        <v>0</v>
      </c>
      <c r="BI287" s="5">
        <v>44048.176388888889</v>
      </c>
      <c r="BJ287" s="5">
        <v>44048.176388888889</v>
      </c>
      <c r="BK287" t="s">
        <v>778</v>
      </c>
      <c r="BL287" t="s">
        <v>778</v>
      </c>
      <c r="BN287" t="s">
        <v>37</v>
      </c>
    </row>
    <row r="288" spans="1:66" x14ac:dyDescent="0.2">
      <c r="A288">
        <v>3692845</v>
      </c>
      <c r="B288">
        <v>21883</v>
      </c>
      <c r="C288">
        <v>523997</v>
      </c>
      <c r="D288">
        <v>52897</v>
      </c>
      <c r="E288">
        <v>100</v>
      </c>
      <c r="F288" t="s">
        <v>37</v>
      </c>
      <c r="G288">
        <v>1</v>
      </c>
      <c r="H288" t="s">
        <v>37</v>
      </c>
      <c r="I288" t="s">
        <v>37</v>
      </c>
      <c r="J288" t="s">
        <v>775</v>
      </c>
      <c r="K288" t="s">
        <v>230</v>
      </c>
      <c r="L288" t="s">
        <v>226</v>
      </c>
      <c r="M288" t="s">
        <v>422</v>
      </c>
      <c r="N288" t="s">
        <v>2184</v>
      </c>
      <c r="O288" t="s">
        <v>2185</v>
      </c>
      <c r="S288">
        <v>0</v>
      </c>
      <c r="T288">
        <v>0</v>
      </c>
      <c r="U288">
        <v>0</v>
      </c>
      <c r="V288">
        <v>0</v>
      </c>
      <c r="W288">
        <v>8</v>
      </c>
      <c r="X288">
        <v>0</v>
      </c>
      <c r="Y288">
        <v>0</v>
      </c>
      <c r="Z288">
        <v>0</v>
      </c>
      <c r="AB288" s="5">
        <v>43889</v>
      </c>
      <c r="AC288" s="5">
        <v>43892</v>
      </c>
      <c r="AD288" s="5">
        <v>43970.333333333336</v>
      </c>
      <c r="AE288" s="5">
        <v>43970.333333333336</v>
      </c>
      <c r="AG288" s="5">
        <v>44044</v>
      </c>
      <c r="AH288" s="5">
        <v>44044</v>
      </c>
      <c r="AK288" s="5">
        <v>43882.333333333336</v>
      </c>
      <c r="AL288" s="5">
        <v>43882.666666666664</v>
      </c>
      <c r="AP288" t="s">
        <v>418</v>
      </c>
      <c r="AU288" t="s">
        <v>2186</v>
      </c>
      <c r="AV288" t="s">
        <v>2187</v>
      </c>
      <c r="AY288" t="s">
        <v>40</v>
      </c>
      <c r="AZ288">
        <v>0</v>
      </c>
      <c r="BA288">
        <v>0</v>
      </c>
      <c r="BI288" s="5">
        <v>44048.176388888889</v>
      </c>
      <c r="BJ288" s="5">
        <v>44048.176388888889</v>
      </c>
      <c r="BK288" t="s">
        <v>778</v>
      </c>
      <c r="BL288" t="s">
        <v>778</v>
      </c>
      <c r="BN288" t="s">
        <v>37</v>
      </c>
    </row>
    <row r="289" spans="1:66" x14ac:dyDescent="0.2">
      <c r="A289">
        <v>3692846</v>
      </c>
      <c r="B289">
        <v>21883</v>
      </c>
      <c r="C289">
        <v>523997</v>
      </c>
      <c r="D289">
        <v>52897</v>
      </c>
      <c r="E289">
        <v>100</v>
      </c>
      <c r="F289" t="s">
        <v>37</v>
      </c>
      <c r="G289">
        <v>1</v>
      </c>
      <c r="H289" t="s">
        <v>37</v>
      </c>
      <c r="I289" t="s">
        <v>37</v>
      </c>
      <c r="J289" t="s">
        <v>775</v>
      </c>
      <c r="K289" t="s">
        <v>230</v>
      </c>
      <c r="L289" t="s">
        <v>226</v>
      </c>
      <c r="M289" t="s">
        <v>422</v>
      </c>
      <c r="N289" t="s">
        <v>2188</v>
      </c>
      <c r="O289" t="s">
        <v>2189</v>
      </c>
      <c r="S289">
        <v>0</v>
      </c>
      <c r="T289">
        <v>0</v>
      </c>
      <c r="U289">
        <v>0</v>
      </c>
      <c r="V289">
        <v>0</v>
      </c>
      <c r="W289">
        <v>8</v>
      </c>
      <c r="X289">
        <v>0</v>
      </c>
      <c r="Y289">
        <v>0</v>
      </c>
      <c r="Z289">
        <v>0</v>
      </c>
      <c r="AB289" s="5">
        <v>43889</v>
      </c>
      <c r="AC289" s="5">
        <v>43889</v>
      </c>
      <c r="AD289" s="5">
        <v>43970.333333333336</v>
      </c>
      <c r="AE289" s="5">
        <v>43970.333333333336</v>
      </c>
      <c r="AG289" s="5">
        <v>44044</v>
      </c>
      <c r="AH289" s="5">
        <v>44044</v>
      </c>
      <c r="AK289" s="5">
        <v>43894.333333333336</v>
      </c>
      <c r="AL289" s="5">
        <v>43894.666666666664</v>
      </c>
      <c r="AP289" t="s">
        <v>418</v>
      </c>
      <c r="AU289" t="s">
        <v>2190</v>
      </c>
      <c r="AV289" t="s">
        <v>2191</v>
      </c>
      <c r="AY289" t="s">
        <v>40</v>
      </c>
      <c r="AZ289">
        <v>0</v>
      </c>
      <c r="BA289">
        <v>0</v>
      </c>
      <c r="BI289" s="5">
        <v>44048.176388888889</v>
      </c>
      <c r="BJ289" s="5">
        <v>44048.176388888889</v>
      </c>
      <c r="BK289" t="s">
        <v>778</v>
      </c>
      <c r="BL289" t="s">
        <v>778</v>
      </c>
      <c r="BN289" t="s">
        <v>37</v>
      </c>
    </row>
    <row r="290" spans="1:66" x14ac:dyDescent="0.2">
      <c r="A290">
        <v>3692847</v>
      </c>
      <c r="B290">
        <v>21883</v>
      </c>
      <c r="C290">
        <v>523997</v>
      </c>
      <c r="D290">
        <v>52897</v>
      </c>
      <c r="E290">
        <v>100</v>
      </c>
      <c r="F290" t="s">
        <v>37</v>
      </c>
      <c r="G290">
        <v>1</v>
      </c>
      <c r="H290" t="s">
        <v>37</v>
      </c>
      <c r="I290" t="s">
        <v>37</v>
      </c>
      <c r="J290" t="s">
        <v>775</v>
      </c>
      <c r="K290" t="s">
        <v>230</v>
      </c>
      <c r="L290" t="s">
        <v>226</v>
      </c>
      <c r="M290" t="s">
        <v>422</v>
      </c>
      <c r="N290" t="s">
        <v>2192</v>
      </c>
      <c r="O290" t="s">
        <v>2193</v>
      </c>
      <c r="S290">
        <v>0</v>
      </c>
      <c r="T290">
        <v>0</v>
      </c>
      <c r="U290">
        <v>0</v>
      </c>
      <c r="V290">
        <v>0</v>
      </c>
      <c r="W290">
        <v>8</v>
      </c>
      <c r="X290">
        <v>0</v>
      </c>
      <c r="Y290">
        <v>0</v>
      </c>
      <c r="Z290">
        <v>0</v>
      </c>
      <c r="AB290" s="5">
        <v>43891</v>
      </c>
      <c r="AC290" s="5">
        <v>43892</v>
      </c>
      <c r="AD290" s="5">
        <v>43970.333333333336</v>
      </c>
      <c r="AE290" s="5">
        <v>43970.333333333336</v>
      </c>
      <c r="AG290" s="5">
        <v>44044</v>
      </c>
      <c r="AH290" s="5">
        <v>44044</v>
      </c>
      <c r="AK290" s="5">
        <v>43896.333333333336</v>
      </c>
      <c r="AL290" s="5">
        <v>43896.666666666664</v>
      </c>
      <c r="AP290" t="s">
        <v>418</v>
      </c>
      <c r="AU290" t="s">
        <v>2194</v>
      </c>
      <c r="AV290" t="s">
        <v>2195</v>
      </c>
      <c r="AY290" t="s">
        <v>40</v>
      </c>
      <c r="AZ290">
        <v>0</v>
      </c>
      <c r="BA290">
        <v>0</v>
      </c>
      <c r="BI290" s="5">
        <v>44048.176388888889</v>
      </c>
      <c r="BJ290" s="5">
        <v>44048.176388888889</v>
      </c>
      <c r="BK290" t="s">
        <v>778</v>
      </c>
      <c r="BL290" t="s">
        <v>778</v>
      </c>
      <c r="BN290" t="s">
        <v>37</v>
      </c>
    </row>
    <row r="291" spans="1:66" x14ac:dyDescent="0.2">
      <c r="A291">
        <v>3692848</v>
      </c>
      <c r="B291">
        <v>21883</v>
      </c>
      <c r="C291">
        <v>523996</v>
      </c>
      <c r="D291">
        <v>52899</v>
      </c>
      <c r="E291">
        <v>100</v>
      </c>
      <c r="F291" t="s">
        <v>37</v>
      </c>
      <c r="G291">
        <v>1</v>
      </c>
      <c r="H291" t="s">
        <v>37</v>
      </c>
      <c r="I291" t="s">
        <v>37</v>
      </c>
      <c r="J291" t="s">
        <v>775</v>
      </c>
      <c r="K291" t="s">
        <v>230</v>
      </c>
      <c r="L291" t="s">
        <v>226</v>
      </c>
      <c r="M291" t="s">
        <v>422</v>
      </c>
      <c r="N291" t="s">
        <v>2196</v>
      </c>
      <c r="O291" t="s">
        <v>2197</v>
      </c>
      <c r="S291">
        <v>0</v>
      </c>
      <c r="T291">
        <v>0</v>
      </c>
      <c r="U291">
        <v>0</v>
      </c>
      <c r="V291">
        <v>0</v>
      </c>
      <c r="W291">
        <v>8</v>
      </c>
      <c r="X291">
        <v>0</v>
      </c>
      <c r="Y291">
        <v>0</v>
      </c>
      <c r="Z291">
        <v>0</v>
      </c>
      <c r="AB291" s="5">
        <v>43743</v>
      </c>
      <c r="AC291" s="5">
        <v>43766</v>
      </c>
      <c r="AD291" s="5">
        <v>43970.333333333336</v>
      </c>
      <c r="AE291" s="5">
        <v>43970.333333333336</v>
      </c>
      <c r="AG291" s="5">
        <v>44044</v>
      </c>
      <c r="AH291" s="5">
        <v>44044</v>
      </c>
      <c r="AK291" s="5">
        <v>43739.333333333336</v>
      </c>
      <c r="AL291" s="5">
        <v>43739.666666666664</v>
      </c>
      <c r="AP291" t="s">
        <v>418</v>
      </c>
      <c r="AU291" t="s">
        <v>2132</v>
      </c>
      <c r="AY291" t="s">
        <v>40</v>
      </c>
      <c r="AZ291">
        <v>0</v>
      </c>
      <c r="BA291">
        <v>0</v>
      </c>
      <c r="BI291" s="5">
        <v>44048.176388888889</v>
      </c>
      <c r="BJ291" s="5">
        <v>44048.176388888889</v>
      </c>
      <c r="BK291" t="s">
        <v>778</v>
      </c>
      <c r="BL291" t="s">
        <v>778</v>
      </c>
      <c r="BN291" t="s">
        <v>37</v>
      </c>
    </row>
    <row r="292" spans="1:66" x14ac:dyDescent="0.2">
      <c r="A292">
        <v>3692849</v>
      </c>
      <c r="B292">
        <v>21883</v>
      </c>
      <c r="C292">
        <v>523996</v>
      </c>
      <c r="D292">
        <v>52897</v>
      </c>
      <c r="E292">
        <v>100</v>
      </c>
      <c r="F292" t="s">
        <v>37</v>
      </c>
      <c r="G292">
        <v>1</v>
      </c>
      <c r="H292" t="s">
        <v>37</v>
      </c>
      <c r="I292" t="s">
        <v>37</v>
      </c>
      <c r="J292" t="s">
        <v>775</v>
      </c>
      <c r="K292" t="s">
        <v>230</v>
      </c>
      <c r="L292" t="s">
        <v>226</v>
      </c>
      <c r="M292" t="s">
        <v>422</v>
      </c>
      <c r="N292" t="s">
        <v>2198</v>
      </c>
      <c r="O292" t="s">
        <v>2199</v>
      </c>
      <c r="S292">
        <v>0</v>
      </c>
      <c r="T292">
        <v>0</v>
      </c>
      <c r="U292">
        <v>0</v>
      </c>
      <c r="V292">
        <v>0</v>
      </c>
      <c r="W292">
        <v>8</v>
      </c>
      <c r="X292">
        <v>0</v>
      </c>
      <c r="Y292">
        <v>0</v>
      </c>
      <c r="Z292">
        <v>0</v>
      </c>
      <c r="AB292" s="5">
        <v>43808</v>
      </c>
      <c r="AC292" s="5">
        <v>43811</v>
      </c>
      <c r="AD292" s="5">
        <v>43970.333333333336</v>
      </c>
      <c r="AE292" s="5">
        <v>43970.333333333336</v>
      </c>
      <c r="AG292" s="5">
        <v>44044</v>
      </c>
      <c r="AH292" s="5">
        <v>44044</v>
      </c>
      <c r="AK292" s="5">
        <v>43833.333333333336</v>
      </c>
      <c r="AL292" s="5">
        <v>43833.666666666664</v>
      </c>
      <c r="AP292" t="s">
        <v>418</v>
      </c>
      <c r="AU292" t="e" cm="1">
        <f t="array" ref="AU292">+AyOkz7ai0+nfKgUs0LxUA</f>
        <v>#NAME?</v>
      </c>
      <c r="AY292" t="s">
        <v>40</v>
      </c>
      <c r="AZ292">
        <v>0</v>
      </c>
      <c r="BA292">
        <v>0</v>
      </c>
      <c r="BI292" s="5">
        <v>44048.176388888889</v>
      </c>
      <c r="BJ292" s="5">
        <v>44048.176388888889</v>
      </c>
      <c r="BK292" t="s">
        <v>778</v>
      </c>
      <c r="BL292" t="s">
        <v>778</v>
      </c>
      <c r="BN292" t="s">
        <v>37</v>
      </c>
    </row>
    <row r="293" spans="1:66" x14ac:dyDescent="0.2">
      <c r="A293">
        <v>3692850</v>
      </c>
      <c r="B293">
        <v>21883</v>
      </c>
      <c r="C293">
        <v>523996</v>
      </c>
      <c r="D293">
        <v>52897</v>
      </c>
      <c r="E293">
        <v>100</v>
      </c>
      <c r="F293" t="s">
        <v>37</v>
      </c>
      <c r="G293">
        <v>1</v>
      </c>
      <c r="H293" t="s">
        <v>37</v>
      </c>
      <c r="I293" t="s">
        <v>37</v>
      </c>
      <c r="J293" t="s">
        <v>775</v>
      </c>
      <c r="K293" t="s">
        <v>230</v>
      </c>
      <c r="L293" t="s">
        <v>226</v>
      </c>
      <c r="M293" t="s">
        <v>422</v>
      </c>
      <c r="N293" t="s">
        <v>2200</v>
      </c>
      <c r="O293" t="s">
        <v>2201</v>
      </c>
      <c r="S293">
        <v>0</v>
      </c>
      <c r="T293">
        <v>0</v>
      </c>
      <c r="U293">
        <v>0</v>
      </c>
      <c r="V293">
        <v>0</v>
      </c>
      <c r="W293">
        <v>16</v>
      </c>
      <c r="X293">
        <v>0</v>
      </c>
      <c r="Y293">
        <v>0</v>
      </c>
      <c r="Z293">
        <v>0</v>
      </c>
      <c r="AB293" s="5">
        <v>43818</v>
      </c>
      <c r="AC293" s="5">
        <v>43819</v>
      </c>
      <c r="AD293" s="5">
        <v>43970.333333333336</v>
      </c>
      <c r="AE293" s="5">
        <v>43970.333333333336</v>
      </c>
      <c r="AG293" s="5">
        <v>44044</v>
      </c>
      <c r="AH293" s="5">
        <v>44044</v>
      </c>
      <c r="AK293" s="5">
        <v>43833.333333333336</v>
      </c>
      <c r="AL293" s="5">
        <v>43836.666666666664</v>
      </c>
      <c r="AP293" t="s">
        <v>418</v>
      </c>
      <c r="AU293" t="s">
        <v>2139</v>
      </c>
      <c r="AY293" t="s">
        <v>40</v>
      </c>
      <c r="AZ293">
        <v>0</v>
      </c>
      <c r="BA293">
        <v>0</v>
      </c>
      <c r="BI293" s="5">
        <v>44048.176388888889</v>
      </c>
      <c r="BJ293" s="5">
        <v>44048.176388888889</v>
      </c>
      <c r="BK293" t="s">
        <v>778</v>
      </c>
      <c r="BL293" t="s">
        <v>778</v>
      </c>
      <c r="BN293" t="s">
        <v>37</v>
      </c>
    </row>
    <row r="294" spans="1:66" x14ac:dyDescent="0.2">
      <c r="A294">
        <v>3692851</v>
      </c>
      <c r="B294">
        <v>21883</v>
      </c>
      <c r="C294">
        <v>523996</v>
      </c>
      <c r="D294">
        <v>52895</v>
      </c>
      <c r="E294">
        <v>100</v>
      </c>
      <c r="F294" t="s">
        <v>37</v>
      </c>
      <c r="G294">
        <v>1</v>
      </c>
      <c r="H294" t="s">
        <v>37</v>
      </c>
      <c r="I294" t="s">
        <v>37</v>
      </c>
      <c r="J294" t="s">
        <v>775</v>
      </c>
      <c r="K294" t="s">
        <v>230</v>
      </c>
      <c r="L294" t="s">
        <v>226</v>
      </c>
      <c r="M294" t="s">
        <v>422</v>
      </c>
      <c r="N294" t="s">
        <v>2202</v>
      </c>
      <c r="O294" t="s">
        <v>2203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B294" s="5">
        <v>43796</v>
      </c>
      <c r="AC294" s="5">
        <v>43796</v>
      </c>
      <c r="AD294" s="5">
        <v>43970.333333333336</v>
      </c>
      <c r="AE294" s="5">
        <v>43970.333333333336</v>
      </c>
      <c r="AG294" s="5">
        <v>44044</v>
      </c>
      <c r="AH294" s="5">
        <v>44044</v>
      </c>
      <c r="AK294" s="5">
        <v>43800.333333333336</v>
      </c>
      <c r="AL294" s="5">
        <v>43800.333333333336</v>
      </c>
      <c r="AP294" t="s">
        <v>418</v>
      </c>
      <c r="AU294" t="s">
        <v>2143</v>
      </c>
      <c r="AY294" t="s">
        <v>40</v>
      </c>
      <c r="AZ294">
        <v>0</v>
      </c>
      <c r="BA294">
        <v>0</v>
      </c>
      <c r="BI294" s="5">
        <v>44048.176388888889</v>
      </c>
      <c r="BJ294" s="5">
        <v>44048.176388888889</v>
      </c>
      <c r="BK294" t="s">
        <v>778</v>
      </c>
      <c r="BL294" t="s">
        <v>778</v>
      </c>
      <c r="BN294" t="s">
        <v>37</v>
      </c>
    </row>
    <row r="295" spans="1:66" x14ac:dyDescent="0.2">
      <c r="A295">
        <v>3692852</v>
      </c>
      <c r="B295">
        <v>21883</v>
      </c>
      <c r="C295">
        <v>523996</v>
      </c>
      <c r="D295">
        <v>52897</v>
      </c>
      <c r="E295">
        <v>100</v>
      </c>
      <c r="F295" t="s">
        <v>37</v>
      </c>
      <c r="G295">
        <v>1</v>
      </c>
      <c r="H295" t="s">
        <v>37</v>
      </c>
      <c r="I295" t="s">
        <v>37</v>
      </c>
      <c r="J295" t="s">
        <v>775</v>
      </c>
      <c r="K295" t="s">
        <v>230</v>
      </c>
      <c r="L295" t="s">
        <v>226</v>
      </c>
      <c r="M295" t="s">
        <v>422</v>
      </c>
      <c r="N295" t="s">
        <v>2204</v>
      </c>
      <c r="O295" t="s">
        <v>2205</v>
      </c>
      <c r="S295">
        <v>0</v>
      </c>
      <c r="T295">
        <v>0</v>
      </c>
      <c r="U295">
        <v>0</v>
      </c>
      <c r="V295">
        <v>0</v>
      </c>
      <c r="W295">
        <v>32</v>
      </c>
      <c r="X295">
        <v>0</v>
      </c>
      <c r="Y295">
        <v>0</v>
      </c>
      <c r="Z295">
        <v>0</v>
      </c>
      <c r="AB295" s="5">
        <v>43777</v>
      </c>
      <c r="AC295" s="5">
        <v>43787</v>
      </c>
      <c r="AD295" s="5">
        <v>43970.333333333336</v>
      </c>
      <c r="AE295" s="5">
        <v>43970.333333333336</v>
      </c>
      <c r="AG295" s="5">
        <v>44044</v>
      </c>
      <c r="AH295" s="5">
        <v>44044</v>
      </c>
      <c r="AK295" s="5">
        <v>43739.333333333336</v>
      </c>
      <c r="AL295" s="5">
        <v>43742.666666666664</v>
      </c>
      <c r="AP295" t="s">
        <v>418</v>
      </c>
      <c r="AU295" t="s">
        <v>2147</v>
      </c>
      <c r="AV295" t="s">
        <v>2206</v>
      </c>
      <c r="AY295" t="s">
        <v>40</v>
      </c>
      <c r="AZ295">
        <v>0</v>
      </c>
      <c r="BA295">
        <v>0</v>
      </c>
      <c r="BI295" s="5">
        <v>44048.176388888889</v>
      </c>
      <c r="BJ295" s="5">
        <v>44048.176388888889</v>
      </c>
      <c r="BK295" t="s">
        <v>778</v>
      </c>
      <c r="BL295" t="s">
        <v>778</v>
      </c>
      <c r="BN295" t="s">
        <v>37</v>
      </c>
    </row>
    <row r="296" spans="1:66" x14ac:dyDescent="0.2">
      <c r="A296">
        <v>3692853</v>
      </c>
      <c r="B296">
        <v>21883</v>
      </c>
      <c r="C296">
        <v>523996</v>
      </c>
      <c r="D296">
        <v>52896</v>
      </c>
      <c r="E296">
        <v>100</v>
      </c>
      <c r="F296" t="s">
        <v>37</v>
      </c>
      <c r="G296">
        <v>1</v>
      </c>
      <c r="H296" t="s">
        <v>37</v>
      </c>
      <c r="I296" t="s">
        <v>37</v>
      </c>
      <c r="J296" t="s">
        <v>775</v>
      </c>
      <c r="K296" t="s">
        <v>230</v>
      </c>
      <c r="L296" t="s">
        <v>226</v>
      </c>
      <c r="M296" t="s">
        <v>422</v>
      </c>
      <c r="N296" t="s">
        <v>2207</v>
      </c>
      <c r="O296" t="s">
        <v>2208</v>
      </c>
      <c r="S296">
        <v>0</v>
      </c>
      <c r="T296">
        <v>0</v>
      </c>
      <c r="U296">
        <v>0</v>
      </c>
      <c r="V296">
        <v>0</v>
      </c>
      <c r="W296">
        <v>80</v>
      </c>
      <c r="X296">
        <v>0</v>
      </c>
      <c r="Y296">
        <v>0</v>
      </c>
      <c r="Z296">
        <v>0</v>
      </c>
      <c r="AB296" s="5">
        <v>43732</v>
      </c>
      <c r="AC296" s="5">
        <v>43748</v>
      </c>
      <c r="AD296" s="5">
        <v>43970.333333333336</v>
      </c>
      <c r="AE296" s="5">
        <v>43970.333333333336</v>
      </c>
      <c r="AG296" s="5">
        <v>44044</v>
      </c>
      <c r="AH296" s="5">
        <v>44044</v>
      </c>
      <c r="AK296" s="5">
        <v>43740.333333333336</v>
      </c>
      <c r="AL296" s="5">
        <v>43753.666666666664</v>
      </c>
      <c r="AP296" t="s">
        <v>418</v>
      </c>
      <c r="AU296" t="s">
        <v>2151</v>
      </c>
      <c r="AV296" t="s">
        <v>2209</v>
      </c>
      <c r="AY296" t="s">
        <v>40</v>
      </c>
      <c r="AZ296">
        <v>0</v>
      </c>
      <c r="BA296">
        <v>0</v>
      </c>
      <c r="BI296" s="5">
        <v>44048.176388888889</v>
      </c>
      <c r="BJ296" s="5">
        <v>44048.176388888889</v>
      </c>
      <c r="BK296" t="s">
        <v>778</v>
      </c>
      <c r="BL296" t="s">
        <v>778</v>
      </c>
      <c r="BN296" t="s">
        <v>37</v>
      </c>
    </row>
    <row r="297" spans="1:66" x14ac:dyDescent="0.2">
      <c r="A297">
        <v>3692854</v>
      </c>
      <c r="B297">
        <v>21883</v>
      </c>
      <c r="C297">
        <v>523996</v>
      </c>
      <c r="D297">
        <v>52897</v>
      </c>
      <c r="E297">
        <v>100</v>
      </c>
      <c r="F297" t="s">
        <v>37</v>
      </c>
      <c r="G297">
        <v>1</v>
      </c>
      <c r="H297" t="s">
        <v>37</v>
      </c>
      <c r="I297" t="s">
        <v>37</v>
      </c>
      <c r="J297" t="s">
        <v>775</v>
      </c>
      <c r="K297" t="s">
        <v>230</v>
      </c>
      <c r="L297" t="s">
        <v>226</v>
      </c>
      <c r="M297" t="s">
        <v>422</v>
      </c>
      <c r="N297" t="s">
        <v>2210</v>
      </c>
      <c r="O297" t="s">
        <v>2211</v>
      </c>
      <c r="S297">
        <v>0</v>
      </c>
      <c r="T297">
        <v>0</v>
      </c>
      <c r="U297">
        <v>0</v>
      </c>
      <c r="V297">
        <v>0</v>
      </c>
      <c r="W297">
        <v>16</v>
      </c>
      <c r="X297">
        <v>0</v>
      </c>
      <c r="Y297">
        <v>0</v>
      </c>
      <c r="Z297">
        <v>0</v>
      </c>
      <c r="AB297" s="5">
        <v>43724</v>
      </c>
      <c r="AC297" s="5">
        <v>43734</v>
      </c>
      <c r="AD297" s="5">
        <v>43970.333333333336</v>
      </c>
      <c r="AE297" s="5">
        <v>43970.333333333336</v>
      </c>
      <c r="AG297" s="5">
        <v>44044</v>
      </c>
      <c r="AH297" s="5">
        <v>44044</v>
      </c>
      <c r="AK297" s="5">
        <v>43739.333333333336</v>
      </c>
      <c r="AL297" s="5">
        <v>43740.666666666664</v>
      </c>
      <c r="AP297" t="s">
        <v>418</v>
      </c>
      <c r="AU297" t="s">
        <v>2155</v>
      </c>
      <c r="AV297" t="s">
        <v>2212</v>
      </c>
      <c r="AY297" t="s">
        <v>40</v>
      </c>
      <c r="AZ297">
        <v>0</v>
      </c>
      <c r="BA297">
        <v>0</v>
      </c>
      <c r="BI297" s="5">
        <v>44048.176388888889</v>
      </c>
      <c r="BJ297" s="5">
        <v>44048.176388888889</v>
      </c>
      <c r="BK297" t="s">
        <v>778</v>
      </c>
      <c r="BL297" t="s">
        <v>778</v>
      </c>
      <c r="BN297" t="s">
        <v>37</v>
      </c>
    </row>
    <row r="298" spans="1:66" x14ac:dyDescent="0.2">
      <c r="A298">
        <v>3692855</v>
      </c>
      <c r="B298">
        <v>21883</v>
      </c>
      <c r="C298">
        <v>523996</v>
      </c>
      <c r="D298">
        <v>52899</v>
      </c>
      <c r="E298">
        <v>100</v>
      </c>
      <c r="F298" t="s">
        <v>37</v>
      </c>
      <c r="G298">
        <v>1</v>
      </c>
      <c r="H298" t="s">
        <v>37</v>
      </c>
      <c r="I298" t="s">
        <v>37</v>
      </c>
      <c r="J298" t="s">
        <v>775</v>
      </c>
      <c r="K298" t="s">
        <v>230</v>
      </c>
      <c r="L298" t="s">
        <v>226</v>
      </c>
      <c r="M298" t="s">
        <v>422</v>
      </c>
      <c r="N298" t="s">
        <v>2213</v>
      </c>
      <c r="O298" t="s">
        <v>2214</v>
      </c>
      <c r="S298">
        <v>0</v>
      </c>
      <c r="T298">
        <v>0</v>
      </c>
      <c r="U298">
        <v>0</v>
      </c>
      <c r="V298">
        <v>0</v>
      </c>
      <c r="W298">
        <v>8</v>
      </c>
      <c r="X298">
        <v>0</v>
      </c>
      <c r="Y298">
        <v>0</v>
      </c>
      <c r="Z298">
        <v>0</v>
      </c>
      <c r="AB298" s="5">
        <v>43662</v>
      </c>
      <c r="AC298" s="5">
        <v>43663</v>
      </c>
      <c r="AD298" s="5">
        <v>43970.333333333336</v>
      </c>
      <c r="AE298" s="5">
        <v>43970.333333333336</v>
      </c>
      <c r="AG298" s="5">
        <v>44044</v>
      </c>
      <c r="AH298" s="5">
        <v>44044</v>
      </c>
      <c r="AK298" s="5">
        <v>43684.333333333336</v>
      </c>
      <c r="AL298" s="5">
        <v>43684.666666666664</v>
      </c>
      <c r="AP298" t="s">
        <v>418</v>
      </c>
      <c r="AU298" t="s">
        <v>2159</v>
      </c>
      <c r="AV298" t="s">
        <v>2215</v>
      </c>
      <c r="AY298" t="s">
        <v>40</v>
      </c>
      <c r="AZ298">
        <v>0</v>
      </c>
      <c r="BA298">
        <v>0</v>
      </c>
      <c r="BI298" s="5">
        <v>44048.176388888889</v>
      </c>
      <c r="BJ298" s="5">
        <v>44048.176388888889</v>
      </c>
      <c r="BK298" t="s">
        <v>778</v>
      </c>
      <c r="BL298" t="s">
        <v>778</v>
      </c>
      <c r="BN298" t="s">
        <v>37</v>
      </c>
    </row>
    <row r="299" spans="1:66" x14ac:dyDescent="0.2">
      <c r="A299">
        <v>3692856</v>
      </c>
      <c r="B299">
        <v>21883</v>
      </c>
      <c r="C299">
        <v>523996</v>
      </c>
      <c r="D299">
        <v>52899</v>
      </c>
      <c r="E299">
        <v>100</v>
      </c>
      <c r="F299" t="s">
        <v>37</v>
      </c>
      <c r="G299">
        <v>1</v>
      </c>
      <c r="H299" t="s">
        <v>37</v>
      </c>
      <c r="I299" t="s">
        <v>37</v>
      </c>
      <c r="J299" t="s">
        <v>775</v>
      </c>
      <c r="K299" t="s">
        <v>230</v>
      </c>
      <c r="L299" t="s">
        <v>226</v>
      </c>
      <c r="M299" t="s">
        <v>422</v>
      </c>
      <c r="N299" t="s">
        <v>2216</v>
      </c>
      <c r="O299" t="s">
        <v>2217</v>
      </c>
      <c r="S299">
        <v>0</v>
      </c>
      <c r="T299">
        <v>0</v>
      </c>
      <c r="U299">
        <v>0</v>
      </c>
      <c r="V299">
        <v>0</v>
      </c>
      <c r="W299">
        <v>16</v>
      </c>
      <c r="X299">
        <v>0</v>
      </c>
      <c r="Y299">
        <v>0</v>
      </c>
      <c r="Z299">
        <v>0</v>
      </c>
      <c r="AB299" s="5">
        <v>43741</v>
      </c>
      <c r="AC299" s="5">
        <v>43741</v>
      </c>
      <c r="AD299" s="5">
        <v>43970.333333333336</v>
      </c>
      <c r="AE299" s="5">
        <v>43970.333333333336</v>
      </c>
      <c r="AG299" s="5">
        <v>44044</v>
      </c>
      <c r="AH299" s="5">
        <v>44044</v>
      </c>
      <c r="AK299" s="5">
        <v>43739.333333333336</v>
      </c>
      <c r="AL299" s="5">
        <v>43740.666666666664</v>
      </c>
      <c r="AP299" t="s">
        <v>418</v>
      </c>
      <c r="AU299" t="s">
        <v>2163</v>
      </c>
      <c r="AV299" t="s">
        <v>2218</v>
      </c>
      <c r="AY299" t="s">
        <v>40</v>
      </c>
      <c r="AZ299">
        <v>0</v>
      </c>
      <c r="BA299">
        <v>0</v>
      </c>
      <c r="BI299" s="5">
        <v>44048.176388888889</v>
      </c>
      <c r="BJ299" s="5">
        <v>44048.176388888889</v>
      </c>
      <c r="BK299" t="s">
        <v>778</v>
      </c>
      <c r="BL299" t="s">
        <v>778</v>
      </c>
      <c r="BN299" t="s">
        <v>37</v>
      </c>
    </row>
    <row r="300" spans="1:66" x14ac:dyDescent="0.2">
      <c r="A300">
        <v>3692857</v>
      </c>
      <c r="B300">
        <v>21883</v>
      </c>
      <c r="C300">
        <v>523996</v>
      </c>
      <c r="D300">
        <v>52897</v>
      </c>
      <c r="E300">
        <v>100</v>
      </c>
      <c r="F300" t="s">
        <v>37</v>
      </c>
      <c r="G300">
        <v>1</v>
      </c>
      <c r="H300" t="s">
        <v>37</v>
      </c>
      <c r="I300" t="s">
        <v>37</v>
      </c>
      <c r="J300" t="s">
        <v>775</v>
      </c>
      <c r="K300" t="s">
        <v>230</v>
      </c>
      <c r="L300" t="s">
        <v>226</v>
      </c>
      <c r="M300" t="s">
        <v>422</v>
      </c>
      <c r="N300" t="s">
        <v>2219</v>
      </c>
      <c r="O300" t="s">
        <v>2220</v>
      </c>
      <c r="S300">
        <v>0</v>
      </c>
      <c r="T300">
        <v>0</v>
      </c>
      <c r="U300">
        <v>0</v>
      </c>
      <c r="V300">
        <v>0</v>
      </c>
      <c r="W300">
        <v>48</v>
      </c>
      <c r="X300">
        <v>0</v>
      </c>
      <c r="Y300">
        <v>0</v>
      </c>
      <c r="Z300">
        <v>0</v>
      </c>
      <c r="AB300" s="5">
        <v>43725</v>
      </c>
      <c r="AC300" s="5">
        <v>43741</v>
      </c>
      <c r="AD300" s="5">
        <v>43970.333333333336</v>
      </c>
      <c r="AE300" s="5">
        <v>43970.333333333336</v>
      </c>
      <c r="AG300" s="5">
        <v>44044</v>
      </c>
      <c r="AH300" s="5">
        <v>44044</v>
      </c>
      <c r="AK300" s="5">
        <v>43739.333333333336</v>
      </c>
      <c r="AL300" s="5">
        <v>43748.666666666664</v>
      </c>
      <c r="AP300" t="s">
        <v>418</v>
      </c>
      <c r="AU300" t="s">
        <v>2167</v>
      </c>
      <c r="AV300" t="s">
        <v>2221</v>
      </c>
      <c r="AY300" t="s">
        <v>40</v>
      </c>
      <c r="AZ300">
        <v>0</v>
      </c>
      <c r="BA300">
        <v>0</v>
      </c>
      <c r="BI300" s="5">
        <v>44048.176388888889</v>
      </c>
      <c r="BJ300" s="5">
        <v>44048.176388888889</v>
      </c>
      <c r="BK300" t="s">
        <v>778</v>
      </c>
      <c r="BL300" t="s">
        <v>778</v>
      </c>
      <c r="BN300" t="s">
        <v>37</v>
      </c>
    </row>
    <row r="301" spans="1:66" x14ac:dyDescent="0.2">
      <c r="A301">
        <v>3692858</v>
      </c>
      <c r="B301">
        <v>21883</v>
      </c>
      <c r="C301">
        <v>523996</v>
      </c>
      <c r="D301">
        <v>52897</v>
      </c>
      <c r="E301">
        <v>100</v>
      </c>
      <c r="F301" t="s">
        <v>37</v>
      </c>
      <c r="G301">
        <v>1</v>
      </c>
      <c r="H301" t="s">
        <v>37</v>
      </c>
      <c r="I301" t="s">
        <v>37</v>
      </c>
      <c r="J301" t="s">
        <v>775</v>
      </c>
      <c r="K301" t="s">
        <v>230</v>
      </c>
      <c r="L301" t="s">
        <v>226</v>
      </c>
      <c r="M301" t="s">
        <v>422</v>
      </c>
      <c r="N301" t="s">
        <v>2222</v>
      </c>
      <c r="O301" t="s">
        <v>2223</v>
      </c>
      <c r="S301">
        <v>0</v>
      </c>
      <c r="T301">
        <v>0</v>
      </c>
      <c r="U301">
        <v>0</v>
      </c>
      <c r="V301">
        <v>0</v>
      </c>
      <c r="W301">
        <v>104</v>
      </c>
      <c r="X301">
        <v>0</v>
      </c>
      <c r="Y301">
        <v>0</v>
      </c>
      <c r="Z301">
        <v>0</v>
      </c>
      <c r="AB301" s="5">
        <v>43683</v>
      </c>
      <c r="AC301" s="5">
        <v>43718</v>
      </c>
      <c r="AD301" s="5">
        <v>43970.333333333336</v>
      </c>
      <c r="AE301" s="5">
        <v>43970.333333333336</v>
      </c>
      <c r="AG301" s="5">
        <v>44044</v>
      </c>
      <c r="AH301" s="5">
        <v>44044</v>
      </c>
      <c r="AK301" s="5">
        <v>43703.333333333336</v>
      </c>
      <c r="AL301" s="5">
        <v>43725.666666666664</v>
      </c>
      <c r="AP301" t="s">
        <v>418</v>
      </c>
      <c r="AU301" t="s">
        <v>2171</v>
      </c>
      <c r="AV301" t="s">
        <v>2224</v>
      </c>
      <c r="AY301" t="s">
        <v>40</v>
      </c>
      <c r="AZ301">
        <v>0</v>
      </c>
      <c r="BA301">
        <v>0</v>
      </c>
      <c r="BI301" s="5">
        <v>44048.176388888889</v>
      </c>
      <c r="BJ301" s="5">
        <v>44048.176388888889</v>
      </c>
      <c r="BK301" t="s">
        <v>778</v>
      </c>
      <c r="BL301" t="s">
        <v>778</v>
      </c>
      <c r="BN301" t="s">
        <v>37</v>
      </c>
    </row>
    <row r="302" spans="1:66" x14ac:dyDescent="0.2">
      <c r="A302">
        <v>3692859</v>
      </c>
      <c r="B302">
        <v>21883</v>
      </c>
      <c r="C302">
        <v>523996</v>
      </c>
      <c r="D302">
        <v>52886</v>
      </c>
      <c r="E302">
        <v>100</v>
      </c>
      <c r="F302" t="s">
        <v>37</v>
      </c>
      <c r="G302">
        <v>1</v>
      </c>
      <c r="H302" t="s">
        <v>37</v>
      </c>
      <c r="I302" t="s">
        <v>37</v>
      </c>
      <c r="J302" t="s">
        <v>775</v>
      </c>
      <c r="K302" t="s">
        <v>230</v>
      </c>
      <c r="L302" t="s">
        <v>226</v>
      </c>
      <c r="M302" t="s">
        <v>422</v>
      </c>
      <c r="N302" t="s">
        <v>2225</v>
      </c>
      <c r="O302" t="s">
        <v>2226</v>
      </c>
      <c r="S302">
        <v>0</v>
      </c>
      <c r="T302">
        <v>0</v>
      </c>
      <c r="U302">
        <v>0</v>
      </c>
      <c r="V302">
        <v>0</v>
      </c>
      <c r="W302">
        <v>24</v>
      </c>
      <c r="X302">
        <v>0</v>
      </c>
      <c r="Y302">
        <v>0</v>
      </c>
      <c r="Z302">
        <v>0</v>
      </c>
      <c r="AB302" s="5">
        <v>43780</v>
      </c>
      <c r="AC302" s="5">
        <v>43796</v>
      </c>
      <c r="AD302" s="5">
        <v>43970.333333333336</v>
      </c>
      <c r="AE302" s="5">
        <v>43970.333333333336</v>
      </c>
      <c r="AG302" s="5">
        <v>44044</v>
      </c>
      <c r="AH302" s="5">
        <v>44044</v>
      </c>
      <c r="AK302" s="5">
        <v>43899.333333333336</v>
      </c>
      <c r="AL302" s="5">
        <v>43901.708333333336</v>
      </c>
      <c r="AP302" t="s">
        <v>418</v>
      </c>
      <c r="AU302" t="s">
        <v>2175</v>
      </c>
      <c r="AV302" t="s">
        <v>2227</v>
      </c>
      <c r="AY302" t="s">
        <v>40</v>
      </c>
      <c r="AZ302">
        <v>0</v>
      </c>
      <c r="BA302">
        <v>0</v>
      </c>
      <c r="BI302" s="5">
        <v>44048.176388888889</v>
      </c>
      <c r="BJ302" s="5">
        <v>44048.176388888889</v>
      </c>
      <c r="BK302" t="s">
        <v>778</v>
      </c>
      <c r="BL302" t="s">
        <v>778</v>
      </c>
      <c r="BN302" t="s">
        <v>37</v>
      </c>
    </row>
    <row r="303" spans="1:66" x14ac:dyDescent="0.2">
      <c r="A303">
        <v>3692860</v>
      </c>
      <c r="B303">
        <v>21883</v>
      </c>
      <c r="C303">
        <v>523996</v>
      </c>
      <c r="D303">
        <v>52897</v>
      </c>
      <c r="E303">
        <v>100</v>
      </c>
      <c r="F303" t="s">
        <v>37</v>
      </c>
      <c r="G303">
        <v>1</v>
      </c>
      <c r="H303" t="s">
        <v>37</v>
      </c>
      <c r="I303" t="s">
        <v>37</v>
      </c>
      <c r="J303" t="s">
        <v>775</v>
      </c>
      <c r="K303" t="s">
        <v>230</v>
      </c>
      <c r="L303" t="s">
        <v>226</v>
      </c>
      <c r="M303" t="s">
        <v>422</v>
      </c>
      <c r="N303" t="s">
        <v>2228</v>
      </c>
      <c r="O303" t="s">
        <v>2229</v>
      </c>
      <c r="S303">
        <v>0</v>
      </c>
      <c r="T303">
        <v>0</v>
      </c>
      <c r="U303">
        <v>0</v>
      </c>
      <c r="V303">
        <v>0</v>
      </c>
      <c r="W303">
        <v>24</v>
      </c>
      <c r="X303">
        <v>0</v>
      </c>
      <c r="Y303">
        <v>0</v>
      </c>
      <c r="Z303">
        <v>0</v>
      </c>
      <c r="AB303" s="5">
        <v>43795</v>
      </c>
      <c r="AC303" s="5">
        <v>43811</v>
      </c>
      <c r="AD303" s="5">
        <v>43970.333333333336</v>
      </c>
      <c r="AE303" s="5">
        <v>43970.333333333336</v>
      </c>
      <c r="AG303" s="5">
        <v>44044</v>
      </c>
      <c r="AH303" s="5">
        <v>44044</v>
      </c>
      <c r="AK303" s="5">
        <v>43801.333333333336</v>
      </c>
      <c r="AL303" s="5">
        <v>43805.666666666664</v>
      </c>
      <c r="AP303" t="s">
        <v>418</v>
      </c>
      <c r="AU303" t="s">
        <v>2179</v>
      </c>
      <c r="AV303" t="s">
        <v>2230</v>
      </c>
      <c r="AY303" t="s">
        <v>40</v>
      </c>
      <c r="AZ303">
        <v>0</v>
      </c>
      <c r="BA303">
        <v>0</v>
      </c>
      <c r="BI303" s="5">
        <v>44048.176388888889</v>
      </c>
      <c r="BJ303" s="5">
        <v>44048.176388888889</v>
      </c>
      <c r="BK303" t="s">
        <v>778</v>
      </c>
      <c r="BL303" t="s">
        <v>778</v>
      </c>
      <c r="BN303" t="s">
        <v>37</v>
      </c>
    </row>
    <row r="304" spans="1:66" x14ac:dyDescent="0.2">
      <c r="A304">
        <v>3692861</v>
      </c>
      <c r="B304">
        <v>21883</v>
      </c>
      <c r="C304">
        <v>523996</v>
      </c>
      <c r="D304">
        <v>52897</v>
      </c>
      <c r="E304">
        <v>100</v>
      </c>
      <c r="F304" t="s">
        <v>37</v>
      </c>
      <c r="G304">
        <v>1</v>
      </c>
      <c r="H304" t="s">
        <v>37</v>
      </c>
      <c r="I304" t="s">
        <v>37</v>
      </c>
      <c r="J304" t="s">
        <v>775</v>
      </c>
      <c r="K304" t="s">
        <v>230</v>
      </c>
      <c r="L304" t="s">
        <v>226</v>
      </c>
      <c r="M304" t="s">
        <v>422</v>
      </c>
      <c r="N304" t="s">
        <v>2231</v>
      </c>
      <c r="O304" t="s">
        <v>2232</v>
      </c>
      <c r="S304">
        <v>0</v>
      </c>
      <c r="T304">
        <v>0</v>
      </c>
      <c r="U304">
        <v>0</v>
      </c>
      <c r="V304">
        <v>0</v>
      </c>
      <c r="W304">
        <v>16</v>
      </c>
      <c r="X304">
        <v>0</v>
      </c>
      <c r="Y304">
        <v>0</v>
      </c>
      <c r="Z304">
        <v>0</v>
      </c>
      <c r="AB304" s="5">
        <v>43795</v>
      </c>
      <c r="AC304" s="5">
        <v>43805</v>
      </c>
      <c r="AD304" s="5">
        <v>43970.333333333336</v>
      </c>
      <c r="AE304" s="5">
        <v>43970.333333333336</v>
      </c>
      <c r="AG304" s="5">
        <v>44044</v>
      </c>
      <c r="AH304" s="5">
        <v>44044</v>
      </c>
      <c r="AK304" s="5">
        <v>43812.333333333336</v>
      </c>
      <c r="AL304" s="5">
        <v>43818.666666666664</v>
      </c>
      <c r="AP304" t="s">
        <v>418</v>
      </c>
      <c r="AU304" t="s">
        <v>2183</v>
      </c>
      <c r="AV304" t="s">
        <v>2233</v>
      </c>
      <c r="AY304" t="s">
        <v>40</v>
      </c>
      <c r="AZ304">
        <v>0</v>
      </c>
      <c r="BA304">
        <v>0</v>
      </c>
      <c r="BI304" s="5">
        <v>44048.176388888889</v>
      </c>
      <c r="BJ304" s="5">
        <v>44048.176388888889</v>
      </c>
      <c r="BK304" t="s">
        <v>778</v>
      </c>
      <c r="BL304" t="s">
        <v>778</v>
      </c>
      <c r="BN304" t="s">
        <v>37</v>
      </c>
    </row>
    <row r="305" spans="1:66" x14ac:dyDescent="0.2">
      <c r="A305">
        <v>3692862</v>
      </c>
      <c r="B305">
        <v>21883</v>
      </c>
      <c r="C305">
        <v>523996</v>
      </c>
      <c r="D305">
        <v>52897</v>
      </c>
      <c r="E305">
        <v>100</v>
      </c>
      <c r="F305" t="s">
        <v>37</v>
      </c>
      <c r="G305">
        <v>1</v>
      </c>
      <c r="H305" t="s">
        <v>37</v>
      </c>
      <c r="I305" t="s">
        <v>37</v>
      </c>
      <c r="J305" t="s">
        <v>775</v>
      </c>
      <c r="K305" t="s">
        <v>230</v>
      </c>
      <c r="L305" t="s">
        <v>226</v>
      </c>
      <c r="M305" t="s">
        <v>422</v>
      </c>
      <c r="N305" t="s">
        <v>2234</v>
      </c>
      <c r="O305" t="s">
        <v>2235</v>
      </c>
      <c r="S305">
        <v>0</v>
      </c>
      <c r="T305">
        <v>0</v>
      </c>
      <c r="U305">
        <v>0</v>
      </c>
      <c r="V305">
        <v>0</v>
      </c>
      <c r="W305">
        <v>16</v>
      </c>
      <c r="X305">
        <v>0</v>
      </c>
      <c r="Y305">
        <v>0</v>
      </c>
      <c r="Z305">
        <v>0</v>
      </c>
      <c r="AB305" s="5">
        <v>43815</v>
      </c>
      <c r="AC305" s="5">
        <v>43817</v>
      </c>
      <c r="AD305" s="5">
        <v>43970.333333333336</v>
      </c>
      <c r="AE305" s="5">
        <v>43970.333333333336</v>
      </c>
      <c r="AG305" s="5">
        <v>44044</v>
      </c>
      <c r="AH305" s="5">
        <v>44044</v>
      </c>
      <c r="AK305" s="5">
        <v>43833.333333333336</v>
      </c>
      <c r="AL305" s="5">
        <v>43836.666666666664</v>
      </c>
      <c r="AP305" t="s">
        <v>418</v>
      </c>
      <c r="AU305" t="s">
        <v>2187</v>
      </c>
      <c r="AV305" t="s">
        <v>2236</v>
      </c>
      <c r="AY305" t="s">
        <v>40</v>
      </c>
      <c r="AZ305">
        <v>0</v>
      </c>
      <c r="BA305">
        <v>0</v>
      </c>
      <c r="BI305" s="5">
        <v>44048.176388888889</v>
      </c>
      <c r="BJ305" s="5">
        <v>44048.176388888889</v>
      </c>
      <c r="BK305" t="s">
        <v>778</v>
      </c>
      <c r="BL305" t="s">
        <v>778</v>
      </c>
      <c r="BN305" t="s">
        <v>37</v>
      </c>
    </row>
    <row r="306" spans="1:66" x14ac:dyDescent="0.2">
      <c r="A306">
        <v>3692863</v>
      </c>
      <c r="B306">
        <v>21883</v>
      </c>
      <c r="C306">
        <v>523996</v>
      </c>
      <c r="D306">
        <v>52897</v>
      </c>
      <c r="E306">
        <v>100</v>
      </c>
      <c r="F306" t="s">
        <v>37</v>
      </c>
      <c r="G306">
        <v>1</v>
      </c>
      <c r="H306" t="s">
        <v>37</v>
      </c>
      <c r="I306" t="s">
        <v>37</v>
      </c>
      <c r="J306" t="s">
        <v>775</v>
      </c>
      <c r="K306" t="s">
        <v>230</v>
      </c>
      <c r="L306" t="s">
        <v>226</v>
      </c>
      <c r="M306" t="s">
        <v>422</v>
      </c>
      <c r="N306" t="s">
        <v>2237</v>
      </c>
      <c r="O306" t="s">
        <v>2238</v>
      </c>
      <c r="S306">
        <v>0</v>
      </c>
      <c r="T306">
        <v>0</v>
      </c>
      <c r="U306">
        <v>0</v>
      </c>
      <c r="V306">
        <v>0</v>
      </c>
      <c r="W306">
        <v>24</v>
      </c>
      <c r="X306">
        <v>0</v>
      </c>
      <c r="Y306">
        <v>0</v>
      </c>
      <c r="Z306">
        <v>0</v>
      </c>
      <c r="AB306" s="5">
        <v>43819</v>
      </c>
      <c r="AC306" s="5">
        <v>43837</v>
      </c>
      <c r="AD306" s="5">
        <v>43970.333333333336</v>
      </c>
      <c r="AE306" s="5">
        <v>43970.333333333336</v>
      </c>
      <c r="AG306" s="5">
        <v>44044</v>
      </c>
      <c r="AH306" s="5">
        <v>44044</v>
      </c>
      <c r="AK306" s="5">
        <v>43833.333333333336</v>
      </c>
      <c r="AL306" s="5">
        <v>43837.666666666664</v>
      </c>
      <c r="AP306" t="s">
        <v>418</v>
      </c>
      <c r="AU306" t="s">
        <v>2191</v>
      </c>
      <c r="AV306" t="s">
        <v>2239</v>
      </c>
      <c r="AY306" t="s">
        <v>40</v>
      </c>
      <c r="AZ306">
        <v>0</v>
      </c>
      <c r="BA306">
        <v>0</v>
      </c>
      <c r="BI306" s="5">
        <v>44048.176388888889</v>
      </c>
      <c r="BJ306" s="5">
        <v>44048.176388888889</v>
      </c>
      <c r="BK306" t="s">
        <v>778</v>
      </c>
      <c r="BL306" t="s">
        <v>778</v>
      </c>
      <c r="BN306" t="s">
        <v>37</v>
      </c>
    </row>
    <row r="307" spans="1:66" x14ac:dyDescent="0.2">
      <c r="A307">
        <v>3692864</v>
      </c>
      <c r="B307">
        <v>21883</v>
      </c>
      <c r="C307">
        <v>523996</v>
      </c>
      <c r="D307">
        <v>52897</v>
      </c>
      <c r="E307">
        <v>100</v>
      </c>
      <c r="F307" t="s">
        <v>37</v>
      </c>
      <c r="G307">
        <v>1</v>
      </c>
      <c r="H307" t="s">
        <v>37</v>
      </c>
      <c r="I307" t="s">
        <v>37</v>
      </c>
      <c r="J307" t="s">
        <v>775</v>
      </c>
      <c r="K307" t="s">
        <v>230</v>
      </c>
      <c r="L307" t="s">
        <v>226</v>
      </c>
      <c r="M307" t="s">
        <v>422</v>
      </c>
      <c r="N307" t="s">
        <v>2240</v>
      </c>
      <c r="O307" t="s">
        <v>2241</v>
      </c>
      <c r="S307">
        <v>0</v>
      </c>
      <c r="T307">
        <v>0</v>
      </c>
      <c r="U307">
        <v>0</v>
      </c>
      <c r="V307">
        <v>0</v>
      </c>
      <c r="W307">
        <v>16</v>
      </c>
      <c r="X307">
        <v>0</v>
      </c>
      <c r="Y307">
        <v>0</v>
      </c>
      <c r="Z307">
        <v>0</v>
      </c>
      <c r="AB307" s="5">
        <v>43890</v>
      </c>
      <c r="AC307" s="5">
        <v>43890</v>
      </c>
      <c r="AD307" s="5">
        <v>43970.333333333336</v>
      </c>
      <c r="AE307" s="5">
        <v>43970.333333333336</v>
      </c>
      <c r="AG307" s="5">
        <v>44044</v>
      </c>
      <c r="AH307" s="5">
        <v>44044</v>
      </c>
      <c r="AK307" s="5">
        <v>43892.333333333336</v>
      </c>
      <c r="AL307" s="5">
        <v>43893.666666666664</v>
      </c>
      <c r="AP307" t="s">
        <v>418</v>
      </c>
      <c r="AU307" t="s">
        <v>2195</v>
      </c>
      <c r="AV307" t="s">
        <v>2242</v>
      </c>
      <c r="AY307" t="s">
        <v>40</v>
      </c>
      <c r="AZ307">
        <v>0</v>
      </c>
      <c r="BA307">
        <v>0</v>
      </c>
      <c r="BI307" s="5">
        <v>44048.176388888889</v>
      </c>
      <c r="BJ307" s="5">
        <v>44048.176388888889</v>
      </c>
      <c r="BK307" t="s">
        <v>778</v>
      </c>
      <c r="BL307" t="s">
        <v>778</v>
      </c>
      <c r="BN307" t="s">
        <v>37</v>
      </c>
    </row>
    <row r="308" spans="1:66" x14ac:dyDescent="0.2">
      <c r="A308">
        <v>3692865</v>
      </c>
      <c r="B308">
        <v>21883</v>
      </c>
      <c r="C308">
        <v>523981</v>
      </c>
      <c r="D308">
        <v>52899</v>
      </c>
      <c r="E308">
        <v>100</v>
      </c>
      <c r="F308" t="s">
        <v>37</v>
      </c>
      <c r="G308">
        <v>1</v>
      </c>
      <c r="H308" t="s">
        <v>37</v>
      </c>
      <c r="I308" t="s">
        <v>37</v>
      </c>
      <c r="J308" t="s">
        <v>775</v>
      </c>
      <c r="K308" t="s">
        <v>230</v>
      </c>
      <c r="L308" t="s">
        <v>226</v>
      </c>
      <c r="M308" t="s">
        <v>422</v>
      </c>
      <c r="N308" t="s">
        <v>2243</v>
      </c>
      <c r="O308" t="s">
        <v>2244</v>
      </c>
      <c r="S308">
        <v>0</v>
      </c>
      <c r="T308">
        <v>0</v>
      </c>
      <c r="U308">
        <v>0</v>
      </c>
      <c r="V308">
        <v>0</v>
      </c>
      <c r="W308">
        <v>8</v>
      </c>
      <c r="X308">
        <v>0</v>
      </c>
      <c r="Y308">
        <v>0</v>
      </c>
      <c r="Z308">
        <v>0</v>
      </c>
      <c r="AB308" s="5">
        <v>43659</v>
      </c>
      <c r="AC308" s="5">
        <v>43659</v>
      </c>
      <c r="AD308" s="5">
        <v>43970.333333333336</v>
      </c>
      <c r="AE308" s="5">
        <v>43970.333333333336</v>
      </c>
      <c r="AG308" s="5">
        <v>44044</v>
      </c>
      <c r="AH308" s="5">
        <v>44044</v>
      </c>
      <c r="AK308" s="5">
        <v>43686.333333333336</v>
      </c>
      <c r="AL308" s="5">
        <v>43686.666666666664</v>
      </c>
      <c r="AP308" t="s">
        <v>418</v>
      </c>
      <c r="AU308" t="s">
        <v>2245</v>
      </c>
      <c r="AY308" t="s">
        <v>40</v>
      </c>
      <c r="AZ308">
        <v>0</v>
      </c>
      <c r="BA308">
        <v>0</v>
      </c>
      <c r="BI308" s="5">
        <v>44048.176388888889</v>
      </c>
      <c r="BJ308" s="5">
        <v>44048.176388888889</v>
      </c>
      <c r="BK308" t="s">
        <v>778</v>
      </c>
      <c r="BL308" t="s">
        <v>778</v>
      </c>
      <c r="BN308" t="s">
        <v>37</v>
      </c>
    </row>
    <row r="309" spans="1:66" x14ac:dyDescent="0.2">
      <c r="A309">
        <v>3692866</v>
      </c>
      <c r="B309">
        <v>21883</v>
      </c>
      <c r="C309">
        <v>523924</v>
      </c>
      <c r="D309">
        <v>52897</v>
      </c>
      <c r="E309">
        <v>0</v>
      </c>
      <c r="F309" t="s">
        <v>37</v>
      </c>
      <c r="G309">
        <v>1</v>
      </c>
      <c r="H309" t="s">
        <v>37</v>
      </c>
      <c r="I309" t="s">
        <v>37</v>
      </c>
      <c r="J309" t="s">
        <v>775</v>
      </c>
      <c r="K309" t="s">
        <v>230</v>
      </c>
      <c r="L309" t="s">
        <v>226</v>
      </c>
      <c r="M309" t="s">
        <v>417</v>
      </c>
      <c r="N309" t="s">
        <v>2246</v>
      </c>
      <c r="O309" t="s">
        <v>2247</v>
      </c>
      <c r="Q309">
        <v>-232</v>
      </c>
      <c r="R309">
        <v>0</v>
      </c>
      <c r="S309">
        <v>64</v>
      </c>
      <c r="T309">
        <v>0</v>
      </c>
      <c r="U309">
        <v>0</v>
      </c>
      <c r="V309">
        <v>0</v>
      </c>
      <c r="W309">
        <v>64</v>
      </c>
      <c r="X309">
        <v>0</v>
      </c>
      <c r="Y309">
        <v>0</v>
      </c>
      <c r="Z309">
        <v>0</v>
      </c>
      <c r="AD309" s="5">
        <v>44042.333333333336</v>
      </c>
      <c r="AE309" s="5">
        <v>44056.666666666664</v>
      </c>
      <c r="AG309" s="5">
        <v>44099.333333333336</v>
      </c>
      <c r="AH309" s="5">
        <v>44112.666666666664</v>
      </c>
      <c r="AI309" s="5">
        <v>44099.333333333336</v>
      </c>
      <c r="AJ309" s="5">
        <v>44112.666666666664</v>
      </c>
      <c r="AK309" s="5">
        <v>44099.333333333336</v>
      </c>
      <c r="AL309" s="5">
        <v>44112.666666666664</v>
      </c>
      <c r="AM309" s="5">
        <v>44042.333333333336</v>
      </c>
      <c r="AN309" s="5">
        <v>44056.666666666664</v>
      </c>
      <c r="AP309" t="s">
        <v>418</v>
      </c>
      <c r="AU309" t="s">
        <v>1453</v>
      </c>
      <c r="AY309" t="s">
        <v>40</v>
      </c>
      <c r="AZ309">
        <v>0</v>
      </c>
      <c r="BA309">
        <v>0</v>
      </c>
      <c r="BI309" s="5">
        <v>44048.176388888889</v>
      </c>
      <c r="BJ309" s="5">
        <v>44048.176388888889</v>
      </c>
      <c r="BK309" t="s">
        <v>778</v>
      </c>
      <c r="BL309" t="s">
        <v>778</v>
      </c>
      <c r="BN309" t="s">
        <v>37</v>
      </c>
    </row>
    <row r="310" spans="1:66" x14ac:dyDescent="0.2">
      <c r="A310">
        <v>3692867</v>
      </c>
      <c r="B310">
        <v>21883</v>
      </c>
      <c r="C310">
        <v>523924</v>
      </c>
      <c r="D310">
        <v>52896</v>
      </c>
      <c r="E310">
        <v>0</v>
      </c>
      <c r="F310" t="s">
        <v>37</v>
      </c>
      <c r="G310">
        <v>1</v>
      </c>
      <c r="H310" t="s">
        <v>37</v>
      </c>
      <c r="I310" t="s">
        <v>37</v>
      </c>
      <c r="J310" t="s">
        <v>775</v>
      </c>
      <c r="K310" t="s">
        <v>230</v>
      </c>
      <c r="L310" t="s">
        <v>226</v>
      </c>
      <c r="M310" t="s">
        <v>417</v>
      </c>
      <c r="N310" t="s">
        <v>2248</v>
      </c>
      <c r="O310" t="s">
        <v>2249</v>
      </c>
      <c r="Q310">
        <v>-280</v>
      </c>
      <c r="R310">
        <v>48</v>
      </c>
      <c r="S310">
        <v>16</v>
      </c>
      <c r="T310">
        <v>0</v>
      </c>
      <c r="U310">
        <v>0</v>
      </c>
      <c r="V310">
        <v>0</v>
      </c>
      <c r="W310">
        <v>16</v>
      </c>
      <c r="X310">
        <v>0</v>
      </c>
      <c r="Y310">
        <v>0</v>
      </c>
      <c r="Z310">
        <v>0</v>
      </c>
      <c r="AD310" s="5">
        <v>44049.333333333336</v>
      </c>
      <c r="AE310" s="5">
        <v>44050.666666666664</v>
      </c>
      <c r="AG310" s="5">
        <v>44099.333333333336</v>
      </c>
      <c r="AH310" s="5">
        <v>44102.666666666664</v>
      </c>
      <c r="AI310" s="5">
        <v>44099.333333333336</v>
      </c>
      <c r="AJ310" s="5">
        <v>44102.666666666664</v>
      </c>
      <c r="AK310" s="5">
        <v>44099.333333333336</v>
      </c>
      <c r="AL310" s="5">
        <v>44102.666666666664</v>
      </c>
      <c r="AM310" s="5">
        <v>44049.333333333336</v>
      </c>
      <c r="AN310" s="5">
        <v>44050.666666666664</v>
      </c>
      <c r="AP310" t="s">
        <v>418</v>
      </c>
      <c r="AU310" t="s">
        <v>1457</v>
      </c>
      <c r="AY310" t="s">
        <v>37</v>
      </c>
      <c r="AZ310">
        <v>0</v>
      </c>
      <c r="BA310">
        <v>0</v>
      </c>
      <c r="BI310" s="5">
        <v>44048.176388888889</v>
      </c>
      <c r="BJ310" s="5">
        <v>44048.176388888889</v>
      </c>
      <c r="BK310" t="s">
        <v>778</v>
      </c>
      <c r="BL310" t="s">
        <v>778</v>
      </c>
      <c r="BN310" t="s">
        <v>37</v>
      </c>
    </row>
    <row r="311" spans="1:66" x14ac:dyDescent="0.2">
      <c r="A311">
        <v>3692868</v>
      </c>
      <c r="B311">
        <v>21883</v>
      </c>
      <c r="C311">
        <v>523924</v>
      </c>
      <c r="D311">
        <v>52897</v>
      </c>
      <c r="E311">
        <v>0</v>
      </c>
      <c r="F311" t="s">
        <v>37</v>
      </c>
      <c r="G311">
        <v>1</v>
      </c>
      <c r="H311" t="s">
        <v>37</v>
      </c>
      <c r="I311" t="s">
        <v>37</v>
      </c>
      <c r="J311" t="s">
        <v>775</v>
      </c>
      <c r="K311" t="s">
        <v>230</v>
      </c>
      <c r="L311" t="s">
        <v>226</v>
      </c>
      <c r="M311" t="s">
        <v>417</v>
      </c>
      <c r="N311" t="s">
        <v>2250</v>
      </c>
      <c r="O311" t="s">
        <v>2251</v>
      </c>
      <c r="Q311">
        <v>-232</v>
      </c>
      <c r="R311">
        <v>0</v>
      </c>
      <c r="S311">
        <v>40</v>
      </c>
      <c r="T311">
        <v>0</v>
      </c>
      <c r="U311">
        <v>0</v>
      </c>
      <c r="V311">
        <v>0</v>
      </c>
      <c r="W311">
        <v>40</v>
      </c>
      <c r="X311">
        <v>0</v>
      </c>
      <c r="Y311">
        <v>0</v>
      </c>
      <c r="Z311">
        <v>0</v>
      </c>
      <c r="AD311" s="5">
        <v>44011.333333333336</v>
      </c>
      <c r="AE311" s="5">
        <v>44022.666666666664</v>
      </c>
      <c r="AG311" s="5">
        <v>44074.333333333336</v>
      </c>
      <c r="AH311" s="5">
        <v>44078.666666666664</v>
      </c>
      <c r="AI311" s="5">
        <v>44074.333333333336</v>
      </c>
      <c r="AJ311" s="5">
        <v>44078.666666666664</v>
      </c>
      <c r="AK311" s="5">
        <v>44074.333333333336</v>
      </c>
      <c r="AL311" s="5">
        <v>44078.666666666664</v>
      </c>
      <c r="AM311" s="5">
        <v>44011.333333333336</v>
      </c>
      <c r="AN311" s="5">
        <v>44022.666666666664</v>
      </c>
      <c r="AP311" t="s">
        <v>418</v>
      </c>
      <c r="AU311" t="s">
        <v>1461</v>
      </c>
      <c r="AY311" t="s">
        <v>40</v>
      </c>
      <c r="AZ311">
        <v>0</v>
      </c>
      <c r="BA311">
        <v>0</v>
      </c>
      <c r="BI311" s="5">
        <v>44048.176388888889</v>
      </c>
      <c r="BJ311" s="5">
        <v>44048.176388888889</v>
      </c>
      <c r="BK311" t="s">
        <v>778</v>
      </c>
      <c r="BL311" t="s">
        <v>778</v>
      </c>
      <c r="BN311" t="s">
        <v>37</v>
      </c>
    </row>
    <row r="312" spans="1:66" x14ac:dyDescent="0.2">
      <c r="A312">
        <v>3692869</v>
      </c>
      <c r="B312">
        <v>21883</v>
      </c>
      <c r="C312">
        <v>523999</v>
      </c>
      <c r="D312">
        <v>52897</v>
      </c>
      <c r="E312">
        <v>100</v>
      </c>
      <c r="F312" t="s">
        <v>37</v>
      </c>
      <c r="G312">
        <v>1</v>
      </c>
      <c r="H312" t="s">
        <v>37</v>
      </c>
      <c r="I312" t="s">
        <v>37</v>
      </c>
      <c r="J312" t="s">
        <v>775</v>
      </c>
      <c r="K312" t="s">
        <v>230</v>
      </c>
      <c r="L312" t="s">
        <v>226</v>
      </c>
      <c r="M312" t="s">
        <v>422</v>
      </c>
      <c r="N312" t="s">
        <v>2252</v>
      </c>
      <c r="O312" t="s">
        <v>2253</v>
      </c>
      <c r="S312">
        <v>0</v>
      </c>
      <c r="T312">
        <v>0</v>
      </c>
      <c r="U312">
        <v>0</v>
      </c>
      <c r="V312">
        <v>0</v>
      </c>
      <c r="W312">
        <v>32</v>
      </c>
      <c r="X312">
        <v>0</v>
      </c>
      <c r="Y312">
        <v>0</v>
      </c>
      <c r="Z312">
        <v>0</v>
      </c>
      <c r="AB312" s="5">
        <v>43677</v>
      </c>
      <c r="AC312" s="5">
        <v>43677</v>
      </c>
      <c r="AD312" s="5">
        <v>44306.666666666664</v>
      </c>
      <c r="AE312" s="5">
        <v>44306.666666666664</v>
      </c>
      <c r="AG312" s="5">
        <v>44044</v>
      </c>
      <c r="AH312" s="5">
        <v>44044</v>
      </c>
      <c r="AK312" s="5">
        <v>43951.333333333336</v>
      </c>
      <c r="AL312" s="5">
        <v>43956.666666666664</v>
      </c>
      <c r="AP312" t="s">
        <v>418</v>
      </c>
      <c r="AU312" t="s">
        <v>2206</v>
      </c>
      <c r="AY312" t="s">
        <v>37</v>
      </c>
      <c r="AZ312">
        <v>0</v>
      </c>
      <c r="BA312">
        <v>0</v>
      </c>
      <c r="BI312" s="5">
        <v>44048.176388888889</v>
      </c>
      <c r="BJ312" s="5">
        <v>44048.176388888889</v>
      </c>
      <c r="BK312" t="s">
        <v>778</v>
      </c>
      <c r="BL312" t="s">
        <v>778</v>
      </c>
      <c r="BN312" t="s">
        <v>37</v>
      </c>
    </row>
    <row r="313" spans="1:66" x14ac:dyDescent="0.2">
      <c r="A313">
        <v>3692870</v>
      </c>
      <c r="B313">
        <v>21883</v>
      </c>
      <c r="C313">
        <v>523999</v>
      </c>
      <c r="D313">
        <v>52896</v>
      </c>
      <c r="E313">
        <v>100</v>
      </c>
      <c r="F313" t="s">
        <v>37</v>
      </c>
      <c r="G313">
        <v>1</v>
      </c>
      <c r="H313" t="s">
        <v>37</v>
      </c>
      <c r="I313" t="s">
        <v>37</v>
      </c>
      <c r="J313" t="s">
        <v>775</v>
      </c>
      <c r="K313" t="s">
        <v>230</v>
      </c>
      <c r="L313" t="s">
        <v>226</v>
      </c>
      <c r="M313" t="s">
        <v>422</v>
      </c>
      <c r="N313" t="s">
        <v>2254</v>
      </c>
      <c r="O313" t="s">
        <v>2255</v>
      </c>
      <c r="S313">
        <v>0</v>
      </c>
      <c r="T313">
        <v>0</v>
      </c>
      <c r="U313">
        <v>0</v>
      </c>
      <c r="V313">
        <v>0</v>
      </c>
      <c r="W313">
        <v>160</v>
      </c>
      <c r="X313">
        <v>0</v>
      </c>
      <c r="Y313">
        <v>0</v>
      </c>
      <c r="Z313">
        <v>0</v>
      </c>
      <c r="AB313" s="5">
        <v>43677</v>
      </c>
      <c r="AC313" s="5">
        <v>43677</v>
      </c>
      <c r="AD313" s="5">
        <v>44306.666666666664</v>
      </c>
      <c r="AE313" s="5">
        <v>44306.666666666664</v>
      </c>
      <c r="AG313" s="5">
        <v>44044</v>
      </c>
      <c r="AH313" s="5">
        <v>44044</v>
      </c>
      <c r="AK313" s="5">
        <v>43938.333333333336</v>
      </c>
      <c r="AL313" s="5">
        <v>43965.666666666664</v>
      </c>
      <c r="AP313" t="s">
        <v>418</v>
      </c>
      <c r="AU313" t="s">
        <v>2209</v>
      </c>
      <c r="AY313" t="s">
        <v>37</v>
      </c>
      <c r="AZ313">
        <v>0</v>
      </c>
      <c r="BA313">
        <v>0</v>
      </c>
      <c r="BI313" s="5">
        <v>44048.176388888889</v>
      </c>
      <c r="BJ313" s="5">
        <v>44048.176388888889</v>
      </c>
      <c r="BK313" t="s">
        <v>778</v>
      </c>
      <c r="BL313" t="s">
        <v>778</v>
      </c>
      <c r="BN313" t="s">
        <v>37</v>
      </c>
    </row>
    <row r="314" spans="1:66" x14ac:dyDescent="0.2">
      <c r="A314">
        <v>3692871</v>
      </c>
      <c r="B314">
        <v>21883</v>
      </c>
      <c r="C314">
        <v>523999</v>
      </c>
      <c r="D314">
        <v>52897</v>
      </c>
      <c r="E314">
        <v>100</v>
      </c>
      <c r="F314" t="s">
        <v>37</v>
      </c>
      <c r="G314">
        <v>1</v>
      </c>
      <c r="H314" t="s">
        <v>37</v>
      </c>
      <c r="I314" t="s">
        <v>37</v>
      </c>
      <c r="J314" t="s">
        <v>775</v>
      </c>
      <c r="K314" t="s">
        <v>230</v>
      </c>
      <c r="L314" t="s">
        <v>226</v>
      </c>
      <c r="M314" t="s">
        <v>422</v>
      </c>
      <c r="N314" t="s">
        <v>2256</v>
      </c>
      <c r="O314" t="s">
        <v>2257</v>
      </c>
      <c r="S314">
        <v>0</v>
      </c>
      <c r="T314">
        <v>0</v>
      </c>
      <c r="U314">
        <v>0</v>
      </c>
      <c r="V314">
        <v>0</v>
      </c>
      <c r="W314">
        <v>8</v>
      </c>
      <c r="X314">
        <v>0</v>
      </c>
      <c r="Y314">
        <v>0</v>
      </c>
      <c r="Z314">
        <v>0</v>
      </c>
      <c r="AB314" s="5">
        <v>43677</v>
      </c>
      <c r="AC314" s="5">
        <v>43677</v>
      </c>
      <c r="AD314" s="5">
        <v>44306.666666666664</v>
      </c>
      <c r="AE314" s="5">
        <v>44306.666666666664</v>
      </c>
      <c r="AG314" s="5">
        <v>44044</v>
      </c>
      <c r="AH314" s="5">
        <v>44044</v>
      </c>
      <c r="AK314" s="5">
        <v>43927.333333333336</v>
      </c>
      <c r="AL314" s="5">
        <v>43927.666666666664</v>
      </c>
      <c r="AP314" t="s">
        <v>418</v>
      </c>
      <c r="AU314" t="s">
        <v>2212</v>
      </c>
      <c r="AY314" t="s">
        <v>37</v>
      </c>
      <c r="AZ314">
        <v>0</v>
      </c>
      <c r="BA314">
        <v>0</v>
      </c>
      <c r="BI314" s="5">
        <v>44048.176388888889</v>
      </c>
      <c r="BJ314" s="5">
        <v>44048.176388888889</v>
      </c>
      <c r="BK314" t="s">
        <v>778</v>
      </c>
      <c r="BL314" t="s">
        <v>778</v>
      </c>
      <c r="BN314" t="s">
        <v>37</v>
      </c>
    </row>
    <row r="315" spans="1:66" x14ac:dyDescent="0.2">
      <c r="A315">
        <v>3692872</v>
      </c>
      <c r="B315">
        <v>21883</v>
      </c>
      <c r="C315">
        <v>523926</v>
      </c>
      <c r="D315">
        <v>52896</v>
      </c>
      <c r="E315">
        <v>100</v>
      </c>
      <c r="F315" t="s">
        <v>37</v>
      </c>
      <c r="G315">
        <v>1</v>
      </c>
      <c r="H315" t="s">
        <v>37</v>
      </c>
      <c r="I315" t="s">
        <v>37</v>
      </c>
      <c r="J315" t="s">
        <v>775</v>
      </c>
      <c r="K315" t="s">
        <v>230</v>
      </c>
      <c r="L315" t="s">
        <v>226</v>
      </c>
      <c r="M315" t="s">
        <v>422</v>
      </c>
      <c r="N315" t="s">
        <v>2258</v>
      </c>
      <c r="O315" t="s">
        <v>2259</v>
      </c>
      <c r="S315">
        <v>0</v>
      </c>
      <c r="T315">
        <v>0</v>
      </c>
      <c r="U315">
        <v>0</v>
      </c>
      <c r="V315">
        <v>0</v>
      </c>
      <c r="W315">
        <v>80</v>
      </c>
      <c r="X315">
        <v>0</v>
      </c>
      <c r="Y315">
        <v>0</v>
      </c>
      <c r="Z315">
        <v>0</v>
      </c>
      <c r="AB315" s="5">
        <v>44019</v>
      </c>
      <c r="AC315" s="5">
        <v>44028</v>
      </c>
      <c r="AD315" s="5">
        <v>44054.333333333336</v>
      </c>
      <c r="AE315" s="5">
        <v>44054.333333333336</v>
      </c>
      <c r="AG315" s="5">
        <v>44044</v>
      </c>
      <c r="AH315" s="5">
        <v>44044</v>
      </c>
      <c r="AK315" s="5">
        <v>44040.333333333336</v>
      </c>
      <c r="AL315" s="5">
        <v>44053.666666666664</v>
      </c>
      <c r="AP315" t="s">
        <v>418</v>
      </c>
      <c r="AU315" t="s">
        <v>2260</v>
      </c>
      <c r="AY315" t="s">
        <v>37</v>
      </c>
      <c r="AZ315">
        <v>0</v>
      </c>
      <c r="BA315">
        <v>0</v>
      </c>
      <c r="BI315" s="5">
        <v>44048.176388888889</v>
      </c>
      <c r="BJ315" s="5">
        <v>44048.176388888889</v>
      </c>
      <c r="BK315" t="s">
        <v>778</v>
      </c>
      <c r="BL315" t="s">
        <v>778</v>
      </c>
      <c r="BN315" t="s">
        <v>37</v>
      </c>
    </row>
    <row r="316" spans="1:66" x14ac:dyDescent="0.2">
      <c r="A316">
        <v>3692873</v>
      </c>
      <c r="B316">
        <v>21883</v>
      </c>
      <c r="C316">
        <v>523926</v>
      </c>
      <c r="D316">
        <v>52897</v>
      </c>
      <c r="E316">
        <v>100</v>
      </c>
      <c r="F316" t="s">
        <v>37</v>
      </c>
      <c r="G316">
        <v>1</v>
      </c>
      <c r="H316" t="s">
        <v>37</v>
      </c>
      <c r="I316" t="s">
        <v>37</v>
      </c>
      <c r="J316" t="s">
        <v>775</v>
      </c>
      <c r="K316" t="s">
        <v>230</v>
      </c>
      <c r="L316" t="s">
        <v>226</v>
      </c>
      <c r="M316" t="s">
        <v>422</v>
      </c>
      <c r="N316" t="s">
        <v>2261</v>
      </c>
      <c r="O316" t="s">
        <v>2262</v>
      </c>
      <c r="S316">
        <v>0</v>
      </c>
      <c r="T316">
        <v>0</v>
      </c>
      <c r="U316">
        <v>0</v>
      </c>
      <c r="V316">
        <v>0</v>
      </c>
      <c r="W316">
        <v>32</v>
      </c>
      <c r="X316">
        <v>0</v>
      </c>
      <c r="Y316">
        <v>0</v>
      </c>
      <c r="Z316">
        <v>0</v>
      </c>
      <c r="AB316" s="5">
        <v>44026</v>
      </c>
      <c r="AC316" s="5">
        <v>44033</v>
      </c>
      <c r="AD316" s="5">
        <v>44054.333333333336</v>
      </c>
      <c r="AE316" s="5">
        <v>44054.333333333336</v>
      </c>
      <c r="AG316" s="5">
        <v>44044</v>
      </c>
      <c r="AH316" s="5">
        <v>44044</v>
      </c>
      <c r="AK316" s="5">
        <v>44042.333333333336</v>
      </c>
      <c r="AL316" s="5">
        <v>44048.666666666664</v>
      </c>
      <c r="AP316" t="s">
        <v>418</v>
      </c>
      <c r="AU316" t="s">
        <v>2263</v>
      </c>
      <c r="AY316" t="s">
        <v>37</v>
      </c>
      <c r="AZ316">
        <v>0</v>
      </c>
      <c r="BA316">
        <v>0</v>
      </c>
      <c r="BI316" s="5">
        <v>44048.176388888889</v>
      </c>
      <c r="BJ316" s="5">
        <v>44048.176388888889</v>
      </c>
      <c r="BK316" t="s">
        <v>778</v>
      </c>
      <c r="BL316" t="s">
        <v>778</v>
      </c>
      <c r="BN316" t="s">
        <v>37</v>
      </c>
    </row>
    <row r="317" spans="1:66" x14ac:dyDescent="0.2">
      <c r="A317">
        <v>3692874</v>
      </c>
      <c r="B317">
        <v>21883</v>
      </c>
      <c r="C317">
        <v>523926</v>
      </c>
      <c r="D317">
        <v>52897</v>
      </c>
      <c r="E317">
        <v>100</v>
      </c>
      <c r="F317" t="s">
        <v>37</v>
      </c>
      <c r="G317">
        <v>1</v>
      </c>
      <c r="H317" t="s">
        <v>37</v>
      </c>
      <c r="I317" t="s">
        <v>37</v>
      </c>
      <c r="J317" t="s">
        <v>775</v>
      </c>
      <c r="K317" t="s">
        <v>230</v>
      </c>
      <c r="L317" t="s">
        <v>226</v>
      </c>
      <c r="M317" t="s">
        <v>422</v>
      </c>
      <c r="N317" t="s">
        <v>2264</v>
      </c>
      <c r="O317" t="s">
        <v>2265</v>
      </c>
      <c r="S317">
        <v>0</v>
      </c>
      <c r="T317">
        <v>0</v>
      </c>
      <c r="U317">
        <v>0</v>
      </c>
      <c r="V317">
        <v>0</v>
      </c>
      <c r="W317">
        <v>16</v>
      </c>
      <c r="X317">
        <v>0</v>
      </c>
      <c r="Y317">
        <v>0</v>
      </c>
      <c r="Z317">
        <v>0</v>
      </c>
      <c r="AB317" s="5">
        <v>43990</v>
      </c>
      <c r="AC317" s="5">
        <v>44011</v>
      </c>
      <c r="AD317" s="5">
        <v>44054.333333333336</v>
      </c>
      <c r="AE317" s="5">
        <v>44054.333333333336</v>
      </c>
      <c r="AG317" s="5">
        <v>44044</v>
      </c>
      <c r="AH317" s="5">
        <v>44044</v>
      </c>
      <c r="AK317" s="5">
        <v>44035.333333333336</v>
      </c>
      <c r="AL317" s="5">
        <v>44036.666666666664</v>
      </c>
      <c r="AP317" t="s">
        <v>418</v>
      </c>
      <c r="AU317" t="s">
        <v>2266</v>
      </c>
      <c r="AY317" t="s">
        <v>37</v>
      </c>
      <c r="AZ317">
        <v>0</v>
      </c>
      <c r="BA317">
        <v>0</v>
      </c>
      <c r="BI317" s="5">
        <v>44048.176388888889</v>
      </c>
      <c r="BJ317" s="5">
        <v>44048.176388888889</v>
      </c>
      <c r="BK317" t="s">
        <v>778</v>
      </c>
      <c r="BL317" t="s">
        <v>778</v>
      </c>
      <c r="BN317" t="s">
        <v>37</v>
      </c>
    </row>
    <row r="318" spans="1:66" x14ac:dyDescent="0.2">
      <c r="A318">
        <v>3692875</v>
      </c>
      <c r="B318">
        <v>21883</v>
      </c>
      <c r="C318">
        <v>523988</v>
      </c>
      <c r="D318">
        <v>52895</v>
      </c>
      <c r="E318">
        <v>100</v>
      </c>
      <c r="F318" t="s">
        <v>37</v>
      </c>
      <c r="G318">
        <v>1</v>
      </c>
      <c r="H318" t="s">
        <v>37</v>
      </c>
      <c r="I318" t="s">
        <v>37</v>
      </c>
      <c r="J318" t="s">
        <v>775</v>
      </c>
      <c r="K318" t="s">
        <v>419</v>
      </c>
      <c r="L318" t="s">
        <v>420</v>
      </c>
      <c r="M318" t="s">
        <v>422</v>
      </c>
      <c r="N318" t="s">
        <v>2267</v>
      </c>
      <c r="O318" t="s">
        <v>2268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B318" s="5">
        <v>43210.333333333336</v>
      </c>
      <c r="AC318" s="5">
        <v>43210.333333333336</v>
      </c>
      <c r="AD318" s="5">
        <v>43970.333333333336</v>
      </c>
      <c r="AE318" s="5">
        <v>43970.333333333336</v>
      </c>
      <c r="AG318" s="5">
        <v>44044</v>
      </c>
      <c r="AH318" s="5">
        <v>44044</v>
      </c>
      <c r="AK318" s="5">
        <v>43221.333333333336</v>
      </c>
      <c r="AL318" s="5">
        <v>43221.333333333336</v>
      </c>
      <c r="AP318" t="s">
        <v>418</v>
      </c>
      <c r="AU318" t="s">
        <v>2269</v>
      </c>
      <c r="AV318" t="s">
        <v>2270</v>
      </c>
      <c r="AY318" t="s">
        <v>40</v>
      </c>
      <c r="AZ318">
        <v>0</v>
      </c>
      <c r="BA318">
        <v>0</v>
      </c>
      <c r="BI318" s="5">
        <v>44048.176388888889</v>
      </c>
      <c r="BJ318" s="5">
        <v>44048.176388888889</v>
      </c>
      <c r="BK318" t="s">
        <v>778</v>
      </c>
      <c r="BL318" t="s">
        <v>778</v>
      </c>
      <c r="BN318" t="s">
        <v>37</v>
      </c>
    </row>
    <row r="319" spans="1:66" x14ac:dyDescent="0.2">
      <c r="A319">
        <v>3692876</v>
      </c>
      <c r="B319">
        <v>21883</v>
      </c>
      <c r="C319">
        <v>523988</v>
      </c>
      <c r="D319">
        <v>52895</v>
      </c>
      <c r="E319">
        <v>100</v>
      </c>
      <c r="F319" t="s">
        <v>37</v>
      </c>
      <c r="G319">
        <v>1</v>
      </c>
      <c r="H319" t="s">
        <v>37</v>
      </c>
      <c r="I319" t="s">
        <v>37</v>
      </c>
      <c r="J319" t="s">
        <v>775</v>
      </c>
      <c r="K319" t="s">
        <v>423</v>
      </c>
      <c r="L319" t="s">
        <v>420</v>
      </c>
      <c r="M319" t="s">
        <v>422</v>
      </c>
      <c r="N319" t="s">
        <v>2271</v>
      </c>
      <c r="O319" t="s">
        <v>2272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B319" s="5">
        <v>43224.666666666664</v>
      </c>
      <c r="AC319" s="5">
        <v>43224.666666666664</v>
      </c>
      <c r="AD319" s="5">
        <v>43970.333333333336</v>
      </c>
      <c r="AE319" s="5">
        <v>43970.333333333336</v>
      </c>
      <c r="AG319" s="5">
        <v>44044</v>
      </c>
      <c r="AH319" s="5">
        <v>44044</v>
      </c>
      <c r="AK319" s="5">
        <v>43282.333333333336</v>
      </c>
      <c r="AL319" s="5">
        <v>43282.333333333336</v>
      </c>
      <c r="AP319" t="s">
        <v>418</v>
      </c>
      <c r="AU319" t="s">
        <v>2273</v>
      </c>
      <c r="AV319" t="s">
        <v>2274</v>
      </c>
      <c r="AY319" t="s">
        <v>40</v>
      </c>
      <c r="AZ319">
        <v>0</v>
      </c>
      <c r="BA319">
        <v>0</v>
      </c>
      <c r="BI319" s="5">
        <v>44048.176388888889</v>
      </c>
      <c r="BJ319" s="5">
        <v>44048.176388888889</v>
      </c>
      <c r="BK319" t="s">
        <v>778</v>
      </c>
      <c r="BL319" t="s">
        <v>778</v>
      </c>
      <c r="BN319" t="s">
        <v>37</v>
      </c>
    </row>
    <row r="320" spans="1:66" x14ac:dyDescent="0.2">
      <c r="A320">
        <v>3692877</v>
      </c>
      <c r="B320">
        <v>21883</v>
      </c>
      <c r="C320">
        <v>523988</v>
      </c>
      <c r="D320">
        <v>52895</v>
      </c>
      <c r="E320">
        <v>100</v>
      </c>
      <c r="F320" t="s">
        <v>37</v>
      </c>
      <c r="G320">
        <v>1</v>
      </c>
      <c r="H320" t="s">
        <v>37</v>
      </c>
      <c r="I320" t="s">
        <v>37</v>
      </c>
      <c r="J320" t="s">
        <v>775</v>
      </c>
      <c r="K320" t="s">
        <v>419</v>
      </c>
      <c r="L320" t="s">
        <v>420</v>
      </c>
      <c r="M320" t="s">
        <v>422</v>
      </c>
      <c r="N320" t="s">
        <v>2275</v>
      </c>
      <c r="O320" t="s">
        <v>2276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B320" s="5">
        <v>43210.333333333336</v>
      </c>
      <c r="AC320" s="5">
        <v>43210.333333333336</v>
      </c>
      <c r="AD320" s="5">
        <v>43970.333333333336</v>
      </c>
      <c r="AE320" s="5">
        <v>43970.333333333336</v>
      </c>
      <c r="AG320" s="5">
        <v>44044</v>
      </c>
      <c r="AH320" s="5">
        <v>44044</v>
      </c>
      <c r="AK320" s="5">
        <v>43230.333333333336</v>
      </c>
      <c r="AL320" s="5">
        <v>43230.333333333336</v>
      </c>
      <c r="AP320" t="s">
        <v>418</v>
      </c>
      <c r="AU320" t="s">
        <v>2277</v>
      </c>
      <c r="AV320" t="s">
        <v>2278</v>
      </c>
      <c r="AY320" t="s">
        <v>40</v>
      </c>
      <c r="AZ320">
        <v>0</v>
      </c>
      <c r="BA320">
        <v>0</v>
      </c>
      <c r="BI320" s="5">
        <v>44048.176388888889</v>
      </c>
      <c r="BJ320" s="5">
        <v>44048.176388888889</v>
      </c>
      <c r="BK320" t="s">
        <v>778</v>
      </c>
      <c r="BL320" t="s">
        <v>778</v>
      </c>
      <c r="BN320" t="s">
        <v>37</v>
      </c>
    </row>
    <row r="321" spans="1:66" x14ac:dyDescent="0.2">
      <c r="A321">
        <v>3692878</v>
      </c>
      <c r="B321">
        <v>21883</v>
      </c>
      <c r="C321">
        <v>523988</v>
      </c>
      <c r="D321">
        <v>52895</v>
      </c>
      <c r="E321">
        <v>100</v>
      </c>
      <c r="F321" t="s">
        <v>37</v>
      </c>
      <c r="G321">
        <v>1</v>
      </c>
      <c r="H321" t="s">
        <v>37</v>
      </c>
      <c r="I321" t="s">
        <v>37</v>
      </c>
      <c r="J321" t="s">
        <v>775</v>
      </c>
      <c r="K321" t="s">
        <v>423</v>
      </c>
      <c r="L321" t="s">
        <v>420</v>
      </c>
      <c r="M321" t="s">
        <v>422</v>
      </c>
      <c r="N321" t="s">
        <v>2279</v>
      </c>
      <c r="O321" t="s">
        <v>2280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B321" s="5">
        <v>43659</v>
      </c>
      <c r="AC321" s="5">
        <v>43659</v>
      </c>
      <c r="AD321" s="5">
        <v>43970.333333333336</v>
      </c>
      <c r="AE321" s="5">
        <v>43970.333333333336</v>
      </c>
      <c r="AG321" s="5">
        <v>44044</v>
      </c>
      <c r="AH321" s="5">
        <v>44044</v>
      </c>
      <c r="AK321" s="5">
        <v>43685.666666666664</v>
      </c>
      <c r="AL321" s="5">
        <v>43685.666666666664</v>
      </c>
      <c r="AP321" t="s">
        <v>418</v>
      </c>
      <c r="AU321" t="s">
        <v>2281</v>
      </c>
      <c r="AV321" t="s">
        <v>2282</v>
      </c>
      <c r="AY321" t="s">
        <v>40</v>
      </c>
      <c r="AZ321">
        <v>0</v>
      </c>
      <c r="BA321">
        <v>0</v>
      </c>
      <c r="BI321" s="5">
        <v>44048.176388888889</v>
      </c>
      <c r="BJ321" s="5">
        <v>44048.176388888889</v>
      </c>
      <c r="BK321" t="s">
        <v>778</v>
      </c>
      <c r="BL321" t="s">
        <v>778</v>
      </c>
      <c r="BN321" t="s">
        <v>37</v>
      </c>
    </row>
    <row r="322" spans="1:66" x14ac:dyDescent="0.2">
      <c r="A322">
        <v>3692879</v>
      </c>
      <c r="B322">
        <v>21883</v>
      </c>
      <c r="C322">
        <v>523988</v>
      </c>
      <c r="D322">
        <v>52895</v>
      </c>
      <c r="E322">
        <v>100</v>
      </c>
      <c r="F322" t="s">
        <v>37</v>
      </c>
      <c r="G322">
        <v>1</v>
      </c>
      <c r="H322" t="s">
        <v>37</v>
      </c>
      <c r="I322" t="s">
        <v>37</v>
      </c>
      <c r="J322" t="s">
        <v>775</v>
      </c>
      <c r="K322" t="s">
        <v>419</v>
      </c>
      <c r="L322" t="s">
        <v>420</v>
      </c>
      <c r="M322" t="s">
        <v>422</v>
      </c>
      <c r="N322" t="s">
        <v>2283</v>
      </c>
      <c r="O322" t="s">
        <v>2284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B322" s="5">
        <v>43661</v>
      </c>
      <c r="AC322" s="5">
        <v>43661</v>
      </c>
      <c r="AD322" s="5">
        <v>43970.333333333336</v>
      </c>
      <c r="AE322" s="5">
        <v>43970.333333333336</v>
      </c>
      <c r="AG322" s="5">
        <v>44044</v>
      </c>
      <c r="AH322" s="5">
        <v>44044</v>
      </c>
      <c r="AK322" s="5">
        <v>43678.333333333336</v>
      </c>
      <c r="AL322" s="5">
        <v>43678.333333333336</v>
      </c>
      <c r="AP322" t="s">
        <v>418</v>
      </c>
      <c r="AU322" t="s">
        <v>2285</v>
      </c>
      <c r="AV322" t="s">
        <v>2286</v>
      </c>
      <c r="AY322" t="s">
        <v>40</v>
      </c>
      <c r="AZ322">
        <v>0</v>
      </c>
      <c r="BA322">
        <v>0</v>
      </c>
      <c r="BI322" s="5">
        <v>44048.176388888889</v>
      </c>
      <c r="BJ322" s="5">
        <v>44048.176388888889</v>
      </c>
      <c r="BK322" t="s">
        <v>778</v>
      </c>
      <c r="BL322" t="s">
        <v>778</v>
      </c>
      <c r="BN322" t="s">
        <v>37</v>
      </c>
    </row>
    <row r="323" spans="1:66" x14ac:dyDescent="0.2">
      <c r="A323">
        <v>3692880</v>
      </c>
      <c r="B323">
        <v>21883</v>
      </c>
      <c r="C323">
        <v>523988</v>
      </c>
      <c r="D323">
        <v>52895</v>
      </c>
      <c r="E323">
        <v>100</v>
      </c>
      <c r="F323" t="s">
        <v>37</v>
      </c>
      <c r="G323">
        <v>1</v>
      </c>
      <c r="H323" t="s">
        <v>37</v>
      </c>
      <c r="I323" t="s">
        <v>37</v>
      </c>
      <c r="J323" t="s">
        <v>775</v>
      </c>
      <c r="K323" t="s">
        <v>423</v>
      </c>
      <c r="L323" t="s">
        <v>420</v>
      </c>
      <c r="M323" t="s">
        <v>422</v>
      </c>
      <c r="N323" t="s">
        <v>2287</v>
      </c>
      <c r="O323" t="s">
        <v>2288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B323" s="5">
        <v>43896</v>
      </c>
      <c r="AC323" s="5">
        <v>43896</v>
      </c>
      <c r="AD323" s="5">
        <v>43970.333333333336</v>
      </c>
      <c r="AE323" s="5">
        <v>43970.333333333336</v>
      </c>
      <c r="AG323" s="5">
        <v>44044</v>
      </c>
      <c r="AH323" s="5">
        <v>44044</v>
      </c>
      <c r="AK323" s="5">
        <v>43922.333333333336</v>
      </c>
      <c r="AL323" s="5">
        <v>43922.333333333336</v>
      </c>
      <c r="AP323" t="s">
        <v>418</v>
      </c>
      <c r="AU323" t="s">
        <v>2289</v>
      </c>
      <c r="AV323" t="s">
        <v>2290</v>
      </c>
      <c r="AY323" t="s">
        <v>40</v>
      </c>
      <c r="AZ323">
        <v>0</v>
      </c>
      <c r="BA323">
        <v>0</v>
      </c>
      <c r="BI323" s="5">
        <v>44048.176388888889</v>
      </c>
      <c r="BJ323" s="5">
        <v>44048.176388888889</v>
      </c>
      <c r="BK323" t="s">
        <v>778</v>
      </c>
      <c r="BL323" t="s">
        <v>778</v>
      </c>
      <c r="BN323" t="s">
        <v>37</v>
      </c>
    </row>
    <row r="324" spans="1:66" x14ac:dyDescent="0.2">
      <c r="A324">
        <v>3692881</v>
      </c>
      <c r="B324">
        <v>21883</v>
      </c>
      <c r="C324">
        <v>523988</v>
      </c>
      <c r="D324">
        <v>52895</v>
      </c>
      <c r="E324">
        <v>0</v>
      </c>
      <c r="F324" t="s">
        <v>37</v>
      </c>
      <c r="G324">
        <v>1</v>
      </c>
      <c r="H324" t="s">
        <v>37</v>
      </c>
      <c r="I324" t="s">
        <v>37</v>
      </c>
      <c r="J324" t="s">
        <v>775</v>
      </c>
      <c r="K324" t="s">
        <v>419</v>
      </c>
      <c r="L324" t="s">
        <v>420</v>
      </c>
      <c r="M324" t="s">
        <v>417</v>
      </c>
      <c r="N324" t="s">
        <v>2291</v>
      </c>
      <c r="O324" t="s">
        <v>2292</v>
      </c>
      <c r="Q324">
        <v>1584</v>
      </c>
      <c r="R324">
        <v>1464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D324" s="5">
        <v>44273.666666666664</v>
      </c>
      <c r="AE324" s="5">
        <v>44273.666666666664</v>
      </c>
      <c r="AG324" s="5">
        <v>44076.333333333336</v>
      </c>
      <c r="AH324" s="5">
        <v>44076.333333333336</v>
      </c>
      <c r="AI324" s="5">
        <v>44076.333333333336</v>
      </c>
      <c r="AJ324" s="5">
        <v>44076.333333333336</v>
      </c>
      <c r="AK324" s="5">
        <v>44076.333333333336</v>
      </c>
      <c r="AL324" s="5">
        <v>44076.333333333336</v>
      </c>
      <c r="AM324" s="5">
        <v>44273.666666666664</v>
      </c>
      <c r="AN324" s="5">
        <v>44273.666666666664</v>
      </c>
      <c r="AP324" t="s">
        <v>418</v>
      </c>
      <c r="AU324" t="s">
        <v>2293</v>
      </c>
      <c r="AV324" t="s">
        <v>2294</v>
      </c>
      <c r="AY324" t="s">
        <v>37</v>
      </c>
      <c r="AZ324">
        <v>0</v>
      </c>
      <c r="BA324">
        <v>0</v>
      </c>
      <c r="BI324" s="5">
        <v>44048.176388888889</v>
      </c>
      <c r="BJ324" s="5">
        <v>44048.176388888889</v>
      </c>
      <c r="BK324" t="s">
        <v>778</v>
      </c>
      <c r="BL324" t="s">
        <v>778</v>
      </c>
      <c r="BN324" t="s">
        <v>37</v>
      </c>
    </row>
    <row r="325" spans="1:66" x14ac:dyDescent="0.2">
      <c r="A325">
        <v>3692882</v>
      </c>
      <c r="B325">
        <v>21883</v>
      </c>
      <c r="C325">
        <v>523988</v>
      </c>
      <c r="D325">
        <v>52895</v>
      </c>
      <c r="E325">
        <v>0</v>
      </c>
      <c r="F325" t="s">
        <v>37</v>
      </c>
      <c r="G325">
        <v>1</v>
      </c>
      <c r="H325" t="s">
        <v>37</v>
      </c>
      <c r="I325" t="s">
        <v>37</v>
      </c>
      <c r="J325" t="s">
        <v>775</v>
      </c>
      <c r="K325" t="s">
        <v>423</v>
      </c>
      <c r="L325" t="s">
        <v>420</v>
      </c>
      <c r="M325" t="s">
        <v>417</v>
      </c>
      <c r="N325" t="s">
        <v>2295</v>
      </c>
      <c r="O325" t="s">
        <v>2296</v>
      </c>
      <c r="Q325">
        <v>120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D325" s="5">
        <v>44273.666666666664</v>
      </c>
      <c r="AE325" s="5">
        <v>44273.666666666664</v>
      </c>
      <c r="AG325" s="5">
        <v>44258.666666666664</v>
      </c>
      <c r="AH325" s="5">
        <v>44258.666666666664</v>
      </c>
      <c r="AI325" s="5">
        <v>44258.666666666664</v>
      </c>
      <c r="AJ325" s="5">
        <v>44258.666666666664</v>
      </c>
      <c r="AK325" s="5">
        <v>44258.666666666664</v>
      </c>
      <c r="AL325" s="5">
        <v>44258.666666666664</v>
      </c>
      <c r="AM325" s="5">
        <v>44273.666666666664</v>
      </c>
      <c r="AN325" s="5">
        <v>44273.666666666664</v>
      </c>
      <c r="AP325" t="s">
        <v>418</v>
      </c>
      <c r="AU325" t="s">
        <v>2297</v>
      </c>
      <c r="AV325" t="s">
        <v>2298</v>
      </c>
      <c r="AY325" t="s">
        <v>37</v>
      </c>
      <c r="AZ325">
        <v>0</v>
      </c>
      <c r="BA325">
        <v>0</v>
      </c>
      <c r="BI325" s="5">
        <v>44048.176388888889</v>
      </c>
      <c r="BJ325" s="5">
        <v>44048.176388888889</v>
      </c>
      <c r="BK325" t="s">
        <v>778</v>
      </c>
      <c r="BL325" t="s">
        <v>778</v>
      </c>
      <c r="BN325" t="s">
        <v>37</v>
      </c>
    </row>
    <row r="326" spans="1:66" x14ac:dyDescent="0.2">
      <c r="A326">
        <v>3692883</v>
      </c>
      <c r="B326">
        <v>21883</v>
      </c>
      <c r="C326">
        <v>523988</v>
      </c>
      <c r="D326">
        <v>52895</v>
      </c>
      <c r="E326">
        <v>0</v>
      </c>
      <c r="F326" t="s">
        <v>37</v>
      </c>
      <c r="G326">
        <v>1</v>
      </c>
      <c r="H326" t="s">
        <v>37</v>
      </c>
      <c r="I326" t="s">
        <v>37</v>
      </c>
      <c r="J326" t="s">
        <v>775</v>
      </c>
      <c r="K326" t="s">
        <v>419</v>
      </c>
      <c r="L326" t="s">
        <v>420</v>
      </c>
      <c r="M326" t="s">
        <v>417</v>
      </c>
      <c r="N326" t="s">
        <v>2299</v>
      </c>
      <c r="O326" t="s">
        <v>2300</v>
      </c>
      <c r="Q326">
        <v>704</v>
      </c>
      <c r="R326">
        <v>584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D326" s="5">
        <v>44273.666666666664</v>
      </c>
      <c r="AE326" s="5">
        <v>44273.666666666664</v>
      </c>
      <c r="AG326" s="5">
        <v>44186.333333333336</v>
      </c>
      <c r="AH326" s="5">
        <v>44186.333333333336</v>
      </c>
      <c r="AI326" s="5">
        <v>44186.333333333336</v>
      </c>
      <c r="AJ326" s="5">
        <v>44186.333333333336</v>
      </c>
      <c r="AK326" s="5">
        <v>44186.333333333336</v>
      </c>
      <c r="AL326" s="5">
        <v>44186.333333333336</v>
      </c>
      <c r="AM326" s="5">
        <v>44273.666666666664</v>
      </c>
      <c r="AN326" s="5">
        <v>44273.666666666664</v>
      </c>
      <c r="AP326" t="s">
        <v>418</v>
      </c>
      <c r="AU326" t="s">
        <v>2301</v>
      </c>
      <c r="AV326" t="s">
        <v>2302</v>
      </c>
      <c r="AY326" t="s">
        <v>37</v>
      </c>
      <c r="AZ326">
        <v>0</v>
      </c>
      <c r="BA326">
        <v>0</v>
      </c>
      <c r="BI326" s="5">
        <v>44048.176388888889</v>
      </c>
      <c r="BJ326" s="5">
        <v>44048.176388888889</v>
      </c>
      <c r="BK326" t="s">
        <v>778</v>
      </c>
      <c r="BL326" t="s">
        <v>778</v>
      </c>
      <c r="BN326" t="s">
        <v>37</v>
      </c>
    </row>
    <row r="327" spans="1:66" x14ac:dyDescent="0.2">
      <c r="A327">
        <v>3692884</v>
      </c>
      <c r="B327">
        <v>21883</v>
      </c>
      <c r="C327">
        <v>523988</v>
      </c>
      <c r="D327">
        <v>52895</v>
      </c>
      <c r="E327">
        <v>0</v>
      </c>
      <c r="F327" t="s">
        <v>37</v>
      </c>
      <c r="G327">
        <v>1</v>
      </c>
      <c r="H327" t="s">
        <v>37</v>
      </c>
      <c r="I327" t="s">
        <v>37</v>
      </c>
      <c r="J327" t="s">
        <v>775</v>
      </c>
      <c r="K327" t="s">
        <v>423</v>
      </c>
      <c r="L327" t="s">
        <v>420</v>
      </c>
      <c r="M327" t="s">
        <v>417</v>
      </c>
      <c r="N327" t="s">
        <v>2303</v>
      </c>
      <c r="O327" t="s">
        <v>2304</v>
      </c>
      <c r="Q327">
        <v>120</v>
      </c>
      <c r="R327">
        <v>32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D327" s="5">
        <v>44273.666666666664</v>
      </c>
      <c r="AE327" s="5">
        <v>44273.666666666664</v>
      </c>
      <c r="AG327" s="5">
        <v>44258.666666666664</v>
      </c>
      <c r="AH327" s="5">
        <v>44258.666666666664</v>
      </c>
      <c r="AI327" s="5">
        <v>44258.666666666664</v>
      </c>
      <c r="AJ327" s="5">
        <v>44258.666666666664</v>
      </c>
      <c r="AK327" s="5">
        <v>44258.666666666664</v>
      </c>
      <c r="AL327" s="5">
        <v>44258.666666666664</v>
      </c>
      <c r="AM327" s="5">
        <v>44273.666666666664</v>
      </c>
      <c r="AN327" s="5">
        <v>44273.666666666664</v>
      </c>
      <c r="AP327" t="s">
        <v>418</v>
      </c>
      <c r="AU327" t="s">
        <v>2305</v>
      </c>
      <c r="AV327" t="s">
        <v>2306</v>
      </c>
      <c r="AY327" t="s">
        <v>37</v>
      </c>
      <c r="AZ327">
        <v>0</v>
      </c>
      <c r="BA327">
        <v>0</v>
      </c>
      <c r="BI327" s="5">
        <v>44048.176388888889</v>
      </c>
      <c r="BJ327" s="5">
        <v>44048.176388888889</v>
      </c>
      <c r="BK327" t="s">
        <v>778</v>
      </c>
      <c r="BL327" t="s">
        <v>778</v>
      </c>
      <c r="BN327" t="s">
        <v>37</v>
      </c>
    </row>
    <row r="328" spans="1:66" x14ac:dyDescent="0.2">
      <c r="A328">
        <v>3692885</v>
      </c>
      <c r="B328">
        <v>21883</v>
      </c>
      <c r="C328">
        <v>523988</v>
      </c>
      <c r="D328">
        <v>52895</v>
      </c>
      <c r="E328">
        <v>0</v>
      </c>
      <c r="F328" t="s">
        <v>37</v>
      </c>
      <c r="G328">
        <v>1</v>
      </c>
      <c r="H328" t="s">
        <v>37</v>
      </c>
      <c r="I328" t="s">
        <v>37</v>
      </c>
      <c r="J328" t="s">
        <v>775</v>
      </c>
      <c r="K328" t="s">
        <v>419</v>
      </c>
      <c r="L328" t="s">
        <v>420</v>
      </c>
      <c r="M328" t="s">
        <v>417</v>
      </c>
      <c r="N328" t="s">
        <v>2307</v>
      </c>
      <c r="O328" t="s">
        <v>2308</v>
      </c>
      <c r="Q328">
        <v>88</v>
      </c>
      <c r="R328">
        <v>240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D328" s="5">
        <v>44273.666666666664</v>
      </c>
      <c r="AE328" s="5">
        <v>44273.666666666664</v>
      </c>
      <c r="AG328" s="5">
        <v>44263.333333333336</v>
      </c>
      <c r="AH328" s="5">
        <v>44263.333333333336</v>
      </c>
      <c r="AI328" s="5">
        <v>44263.333333333336</v>
      </c>
      <c r="AJ328" s="5">
        <v>44263.333333333336</v>
      </c>
      <c r="AK328" s="5">
        <v>44263.333333333336</v>
      </c>
      <c r="AL328" s="5">
        <v>44263.333333333336</v>
      </c>
      <c r="AM328" s="5">
        <v>44273.666666666664</v>
      </c>
      <c r="AN328" s="5">
        <v>44273.666666666664</v>
      </c>
      <c r="AP328" t="s">
        <v>418</v>
      </c>
      <c r="AU328" t="s">
        <v>2309</v>
      </c>
      <c r="AV328" t="s">
        <v>2310</v>
      </c>
      <c r="AY328" t="s">
        <v>37</v>
      </c>
      <c r="AZ328">
        <v>0</v>
      </c>
      <c r="BA328">
        <v>0</v>
      </c>
      <c r="BI328" s="5">
        <v>44048.176388888889</v>
      </c>
      <c r="BJ328" s="5">
        <v>44048.176388888889</v>
      </c>
      <c r="BK328" t="s">
        <v>778</v>
      </c>
      <c r="BL328" t="s">
        <v>778</v>
      </c>
      <c r="BN328" t="s">
        <v>37</v>
      </c>
    </row>
    <row r="329" spans="1:66" x14ac:dyDescent="0.2">
      <c r="A329">
        <v>3692886</v>
      </c>
      <c r="B329">
        <v>21883</v>
      </c>
      <c r="C329">
        <v>523988</v>
      </c>
      <c r="D329">
        <v>52895</v>
      </c>
      <c r="E329">
        <v>0</v>
      </c>
      <c r="F329" t="s">
        <v>37</v>
      </c>
      <c r="G329">
        <v>1</v>
      </c>
      <c r="H329" t="s">
        <v>37</v>
      </c>
      <c r="I329" t="s">
        <v>37</v>
      </c>
      <c r="J329" t="s">
        <v>775</v>
      </c>
      <c r="K329" t="s">
        <v>423</v>
      </c>
      <c r="L329" t="s">
        <v>420</v>
      </c>
      <c r="M329" t="s">
        <v>417</v>
      </c>
      <c r="N329" t="s">
        <v>2311</v>
      </c>
      <c r="O329" t="s">
        <v>2312</v>
      </c>
      <c r="Q329">
        <v>-152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D329" s="5">
        <v>44273.666666666664</v>
      </c>
      <c r="AE329" s="5">
        <v>44273.666666666664</v>
      </c>
      <c r="AG329" s="5">
        <v>44292.666666666664</v>
      </c>
      <c r="AH329" s="5">
        <v>44292.666666666664</v>
      </c>
      <c r="AI329" s="5">
        <v>44292.666666666664</v>
      </c>
      <c r="AJ329" s="5">
        <v>44292.666666666664</v>
      </c>
      <c r="AK329" s="5">
        <v>44292.666666666664</v>
      </c>
      <c r="AL329" s="5">
        <v>44292.666666666664</v>
      </c>
      <c r="AM329" s="5">
        <v>44273.666666666664</v>
      </c>
      <c r="AN329" s="5">
        <v>44273.666666666664</v>
      </c>
      <c r="AP329" t="s">
        <v>418</v>
      </c>
      <c r="AU329" t="s">
        <v>2313</v>
      </c>
      <c r="AV329" t="s">
        <v>2314</v>
      </c>
      <c r="AY329" t="s">
        <v>40</v>
      </c>
      <c r="AZ329">
        <v>0</v>
      </c>
      <c r="BA329">
        <v>0</v>
      </c>
      <c r="BI329" s="5">
        <v>44048.176388888889</v>
      </c>
      <c r="BJ329" s="5">
        <v>44048.176388888889</v>
      </c>
      <c r="BK329" t="s">
        <v>778</v>
      </c>
      <c r="BL329" t="s">
        <v>778</v>
      </c>
      <c r="BN329" t="s">
        <v>37</v>
      </c>
    </row>
    <row r="330" spans="1:66" x14ac:dyDescent="0.2">
      <c r="A330">
        <v>3692887</v>
      </c>
      <c r="B330">
        <v>21883</v>
      </c>
      <c r="C330">
        <v>523989</v>
      </c>
      <c r="D330">
        <v>52895</v>
      </c>
      <c r="E330">
        <v>100</v>
      </c>
      <c r="F330" t="s">
        <v>37</v>
      </c>
      <c r="G330">
        <v>1</v>
      </c>
      <c r="H330" t="s">
        <v>37</v>
      </c>
      <c r="I330" t="s">
        <v>37</v>
      </c>
      <c r="J330" t="s">
        <v>775</v>
      </c>
      <c r="K330" t="s">
        <v>419</v>
      </c>
      <c r="L330" t="s">
        <v>420</v>
      </c>
      <c r="M330" t="s">
        <v>422</v>
      </c>
      <c r="N330" t="s">
        <v>2315</v>
      </c>
      <c r="O330" t="s">
        <v>2316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B330" s="5">
        <v>42975.333333333336</v>
      </c>
      <c r="AC330" s="5">
        <v>42975.333333333336</v>
      </c>
      <c r="AD330" s="5">
        <v>43970.333333333336</v>
      </c>
      <c r="AE330" s="5">
        <v>43970.333333333336</v>
      </c>
      <c r="AG330" s="5">
        <v>44044</v>
      </c>
      <c r="AH330" s="5">
        <v>44044</v>
      </c>
      <c r="AK330" s="5">
        <v>43160.333333333336</v>
      </c>
      <c r="AL330" s="5">
        <v>43160.333333333336</v>
      </c>
      <c r="AP330" t="s">
        <v>418</v>
      </c>
      <c r="AU330" t="s">
        <v>2317</v>
      </c>
      <c r="AV330" t="s">
        <v>2318</v>
      </c>
      <c r="AY330" t="s">
        <v>40</v>
      </c>
      <c r="AZ330">
        <v>0</v>
      </c>
      <c r="BA330">
        <v>0</v>
      </c>
      <c r="BI330" s="5">
        <v>44048.176388888889</v>
      </c>
      <c r="BJ330" s="5">
        <v>44048.176388888889</v>
      </c>
      <c r="BK330" t="s">
        <v>778</v>
      </c>
      <c r="BL330" t="s">
        <v>778</v>
      </c>
      <c r="BN330" t="s">
        <v>37</v>
      </c>
    </row>
    <row r="331" spans="1:66" x14ac:dyDescent="0.2">
      <c r="A331">
        <v>3692888</v>
      </c>
      <c r="B331">
        <v>21883</v>
      </c>
      <c r="C331">
        <v>523989</v>
      </c>
      <c r="D331">
        <v>52895</v>
      </c>
      <c r="E331">
        <v>100</v>
      </c>
      <c r="F331" t="s">
        <v>37</v>
      </c>
      <c r="G331">
        <v>1</v>
      </c>
      <c r="H331" t="s">
        <v>37</v>
      </c>
      <c r="I331" t="s">
        <v>37</v>
      </c>
      <c r="J331" t="s">
        <v>775</v>
      </c>
      <c r="K331" t="s">
        <v>423</v>
      </c>
      <c r="L331" t="s">
        <v>420</v>
      </c>
      <c r="M331" t="s">
        <v>422</v>
      </c>
      <c r="N331" t="s">
        <v>2319</v>
      </c>
      <c r="O331" t="s">
        <v>2320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B331" s="5">
        <v>43282.666666666664</v>
      </c>
      <c r="AC331" s="5">
        <v>43282.666666666664</v>
      </c>
      <c r="AD331" s="5">
        <v>43970.333333333336</v>
      </c>
      <c r="AE331" s="5">
        <v>43970.333333333336</v>
      </c>
      <c r="AG331" s="5">
        <v>44044</v>
      </c>
      <c r="AH331" s="5">
        <v>44044</v>
      </c>
      <c r="AK331" s="5">
        <v>43282.333333333336</v>
      </c>
      <c r="AL331" s="5">
        <v>43282.333333333336</v>
      </c>
      <c r="AP331" t="s">
        <v>418</v>
      </c>
      <c r="AU331" t="s">
        <v>2321</v>
      </c>
      <c r="AV331" t="s">
        <v>2322</v>
      </c>
      <c r="AY331" t="s">
        <v>40</v>
      </c>
      <c r="AZ331">
        <v>0</v>
      </c>
      <c r="BA331">
        <v>0</v>
      </c>
      <c r="BI331" s="5">
        <v>44048.176388888889</v>
      </c>
      <c r="BJ331" s="5">
        <v>44048.176388888889</v>
      </c>
      <c r="BK331" t="s">
        <v>778</v>
      </c>
      <c r="BL331" t="s">
        <v>778</v>
      </c>
      <c r="BN331" t="s">
        <v>37</v>
      </c>
    </row>
    <row r="332" spans="1:66" x14ac:dyDescent="0.2">
      <c r="A332">
        <v>3692889</v>
      </c>
      <c r="B332">
        <v>21883</v>
      </c>
      <c r="C332">
        <v>523989</v>
      </c>
      <c r="D332">
        <v>52895</v>
      </c>
      <c r="E332">
        <v>100</v>
      </c>
      <c r="F332" t="s">
        <v>37</v>
      </c>
      <c r="G332">
        <v>1</v>
      </c>
      <c r="H332" t="s">
        <v>37</v>
      </c>
      <c r="I332" t="s">
        <v>37</v>
      </c>
      <c r="J332" t="s">
        <v>775</v>
      </c>
      <c r="K332" t="s">
        <v>419</v>
      </c>
      <c r="L332" t="s">
        <v>420</v>
      </c>
      <c r="M332" t="s">
        <v>422</v>
      </c>
      <c r="N332" t="s">
        <v>2323</v>
      </c>
      <c r="O332" t="s">
        <v>2324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B332" s="5">
        <v>43006.333333333336</v>
      </c>
      <c r="AC332" s="5">
        <v>43006.333333333336</v>
      </c>
      <c r="AD332" s="5">
        <v>43970.333333333336</v>
      </c>
      <c r="AE332" s="5">
        <v>43970.333333333336</v>
      </c>
      <c r="AG332" s="5">
        <v>44044</v>
      </c>
      <c r="AH332" s="5">
        <v>44044</v>
      </c>
      <c r="AK332" s="5">
        <v>43160.333333333336</v>
      </c>
      <c r="AL332" s="5">
        <v>43160.333333333336</v>
      </c>
      <c r="AP332" t="s">
        <v>418</v>
      </c>
      <c r="AU332" t="s">
        <v>2325</v>
      </c>
      <c r="AV332" t="e" cm="1">
        <f t="array" ref="AV332">+sv7HzErlUC5HOQpJ7rJ1w</f>
        <v>#NAME?</v>
      </c>
      <c r="AY332" t="s">
        <v>40</v>
      </c>
      <c r="AZ332">
        <v>0</v>
      </c>
      <c r="BA332">
        <v>0</v>
      </c>
      <c r="BI332" s="5">
        <v>44048.176388888889</v>
      </c>
      <c r="BJ332" s="5">
        <v>44048.176388888889</v>
      </c>
      <c r="BK332" t="s">
        <v>778</v>
      </c>
      <c r="BL332" t="s">
        <v>778</v>
      </c>
      <c r="BN332" t="s">
        <v>37</v>
      </c>
    </row>
    <row r="333" spans="1:66" x14ac:dyDescent="0.2">
      <c r="A333">
        <v>3692890</v>
      </c>
      <c r="B333">
        <v>21883</v>
      </c>
      <c r="C333">
        <v>523989</v>
      </c>
      <c r="D333">
        <v>52895</v>
      </c>
      <c r="E333">
        <v>100</v>
      </c>
      <c r="F333" t="s">
        <v>37</v>
      </c>
      <c r="G333">
        <v>1</v>
      </c>
      <c r="H333" t="s">
        <v>37</v>
      </c>
      <c r="I333" t="s">
        <v>37</v>
      </c>
      <c r="J333" t="s">
        <v>775</v>
      </c>
      <c r="K333" t="s">
        <v>423</v>
      </c>
      <c r="L333" t="s">
        <v>420</v>
      </c>
      <c r="M333" t="s">
        <v>422</v>
      </c>
      <c r="N333" t="s">
        <v>2326</v>
      </c>
      <c r="O333" t="s">
        <v>2327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B333" s="5">
        <v>43371.333333333336</v>
      </c>
      <c r="AC333" s="5">
        <v>43371.333333333336</v>
      </c>
      <c r="AD333" s="5">
        <v>43970.333333333336</v>
      </c>
      <c r="AE333" s="5">
        <v>43970.333333333336</v>
      </c>
      <c r="AG333" s="5">
        <v>44044</v>
      </c>
      <c r="AH333" s="5">
        <v>44044</v>
      </c>
      <c r="AK333" s="5">
        <v>43556.333333333336</v>
      </c>
      <c r="AL333" s="5">
        <v>43556.333333333336</v>
      </c>
      <c r="AP333" t="s">
        <v>418</v>
      </c>
      <c r="AU333" t="s">
        <v>2328</v>
      </c>
      <c r="AV333" t="s">
        <v>2329</v>
      </c>
      <c r="AY333" t="s">
        <v>40</v>
      </c>
      <c r="AZ333">
        <v>0</v>
      </c>
      <c r="BA333">
        <v>0</v>
      </c>
      <c r="BI333" s="5">
        <v>44048.176388888889</v>
      </c>
      <c r="BJ333" s="5">
        <v>44048.176388888889</v>
      </c>
      <c r="BK333" t="s">
        <v>778</v>
      </c>
      <c r="BL333" t="s">
        <v>778</v>
      </c>
      <c r="BN333" t="s">
        <v>37</v>
      </c>
    </row>
    <row r="334" spans="1:66" x14ac:dyDescent="0.2">
      <c r="A334">
        <v>3692891</v>
      </c>
      <c r="B334">
        <v>21883</v>
      </c>
      <c r="C334">
        <v>523989</v>
      </c>
      <c r="D334">
        <v>52895</v>
      </c>
      <c r="E334">
        <v>100</v>
      </c>
      <c r="F334" t="s">
        <v>37</v>
      </c>
      <c r="G334">
        <v>1</v>
      </c>
      <c r="H334" t="s">
        <v>37</v>
      </c>
      <c r="I334" t="s">
        <v>37</v>
      </c>
      <c r="J334" t="s">
        <v>775</v>
      </c>
      <c r="K334" t="s">
        <v>423</v>
      </c>
      <c r="L334" t="s">
        <v>420</v>
      </c>
      <c r="M334" t="s">
        <v>422</v>
      </c>
      <c r="N334" t="s">
        <v>2330</v>
      </c>
      <c r="O334" t="s">
        <v>2331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B334" s="5">
        <v>43566</v>
      </c>
      <c r="AC334" s="5">
        <v>43566</v>
      </c>
      <c r="AD334" s="5">
        <v>44273.666666666664</v>
      </c>
      <c r="AE334" s="5">
        <v>44273.666666666664</v>
      </c>
      <c r="AG334" s="5">
        <v>44044</v>
      </c>
      <c r="AH334" s="5">
        <v>44044</v>
      </c>
      <c r="AK334" s="5">
        <v>43617.333333333336</v>
      </c>
      <c r="AL334" s="5">
        <v>43617.333333333336</v>
      </c>
      <c r="AP334" t="s">
        <v>418</v>
      </c>
      <c r="AU334" t="s">
        <v>2332</v>
      </c>
      <c r="AV334" t="s">
        <v>2333</v>
      </c>
      <c r="AY334" t="s">
        <v>37</v>
      </c>
      <c r="AZ334">
        <v>0</v>
      </c>
      <c r="BA334">
        <v>0</v>
      </c>
      <c r="BI334" s="5">
        <v>44048.176388888889</v>
      </c>
      <c r="BJ334" s="5">
        <v>44048.176388888889</v>
      </c>
      <c r="BK334" t="s">
        <v>778</v>
      </c>
      <c r="BL334" t="s">
        <v>778</v>
      </c>
      <c r="BN334" t="s">
        <v>37</v>
      </c>
    </row>
    <row r="335" spans="1:66" x14ac:dyDescent="0.2">
      <c r="A335">
        <v>3692892</v>
      </c>
      <c r="B335">
        <v>21883</v>
      </c>
      <c r="C335">
        <v>523993</v>
      </c>
      <c r="D335">
        <v>52896</v>
      </c>
      <c r="E335">
        <v>100</v>
      </c>
      <c r="F335" t="s">
        <v>37</v>
      </c>
      <c r="G335">
        <v>1</v>
      </c>
      <c r="H335" t="s">
        <v>37</v>
      </c>
      <c r="I335" t="s">
        <v>37</v>
      </c>
      <c r="J335" t="s">
        <v>775</v>
      </c>
      <c r="K335" t="s">
        <v>419</v>
      </c>
      <c r="L335" t="s">
        <v>420</v>
      </c>
      <c r="M335" t="s">
        <v>422</v>
      </c>
      <c r="N335" t="s">
        <v>2334</v>
      </c>
      <c r="O335" t="s">
        <v>2335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 s="5">
        <v>42913.333333333336</v>
      </c>
      <c r="AB335" s="5">
        <v>42913.333333333336</v>
      </c>
      <c r="AC335" s="5">
        <v>42913.333333333336</v>
      </c>
      <c r="AD335" s="5">
        <v>43970.333333333336</v>
      </c>
      <c r="AE335" s="5">
        <v>43970.333333333336</v>
      </c>
      <c r="AG335" s="5">
        <v>44044</v>
      </c>
      <c r="AH335" s="5">
        <v>44044</v>
      </c>
      <c r="AK335" s="5">
        <v>42913.333333333336</v>
      </c>
      <c r="AL335" s="5">
        <v>42913.333333333336</v>
      </c>
      <c r="AO335" t="s">
        <v>2336</v>
      </c>
      <c r="AP335" t="s">
        <v>418</v>
      </c>
      <c r="AU335" t="s">
        <v>2337</v>
      </c>
      <c r="AV335" t="s">
        <v>2338</v>
      </c>
      <c r="AY335" t="s">
        <v>40</v>
      </c>
      <c r="AZ335">
        <v>0</v>
      </c>
      <c r="BA335">
        <v>0</v>
      </c>
      <c r="BI335" s="5">
        <v>44048.176388888889</v>
      </c>
      <c r="BJ335" s="5">
        <v>44048.176388888889</v>
      </c>
      <c r="BK335" t="s">
        <v>778</v>
      </c>
      <c r="BL335" t="s">
        <v>778</v>
      </c>
      <c r="BN335" t="s">
        <v>37</v>
      </c>
    </row>
    <row r="336" spans="1:66" x14ac:dyDescent="0.2">
      <c r="A336">
        <v>3692893</v>
      </c>
      <c r="B336">
        <v>21883</v>
      </c>
      <c r="C336">
        <v>523993</v>
      </c>
      <c r="D336">
        <v>52896</v>
      </c>
      <c r="E336">
        <v>100</v>
      </c>
      <c r="F336" t="s">
        <v>37</v>
      </c>
      <c r="G336">
        <v>1</v>
      </c>
      <c r="H336" t="s">
        <v>37</v>
      </c>
      <c r="I336" t="s">
        <v>37</v>
      </c>
      <c r="J336" t="s">
        <v>775</v>
      </c>
      <c r="K336" t="s">
        <v>230</v>
      </c>
      <c r="L336" t="s">
        <v>420</v>
      </c>
      <c r="M336" t="s">
        <v>422</v>
      </c>
      <c r="N336" t="s">
        <v>2339</v>
      </c>
      <c r="O336" t="s">
        <v>2340</v>
      </c>
      <c r="S336">
        <v>0</v>
      </c>
      <c r="T336">
        <v>0</v>
      </c>
      <c r="U336">
        <v>0</v>
      </c>
      <c r="V336">
        <v>0</v>
      </c>
      <c r="W336">
        <v>8</v>
      </c>
      <c r="X336">
        <v>0</v>
      </c>
      <c r="Y336">
        <v>0</v>
      </c>
      <c r="Z336">
        <v>0</v>
      </c>
      <c r="AA336" s="5">
        <v>42929.333333333336</v>
      </c>
      <c r="AB336" s="5">
        <v>42929.333333333336</v>
      </c>
      <c r="AC336" s="5">
        <v>42929.666666666664</v>
      </c>
      <c r="AD336" s="5">
        <v>43970.333333333336</v>
      </c>
      <c r="AE336" s="5">
        <v>43970.333333333336</v>
      </c>
      <c r="AG336" s="5">
        <v>44044</v>
      </c>
      <c r="AH336" s="5">
        <v>44044</v>
      </c>
      <c r="AK336" s="5">
        <v>42929.333333333336</v>
      </c>
      <c r="AL336" s="5">
        <v>42929.666666666664</v>
      </c>
      <c r="AO336" t="s">
        <v>1523</v>
      </c>
      <c r="AP336" t="s">
        <v>418</v>
      </c>
      <c r="AU336" t="s">
        <v>2341</v>
      </c>
      <c r="AV336" t="s">
        <v>2342</v>
      </c>
      <c r="AY336" t="s">
        <v>40</v>
      </c>
      <c r="AZ336">
        <v>0</v>
      </c>
      <c r="BA336">
        <v>0</v>
      </c>
      <c r="BI336" s="5">
        <v>44048.176388888889</v>
      </c>
      <c r="BJ336" s="5">
        <v>44048.176388888889</v>
      </c>
      <c r="BK336" t="s">
        <v>778</v>
      </c>
      <c r="BL336" t="s">
        <v>778</v>
      </c>
      <c r="BN336" t="s">
        <v>37</v>
      </c>
    </row>
    <row r="337" spans="1:66" x14ac:dyDescent="0.2">
      <c r="A337">
        <v>3692894</v>
      </c>
      <c r="B337">
        <v>21883</v>
      </c>
      <c r="C337">
        <v>523993</v>
      </c>
      <c r="D337">
        <v>52896</v>
      </c>
      <c r="E337">
        <v>100</v>
      </c>
      <c r="F337" t="s">
        <v>37</v>
      </c>
      <c r="G337">
        <v>1</v>
      </c>
      <c r="H337" t="s">
        <v>37</v>
      </c>
      <c r="I337" t="s">
        <v>37</v>
      </c>
      <c r="J337" t="s">
        <v>775</v>
      </c>
      <c r="K337" t="s">
        <v>423</v>
      </c>
      <c r="L337" t="s">
        <v>420</v>
      </c>
      <c r="M337" t="s">
        <v>422</v>
      </c>
      <c r="N337" t="s">
        <v>2343</v>
      </c>
      <c r="O337" t="s">
        <v>2344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 s="5">
        <v>42934.666666666664</v>
      </c>
      <c r="AB337" s="5">
        <v>42934.666666666664</v>
      </c>
      <c r="AC337" s="5">
        <v>42934.666666666664</v>
      </c>
      <c r="AD337" s="5">
        <v>43970.333333333336</v>
      </c>
      <c r="AE337" s="5">
        <v>43970.333333333336</v>
      </c>
      <c r="AG337" s="5">
        <v>44044</v>
      </c>
      <c r="AH337" s="5">
        <v>44044</v>
      </c>
      <c r="AK337" s="5">
        <v>42934.666666666664</v>
      </c>
      <c r="AL337" s="5">
        <v>42934.666666666664</v>
      </c>
      <c r="AO337" t="s">
        <v>2345</v>
      </c>
      <c r="AP337" t="s">
        <v>418</v>
      </c>
      <c r="AU337" t="s">
        <v>2346</v>
      </c>
      <c r="AV337" t="s">
        <v>2347</v>
      </c>
      <c r="AY337" t="s">
        <v>40</v>
      </c>
      <c r="AZ337">
        <v>0</v>
      </c>
      <c r="BA337">
        <v>0</v>
      </c>
      <c r="BI337" s="5">
        <v>44048.176388888889</v>
      </c>
      <c r="BJ337" s="5">
        <v>44048.176388888889</v>
      </c>
      <c r="BK337" t="s">
        <v>778</v>
      </c>
      <c r="BL337" t="s">
        <v>778</v>
      </c>
      <c r="BN337" t="s">
        <v>37</v>
      </c>
    </row>
    <row r="338" spans="1:66" x14ac:dyDescent="0.2">
      <c r="A338">
        <v>3692895</v>
      </c>
      <c r="B338">
        <v>21883</v>
      </c>
      <c r="C338">
        <v>523993</v>
      </c>
      <c r="D338">
        <v>52896</v>
      </c>
      <c r="E338">
        <v>100</v>
      </c>
      <c r="F338" t="s">
        <v>37</v>
      </c>
      <c r="G338">
        <v>1</v>
      </c>
      <c r="H338" t="s">
        <v>37</v>
      </c>
      <c r="I338" t="s">
        <v>37</v>
      </c>
      <c r="J338" t="s">
        <v>775</v>
      </c>
      <c r="K338" t="s">
        <v>419</v>
      </c>
      <c r="L338" t="s">
        <v>420</v>
      </c>
      <c r="M338" t="s">
        <v>422</v>
      </c>
      <c r="N338" t="s">
        <v>2348</v>
      </c>
      <c r="O338" t="s">
        <v>2349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 s="5">
        <v>42950.333333333336</v>
      </c>
      <c r="AB338" s="5">
        <v>42950.333333333336</v>
      </c>
      <c r="AC338" s="5">
        <v>42950.333333333336</v>
      </c>
      <c r="AD338" s="5">
        <v>43970.333333333336</v>
      </c>
      <c r="AE338" s="5">
        <v>43970.333333333336</v>
      </c>
      <c r="AG338" s="5">
        <v>44044</v>
      </c>
      <c r="AH338" s="5">
        <v>44044</v>
      </c>
      <c r="AK338" s="5">
        <v>42950.333333333336</v>
      </c>
      <c r="AL338" s="5">
        <v>42950.333333333336</v>
      </c>
      <c r="AO338" t="s">
        <v>1523</v>
      </c>
      <c r="AP338" t="s">
        <v>418</v>
      </c>
      <c r="AU338" t="s">
        <v>2350</v>
      </c>
      <c r="AV338" t="s">
        <v>2351</v>
      </c>
      <c r="AY338" t="s">
        <v>40</v>
      </c>
      <c r="AZ338">
        <v>0</v>
      </c>
      <c r="BA338">
        <v>0</v>
      </c>
      <c r="BI338" s="5">
        <v>44048.176388888889</v>
      </c>
      <c r="BJ338" s="5">
        <v>44048.176388888889</v>
      </c>
      <c r="BK338" t="s">
        <v>778</v>
      </c>
      <c r="BL338" t="s">
        <v>778</v>
      </c>
      <c r="BN338" t="s">
        <v>37</v>
      </c>
    </row>
    <row r="339" spans="1:66" x14ac:dyDescent="0.2">
      <c r="A339">
        <v>3692896</v>
      </c>
      <c r="B339">
        <v>21883</v>
      </c>
      <c r="C339">
        <v>523982</v>
      </c>
      <c r="D339">
        <v>52899</v>
      </c>
      <c r="E339">
        <v>100</v>
      </c>
      <c r="F339" t="s">
        <v>37</v>
      </c>
      <c r="G339">
        <v>1</v>
      </c>
      <c r="H339" t="s">
        <v>37</v>
      </c>
      <c r="I339" t="s">
        <v>37</v>
      </c>
      <c r="J339" t="s">
        <v>775</v>
      </c>
      <c r="K339" t="s">
        <v>230</v>
      </c>
      <c r="L339" t="s">
        <v>226</v>
      </c>
      <c r="M339" t="s">
        <v>422</v>
      </c>
      <c r="N339" t="s">
        <v>2352</v>
      </c>
      <c r="O339" t="s">
        <v>2353</v>
      </c>
      <c r="S339">
        <v>0</v>
      </c>
      <c r="T339">
        <v>0</v>
      </c>
      <c r="U339">
        <v>0</v>
      </c>
      <c r="V339">
        <v>0</v>
      </c>
      <c r="W339">
        <v>120</v>
      </c>
      <c r="X339">
        <v>0</v>
      </c>
      <c r="Y339">
        <v>0</v>
      </c>
      <c r="Z339">
        <v>0</v>
      </c>
      <c r="AA339" s="5">
        <v>43160.333333333336</v>
      </c>
      <c r="AB339" s="5">
        <v>43160.333333333336</v>
      </c>
      <c r="AC339" s="5">
        <v>43182.666666666664</v>
      </c>
      <c r="AD339" s="5">
        <v>43970.333333333336</v>
      </c>
      <c r="AE339" s="5">
        <v>43970.333333333336</v>
      </c>
      <c r="AG339" s="5">
        <v>44044</v>
      </c>
      <c r="AH339" s="5">
        <v>44044</v>
      </c>
      <c r="AK339" s="5">
        <v>43160.333333333336</v>
      </c>
      <c r="AL339" s="5">
        <v>43182.666666666664</v>
      </c>
      <c r="AO339" t="s">
        <v>1523</v>
      </c>
      <c r="AP339" t="s">
        <v>418</v>
      </c>
      <c r="AU339" t="s">
        <v>2354</v>
      </c>
      <c r="AV339" t="s">
        <v>2355</v>
      </c>
      <c r="AY339" t="s">
        <v>40</v>
      </c>
      <c r="AZ339">
        <v>0</v>
      </c>
      <c r="BA339">
        <v>0</v>
      </c>
      <c r="BI339" s="5">
        <v>44048.176388888889</v>
      </c>
      <c r="BJ339" s="5">
        <v>44048.176388888889</v>
      </c>
      <c r="BK339" t="s">
        <v>778</v>
      </c>
      <c r="BL339" t="s">
        <v>778</v>
      </c>
      <c r="BN339" t="s">
        <v>37</v>
      </c>
    </row>
    <row r="340" spans="1:66" x14ac:dyDescent="0.2">
      <c r="A340">
        <v>3692897</v>
      </c>
      <c r="B340">
        <v>21883</v>
      </c>
      <c r="C340">
        <v>523982</v>
      </c>
      <c r="D340">
        <v>52899</v>
      </c>
      <c r="E340">
        <v>100</v>
      </c>
      <c r="F340" t="s">
        <v>37</v>
      </c>
      <c r="G340">
        <v>1</v>
      </c>
      <c r="H340" t="s">
        <v>37</v>
      </c>
      <c r="I340" t="s">
        <v>37</v>
      </c>
      <c r="J340" t="s">
        <v>775</v>
      </c>
      <c r="K340" t="s">
        <v>230</v>
      </c>
      <c r="L340" t="s">
        <v>226</v>
      </c>
      <c r="M340" t="s">
        <v>422</v>
      </c>
      <c r="N340" t="s">
        <v>2356</v>
      </c>
      <c r="O340" t="s">
        <v>2357</v>
      </c>
      <c r="S340">
        <v>0</v>
      </c>
      <c r="T340">
        <v>0</v>
      </c>
      <c r="U340">
        <v>0</v>
      </c>
      <c r="V340">
        <v>0</v>
      </c>
      <c r="W340">
        <v>120</v>
      </c>
      <c r="X340">
        <v>0</v>
      </c>
      <c r="Y340">
        <v>0</v>
      </c>
      <c r="Z340">
        <v>0</v>
      </c>
      <c r="AB340" s="5">
        <v>43174.333333333336</v>
      </c>
      <c r="AC340" s="5">
        <v>43196.666666666664</v>
      </c>
      <c r="AD340" s="5">
        <v>43970.333333333336</v>
      </c>
      <c r="AE340" s="5">
        <v>43970.333333333336</v>
      </c>
      <c r="AG340" s="5">
        <v>44044</v>
      </c>
      <c r="AH340" s="5">
        <v>44044</v>
      </c>
      <c r="AK340" s="5">
        <v>43222.333333333336</v>
      </c>
      <c r="AL340" s="5">
        <v>43243.666666666664</v>
      </c>
      <c r="AP340" t="s">
        <v>418</v>
      </c>
      <c r="AU340" t="s">
        <v>2358</v>
      </c>
      <c r="AV340" t="s">
        <v>2359</v>
      </c>
      <c r="AY340" t="s">
        <v>40</v>
      </c>
      <c r="AZ340">
        <v>0</v>
      </c>
      <c r="BA340">
        <v>0</v>
      </c>
      <c r="BI340" s="5">
        <v>44048.176388888889</v>
      </c>
      <c r="BJ340" s="5">
        <v>44048.176388888889</v>
      </c>
      <c r="BK340" t="s">
        <v>778</v>
      </c>
      <c r="BL340" t="s">
        <v>778</v>
      </c>
      <c r="BN340" t="s">
        <v>37</v>
      </c>
    </row>
    <row r="341" spans="1:66" x14ac:dyDescent="0.2">
      <c r="A341">
        <v>3692898</v>
      </c>
      <c r="B341">
        <v>21883</v>
      </c>
      <c r="C341">
        <v>523982</v>
      </c>
      <c r="D341">
        <v>52899</v>
      </c>
      <c r="E341">
        <v>100</v>
      </c>
      <c r="F341" t="s">
        <v>37</v>
      </c>
      <c r="G341">
        <v>1</v>
      </c>
      <c r="H341" t="s">
        <v>37</v>
      </c>
      <c r="I341" t="s">
        <v>37</v>
      </c>
      <c r="J341" t="s">
        <v>775</v>
      </c>
      <c r="K341" t="s">
        <v>230</v>
      </c>
      <c r="L341" t="s">
        <v>226</v>
      </c>
      <c r="M341" t="s">
        <v>422</v>
      </c>
      <c r="N341" t="s">
        <v>2360</v>
      </c>
      <c r="O341" t="s">
        <v>2361</v>
      </c>
      <c r="S341">
        <v>0</v>
      </c>
      <c r="T341">
        <v>0</v>
      </c>
      <c r="U341">
        <v>0</v>
      </c>
      <c r="V341">
        <v>0</v>
      </c>
      <c r="W341">
        <v>160</v>
      </c>
      <c r="X341">
        <v>0</v>
      </c>
      <c r="Y341">
        <v>0</v>
      </c>
      <c r="Z341">
        <v>0</v>
      </c>
      <c r="AB341" s="5">
        <v>43167.333333333336</v>
      </c>
      <c r="AC341" s="5">
        <v>43217.666666666664</v>
      </c>
      <c r="AD341" s="5">
        <v>43970.333333333336</v>
      </c>
      <c r="AE341" s="5">
        <v>43970.333333333336</v>
      </c>
      <c r="AG341" s="5">
        <v>44044</v>
      </c>
      <c r="AH341" s="5">
        <v>44044</v>
      </c>
      <c r="AK341" s="5">
        <v>43167.333333333336</v>
      </c>
      <c r="AL341" s="5">
        <v>43202.666666666664</v>
      </c>
      <c r="AP341" t="s">
        <v>418</v>
      </c>
      <c r="AU341" t="s">
        <v>2362</v>
      </c>
      <c r="AV341" t="s">
        <v>2363</v>
      </c>
      <c r="AY341" t="s">
        <v>40</v>
      </c>
      <c r="AZ341">
        <v>0</v>
      </c>
      <c r="BA341">
        <v>0</v>
      </c>
      <c r="BI341" s="5">
        <v>44048.176388888889</v>
      </c>
      <c r="BJ341" s="5">
        <v>44048.176388888889</v>
      </c>
      <c r="BK341" t="s">
        <v>778</v>
      </c>
      <c r="BL341" t="s">
        <v>778</v>
      </c>
      <c r="BN341" t="s">
        <v>37</v>
      </c>
    </row>
    <row r="342" spans="1:66" x14ac:dyDescent="0.2">
      <c r="A342">
        <v>3692899</v>
      </c>
      <c r="B342">
        <v>21883</v>
      </c>
      <c r="C342">
        <v>523982</v>
      </c>
      <c r="D342">
        <v>52899</v>
      </c>
      <c r="E342">
        <v>100</v>
      </c>
      <c r="F342" t="s">
        <v>37</v>
      </c>
      <c r="G342">
        <v>1</v>
      </c>
      <c r="H342" t="s">
        <v>37</v>
      </c>
      <c r="I342" t="s">
        <v>37</v>
      </c>
      <c r="J342" t="s">
        <v>775</v>
      </c>
      <c r="K342" t="s">
        <v>419</v>
      </c>
      <c r="L342" t="s">
        <v>420</v>
      </c>
      <c r="M342" t="s">
        <v>422</v>
      </c>
      <c r="N342" t="s">
        <v>2364</v>
      </c>
      <c r="O342" t="s">
        <v>2365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B342" s="5">
        <v>43210.333333333336</v>
      </c>
      <c r="AC342" s="5">
        <v>43210.333333333336</v>
      </c>
      <c r="AD342" s="5">
        <v>43970.333333333336</v>
      </c>
      <c r="AE342" s="5">
        <v>43970.333333333336</v>
      </c>
      <c r="AG342" s="5">
        <v>44044</v>
      </c>
      <c r="AH342" s="5">
        <v>44044</v>
      </c>
      <c r="AK342" s="5">
        <v>43262.333333333336</v>
      </c>
      <c r="AL342" s="5">
        <v>43262.333333333336</v>
      </c>
      <c r="AO342" t="s">
        <v>2366</v>
      </c>
      <c r="AP342" t="s">
        <v>418</v>
      </c>
      <c r="AU342" t="s">
        <v>2367</v>
      </c>
      <c r="AV342" t="s">
        <v>2368</v>
      </c>
      <c r="AY342" t="s">
        <v>40</v>
      </c>
      <c r="AZ342">
        <v>0</v>
      </c>
      <c r="BA342">
        <v>0</v>
      </c>
      <c r="BI342" s="5">
        <v>44048.176388888889</v>
      </c>
      <c r="BJ342" s="5">
        <v>44048.176388888889</v>
      </c>
      <c r="BK342" t="s">
        <v>778</v>
      </c>
      <c r="BL342" t="s">
        <v>778</v>
      </c>
      <c r="BN342" t="s">
        <v>37</v>
      </c>
    </row>
    <row r="343" spans="1:66" x14ac:dyDescent="0.2">
      <c r="A343">
        <v>3692900</v>
      </c>
      <c r="B343">
        <v>21883</v>
      </c>
      <c r="C343">
        <v>523982</v>
      </c>
      <c r="D343">
        <v>52893</v>
      </c>
      <c r="E343">
        <v>100</v>
      </c>
      <c r="F343" t="s">
        <v>37</v>
      </c>
      <c r="G343">
        <v>1</v>
      </c>
      <c r="H343" t="s">
        <v>37</v>
      </c>
      <c r="I343" t="s">
        <v>37</v>
      </c>
      <c r="J343" t="s">
        <v>775</v>
      </c>
      <c r="K343" t="s">
        <v>230</v>
      </c>
      <c r="L343" t="s">
        <v>226</v>
      </c>
      <c r="M343" t="s">
        <v>422</v>
      </c>
      <c r="N343" t="s">
        <v>2369</v>
      </c>
      <c r="O343" t="s">
        <v>2370</v>
      </c>
      <c r="S343">
        <v>0</v>
      </c>
      <c r="T343">
        <v>0</v>
      </c>
      <c r="U343">
        <v>0</v>
      </c>
      <c r="V343">
        <v>0</v>
      </c>
      <c r="W343">
        <v>24</v>
      </c>
      <c r="X343">
        <v>0</v>
      </c>
      <c r="Y343">
        <v>0</v>
      </c>
      <c r="Z343">
        <v>0</v>
      </c>
      <c r="AB343" s="5">
        <v>43206.333333333336</v>
      </c>
      <c r="AC343" s="5">
        <v>43210.666666666664</v>
      </c>
      <c r="AD343" s="5">
        <v>43970.333333333336</v>
      </c>
      <c r="AE343" s="5">
        <v>43970.333333333336</v>
      </c>
      <c r="AG343" s="5">
        <v>44044</v>
      </c>
      <c r="AH343" s="5">
        <v>44044</v>
      </c>
      <c r="AK343" s="5">
        <v>43224.333333333336</v>
      </c>
      <c r="AL343" s="5">
        <v>43226.666666666664</v>
      </c>
      <c r="AP343" t="s">
        <v>418</v>
      </c>
      <c r="AU343" t="s">
        <v>2371</v>
      </c>
      <c r="AV343" t="s">
        <v>2372</v>
      </c>
      <c r="AY343" t="s">
        <v>40</v>
      </c>
      <c r="AZ343">
        <v>0</v>
      </c>
      <c r="BA343">
        <v>0</v>
      </c>
      <c r="BI343" s="5">
        <v>44048.176388888889</v>
      </c>
      <c r="BJ343" s="5">
        <v>44048.176388888889</v>
      </c>
      <c r="BK343" t="s">
        <v>778</v>
      </c>
      <c r="BL343" t="s">
        <v>778</v>
      </c>
      <c r="BN343" t="s">
        <v>37</v>
      </c>
    </row>
    <row r="344" spans="1:66" x14ac:dyDescent="0.2">
      <c r="A344">
        <v>3692901</v>
      </c>
      <c r="B344">
        <v>21883</v>
      </c>
      <c r="C344">
        <v>523968</v>
      </c>
      <c r="D344">
        <v>52895</v>
      </c>
      <c r="E344">
        <v>100</v>
      </c>
      <c r="F344" t="s">
        <v>37</v>
      </c>
      <c r="G344">
        <v>1</v>
      </c>
      <c r="H344" t="s">
        <v>37</v>
      </c>
      <c r="I344" t="s">
        <v>37</v>
      </c>
      <c r="J344" t="s">
        <v>775</v>
      </c>
      <c r="K344" t="s">
        <v>419</v>
      </c>
      <c r="L344" t="s">
        <v>420</v>
      </c>
      <c r="M344" t="s">
        <v>422</v>
      </c>
      <c r="N344" t="s">
        <v>2373</v>
      </c>
      <c r="O344" t="s">
        <v>2374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B344" s="5">
        <v>43278.333333333336</v>
      </c>
      <c r="AC344" s="5">
        <v>43278.333333333336</v>
      </c>
      <c r="AD344" s="5">
        <v>43970.333333333336</v>
      </c>
      <c r="AE344" s="5">
        <v>43970.333333333336</v>
      </c>
      <c r="AG344" s="5">
        <v>44044</v>
      </c>
      <c r="AH344" s="5">
        <v>44044</v>
      </c>
      <c r="AK344" s="5">
        <v>43282.333333333336</v>
      </c>
      <c r="AL344" s="5">
        <v>43282.333333333336</v>
      </c>
      <c r="AP344" t="s">
        <v>418</v>
      </c>
      <c r="AU344" t="s">
        <v>2375</v>
      </c>
      <c r="AV344" t="s">
        <v>2376</v>
      </c>
      <c r="AY344" t="s">
        <v>40</v>
      </c>
      <c r="AZ344">
        <v>0</v>
      </c>
      <c r="BA344">
        <v>0</v>
      </c>
      <c r="BI344" s="5">
        <v>44048.176388888889</v>
      </c>
      <c r="BJ344" s="5">
        <v>44048.176388888889</v>
      </c>
      <c r="BK344" t="s">
        <v>778</v>
      </c>
      <c r="BL344" t="s">
        <v>778</v>
      </c>
      <c r="BN344" t="s">
        <v>37</v>
      </c>
    </row>
    <row r="345" spans="1:66" x14ac:dyDescent="0.2">
      <c r="A345">
        <v>3692902</v>
      </c>
      <c r="B345">
        <v>21883</v>
      </c>
      <c r="C345">
        <v>523920</v>
      </c>
      <c r="D345">
        <v>52899</v>
      </c>
      <c r="E345">
        <v>100</v>
      </c>
      <c r="F345" t="s">
        <v>37</v>
      </c>
      <c r="G345">
        <v>1</v>
      </c>
      <c r="H345" t="s">
        <v>37</v>
      </c>
      <c r="I345" t="s">
        <v>37</v>
      </c>
      <c r="J345" t="s">
        <v>775</v>
      </c>
      <c r="K345" t="s">
        <v>230</v>
      </c>
      <c r="L345" t="s">
        <v>226</v>
      </c>
      <c r="M345" t="s">
        <v>422</v>
      </c>
      <c r="N345" t="s">
        <v>2377</v>
      </c>
      <c r="O345" t="s">
        <v>2378</v>
      </c>
      <c r="S345">
        <v>0</v>
      </c>
      <c r="T345">
        <v>0</v>
      </c>
      <c r="U345">
        <v>0</v>
      </c>
      <c r="V345">
        <v>0</v>
      </c>
      <c r="W345">
        <v>40</v>
      </c>
      <c r="X345">
        <v>0</v>
      </c>
      <c r="Y345">
        <v>0</v>
      </c>
      <c r="Z345">
        <v>0</v>
      </c>
      <c r="AB345" s="5">
        <v>43594</v>
      </c>
      <c r="AC345" s="5">
        <v>43607</v>
      </c>
      <c r="AD345" s="5">
        <v>43970.333333333336</v>
      </c>
      <c r="AE345" s="5">
        <v>43970.333333333336</v>
      </c>
      <c r="AG345" s="5">
        <v>44044</v>
      </c>
      <c r="AH345" s="5">
        <v>44044</v>
      </c>
      <c r="AK345" s="5">
        <v>43619.333333333336</v>
      </c>
      <c r="AL345" s="5">
        <v>43626.666666666664</v>
      </c>
      <c r="AP345" t="s">
        <v>418</v>
      </c>
      <c r="AU345" t="s">
        <v>2379</v>
      </c>
      <c r="AV345" t="s">
        <v>2380</v>
      </c>
      <c r="AY345" t="s">
        <v>40</v>
      </c>
      <c r="AZ345">
        <v>0</v>
      </c>
      <c r="BA345">
        <v>0</v>
      </c>
      <c r="BI345" s="5">
        <v>44048.176388888889</v>
      </c>
      <c r="BJ345" s="5">
        <v>44048.176388888889</v>
      </c>
      <c r="BK345" t="s">
        <v>778</v>
      </c>
      <c r="BL345" t="s">
        <v>778</v>
      </c>
      <c r="BN345" t="s">
        <v>37</v>
      </c>
    </row>
    <row r="346" spans="1:66" x14ac:dyDescent="0.2">
      <c r="A346">
        <v>3692903</v>
      </c>
      <c r="B346">
        <v>21883</v>
      </c>
      <c r="C346">
        <v>523920</v>
      </c>
      <c r="D346">
        <v>52899</v>
      </c>
      <c r="E346">
        <v>100</v>
      </c>
      <c r="F346" t="s">
        <v>37</v>
      </c>
      <c r="G346">
        <v>1</v>
      </c>
      <c r="H346" t="s">
        <v>37</v>
      </c>
      <c r="I346" t="s">
        <v>37</v>
      </c>
      <c r="J346" t="s">
        <v>775</v>
      </c>
      <c r="K346" t="s">
        <v>230</v>
      </c>
      <c r="L346" t="s">
        <v>226</v>
      </c>
      <c r="M346" t="s">
        <v>422</v>
      </c>
      <c r="N346" t="s">
        <v>2381</v>
      </c>
      <c r="O346" t="s">
        <v>2382</v>
      </c>
      <c r="S346">
        <v>0</v>
      </c>
      <c r="T346">
        <v>0</v>
      </c>
      <c r="U346">
        <v>0</v>
      </c>
      <c r="V346">
        <v>0</v>
      </c>
      <c r="W346">
        <v>80</v>
      </c>
      <c r="X346">
        <v>0</v>
      </c>
      <c r="Y346">
        <v>0</v>
      </c>
      <c r="Z346">
        <v>0</v>
      </c>
      <c r="AB346" s="5">
        <v>43291.333333333336</v>
      </c>
      <c r="AC346" s="5">
        <v>43294.666666666664</v>
      </c>
      <c r="AD346" s="5">
        <v>43970.333333333336</v>
      </c>
      <c r="AE346" s="5">
        <v>43970.333333333336</v>
      </c>
      <c r="AG346" s="5">
        <v>44044</v>
      </c>
      <c r="AH346" s="5">
        <v>44044</v>
      </c>
      <c r="AK346" s="5">
        <v>43287.333333333336</v>
      </c>
      <c r="AL346" s="5">
        <v>43300.666666666664</v>
      </c>
      <c r="AP346" t="s">
        <v>418</v>
      </c>
      <c r="AU346" t="s">
        <v>2383</v>
      </c>
      <c r="AV346" t="s">
        <v>2384</v>
      </c>
      <c r="AY346" t="s">
        <v>40</v>
      </c>
      <c r="AZ346">
        <v>0</v>
      </c>
      <c r="BA346">
        <v>0</v>
      </c>
      <c r="BI346" s="5">
        <v>44048.176388888889</v>
      </c>
      <c r="BJ346" s="5">
        <v>44048.176388888889</v>
      </c>
      <c r="BK346" t="s">
        <v>778</v>
      </c>
      <c r="BL346" t="s">
        <v>778</v>
      </c>
      <c r="BN346" t="s">
        <v>37</v>
      </c>
    </row>
    <row r="347" spans="1:66" x14ac:dyDescent="0.2">
      <c r="A347">
        <v>3692904</v>
      </c>
      <c r="B347">
        <v>21883</v>
      </c>
      <c r="C347">
        <v>523893</v>
      </c>
      <c r="D347">
        <v>52899</v>
      </c>
      <c r="E347">
        <v>100</v>
      </c>
      <c r="F347" t="s">
        <v>37</v>
      </c>
      <c r="G347">
        <v>1</v>
      </c>
      <c r="H347" t="s">
        <v>37</v>
      </c>
      <c r="I347" t="s">
        <v>37</v>
      </c>
      <c r="J347" t="s">
        <v>775</v>
      </c>
      <c r="K347" t="s">
        <v>230</v>
      </c>
      <c r="L347" t="s">
        <v>226</v>
      </c>
      <c r="M347" t="s">
        <v>422</v>
      </c>
      <c r="N347" t="s">
        <v>2385</v>
      </c>
      <c r="O347" t="s">
        <v>2386</v>
      </c>
      <c r="S347">
        <v>0</v>
      </c>
      <c r="T347">
        <v>16</v>
      </c>
      <c r="U347">
        <v>0</v>
      </c>
      <c r="V347">
        <v>16</v>
      </c>
      <c r="W347">
        <v>16</v>
      </c>
      <c r="X347">
        <v>0</v>
      </c>
      <c r="Y347">
        <v>0</v>
      </c>
      <c r="Z347">
        <v>0</v>
      </c>
      <c r="AB347" s="5">
        <v>43403</v>
      </c>
      <c r="AC347" s="5">
        <v>43403</v>
      </c>
      <c r="AD347" s="5">
        <v>43970.333333333336</v>
      </c>
      <c r="AE347" s="5">
        <v>43970.333333333336</v>
      </c>
      <c r="AG347" s="5">
        <v>44044</v>
      </c>
      <c r="AH347" s="5">
        <v>44044</v>
      </c>
      <c r="AK347" s="5">
        <v>43406.333333333336</v>
      </c>
      <c r="AL347" s="5">
        <v>43409.666666666664</v>
      </c>
      <c r="AP347" t="s">
        <v>418</v>
      </c>
      <c r="AU347" t="s">
        <v>2387</v>
      </c>
      <c r="AV347" t="s">
        <v>2388</v>
      </c>
      <c r="AY347" t="s">
        <v>40</v>
      </c>
      <c r="AZ347">
        <v>16</v>
      </c>
      <c r="BA347">
        <v>0</v>
      </c>
      <c r="BI347" s="5">
        <v>44048.176388888889</v>
      </c>
      <c r="BJ347" s="5">
        <v>44048.176388888889</v>
      </c>
      <c r="BK347" t="s">
        <v>778</v>
      </c>
      <c r="BL347" t="s">
        <v>778</v>
      </c>
      <c r="BN347" t="s">
        <v>37</v>
      </c>
    </row>
    <row r="348" spans="1:66" x14ac:dyDescent="0.2">
      <c r="A348">
        <v>3692905</v>
      </c>
      <c r="B348">
        <v>21883</v>
      </c>
      <c r="C348">
        <v>523893</v>
      </c>
      <c r="D348">
        <v>52899</v>
      </c>
      <c r="E348">
        <v>100</v>
      </c>
      <c r="F348" t="s">
        <v>37</v>
      </c>
      <c r="G348">
        <v>1</v>
      </c>
      <c r="H348" t="s">
        <v>37</v>
      </c>
      <c r="I348" t="s">
        <v>37</v>
      </c>
      <c r="J348" t="s">
        <v>775</v>
      </c>
      <c r="K348" t="s">
        <v>230</v>
      </c>
      <c r="L348" t="s">
        <v>226</v>
      </c>
      <c r="M348" t="s">
        <v>422</v>
      </c>
      <c r="N348" t="s">
        <v>2389</v>
      </c>
      <c r="O348" t="s">
        <v>2390</v>
      </c>
      <c r="S348">
        <v>0</v>
      </c>
      <c r="T348">
        <v>8</v>
      </c>
      <c r="U348">
        <v>0</v>
      </c>
      <c r="V348">
        <v>8</v>
      </c>
      <c r="W348">
        <v>8</v>
      </c>
      <c r="X348">
        <v>0</v>
      </c>
      <c r="Y348">
        <v>0</v>
      </c>
      <c r="Z348">
        <v>0</v>
      </c>
      <c r="AB348" s="5">
        <v>43410</v>
      </c>
      <c r="AC348" s="5">
        <v>43412</v>
      </c>
      <c r="AD348" s="5">
        <v>43970.333333333336</v>
      </c>
      <c r="AE348" s="5">
        <v>43970.333333333336</v>
      </c>
      <c r="AG348" s="5">
        <v>44044</v>
      </c>
      <c r="AH348" s="5">
        <v>44044</v>
      </c>
      <c r="AK348" s="5">
        <v>43467.333333333336</v>
      </c>
      <c r="AL348" s="5">
        <v>43467.666666666664</v>
      </c>
      <c r="AP348" t="s">
        <v>418</v>
      </c>
      <c r="AU348" t="s">
        <v>2391</v>
      </c>
      <c r="AV348" t="s">
        <v>2392</v>
      </c>
      <c r="AY348" t="s">
        <v>40</v>
      </c>
      <c r="AZ348">
        <v>8</v>
      </c>
      <c r="BA348">
        <v>0</v>
      </c>
      <c r="BI348" s="5">
        <v>44048.176388888889</v>
      </c>
      <c r="BJ348" s="5">
        <v>44048.176388888889</v>
      </c>
      <c r="BK348" t="s">
        <v>778</v>
      </c>
      <c r="BL348" t="s">
        <v>778</v>
      </c>
      <c r="BN348" t="s">
        <v>37</v>
      </c>
    </row>
    <row r="349" spans="1:66" x14ac:dyDescent="0.2">
      <c r="A349">
        <v>3692906</v>
      </c>
      <c r="B349">
        <v>21883</v>
      </c>
      <c r="C349">
        <v>523893</v>
      </c>
      <c r="D349">
        <v>52899</v>
      </c>
      <c r="E349">
        <v>100</v>
      </c>
      <c r="F349" t="s">
        <v>37</v>
      </c>
      <c r="G349">
        <v>1</v>
      </c>
      <c r="H349" t="s">
        <v>37</v>
      </c>
      <c r="I349" t="s">
        <v>37</v>
      </c>
      <c r="J349" t="s">
        <v>775</v>
      </c>
      <c r="K349" t="s">
        <v>230</v>
      </c>
      <c r="L349" t="s">
        <v>226</v>
      </c>
      <c r="M349" t="s">
        <v>422</v>
      </c>
      <c r="N349" t="s">
        <v>2393</v>
      </c>
      <c r="O349" t="s">
        <v>2394</v>
      </c>
      <c r="S349">
        <v>0</v>
      </c>
      <c r="T349">
        <v>8</v>
      </c>
      <c r="U349">
        <v>0</v>
      </c>
      <c r="V349">
        <v>8</v>
      </c>
      <c r="W349">
        <v>8</v>
      </c>
      <c r="X349">
        <v>0</v>
      </c>
      <c r="Y349">
        <v>0</v>
      </c>
      <c r="Z349">
        <v>0</v>
      </c>
      <c r="AB349" s="5">
        <v>43424</v>
      </c>
      <c r="AC349" s="5">
        <v>43424</v>
      </c>
      <c r="AD349" s="5">
        <v>43970.333333333336</v>
      </c>
      <c r="AE349" s="5">
        <v>43970.333333333336</v>
      </c>
      <c r="AG349" s="5">
        <v>44044</v>
      </c>
      <c r="AH349" s="5">
        <v>44044</v>
      </c>
      <c r="AK349" s="5">
        <v>43468.333333333336</v>
      </c>
      <c r="AL349" s="5">
        <v>43468.666666666664</v>
      </c>
      <c r="AP349" t="s">
        <v>418</v>
      </c>
      <c r="AU349" t="s">
        <v>2395</v>
      </c>
      <c r="AV349" t="s">
        <v>2396</v>
      </c>
      <c r="AY349" t="s">
        <v>40</v>
      </c>
      <c r="AZ349">
        <v>8</v>
      </c>
      <c r="BA349">
        <v>0</v>
      </c>
      <c r="BI349" s="5">
        <v>44048.176388888889</v>
      </c>
      <c r="BJ349" s="5">
        <v>44048.176388888889</v>
      </c>
      <c r="BK349" t="s">
        <v>778</v>
      </c>
      <c r="BL349" t="s">
        <v>778</v>
      </c>
      <c r="BN349" t="s">
        <v>37</v>
      </c>
    </row>
    <row r="350" spans="1:66" x14ac:dyDescent="0.2">
      <c r="A350">
        <v>3692907</v>
      </c>
      <c r="B350">
        <v>21883</v>
      </c>
      <c r="C350">
        <v>523893</v>
      </c>
      <c r="D350">
        <v>52895</v>
      </c>
      <c r="E350">
        <v>100</v>
      </c>
      <c r="F350" t="s">
        <v>37</v>
      </c>
      <c r="G350">
        <v>1</v>
      </c>
      <c r="H350" t="s">
        <v>37</v>
      </c>
      <c r="I350" t="s">
        <v>37</v>
      </c>
      <c r="J350" t="s">
        <v>775</v>
      </c>
      <c r="K350" t="s">
        <v>230</v>
      </c>
      <c r="L350" t="s">
        <v>226</v>
      </c>
      <c r="M350" t="s">
        <v>422</v>
      </c>
      <c r="N350" t="s">
        <v>2397</v>
      </c>
      <c r="O350" t="s">
        <v>2398</v>
      </c>
      <c r="S350">
        <v>0</v>
      </c>
      <c r="T350">
        <v>0</v>
      </c>
      <c r="U350">
        <v>0</v>
      </c>
      <c r="V350">
        <v>0</v>
      </c>
      <c r="W350">
        <v>24</v>
      </c>
      <c r="X350">
        <v>0</v>
      </c>
      <c r="Y350">
        <v>0</v>
      </c>
      <c r="Z350">
        <v>0</v>
      </c>
      <c r="AB350" s="5">
        <v>43434</v>
      </c>
      <c r="AC350" s="5">
        <v>43438</v>
      </c>
      <c r="AD350" s="5">
        <v>43970.333333333336</v>
      </c>
      <c r="AE350" s="5">
        <v>43970.333333333336</v>
      </c>
      <c r="AG350" s="5">
        <v>44044</v>
      </c>
      <c r="AH350" s="5">
        <v>44044</v>
      </c>
      <c r="AK350" s="5">
        <v>43481.333333333336</v>
      </c>
      <c r="AL350" s="5">
        <v>43483.666666666664</v>
      </c>
      <c r="AP350" t="s">
        <v>418</v>
      </c>
      <c r="AU350" t="s">
        <v>2399</v>
      </c>
      <c r="AV350" t="s">
        <v>2400</v>
      </c>
      <c r="AY350" t="s">
        <v>40</v>
      </c>
      <c r="AZ350">
        <v>0</v>
      </c>
      <c r="BA350">
        <v>0</v>
      </c>
      <c r="BI350" s="5">
        <v>44048.176388888889</v>
      </c>
      <c r="BJ350" s="5">
        <v>44048.176388888889</v>
      </c>
      <c r="BK350" t="s">
        <v>778</v>
      </c>
      <c r="BL350" t="s">
        <v>778</v>
      </c>
      <c r="BN350" t="s">
        <v>37</v>
      </c>
    </row>
    <row r="351" spans="1:66" x14ac:dyDescent="0.2">
      <c r="A351">
        <v>3692908</v>
      </c>
      <c r="B351">
        <v>21883</v>
      </c>
      <c r="C351">
        <v>523893</v>
      </c>
      <c r="D351">
        <v>52899</v>
      </c>
      <c r="E351">
        <v>100</v>
      </c>
      <c r="F351" t="s">
        <v>37</v>
      </c>
      <c r="G351">
        <v>1</v>
      </c>
      <c r="H351" t="s">
        <v>37</v>
      </c>
      <c r="I351" t="s">
        <v>37</v>
      </c>
      <c r="J351" t="s">
        <v>775</v>
      </c>
      <c r="K351" t="s">
        <v>230</v>
      </c>
      <c r="L351" t="s">
        <v>226</v>
      </c>
      <c r="M351" t="s">
        <v>422</v>
      </c>
      <c r="N351" t="s">
        <v>2401</v>
      </c>
      <c r="O351" t="s">
        <v>2402</v>
      </c>
      <c r="S351">
        <v>0</v>
      </c>
      <c r="T351">
        <v>16</v>
      </c>
      <c r="U351">
        <v>0</v>
      </c>
      <c r="V351">
        <v>16</v>
      </c>
      <c r="W351">
        <v>16</v>
      </c>
      <c r="X351">
        <v>0</v>
      </c>
      <c r="Y351">
        <v>0</v>
      </c>
      <c r="Z351">
        <v>0</v>
      </c>
      <c r="AB351" s="5">
        <v>43431</v>
      </c>
      <c r="AC351" s="5">
        <v>43432</v>
      </c>
      <c r="AD351" s="5">
        <v>43970.333333333336</v>
      </c>
      <c r="AE351" s="5">
        <v>43970.333333333336</v>
      </c>
      <c r="AG351" s="5">
        <v>44044</v>
      </c>
      <c r="AH351" s="5">
        <v>44044</v>
      </c>
      <c r="AK351" s="5">
        <v>43480.333333333336</v>
      </c>
      <c r="AL351" s="5">
        <v>43481.666666666664</v>
      </c>
      <c r="AP351" t="s">
        <v>418</v>
      </c>
      <c r="AU351" t="s">
        <v>2403</v>
      </c>
      <c r="AV351" t="s">
        <v>2404</v>
      </c>
      <c r="AY351" t="s">
        <v>40</v>
      </c>
      <c r="AZ351">
        <v>16</v>
      </c>
      <c r="BA351">
        <v>0</v>
      </c>
      <c r="BI351" s="5">
        <v>44048.176388888889</v>
      </c>
      <c r="BJ351" s="5">
        <v>44048.176388888889</v>
      </c>
      <c r="BK351" t="s">
        <v>778</v>
      </c>
      <c r="BL351" t="s">
        <v>778</v>
      </c>
      <c r="BN351" t="s">
        <v>37</v>
      </c>
    </row>
    <row r="352" spans="1:66" x14ac:dyDescent="0.2">
      <c r="A352">
        <v>3692909</v>
      </c>
      <c r="B352">
        <v>21883</v>
      </c>
      <c r="C352">
        <v>523892</v>
      </c>
      <c r="D352">
        <v>52899</v>
      </c>
      <c r="E352">
        <v>100</v>
      </c>
      <c r="F352" t="s">
        <v>37</v>
      </c>
      <c r="G352">
        <v>1</v>
      </c>
      <c r="H352" t="s">
        <v>37</v>
      </c>
      <c r="I352" t="s">
        <v>37</v>
      </c>
      <c r="J352" t="s">
        <v>775</v>
      </c>
      <c r="K352" t="s">
        <v>230</v>
      </c>
      <c r="L352" t="s">
        <v>226</v>
      </c>
      <c r="M352" t="s">
        <v>422</v>
      </c>
      <c r="N352" t="s">
        <v>2405</v>
      </c>
      <c r="O352" t="s">
        <v>2406</v>
      </c>
      <c r="S352">
        <v>0</v>
      </c>
      <c r="T352">
        <v>16</v>
      </c>
      <c r="U352">
        <v>0</v>
      </c>
      <c r="V352">
        <v>16</v>
      </c>
      <c r="W352">
        <v>16</v>
      </c>
      <c r="X352">
        <v>0</v>
      </c>
      <c r="Y352">
        <v>0</v>
      </c>
      <c r="Z352">
        <v>0</v>
      </c>
      <c r="AB352" s="5">
        <v>43293.333333333336</v>
      </c>
      <c r="AC352" s="5">
        <v>43294.666666666664</v>
      </c>
      <c r="AD352" s="5">
        <v>43970.333333333336</v>
      </c>
      <c r="AE352" s="5">
        <v>43970.333333333336</v>
      </c>
      <c r="AG352" s="5">
        <v>44044</v>
      </c>
      <c r="AH352" s="5">
        <v>44044</v>
      </c>
      <c r="AK352" s="5">
        <v>43305.333333333336</v>
      </c>
      <c r="AL352" s="5">
        <v>43306.666666666664</v>
      </c>
      <c r="AP352" t="s">
        <v>418</v>
      </c>
      <c r="AU352" t="s">
        <v>2407</v>
      </c>
      <c r="AV352" t="s">
        <v>2408</v>
      </c>
      <c r="AY352" t="s">
        <v>40</v>
      </c>
      <c r="AZ352">
        <v>16</v>
      </c>
      <c r="BA352">
        <v>0</v>
      </c>
      <c r="BI352" s="5">
        <v>44048.176388888889</v>
      </c>
      <c r="BJ352" s="5">
        <v>44048.176388888889</v>
      </c>
      <c r="BK352" t="s">
        <v>778</v>
      </c>
      <c r="BL352" t="s">
        <v>778</v>
      </c>
      <c r="BN352" t="s">
        <v>37</v>
      </c>
    </row>
    <row r="353" spans="1:66" x14ac:dyDescent="0.2">
      <c r="A353">
        <v>3692910</v>
      </c>
      <c r="B353">
        <v>21883</v>
      </c>
      <c r="C353">
        <v>523892</v>
      </c>
      <c r="D353">
        <v>52895</v>
      </c>
      <c r="E353">
        <v>100</v>
      </c>
      <c r="F353" t="s">
        <v>37</v>
      </c>
      <c r="G353">
        <v>1</v>
      </c>
      <c r="H353" t="s">
        <v>37</v>
      </c>
      <c r="I353" t="s">
        <v>37</v>
      </c>
      <c r="J353" t="s">
        <v>775</v>
      </c>
      <c r="K353" t="s">
        <v>230</v>
      </c>
      <c r="L353" t="s">
        <v>226</v>
      </c>
      <c r="M353" t="s">
        <v>422</v>
      </c>
      <c r="N353" t="s">
        <v>2409</v>
      </c>
      <c r="O353" t="s">
        <v>2410</v>
      </c>
      <c r="S353">
        <v>0</v>
      </c>
      <c r="T353">
        <v>0</v>
      </c>
      <c r="U353">
        <v>0</v>
      </c>
      <c r="V353">
        <v>0</v>
      </c>
      <c r="W353">
        <v>24</v>
      </c>
      <c r="X353">
        <v>0</v>
      </c>
      <c r="Y353">
        <v>0</v>
      </c>
      <c r="Z353">
        <v>0</v>
      </c>
      <c r="AB353" s="5">
        <v>43398</v>
      </c>
      <c r="AC353" s="5">
        <v>43402</v>
      </c>
      <c r="AD353" s="5">
        <v>43970.333333333336</v>
      </c>
      <c r="AE353" s="5">
        <v>43970.333333333336</v>
      </c>
      <c r="AG353" s="5">
        <v>44044</v>
      </c>
      <c r="AH353" s="5">
        <v>44044</v>
      </c>
      <c r="AK353" s="5">
        <v>43405.333333333336</v>
      </c>
      <c r="AL353" s="5">
        <v>43407.666666666664</v>
      </c>
      <c r="AP353" t="s">
        <v>418</v>
      </c>
      <c r="AU353" t="s">
        <v>2411</v>
      </c>
      <c r="AV353" t="s">
        <v>2412</v>
      </c>
      <c r="AY353" t="s">
        <v>40</v>
      </c>
      <c r="AZ353">
        <v>0</v>
      </c>
      <c r="BA353">
        <v>0</v>
      </c>
      <c r="BI353" s="5">
        <v>44048.176388888889</v>
      </c>
      <c r="BJ353" s="5">
        <v>44048.176388888889</v>
      </c>
      <c r="BK353" t="s">
        <v>778</v>
      </c>
      <c r="BL353" t="s">
        <v>778</v>
      </c>
      <c r="BN353" t="s">
        <v>37</v>
      </c>
    </row>
    <row r="354" spans="1:66" x14ac:dyDescent="0.2">
      <c r="A354">
        <v>3692911</v>
      </c>
      <c r="B354">
        <v>21883</v>
      </c>
      <c r="C354">
        <v>523892</v>
      </c>
      <c r="D354">
        <v>52899</v>
      </c>
      <c r="E354">
        <v>100</v>
      </c>
      <c r="F354" t="s">
        <v>37</v>
      </c>
      <c r="G354">
        <v>1</v>
      </c>
      <c r="H354" t="s">
        <v>37</v>
      </c>
      <c r="I354" t="s">
        <v>37</v>
      </c>
      <c r="J354" t="s">
        <v>775</v>
      </c>
      <c r="K354" t="s">
        <v>230</v>
      </c>
      <c r="L354" t="s">
        <v>226</v>
      </c>
      <c r="M354" t="s">
        <v>422</v>
      </c>
      <c r="N354" t="s">
        <v>2413</v>
      </c>
      <c r="O354" t="s">
        <v>2414</v>
      </c>
      <c r="S354">
        <v>0</v>
      </c>
      <c r="T354">
        <v>8</v>
      </c>
      <c r="U354">
        <v>0</v>
      </c>
      <c r="V354">
        <v>8</v>
      </c>
      <c r="W354">
        <v>8</v>
      </c>
      <c r="X354">
        <v>0</v>
      </c>
      <c r="Y354">
        <v>0</v>
      </c>
      <c r="Z354">
        <v>0</v>
      </c>
      <c r="AB354" s="5">
        <v>43395</v>
      </c>
      <c r="AC354" s="5">
        <v>43396</v>
      </c>
      <c r="AD354" s="5">
        <v>43970.333333333336</v>
      </c>
      <c r="AE354" s="5">
        <v>43970.333333333336</v>
      </c>
      <c r="AG354" s="5">
        <v>44044</v>
      </c>
      <c r="AH354" s="5">
        <v>44044</v>
      </c>
      <c r="AK354" s="5">
        <v>43406.333333333336</v>
      </c>
      <c r="AL354" s="5">
        <v>43406.666666666664</v>
      </c>
      <c r="AP354" t="s">
        <v>418</v>
      </c>
      <c r="AU354" t="s">
        <v>2415</v>
      </c>
      <c r="AV354" t="s">
        <v>2416</v>
      </c>
      <c r="AY354" t="s">
        <v>40</v>
      </c>
      <c r="AZ354">
        <v>8</v>
      </c>
      <c r="BA354">
        <v>0</v>
      </c>
      <c r="BI354" s="5">
        <v>44048.176388888889</v>
      </c>
      <c r="BJ354" s="5">
        <v>44048.176388888889</v>
      </c>
      <c r="BK354" t="s">
        <v>778</v>
      </c>
      <c r="BL354" t="s">
        <v>778</v>
      </c>
      <c r="BN354" t="s">
        <v>37</v>
      </c>
    </row>
    <row r="355" spans="1:66" x14ac:dyDescent="0.2">
      <c r="A355">
        <v>3692912</v>
      </c>
      <c r="B355">
        <v>21883</v>
      </c>
      <c r="C355">
        <v>523891</v>
      </c>
      <c r="D355">
        <v>52899</v>
      </c>
      <c r="E355">
        <v>100</v>
      </c>
      <c r="F355" t="s">
        <v>37</v>
      </c>
      <c r="G355">
        <v>1</v>
      </c>
      <c r="H355" t="s">
        <v>37</v>
      </c>
      <c r="I355" t="s">
        <v>37</v>
      </c>
      <c r="J355" t="s">
        <v>775</v>
      </c>
      <c r="K355" t="s">
        <v>230</v>
      </c>
      <c r="L355" t="s">
        <v>226</v>
      </c>
      <c r="M355" t="s">
        <v>422</v>
      </c>
      <c r="N355" t="s">
        <v>2417</v>
      </c>
      <c r="O355" t="s">
        <v>2418</v>
      </c>
      <c r="S355">
        <v>0</v>
      </c>
      <c r="T355">
        <v>16</v>
      </c>
      <c r="U355">
        <v>0</v>
      </c>
      <c r="V355">
        <v>16</v>
      </c>
      <c r="W355">
        <v>16</v>
      </c>
      <c r="X355">
        <v>0</v>
      </c>
      <c r="Y355">
        <v>0</v>
      </c>
      <c r="Z355">
        <v>0</v>
      </c>
      <c r="AB355" s="5">
        <v>43284.333333333336</v>
      </c>
      <c r="AC355" s="5">
        <v>43287.666666666664</v>
      </c>
      <c r="AD355" s="5">
        <v>43970.333333333336</v>
      </c>
      <c r="AE355" s="5">
        <v>43970.333333333336</v>
      </c>
      <c r="AG355" s="5">
        <v>44044</v>
      </c>
      <c r="AH355" s="5">
        <v>44044</v>
      </c>
      <c r="AK355" s="5">
        <v>43286.333333333336</v>
      </c>
      <c r="AL355" s="5">
        <v>43287.666666666664</v>
      </c>
      <c r="AP355" t="s">
        <v>418</v>
      </c>
      <c r="AU355" t="s">
        <v>2419</v>
      </c>
      <c r="AV355" t="s">
        <v>2420</v>
      </c>
      <c r="AY355" t="s">
        <v>40</v>
      </c>
      <c r="AZ355">
        <v>16</v>
      </c>
      <c r="BA355">
        <v>0</v>
      </c>
      <c r="BI355" s="5">
        <v>44048.176388888889</v>
      </c>
      <c r="BJ355" s="5">
        <v>44048.176388888889</v>
      </c>
      <c r="BK355" t="s">
        <v>778</v>
      </c>
      <c r="BL355" t="s">
        <v>778</v>
      </c>
      <c r="BN355" t="s">
        <v>37</v>
      </c>
    </row>
    <row r="356" spans="1:66" x14ac:dyDescent="0.2">
      <c r="A356">
        <v>3692913</v>
      </c>
      <c r="B356">
        <v>21883</v>
      </c>
      <c r="C356">
        <v>523891</v>
      </c>
      <c r="D356">
        <v>52895</v>
      </c>
      <c r="E356">
        <v>100</v>
      </c>
      <c r="F356" t="s">
        <v>37</v>
      </c>
      <c r="G356">
        <v>1</v>
      </c>
      <c r="H356" t="s">
        <v>37</v>
      </c>
      <c r="I356" t="s">
        <v>37</v>
      </c>
      <c r="J356" t="s">
        <v>775</v>
      </c>
      <c r="K356" t="s">
        <v>230</v>
      </c>
      <c r="L356" t="s">
        <v>226</v>
      </c>
      <c r="M356" t="s">
        <v>422</v>
      </c>
      <c r="N356" t="s">
        <v>2421</v>
      </c>
      <c r="O356" t="s">
        <v>2422</v>
      </c>
      <c r="S356">
        <v>0</v>
      </c>
      <c r="T356">
        <v>0</v>
      </c>
      <c r="U356">
        <v>0</v>
      </c>
      <c r="V356">
        <v>0</v>
      </c>
      <c r="W356">
        <v>24</v>
      </c>
      <c r="X356">
        <v>0</v>
      </c>
      <c r="Y356">
        <v>0</v>
      </c>
      <c r="Z356">
        <v>0</v>
      </c>
      <c r="AB356" s="5">
        <v>43350.333333333336</v>
      </c>
      <c r="AC356" s="5">
        <v>43353.666666666664</v>
      </c>
      <c r="AD356" s="5">
        <v>43970.333333333336</v>
      </c>
      <c r="AE356" s="5">
        <v>43970.333333333336</v>
      </c>
      <c r="AG356" s="5">
        <v>44044</v>
      </c>
      <c r="AH356" s="5">
        <v>44044</v>
      </c>
      <c r="AK356" s="5">
        <v>43351.333333333336</v>
      </c>
      <c r="AL356" s="5">
        <v>43353.666666666664</v>
      </c>
      <c r="AP356" t="s">
        <v>418</v>
      </c>
      <c r="AU356" t="s">
        <v>2423</v>
      </c>
      <c r="AV356" t="s">
        <v>2424</v>
      </c>
      <c r="AY356" t="s">
        <v>40</v>
      </c>
      <c r="AZ356">
        <v>0</v>
      </c>
      <c r="BA356">
        <v>0</v>
      </c>
      <c r="BI356" s="5">
        <v>44048.176388888889</v>
      </c>
      <c r="BJ356" s="5">
        <v>44048.176388888889</v>
      </c>
      <c r="BK356" t="s">
        <v>778</v>
      </c>
      <c r="BL356" t="s">
        <v>778</v>
      </c>
      <c r="BN356" t="s">
        <v>37</v>
      </c>
    </row>
    <row r="357" spans="1:66" x14ac:dyDescent="0.2">
      <c r="A357">
        <v>3692914</v>
      </c>
      <c r="B357">
        <v>21883</v>
      </c>
      <c r="C357">
        <v>523891</v>
      </c>
      <c r="D357">
        <v>52899</v>
      </c>
      <c r="E357">
        <v>100</v>
      </c>
      <c r="F357" t="s">
        <v>37</v>
      </c>
      <c r="G357">
        <v>1</v>
      </c>
      <c r="H357" t="s">
        <v>37</v>
      </c>
      <c r="I357" t="s">
        <v>37</v>
      </c>
      <c r="J357" t="s">
        <v>775</v>
      </c>
      <c r="K357" t="s">
        <v>230</v>
      </c>
      <c r="L357" t="s">
        <v>226</v>
      </c>
      <c r="M357" t="s">
        <v>422</v>
      </c>
      <c r="N357" t="s">
        <v>2425</v>
      </c>
      <c r="O357" t="s">
        <v>2426</v>
      </c>
      <c r="S357">
        <v>0</v>
      </c>
      <c r="T357">
        <v>0</v>
      </c>
      <c r="U357">
        <v>0</v>
      </c>
      <c r="V357">
        <v>0</v>
      </c>
      <c r="W357">
        <v>8</v>
      </c>
      <c r="X357">
        <v>0</v>
      </c>
      <c r="Y357">
        <v>0</v>
      </c>
      <c r="Z357">
        <v>0</v>
      </c>
      <c r="AB357" s="5">
        <v>43342.333333333336</v>
      </c>
      <c r="AC357" s="5">
        <v>43342.666666666664</v>
      </c>
      <c r="AD357" s="5">
        <v>43970.333333333336</v>
      </c>
      <c r="AE357" s="5">
        <v>43970.333333333336</v>
      </c>
      <c r="AG357" s="5">
        <v>44044</v>
      </c>
      <c r="AH357" s="5">
        <v>44044</v>
      </c>
      <c r="AK357" s="5">
        <v>43347.333333333336</v>
      </c>
      <c r="AL357" s="5">
        <v>43347.666666666664</v>
      </c>
      <c r="AP357" t="s">
        <v>418</v>
      </c>
      <c r="AU357" t="s">
        <v>2427</v>
      </c>
      <c r="AV357" t="s">
        <v>2428</v>
      </c>
      <c r="AY357" t="s">
        <v>40</v>
      </c>
      <c r="AZ357">
        <v>0</v>
      </c>
      <c r="BA357">
        <v>0</v>
      </c>
      <c r="BI357" s="5">
        <v>44048.176388888889</v>
      </c>
      <c r="BJ357" s="5">
        <v>44048.176388888889</v>
      </c>
      <c r="BK357" t="s">
        <v>778</v>
      </c>
      <c r="BL357" t="s">
        <v>778</v>
      </c>
      <c r="BN357" t="s">
        <v>37</v>
      </c>
    </row>
    <row r="358" spans="1:66" x14ac:dyDescent="0.2">
      <c r="A358">
        <v>3692915</v>
      </c>
      <c r="B358">
        <v>21883</v>
      </c>
      <c r="C358">
        <v>523890</v>
      </c>
      <c r="D358">
        <v>52899</v>
      </c>
      <c r="E358">
        <v>100</v>
      </c>
      <c r="F358" t="s">
        <v>37</v>
      </c>
      <c r="G358">
        <v>1</v>
      </c>
      <c r="H358" t="s">
        <v>37</v>
      </c>
      <c r="I358" t="s">
        <v>37</v>
      </c>
      <c r="J358" t="s">
        <v>775</v>
      </c>
      <c r="K358" t="s">
        <v>230</v>
      </c>
      <c r="L358" t="s">
        <v>226</v>
      </c>
      <c r="M358" t="s">
        <v>422</v>
      </c>
      <c r="N358" t="s">
        <v>2429</v>
      </c>
      <c r="O358" t="s">
        <v>2430</v>
      </c>
      <c r="S358">
        <v>0</v>
      </c>
      <c r="T358">
        <v>16</v>
      </c>
      <c r="U358">
        <v>0</v>
      </c>
      <c r="V358">
        <v>16</v>
      </c>
      <c r="W358">
        <v>16</v>
      </c>
      <c r="X358">
        <v>0</v>
      </c>
      <c r="Y358">
        <v>0</v>
      </c>
      <c r="Z358">
        <v>0</v>
      </c>
      <c r="AB358" s="5">
        <v>43293.333333333336</v>
      </c>
      <c r="AC358" s="5">
        <v>43301.666666666664</v>
      </c>
      <c r="AD358" s="5">
        <v>43970.333333333336</v>
      </c>
      <c r="AE358" s="5">
        <v>43970.333333333336</v>
      </c>
      <c r="AG358" s="5">
        <v>44044</v>
      </c>
      <c r="AH358" s="5">
        <v>44044</v>
      </c>
      <c r="AK358" s="5">
        <v>43294.333333333336</v>
      </c>
      <c r="AL358" s="5">
        <v>43297.666666666664</v>
      </c>
      <c r="AP358" t="s">
        <v>418</v>
      </c>
      <c r="AU358" t="s">
        <v>2431</v>
      </c>
      <c r="AV358" t="s">
        <v>2432</v>
      </c>
      <c r="AY358" t="s">
        <v>40</v>
      </c>
      <c r="AZ358">
        <v>16</v>
      </c>
      <c r="BA358">
        <v>0</v>
      </c>
      <c r="BI358" s="5">
        <v>44048.176388888889</v>
      </c>
      <c r="BJ358" s="5">
        <v>44048.176388888889</v>
      </c>
      <c r="BK358" t="s">
        <v>778</v>
      </c>
      <c r="BL358" t="s">
        <v>778</v>
      </c>
      <c r="BN358" t="s">
        <v>37</v>
      </c>
    </row>
    <row r="359" spans="1:66" x14ac:dyDescent="0.2">
      <c r="A359">
        <v>3692916</v>
      </c>
      <c r="B359">
        <v>21883</v>
      </c>
      <c r="C359">
        <v>523890</v>
      </c>
      <c r="D359">
        <v>52895</v>
      </c>
      <c r="E359">
        <v>100</v>
      </c>
      <c r="F359" t="s">
        <v>37</v>
      </c>
      <c r="G359">
        <v>1</v>
      </c>
      <c r="H359" t="s">
        <v>37</v>
      </c>
      <c r="I359" t="s">
        <v>37</v>
      </c>
      <c r="J359" t="s">
        <v>775</v>
      </c>
      <c r="K359" t="s">
        <v>230</v>
      </c>
      <c r="L359" t="s">
        <v>226</v>
      </c>
      <c r="M359" t="s">
        <v>422</v>
      </c>
      <c r="N359" t="s">
        <v>2433</v>
      </c>
      <c r="O359" t="s">
        <v>2434</v>
      </c>
      <c r="S359">
        <v>0</v>
      </c>
      <c r="T359">
        <v>0</v>
      </c>
      <c r="U359">
        <v>0</v>
      </c>
      <c r="V359">
        <v>0</v>
      </c>
      <c r="W359">
        <v>24</v>
      </c>
      <c r="X359">
        <v>0</v>
      </c>
      <c r="Y359">
        <v>0</v>
      </c>
      <c r="Z359">
        <v>0</v>
      </c>
      <c r="AB359" s="5">
        <v>43371.333333333336</v>
      </c>
      <c r="AC359" s="5">
        <v>43374</v>
      </c>
      <c r="AD359" s="5">
        <v>43970.333333333336</v>
      </c>
      <c r="AE359" s="5">
        <v>43970.333333333336</v>
      </c>
      <c r="AG359" s="5">
        <v>44044</v>
      </c>
      <c r="AH359" s="5">
        <v>44044</v>
      </c>
      <c r="AK359" s="5">
        <v>43364.333333333336</v>
      </c>
      <c r="AL359" s="5">
        <v>43366.666666666664</v>
      </c>
      <c r="AP359" t="s">
        <v>418</v>
      </c>
      <c r="AU359" t="s">
        <v>2435</v>
      </c>
      <c r="AV359" t="s">
        <v>2436</v>
      </c>
      <c r="AY359" t="s">
        <v>40</v>
      </c>
      <c r="AZ359">
        <v>0</v>
      </c>
      <c r="BA359">
        <v>0</v>
      </c>
      <c r="BI359" s="5">
        <v>44048.176388888889</v>
      </c>
      <c r="BJ359" s="5">
        <v>44048.176388888889</v>
      </c>
      <c r="BK359" t="s">
        <v>778</v>
      </c>
      <c r="BL359" t="s">
        <v>778</v>
      </c>
      <c r="BN359" t="s">
        <v>37</v>
      </c>
    </row>
    <row r="360" spans="1:66" x14ac:dyDescent="0.2">
      <c r="A360">
        <v>3692917</v>
      </c>
      <c r="B360">
        <v>21883</v>
      </c>
      <c r="C360">
        <v>523890</v>
      </c>
      <c r="D360">
        <v>52899</v>
      </c>
      <c r="E360">
        <v>100</v>
      </c>
      <c r="F360" t="s">
        <v>37</v>
      </c>
      <c r="G360">
        <v>1</v>
      </c>
      <c r="H360" t="s">
        <v>37</v>
      </c>
      <c r="I360" t="s">
        <v>37</v>
      </c>
      <c r="J360" t="s">
        <v>775</v>
      </c>
      <c r="K360" t="s">
        <v>230</v>
      </c>
      <c r="L360" t="s">
        <v>226</v>
      </c>
      <c r="M360" t="s">
        <v>422</v>
      </c>
      <c r="N360" t="s">
        <v>2437</v>
      </c>
      <c r="O360" t="s">
        <v>2438</v>
      </c>
      <c r="S360">
        <v>0</v>
      </c>
      <c r="T360">
        <v>0</v>
      </c>
      <c r="U360">
        <v>0</v>
      </c>
      <c r="V360">
        <v>0</v>
      </c>
      <c r="W360">
        <v>8</v>
      </c>
      <c r="X360">
        <v>0</v>
      </c>
      <c r="Y360">
        <v>0</v>
      </c>
      <c r="Z360">
        <v>0</v>
      </c>
      <c r="AB360" s="5">
        <v>43369.333333333336</v>
      </c>
      <c r="AC360" s="5">
        <v>43369.666666666664</v>
      </c>
      <c r="AD360" s="5">
        <v>43970.333333333336</v>
      </c>
      <c r="AE360" s="5">
        <v>43970.333333333336</v>
      </c>
      <c r="AG360" s="5">
        <v>44044</v>
      </c>
      <c r="AH360" s="5">
        <v>44044</v>
      </c>
      <c r="AK360" s="5">
        <v>43360.333333333336</v>
      </c>
      <c r="AL360" s="5">
        <v>43360.666666666664</v>
      </c>
      <c r="AP360" t="s">
        <v>418</v>
      </c>
      <c r="AU360" t="s">
        <v>2439</v>
      </c>
      <c r="AV360" t="s">
        <v>2440</v>
      </c>
      <c r="AY360" t="s">
        <v>40</v>
      </c>
      <c r="AZ360">
        <v>0</v>
      </c>
      <c r="BA360">
        <v>0</v>
      </c>
      <c r="BI360" s="5">
        <v>44048.176388888889</v>
      </c>
      <c r="BJ360" s="5">
        <v>44048.176388888889</v>
      </c>
      <c r="BK360" t="s">
        <v>778</v>
      </c>
      <c r="BL360" t="s">
        <v>778</v>
      </c>
      <c r="BN360" t="s">
        <v>37</v>
      </c>
    </row>
    <row r="361" spans="1:66" x14ac:dyDescent="0.2">
      <c r="A361">
        <v>3692918</v>
      </c>
      <c r="B361">
        <v>21883</v>
      </c>
      <c r="C361">
        <v>523889</v>
      </c>
      <c r="D361">
        <v>52899</v>
      </c>
      <c r="E361">
        <v>100</v>
      </c>
      <c r="F361" t="s">
        <v>37</v>
      </c>
      <c r="G361">
        <v>1</v>
      </c>
      <c r="H361" t="s">
        <v>37</v>
      </c>
      <c r="I361" t="s">
        <v>37</v>
      </c>
      <c r="J361" t="s">
        <v>775</v>
      </c>
      <c r="K361" t="s">
        <v>230</v>
      </c>
      <c r="L361" t="s">
        <v>226</v>
      </c>
      <c r="M361" t="s">
        <v>422</v>
      </c>
      <c r="N361" t="s">
        <v>2441</v>
      </c>
      <c r="O361" t="s">
        <v>2442</v>
      </c>
      <c r="S361">
        <v>0</v>
      </c>
      <c r="T361">
        <v>16</v>
      </c>
      <c r="U361">
        <v>0</v>
      </c>
      <c r="V361">
        <v>16</v>
      </c>
      <c r="W361">
        <v>16</v>
      </c>
      <c r="X361">
        <v>0</v>
      </c>
      <c r="Y361">
        <v>0</v>
      </c>
      <c r="Z361">
        <v>0</v>
      </c>
      <c r="AB361" s="5">
        <v>43306.333333333336</v>
      </c>
      <c r="AC361" s="5">
        <v>43313.666666666664</v>
      </c>
      <c r="AD361" s="5">
        <v>43970.333333333336</v>
      </c>
      <c r="AE361" s="5">
        <v>43970.333333333336</v>
      </c>
      <c r="AG361" s="5">
        <v>44044</v>
      </c>
      <c r="AH361" s="5">
        <v>44044</v>
      </c>
      <c r="AK361" s="5">
        <v>43325.333333333336</v>
      </c>
      <c r="AL361" s="5">
        <v>43327.666666666664</v>
      </c>
      <c r="AP361" t="s">
        <v>418</v>
      </c>
      <c r="AU361" t="s">
        <v>2443</v>
      </c>
      <c r="AV361" t="s">
        <v>2444</v>
      </c>
      <c r="AY361" t="s">
        <v>40</v>
      </c>
      <c r="AZ361">
        <v>16</v>
      </c>
      <c r="BA361">
        <v>0</v>
      </c>
      <c r="BI361" s="5">
        <v>44048.176388888889</v>
      </c>
      <c r="BJ361" s="5">
        <v>44048.176388888889</v>
      </c>
      <c r="BK361" t="s">
        <v>778</v>
      </c>
      <c r="BL361" t="s">
        <v>778</v>
      </c>
      <c r="BN361" t="s">
        <v>37</v>
      </c>
    </row>
    <row r="362" spans="1:66" x14ac:dyDescent="0.2">
      <c r="A362">
        <v>3692919</v>
      </c>
      <c r="B362">
        <v>21883</v>
      </c>
      <c r="C362">
        <v>523889</v>
      </c>
      <c r="D362">
        <v>52895</v>
      </c>
      <c r="E362">
        <v>100</v>
      </c>
      <c r="F362" t="s">
        <v>37</v>
      </c>
      <c r="G362">
        <v>1</v>
      </c>
      <c r="H362" t="s">
        <v>37</v>
      </c>
      <c r="I362" t="s">
        <v>37</v>
      </c>
      <c r="J362" t="s">
        <v>775</v>
      </c>
      <c r="K362" t="s">
        <v>230</v>
      </c>
      <c r="L362" t="s">
        <v>226</v>
      </c>
      <c r="M362" t="s">
        <v>422</v>
      </c>
      <c r="N362" t="s">
        <v>2445</v>
      </c>
      <c r="O362" t="s">
        <v>2446</v>
      </c>
      <c r="S362">
        <v>0</v>
      </c>
      <c r="T362">
        <v>0</v>
      </c>
      <c r="U362">
        <v>0</v>
      </c>
      <c r="V362">
        <v>0</v>
      </c>
      <c r="W362">
        <v>24</v>
      </c>
      <c r="X362">
        <v>0</v>
      </c>
      <c r="Y362">
        <v>0</v>
      </c>
      <c r="Z362">
        <v>0</v>
      </c>
      <c r="AB362" s="5">
        <v>43376</v>
      </c>
      <c r="AC362" s="5">
        <v>43378</v>
      </c>
      <c r="AD362" s="5">
        <v>43970.333333333336</v>
      </c>
      <c r="AE362" s="5">
        <v>43970.333333333336</v>
      </c>
      <c r="AG362" s="5">
        <v>44044</v>
      </c>
      <c r="AH362" s="5">
        <v>44044</v>
      </c>
      <c r="AK362" s="5">
        <v>43374.333333333336</v>
      </c>
      <c r="AL362" s="5">
        <v>43376.666666666664</v>
      </c>
      <c r="AP362" t="s">
        <v>418</v>
      </c>
      <c r="AU362" t="s">
        <v>2447</v>
      </c>
      <c r="AV362" t="s">
        <v>2448</v>
      </c>
      <c r="AY362" t="s">
        <v>40</v>
      </c>
      <c r="AZ362">
        <v>0</v>
      </c>
      <c r="BA362">
        <v>0</v>
      </c>
      <c r="BI362" s="5">
        <v>44048.176388888889</v>
      </c>
      <c r="BJ362" s="5">
        <v>44048.176388888889</v>
      </c>
      <c r="BK362" t="s">
        <v>778</v>
      </c>
      <c r="BL362" t="s">
        <v>778</v>
      </c>
      <c r="BN362" t="s">
        <v>37</v>
      </c>
    </row>
    <row r="363" spans="1:66" x14ac:dyDescent="0.2">
      <c r="A363">
        <v>3692920</v>
      </c>
      <c r="B363">
        <v>21883</v>
      </c>
      <c r="C363">
        <v>523889</v>
      </c>
      <c r="D363">
        <v>52899</v>
      </c>
      <c r="E363">
        <v>100</v>
      </c>
      <c r="F363" t="s">
        <v>37</v>
      </c>
      <c r="G363">
        <v>1</v>
      </c>
      <c r="H363" t="s">
        <v>37</v>
      </c>
      <c r="I363" t="s">
        <v>37</v>
      </c>
      <c r="J363" t="s">
        <v>775</v>
      </c>
      <c r="K363" t="s">
        <v>230</v>
      </c>
      <c r="L363" t="s">
        <v>226</v>
      </c>
      <c r="M363" t="s">
        <v>422</v>
      </c>
      <c r="N363" t="s">
        <v>2449</v>
      </c>
      <c r="O363" t="s">
        <v>2450</v>
      </c>
      <c r="S363">
        <v>0</v>
      </c>
      <c r="T363">
        <v>8</v>
      </c>
      <c r="U363">
        <v>0</v>
      </c>
      <c r="V363">
        <v>8</v>
      </c>
      <c r="W363">
        <v>8</v>
      </c>
      <c r="X363">
        <v>0</v>
      </c>
      <c r="Y363">
        <v>0</v>
      </c>
      <c r="Z363">
        <v>0</v>
      </c>
      <c r="AB363" s="5">
        <v>43374</v>
      </c>
      <c r="AC363" s="5">
        <v>43374</v>
      </c>
      <c r="AD363" s="5">
        <v>43970.333333333336</v>
      </c>
      <c r="AE363" s="5">
        <v>43970.333333333336</v>
      </c>
      <c r="AG363" s="5">
        <v>44044</v>
      </c>
      <c r="AH363" s="5">
        <v>44044</v>
      </c>
      <c r="AK363" s="5">
        <v>43374.333333333336</v>
      </c>
      <c r="AL363" s="5">
        <v>43374.666666666664</v>
      </c>
      <c r="AP363" t="s">
        <v>418</v>
      </c>
      <c r="AU363" t="s">
        <v>2451</v>
      </c>
      <c r="AV363" t="s">
        <v>2452</v>
      </c>
      <c r="AY363" t="s">
        <v>40</v>
      </c>
      <c r="AZ363">
        <v>8</v>
      </c>
      <c r="BA363">
        <v>0</v>
      </c>
      <c r="BI363" s="5">
        <v>44048.176388888889</v>
      </c>
      <c r="BJ363" s="5">
        <v>44048.176388888889</v>
      </c>
      <c r="BK363" t="s">
        <v>778</v>
      </c>
      <c r="BL363" t="s">
        <v>778</v>
      </c>
      <c r="BN363" t="s">
        <v>37</v>
      </c>
    </row>
    <row r="364" spans="1:66" x14ac:dyDescent="0.2">
      <c r="A364">
        <v>3692921</v>
      </c>
      <c r="B364">
        <v>21883</v>
      </c>
      <c r="C364">
        <v>523888</v>
      </c>
      <c r="D364">
        <v>52899</v>
      </c>
      <c r="E364">
        <v>100</v>
      </c>
      <c r="F364" t="s">
        <v>37</v>
      </c>
      <c r="G364">
        <v>1</v>
      </c>
      <c r="H364" t="s">
        <v>37</v>
      </c>
      <c r="I364" t="s">
        <v>37</v>
      </c>
      <c r="J364" t="s">
        <v>775</v>
      </c>
      <c r="K364" t="s">
        <v>230</v>
      </c>
      <c r="L364" t="s">
        <v>226</v>
      </c>
      <c r="M364" t="s">
        <v>422</v>
      </c>
      <c r="N364" t="s">
        <v>2453</v>
      </c>
      <c r="O364" t="s">
        <v>2454</v>
      </c>
      <c r="S364">
        <v>0</v>
      </c>
      <c r="T364">
        <v>96</v>
      </c>
      <c r="U364">
        <v>0</v>
      </c>
      <c r="V364">
        <v>96</v>
      </c>
      <c r="W364">
        <v>64</v>
      </c>
      <c r="X364">
        <v>0</v>
      </c>
      <c r="Y364">
        <v>0</v>
      </c>
      <c r="Z364">
        <v>0</v>
      </c>
      <c r="AB364" s="5">
        <v>43278.333333333336</v>
      </c>
      <c r="AC364" s="5">
        <v>43297.666666666664</v>
      </c>
      <c r="AD364" s="5">
        <v>43970.333333333336</v>
      </c>
      <c r="AE364" s="5">
        <v>43970.333333333336</v>
      </c>
      <c r="AG364" s="5">
        <v>44044</v>
      </c>
      <c r="AH364" s="5">
        <v>44044</v>
      </c>
      <c r="AK364" s="5">
        <v>43298.333333333336</v>
      </c>
      <c r="AL364" s="5">
        <v>43308.666666666664</v>
      </c>
      <c r="AP364" t="s">
        <v>418</v>
      </c>
      <c r="AU364" t="s">
        <v>2455</v>
      </c>
      <c r="AV364" t="s">
        <v>2456</v>
      </c>
      <c r="AY364" t="s">
        <v>40</v>
      </c>
      <c r="AZ364">
        <v>96</v>
      </c>
      <c r="BA364">
        <v>0</v>
      </c>
      <c r="BI364" s="5">
        <v>44048.176388888889</v>
      </c>
      <c r="BJ364" s="5">
        <v>44048.176388888889</v>
      </c>
      <c r="BK364" t="s">
        <v>778</v>
      </c>
      <c r="BL364" t="s">
        <v>778</v>
      </c>
      <c r="BN364" t="s">
        <v>37</v>
      </c>
    </row>
    <row r="365" spans="1:66" x14ac:dyDescent="0.2">
      <c r="A365">
        <v>3692922</v>
      </c>
      <c r="B365">
        <v>21883</v>
      </c>
      <c r="C365">
        <v>523888</v>
      </c>
      <c r="D365">
        <v>52899</v>
      </c>
      <c r="E365">
        <v>100</v>
      </c>
      <c r="F365" t="s">
        <v>37</v>
      </c>
      <c r="G365">
        <v>1</v>
      </c>
      <c r="H365" t="s">
        <v>37</v>
      </c>
      <c r="I365" t="s">
        <v>37</v>
      </c>
      <c r="J365" t="s">
        <v>775</v>
      </c>
      <c r="K365" t="s">
        <v>230</v>
      </c>
      <c r="L365" t="s">
        <v>226</v>
      </c>
      <c r="M365" t="s">
        <v>422</v>
      </c>
      <c r="N365" t="s">
        <v>2457</v>
      </c>
      <c r="O365" t="s">
        <v>2458</v>
      </c>
      <c r="S365">
        <v>0</v>
      </c>
      <c r="T365">
        <v>16</v>
      </c>
      <c r="U365">
        <v>0</v>
      </c>
      <c r="V365">
        <v>16</v>
      </c>
      <c r="W365">
        <v>16</v>
      </c>
      <c r="X365">
        <v>0</v>
      </c>
      <c r="Y365">
        <v>0</v>
      </c>
      <c r="Z365">
        <v>0</v>
      </c>
      <c r="AB365" s="5">
        <v>43308.333333333336</v>
      </c>
      <c r="AC365" s="5">
        <v>43322.666666666664</v>
      </c>
      <c r="AD365" s="5">
        <v>43970.333333333336</v>
      </c>
      <c r="AE365" s="5">
        <v>43970.333333333336</v>
      </c>
      <c r="AG365" s="5">
        <v>44044</v>
      </c>
      <c r="AH365" s="5">
        <v>44044</v>
      </c>
      <c r="AK365" s="5">
        <v>43325.333333333336</v>
      </c>
      <c r="AL365" s="5">
        <v>43327.666666666664</v>
      </c>
      <c r="AP365" t="s">
        <v>418</v>
      </c>
      <c r="AU365" t="s">
        <v>2459</v>
      </c>
      <c r="AV365" t="s">
        <v>2460</v>
      </c>
      <c r="AY365" t="s">
        <v>40</v>
      </c>
      <c r="AZ365">
        <v>16</v>
      </c>
      <c r="BA365">
        <v>0</v>
      </c>
      <c r="BI365" s="5">
        <v>44048.176388888889</v>
      </c>
      <c r="BJ365" s="5">
        <v>44048.176388888889</v>
      </c>
      <c r="BK365" t="s">
        <v>778</v>
      </c>
      <c r="BL365" t="s">
        <v>778</v>
      </c>
      <c r="BN365" t="s">
        <v>37</v>
      </c>
    </row>
    <row r="366" spans="1:66" x14ac:dyDescent="0.2">
      <c r="A366">
        <v>3692923</v>
      </c>
      <c r="B366">
        <v>21883</v>
      </c>
      <c r="C366">
        <v>523888</v>
      </c>
      <c r="D366">
        <v>52895</v>
      </c>
      <c r="E366">
        <v>100</v>
      </c>
      <c r="F366" t="s">
        <v>37</v>
      </c>
      <c r="G366">
        <v>1</v>
      </c>
      <c r="H366" t="s">
        <v>37</v>
      </c>
      <c r="I366" t="s">
        <v>37</v>
      </c>
      <c r="J366" t="s">
        <v>775</v>
      </c>
      <c r="K366" t="s">
        <v>230</v>
      </c>
      <c r="L366" t="s">
        <v>226</v>
      </c>
      <c r="M366" t="s">
        <v>422</v>
      </c>
      <c r="N366" t="s">
        <v>2461</v>
      </c>
      <c r="O366" t="s">
        <v>2462</v>
      </c>
      <c r="S366">
        <v>0</v>
      </c>
      <c r="T366">
        <v>0</v>
      </c>
      <c r="U366">
        <v>0</v>
      </c>
      <c r="V366">
        <v>0</v>
      </c>
      <c r="W366">
        <v>24</v>
      </c>
      <c r="X366">
        <v>0</v>
      </c>
      <c r="Y366">
        <v>0</v>
      </c>
      <c r="Z366">
        <v>0</v>
      </c>
      <c r="AB366" s="5">
        <v>43337.333333333336</v>
      </c>
      <c r="AC366" s="5">
        <v>43340.666666666664</v>
      </c>
      <c r="AD366" s="5">
        <v>43970.333333333336</v>
      </c>
      <c r="AE366" s="5">
        <v>43970.333333333336</v>
      </c>
      <c r="AG366" s="5">
        <v>44044</v>
      </c>
      <c r="AH366" s="5">
        <v>44044</v>
      </c>
      <c r="AK366" s="5">
        <v>43344.333333333336</v>
      </c>
      <c r="AL366" s="5">
        <v>43346.666666666664</v>
      </c>
      <c r="AP366" t="s">
        <v>418</v>
      </c>
      <c r="AU366" t="s">
        <v>2463</v>
      </c>
      <c r="AV366" t="s">
        <v>2464</v>
      </c>
      <c r="AY366" t="s">
        <v>40</v>
      </c>
      <c r="AZ366">
        <v>0</v>
      </c>
      <c r="BA366">
        <v>0</v>
      </c>
      <c r="BI366" s="5">
        <v>44048.176388888889</v>
      </c>
      <c r="BJ366" s="5">
        <v>44048.176388888889</v>
      </c>
      <c r="BK366" t="s">
        <v>778</v>
      </c>
      <c r="BL366" t="s">
        <v>778</v>
      </c>
      <c r="BN366" t="s">
        <v>37</v>
      </c>
    </row>
    <row r="367" spans="1:66" x14ac:dyDescent="0.2">
      <c r="A367">
        <v>3692924</v>
      </c>
      <c r="B367">
        <v>21883</v>
      </c>
      <c r="C367">
        <v>523888</v>
      </c>
      <c r="D367">
        <v>52899</v>
      </c>
      <c r="E367">
        <v>100</v>
      </c>
      <c r="F367" t="s">
        <v>37</v>
      </c>
      <c r="G367">
        <v>1</v>
      </c>
      <c r="H367" t="s">
        <v>37</v>
      </c>
      <c r="I367" t="s">
        <v>37</v>
      </c>
      <c r="J367" t="s">
        <v>775</v>
      </c>
      <c r="K367" t="s">
        <v>230</v>
      </c>
      <c r="L367" t="s">
        <v>226</v>
      </c>
      <c r="M367" t="s">
        <v>422</v>
      </c>
      <c r="N367" t="s">
        <v>2465</v>
      </c>
      <c r="O367" t="s">
        <v>2466</v>
      </c>
      <c r="S367">
        <v>0</v>
      </c>
      <c r="T367">
        <v>16</v>
      </c>
      <c r="U367">
        <v>0</v>
      </c>
      <c r="V367">
        <v>16</v>
      </c>
      <c r="W367">
        <v>16</v>
      </c>
      <c r="X367">
        <v>0</v>
      </c>
      <c r="Y367">
        <v>0</v>
      </c>
      <c r="Z367">
        <v>0</v>
      </c>
      <c r="AB367" s="5">
        <v>43329.333333333336</v>
      </c>
      <c r="AC367" s="5">
        <v>43335.666666666664</v>
      </c>
      <c r="AD367" s="5">
        <v>43970.333333333336</v>
      </c>
      <c r="AE367" s="5">
        <v>43970.333333333336</v>
      </c>
      <c r="AG367" s="5">
        <v>44044</v>
      </c>
      <c r="AH367" s="5">
        <v>44044</v>
      </c>
      <c r="AK367" s="5">
        <v>43328.333333333336</v>
      </c>
      <c r="AL367" s="5">
        <v>43329.666666666664</v>
      </c>
      <c r="AP367" t="s">
        <v>418</v>
      </c>
      <c r="AU367" t="s">
        <v>2467</v>
      </c>
      <c r="AV367" t="s">
        <v>2468</v>
      </c>
      <c r="AY367" t="s">
        <v>40</v>
      </c>
      <c r="AZ367">
        <v>16</v>
      </c>
      <c r="BA367">
        <v>0</v>
      </c>
      <c r="BI367" s="5">
        <v>44048.176388888889</v>
      </c>
      <c r="BJ367" s="5">
        <v>44048.176388888889</v>
      </c>
      <c r="BK367" t="s">
        <v>778</v>
      </c>
      <c r="BL367" t="s">
        <v>778</v>
      </c>
      <c r="BN367" t="s">
        <v>37</v>
      </c>
    </row>
    <row r="368" spans="1:66" x14ac:dyDescent="0.2">
      <c r="A368">
        <v>3692925</v>
      </c>
      <c r="B368">
        <v>21883</v>
      </c>
      <c r="C368">
        <v>523888</v>
      </c>
      <c r="D368">
        <v>52895</v>
      </c>
      <c r="E368">
        <v>100</v>
      </c>
      <c r="F368" t="s">
        <v>37</v>
      </c>
      <c r="G368">
        <v>1</v>
      </c>
      <c r="H368" t="s">
        <v>37</v>
      </c>
      <c r="I368" t="s">
        <v>37</v>
      </c>
      <c r="J368" t="s">
        <v>775</v>
      </c>
      <c r="K368" t="s">
        <v>230</v>
      </c>
      <c r="L368" t="s">
        <v>226</v>
      </c>
      <c r="M368" t="s">
        <v>422</v>
      </c>
      <c r="N368" t="s">
        <v>2469</v>
      </c>
      <c r="O368" t="s">
        <v>2470</v>
      </c>
      <c r="S368">
        <v>0</v>
      </c>
      <c r="T368">
        <v>0</v>
      </c>
      <c r="U368">
        <v>0</v>
      </c>
      <c r="V368">
        <v>0</v>
      </c>
      <c r="W368">
        <v>8</v>
      </c>
      <c r="X368">
        <v>0</v>
      </c>
      <c r="Y368">
        <v>0</v>
      </c>
      <c r="Z368">
        <v>0</v>
      </c>
      <c r="AB368" s="5">
        <v>43325.333333333336</v>
      </c>
      <c r="AC368" s="5">
        <v>43327.666666666664</v>
      </c>
      <c r="AD368" s="5">
        <v>43970.333333333336</v>
      </c>
      <c r="AE368" s="5">
        <v>43970.333333333336</v>
      </c>
      <c r="AG368" s="5">
        <v>44044</v>
      </c>
      <c r="AH368" s="5">
        <v>44044</v>
      </c>
      <c r="AK368" s="5">
        <v>43320.333333333336</v>
      </c>
      <c r="AL368" s="5">
        <v>43320.666666666664</v>
      </c>
      <c r="AP368" t="s">
        <v>418</v>
      </c>
      <c r="AU368" t="s">
        <v>2471</v>
      </c>
      <c r="AV368" t="s">
        <v>2472</v>
      </c>
      <c r="AY368" t="s">
        <v>40</v>
      </c>
      <c r="AZ368">
        <v>0</v>
      </c>
      <c r="BA368">
        <v>0</v>
      </c>
      <c r="BI368" s="5">
        <v>44048.176388888889</v>
      </c>
      <c r="BJ368" s="5">
        <v>44048.176388888889</v>
      </c>
      <c r="BK368" t="s">
        <v>778</v>
      </c>
      <c r="BL368" t="s">
        <v>778</v>
      </c>
      <c r="BN368" t="s">
        <v>37</v>
      </c>
    </row>
    <row r="369" spans="1:66" x14ac:dyDescent="0.2">
      <c r="A369">
        <v>3692926</v>
      </c>
      <c r="B369">
        <v>21883</v>
      </c>
      <c r="C369">
        <v>523887</v>
      </c>
      <c r="D369">
        <v>52899</v>
      </c>
      <c r="E369">
        <v>100</v>
      </c>
      <c r="F369" t="s">
        <v>37</v>
      </c>
      <c r="G369">
        <v>1</v>
      </c>
      <c r="H369" t="s">
        <v>37</v>
      </c>
      <c r="I369" t="s">
        <v>37</v>
      </c>
      <c r="J369" t="s">
        <v>775</v>
      </c>
      <c r="K369" t="s">
        <v>230</v>
      </c>
      <c r="L369" t="s">
        <v>226</v>
      </c>
      <c r="M369" t="s">
        <v>422</v>
      </c>
      <c r="N369" t="s">
        <v>2473</v>
      </c>
      <c r="O369" t="s">
        <v>2474</v>
      </c>
      <c r="S369">
        <v>0</v>
      </c>
      <c r="T369">
        <v>64</v>
      </c>
      <c r="U369">
        <v>0</v>
      </c>
      <c r="V369">
        <v>64</v>
      </c>
      <c r="W369">
        <v>80</v>
      </c>
      <c r="X369">
        <v>0</v>
      </c>
      <c r="Y369">
        <v>0</v>
      </c>
      <c r="Z369">
        <v>0</v>
      </c>
      <c r="AB369" s="5">
        <v>43304.333333333336</v>
      </c>
      <c r="AC369" s="5">
        <v>43312.666666666664</v>
      </c>
      <c r="AD369" s="5">
        <v>43970.333333333336</v>
      </c>
      <c r="AE369" s="5">
        <v>43970.333333333336</v>
      </c>
      <c r="AG369" s="5">
        <v>44044</v>
      </c>
      <c r="AH369" s="5">
        <v>44044</v>
      </c>
      <c r="AK369" s="5">
        <v>43305.333333333336</v>
      </c>
      <c r="AL369" s="5">
        <v>43320.666666666664</v>
      </c>
      <c r="AP369" t="s">
        <v>418</v>
      </c>
      <c r="AU369" t="s">
        <v>2475</v>
      </c>
      <c r="AV369" t="s">
        <v>2476</v>
      </c>
      <c r="AY369" t="s">
        <v>40</v>
      </c>
      <c r="AZ369">
        <v>64</v>
      </c>
      <c r="BA369">
        <v>0</v>
      </c>
      <c r="BI369" s="5">
        <v>44048.176388888889</v>
      </c>
      <c r="BJ369" s="5">
        <v>44048.176388888889</v>
      </c>
      <c r="BK369" t="s">
        <v>778</v>
      </c>
      <c r="BL369" t="s">
        <v>778</v>
      </c>
      <c r="BN369" t="s">
        <v>37</v>
      </c>
    </row>
    <row r="370" spans="1:66" x14ac:dyDescent="0.2">
      <c r="A370">
        <v>3692927</v>
      </c>
      <c r="B370">
        <v>21883</v>
      </c>
      <c r="C370">
        <v>523887</v>
      </c>
      <c r="D370">
        <v>52899</v>
      </c>
      <c r="E370">
        <v>100</v>
      </c>
      <c r="F370" t="s">
        <v>37</v>
      </c>
      <c r="G370">
        <v>1</v>
      </c>
      <c r="H370" t="s">
        <v>37</v>
      </c>
      <c r="I370" t="s">
        <v>37</v>
      </c>
      <c r="J370" t="s">
        <v>775</v>
      </c>
      <c r="K370" t="s">
        <v>230</v>
      </c>
      <c r="L370" t="s">
        <v>226</v>
      </c>
      <c r="M370" t="s">
        <v>422</v>
      </c>
      <c r="N370" t="s">
        <v>2477</v>
      </c>
      <c r="O370" t="s">
        <v>2478</v>
      </c>
      <c r="S370">
        <v>0</v>
      </c>
      <c r="T370">
        <v>0</v>
      </c>
      <c r="U370">
        <v>0</v>
      </c>
      <c r="V370">
        <v>0</v>
      </c>
      <c r="W370">
        <v>16</v>
      </c>
      <c r="X370">
        <v>0</v>
      </c>
      <c r="Y370">
        <v>0</v>
      </c>
      <c r="Z370">
        <v>0</v>
      </c>
      <c r="AB370" s="5">
        <v>43369.333333333336</v>
      </c>
      <c r="AC370" s="5">
        <v>43372.666666666664</v>
      </c>
      <c r="AD370" s="5">
        <v>43970.333333333336</v>
      </c>
      <c r="AE370" s="5">
        <v>43970.333333333336</v>
      </c>
      <c r="AG370" s="5">
        <v>44044</v>
      </c>
      <c r="AH370" s="5">
        <v>44044</v>
      </c>
      <c r="AK370" s="5">
        <v>43354.333333333336</v>
      </c>
      <c r="AL370" s="5">
        <v>43355.666666666664</v>
      </c>
      <c r="AP370" t="s">
        <v>418</v>
      </c>
      <c r="AU370" t="s">
        <v>2479</v>
      </c>
      <c r="AV370" t="s">
        <v>2480</v>
      </c>
      <c r="AY370" t="s">
        <v>40</v>
      </c>
      <c r="AZ370">
        <v>0</v>
      </c>
      <c r="BA370">
        <v>0</v>
      </c>
      <c r="BI370" s="5">
        <v>44048.176388888889</v>
      </c>
      <c r="BJ370" s="5">
        <v>44048.176388888889</v>
      </c>
      <c r="BK370" t="s">
        <v>778</v>
      </c>
      <c r="BL370" t="s">
        <v>778</v>
      </c>
      <c r="BN370" t="s">
        <v>37</v>
      </c>
    </row>
    <row r="371" spans="1:66" x14ac:dyDescent="0.2">
      <c r="A371">
        <v>3692928</v>
      </c>
      <c r="B371">
        <v>21883</v>
      </c>
      <c r="C371">
        <v>523887</v>
      </c>
      <c r="D371">
        <v>52895</v>
      </c>
      <c r="E371">
        <v>100</v>
      </c>
      <c r="F371" t="s">
        <v>37</v>
      </c>
      <c r="G371">
        <v>1</v>
      </c>
      <c r="H371" t="s">
        <v>37</v>
      </c>
      <c r="I371" t="s">
        <v>37</v>
      </c>
      <c r="J371" t="s">
        <v>775</v>
      </c>
      <c r="K371" t="s">
        <v>230</v>
      </c>
      <c r="L371" t="s">
        <v>226</v>
      </c>
      <c r="M371" t="s">
        <v>422</v>
      </c>
      <c r="N371" t="s">
        <v>2481</v>
      </c>
      <c r="O371" t="s">
        <v>2482</v>
      </c>
      <c r="S371">
        <v>0</v>
      </c>
      <c r="T371">
        <v>0</v>
      </c>
      <c r="U371">
        <v>0</v>
      </c>
      <c r="V371">
        <v>0</v>
      </c>
      <c r="W371">
        <v>24</v>
      </c>
      <c r="X371">
        <v>0</v>
      </c>
      <c r="Y371">
        <v>0</v>
      </c>
      <c r="Z371">
        <v>0</v>
      </c>
      <c r="AB371" s="5">
        <v>43409</v>
      </c>
      <c r="AC371" s="5">
        <v>43412</v>
      </c>
      <c r="AD371" s="5">
        <v>43970.333333333336</v>
      </c>
      <c r="AE371" s="5">
        <v>43970.333333333336</v>
      </c>
      <c r="AG371" s="5">
        <v>44044</v>
      </c>
      <c r="AH371" s="5">
        <v>44044</v>
      </c>
      <c r="AK371" s="5">
        <v>43435.333333333336</v>
      </c>
      <c r="AL371" s="5">
        <v>43437.666666666664</v>
      </c>
      <c r="AP371" t="s">
        <v>418</v>
      </c>
      <c r="AU371" t="s">
        <v>2483</v>
      </c>
      <c r="AV371" t="s">
        <v>2484</v>
      </c>
      <c r="AY371" t="s">
        <v>40</v>
      </c>
      <c r="AZ371">
        <v>0</v>
      </c>
      <c r="BA371">
        <v>0</v>
      </c>
      <c r="BI371" s="5">
        <v>44048.176388888889</v>
      </c>
      <c r="BJ371" s="5">
        <v>44048.176388888889</v>
      </c>
      <c r="BK371" t="s">
        <v>778</v>
      </c>
      <c r="BL371" t="s">
        <v>778</v>
      </c>
      <c r="BN371" t="s">
        <v>37</v>
      </c>
    </row>
    <row r="372" spans="1:66" x14ac:dyDescent="0.2">
      <c r="A372">
        <v>3692929</v>
      </c>
      <c r="B372">
        <v>21883</v>
      </c>
      <c r="C372">
        <v>523887</v>
      </c>
      <c r="D372">
        <v>52899</v>
      </c>
      <c r="E372">
        <v>100</v>
      </c>
      <c r="F372" t="s">
        <v>37</v>
      </c>
      <c r="G372">
        <v>1</v>
      </c>
      <c r="H372" t="s">
        <v>37</v>
      </c>
      <c r="I372" t="s">
        <v>37</v>
      </c>
      <c r="J372" t="s">
        <v>775</v>
      </c>
      <c r="K372" t="s">
        <v>230</v>
      </c>
      <c r="L372" t="s">
        <v>226</v>
      </c>
      <c r="M372" t="s">
        <v>422</v>
      </c>
      <c r="N372" t="s">
        <v>2485</v>
      </c>
      <c r="O372" t="s">
        <v>2486</v>
      </c>
      <c r="S372">
        <v>0</v>
      </c>
      <c r="T372">
        <v>16</v>
      </c>
      <c r="U372">
        <v>0</v>
      </c>
      <c r="V372">
        <v>16</v>
      </c>
      <c r="W372">
        <v>16</v>
      </c>
      <c r="X372">
        <v>0</v>
      </c>
      <c r="Y372">
        <v>0</v>
      </c>
      <c r="Z372">
        <v>0</v>
      </c>
      <c r="AB372" s="5">
        <v>43407</v>
      </c>
      <c r="AC372" s="5">
        <v>43408</v>
      </c>
      <c r="AD372" s="5">
        <v>43970.333333333336</v>
      </c>
      <c r="AE372" s="5">
        <v>43970.333333333336</v>
      </c>
      <c r="AG372" s="5">
        <v>44044</v>
      </c>
      <c r="AH372" s="5">
        <v>44044</v>
      </c>
      <c r="AK372" s="5">
        <v>43437.333333333336</v>
      </c>
      <c r="AL372" s="5">
        <v>43438.666666666664</v>
      </c>
      <c r="AP372" t="s">
        <v>418</v>
      </c>
      <c r="AU372" t="s">
        <v>2487</v>
      </c>
      <c r="AV372" t="e" cm="1">
        <f t="array" ref="AV372">+nLCcL2MNEmJX5EZuQZTlQ</f>
        <v>#NAME?</v>
      </c>
      <c r="AY372" t="s">
        <v>40</v>
      </c>
      <c r="AZ372">
        <v>16</v>
      </c>
      <c r="BA372">
        <v>0</v>
      </c>
      <c r="BI372" s="5">
        <v>44048.176388888889</v>
      </c>
      <c r="BJ372" s="5">
        <v>44048.176388888889</v>
      </c>
      <c r="BK372" t="s">
        <v>778</v>
      </c>
      <c r="BL372" t="s">
        <v>778</v>
      </c>
      <c r="BN372" t="s">
        <v>37</v>
      </c>
    </row>
    <row r="373" spans="1:66" x14ac:dyDescent="0.2">
      <c r="A373">
        <v>3692930</v>
      </c>
      <c r="B373">
        <v>21883</v>
      </c>
      <c r="C373">
        <v>523887</v>
      </c>
      <c r="D373">
        <v>52895</v>
      </c>
      <c r="E373">
        <v>100</v>
      </c>
      <c r="F373" t="s">
        <v>37</v>
      </c>
      <c r="G373">
        <v>1</v>
      </c>
      <c r="H373" t="s">
        <v>37</v>
      </c>
      <c r="I373" t="s">
        <v>37</v>
      </c>
      <c r="J373" t="s">
        <v>775</v>
      </c>
      <c r="K373" t="s">
        <v>230</v>
      </c>
      <c r="L373" t="s">
        <v>226</v>
      </c>
      <c r="M373" t="s">
        <v>422</v>
      </c>
      <c r="N373" t="s">
        <v>2488</v>
      </c>
      <c r="O373" t="s">
        <v>2489</v>
      </c>
      <c r="S373">
        <v>0</v>
      </c>
      <c r="T373">
        <v>0</v>
      </c>
      <c r="U373">
        <v>0</v>
      </c>
      <c r="V373">
        <v>0</v>
      </c>
      <c r="W373">
        <v>8</v>
      </c>
      <c r="X373">
        <v>0</v>
      </c>
      <c r="Y373">
        <v>0</v>
      </c>
      <c r="Z373">
        <v>0</v>
      </c>
      <c r="AB373" s="5">
        <v>43374</v>
      </c>
      <c r="AC373" s="5">
        <v>43376</v>
      </c>
      <c r="AD373" s="5">
        <v>43970.333333333336</v>
      </c>
      <c r="AE373" s="5">
        <v>43970.333333333336</v>
      </c>
      <c r="AG373" s="5">
        <v>44044</v>
      </c>
      <c r="AH373" s="5">
        <v>44044</v>
      </c>
      <c r="AK373" s="5">
        <v>43374.333333333336</v>
      </c>
      <c r="AL373" s="5">
        <v>43374.666666666664</v>
      </c>
      <c r="AP373" t="s">
        <v>418</v>
      </c>
      <c r="AU373" t="s">
        <v>2490</v>
      </c>
      <c r="AV373" t="s">
        <v>2491</v>
      </c>
      <c r="AY373" t="s">
        <v>40</v>
      </c>
      <c r="AZ373">
        <v>0</v>
      </c>
      <c r="BA373">
        <v>0</v>
      </c>
      <c r="BI373" s="5">
        <v>44048.176388888889</v>
      </c>
      <c r="BJ373" s="5">
        <v>44048.176388888889</v>
      </c>
      <c r="BK373" t="s">
        <v>778</v>
      </c>
      <c r="BL373" t="s">
        <v>778</v>
      </c>
      <c r="BN373" t="s">
        <v>37</v>
      </c>
    </row>
    <row r="374" spans="1:66" x14ac:dyDescent="0.2">
      <c r="A374">
        <v>3692931</v>
      </c>
      <c r="B374">
        <v>21883</v>
      </c>
      <c r="C374">
        <v>523886</v>
      </c>
      <c r="D374">
        <v>52899</v>
      </c>
      <c r="E374">
        <v>100</v>
      </c>
      <c r="F374" t="s">
        <v>37</v>
      </c>
      <c r="G374">
        <v>1</v>
      </c>
      <c r="H374" t="s">
        <v>37</v>
      </c>
      <c r="I374" t="s">
        <v>37</v>
      </c>
      <c r="J374" t="s">
        <v>775</v>
      </c>
      <c r="K374" t="s">
        <v>230</v>
      </c>
      <c r="L374" t="s">
        <v>226</v>
      </c>
      <c r="M374" t="s">
        <v>422</v>
      </c>
      <c r="N374" t="s">
        <v>2492</v>
      </c>
      <c r="O374" t="s">
        <v>2493</v>
      </c>
      <c r="S374">
        <v>0</v>
      </c>
      <c r="T374">
        <v>0</v>
      </c>
      <c r="U374">
        <v>0</v>
      </c>
      <c r="V374">
        <v>0</v>
      </c>
      <c r="W374">
        <v>80</v>
      </c>
      <c r="X374">
        <v>0</v>
      </c>
      <c r="Y374">
        <v>0</v>
      </c>
      <c r="Z374">
        <v>0</v>
      </c>
      <c r="AB374" s="5">
        <v>43347.333333333336</v>
      </c>
      <c r="AC374" s="5">
        <v>43368.666666666664</v>
      </c>
      <c r="AD374" s="5">
        <v>43970.333333333336</v>
      </c>
      <c r="AE374" s="5">
        <v>43970.333333333336</v>
      </c>
      <c r="AG374" s="5">
        <v>44044</v>
      </c>
      <c r="AH374" s="5">
        <v>44044</v>
      </c>
      <c r="AK374" s="5">
        <v>43348.333333333336</v>
      </c>
      <c r="AL374" s="5">
        <v>43363.666666666664</v>
      </c>
      <c r="AP374" t="s">
        <v>418</v>
      </c>
      <c r="AU374" t="s">
        <v>2494</v>
      </c>
      <c r="AV374" t="s">
        <v>2495</v>
      </c>
      <c r="AY374" t="s">
        <v>40</v>
      </c>
      <c r="AZ374">
        <v>0</v>
      </c>
      <c r="BA374">
        <v>0</v>
      </c>
      <c r="BI374" s="5">
        <v>44048.176388888889</v>
      </c>
      <c r="BJ374" s="5">
        <v>44048.176388888889</v>
      </c>
      <c r="BK374" t="s">
        <v>778</v>
      </c>
      <c r="BL374" t="s">
        <v>778</v>
      </c>
      <c r="BN374" t="s">
        <v>37</v>
      </c>
    </row>
    <row r="375" spans="1:66" x14ac:dyDescent="0.2">
      <c r="A375">
        <v>3692932</v>
      </c>
      <c r="B375">
        <v>21883</v>
      </c>
      <c r="C375">
        <v>523886</v>
      </c>
      <c r="D375">
        <v>52895</v>
      </c>
      <c r="E375">
        <v>100</v>
      </c>
      <c r="F375" t="s">
        <v>37</v>
      </c>
      <c r="G375">
        <v>1</v>
      </c>
      <c r="H375" t="s">
        <v>37</v>
      </c>
      <c r="I375" t="s">
        <v>37</v>
      </c>
      <c r="J375" t="s">
        <v>775</v>
      </c>
      <c r="K375" t="s">
        <v>230</v>
      </c>
      <c r="L375" t="s">
        <v>226</v>
      </c>
      <c r="M375" t="s">
        <v>422</v>
      </c>
      <c r="N375" t="s">
        <v>2496</v>
      </c>
      <c r="O375" t="s">
        <v>2497</v>
      </c>
      <c r="S375">
        <v>0</v>
      </c>
      <c r="T375">
        <v>0</v>
      </c>
      <c r="U375">
        <v>0</v>
      </c>
      <c r="V375">
        <v>0</v>
      </c>
      <c r="W375">
        <v>24</v>
      </c>
      <c r="X375">
        <v>0</v>
      </c>
      <c r="Y375">
        <v>0</v>
      </c>
      <c r="Z375">
        <v>0</v>
      </c>
      <c r="AB375" s="5">
        <v>43390</v>
      </c>
      <c r="AC375" s="5">
        <v>43392</v>
      </c>
      <c r="AD375" s="5">
        <v>43970.333333333336</v>
      </c>
      <c r="AE375" s="5">
        <v>43970.333333333336</v>
      </c>
      <c r="AG375" s="5">
        <v>44044</v>
      </c>
      <c r="AH375" s="5">
        <v>44044</v>
      </c>
      <c r="AK375" s="5">
        <v>43420.333333333336</v>
      </c>
      <c r="AL375" s="5">
        <v>43422.666666666664</v>
      </c>
      <c r="AP375" t="s">
        <v>418</v>
      </c>
      <c r="AU375" t="s">
        <v>2498</v>
      </c>
      <c r="AV375" t="s">
        <v>2499</v>
      </c>
      <c r="AY375" t="s">
        <v>40</v>
      </c>
      <c r="AZ375">
        <v>0</v>
      </c>
      <c r="BA375">
        <v>0</v>
      </c>
      <c r="BI375" s="5">
        <v>44048.176388888889</v>
      </c>
      <c r="BJ375" s="5">
        <v>44048.176388888889</v>
      </c>
      <c r="BK375" t="s">
        <v>778</v>
      </c>
      <c r="BL375" t="s">
        <v>778</v>
      </c>
      <c r="BN375" t="s">
        <v>37</v>
      </c>
    </row>
    <row r="376" spans="1:66" x14ac:dyDescent="0.2">
      <c r="A376">
        <v>3692933</v>
      </c>
      <c r="B376">
        <v>21883</v>
      </c>
      <c r="C376">
        <v>523886</v>
      </c>
      <c r="D376">
        <v>52899</v>
      </c>
      <c r="E376">
        <v>100</v>
      </c>
      <c r="F376" t="s">
        <v>37</v>
      </c>
      <c r="G376">
        <v>1</v>
      </c>
      <c r="H376" t="s">
        <v>37</v>
      </c>
      <c r="I376" t="s">
        <v>37</v>
      </c>
      <c r="J376" t="s">
        <v>775</v>
      </c>
      <c r="K376" t="s">
        <v>230</v>
      </c>
      <c r="L376" t="s">
        <v>226</v>
      </c>
      <c r="M376" t="s">
        <v>422</v>
      </c>
      <c r="N376" t="s">
        <v>2500</v>
      </c>
      <c r="O376" t="s">
        <v>2501</v>
      </c>
      <c r="S376">
        <v>0</v>
      </c>
      <c r="T376">
        <v>16</v>
      </c>
      <c r="U376">
        <v>0</v>
      </c>
      <c r="V376">
        <v>16</v>
      </c>
      <c r="W376">
        <v>16</v>
      </c>
      <c r="X376">
        <v>0</v>
      </c>
      <c r="Y376">
        <v>0</v>
      </c>
      <c r="Z376">
        <v>0</v>
      </c>
      <c r="AB376" s="5">
        <v>43376</v>
      </c>
      <c r="AC376" s="5">
        <v>43377</v>
      </c>
      <c r="AD376" s="5">
        <v>43970.333333333336</v>
      </c>
      <c r="AE376" s="5">
        <v>43970.333333333336</v>
      </c>
      <c r="AG376" s="5">
        <v>44044</v>
      </c>
      <c r="AH376" s="5">
        <v>44044</v>
      </c>
      <c r="AK376" s="5">
        <v>43397.333333333336</v>
      </c>
      <c r="AL376" s="5">
        <v>43398.666666666664</v>
      </c>
      <c r="AP376" t="s">
        <v>418</v>
      </c>
      <c r="AU376" t="s">
        <v>2502</v>
      </c>
      <c r="AV376" t="s">
        <v>2503</v>
      </c>
      <c r="AY376" t="s">
        <v>40</v>
      </c>
      <c r="AZ376">
        <v>16</v>
      </c>
      <c r="BA376">
        <v>0</v>
      </c>
      <c r="BI376" s="5">
        <v>44048.176388888889</v>
      </c>
      <c r="BJ376" s="5">
        <v>44048.176388888889</v>
      </c>
      <c r="BK376" t="s">
        <v>778</v>
      </c>
      <c r="BL376" t="s">
        <v>778</v>
      </c>
      <c r="BN376" t="s">
        <v>37</v>
      </c>
    </row>
    <row r="377" spans="1:66" x14ac:dyDescent="0.2">
      <c r="A377">
        <v>3692934</v>
      </c>
      <c r="B377">
        <v>21883</v>
      </c>
      <c r="C377">
        <v>523886</v>
      </c>
      <c r="D377">
        <v>52899</v>
      </c>
      <c r="E377">
        <v>100</v>
      </c>
      <c r="F377" t="s">
        <v>37</v>
      </c>
      <c r="G377">
        <v>1</v>
      </c>
      <c r="H377" t="s">
        <v>37</v>
      </c>
      <c r="I377" t="s">
        <v>37</v>
      </c>
      <c r="J377" t="s">
        <v>775</v>
      </c>
      <c r="K377" t="s">
        <v>230</v>
      </c>
      <c r="L377" t="s">
        <v>226</v>
      </c>
      <c r="M377" t="s">
        <v>422</v>
      </c>
      <c r="N377" t="s">
        <v>2504</v>
      </c>
      <c r="O377" t="s">
        <v>2505</v>
      </c>
      <c r="S377">
        <v>0</v>
      </c>
      <c r="T377">
        <v>16</v>
      </c>
      <c r="U377">
        <v>0</v>
      </c>
      <c r="V377">
        <v>16</v>
      </c>
      <c r="W377">
        <v>16</v>
      </c>
      <c r="X377">
        <v>0</v>
      </c>
      <c r="Y377">
        <v>0</v>
      </c>
      <c r="Z377">
        <v>0</v>
      </c>
      <c r="AB377" s="5">
        <v>43383</v>
      </c>
      <c r="AC377" s="5">
        <v>43389</v>
      </c>
      <c r="AD377" s="5">
        <v>43970.333333333336</v>
      </c>
      <c r="AE377" s="5">
        <v>43970.333333333336</v>
      </c>
      <c r="AG377" s="5">
        <v>44044</v>
      </c>
      <c r="AH377" s="5">
        <v>44044</v>
      </c>
      <c r="AK377" s="5">
        <v>43406.333333333336</v>
      </c>
      <c r="AL377" s="5">
        <v>43409.666666666664</v>
      </c>
      <c r="AP377" t="s">
        <v>418</v>
      </c>
      <c r="AU377" t="s">
        <v>2506</v>
      </c>
      <c r="AV377" t="s">
        <v>2507</v>
      </c>
      <c r="AY377" t="s">
        <v>40</v>
      </c>
      <c r="AZ377">
        <v>16</v>
      </c>
      <c r="BA377">
        <v>0</v>
      </c>
      <c r="BI377" s="5">
        <v>44048.176388888889</v>
      </c>
      <c r="BJ377" s="5">
        <v>44048.176388888889</v>
      </c>
      <c r="BK377" t="s">
        <v>778</v>
      </c>
      <c r="BL377" t="s">
        <v>778</v>
      </c>
      <c r="BN377" t="s">
        <v>37</v>
      </c>
    </row>
    <row r="378" spans="1:66" x14ac:dyDescent="0.2">
      <c r="A378">
        <v>3692935</v>
      </c>
      <c r="B378">
        <v>21883</v>
      </c>
      <c r="C378">
        <v>523886</v>
      </c>
      <c r="D378">
        <v>52895</v>
      </c>
      <c r="E378">
        <v>100</v>
      </c>
      <c r="F378" t="s">
        <v>37</v>
      </c>
      <c r="G378">
        <v>1</v>
      </c>
      <c r="H378" t="s">
        <v>37</v>
      </c>
      <c r="I378" t="s">
        <v>37</v>
      </c>
      <c r="J378" t="s">
        <v>775</v>
      </c>
      <c r="K378" t="s">
        <v>230</v>
      </c>
      <c r="L378" t="s">
        <v>226</v>
      </c>
      <c r="M378" t="s">
        <v>422</v>
      </c>
      <c r="N378" t="s">
        <v>2508</v>
      </c>
      <c r="O378" t="s">
        <v>2509</v>
      </c>
      <c r="S378">
        <v>0</v>
      </c>
      <c r="T378">
        <v>0</v>
      </c>
      <c r="U378">
        <v>0</v>
      </c>
      <c r="V378">
        <v>0</v>
      </c>
      <c r="W378">
        <v>8</v>
      </c>
      <c r="X378">
        <v>0</v>
      </c>
      <c r="Y378">
        <v>0</v>
      </c>
      <c r="Z378">
        <v>0</v>
      </c>
      <c r="AB378" s="5">
        <v>43378</v>
      </c>
      <c r="AC378" s="5">
        <v>43381</v>
      </c>
      <c r="AD378" s="5">
        <v>43970.333333333336</v>
      </c>
      <c r="AE378" s="5">
        <v>43970.333333333336</v>
      </c>
      <c r="AG378" s="5">
        <v>44044</v>
      </c>
      <c r="AH378" s="5">
        <v>44044</v>
      </c>
      <c r="AK378" s="5">
        <v>43396.333333333336</v>
      </c>
      <c r="AL378" s="5">
        <v>43396.666666666664</v>
      </c>
      <c r="AP378" t="s">
        <v>418</v>
      </c>
      <c r="AU378" t="s">
        <v>2510</v>
      </c>
      <c r="AV378" t="s">
        <v>2511</v>
      </c>
      <c r="AY378" t="s">
        <v>40</v>
      </c>
      <c r="AZ378">
        <v>0</v>
      </c>
      <c r="BA378">
        <v>0</v>
      </c>
      <c r="BI378" s="5">
        <v>44048.176388888889</v>
      </c>
      <c r="BJ378" s="5">
        <v>44048.176388888889</v>
      </c>
      <c r="BK378" t="s">
        <v>778</v>
      </c>
      <c r="BL378" t="s">
        <v>778</v>
      </c>
      <c r="BN378" t="s">
        <v>37</v>
      </c>
    </row>
    <row r="379" spans="1:66" x14ac:dyDescent="0.2">
      <c r="A379">
        <v>3692936</v>
      </c>
      <c r="B379">
        <v>21883</v>
      </c>
      <c r="C379">
        <v>523894</v>
      </c>
      <c r="D379">
        <v>52899</v>
      </c>
      <c r="E379">
        <v>100</v>
      </c>
      <c r="F379" t="s">
        <v>37</v>
      </c>
      <c r="G379">
        <v>1</v>
      </c>
      <c r="H379" t="s">
        <v>37</v>
      </c>
      <c r="I379" t="s">
        <v>37</v>
      </c>
      <c r="J379" t="s">
        <v>775</v>
      </c>
      <c r="K379" t="s">
        <v>230</v>
      </c>
      <c r="L379" t="s">
        <v>226</v>
      </c>
      <c r="M379" t="s">
        <v>422</v>
      </c>
      <c r="N379" t="s">
        <v>2512</v>
      </c>
      <c r="O379" t="s">
        <v>2513</v>
      </c>
      <c r="S379">
        <v>0</v>
      </c>
      <c r="T379">
        <v>16</v>
      </c>
      <c r="U379">
        <v>0</v>
      </c>
      <c r="V379">
        <v>16</v>
      </c>
      <c r="W379">
        <v>16</v>
      </c>
      <c r="X379">
        <v>0</v>
      </c>
      <c r="Y379">
        <v>0</v>
      </c>
      <c r="Z379">
        <v>0</v>
      </c>
      <c r="AB379" s="5">
        <v>43327</v>
      </c>
      <c r="AC379" s="5">
        <v>43327.666666666664</v>
      </c>
      <c r="AD379" s="5">
        <v>43970.333333333336</v>
      </c>
      <c r="AE379" s="5">
        <v>43970.333333333336</v>
      </c>
      <c r="AG379" s="5">
        <v>44044</v>
      </c>
      <c r="AH379" s="5">
        <v>44044</v>
      </c>
      <c r="AK379" s="5">
        <v>43347.333333333336</v>
      </c>
      <c r="AL379" s="5">
        <v>43348.666666666664</v>
      </c>
      <c r="AP379" t="s">
        <v>418</v>
      </c>
      <c r="AU379" t="s">
        <v>2514</v>
      </c>
      <c r="AV379" t="s">
        <v>2515</v>
      </c>
      <c r="AY379" t="s">
        <v>40</v>
      </c>
      <c r="AZ379">
        <v>16</v>
      </c>
      <c r="BA379">
        <v>0</v>
      </c>
      <c r="BI379" s="5">
        <v>44048.176388888889</v>
      </c>
      <c r="BJ379" s="5">
        <v>44048.176388888889</v>
      </c>
      <c r="BK379" t="s">
        <v>778</v>
      </c>
      <c r="BL379" t="s">
        <v>778</v>
      </c>
      <c r="BN379" t="s">
        <v>37</v>
      </c>
    </row>
    <row r="380" spans="1:66" x14ac:dyDescent="0.2">
      <c r="A380">
        <v>3692937</v>
      </c>
      <c r="B380">
        <v>21883</v>
      </c>
      <c r="C380">
        <v>523894</v>
      </c>
      <c r="D380">
        <v>52899</v>
      </c>
      <c r="E380">
        <v>100</v>
      </c>
      <c r="F380" t="s">
        <v>37</v>
      </c>
      <c r="G380">
        <v>1</v>
      </c>
      <c r="H380" t="s">
        <v>37</v>
      </c>
      <c r="I380" t="s">
        <v>37</v>
      </c>
      <c r="J380" t="s">
        <v>775</v>
      </c>
      <c r="K380" t="s">
        <v>230</v>
      </c>
      <c r="L380" t="s">
        <v>226</v>
      </c>
      <c r="M380" t="s">
        <v>422</v>
      </c>
      <c r="N380" t="s">
        <v>2516</v>
      </c>
      <c r="O380" t="s">
        <v>2517</v>
      </c>
      <c r="S380">
        <v>0</v>
      </c>
      <c r="T380">
        <v>8</v>
      </c>
      <c r="U380">
        <v>0</v>
      </c>
      <c r="V380">
        <v>8</v>
      </c>
      <c r="W380">
        <v>8</v>
      </c>
      <c r="X380">
        <v>0</v>
      </c>
      <c r="Y380">
        <v>0</v>
      </c>
      <c r="Z380">
        <v>0</v>
      </c>
      <c r="AB380" s="5">
        <v>43340</v>
      </c>
      <c r="AC380" s="5">
        <v>43340.666666666664</v>
      </c>
      <c r="AD380" s="5">
        <v>43970.333333333336</v>
      </c>
      <c r="AE380" s="5">
        <v>43970.333333333336</v>
      </c>
      <c r="AG380" s="5">
        <v>44044</v>
      </c>
      <c r="AH380" s="5">
        <v>44044</v>
      </c>
      <c r="AK380" s="5">
        <v>43362.333333333336</v>
      </c>
      <c r="AL380" s="5">
        <v>43362.666666666664</v>
      </c>
      <c r="AP380" t="s">
        <v>418</v>
      </c>
      <c r="AU380" t="s">
        <v>2518</v>
      </c>
      <c r="AV380" t="s">
        <v>2519</v>
      </c>
      <c r="AY380" t="s">
        <v>40</v>
      </c>
      <c r="AZ380">
        <v>8</v>
      </c>
      <c r="BA380">
        <v>0</v>
      </c>
      <c r="BI380" s="5">
        <v>44048.176388888889</v>
      </c>
      <c r="BJ380" s="5">
        <v>44048.176388888889</v>
      </c>
      <c r="BK380" t="s">
        <v>778</v>
      </c>
      <c r="BL380" t="s">
        <v>778</v>
      </c>
      <c r="BN380" t="s">
        <v>37</v>
      </c>
    </row>
    <row r="381" spans="1:66" x14ac:dyDescent="0.2">
      <c r="A381">
        <v>3692938</v>
      </c>
      <c r="B381">
        <v>21883</v>
      </c>
      <c r="C381">
        <v>523894</v>
      </c>
      <c r="D381">
        <v>52899</v>
      </c>
      <c r="E381">
        <v>100</v>
      </c>
      <c r="F381" t="s">
        <v>37</v>
      </c>
      <c r="G381">
        <v>1</v>
      </c>
      <c r="H381" t="s">
        <v>37</v>
      </c>
      <c r="I381" t="s">
        <v>37</v>
      </c>
      <c r="J381" t="s">
        <v>775</v>
      </c>
      <c r="K381" t="s">
        <v>230</v>
      </c>
      <c r="L381" t="s">
        <v>226</v>
      </c>
      <c r="M381" t="s">
        <v>422</v>
      </c>
      <c r="N381" t="s">
        <v>2520</v>
      </c>
      <c r="O381" t="s">
        <v>2521</v>
      </c>
      <c r="S381">
        <v>0</v>
      </c>
      <c r="T381">
        <v>0</v>
      </c>
      <c r="U381">
        <v>0</v>
      </c>
      <c r="V381">
        <v>0</v>
      </c>
      <c r="W381">
        <v>8</v>
      </c>
      <c r="X381">
        <v>0</v>
      </c>
      <c r="Y381">
        <v>0</v>
      </c>
      <c r="Z381">
        <v>0</v>
      </c>
      <c r="AB381" s="5">
        <v>43353.333333333336</v>
      </c>
      <c r="AC381" s="5">
        <v>43354.666666666664</v>
      </c>
      <c r="AD381" s="5">
        <v>43970.333333333336</v>
      </c>
      <c r="AE381" s="5">
        <v>43970.333333333336</v>
      </c>
      <c r="AG381" s="5">
        <v>44044</v>
      </c>
      <c r="AH381" s="5">
        <v>44044</v>
      </c>
      <c r="AK381" s="5">
        <v>43348.333333333336</v>
      </c>
      <c r="AL381" s="5">
        <v>43348.666666666664</v>
      </c>
      <c r="AP381" t="s">
        <v>418</v>
      </c>
      <c r="AU381" t="s">
        <v>2522</v>
      </c>
      <c r="AV381" t="s">
        <v>2523</v>
      </c>
      <c r="AY381" t="s">
        <v>40</v>
      </c>
      <c r="AZ381">
        <v>0</v>
      </c>
      <c r="BA381">
        <v>0</v>
      </c>
      <c r="BI381" s="5">
        <v>44048.176388888889</v>
      </c>
      <c r="BJ381" s="5">
        <v>44048.176388888889</v>
      </c>
      <c r="BK381" t="s">
        <v>778</v>
      </c>
      <c r="BL381" t="s">
        <v>778</v>
      </c>
      <c r="BN381" t="s">
        <v>37</v>
      </c>
    </row>
    <row r="382" spans="1:66" x14ac:dyDescent="0.2">
      <c r="A382">
        <v>3692939</v>
      </c>
      <c r="B382">
        <v>21883</v>
      </c>
      <c r="C382">
        <v>523894</v>
      </c>
      <c r="D382">
        <v>52895</v>
      </c>
      <c r="E382">
        <v>100</v>
      </c>
      <c r="F382" t="s">
        <v>37</v>
      </c>
      <c r="G382">
        <v>1</v>
      </c>
      <c r="H382" t="s">
        <v>37</v>
      </c>
      <c r="I382" t="s">
        <v>37</v>
      </c>
      <c r="J382" t="s">
        <v>775</v>
      </c>
      <c r="K382" t="s">
        <v>230</v>
      </c>
      <c r="L382" t="s">
        <v>226</v>
      </c>
      <c r="M382" t="s">
        <v>422</v>
      </c>
      <c r="N382" t="s">
        <v>2524</v>
      </c>
      <c r="O382" t="s">
        <v>2525</v>
      </c>
      <c r="S382">
        <v>0</v>
      </c>
      <c r="T382">
        <v>0</v>
      </c>
      <c r="U382">
        <v>0</v>
      </c>
      <c r="V382">
        <v>0</v>
      </c>
      <c r="W382">
        <v>24</v>
      </c>
      <c r="X382">
        <v>0</v>
      </c>
      <c r="Y382">
        <v>0</v>
      </c>
      <c r="Z382">
        <v>0</v>
      </c>
      <c r="AB382" s="5">
        <v>43369.333333333336</v>
      </c>
      <c r="AC382" s="5">
        <v>43370.666666666664</v>
      </c>
      <c r="AD382" s="5">
        <v>43970.333333333336</v>
      </c>
      <c r="AE382" s="5">
        <v>43970.333333333336</v>
      </c>
      <c r="AG382" s="5">
        <v>44044</v>
      </c>
      <c r="AH382" s="5">
        <v>44044</v>
      </c>
      <c r="AK382" s="5">
        <v>43362.333333333336</v>
      </c>
      <c r="AL382" s="5">
        <v>43364.666666666664</v>
      </c>
      <c r="AP382" t="s">
        <v>418</v>
      </c>
      <c r="AU382" t="s">
        <v>2526</v>
      </c>
      <c r="AV382" t="s">
        <v>2527</v>
      </c>
      <c r="AY382" t="s">
        <v>40</v>
      </c>
      <c r="AZ382">
        <v>0</v>
      </c>
      <c r="BA382">
        <v>0</v>
      </c>
      <c r="BI382" s="5">
        <v>44048.176388888889</v>
      </c>
      <c r="BJ382" s="5">
        <v>44048.176388888889</v>
      </c>
      <c r="BK382" t="s">
        <v>778</v>
      </c>
      <c r="BL382" t="s">
        <v>778</v>
      </c>
      <c r="BN382" t="s">
        <v>37</v>
      </c>
    </row>
    <row r="383" spans="1:66" x14ac:dyDescent="0.2">
      <c r="A383">
        <v>3692940</v>
      </c>
      <c r="B383">
        <v>21883</v>
      </c>
      <c r="C383">
        <v>523894</v>
      </c>
      <c r="D383">
        <v>52899</v>
      </c>
      <c r="E383">
        <v>100</v>
      </c>
      <c r="F383" t="s">
        <v>37</v>
      </c>
      <c r="G383">
        <v>1</v>
      </c>
      <c r="H383" t="s">
        <v>37</v>
      </c>
      <c r="I383" t="s">
        <v>37</v>
      </c>
      <c r="J383" t="s">
        <v>775</v>
      </c>
      <c r="K383" t="s">
        <v>230</v>
      </c>
      <c r="L383" t="s">
        <v>226</v>
      </c>
      <c r="M383" t="s">
        <v>422</v>
      </c>
      <c r="N383" t="s">
        <v>2528</v>
      </c>
      <c r="O383" t="s">
        <v>2529</v>
      </c>
      <c r="S383">
        <v>0</v>
      </c>
      <c r="T383">
        <v>0</v>
      </c>
      <c r="U383">
        <v>0</v>
      </c>
      <c r="V383">
        <v>0</v>
      </c>
      <c r="W383">
        <v>16</v>
      </c>
      <c r="X383">
        <v>0</v>
      </c>
      <c r="Y383">
        <v>0</v>
      </c>
      <c r="Z383">
        <v>0</v>
      </c>
      <c r="AB383" s="5">
        <v>43365.333333333336</v>
      </c>
      <c r="AC383" s="5">
        <v>43367.666666666664</v>
      </c>
      <c r="AD383" s="5">
        <v>43970.333333333336</v>
      </c>
      <c r="AE383" s="5">
        <v>43970.333333333336</v>
      </c>
      <c r="AG383" s="5">
        <v>44044</v>
      </c>
      <c r="AH383" s="5">
        <v>44044</v>
      </c>
      <c r="AK383" s="5">
        <v>43355.333333333336</v>
      </c>
      <c r="AL383" s="5">
        <v>43360.666666666664</v>
      </c>
      <c r="AP383" t="s">
        <v>418</v>
      </c>
      <c r="AU383" t="s">
        <v>2530</v>
      </c>
      <c r="AV383" t="s">
        <v>2531</v>
      </c>
      <c r="AY383" t="s">
        <v>40</v>
      </c>
      <c r="AZ383">
        <v>0</v>
      </c>
      <c r="BA383">
        <v>0</v>
      </c>
      <c r="BI383" s="5">
        <v>44048.176388888889</v>
      </c>
      <c r="BJ383" s="5">
        <v>44048.176388888889</v>
      </c>
      <c r="BK383" t="s">
        <v>778</v>
      </c>
      <c r="BL383" t="s">
        <v>778</v>
      </c>
      <c r="BN383" t="s">
        <v>37</v>
      </c>
    </row>
    <row r="384" spans="1:66" x14ac:dyDescent="0.2">
      <c r="A384">
        <v>3692941</v>
      </c>
      <c r="B384">
        <v>21883</v>
      </c>
      <c r="C384">
        <v>523885</v>
      </c>
      <c r="D384">
        <v>52899</v>
      </c>
      <c r="E384">
        <v>100</v>
      </c>
      <c r="F384" t="s">
        <v>37</v>
      </c>
      <c r="G384">
        <v>1</v>
      </c>
      <c r="H384" t="s">
        <v>37</v>
      </c>
      <c r="I384" t="s">
        <v>37</v>
      </c>
      <c r="J384" t="s">
        <v>775</v>
      </c>
      <c r="K384" t="s">
        <v>230</v>
      </c>
      <c r="L384" t="s">
        <v>226</v>
      </c>
      <c r="M384" t="s">
        <v>422</v>
      </c>
      <c r="N384" t="s">
        <v>2532</v>
      </c>
      <c r="O384" t="s">
        <v>2533</v>
      </c>
      <c r="S384">
        <v>0</v>
      </c>
      <c r="T384">
        <v>8</v>
      </c>
      <c r="U384">
        <v>0</v>
      </c>
      <c r="V384">
        <v>8</v>
      </c>
      <c r="W384">
        <v>16</v>
      </c>
      <c r="X384">
        <v>0</v>
      </c>
      <c r="Y384">
        <v>0</v>
      </c>
      <c r="Z384">
        <v>0</v>
      </c>
      <c r="AB384" s="5">
        <v>43454</v>
      </c>
      <c r="AC384" s="5">
        <v>43454</v>
      </c>
      <c r="AD384" s="5">
        <v>43970.333333333336</v>
      </c>
      <c r="AE384" s="5">
        <v>43970.333333333336</v>
      </c>
      <c r="AG384" s="5">
        <v>44044</v>
      </c>
      <c r="AH384" s="5">
        <v>44044</v>
      </c>
      <c r="AK384" s="5">
        <v>43467.333333333336</v>
      </c>
      <c r="AL384" s="5">
        <v>43468.666666666664</v>
      </c>
      <c r="AP384" t="s">
        <v>418</v>
      </c>
      <c r="AU384" t="s">
        <v>2534</v>
      </c>
      <c r="AV384" t="s">
        <v>2535</v>
      </c>
      <c r="AY384" t="s">
        <v>40</v>
      </c>
      <c r="AZ384">
        <v>8</v>
      </c>
      <c r="BA384">
        <v>0</v>
      </c>
      <c r="BI384" s="5">
        <v>44048.176388888889</v>
      </c>
      <c r="BJ384" s="5">
        <v>44048.176388888889</v>
      </c>
      <c r="BK384" t="s">
        <v>778</v>
      </c>
      <c r="BL384" t="s">
        <v>778</v>
      </c>
      <c r="BN384" t="s">
        <v>37</v>
      </c>
    </row>
    <row r="385" spans="1:66" x14ac:dyDescent="0.2">
      <c r="A385">
        <v>3692942</v>
      </c>
      <c r="B385">
        <v>21883</v>
      </c>
      <c r="C385">
        <v>523885</v>
      </c>
      <c r="D385">
        <v>52899</v>
      </c>
      <c r="E385">
        <v>100</v>
      </c>
      <c r="F385" t="s">
        <v>37</v>
      </c>
      <c r="G385">
        <v>1</v>
      </c>
      <c r="H385" t="s">
        <v>37</v>
      </c>
      <c r="I385" t="s">
        <v>37</v>
      </c>
      <c r="J385" t="s">
        <v>775</v>
      </c>
      <c r="K385" t="s">
        <v>230</v>
      </c>
      <c r="L385" t="s">
        <v>226</v>
      </c>
      <c r="M385" t="s">
        <v>422</v>
      </c>
      <c r="N385" t="s">
        <v>2536</v>
      </c>
      <c r="O385" t="s">
        <v>2537</v>
      </c>
      <c r="S385">
        <v>0</v>
      </c>
      <c r="T385">
        <v>8</v>
      </c>
      <c r="U385">
        <v>0</v>
      </c>
      <c r="V385">
        <v>8</v>
      </c>
      <c r="W385">
        <v>8</v>
      </c>
      <c r="X385">
        <v>0</v>
      </c>
      <c r="Y385">
        <v>0</v>
      </c>
      <c r="Z385">
        <v>0</v>
      </c>
      <c r="AB385" s="5">
        <v>43472</v>
      </c>
      <c r="AC385" s="5">
        <v>43473</v>
      </c>
      <c r="AD385" s="5">
        <v>43970.333333333336</v>
      </c>
      <c r="AE385" s="5">
        <v>43970.333333333336</v>
      </c>
      <c r="AG385" s="5">
        <v>44044</v>
      </c>
      <c r="AH385" s="5">
        <v>44044</v>
      </c>
      <c r="AK385" s="5">
        <v>43497.333333333336</v>
      </c>
      <c r="AL385" s="5">
        <v>43497.666666666664</v>
      </c>
      <c r="AP385" t="s">
        <v>418</v>
      </c>
      <c r="AU385" t="s">
        <v>2538</v>
      </c>
      <c r="AV385" t="s">
        <v>2539</v>
      </c>
      <c r="AY385" t="s">
        <v>40</v>
      </c>
      <c r="AZ385">
        <v>8</v>
      </c>
      <c r="BA385">
        <v>0</v>
      </c>
      <c r="BI385" s="5">
        <v>44048.176388888889</v>
      </c>
      <c r="BJ385" s="5">
        <v>44048.176388888889</v>
      </c>
      <c r="BK385" t="s">
        <v>778</v>
      </c>
      <c r="BL385" t="s">
        <v>778</v>
      </c>
      <c r="BN385" t="s">
        <v>37</v>
      </c>
    </row>
    <row r="386" spans="1:66" x14ac:dyDescent="0.2">
      <c r="A386">
        <v>3692943</v>
      </c>
      <c r="B386">
        <v>21883</v>
      </c>
      <c r="C386">
        <v>523885</v>
      </c>
      <c r="D386">
        <v>52899</v>
      </c>
      <c r="E386">
        <v>100</v>
      </c>
      <c r="F386" t="s">
        <v>37</v>
      </c>
      <c r="G386">
        <v>1</v>
      </c>
      <c r="H386" t="s">
        <v>37</v>
      </c>
      <c r="I386" t="s">
        <v>37</v>
      </c>
      <c r="J386" t="s">
        <v>775</v>
      </c>
      <c r="K386" t="s">
        <v>230</v>
      </c>
      <c r="L386" t="s">
        <v>226</v>
      </c>
      <c r="M386" t="s">
        <v>422</v>
      </c>
      <c r="N386" t="s">
        <v>2540</v>
      </c>
      <c r="O386" t="s">
        <v>2541</v>
      </c>
      <c r="S386">
        <v>0</v>
      </c>
      <c r="T386">
        <v>0</v>
      </c>
      <c r="U386">
        <v>0</v>
      </c>
      <c r="V386">
        <v>0</v>
      </c>
      <c r="W386">
        <v>24</v>
      </c>
      <c r="X386">
        <v>0</v>
      </c>
      <c r="Y386">
        <v>0</v>
      </c>
      <c r="Z386">
        <v>0</v>
      </c>
      <c r="AB386" s="5">
        <v>43467</v>
      </c>
      <c r="AC386" s="5">
        <v>43468</v>
      </c>
      <c r="AD386" s="5">
        <v>43970.333333333336</v>
      </c>
      <c r="AE386" s="5">
        <v>43970.333333333336</v>
      </c>
      <c r="AG386" s="5">
        <v>44044</v>
      </c>
      <c r="AH386" s="5">
        <v>44044</v>
      </c>
      <c r="AK386" s="5">
        <v>43497.333333333336</v>
      </c>
      <c r="AL386" s="5">
        <v>43501.666666666664</v>
      </c>
      <c r="AP386" t="s">
        <v>418</v>
      </c>
      <c r="AU386" t="s">
        <v>2542</v>
      </c>
      <c r="AV386" t="s">
        <v>2543</v>
      </c>
      <c r="AY386" t="s">
        <v>40</v>
      </c>
      <c r="AZ386">
        <v>0</v>
      </c>
      <c r="BA386">
        <v>0</v>
      </c>
      <c r="BI386" s="5">
        <v>44048.176388888889</v>
      </c>
      <c r="BJ386" s="5">
        <v>44048.176388888889</v>
      </c>
      <c r="BK386" t="s">
        <v>778</v>
      </c>
      <c r="BL386" t="s">
        <v>778</v>
      </c>
      <c r="BN386" t="s">
        <v>37</v>
      </c>
    </row>
    <row r="387" spans="1:66" x14ac:dyDescent="0.2">
      <c r="A387">
        <v>3692944</v>
      </c>
      <c r="B387">
        <v>21883</v>
      </c>
      <c r="C387">
        <v>523885</v>
      </c>
      <c r="D387">
        <v>52899</v>
      </c>
      <c r="E387">
        <v>100</v>
      </c>
      <c r="F387" t="s">
        <v>37</v>
      </c>
      <c r="G387">
        <v>1</v>
      </c>
      <c r="H387" t="s">
        <v>37</v>
      </c>
      <c r="I387" t="s">
        <v>37</v>
      </c>
      <c r="J387" t="s">
        <v>775</v>
      </c>
      <c r="K387" t="s">
        <v>230</v>
      </c>
      <c r="L387" t="s">
        <v>226</v>
      </c>
      <c r="M387" t="s">
        <v>422</v>
      </c>
      <c r="N387" t="s">
        <v>2544</v>
      </c>
      <c r="O387" t="s">
        <v>2545</v>
      </c>
      <c r="S387">
        <v>0</v>
      </c>
      <c r="T387">
        <v>0</v>
      </c>
      <c r="U387">
        <v>0</v>
      </c>
      <c r="V387">
        <v>0</v>
      </c>
      <c r="W387">
        <v>16</v>
      </c>
      <c r="X387">
        <v>0</v>
      </c>
      <c r="Y387">
        <v>0</v>
      </c>
      <c r="Z387">
        <v>0</v>
      </c>
      <c r="AB387" s="5">
        <v>43514</v>
      </c>
      <c r="AC387" s="5">
        <v>43518</v>
      </c>
      <c r="AD387" s="5">
        <v>43970.333333333336</v>
      </c>
      <c r="AE387" s="5">
        <v>43970.333333333336</v>
      </c>
      <c r="AG387" s="5">
        <v>44044</v>
      </c>
      <c r="AH387" s="5">
        <v>44044</v>
      </c>
      <c r="AK387" s="5">
        <v>43532.333333333336</v>
      </c>
      <c r="AL387" s="5">
        <v>43535.666666666664</v>
      </c>
      <c r="AP387" t="s">
        <v>418</v>
      </c>
      <c r="AU387" t="s">
        <v>2546</v>
      </c>
      <c r="AV387" t="s">
        <v>2547</v>
      </c>
      <c r="AY387" t="s">
        <v>40</v>
      </c>
      <c r="AZ387">
        <v>0</v>
      </c>
      <c r="BA387">
        <v>0</v>
      </c>
      <c r="BI387" s="5">
        <v>44048.176388888889</v>
      </c>
      <c r="BJ387" s="5">
        <v>44048.176388888889</v>
      </c>
      <c r="BK387" t="s">
        <v>778</v>
      </c>
      <c r="BL387" t="s">
        <v>778</v>
      </c>
      <c r="BN387" t="s">
        <v>37</v>
      </c>
    </row>
    <row r="388" spans="1:66" x14ac:dyDescent="0.2">
      <c r="A388">
        <v>3692945</v>
      </c>
      <c r="B388">
        <v>21883</v>
      </c>
      <c r="C388">
        <v>523885</v>
      </c>
      <c r="D388">
        <v>52899</v>
      </c>
      <c r="E388">
        <v>100</v>
      </c>
      <c r="F388" t="s">
        <v>37</v>
      </c>
      <c r="G388">
        <v>1</v>
      </c>
      <c r="H388" t="s">
        <v>37</v>
      </c>
      <c r="I388" t="s">
        <v>37</v>
      </c>
      <c r="J388" t="s">
        <v>775</v>
      </c>
      <c r="K388" t="s">
        <v>230</v>
      </c>
      <c r="L388" t="s">
        <v>226</v>
      </c>
      <c r="M388" t="s">
        <v>422</v>
      </c>
      <c r="N388" t="s">
        <v>2548</v>
      </c>
      <c r="O388" t="s">
        <v>2549</v>
      </c>
      <c r="S388">
        <v>0</v>
      </c>
      <c r="T388">
        <v>8</v>
      </c>
      <c r="U388">
        <v>0</v>
      </c>
      <c r="V388">
        <v>8</v>
      </c>
      <c r="W388">
        <v>8</v>
      </c>
      <c r="X388">
        <v>0</v>
      </c>
      <c r="Y388">
        <v>0</v>
      </c>
      <c r="Z388">
        <v>0</v>
      </c>
      <c r="AB388" s="5">
        <v>43550</v>
      </c>
      <c r="AC388" s="5">
        <v>43550</v>
      </c>
      <c r="AD388" s="5">
        <v>43970.333333333336</v>
      </c>
      <c r="AE388" s="5">
        <v>43970.333333333336</v>
      </c>
      <c r="AG388" s="5">
        <v>44044</v>
      </c>
      <c r="AH388" s="5">
        <v>44044</v>
      </c>
      <c r="AK388" s="5">
        <v>43566.333333333336</v>
      </c>
      <c r="AL388" s="5">
        <v>43566.666666666664</v>
      </c>
      <c r="AP388" t="s">
        <v>418</v>
      </c>
      <c r="AU388" t="s">
        <v>2550</v>
      </c>
      <c r="AV388" t="s">
        <v>2551</v>
      </c>
      <c r="AY388" t="s">
        <v>40</v>
      </c>
      <c r="AZ388">
        <v>8</v>
      </c>
      <c r="BA388">
        <v>0</v>
      </c>
      <c r="BI388" s="5">
        <v>44048.176388888889</v>
      </c>
      <c r="BJ388" s="5">
        <v>44048.176388888889</v>
      </c>
      <c r="BK388" t="s">
        <v>778</v>
      </c>
      <c r="BL388" t="s">
        <v>778</v>
      </c>
      <c r="BN388" t="s">
        <v>37</v>
      </c>
    </row>
    <row r="389" spans="1:66" x14ac:dyDescent="0.2">
      <c r="A389">
        <v>3692946</v>
      </c>
      <c r="B389">
        <v>21883</v>
      </c>
      <c r="C389">
        <v>523885</v>
      </c>
      <c r="D389">
        <v>52895</v>
      </c>
      <c r="E389">
        <v>100</v>
      </c>
      <c r="F389" t="s">
        <v>37</v>
      </c>
      <c r="G389">
        <v>1</v>
      </c>
      <c r="H389" t="s">
        <v>37</v>
      </c>
      <c r="I389" t="s">
        <v>37</v>
      </c>
      <c r="J389" t="s">
        <v>775</v>
      </c>
      <c r="K389" t="s">
        <v>230</v>
      </c>
      <c r="L389" t="s">
        <v>226</v>
      </c>
      <c r="M389" t="s">
        <v>422</v>
      </c>
      <c r="N389" t="s">
        <v>2552</v>
      </c>
      <c r="O389" t="s">
        <v>2553</v>
      </c>
      <c r="S389">
        <v>0</v>
      </c>
      <c r="T389">
        <v>0</v>
      </c>
      <c r="U389">
        <v>0</v>
      </c>
      <c r="V389">
        <v>0</v>
      </c>
      <c r="W389">
        <v>56</v>
      </c>
      <c r="X389">
        <v>0</v>
      </c>
      <c r="Y389">
        <v>0</v>
      </c>
      <c r="Z389">
        <v>0</v>
      </c>
      <c r="AB389" s="5">
        <v>43550</v>
      </c>
      <c r="AC389" s="5">
        <v>43557</v>
      </c>
      <c r="AD389" s="5">
        <v>43970.333333333336</v>
      </c>
      <c r="AE389" s="5">
        <v>43970.333333333336</v>
      </c>
      <c r="AG389" s="5">
        <v>44044</v>
      </c>
      <c r="AH389" s="5">
        <v>44044</v>
      </c>
      <c r="AK389" s="5">
        <v>43566.333333333336</v>
      </c>
      <c r="AL389" s="5">
        <v>43572.666666666664</v>
      </c>
      <c r="AP389" t="s">
        <v>418</v>
      </c>
      <c r="AU389" t="s">
        <v>2554</v>
      </c>
      <c r="AV389" t="s">
        <v>2555</v>
      </c>
      <c r="AY389" t="s">
        <v>40</v>
      </c>
      <c r="AZ389">
        <v>0</v>
      </c>
      <c r="BA389">
        <v>0</v>
      </c>
      <c r="BI389" s="5">
        <v>44048.176388888889</v>
      </c>
      <c r="BJ389" s="5">
        <v>44048.176388888889</v>
      </c>
      <c r="BK389" t="s">
        <v>778</v>
      </c>
      <c r="BL389" t="s">
        <v>778</v>
      </c>
      <c r="BN389" t="s">
        <v>37</v>
      </c>
    </row>
    <row r="390" spans="1:66" x14ac:dyDescent="0.2">
      <c r="A390">
        <v>3692947</v>
      </c>
      <c r="B390">
        <v>21883</v>
      </c>
      <c r="C390">
        <v>523884</v>
      </c>
      <c r="D390">
        <v>52899</v>
      </c>
      <c r="E390">
        <v>100</v>
      </c>
      <c r="F390" t="s">
        <v>37</v>
      </c>
      <c r="G390">
        <v>1</v>
      </c>
      <c r="H390" t="s">
        <v>37</v>
      </c>
      <c r="I390" t="s">
        <v>37</v>
      </c>
      <c r="J390" t="s">
        <v>775</v>
      </c>
      <c r="K390" t="s">
        <v>230</v>
      </c>
      <c r="L390" t="s">
        <v>226</v>
      </c>
      <c r="M390" t="s">
        <v>422</v>
      </c>
      <c r="N390" t="s">
        <v>2556</v>
      </c>
      <c r="O390" t="s">
        <v>2557</v>
      </c>
      <c r="S390">
        <v>0</v>
      </c>
      <c r="T390">
        <v>8</v>
      </c>
      <c r="U390">
        <v>0</v>
      </c>
      <c r="V390">
        <v>8</v>
      </c>
      <c r="W390">
        <v>16</v>
      </c>
      <c r="X390">
        <v>0</v>
      </c>
      <c r="Y390">
        <v>0</v>
      </c>
      <c r="Z390">
        <v>0</v>
      </c>
      <c r="AB390" s="5">
        <v>43446</v>
      </c>
      <c r="AC390" s="5">
        <v>43446</v>
      </c>
      <c r="AD390" s="5">
        <v>43970.333333333336</v>
      </c>
      <c r="AE390" s="5">
        <v>43970.333333333336</v>
      </c>
      <c r="AG390" s="5">
        <v>44044</v>
      </c>
      <c r="AH390" s="5">
        <v>44044</v>
      </c>
      <c r="AK390" s="5">
        <v>43472.333333333336</v>
      </c>
      <c r="AL390" s="5">
        <v>43473.666666666664</v>
      </c>
      <c r="AP390" t="s">
        <v>418</v>
      </c>
      <c r="AU390" t="s">
        <v>2558</v>
      </c>
      <c r="AV390" t="s">
        <v>2559</v>
      </c>
      <c r="AY390" t="s">
        <v>40</v>
      </c>
      <c r="AZ390">
        <v>8</v>
      </c>
      <c r="BA390">
        <v>0</v>
      </c>
      <c r="BI390" s="5">
        <v>44048.176388888889</v>
      </c>
      <c r="BJ390" s="5">
        <v>44048.176388888889</v>
      </c>
      <c r="BK390" t="s">
        <v>778</v>
      </c>
      <c r="BL390" t="s">
        <v>778</v>
      </c>
      <c r="BN390" t="s">
        <v>37</v>
      </c>
    </row>
    <row r="391" spans="1:66" x14ac:dyDescent="0.2">
      <c r="A391">
        <v>3692948</v>
      </c>
      <c r="B391">
        <v>21883</v>
      </c>
      <c r="C391">
        <v>523884</v>
      </c>
      <c r="D391">
        <v>52899</v>
      </c>
      <c r="E391">
        <v>100</v>
      </c>
      <c r="F391" t="s">
        <v>37</v>
      </c>
      <c r="G391">
        <v>1</v>
      </c>
      <c r="H391" t="s">
        <v>37</v>
      </c>
      <c r="I391" t="s">
        <v>37</v>
      </c>
      <c r="J391" t="s">
        <v>775</v>
      </c>
      <c r="K391" t="s">
        <v>230</v>
      </c>
      <c r="L391" t="s">
        <v>226</v>
      </c>
      <c r="M391" t="s">
        <v>422</v>
      </c>
      <c r="N391" t="s">
        <v>2560</v>
      </c>
      <c r="O391" t="s">
        <v>2561</v>
      </c>
      <c r="S391">
        <v>0</v>
      </c>
      <c r="T391">
        <v>8</v>
      </c>
      <c r="U391">
        <v>0</v>
      </c>
      <c r="V391">
        <v>8</v>
      </c>
      <c r="W391">
        <v>8</v>
      </c>
      <c r="X391">
        <v>0</v>
      </c>
      <c r="Y391">
        <v>0</v>
      </c>
      <c r="Z391">
        <v>0</v>
      </c>
      <c r="AB391" s="5">
        <v>43473</v>
      </c>
      <c r="AC391" s="5">
        <v>43474</v>
      </c>
      <c r="AD391" s="5">
        <v>43970.333333333336</v>
      </c>
      <c r="AE391" s="5">
        <v>43970.333333333336</v>
      </c>
      <c r="AG391" s="5">
        <v>44044</v>
      </c>
      <c r="AH391" s="5">
        <v>44044</v>
      </c>
      <c r="AK391" s="5">
        <v>43502.333333333336</v>
      </c>
      <c r="AL391" s="5">
        <v>43502.666666666664</v>
      </c>
      <c r="AP391" t="s">
        <v>418</v>
      </c>
      <c r="AU391" t="s">
        <v>2562</v>
      </c>
      <c r="AV391" t="s">
        <v>2563</v>
      </c>
      <c r="AY391" t="s">
        <v>40</v>
      </c>
      <c r="AZ391">
        <v>8</v>
      </c>
      <c r="BA391">
        <v>0</v>
      </c>
      <c r="BI391" s="5">
        <v>44048.176388888889</v>
      </c>
      <c r="BJ391" s="5">
        <v>44048.176388888889</v>
      </c>
      <c r="BK391" t="s">
        <v>778</v>
      </c>
      <c r="BL391" t="s">
        <v>778</v>
      </c>
      <c r="BN391" t="s">
        <v>37</v>
      </c>
    </row>
    <row r="392" spans="1:66" x14ac:dyDescent="0.2">
      <c r="A392">
        <v>3692949</v>
      </c>
      <c r="B392">
        <v>21883</v>
      </c>
      <c r="C392">
        <v>523884</v>
      </c>
      <c r="D392">
        <v>52899</v>
      </c>
      <c r="E392">
        <v>100</v>
      </c>
      <c r="F392" t="s">
        <v>37</v>
      </c>
      <c r="G392">
        <v>1</v>
      </c>
      <c r="H392" t="s">
        <v>37</v>
      </c>
      <c r="I392" t="s">
        <v>37</v>
      </c>
      <c r="J392" t="s">
        <v>775</v>
      </c>
      <c r="K392" t="s">
        <v>230</v>
      </c>
      <c r="L392" t="s">
        <v>226</v>
      </c>
      <c r="M392" t="s">
        <v>422</v>
      </c>
      <c r="N392" t="s">
        <v>2564</v>
      </c>
      <c r="O392" t="s">
        <v>2565</v>
      </c>
      <c r="S392">
        <v>0</v>
      </c>
      <c r="T392">
        <v>0</v>
      </c>
      <c r="U392">
        <v>0</v>
      </c>
      <c r="V392">
        <v>0</v>
      </c>
      <c r="W392">
        <v>24</v>
      </c>
      <c r="X392">
        <v>0</v>
      </c>
      <c r="Y392">
        <v>0</v>
      </c>
      <c r="Z392">
        <v>0</v>
      </c>
      <c r="AB392" s="5">
        <v>43468</v>
      </c>
      <c r="AC392" s="5">
        <v>43469</v>
      </c>
      <c r="AD392" s="5">
        <v>43970.333333333336</v>
      </c>
      <c r="AE392" s="5">
        <v>43970.333333333336</v>
      </c>
      <c r="AG392" s="5">
        <v>44044</v>
      </c>
      <c r="AH392" s="5">
        <v>44044</v>
      </c>
      <c r="AK392" s="5">
        <v>43502.333333333336</v>
      </c>
      <c r="AL392" s="5">
        <v>43504.666666666664</v>
      </c>
      <c r="AP392" t="s">
        <v>418</v>
      </c>
      <c r="AU392" t="s">
        <v>2566</v>
      </c>
      <c r="AV392" t="s">
        <v>2567</v>
      </c>
      <c r="AY392" t="s">
        <v>40</v>
      </c>
      <c r="AZ392">
        <v>0</v>
      </c>
      <c r="BA392">
        <v>0</v>
      </c>
      <c r="BI392" s="5">
        <v>44048.176388888889</v>
      </c>
      <c r="BJ392" s="5">
        <v>44048.176388888889</v>
      </c>
      <c r="BK392" t="s">
        <v>778</v>
      </c>
      <c r="BL392" t="s">
        <v>778</v>
      </c>
      <c r="BN392" t="s">
        <v>37</v>
      </c>
    </row>
    <row r="393" spans="1:66" x14ac:dyDescent="0.2">
      <c r="A393">
        <v>3692950</v>
      </c>
      <c r="B393">
        <v>21883</v>
      </c>
      <c r="C393">
        <v>523884</v>
      </c>
      <c r="D393">
        <v>52899</v>
      </c>
      <c r="E393">
        <v>100</v>
      </c>
      <c r="F393" t="s">
        <v>37</v>
      </c>
      <c r="G393">
        <v>1</v>
      </c>
      <c r="H393" t="s">
        <v>37</v>
      </c>
      <c r="I393" t="s">
        <v>37</v>
      </c>
      <c r="J393" t="s">
        <v>775</v>
      </c>
      <c r="K393" t="s">
        <v>230</v>
      </c>
      <c r="L393" t="s">
        <v>226</v>
      </c>
      <c r="M393" t="s">
        <v>422</v>
      </c>
      <c r="N393" t="s">
        <v>2568</v>
      </c>
      <c r="O393" t="s">
        <v>2569</v>
      </c>
      <c r="S393">
        <v>0</v>
      </c>
      <c r="T393">
        <v>0</v>
      </c>
      <c r="U393">
        <v>0</v>
      </c>
      <c r="V393">
        <v>0</v>
      </c>
      <c r="W393">
        <v>16</v>
      </c>
      <c r="X393">
        <v>0</v>
      </c>
      <c r="Y393">
        <v>0</v>
      </c>
      <c r="Z393">
        <v>0</v>
      </c>
      <c r="AB393" s="5">
        <v>43514</v>
      </c>
      <c r="AC393" s="5">
        <v>43517</v>
      </c>
      <c r="AD393" s="5">
        <v>43970.333333333336</v>
      </c>
      <c r="AE393" s="5">
        <v>43970.333333333336</v>
      </c>
      <c r="AG393" s="5">
        <v>44044</v>
      </c>
      <c r="AH393" s="5">
        <v>44044</v>
      </c>
      <c r="AK393" s="5">
        <v>43532.333333333336</v>
      </c>
      <c r="AL393" s="5">
        <v>43535.666666666664</v>
      </c>
      <c r="AP393" t="s">
        <v>418</v>
      </c>
      <c r="AU393" t="s">
        <v>2570</v>
      </c>
      <c r="AV393" t="s">
        <v>2571</v>
      </c>
      <c r="AY393" t="s">
        <v>40</v>
      </c>
      <c r="AZ393">
        <v>0</v>
      </c>
      <c r="BA393">
        <v>0</v>
      </c>
      <c r="BI393" s="5">
        <v>44048.176388888889</v>
      </c>
      <c r="BJ393" s="5">
        <v>44048.176388888889</v>
      </c>
      <c r="BK393" t="s">
        <v>778</v>
      </c>
      <c r="BL393" t="s">
        <v>778</v>
      </c>
      <c r="BN393" t="s">
        <v>37</v>
      </c>
    </row>
    <row r="394" spans="1:66" x14ac:dyDescent="0.2">
      <c r="A394">
        <v>3692951</v>
      </c>
      <c r="B394">
        <v>21883</v>
      </c>
      <c r="C394">
        <v>523884</v>
      </c>
      <c r="D394">
        <v>52899</v>
      </c>
      <c r="E394">
        <v>100</v>
      </c>
      <c r="F394" t="s">
        <v>37</v>
      </c>
      <c r="G394">
        <v>1</v>
      </c>
      <c r="H394" t="s">
        <v>37</v>
      </c>
      <c r="I394" t="s">
        <v>37</v>
      </c>
      <c r="J394" t="s">
        <v>775</v>
      </c>
      <c r="K394" t="s">
        <v>230</v>
      </c>
      <c r="L394" t="s">
        <v>226</v>
      </c>
      <c r="M394" t="s">
        <v>422</v>
      </c>
      <c r="N394" t="s">
        <v>2572</v>
      </c>
      <c r="O394" t="s">
        <v>2573</v>
      </c>
      <c r="S394">
        <v>0</v>
      </c>
      <c r="T394">
        <v>8</v>
      </c>
      <c r="U394">
        <v>0</v>
      </c>
      <c r="V394">
        <v>8</v>
      </c>
      <c r="W394">
        <v>8</v>
      </c>
      <c r="X394">
        <v>0</v>
      </c>
      <c r="Y394">
        <v>0</v>
      </c>
      <c r="Z394">
        <v>0</v>
      </c>
      <c r="AB394" s="5">
        <v>43537</v>
      </c>
      <c r="AC394" s="5">
        <v>43537</v>
      </c>
      <c r="AD394" s="5">
        <v>43970.333333333336</v>
      </c>
      <c r="AE394" s="5">
        <v>43970.333333333336</v>
      </c>
      <c r="AG394" s="5">
        <v>44044</v>
      </c>
      <c r="AH394" s="5">
        <v>44044</v>
      </c>
      <c r="AK394" s="5">
        <v>43565.333333333336</v>
      </c>
      <c r="AL394" s="5">
        <v>43565.666666666664</v>
      </c>
      <c r="AP394" t="s">
        <v>418</v>
      </c>
      <c r="AU394" t="s">
        <v>2574</v>
      </c>
      <c r="AV394" t="s">
        <v>2575</v>
      </c>
      <c r="AY394" t="s">
        <v>40</v>
      </c>
      <c r="AZ394">
        <v>8</v>
      </c>
      <c r="BA394">
        <v>0</v>
      </c>
      <c r="BI394" s="5">
        <v>44048.176388888889</v>
      </c>
      <c r="BJ394" s="5">
        <v>44048.176388888889</v>
      </c>
      <c r="BK394" t="s">
        <v>778</v>
      </c>
      <c r="BL394" t="s">
        <v>778</v>
      </c>
      <c r="BN394" t="s">
        <v>37</v>
      </c>
    </row>
    <row r="395" spans="1:66" x14ac:dyDescent="0.2">
      <c r="A395">
        <v>3692952</v>
      </c>
      <c r="B395">
        <v>21883</v>
      </c>
      <c r="C395">
        <v>523884</v>
      </c>
      <c r="D395">
        <v>52895</v>
      </c>
      <c r="E395">
        <v>100</v>
      </c>
      <c r="F395" t="s">
        <v>37</v>
      </c>
      <c r="G395">
        <v>1</v>
      </c>
      <c r="H395" t="s">
        <v>37</v>
      </c>
      <c r="I395" t="s">
        <v>37</v>
      </c>
      <c r="J395" t="s">
        <v>775</v>
      </c>
      <c r="K395" t="s">
        <v>230</v>
      </c>
      <c r="L395" t="s">
        <v>226</v>
      </c>
      <c r="M395" t="s">
        <v>422</v>
      </c>
      <c r="N395" t="s">
        <v>2576</v>
      </c>
      <c r="O395" t="s">
        <v>2577</v>
      </c>
      <c r="S395">
        <v>0</v>
      </c>
      <c r="T395">
        <v>0</v>
      </c>
      <c r="U395">
        <v>0</v>
      </c>
      <c r="V395">
        <v>0</v>
      </c>
      <c r="W395">
        <v>56</v>
      </c>
      <c r="X395">
        <v>0</v>
      </c>
      <c r="Y395">
        <v>0</v>
      </c>
      <c r="Z395">
        <v>0</v>
      </c>
      <c r="AB395" s="5">
        <v>43537</v>
      </c>
      <c r="AC395" s="5">
        <v>43544</v>
      </c>
      <c r="AD395" s="5">
        <v>43970.333333333336</v>
      </c>
      <c r="AE395" s="5">
        <v>43970.333333333336</v>
      </c>
      <c r="AG395" s="5">
        <v>44044</v>
      </c>
      <c r="AH395" s="5">
        <v>44044</v>
      </c>
      <c r="AK395" s="5">
        <v>43561.333333333336</v>
      </c>
      <c r="AL395" s="5">
        <v>43567.666666666664</v>
      </c>
      <c r="AP395" t="s">
        <v>418</v>
      </c>
      <c r="AU395" t="s">
        <v>2578</v>
      </c>
      <c r="AV395" t="s">
        <v>2579</v>
      </c>
      <c r="AY395" t="s">
        <v>40</v>
      </c>
      <c r="AZ395">
        <v>0</v>
      </c>
      <c r="BA395">
        <v>0</v>
      </c>
      <c r="BI395" s="5">
        <v>44048.176388888889</v>
      </c>
      <c r="BJ395" s="5">
        <v>44048.176388888889</v>
      </c>
      <c r="BK395" t="s">
        <v>778</v>
      </c>
      <c r="BL395" t="s">
        <v>778</v>
      </c>
      <c r="BN395" t="s">
        <v>37</v>
      </c>
    </row>
    <row r="396" spans="1:66" x14ac:dyDescent="0.2">
      <c r="A396">
        <v>3692953</v>
      </c>
      <c r="B396">
        <v>21883</v>
      </c>
      <c r="C396">
        <v>523883</v>
      </c>
      <c r="D396">
        <v>52899</v>
      </c>
      <c r="E396">
        <v>100</v>
      </c>
      <c r="F396" t="s">
        <v>37</v>
      </c>
      <c r="G396">
        <v>1</v>
      </c>
      <c r="H396" t="s">
        <v>37</v>
      </c>
      <c r="I396" t="s">
        <v>37</v>
      </c>
      <c r="J396" t="s">
        <v>775</v>
      </c>
      <c r="K396" t="s">
        <v>230</v>
      </c>
      <c r="L396" t="s">
        <v>226</v>
      </c>
      <c r="M396" t="s">
        <v>422</v>
      </c>
      <c r="N396" t="s">
        <v>2580</v>
      </c>
      <c r="O396" t="s">
        <v>2581</v>
      </c>
      <c r="S396">
        <v>0</v>
      </c>
      <c r="T396">
        <v>8</v>
      </c>
      <c r="U396">
        <v>0</v>
      </c>
      <c r="V396">
        <v>8</v>
      </c>
      <c r="W396">
        <v>16</v>
      </c>
      <c r="X396">
        <v>0</v>
      </c>
      <c r="Y396">
        <v>0</v>
      </c>
      <c r="Z396">
        <v>0</v>
      </c>
      <c r="AB396" s="5">
        <v>43451</v>
      </c>
      <c r="AC396" s="5">
        <v>43451</v>
      </c>
      <c r="AD396" s="5">
        <v>43970.333333333336</v>
      </c>
      <c r="AE396" s="5">
        <v>43970.333333333336</v>
      </c>
      <c r="AG396" s="5">
        <v>44044</v>
      </c>
      <c r="AH396" s="5">
        <v>44044</v>
      </c>
      <c r="AK396" s="5">
        <v>43476.333333333336</v>
      </c>
      <c r="AL396" s="5">
        <v>43480.666666666664</v>
      </c>
      <c r="AP396" t="s">
        <v>418</v>
      </c>
      <c r="AU396" t="s">
        <v>2582</v>
      </c>
      <c r="AV396" t="s">
        <v>2583</v>
      </c>
      <c r="AY396" t="s">
        <v>40</v>
      </c>
      <c r="AZ396">
        <v>8</v>
      </c>
      <c r="BA396">
        <v>0</v>
      </c>
      <c r="BI396" s="5">
        <v>44048.176388888889</v>
      </c>
      <c r="BJ396" s="5">
        <v>44048.176388888889</v>
      </c>
      <c r="BK396" t="s">
        <v>778</v>
      </c>
      <c r="BL396" t="s">
        <v>778</v>
      </c>
      <c r="BN396" t="s">
        <v>37</v>
      </c>
    </row>
    <row r="397" spans="1:66" x14ac:dyDescent="0.2">
      <c r="A397">
        <v>3692954</v>
      </c>
      <c r="B397">
        <v>21883</v>
      </c>
      <c r="C397">
        <v>523883</v>
      </c>
      <c r="D397">
        <v>52899</v>
      </c>
      <c r="E397">
        <v>100</v>
      </c>
      <c r="F397" t="s">
        <v>37</v>
      </c>
      <c r="G397">
        <v>1</v>
      </c>
      <c r="H397" t="s">
        <v>37</v>
      </c>
      <c r="I397" t="s">
        <v>37</v>
      </c>
      <c r="J397" t="s">
        <v>775</v>
      </c>
      <c r="K397" t="s">
        <v>230</v>
      </c>
      <c r="L397" t="s">
        <v>226</v>
      </c>
      <c r="M397" t="s">
        <v>422</v>
      </c>
      <c r="N397" t="s">
        <v>2584</v>
      </c>
      <c r="O397" t="s">
        <v>2585</v>
      </c>
      <c r="S397">
        <v>0</v>
      </c>
      <c r="T397">
        <v>8</v>
      </c>
      <c r="U397">
        <v>0</v>
      </c>
      <c r="V397">
        <v>8</v>
      </c>
      <c r="W397">
        <v>8</v>
      </c>
      <c r="X397">
        <v>0</v>
      </c>
      <c r="Y397">
        <v>0</v>
      </c>
      <c r="Z397">
        <v>0</v>
      </c>
      <c r="AB397" s="5">
        <v>43475</v>
      </c>
      <c r="AC397" s="5">
        <v>43476</v>
      </c>
      <c r="AD397" s="5">
        <v>43970.333333333336</v>
      </c>
      <c r="AE397" s="5">
        <v>43970.333333333336</v>
      </c>
      <c r="AG397" s="5">
        <v>44044</v>
      </c>
      <c r="AH397" s="5">
        <v>44044</v>
      </c>
      <c r="AK397" s="5">
        <v>43507.333333333336</v>
      </c>
      <c r="AL397" s="5">
        <v>43507.666666666664</v>
      </c>
      <c r="AP397" t="s">
        <v>418</v>
      </c>
      <c r="AU397" t="s">
        <v>2586</v>
      </c>
      <c r="AV397" t="s">
        <v>2587</v>
      </c>
      <c r="AY397" t="s">
        <v>40</v>
      </c>
      <c r="AZ397">
        <v>8</v>
      </c>
      <c r="BA397">
        <v>0</v>
      </c>
      <c r="BI397" s="5">
        <v>44048.176388888889</v>
      </c>
      <c r="BJ397" s="5">
        <v>44048.176388888889</v>
      </c>
      <c r="BK397" t="s">
        <v>778</v>
      </c>
      <c r="BL397" t="s">
        <v>778</v>
      </c>
      <c r="BN397" t="s">
        <v>37</v>
      </c>
    </row>
    <row r="398" spans="1:66" x14ac:dyDescent="0.2">
      <c r="A398">
        <v>3692955</v>
      </c>
      <c r="B398">
        <v>21883</v>
      </c>
      <c r="C398">
        <v>523883</v>
      </c>
      <c r="D398">
        <v>52899</v>
      </c>
      <c r="E398">
        <v>100</v>
      </c>
      <c r="F398" t="s">
        <v>37</v>
      </c>
      <c r="G398">
        <v>1</v>
      </c>
      <c r="H398" t="s">
        <v>37</v>
      </c>
      <c r="I398" t="s">
        <v>37</v>
      </c>
      <c r="J398" t="s">
        <v>775</v>
      </c>
      <c r="K398" t="s">
        <v>230</v>
      </c>
      <c r="L398" t="s">
        <v>226</v>
      </c>
      <c r="M398" t="s">
        <v>422</v>
      </c>
      <c r="N398" t="s">
        <v>2588</v>
      </c>
      <c r="O398" t="s">
        <v>2589</v>
      </c>
      <c r="S398">
        <v>0</v>
      </c>
      <c r="T398">
        <v>0</v>
      </c>
      <c r="U398">
        <v>0</v>
      </c>
      <c r="V398">
        <v>0</v>
      </c>
      <c r="W398">
        <v>24</v>
      </c>
      <c r="X398">
        <v>0</v>
      </c>
      <c r="Y398">
        <v>0</v>
      </c>
      <c r="Z398">
        <v>0</v>
      </c>
      <c r="AB398" s="5">
        <v>43472</v>
      </c>
      <c r="AC398" s="5">
        <v>43483</v>
      </c>
      <c r="AD398" s="5">
        <v>43970.333333333336</v>
      </c>
      <c r="AE398" s="5">
        <v>43970.333333333336</v>
      </c>
      <c r="AG398" s="5">
        <v>44044</v>
      </c>
      <c r="AH398" s="5">
        <v>44044</v>
      </c>
      <c r="AK398" s="5">
        <v>43507.333333333336</v>
      </c>
      <c r="AL398" s="5">
        <v>43509.666666666664</v>
      </c>
      <c r="AP398" t="s">
        <v>418</v>
      </c>
      <c r="AU398" t="s">
        <v>2590</v>
      </c>
      <c r="AV398" t="s">
        <v>2591</v>
      </c>
      <c r="AY398" t="s">
        <v>40</v>
      </c>
      <c r="AZ398">
        <v>0</v>
      </c>
      <c r="BA398">
        <v>0</v>
      </c>
      <c r="BI398" s="5">
        <v>44048.176388888889</v>
      </c>
      <c r="BJ398" s="5">
        <v>44048.176388888889</v>
      </c>
      <c r="BK398" t="s">
        <v>778</v>
      </c>
      <c r="BL398" t="s">
        <v>778</v>
      </c>
      <c r="BN398" t="s">
        <v>37</v>
      </c>
    </row>
    <row r="399" spans="1:66" x14ac:dyDescent="0.2">
      <c r="A399">
        <v>3692956</v>
      </c>
      <c r="B399">
        <v>21883</v>
      </c>
      <c r="C399">
        <v>523883</v>
      </c>
      <c r="D399">
        <v>52899</v>
      </c>
      <c r="E399">
        <v>100</v>
      </c>
      <c r="F399" t="s">
        <v>37</v>
      </c>
      <c r="G399">
        <v>1</v>
      </c>
      <c r="H399" t="s">
        <v>37</v>
      </c>
      <c r="I399" t="s">
        <v>37</v>
      </c>
      <c r="J399" t="s">
        <v>775</v>
      </c>
      <c r="K399" t="s">
        <v>230</v>
      </c>
      <c r="L399" t="s">
        <v>226</v>
      </c>
      <c r="M399" t="s">
        <v>422</v>
      </c>
      <c r="N399" t="s">
        <v>2592</v>
      </c>
      <c r="O399" t="s">
        <v>2593</v>
      </c>
      <c r="S399">
        <v>0</v>
      </c>
      <c r="T399">
        <v>0</v>
      </c>
      <c r="U399">
        <v>0</v>
      </c>
      <c r="V399">
        <v>0</v>
      </c>
      <c r="W399">
        <v>16</v>
      </c>
      <c r="X399">
        <v>0</v>
      </c>
      <c r="Y399">
        <v>0</v>
      </c>
      <c r="Z399">
        <v>0</v>
      </c>
      <c r="AB399" s="5">
        <v>43495</v>
      </c>
      <c r="AC399" s="5">
        <v>43501</v>
      </c>
      <c r="AD399" s="5">
        <v>43970.333333333336</v>
      </c>
      <c r="AE399" s="5">
        <v>43970.333333333336</v>
      </c>
      <c r="AG399" s="5">
        <v>44044</v>
      </c>
      <c r="AH399" s="5">
        <v>44044</v>
      </c>
      <c r="AK399" s="5">
        <v>43514.333333333336</v>
      </c>
      <c r="AL399" s="5">
        <v>43516.666666666664</v>
      </c>
      <c r="AP399" t="s">
        <v>418</v>
      </c>
      <c r="AU399" t="s">
        <v>2594</v>
      </c>
      <c r="AV399" t="s">
        <v>2595</v>
      </c>
      <c r="AY399" t="s">
        <v>40</v>
      </c>
      <c r="AZ399">
        <v>0</v>
      </c>
      <c r="BA399">
        <v>0</v>
      </c>
      <c r="BI399" s="5">
        <v>44048.176388888889</v>
      </c>
      <c r="BJ399" s="5">
        <v>44048.176388888889</v>
      </c>
      <c r="BK399" t="s">
        <v>778</v>
      </c>
      <c r="BL399" t="s">
        <v>778</v>
      </c>
      <c r="BN399" t="s">
        <v>37</v>
      </c>
    </row>
    <row r="400" spans="1:66" x14ac:dyDescent="0.2">
      <c r="A400">
        <v>3692957</v>
      </c>
      <c r="B400">
        <v>21883</v>
      </c>
      <c r="C400">
        <v>523883</v>
      </c>
      <c r="D400">
        <v>52899</v>
      </c>
      <c r="E400">
        <v>100</v>
      </c>
      <c r="F400" t="s">
        <v>37</v>
      </c>
      <c r="G400">
        <v>1</v>
      </c>
      <c r="H400" t="s">
        <v>37</v>
      </c>
      <c r="I400" t="s">
        <v>37</v>
      </c>
      <c r="J400" t="s">
        <v>775</v>
      </c>
      <c r="K400" t="s">
        <v>230</v>
      </c>
      <c r="L400" t="s">
        <v>226</v>
      </c>
      <c r="M400" t="s">
        <v>422</v>
      </c>
      <c r="N400" t="s">
        <v>2596</v>
      </c>
      <c r="O400" t="s">
        <v>2597</v>
      </c>
      <c r="S400">
        <v>0</v>
      </c>
      <c r="T400">
        <v>8</v>
      </c>
      <c r="U400">
        <v>0</v>
      </c>
      <c r="V400">
        <v>8</v>
      </c>
      <c r="W400">
        <v>8</v>
      </c>
      <c r="X400">
        <v>0</v>
      </c>
      <c r="Y400">
        <v>0</v>
      </c>
      <c r="Z400">
        <v>0</v>
      </c>
      <c r="AB400" s="5">
        <v>43528</v>
      </c>
      <c r="AC400" s="5">
        <v>43528</v>
      </c>
      <c r="AD400" s="5">
        <v>43970.333333333336</v>
      </c>
      <c r="AE400" s="5">
        <v>43970.333333333336</v>
      </c>
      <c r="AG400" s="5">
        <v>44044</v>
      </c>
      <c r="AH400" s="5">
        <v>44044</v>
      </c>
      <c r="AK400" s="5">
        <v>43563.333333333336</v>
      </c>
      <c r="AL400" s="5">
        <v>43563.666666666664</v>
      </c>
      <c r="AP400" t="s">
        <v>418</v>
      </c>
      <c r="AU400" t="s">
        <v>2598</v>
      </c>
      <c r="AV400" t="s">
        <v>2599</v>
      </c>
      <c r="AY400" t="s">
        <v>40</v>
      </c>
      <c r="AZ400">
        <v>8</v>
      </c>
      <c r="BA400">
        <v>0</v>
      </c>
      <c r="BI400" s="5">
        <v>44048.176388888889</v>
      </c>
      <c r="BJ400" s="5">
        <v>44048.176388888889</v>
      </c>
      <c r="BK400" t="s">
        <v>778</v>
      </c>
      <c r="BL400" t="s">
        <v>778</v>
      </c>
      <c r="BN400" t="s">
        <v>37</v>
      </c>
    </row>
    <row r="401" spans="1:66" x14ac:dyDescent="0.2">
      <c r="A401">
        <v>3692958</v>
      </c>
      <c r="B401">
        <v>21883</v>
      </c>
      <c r="C401">
        <v>523883</v>
      </c>
      <c r="D401">
        <v>52895</v>
      </c>
      <c r="E401">
        <v>100</v>
      </c>
      <c r="F401" t="s">
        <v>37</v>
      </c>
      <c r="G401">
        <v>1</v>
      </c>
      <c r="H401" t="s">
        <v>37</v>
      </c>
      <c r="I401" t="s">
        <v>37</v>
      </c>
      <c r="J401" t="s">
        <v>775</v>
      </c>
      <c r="K401" t="s">
        <v>230</v>
      </c>
      <c r="L401" t="s">
        <v>226</v>
      </c>
      <c r="M401" t="s">
        <v>422</v>
      </c>
      <c r="N401" t="s">
        <v>2600</v>
      </c>
      <c r="O401" t="s">
        <v>2601</v>
      </c>
      <c r="S401">
        <v>0</v>
      </c>
      <c r="T401">
        <v>0</v>
      </c>
      <c r="U401">
        <v>0</v>
      </c>
      <c r="V401">
        <v>0</v>
      </c>
      <c r="W401">
        <v>56</v>
      </c>
      <c r="X401">
        <v>0</v>
      </c>
      <c r="Y401">
        <v>0</v>
      </c>
      <c r="Z401">
        <v>0</v>
      </c>
      <c r="AB401" s="5">
        <v>43528</v>
      </c>
      <c r="AC401" s="5">
        <v>43535</v>
      </c>
      <c r="AD401" s="5">
        <v>43970.333333333336</v>
      </c>
      <c r="AE401" s="5">
        <v>43970.333333333336</v>
      </c>
      <c r="AG401" s="5">
        <v>44044</v>
      </c>
      <c r="AH401" s="5">
        <v>44044</v>
      </c>
      <c r="AK401" s="5">
        <v>43561.333333333336</v>
      </c>
      <c r="AL401" s="5">
        <v>43567.666666666664</v>
      </c>
      <c r="AP401" t="s">
        <v>418</v>
      </c>
      <c r="AU401" t="s">
        <v>2602</v>
      </c>
      <c r="AV401" t="s">
        <v>2603</v>
      </c>
      <c r="AY401" t="s">
        <v>40</v>
      </c>
      <c r="AZ401">
        <v>0</v>
      </c>
      <c r="BA401">
        <v>0</v>
      </c>
      <c r="BI401" s="5">
        <v>44048.176388888889</v>
      </c>
      <c r="BJ401" s="5">
        <v>44048.176388888889</v>
      </c>
      <c r="BK401" t="s">
        <v>778</v>
      </c>
      <c r="BL401" t="s">
        <v>778</v>
      </c>
      <c r="BN401" t="s">
        <v>37</v>
      </c>
    </row>
    <row r="402" spans="1:66" x14ac:dyDescent="0.2">
      <c r="A402">
        <v>3692959</v>
      </c>
      <c r="B402">
        <v>21883</v>
      </c>
      <c r="C402">
        <v>523882</v>
      </c>
      <c r="D402">
        <v>52899</v>
      </c>
      <c r="E402">
        <v>100</v>
      </c>
      <c r="F402" t="s">
        <v>37</v>
      </c>
      <c r="G402">
        <v>1</v>
      </c>
      <c r="H402" t="s">
        <v>37</v>
      </c>
      <c r="I402" t="s">
        <v>37</v>
      </c>
      <c r="J402" t="s">
        <v>775</v>
      </c>
      <c r="K402" t="s">
        <v>230</v>
      </c>
      <c r="L402" t="s">
        <v>226</v>
      </c>
      <c r="M402" t="s">
        <v>422</v>
      </c>
      <c r="N402" t="s">
        <v>2604</v>
      </c>
      <c r="O402" t="s">
        <v>2605</v>
      </c>
      <c r="S402">
        <v>0</v>
      </c>
      <c r="T402">
        <v>8</v>
      </c>
      <c r="U402">
        <v>0</v>
      </c>
      <c r="V402">
        <v>8</v>
      </c>
      <c r="W402">
        <v>16</v>
      </c>
      <c r="X402">
        <v>0</v>
      </c>
      <c r="Y402">
        <v>0</v>
      </c>
      <c r="Z402">
        <v>0</v>
      </c>
      <c r="AB402" s="5">
        <v>43439</v>
      </c>
      <c r="AC402" s="5">
        <v>43439</v>
      </c>
      <c r="AD402" s="5">
        <v>43970.333333333336</v>
      </c>
      <c r="AE402" s="5">
        <v>43970.333333333336</v>
      </c>
      <c r="AG402" s="5">
        <v>44044</v>
      </c>
      <c r="AH402" s="5">
        <v>44044</v>
      </c>
      <c r="AK402" s="5">
        <v>43476.333333333336</v>
      </c>
      <c r="AL402" s="5">
        <v>43480.666666666664</v>
      </c>
      <c r="AP402" t="s">
        <v>418</v>
      </c>
      <c r="AU402" t="s">
        <v>2606</v>
      </c>
      <c r="AV402" t="s">
        <v>2607</v>
      </c>
      <c r="AY402" t="s">
        <v>40</v>
      </c>
      <c r="AZ402">
        <v>8</v>
      </c>
      <c r="BA402">
        <v>0</v>
      </c>
      <c r="BI402" s="5">
        <v>44048.176388888889</v>
      </c>
      <c r="BJ402" s="5">
        <v>44048.176388888889</v>
      </c>
      <c r="BK402" t="s">
        <v>778</v>
      </c>
      <c r="BL402" t="s">
        <v>778</v>
      </c>
      <c r="BN402" t="s">
        <v>37</v>
      </c>
    </row>
    <row r="403" spans="1:66" x14ac:dyDescent="0.2">
      <c r="A403">
        <v>3692960</v>
      </c>
      <c r="B403">
        <v>21883</v>
      </c>
      <c r="C403">
        <v>523882</v>
      </c>
      <c r="D403">
        <v>52899</v>
      </c>
      <c r="E403">
        <v>100</v>
      </c>
      <c r="F403" t="s">
        <v>37</v>
      </c>
      <c r="G403">
        <v>1</v>
      </c>
      <c r="H403" t="s">
        <v>37</v>
      </c>
      <c r="I403" t="s">
        <v>37</v>
      </c>
      <c r="J403" t="s">
        <v>775</v>
      </c>
      <c r="K403" t="s">
        <v>230</v>
      </c>
      <c r="L403" t="s">
        <v>226</v>
      </c>
      <c r="M403" t="s">
        <v>422</v>
      </c>
      <c r="N403" t="s">
        <v>2608</v>
      </c>
      <c r="O403" t="s">
        <v>2609</v>
      </c>
      <c r="S403">
        <v>0</v>
      </c>
      <c r="T403">
        <v>8</v>
      </c>
      <c r="U403">
        <v>0</v>
      </c>
      <c r="V403">
        <v>8</v>
      </c>
      <c r="W403">
        <v>8</v>
      </c>
      <c r="X403">
        <v>0</v>
      </c>
      <c r="Y403">
        <v>0</v>
      </c>
      <c r="Z403">
        <v>0</v>
      </c>
      <c r="AB403" s="5">
        <v>43473</v>
      </c>
      <c r="AC403" s="5">
        <v>43474</v>
      </c>
      <c r="AD403" s="5">
        <v>43970.333333333336</v>
      </c>
      <c r="AE403" s="5">
        <v>43970.333333333336</v>
      </c>
      <c r="AG403" s="5">
        <v>44044</v>
      </c>
      <c r="AH403" s="5">
        <v>44044</v>
      </c>
      <c r="AK403" s="5">
        <v>43500.333333333336</v>
      </c>
      <c r="AL403" s="5">
        <v>43500.666666666664</v>
      </c>
      <c r="AP403" t="s">
        <v>418</v>
      </c>
      <c r="AU403" t="s">
        <v>2610</v>
      </c>
      <c r="AV403" t="s">
        <v>2611</v>
      </c>
      <c r="AY403" t="s">
        <v>40</v>
      </c>
      <c r="AZ403">
        <v>8</v>
      </c>
      <c r="BA403">
        <v>0</v>
      </c>
      <c r="BI403" s="5">
        <v>44048.176388888889</v>
      </c>
      <c r="BJ403" s="5">
        <v>44048.176388888889</v>
      </c>
      <c r="BK403" t="s">
        <v>778</v>
      </c>
      <c r="BL403" t="s">
        <v>778</v>
      </c>
      <c r="BN403" t="s">
        <v>37</v>
      </c>
    </row>
    <row r="404" spans="1:66" x14ac:dyDescent="0.2">
      <c r="A404">
        <v>3692961</v>
      </c>
      <c r="B404">
        <v>21883</v>
      </c>
      <c r="C404">
        <v>523882</v>
      </c>
      <c r="D404">
        <v>52899</v>
      </c>
      <c r="E404">
        <v>100</v>
      </c>
      <c r="F404" t="s">
        <v>37</v>
      </c>
      <c r="G404">
        <v>1</v>
      </c>
      <c r="H404" t="s">
        <v>37</v>
      </c>
      <c r="I404" t="s">
        <v>37</v>
      </c>
      <c r="J404" t="s">
        <v>775</v>
      </c>
      <c r="K404" t="s">
        <v>230</v>
      </c>
      <c r="L404" t="s">
        <v>226</v>
      </c>
      <c r="M404" t="s">
        <v>422</v>
      </c>
      <c r="N404" t="s">
        <v>2612</v>
      </c>
      <c r="O404" t="s">
        <v>2613</v>
      </c>
      <c r="S404">
        <v>0</v>
      </c>
      <c r="T404">
        <v>0</v>
      </c>
      <c r="U404">
        <v>0</v>
      </c>
      <c r="V404">
        <v>0</v>
      </c>
      <c r="W404">
        <v>24</v>
      </c>
      <c r="X404">
        <v>0</v>
      </c>
      <c r="Y404">
        <v>0</v>
      </c>
      <c r="Z404">
        <v>0</v>
      </c>
      <c r="AB404" s="5">
        <v>43472</v>
      </c>
      <c r="AC404" s="5">
        <v>43514</v>
      </c>
      <c r="AD404" s="5">
        <v>43970.333333333336</v>
      </c>
      <c r="AE404" s="5">
        <v>43970.333333333336</v>
      </c>
      <c r="AG404" s="5">
        <v>44044</v>
      </c>
      <c r="AH404" s="5">
        <v>44044</v>
      </c>
      <c r="AK404" s="5">
        <v>43500.333333333336</v>
      </c>
      <c r="AL404" s="5">
        <v>43502.666666666664</v>
      </c>
      <c r="AP404" t="s">
        <v>418</v>
      </c>
      <c r="AU404" t="s">
        <v>2614</v>
      </c>
      <c r="AV404" t="s">
        <v>2615</v>
      </c>
      <c r="AY404" t="s">
        <v>40</v>
      </c>
      <c r="AZ404">
        <v>0</v>
      </c>
      <c r="BA404">
        <v>0</v>
      </c>
      <c r="BI404" s="5">
        <v>44048.176388888889</v>
      </c>
      <c r="BJ404" s="5">
        <v>44048.176388888889</v>
      </c>
      <c r="BK404" t="s">
        <v>778</v>
      </c>
      <c r="BL404" t="s">
        <v>778</v>
      </c>
      <c r="BN404" t="s">
        <v>37</v>
      </c>
    </row>
    <row r="405" spans="1:66" x14ac:dyDescent="0.2">
      <c r="A405">
        <v>3692962</v>
      </c>
      <c r="B405">
        <v>21883</v>
      </c>
      <c r="C405">
        <v>523882</v>
      </c>
      <c r="D405">
        <v>52899</v>
      </c>
      <c r="E405">
        <v>100</v>
      </c>
      <c r="F405" t="s">
        <v>37</v>
      </c>
      <c r="G405">
        <v>1</v>
      </c>
      <c r="H405" t="s">
        <v>37</v>
      </c>
      <c r="I405" t="s">
        <v>37</v>
      </c>
      <c r="J405" t="s">
        <v>775</v>
      </c>
      <c r="K405" t="s">
        <v>230</v>
      </c>
      <c r="L405" t="s">
        <v>226</v>
      </c>
      <c r="M405" t="s">
        <v>422</v>
      </c>
      <c r="N405" t="s">
        <v>2616</v>
      </c>
      <c r="O405" t="s">
        <v>2617</v>
      </c>
      <c r="S405">
        <v>0</v>
      </c>
      <c r="T405">
        <v>0</v>
      </c>
      <c r="U405">
        <v>0</v>
      </c>
      <c r="V405">
        <v>0</v>
      </c>
      <c r="W405">
        <v>16</v>
      </c>
      <c r="X405">
        <v>0</v>
      </c>
      <c r="Y405">
        <v>0</v>
      </c>
      <c r="Z405">
        <v>0</v>
      </c>
      <c r="AB405" s="5">
        <v>43494</v>
      </c>
      <c r="AC405" s="5">
        <v>43497</v>
      </c>
      <c r="AD405" s="5">
        <v>43970.333333333336</v>
      </c>
      <c r="AE405" s="5">
        <v>43970.333333333336</v>
      </c>
      <c r="AG405" s="5">
        <v>44044</v>
      </c>
      <c r="AH405" s="5">
        <v>44044</v>
      </c>
      <c r="AK405" s="5">
        <v>43507.333333333336</v>
      </c>
      <c r="AL405" s="5">
        <v>43508.666666666664</v>
      </c>
      <c r="AP405" t="s">
        <v>418</v>
      </c>
      <c r="AU405" t="s">
        <v>2618</v>
      </c>
      <c r="AV405" t="s">
        <v>2619</v>
      </c>
      <c r="AY405" t="s">
        <v>40</v>
      </c>
      <c r="AZ405">
        <v>0</v>
      </c>
      <c r="BA405">
        <v>0</v>
      </c>
      <c r="BI405" s="5">
        <v>44048.176388888889</v>
      </c>
      <c r="BJ405" s="5">
        <v>44048.176388888889</v>
      </c>
      <c r="BK405" t="s">
        <v>778</v>
      </c>
      <c r="BL405" t="s">
        <v>778</v>
      </c>
      <c r="BN405" t="s">
        <v>37</v>
      </c>
    </row>
    <row r="406" spans="1:66" x14ac:dyDescent="0.2">
      <c r="A406">
        <v>3692963</v>
      </c>
      <c r="B406">
        <v>21883</v>
      </c>
      <c r="C406">
        <v>523882</v>
      </c>
      <c r="D406">
        <v>52899</v>
      </c>
      <c r="E406">
        <v>100</v>
      </c>
      <c r="F406" t="s">
        <v>37</v>
      </c>
      <c r="G406">
        <v>1</v>
      </c>
      <c r="H406" t="s">
        <v>37</v>
      </c>
      <c r="I406" t="s">
        <v>37</v>
      </c>
      <c r="J406" t="s">
        <v>775</v>
      </c>
      <c r="K406" t="s">
        <v>230</v>
      </c>
      <c r="L406" t="s">
        <v>226</v>
      </c>
      <c r="M406" t="s">
        <v>422</v>
      </c>
      <c r="N406" t="s">
        <v>2620</v>
      </c>
      <c r="O406" t="s">
        <v>2621</v>
      </c>
      <c r="S406">
        <v>0</v>
      </c>
      <c r="T406">
        <v>8</v>
      </c>
      <c r="U406">
        <v>0</v>
      </c>
      <c r="V406">
        <v>8</v>
      </c>
      <c r="W406">
        <v>8</v>
      </c>
      <c r="X406">
        <v>0</v>
      </c>
      <c r="Y406">
        <v>0</v>
      </c>
      <c r="Z406">
        <v>0</v>
      </c>
      <c r="AB406" s="5">
        <v>43523</v>
      </c>
      <c r="AC406" s="5">
        <v>43523</v>
      </c>
      <c r="AD406" s="5">
        <v>43970.333333333336</v>
      </c>
      <c r="AE406" s="5">
        <v>43970.333333333336</v>
      </c>
      <c r="AG406" s="5">
        <v>44044</v>
      </c>
      <c r="AH406" s="5">
        <v>44044</v>
      </c>
      <c r="AK406" s="5">
        <v>43542.333333333336</v>
      </c>
      <c r="AL406" s="5">
        <v>43542.666666666664</v>
      </c>
      <c r="AP406" t="s">
        <v>418</v>
      </c>
      <c r="AU406" t="s">
        <v>2622</v>
      </c>
      <c r="AV406" t="s">
        <v>2623</v>
      </c>
      <c r="AY406" t="s">
        <v>40</v>
      </c>
      <c r="AZ406">
        <v>8</v>
      </c>
      <c r="BA406">
        <v>0</v>
      </c>
      <c r="BI406" s="5">
        <v>44048.176388888889</v>
      </c>
      <c r="BJ406" s="5">
        <v>44048.176388888889</v>
      </c>
      <c r="BK406" t="s">
        <v>778</v>
      </c>
      <c r="BL406" t="s">
        <v>778</v>
      </c>
      <c r="BN406" t="s">
        <v>37</v>
      </c>
    </row>
    <row r="407" spans="1:66" x14ac:dyDescent="0.2">
      <c r="A407">
        <v>3692964</v>
      </c>
      <c r="B407">
        <v>21883</v>
      </c>
      <c r="C407">
        <v>523882</v>
      </c>
      <c r="D407">
        <v>52895</v>
      </c>
      <c r="E407">
        <v>100</v>
      </c>
      <c r="F407" t="s">
        <v>37</v>
      </c>
      <c r="G407">
        <v>1</v>
      </c>
      <c r="H407" t="s">
        <v>37</v>
      </c>
      <c r="I407" t="s">
        <v>37</v>
      </c>
      <c r="J407" t="s">
        <v>775</v>
      </c>
      <c r="K407" t="s">
        <v>230</v>
      </c>
      <c r="L407" t="s">
        <v>226</v>
      </c>
      <c r="M407" t="s">
        <v>422</v>
      </c>
      <c r="N407" t="s">
        <v>2624</v>
      </c>
      <c r="O407" t="s">
        <v>2625</v>
      </c>
      <c r="S407">
        <v>0</v>
      </c>
      <c r="T407">
        <v>0</v>
      </c>
      <c r="U407">
        <v>0</v>
      </c>
      <c r="V407">
        <v>0</v>
      </c>
      <c r="W407">
        <v>56</v>
      </c>
      <c r="X407">
        <v>0</v>
      </c>
      <c r="Y407">
        <v>0</v>
      </c>
      <c r="Z407">
        <v>0</v>
      </c>
      <c r="AB407" s="5">
        <v>43523</v>
      </c>
      <c r="AC407" s="5">
        <v>43530</v>
      </c>
      <c r="AD407" s="5">
        <v>43970.333333333336</v>
      </c>
      <c r="AE407" s="5">
        <v>43970.333333333336</v>
      </c>
      <c r="AG407" s="5">
        <v>44044</v>
      </c>
      <c r="AH407" s="5">
        <v>44044</v>
      </c>
      <c r="AK407" s="5">
        <v>43536.333333333336</v>
      </c>
      <c r="AL407" s="5">
        <v>43542.666666666664</v>
      </c>
      <c r="AP407" t="s">
        <v>418</v>
      </c>
      <c r="AU407" t="s">
        <v>2626</v>
      </c>
      <c r="AV407" t="s">
        <v>2627</v>
      </c>
      <c r="AY407" t="s">
        <v>40</v>
      </c>
      <c r="AZ407">
        <v>0</v>
      </c>
      <c r="BA407">
        <v>0</v>
      </c>
      <c r="BI407" s="5">
        <v>44048.176388888889</v>
      </c>
      <c r="BJ407" s="5">
        <v>44048.176388888889</v>
      </c>
      <c r="BK407" t="s">
        <v>778</v>
      </c>
      <c r="BL407" t="s">
        <v>778</v>
      </c>
      <c r="BN407" t="s">
        <v>37</v>
      </c>
    </row>
    <row r="408" spans="1:66" x14ac:dyDescent="0.2">
      <c r="A408">
        <v>3692965</v>
      </c>
      <c r="B408">
        <v>21883</v>
      </c>
      <c r="C408">
        <v>523881</v>
      </c>
      <c r="D408">
        <v>52899</v>
      </c>
      <c r="E408">
        <v>100</v>
      </c>
      <c r="F408" t="s">
        <v>37</v>
      </c>
      <c r="G408">
        <v>1</v>
      </c>
      <c r="H408" t="s">
        <v>37</v>
      </c>
      <c r="I408" t="s">
        <v>37</v>
      </c>
      <c r="J408" t="s">
        <v>775</v>
      </c>
      <c r="K408" t="s">
        <v>230</v>
      </c>
      <c r="L408" t="s">
        <v>226</v>
      </c>
      <c r="M408" t="s">
        <v>422</v>
      </c>
      <c r="N408" t="s">
        <v>2628</v>
      </c>
      <c r="O408" t="s">
        <v>2629</v>
      </c>
      <c r="S408">
        <v>0</v>
      </c>
      <c r="T408">
        <v>8</v>
      </c>
      <c r="U408">
        <v>0</v>
      </c>
      <c r="V408">
        <v>8</v>
      </c>
      <c r="W408">
        <v>16</v>
      </c>
      <c r="X408">
        <v>0</v>
      </c>
      <c r="Y408">
        <v>0</v>
      </c>
      <c r="Z408">
        <v>0</v>
      </c>
      <c r="AB408" s="5">
        <v>43437</v>
      </c>
      <c r="AC408" s="5">
        <v>43437</v>
      </c>
      <c r="AD408" s="5">
        <v>43970.333333333336</v>
      </c>
      <c r="AE408" s="5">
        <v>43970.333333333336</v>
      </c>
      <c r="AG408" s="5">
        <v>44044</v>
      </c>
      <c r="AH408" s="5">
        <v>44044</v>
      </c>
      <c r="AK408" s="5">
        <v>43468.333333333336</v>
      </c>
      <c r="AL408" s="5">
        <v>43469.666666666664</v>
      </c>
      <c r="AP408" t="s">
        <v>418</v>
      </c>
      <c r="AU408" t="s">
        <v>2630</v>
      </c>
      <c r="AV408" t="s">
        <v>2631</v>
      </c>
      <c r="AY408" t="s">
        <v>40</v>
      </c>
      <c r="AZ408">
        <v>8</v>
      </c>
      <c r="BA408">
        <v>0</v>
      </c>
      <c r="BI408" s="5">
        <v>44048.176388888889</v>
      </c>
      <c r="BJ408" s="5">
        <v>44048.176388888889</v>
      </c>
      <c r="BK408" t="s">
        <v>778</v>
      </c>
      <c r="BL408" t="s">
        <v>778</v>
      </c>
      <c r="BN408" t="s">
        <v>37</v>
      </c>
    </row>
    <row r="409" spans="1:66" x14ac:dyDescent="0.2">
      <c r="A409">
        <v>3692966</v>
      </c>
      <c r="B409">
        <v>21883</v>
      </c>
      <c r="C409">
        <v>523881</v>
      </c>
      <c r="D409">
        <v>52899</v>
      </c>
      <c r="E409">
        <v>100</v>
      </c>
      <c r="F409" t="s">
        <v>37</v>
      </c>
      <c r="G409">
        <v>1</v>
      </c>
      <c r="H409" t="s">
        <v>37</v>
      </c>
      <c r="I409" t="s">
        <v>37</v>
      </c>
      <c r="J409" t="s">
        <v>775</v>
      </c>
      <c r="K409" t="s">
        <v>230</v>
      </c>
      <c r="L409" t="s">
        <v>226</v>
      </c>
      <c r="M409" t="s">
        <v>422</v>
      </c>
      <c r="N409" t="s">
        <v>2632</v>
      </c>
      <c r="O409" t="s">
        <v>2633</v>
      </c>
      <c r="S409">
        <v>0</v>
      </c>
      <c r="T409">
        <v>8</v>
      </c>
      <c r="U409">
        <v>0</v>
      </c>
      <c r="V409">
        <v>8</v>
      </c>
      <c r="W409">
        <v>8</v>
      </c>
      <c r="X409">
        <v>0</v>
      </c>
      <c r="Y409">
        <v>0</v>
      </c>
      <c r="Z409">
        <v>0</v>
      </c>
      <c r="AB409" s="5">
        <v>43474</v>
      </c>
      <c r="AC409" s="5">
        <v>43475</v>
      </c>
      <c r="AD409" s="5">
        <v>43970.333333333336</v>
      </c>
      <c r="AE409" s="5">
        <v>43970.333333333336</v>
      </c>
      <c r="AG409" s="5">
        <v>44044</v>
      </c>
      <c r="AH409" s="5">
        <v>44044</v>
      </c>
      <c r="AK409" s="5">
        <v>43500.333333333336</v>
      </c>
      <c r="AL409" s="5">
        <v>43500.666666666664</v>
      </c>
      <c r="AP409" t="s">
        <v>418</v>
      </c>
      <c r="AU409" t="s">
        <v>2634</v>
      </c>
      <c r="AV409" t="s">
        <v>2635</v>
      </c>
      <c r="AY409" t="s">
        <v>40</v>
      </c>
      <c r="AZ409">
        <v>8</v>
      </c>
      <c r="BA409">
        <v>0</v>
      </c>
      <c r="BI409" s="5">
        <v>44048.176388888889</v>
      </c>
      <c r="BJ409" s="5">
        <v>44048.176388888889</v>
      </c>
      <c r="BK409" t="s">
        <v>778</v>
      </c>
      <c r="BL409" t="s">
        <v>778</v>
      </c>
      <c r="BN409" t="s">
        <v>37</v>
      </c>
    </row>
    <row r="410" spans="1:66" x14ac:dyDescent="0.2">
      <c r="A410">
        <v>3692967</v>
      </c>
      <c r="B410">
        <v>21883</v>
      </c>
      <c r="C410">
        <v>523881</v>
      </c>
      <c r="D410">
        <v>52899</v>
      </c>
      <c r="E410">
        <v>100</v>
      </c>
      <c r="F410" t="s">
        <v>37</v>
      </c>
      <c r="G410">
        <v>1</v>
      </c>
      <c r="H410" t="s">
        <v>37</v>
      </c>
      <c r="I410" t="s">
        <v>37</v>
      </c>
      <c r="J410" t="s">
        <v>775</v>
      </c>
      <c r="K410" t="s">
        <v>230</v>
      </c>
      <c r="L410" t="s">
        <v>226</v>
      </c>
      <c r="M410" t="s">
        <v>422</v>
      </c>
      <c r="N410" t="s">
        <v>2636</v>
      </c>
      <c r="O410" t="s">
        <v>2637</v>
      </c>
      <c r="S410">
        <v>0</v>
      </c>
      <c r="T410">
        <v>0</v>
      </c>
      <c r="U410">
        <v>0</v>
      </c>
      <c r="V410">
        <v>0</v>
      </c>
      <c r="W410">
        <v>24</v>
      </c>
      <c r="X410">
        <v>0</v>
      </c>
      <c r="Y410">
        <v>0</v>
      </c>
      <c r="Z410">
        <v>0</v>
      </c>
      <c r="AB410" s="5">
        <v>43460</v>
      </c>
      <c r="AC410" s="5">
        <v>43462</v>
      </c>
      <c r="AD410" s="5">
        <v>43970.333333333336</v>
      </c>
      <c r="AE410" s="5">
        <v>43970.333333333336</v>
      </c>
      <c r="AG410" s="5">
        <v>44044</v>
      </c>
      <c r="AH410" s="5">
        <v>44044</v>
      </c>
      <c r="AK410" s="5">
        <v>43468.333333333336</v>
      </c>
      <c r="AL410" s="5">
        <v>43472.666666666664</v>
      </c>
      <c r="AP410" t="s">
        <v>418</v>
      </c>
      <c r="AU410" t="s">
        <v>2638</v>
      </c>
      <c r="AV410" t="s">
        <v>2639</v>
      </c>
      <c r="AY410" t="s">
        <v>40</v>
      </c>
      <c r="AZ410">
        <v>0</v>
      </c>
      <c r="BA410">
        <v>0</v>
      </c>
      <c r="BI410" s="5">
        <v>44048.176388888889</v>
      </c>
      <c r="BJ410" s="5">
        <v>44048.176388888889</v>
      </c>
      <c r="BK410" t="s">
        <v>778</v>
      </c>
      <c r="BL410" t="s">
        <v>778</v>
      </c>
      <c r="BN410" t="s">
        <v>37</v>
      </c>
    </row>
    <row r="411" spans="1:66" x14ac:dyDescent="0.2">
      <c r="A411">
        <v>3692968</v>
      </c>
      <c r="B411">
        <v>21883</v>
      </c>
      <c r="C411">
        <v>523881</v>
      </c>
      <c r="D411">
        <v>52899</v>
      </c>
      <c r="E411">
        <v>100</v>
      </c>
      <c r="F411" t="s">
        <v>37</v>
      </c>
      <c r="G411">
        <v>1</v>
      </c>
      <c r="H411" t="s">
        <v>37</v>
      </c>
      <c r="I411" t="s">
        <v>37</v>
      </c>
      <c r="J411" t="s">
        <v>775</v>
      </c>
      <c r="K411" t="s">
        <v>230</v>
      </c>
      <c r="L411" t="s">
        <v>226</v>
      </c>
      <c r="M411" t="s">
        <v>422</v>
      </c>
      <c r="N411" t="s">
        <v>2640</v>
      </c>
      <c r="O411" t="s">
        <v>2641</v>
      </c>
      <c r="S411">
        <v>0</v>
      </c>
      <c r="T411">
        <v>0</v>
      </c>
      <c r="U411">
        <v>0</v>
      </c>
      <c r="V411">
        <v>0</v>
      </c>
      <c r="W411">
        <v>24</v>
      </c>
      <c r="X411">
        <v>0</v>
      </c>
      <c r="Y411">
        <v>0</v>
      </c>
      <c r="Z411">
        <v>0</v>
      </c>
      <c r="AB411" s="5">
        <v>43497</v>
      </c>
      <c r="AC411" s="5">
        <v>43500</v>
      </c>
      <c r="AD411" s="5">
        <v>43970.333333333336</v>
      </c>
      <c r="AE411" s="5">
        <v>43970.333333333336</v>
      </c>
      <c r="AG411" s="5">
        <v>44044</v>
      </c>
      <c r="AH411" s="5">
        <v>44044</v>
      </c>
      <c r="AK411" s="5">
        <v>43528.333333333336</v>
      </c>
      <c r="AL411" s="5">
        <v>43530.666666666664</v>
      </c>
      <c r="AP411" t="s">
        <v>418</v>
      </c>
      <c r="AU411" t="s">
        <v>2642</v>
      </c>
      <c r="AV411" t="s">
        <v>2643</v>
      </c>
      <c r="AY411" t="s">
        <v>40</v>
      </c>
      <c r="AZ411">
        <v>0</v>
      </c>
      <c r="BA411">
        <v>0</v>
      </c>
      <c r="BI411" s="5">
        <v>44048.176388888889</v>
      </c>
      <c r="BJ411" s="5">
        <v>44048.176388888889</v>
      </c>
      <c r="BK411" t="s">
        <v>778</v>
      </c>
      <c r="BL411" t="s">
        <v>778</v>
      </c>
      <c r="BN411" t="s">
        <v>37</v>
      </c>
    </row>
    <row r="412" spans="1:66" x14ac:dyDescent="0.2">
      <c r="A412">
        <v>3692969</v>
      </c>
      <c r="B412">
        <v>21883</v>
      </c>
      <c r="C412">
        <v>523881</v>
      </c>
      <c r="D412">
        <v>52899</v>
      </c>
      <c r="E412">
        <v>100</v>
      </c>
      <c r="F412" t="s">
        <v>37</v>
      </c>
      <c r="G412">
        <v>1</v>
      </c>
      <c r="H412" t="s">
        <v>37</v>
      </c>
      <c r="I412" t="s">
        <v>37</v>
      </c>
      <c r="J412" t="s">
        <v>775</v>
      </c>
      <c r="K412" t="s">
        <v>230</v>
      </c>
      <c r="L412" t="s">
        <v>226</v>
      </c>
      <c r="M412" t="s">
        <v>422</v>
      </c>
      <c r="N412" t="s">
        <v>2644</v>
      </c>
      <c r="O412" t="s">
        <v>2645</v>
      </c>
      <c r="S412">
        <v>0</v>
      </c>
      <c r="T412">
        <v>8</v>
      </c>
      <c r="U412">
        <v>0</v>
      </c>
      <c r="V412">
        <v>8</v>
      </c>
      <c r="W412">
        <v>8</v>
      </c>
      <c r="X412">
        <v>0</v>
      </c>
      <c r="Y412">
        <v>0</v>
      </c>
      <c r="Z412">
        <v>0</v>
      </c>
      <c r="AB412" s="5">
        <v>43521</v>
      </c>
      <c r="AC412" s="5">
        <v>43521</v>
      </c>
      <c r="AD412" s="5">
        <v>43970.333333333336</v>
      </c>
      <c r="AE412" s="5">
        <v>43970.333333333336</v>
      </c>
      <c r="AG412" s="5">
        <v>44044</v>
      </c>
      <c r="AH412" s="5">
        <v>44044</v>
      </c>
      <c r="AK412" s="5">
        <v>43536.333333333336</v>
      </c>
      <c r="AL412" s="5">
        <v>43536.666666666664</v>
      </c>
      <c r="AP412" t="s">
        <v>418</v>
      </c>
      <c r="AU412" t="s">
        <v>2646</v>
      </c>
      <c r="AV412" t="s">
        <v>2647</v>
      </c>
      <c r="AY412" t="s">
        <v>40</v>
      </c>
      <c r="AZ412">
        <v>8</v>
      </c>
      <c r="BA412">
        <v>0</v>
      </c>
      <c r="BI412" s="5">
        <v>44048.176388888889</v>
      </c>
      <c r="BJ412" s="5">
        <v>44048.176388888889</v>
      </c>
      <c r="BK412" t="s">
        <v>778</v>
      </c>
      <c r="BL412" t="s">
        <v>778</v>
      </c>
      <c r="BN412" t="s">
        <v>37</v>
      </c>
    </row>
    <row r="413" spans="1:66" x14ac:dyDescent="0.2">
      <c r="A413">
        <v>3692970</v>
      </c>
      <c r="B413">
        <v>21883</v>
      </c>
      <c r="C413">
        <v>523881</v>
      </c>
      <c r="D413">
        <v>52895</v>
      </c>
      <c r="E413">
        <v>100</v>
      </c>
      <c r="F413" t="s">
        <v>37</v>
      </c>
      <c r="G413">
        <v>1</v>
      </c>
      <c r="H413" t="s">
        <v>37</v>
      </c>
      <c r="I413" t="s">
        <v>37</v>
      </c>
      <c r="J413" t="s">
        <v>775</v>
      </c>
      <c r="K413" t="s">
        <v>230</v>
      </c>
      <c r="L413" t="s">
        <v>226</v>
      </c>
      <c r="M413" t="s">
        <v>422</v>
      </c>
      <c r="N413" t="s">
        <v>2648</v>
      </c>
      <c r="O413" t="s">
        <v>2649</v>
      </c>
      <c r="S413">
        <v>0</v>
      </c>
      <c r="T413">
        <v>0</v>
      </c>
      <c r="U413">
        <v>0</v>
      </c>
      <c r="V413">
        <v>0</v>
      </c>
      <c r="W413">
        <v>56</v>
      </c>
      <c r="X413">
        <v>0</v>
      </c>
      <c r="Y413">
        <v>0</v>
      </c>
      <c r="Z413">
        <v>0</v>
      </c>
      <c r="AB413" s="5">
        <v>43521</v>
      </c>
      <c r="AC413" s="5">
        <v>43528</v>
      </c>
      <c r="AD413" s="5">
        <v>43970.333333333336</v>
      </c>
      <c r="AE413" s="5">
        <v>43970.333333333336</v>
      </c>
      <c r="AG413" s="5">
        <v>44044</v>
      </c>
      <c r="AH413" s="5">
        <v>44044</v>
      </c>
      <c r="AK413" s="5">
        <v>43536.333333333336</v>
      </c>
      <c r="AL413" s="5">
        <v>43542.666666666664</v>
      </c>
      <c r="AP413" t="s">
        <v>418</v>
      </c>
      <c r="AU413" t="s">
        <v>2650</v>
      </c>
      <c r="AV413" t="s">
        <v>2651</v>
      </c>
      <c r="AY413" t="s">
        <v>40</v>
      </c>
      <c r="AZ413">
        <v>0</v>
      </c>
      <c r="BA413">
        <v>0</v>
      </c>
      <c r="BI413" s="5">
        <v>44048.176388888889</v>
      </c>
      <c r="BJ413" s="5">
        <v>44048.176388888889</v>
      </c>
      <c r="BK413" t="s">
        <v>778</v>
      </c>
      <c r="BL413" t="s">
        <v>778</v>
      </c>
      <c r="BN413" t="s">
        <v>37</v>
      </c>
    </row>
    <row r="414" spans="1:66" x14ac:dyDescent="0.2">
      <c r="A414">
        <v>3692971</v>
      </c>
      <c r="B414">
        <v>21883</v>
      </c>
      <c r="C414">
        <v>523880</v>
      </c>
      <c r="D414">
        <v>52899</v>
      </c>
      <c r="E414">
        <v>100</v>
      </c>
      <c r="F414" t="s">
        <v>37</v>
      </c>
      <c r="G414">
        <v>1</v>
      </c>
      <c r="H414" t="s">
        <v>37</v>
      </c>
      <c r="I414" t="s">
        <v>37</v>
      </c>
      <c r="J414" t="s">
        <v>775</v>
      </c>
      <c r="K414" t="s">
        <v>230</v>
      </c>
      <c r="L414" t="s">
        <v>226</v>
      </c>
      <c r="M414" t="s">
        <v>422</v>
      </c>
      <c r="N414" t="s">
        <v>2652</v>
      </c>
      <c r="O414" t="s">
        <v>2653</v>
      </c>
      <c r="S414">
        <v>0</v>
      </c>
      <c r="T414">
        <v>8</v>
      </c>
      <c r="U414">
        <v>0</v>
      </c>
      <c r="V414">
        <v>8</v>
      </c>
      <c r="W414">
        <v>16</v>
      </c>
      <c r="X414">
        <v>0</v>
      </c>
      <c r="Y414">
        <v>0</v>
      </c>
      <c r="Z414">
        <v>0</v>
      </c>
      <c r="AB414" s="5">
        <v>43413</v>
      </c>
      <c r="AC414" s="5">
        <v>43413</v>
      </c>
      <c r="AD414" s="5">
        <v>43970.333333333336</v>
      </c>
      <c r="AE414" s="5">
        <v>43970.333333333336</v>
      </c>
      <c r="AG414" s="5">
        <v>44044</v>
      </c>
      <c r="AH414" s="5">
        <v>44044</v>
      </c>
      <c r="AK414" s="5">
        <v>43476.333333333336</v>
      </c>
      <c r="AL414" s="5">
        <v>43480.666666666664</v>
      </c>
      <c r="AP414" t="s">
        <v>418</v>
      </c>
      <c r="AU414" t="s">
        <v>2654</v>
      </c>
      <c r="AV414" t="s">
        <v>2655</v>
      </c>
      <c r="AY414" t="s">
        <v>40</v>
      </c>
      <c r="AZ414">
        <v>8</v>
      </c>
      <c r="BA414">
        <v>0</v>
      </c>
      <c r="BI414" s="5">
        <v>44048.176388888889</v>
      </c>
      <c r="BJ414" s="5">
        <v>44048.176388888889</v>
      </c>
      <c r="BK414" t="s">
        <v>778</v>
      </c>
      <c r="BL414" t="s">
        <v>778</v>
      </c>
      <c r="BN414" t="s">
        <v>37</v>
      </c>
    </row>
    <row r="415" spans="1:66" x14ac:dyDescent="0.2">
      <c r="A415">
        <v>3692972</v>
      </c>
      <c r="B415">
        <v>21883</v>
      </c>
      <c r="C415">
        <v>523880</v>
      </c>
      <c r="D415">
        <v>52899</v>
      </c>
      <c r="E415">
        <v>100</v>
      </c>
      <c r="F415" t="s">
        <v>37</v>
      </c>
      <c r="G415">
        <v>1</v>
      </c>
      <c r="H415" t="s">
        <v>37</v>
      </c>
      <c r="I415" t="s">
        <v>37</v>
      </c>
      <c r="J415" t="s">
        <v>775</v>
      </c>
      <c r="K415" t="s">
        <v>230</v>
      </c>
      <c r="L415" t="s">
        <v>226</v>
      </c>
      <c r="M415" t="s">
        <v>422</v>
      </c>
      <c r="N415" t="s">
        <v>2656</v>
      </c>
      <c r="O415" t="s">
        <v>2657</v>
      </c>
      <c r="S415">
        <v>0</v>
      </c>
      <c r="T415">
        <v>8</v>
      </c>
      <c r="U415">
        <v>0</v>
      </c>
      <c r="V415">
        <v>8</v>
      </c>
      <c r="W415">
        <v>8</v>
      </c>
      <c r="X415">
        <v>0</v>
      </c>
      <c r="Y415">
        <v>0</v>
      </c>
      <c r="Z415">
        <v>0</v>
      </c>
      <c r="AB415" s="5">
        <v>43473</v>
      </c>
      <c r="AC415" s="5">
        <v>43475</v>
      </c>
      <c r="AD415" s="5">
        <v>43970.333333333336</v>
      </c>
      <c r="AE415" s="5">
        <v>43970.333333333336</v>
      </c>
      <c r="AG415" s="5">
        <v>44044</v>
      </c>
      <c r="AH415" s="5">
        <v>44044</v>
      </c>
      <c r="AK415" s="5">
        <v>43500.333333333336</v>
      </c>
      <c r="AL415" s="5">
        <v>43500.666666666664</v>
      </c>
      <c r="AP415" t="s">
        <v>418</v>
      </c>
      <c r="AU415" t="s">
        <v>2658</v>
      </c>
      <c r="AV415" t="s">
        <v>2659</v>
      </c>
      <c r="AY415" t="s">
        <v>40</v>
      </c>
      <c r="AZ415">
        <v>8</v>
      </c>
      <c r="BA415">
        <v>0</v>
      </c>
      <c r="BI415" s="5">
        <v>44048.176388888889</v>
      </c>
      <c r="BJ415" s="5">
        <v>44048.176388888889</v>
      </c>
      <c r="BK415" t="s">
        <v>778</v>
      </c>
      <c r="BL415" t="s">
        <v>778</v>
      </c>
      <c r="BN415" t="s">
        <v>37</v>
      </c>
    </row>
    <row r="416" spans="1:66" x14ac:dyDescent="0.2">
      <c r="A416">
        <v>3692973</v>
      </c>
      <c r="B416">
        <v>21883</v>
      </c>
      <c r="C416">
        <v>523880</v>
      </c>
      <c r="D416">
        <v>52899</v>
      </c>
      <c r="E416">
        <v>100</v>
      </c>
      <c r="F416" t="s">
        <v>37</v>
      </c>
      <c r="G416">
        <v>1</v>
      </c>
      <c r="H416" t="s">
        <v>37</v>
      </c>
      <c r="I416" t="s">
        <v>37</v>
      </c>
      <c r="J416" t="s">
        <v>775</v>
      </c>
      <c r="K416" t="s">
        <v>230</v>
      </c>
      <c r="L416" t="s">
        <v>226</v>
      </c>
      <c r="M416" t="s">
        <v>422</v>
      </c>
      <c r="N416" t="s">
        <v>2660</v>
      </c>
      <c r="O416" t="s">
        <v>2661</v>
      </c>
      <c r="S416">
        <v>0</v>
      </c>
      <c r="T416">
        <v>0</v>
      </c>
      <c r="U416">
        <v>0</v>
      </c>
      <c r="V416">
        <v>0</v>
      </c>
      <c r="W416">
        <v>24</v>
      </c>
      <c r="X416">
        <v>0</v>
      </c>
      <c r="Y416">
        <v>0</v>
      </c>
      <c r="Z416">
        <v>0</v>
      </c>
      <c r="AB416" s="5">
        <v>43453</v>
      </c>
      <c r="AC416" s="5">
        <v>43460</v>
      </c>
      <c r="AD416" s="5">
        <v>43970.333333333336</v>
      </c>
      <c r="AE416" s="5">
        <v>43970.333333333336</v>
      </c>
      <c r="AG416" s="5">
        <v>44044</v>
      </c>
      <c r="AH416" s="5">
        <v>44044</v>
      </c>
      <c r="AK416" s="5">
        <v>43468.333333333336</v>
      </c>
      <c r="AL416" s="5">
        <v>43472.666666666664</v>
      </c>
      <c r="AP416" t="s">
        <v>418</v>
      </c>
      <c r="AU416" t="s">
        <v>2662</v>
      </c>
      <c r="AV416" t="s">
        <v>2663</v>
      </c>
      <c r="AY416" t="s">
        <v>40</v>
      </c>
      <c r="AZ416">
        <v>0</v>
      </c>
      <c r="BA416">
        <v>0</v>
      </c>
      <c r="BI416" s="5">
        <v>44048.176388888889</v>
      </c>
      <c r="BJ416" s="5">
        <v>44048.176388888889</v>
      </c>
      <c r="BK416" t="s">
        <v>778</v>
      </c>
      <c r="BL416" t="s">
        <v>778</v>
      </c>
      <c r="BN416" t="s">
        <v>37</v>
      </c>
    </row>
    <row r="417" spans="1:66" x14ac:dyDescent="0.2">
      <c r="A417">
        <v>3692974</v>
      </c>
      <c r="B417">
        <v>21883</v>
      </c>
      <c r="C417">
        <v>523880</v>
      </c>
      <c r="D417">
        <v>52899</v>
      </c>
      <c r="E417">
        <v>100</v>
      </c>
      <c r="F417" t="s">
        <v>37</v>
      </c>
      <c r="G417">
        <v>1</v>
      </c>
      <c r="H417" t="s">
        <v>37</v>
      </c>
      <c r="I417" t="s">
        <v>37</v>
      </c>
      <c r="J417" t="s">
        <v>775</v>
      </c>
      <c r="K417" t="s">
        <v>230</v>
      </c>
      <c r="L417" t="s">
        <v>226</v>
      </c>
      <c r="M417" t="s">
        <v>422</v>
      </c>
      <c r="N417" t="s">
        <v>2664</v>
      </c>
      <c r="O417" t="s">
        <v>2665</v>
      </c>
      <c r="S417">
        <v>0</v>
      </c>
      <c r="T417">
        <v>0</v>
      </c>
      <c r="U417">
        <v>0</v>
      </c>
      <c r="V417">
        <v>0</v>
      </c>
      <c r="W417">
        <v>16</v>
      </c>
      <c r="X417">
        <v>0</v>
      </c>
      <c r="Y417">
        <v>0</v>
      </c>
      <c r="Z417">
        <v>0</v>
      </c>
      <c r="AB417" s="5">
        <v>43489</v>
      </c>
      <c r="AC417" s="5">
        <v>43500</v>
      </c>
      <c r="AD417" s="5">
        <v>43970.333333333336</v>
      </c>
      <c r="AE417" s="5">
        <v>43970.333333333336</v>
      </c>
      <c r="AG417" s="5">
        <v>44044</v>
      </c>
      <c r="AH417" s="5">
        <v>44044</v>
      </c>
      <c r="AK417" s="5">
        <v>43507.333333333336</v>
      </c>
      <c r="AL417" s="5">
        <v>43508.666666666664</v>
      </c>
      <c r="AP417" t="s">
        <v>418</v>
      </c>
      <c r="AU417" t="s">
        <v>2666</v>
      </c>
      <c r="AV417" t="s">
        <v>2667</v>
      </c>
      <c r="AY417" t="s">
        <v>40</v>
      </c>
      <c r="AZ417">
        <v>0</v>
      </c>
      <c r="BA417">
        <v>0</v>
      </c>
      <c r="BI417" s="5">
        <v>44048.176388888889</v>
      </c>
      <c r="BJ417" s="5">
        <v>44048.176388888889</v>
      </c>
      <c r="BK417" t="s">
        <v>778</v>
      </c>
      <c r="BL417" t="s">
        <v>778</v>
      </c>
      <c r="BN417" t="s">
        <v>37</v>
      </c>
    </row>
    <row r="418" spans="1:66" x14ac:dyDescent="0.2">
      <c r="A418">
        <v>3692975</v>
      </c>
      <c r="B418">
        <v>21883</v>
      </c>
      <c r="C418">
        <v>523880</v>
      </c>
      <c r="D418">
        <v>52899</v>
      </c>
      <c r="E418">
        <v>100</v>
      </c>
      <c r="F418" t="s">
        <v>37</v>
      </c>
      <c r="G418">
        <v>1</v>
      </c>
      <c r="H418" t="s">
        <v>37</v>
      </c>
      <c r="I418" t="s">
        <v>37</v>
      </c>
      <c r="J418" t="s">
        <v>775</v>
      </c>
      <c r="K418" t="s">
        <v>230</v>
      </c>
      <c r="L418" t="s">
        <v>226</v>
      </c>
      <c r="M418" t="s">
        <v>422</v>
      </c>
      <c r="N418" t="s">
        <v>2668</v>
      </c>
      <c r="O418" t="s">
        <v>2669</v>
      </c>
      <c r="S418">
        <v>0</v>
      </c>
      <c r="T418">
        <v>8</v>
      </c>
      <c r="U418">
        <v>0</v>
      </c>
      <c r="V418">
        <v>8</v>
      </c>
      <c r="W418">
        <v>8</v>
      </c>
      <c r="X418">
        <v>0</v>
      </c>
      <c r="Y418">
        <v>0</v>
      </c>
      <c r="Z418">
        <v>0</v>
      </c>
      <c r="AB418" s="5">
        <v>43531</v>
      </c>
      <c r="AC418" s="5">
        <v>43531</v>
      </c>
      <c r="AD418" s="5">
        <v>43970.333333333336</v>
      </c>
      <c r="AE418" s="5">
        <v>43970.333333333336</v>
      </c>
      <c r="AG418" s="5">
        <v>44044</v>
      </c>
      <c r="AH418" s="5">
        <v>44044</v>
      </c>
      <c r="AK418" s="5">
        <v>43559.333333333336</v>
      </c>
      <c r="AL418" s="5">
        <v>43559.666666666664</v>
      </c>
      <c r="AP418" t="s">
        <v>418</v>
      </c>
      <c r="AU418" t="s">
        <v>2670</v>
      </c>
      <c r="AV418" t="s">
        <v>2671</v>
      </c>
      <c r="AY418" t="s">
        <v>40</v>
      </c>
      <c r="AZ418">
        <v>8</v>
      </c>
      <c r="BA418">
        <v>0</v>
      </c>
      <c r="BI418" s="5">
        <v>44048.176388888889</v>
      </c>
      <c r="BJ418" s="5">
        <v>44048.176388888889</v>
      </c>
      <c r="BK418" t="s">
        <v>778</v>
      </c>
      <c r="BL418" t="s">
        <v>778</v>
      </c>
      <c r="BN418" t="s">
        <v>37</v>
      </c>
    </row>
    <row r="419" spans="1:66" x14ac:dyDescent="0.2">
      <c r="A419">
        <v>3692976</v>
      </c>
      <c r="B419">
        <v>21883</v>
      </c>
      <c r="C419">
        <v>523880</v>
      </c>
      <c r="D419">
        <v>52895</v>
      </c>
      <c r="E419">
        <v>100</v>
      </c>
      <c r="F419" t="s">
        <v>37</v>
      </c>
      <c r="G419">
        <v>1</v>
      </c>
      <c r="H419" t="s">
        <v>37</v>
      </c>
      <c r="I419" t="s">
        <v>37</v>
      </c>
      <c r="J419" t="s">
        <v>775</v>
      </c>
      <c r="K419" t="s">
        <v>230</v>
      </c>
      <c r="L419" t="s">
        <v>226</v>
      </c>
      <c r="M419" t="s">
        <v>422</v>
      </c>
      <c r="N419" t="s">
        <v>2672</v>
      </c>
      <c r="O419" t="s">
        <v>2673</v>
      </c>
      <c r="S419">
        <v>0</v>
      </c>
      <c r="T419">
        <v>0</v>
      </c>
      <c r="U419">
        <v>0</v>
      </c>
      <c r="V419">
        <v>0</v>
      </c>
      <c r="W419">
        <v>56</v>
      </c>
      <c r="X419">
        <v>0</v>
      </c>
      <c r="Y419">
        <v>0</v>
      </c>
      <c r="Z419">
        <v>0</v>
      </c>
      <c r="AB419" s="5">
        <v>43531</v>
      </c>
      <c r="AC419" s="5">
        <v>43538</v>
      </c>
      <c r="AD419" s="5">
        <v>43970.333333333336</v>
      </c>
      <c r="AE419" s="5">
        <v>43970.333333333336</v>
      </c>
      <c r="AG419" s="5">
        <v>44044</v>
      </c>
      <c r="AH419" s="5">
        <v>44044</v>
      </c>
      <c r="AK419" s="5">
        <v>43559.333333333336</v>
      </c>
      <c r="AL419" s="5">
        <v>43565.666666666664</v>
      </c>
      <c r="AP419" t="s">
        <v>418</v>
      </c>
      <c r="AU419" t="s">
        <v>2674</v>
      </c>
      <c r="AV419" t="s">
        <v>2675</v>
      </c>
      <c r="AY419" t="s">
        <v>40</v>
      </c>
      <c r="AZ419">
        <v>0</v>
      </c>
      <c r="BA419">
        <v>0</v>
      </c>
      <c r="BI419" s="5">
        <v>44048.176388888889</v>
      </c>
      <c r="BJ419" s="5">
        <v>44048.176388888889</v>
      </c>
      <c r="BK419" t="s">
        <v>778</v>
      </c>
      <c r="BL419" t="s">
        <v>778</v>
      </c>
      <c r="BN419" t="s">
        <v>37</v>
      </c>
    </row>
    <row r="420" spans="1:66" x14ac:dyDescent="0.2">
      <c r="A420">
        <v>3692977</v>
      </c>
      <c r="B420">
        <v>21883</v>
      </c>
      <c r="C420">
        <v>523879</v>
      </c>
      <c r="D420">
        <v>52899</v>
      </c>
      <c r="E420">
        <v>100</v>
      </c>
      <c r="F420" t="s">
        <v>37</v>
      </c>
      <c r="G420">
        <v>1</v>
      </c>
      <c r="H420" t="s">
        <v>37</v>
      </c>
      <c r="I420" t="s">
        <v>37</v>
      </c>
      <c r="J420" t="s">
        <v>775</v>
      </c>
      <c r="K420" t="s">
        <v>230</v>
      </c>
      <c r="L420" t="s">
        <v>226</v>
      </c>
      <c r="M420" t="s">
        <v>422</v>
      </c>
      <c r="N420" t="s">
        <v>2676</v>
      </c>
      <c r="O420" t="s">
        <v>2677</v>
      </c>
      <c r="S420">
        <v>0</v>
      </c>
      <c r="T420">
        <v>8</v>
      </c>
      <c r="U420">
        <v>0</v>
      </c>
      <c r="V420">
        <v>8</v>
      </c>
      <c r="W420">
        <v>16</v>
      </c>
      <c r="X420">
        <v>0</v>
      </c>
      <c r="Y420">
        <v>0</v>
      </c>
      <c r="Z420">
        <v>0</v>
      </c>
      <c r="AB420" s="5">
        <v>43430</v>
      </c>
      <c r="AC420" s="5">
        <v>43430</v>
      </c>
      <c r="AD420" s="5">
        <v>43970.333333333336</v>
      </c>
      <c r="AE420" s="5">
        <v>43970.333333333336</v>
      </c>
      <c r="AG420" s="5">
        <v>44044</v>
      </c>
      <c r="AH420" s="5">
        <v>44044</v>
      </c>
      <c r="AK420" s="5">
        <v>43476.333333333336</v>
      </c>
      <c r="AL420" s="5">
        <v>43480.666666666664</v>
      </c>
      <c r="AP420" t="s">
        <v>418</v>
      </c>
      <c r="AU420" t="s">
        <v>2678</v>
      </c>
      <c r="AV420" t="s">
        <v>2679</v>
      </c>
      <c r="AY420" t="s">
        <v>40</v>
      </c>
      <c r="AZ420">
        <v>8</v>
      </c>
      <c r="BA420">
        <v>0</v>
      </c>
      <c r="BI420" s="5">
        <v>44048.176388888889</v>
      </c>
      <c r="BJ420" s="5">
        <v>44048.176388888889</v>
      </c>
      <c r="BK420" t="s">
        <v>778</v>
      </c>
      <c r="BL420" t="s">
        <v>778</v>
      </c>
      <c r="BN420" t="s">
        <v>37</v>
      </c>
    </row>
    <row r="421" spans="1:66" x14ac:dyDescent="0.2">
      <c r="A421">
        <v>3692978</v>
      </c>
      <c r="B421">
        <v>21883</v>
      </c>
      <c r="C421">
        <v>523879</v>
      </c>
      <c r="D421">
        <v>52899</v>
      </c>
      <c r="E421">
        <v>100</v>
      </c>
      <c r="F421" t="s">
        <v>37</v>
      </c>
      <c r="G421">
        <v>1</v>
      </c>
      <c r="H421" t="s">
        <v>37</v>
      </c>
      <c r="I421" t="s">
        <v>37</v>
      </c>
      <c r="J421" t="s">
        <v>775</v>
      </c>
      <c r="K421" t="s">
        <v>230</v>
      </c>
      <c r="L421" t="s">
        <v>226</v>
      </c>
      <c r="M421" t="s">
        <v>422</v>
      </c>
      <c r="N421" t="s">
        <v>2680</v>
      </c>
      <c r="O421" t="s">
        <v>2681</v>
      </c>
      <c r="S421">
        <v>0</v>
      </c>
      <c r="T421">
        <v>8</v>
      </c>
      <c r="U421">
        <v>0</v>
      </c>
      <c r="V421">
        <v>8</v>
      </c>
      <c r="W421">
        <v>8</v>
      </c>
      <c r="X421">
        <v>0</v>
      </c>
      <c r="Y421">
        <v>0</v>
      </c>
      <c r="Z421">
        <v>0</v>
      </c>
      <c r="AB421" s="5">
        <v>43472</v>
      </c>
      <c r="AC421" s="5">
        <v>43473</v>
      </c>
      <c r="AD421" s="5">
        <v>43970.333333333336</v>
      </c>
      <c r="AE421" s="5">
        <v>43970.333333333336</v>
      </c>
      <c r="AG421" s="5">
        <v>44044</v>
      </c>
      <c r="AH421" s="5">
        <v>44044</v>
      </c>
      <c r="AK421" s="5">
        <v>43500.333333333336</v>
      </c>
      <c r="AL421" s="5">
        <v>43500.666666666664</v>
      </c>
      <c r="AP421" t="s">
        <v>418</v>
      </c>
      <c r="AU421" t="s">
        <v>2682</v>
      </c>
      <c r="AV421" t="s">
        <v>2683</v>
      </c>
      <c r="AY421" t="s">
        <v>40</v>
      </c>
      <c r="AZ421">
        <v>8</v>
      </c>
      <c r="BA421">
        <v>0</v>
      </c>
      <c r="BI421" s="5">
        <v>44048.176388888889</v>
      </c>
      <c r="BJ421" s="5">
        <v>44048.176388888889</v>
      </c>
      <c r="BK421" t="s">
        <v>778</v>
      </c>
      <c r="BL421" t="s">
        <v>778</v>
      </c>
      <c r="BN421" t="s">
        <v>37</v>
      </c>
    </row>
    <row r="422" spans="1:66" x14ac:dyDescent="0.2">
      <c r="A422">
        <v>3692979</v>
      </c>
      <c r="B422">
        <v>21883</v>
      </c>
      <c r="C422">
        <v>523879</v>
      </c>
      <c r="D422">
        <v>52899</v>
      </c>
      <c r="E422">
        <v>100</v>
      </c>
      <c r="F422" t="s">
        <v>37</v>
      </c>
      <c r="G422">
        <v>1</v>
      </c>
      <c r="H422" t="s">
        <v>37</v>
      </c>
      <c r="I422" t="s">
        <v>37</v>
      </c>
      <c r="J422" t="s">
        <v>775</v>
      </c>
      <c r="K422" t="s">
        <v>230</v>
      </c>
      <c r="L422" t="s">
        <v>226</v>
      </c>
      <c r="M422" t="s">
        <v>422</v>
      </c>
      <c r="N422" t="s">
        <v>2684</v>
      </c>
      <c r="O422" t="s">
        <v>2685</v>
      </c>
      <c r="S422">
        <v>0</v>
      </c>
      <c r="T422">
        <v>0</v>
      </c>
      <c r="U422">
        <v>0</v>
      </c>
      <c r="V422">
        <v>0</v>
      </c>
      <c r="W422">
        <v>24</v>
      </c>
      <c r="X422">
        <v>0</v>
      </c>
      <c r="Y422">
        <v>0</v>
      </c>
      <c r="Z422">
        <v>0</v>
      </c>
      <c r="AB422" s="5">
        <v>43453</v>
      </c>
      <c r="AC422" s="5">
        <v>43460</v>
      </c>
      <c r="AD422" s="5">
        <v>43970.333333333336</v>
      </c>
      <c r="AE422" s="5">
        <v>43970.333333333336</v>
      </c>
      <c r="AG422" s="5">
        <v>44044</v>
      </c>
      <c r="AH422" s="5">
        <v>44044</v>
      </c>
      <c r="AK422" s="5">
        <v>43468.333333333336</v>
      </c>
      <c r="AL422" s="5">
        <v>43472.666666666664</v>
      </c>
      <c r="AP422" t="s">
        <v>418</v>
      </c>
      <c r="AU422" t="s">
        <v>2686</v>
      </c>
      <c r="AV422" t="s">
        <v>2687</v>
      </c>
      <c r="AY422" t="s">
        <v>40</v>
      </c>
      <c r="AZ422">
        <v>0</v>
      </c>
      <c r="BA422">
        <v>0</v>
      </c>
      <c r="BI422" s="5">
        <v>44048.176388888889</v>
      </c>
      <c r="BJ422" s="5">
        <v>44048.176388888889</v>
      </c>
      <c r="BK422" t="s">
        <v>778</v>
      </c>
      <c r="BL422" t="s">
        <v>778</v>
      </c>
      <c r="BN422" t="s">
        <v>37</v>
      </c>
    </row>
    <row r="423" spans="1:66" x14ac:dyDescent="0.2">
      <c r="A423">
        <v>3692980</v>
      </c>
      <c r="B423">
        <v>21883</v>
      </c>
      <c r="C423">
        <v>523879</v>
      </c>
      <c r="D423">
        <v>52899</v>
      </c>
      <c r="E423">
        <v>100</v>
      </c>
      <c r="F423" t="s">
        <v>37</v>
      </c>
      <c r="G423">
        <v>1</v>
      </c>
      <c r="H423" t="s">
        <v>37</v>
      </c>
      <c r="I423" t="s">
        <v>37</v>
      </c>
      <c r="J423" t="s">
        <v>775</v>
      </c>
      <c r="K423" t="s">
        <v>230</v>
      </c>
      <c r="L423" t="s">
        <v>226</v>
      </c>
      <c r="M423" t="s">
        <v>422</v>
      </c>
      <c r="N423" t="s">
        <v>2688</v>
      </c>
      <c r="O423" t="s">
        <v>2689</v>
      </c>
      <c r="S423">
        <v>0</v>
      </c>
      <c r="T423">
        <v>0</v>
      </c>
      <c r="U423">
        <v>0</v>
      </c>
      <c r="V423">
        <v>0</v>
      </c>
      <c r="W423">
        <v>16</v>
      </c>
      <c r="X423">
        <v>0</v>
      </c>
      <c r="Y423">
        <v>0</v>
      </c>
      <c r="Z423">
        <v>0</v>
      </c>
      <c r="AB423" s="5">
        <v>43488</v>
      </c>
      <c r="AC423" s="5">
        <v>43503</v>
      </c>
      <c r="AD423" s="5">
        <v>43970.333333333336</v>
      </c>
      <c r="AE423" s="5">
        <v>43970.333333333336</v>
      </c>
      <c r="AG423" s="5">
        <v>44044</v>
      </c>
      <c r="AH423" s="5">
        <v>44044</v>
      </c>
      <c r="AK423" s="5">
        <v>43507.333333333336</v>
      </c>
      <c r="AL423" s="5">
        <v>43508.666666666664</v>
      </c>
      <c r="AP423" t="s">
        <v>418</v>
      </c>
      <c r="AU423" t="s">
        <v>2690</v>
      </c>
      <c r="AV423" t="s">
        <v>2691</v>
      </c>
      <c r="AY423" t="s">
        <v>40</v>
      </c>
      <c r="AZ423">
        <v>0</v>
      </c>
      <c r="BA423">
        <v>0</v>
      </c>
      <c r="BI423" s="5">
        <v>44048.176388888889</v>
      </c>
      <c r="BJ423" s="5">
        <v>44048.176388888889</v>
      </c>
      <c r="BK423" t="s">
        <v>778</v>
      </c>
      <c r="BL423" t="s">
        <v>778</v>
      </c>
      <c r="BN423" t="s">
        <v>37</v>
      </c>
    </row>
    <row r="424" spans="1:66" x14ac:dyDescent="0.2">
      <c r="A424">
        <v>3692981</v>
      </c>
      <c r="B424">
        <v>21883</v>
      </c>
      <c r="C424">
        <v>523879</v>
      </c>
      <c r="D424">
        <v>52899</v>
      </c>
      <c r="E424">
        <v>100</v>
      </c>
      <c r="F424" t="s">
        <v>37</v>
      </c>
      <c r="G424">
        <v>1</v>
      </c>
      <c r="H424" t="s">
        <v>37</v>
      </c>
      <c r="I424" t="s">
        <v>37</v>
      </c>
      <c r="J424" t="s">
        <v>775</v>
      </c>
      <c r="K424" t="s">
        <v>230</v>
      </c>
      <c r="L424" t="s">
        <v>226</v>
      </c>
      <c r="M424" t="s">
        <v>422</v>
      </c>
      <c r="N424" t="s">
        <v>2692</v>
      </c>
      <c r="O424" t="s">
        <v>2693</v>
      </c>
      <c r="S424">
        <v>0</v>
      </c>
      <c r="T424">
        <v>8</v>
      </c>
      <c r="U424">
        <v>0</v>
      </c>
      <c r="V424">
        <v>8</v>
      </c>
      <c r="W424">
        <v>8</v>
      </c>
      <c r="X424">
        <v>0</v>
      </c>
      <c r="Y424">
        <v>0</v>
      </c>
      <c r="Z424">
        <v>0</v>
      </c>
      <c r="AB424" s="5">
        <v>43509</v>
      </c>
      <c r="AC424" s="5">
        <v>43509</v>
      </c>
      <c r="AD424" s="5">
        <v>43970.333333333336</v>
      </c>
      <c r="AE424" s="5">
        <v>43970.333333333336</v>
      </c>
      <c r="AG424" s="5">
        <v>44044</v>
      </c>
      <c r="AH424" s="5">
        <v>44044</v>
      </c>
      <c r="AK424" s="5">
        <v>43538.333333333336</v>
      </c>
      <c r="AL424" s="5">
        <v>43538.666666666664</v>
      </c>
      <c r="AP424" t="s">
        <v>418</v>
      </c>
      <c r="AU424" t="s">
        <v>2694</v>
      </c>
      <c r="AV424" t="s">
        <v>2695</v>
      </c>
      <c r="AY424" t="s">
        <v>40</v>
      </c>
      <c r="AZ424">
        <v>8</v>
      </c>
      <c r="BA424">
        <v>0</v>
      </c>
      <c r="BI424" s="5">
        <v>44048.176388888889</v>
      </c>
      <c r="BJ424" s="5">
        <v>44048.176388888889</v>
      </c>
      <c r="BK424" t="s">
        <v>778</v>
      </c>
      <c r="BL424" t="s">
        <v>778</v>
      </c>
      <c r="BN424" t="s">
        <v>37</v>
      </c>
    </row>
    <row r="425" spans="1:66" x14ac:dyDescent="0.2">
      <c r="A425">
        <v>3692982</v>
      </c>
      <c r="B425">
        <v>21883</v>
      </c>
      <c r="C425">
        <v>523879</v>
      </c>
      <c r="D425">
        <v>52895</v>
      </c>
      <c r="E425">
        <v>100</v>
      </c>
      <c r="F425" t="s">
        <v>37</v>
      </c>
      <c r="G425">
        <v>1</v>
      </c>
      <c r="H425" t="s">
        <v>37</v>
      </c>
      <c r="I425" t="s">
        <v>37</v>
      </c>
      <c r="J425" t="s">
        <v>775</v>
      </c>
      <c r="K425" t="s">
        <v>230</v>
      </c>
      <c r="L425" t="s">
        <v>226</v>
      </c>
      <c r="M425" t="s">
        <v>422</v>
      </c>
      <c r="N425" t="s">
        <v>2696</v>
      </c>
      <c r="O425" t="s">
        <v>2697</v>
      </c>
      <c r="S425">
        <v>0</v>
      </c>
      <c r="T425">
        <v>0</v>
      </c>
      <c r="U425">
        <v>0</v>
      </c>
      <c r="V425">
        <v>0</v>
      </c>
      <c r="W425">
        <v>56</v>
      </c>
      <c r="X425">
        <v>0</v>
      </c>
      <c r="Y425">
        <v>0</v>
      </c>
      <c r="Z425">
        <v>0</v>
      </c>
      <c r="AB425" s="5">
        <v>43509</v>
      </c>
      <c r="AC425" s="5">
        <v>43516</v>
      </c>
      <c r="AD425" s="5">
        <v>43970.333333333336</v>
      </c>
      <c r="AE425" s="5">
        <v>43970.333333333336</v>
      </c>
      <c r="AG425" s="5">
        <v>44044</v>
      </c>
      <c r="AH425" s="5">
        <v>44044</v>
      </c>
      <c r="AK425" s="5">
        <v>43525.333333333336</v>
      </c>
      <c r="AL425" s="5">
        <v>43531.666666666664</v>
      </c>
      <c r="AP425" t="s">
        <v>418</v>
      </c>
      <c r="AU425" t="s">
        <v>2698</v>
      </c>
      <c r="AV425" t="s">
        <v>2699</v>
      </c>
      <c r="AY425" t="s">
        <v>40</v>
      </c>
      <c r="AZ425">
        <v>0</v>
      </c>
      <c r="BA425">
        <v>0</v>
      </c>
      <c r="BI425" s="5">
        <v>44048.176388888889</v>
      </c>
      <c r="BJ425" s="5">
        <v>44048.176388888889</v>
      </c>
      <c r="BK425" t="s">
        <v>778</v>
      </c>
      <c r="BL425" t="s">
        <v>778</v>
      </c>
      <c r="BN425" t="s">
        <v>37</v>
      </c>
    </row>
    <row r="426" spans="1:66" x14ac:dyDescent="0.2">
      <c r="A426">
        <v>3692983</v>
      </c>
      <c r="B426">
        <v>21883</v>
      </c>
      <c r="C426">
        <v>523878</v>
      </c>
      <c r="D426">
        <v>52899</v>
      </c>
      <c r="E426">
        <v>100</v>
      </c>
      <c r="F426" t="s">
        <v>37</v>
      </c>
      <c r="G426">
        <v>1</v>
      </c>
      <c r="H426" t="s">
        <v>37</v>
      </c>
      <c r="I426" t="s">
        <v>37</v>
      </c>
      <c r="J426" t="s">
        <v>775</v>
      </c>
      <c r="K426" t="s">
        <v>230</v>
      </c>
      <c r="L426" t="s">
        <v>226</v>
      </c>
      <c r="M426" t="s">
        <v>422</v>
      </c>
      <c r="N426" t="s">
        <v>2700</v>
      </c>
      <c r="O426" t="s">
        <v>2701</v>
      </c>
      <c r="S426">
        <v>0</v>
      </c>
      <c r="T426">
        <v>8</v>
      </c>
      <c r="U426">
        <v>0</v>
      </c>
      <c r="V426">
        <v>8</v>
      </c>
      <c r="W426">
        <v>16</v>
      </c>
      <c r="X426">
        <v>0</v>
      </c>
      <c r="Y426">
        <v>0</v>
      </c>
      <c r="Z426">
        <v>0</v>
      </c>
      <c r="AB426" s="5">
        <v>43432</v>
      </c>
      <c r="AC426" s="5">
        <v>43432</v>
      </c>
      <c r="AD426" s="5">
        <v>43970.333333333336</v>
      </c>
      <c r="AE426" s="5">
        <v>43970.333333333336</v>
      </c>
      <c r="AG426" s="5">
        <v>44044</v>
      </c>
      <c r="AH426" s="5">
        <v>44044</v>
      </c>
      <c r="AK426" s="5">
        <v>43476.333333333336</v>
      </c>
      <c r="AL426" s="5">
        <v>43480.666666666664</v>
      </c>
      <c r="AO426" t="s">
        <v>2366</v>
      </c>
      <c r="AP426" t="s">
        <v>418</v>
      </c>
      <c r="AU426" t="s">
        <v>2702</v>
      </c>
      <c r="AV426" t="s">
        <v>2703</v>
      </c>
      <c r="AY426" t="s">
        <v>40</v>
      </c>
      <c r="AZ426">
        <v>8</v>
      </c>
      <c r="BA426">
        <v>0</v>
      </c>
      <c r="BI426" s="5">
        <v>44048.176388888889</v>
      </c>
      <c r="BJ426" s="5">
        <v>44048.176388888889</v>
      </c>
      <c r="BK426" t="s">
        <v>778</v>
      </c>
      <c r="BL426" t="s">
        <v>778</v>
      </c>
      <c r="BN426" t="s">
        <v>37</v>
      </c>
    </row>
    <row r="427" spans="1:66" x14ac:dyDescent="0.2">
      <c r="A427">
        <v>3692984</v>
      </c>
      <c r="B427">
        <v>21883</v>
      </c>
      <c r="C427">
        <v>523878</v>
      </c>
      <c r="D427">
        <v>52899</v>
      </c>
      <c r="E427">
        <v>100</v>
      </c>
      <c r="F427" t="s">
        <v>37</v>
      </c>
      <c r="G427">
        <v>1</v>
      </c>
      <c r="H427" t="s">
        <v>37</v>
      </c>
      <c r="I427" t="s">
        <v>37</v>
      </c>
      <c r="J427" t="s">
        <v>775</v>
      </c>
      <c r="K427" t="s">
        <v>230</v>
      </c>
      <c r="L427" t="s">
        <v>226</v>
      </c>
      <c r="M427" t="s">
        <v>422</v>
      </c>
      <c r="N427" t="s">
        <v>2704</v>
      </c>
      <c r="O427" t="s">
        <v>2705</v>
      </c>
      <c r="S427">
        <v>0</v>
      </c>
      <c r="T427">
        <v>8</v>
      </c>
      <c r="U427">
        <v>0</v>
      </c>
      <c r="V427">
        <v>8</v>
      </c>
      <c r="W427">
        <v>8</v>
      </c>
      <c r="X427">
        <v>0</v>
      </c>
      <c r="Y427">
        <v>0</v>
      </c>
      <c r="Z427">
        <v>0</v>
      </c>
      <c r="AB427" s="5">
        <v>43467</v>
      </c>
      <c r="AC427" s="5">
        <v>43470</v>
      </c>
      <c r="AD427" s="5">
        <v>43970.333333333336</v>
      </c>
      <c r="AE427" s="5">
        <v>43970.333333333336</v>
      </c>
      <c r="AG427" s="5">
        <v>44044</v>
      </c>
      <c r="AH427" s="5">
        <v>44044</v>
      </c>
      <c r="AK427" s="5">
        <v>43468.333333333336</v>
      </c>
      <c r="AL427" s="5">
        <v>43468.666666666664</v>
      </c>
      <c r="AP427" t="s">
        <v>418</v>
      </c>
      <c r="AU427" t="s">
        <v>2706</v>
      </c>
      <c r="AV427" t="s">
        <v>2707</v>
      </c>
      <c r="AY427" t="s">
        <v>40</v>
      </c>
      <c r="AZ427">
        <v>8</v>
      </c>
      <c r="BA427">
        <v>0</v>
      </c>
      <c r="BI427" s="5">
        <v>44048.176388888889</v>
      </c>
      <c r="BJ427" s="5">
        <v>44048.176388888889</v>
      </c>
      <c r="BK427" t="s">
        <v>778</v>
      </c>
      <c r="BL427" t="s">
        <v>778</v>
      </c>
      <c r="BN427" t="s">
        <v>37</v>
      </c>
    </row>
    <row r="428" spans="1:66" x14ac:dyDescent="0.2">
      <c r="A428">
        <v>3692985</v>
      </c>
      <c r="B428">
        <v>21883</v>
      </c>
      <c r="C428">
        <v>523878</v>
      </c>
      <c r="D428">
        <v>52899</v>
      </c>
      <c r="E428">
        <v>100</v>
      </c>
      <c r="F428" t="s">
        <v>37</v>
      </c>
      <c r="G428">
        <v>1</v>
      </c>
      <c r="H428" t="s">
        <v>37</v>
      </c>
      <c r="I428" t="s">
        <v>37</v>
      </c>
      <c r="J428" t="s">
        <v>775</v>
      </c>
      <c r="K428" t="s">
        <v>230</v>
      </c>
      <c r="L428" t="s">
        <v>226</v>
      </c>
      <c r="M428" t="s">
        <v>422</v>
      </c>
      <c r="N428" t="s">
        <v>2708</v>
      </c>
      <c r="O428" t="s">
        <v>2709</v>
      </c>
      <c r="S428">
        <v>0</v>
      </c>
      <c r="T428">
        <v>0</v>
      </c>
      <c r="U428">
        <v>0</v>
      </c>
      <c r="V428">
        <v>0</v>
      </c>
      <c r="W428">
        <v>24</v>
      </c>
      <c r="X428">
        <v>0</v>
      </c>
      <c r="Y428">
        <v>0</v>
      </c>
      <c r="Z428">
        <v>0</v>
      </c>
      <c r="AB428" s="5">
        <v>43453</v>
      </c>
      <c r="AC428" s="5">
        <v>43455</v>
      </c>
      <c r="AD428" s="5">
        <v>43970.333333333336</v>
      </c>
      <c r="AE428" s="5">
        <v>43970.333333333336</v>
      </c>
      <c r="AG428" s="5">
        <v>44044</v>
      </c>
      <c r="AH428" s="5">
        <v>44044</v>
      </c>
      <c r="AK428" s="5">
        <v>43468.333333333336</v>
      </c>
      <c r="AL428" s="5">
        <v>43472.666666666664</v>
      </c>
      <c r="AP428" t="s">
        <v>418</v>
      </c>
      <c r="AU428" t="s">
        <v>2710</v>
      </c>
      <c r="AV428" t="s">
        <v>2711</v>
      </c>
      <c r="AY428" t="s">
        <v>40</v>
      </c>
      <c r="AZ428">
        <v>0</v>
      </c>
      <c r="BA428">
        <v>0</v>
      </c>
      <c r="BI428" s="5">
        <v>44048.176388888889</v>
      </c>
      <c r="BJ428" s="5">
        <v>44048.176388888889</v>
      </c>
      <c r="BK428" t="s">
        <v>778</v>
      </c>
      <c r="BL428" t="s">
        <v>778</v>
      </c>
      <c r="BN428" t="s">
        <v>37</v>
      </c>
    </row>
    <row r="429" spans="1:66" x14ac:dyDescent="0.2">
      <c r="A429">
        <v>3692986</v>
      </c>
      <c r="B429">
        <v>21883</v>
      </c>
      <c r="C429">
        <v>523878</v>
      </c>
      <c r="D429">
        <v>52899</v>
      </c>
      <c r="E429">
        <v>100</v>
      </c>
      <c r="F429" t="s">
        <v>37</v>
      </c>
      <c r="G429">
        <v>1</v>
      </c>
      <c r="H429" t="s">
        <v>37</v>
      </c>
      <c r="I429" t="s">
        <v>37</v>
      </c>
      <c r="J429" t="s">
        <v>775</v>
      </c>
      <c r="K429" t="s">
        <v>230</v>
      </c>
      <c r="L429" t="s">
        <v>226</v>
      </c>
      <c r="M429" t="s">
        <v>422</v>
      </c>
      <c r="N429" t="s">
        <v>2712</v>
      </c>
      <c r="O429" t="s">
        <v>2713</v>
      </c>
      <c r="S429">
        <v>0</v>
      </c>
      <c r="T429">
        <v>0</v>
      </c>
      <c r="U429">
        <v>0</v>
      </c>
      <c r="V429">
        <v>0</v>
      </c>
      <c r="W429">
        <v>16</v>
      </c>
      <c r="X429">
        <v>0</v>
      </c>
      <c r="Y429">
        <v>0</v>
      </c>
      <c r="Z429">
        <v>0</v>
      </c>
      <c r="AB429" s="5">
        <v>43487</v>
      </c>
      <c r="AC429" s="5">
        <v>43497</v>
      </c>
      <c r="AD429" s="5">
        <v>43970.333333333336</v>
      </c>
      <c r="AE429" s="5">
        <v>43970.333333333336</v>
      </c>
      <c r="AG429" s="5">
        <v>44044</v>
      </c>
      <c r="AH429" s="5">
        <v>44044</v>
      </c>
      <c r="AK429" s="5">
        <v>43475.333333333336</v>
      </c>
      <c r="AL429" s="5">
        <v>43476.666666666664</v>
      </c>
      <c r="AP429" t="s">
        <v>418</v>
      </c>
      <c r="AU429" t="s">
        <v>2714</v>
      </c>
      <c r="AV429" t="s">
        <v>2715</v>
      </c>
      <c r="AY429" t="s">
        <v>40</v>
      </c>
      <c r="AZ429">
        <v>0</v>
      </c>
      <c r="BA429">
        <v>0</v>
      </c>
      <c r="BI429" s="5">
        <v>44048.176388888889</v>
      </c>
      <c r="BJ429" s="5">
        <v>44048.176388888889</v>
      </c>
      <c r="BK429" t="s">
        <v>778</v>
      </c>
      <c r="BL429" t="s">
        <v>778</v>
      </c>
      <c r="BN429" t="s">
        <v>37</v>
      </c>
    </row>
    <row r="430" spans="1:66" x14ac:dyDescent="0.2">
      <c r="A430">
        <v>3692987</v>
      </c>
      <c r="B430">
        <v>21883</v>
      </c>
      <c r="C430">
        <v>523878</v>
      </c>
      <c r="D430">
        <v>52899</v>
      </c>
      <c r="E430">
        <v>100</v>
      </c>
      <c r="F430" t="s">
        <v>37</v>
      </c>
      <c r="G430">
        <v>1</v>
      </c>
      <c r="H430" t="s">
        <v>37</v>
      </c>
      <c r="I430" t="s">
        <v>37</v>
      </c>
      <c r="J430" t="s">
        <v>775</v>
      </c>
      <c r="K430" t="s">
        <v>230</v>
      </c>
      <c r="L430" t="s">
        <v>226</v>
      </c>
      <c r="M430" t="s">
        <v>422</v>
      </c>
      <c r="N430" t="s">
        <v>2716</v>
      </c>
      <c r="O430" t="s">
        <v>2717</v>
      </c>
      <c r="S430">
        <v>0</v>
      </c>
      <c r="T430">
        <v>8</v>
      </c>
      <c r="U430">
        <v>0</v>
      </c>
      <c r="V430">
        <v>8</v>
      </c>
      <c r="W430">
        <v>8</v>
      </c>
      <c r="X430">
        <v>0</v>
      </c>
      <c r="Y430">
        <v>0</v>
      </c>
      <c r="Z430">
        <v>0</v>
      </c>
      <c r="AB430" s="5">
        <v>43504</v>
      </c>
      <c r="AC430" s="5">
        <v>43504</v>
      </c>
      <c r="AD430" s="5">
        <v>43970.333333333336</v>
      </c>
      <c r="AE430" s="5">
        <v>43970.333333333336</v>
      </c>
      <c r="AG430" s="5">
        <v>44044</v>
      </c>
      <c r="AH430" s="5">
        <v>44044</v>
      </c>
      <c r="AK430" s="5">
        <v>43538.333333333336</v>
      </c>
      <c r="AL430" s="5">
        <v>43538.666666666664</v>
      </c>
      <c r="AP430" t="s">
        <v>418</v>
      </c>
      <c r="AU430" t="s">
        <v>2718</v>
      </c>
      <c r="AV430" t="s">
        <v>2719</v>
      </c>
      <c r="AY430" t="s">
        <v>40</v>
      </c>
      <c r="AZ430">
        <v>8</v>
      </c>
      <c r="BA430">
        <v>0</v>
      </c>
      <c r="BI430" s="5">
        <v>44048.176388888889</v>
      </c>
      <c r="BJ430" s="5">
        <v>44048.176388888889</v>
      </c>
      <c r="BK430" t="s">
        <v>778</v>
      </c>
      <c r="BL430" t="s">
        <v>778</v>
      </c>
      <c r="BN430" t="s">
        <v>37</v>
      </c>
    </row>
    <row r="431" spans="1:66" x14ac:dyDescent="0.2">
      <c r="A431">
        <v>3692988</v>
      </c>
      <c r="B431">
        <v>21883</v>
      </c>
      <c r="C431">
        <v>523878</v>
      </c>
      <c r="D431">
        <v>52895</v>
      </c>
      <c r="E431">
        <v>100</v>
      </c>
      <c r="F431" t="s">
        <v>37</v>
      </c>
      <c r="G431">
        <v>1</v>
      </c>
      <c r="H431" t="s">
        <v>37</v>
      </c>
      <c r="I431" t="s">
        <v>37</v>
      </c>
      <c r="J431" t="s">
        <v>775</v>
      </c>
      <c r="K431" t="s">
        <v>230</v>
      </c>
      <c r="L431" t="s">
        <v>226</v>
      </c>
      <c r="M431" t="s">
        <v>422</v>
      </c>
      <c r="N431" t="s">
        <v>2720</v>
      </c>
      <c r="O431" t="s">
        <v>2721</v>
      </c>
      <c r="S431">
        <v>0</v>
      </c>
      <c r="T431">
        <v>0</v>
      </c>
      <c r="U431">
        <v>0</v>
      </c>
      <c r="V431">
        <v>0</v>
      </c>
      <c r="W431">
        <v>56</v>
      </c>
      <c r="X431">
        <v>0</v>
      </c>
      <c r="Y431">
        <v>0</v>
      </c>
      <c r="Z431">
        <v>0</v>
      </c>
      <c r="AB431" s="5">
        <v>43504</v>
      </c>
      <c r="AC431" s="5">
        <v>43511</v>
      </c>
      <c r="AD431" s="5">
        <v>43970.333333333336</v>
      </c>
      <c r="AE431" s="5">
        <v>43970.333333333336</v>
      </c>
      <c r="AG431" s="5">
        <v>44044</v>
      </c>
      <c r="AH431" s="5">
        <v>44044</v>
      </c>
      <c r="AK431" s="5">
        <v>43537.333333333336</v>
      </c>
      <c r="AL431" s="5">
        <v>43543.666666666664</v>
      </c>
      <c r="AP431" t="s">
        <v>418</v>
      </c>
      <c r="AU431" t="s">
        <v>2722</v>
      </c>
      <c r="AV431" t="s">
        <v>2723</v>
      </c>
      <c r="AY431" t="s">
        <v>40</v>
      </c>
      <c r="AZ431">
        <v>0</v>
      </c>
      <c r="BA431">
        <v>0</v>
      </c>
      <c r="BI431" s="5">
        <v>44048.176388888889</v>
      </c>
      <c r="BJ431" s="5">
        <v>44048.176388888889</v>
      </c>
      <c r="BK431" t="s">
        <v>778</v>
      </c>
      <c r="BL431" t="s">
        <v>778</v>
      </c>
      <c r="BN431" t="s">
        <v>37</v>
      </c>
    </row>
    <row r="432" spans="1:66" x14ac:dyDescent="0.2">
      <c r="A432">
        <v>3692989</v>
      </c>
      <c r="B432">
        <v>21883</v>
      </c>
      <c r="C432">
        <v>523877</v>
      </c>
      <c r="D432">
        <v>52897</v>
      </c>
      <c r="E432">
        <v>100</v>
      </c>
      <c r="F432" t="s">
        <v>37</v>
      </c>
      <c r="G432">
        <v>1</v>
      </c>
      <c r="H432" t="s">
        <v>37</v>
      </c>
      <c r="I432" t="s">
        <v>37</v>
      </c>
      <c r="J432" t="s">
        <v>775</v>
      </c>
      <c r="K432" t="s">
        <v>230</v>
      </c>
      <c r="L432" t="s">
        <v>226</v>
      </c>
      <c r="M432" t="s">
        <v>422</v>
      </c>
      <c r="N432" t="s">
        <v>2724</v>
      </c>
      <c r="O432" t="s">
        <v>2725</v>
      </c>
      <c r="S432">
        <v>0</v>
      </c>
      <c r="T432">
        <v>0</v>
      </c>
      <c r="U432">
        <v>0</v>
      </c>
      <c r="V432">
        <v>0</v>
      </c>
      <c r="W432">
        <v>24</v>
      </c>
      <c r="X432">
        <v>0</v>
      </c>
      <c r="Y432">
        <v>0</v>
      </c>
      <c r="Z432">
        <v>0</v>
      </c>
      <c r="AB432" s="5">
        <v>43585</v>
      </c>
      <c r="AC432" s="5">
        <v>43587</v>
      </c>
      <c r="AD432" s="5">
        <v>43970.333333333336</v>
      </c>
      <c r="AE432" s="5">
        <v>43970.333333333336</v>
      </c>
      <c r="AG432" s="5">
        <v>44044</v>
      </c>
      <c r="AH432" s="5">
        <v>44044</v>
      </c>
      <c r="AK432" s="5">
        <v>43586.333333333336</v>
      </c>
      <c r="AL432" s="5">
        <v>43588.666666666664</v>
      </c>
      <c r="AP432" t="s">
        <v>418</v>
      </c>
      <c r="AU432" t="s">
        <v>2726</v>
      </c>
      <c r="AV432" t="s">
        <v>2727</v>
      </c>
      <c r="AY432" t="s">
        <v>40</v>
      </c>
      <c r="AZ432">
        <v>0</v>
      </c>
      <c r="BA432">
        <v>0</v>
      </c>
      <c r="BI432" s="5">
        <v>44048.176388888889</v>
      </c>
      <c r="BJ432" s="5">
        <v>44048.176388888889</v>
      </c>
      <c r="BK432" t="s">
        <v>778</v>
      </c>
      <c r="BL432" t="s">
        <v>778</v>
      </c>
      <c r="BN432" t="s">
        <v>37</v>
      </c>
    </row>
    <row r="433" spans="1:66" x14ac:dyDescent="0.2">
      <c r="A433">
        <v>3692990</v>
      </c>
      <c r="B433">
        <v>21883</v>
      </c>
      <c r="C433">
        <v>523877</v>
      </c>
      <c r="D433">
        <v>52899</v>
      </c>
      <c r="E433">
        <v>100</v>
      </c>
      <c r="F433" t="s">
        <v>37</v>
      </c>
      <c r="G433">
        <v>1</v>
      </c>
      <c r="H433" t="s">
        <v>37</v>
      </c>
      <c r="I433" t="s">
        <v>37</v>
      </c>
      <c r="J433" t="s">
        <v>775</v>
      </c>
      <c r="K433" t="s">
        <v>230</v>
      </c>
      <c r="L433" t="s">
        <v>226</v>
      </c>
      <c r="M433" t="s">
        <v>422</v>
      </c>
      <c r="N433" t="s">
        <v>2728</v>
      </c>
      <c r="O433" t="s">
        <v>2729</v>
      </c>
      <c r="S433">
        <v>0</v>
      </c>
      <c r="T433">
        <v>0</v>
      </c>
      <c r="U433">
        <v>0</v>
      </c>
      <c r="V433">
        <v>0</v>
      </c>
      <c r="W433">
        <v>24</v>
      </c>
      <c r="X433">
        <v>0</v>
      </c>
      <c r="Y433">
        <v>0</v>
      </c>
      <c r="Z433">
        <v>0</v>
      </c>
      <c r="AB433" s="5">
        <v>43592</v>
      </c>
      <c r="AC433" s="5">
        <v>43593</v>
      </c>
      <c r="AD433" s="5">
        <v>43970.333333333336</v>
      </c>
      <c r="AE433" s="5">
        <v>43970.333333333336</v>
      </c>
      <c r="AG433" s="5">
        <v>44044</v>
      </c>
      <c r="AH433" s="5">
        <v>44044</v>
      </c>
      <c r="AK433" s="5">
        <v>43623.333333333336</v>
      </c>
      <c r="AL433" s="5">
        <v>43627.666666666664</v>
      </c>
      <c r="AP433" t="s">
        <v>418</v>
      </c>
      <c r="AU433" t="s">
        <v>2730</v>
      </c>
      <c r="AV433" t="s">
        <v>2731</v>
      </c>
      <c r="AY433" t="s">
        <v>40</v>
      </c>
      <c r="AZ433">
        <v>0</v>
      </c>
      <c r="BA433">
        <v>0</v>
      </c>
      <c r="BI433" s="5">
        <v>44048.176388888889</v>
      </c>
      <c r="BJ433" s="5">
        <v>44048.176388888889</v>
      </c>
      <c r="BK433" t="s">
        <v>778</v>
      </c>
      <c r="BL433" t="s">
        <v>778</v>
      </c>
      <c r="BN433" t="s">
        <v>37</v>
      </c>
    </row>
    <row r="434" spans="1:66" x14ac:dyDescent="0.2">
      <c r="A434">
        <v>3692991</v>
      </c>
      <c r="B434">
        <v>21883</v>
      </c>
      <c r="C434">
        <v>523968</v>
      </c>
      <c r="D434">
        <v>52895</v>
      </c>
      <c r="E434">
        <v>100</v>
      </c>
      <c r="F434" t="s">
        <v>37</v>
      </c>
      <c r="G434">
        <v>1</v>
      </c>
      <c r="H434" t="s">
        <v>37</v>
      </c>
      <c r="I434" t="s">
        <v>37</v>
      </c>
      <c r="J434" t="s">
        <v>775</v>
      </c>
      <c r="K434" t="s">
        <v>423</v>
      </c>
      <c r="L434" t="s">
        <v>420</v>
      </c>
      <c r="M434" t="s">
        <v>422</v>
      </c>
      <c r="N434" t="s">
        <v>2732</v>
      </c>
      <c r="O434" t="s">
        <v>2733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B434" s="5">
        <v>43609</v>
      </c>
      <c r="AC434" s="5">
        <v>43609</v>
      </c>
      <c r="AD434" s="5">
        <v>43970.333333333336</v>
      </c>
      <c r="AE434" s="5">
        <v>43970.333333333336</v>
      </c>
      <c r="AG434" s="5">
        <v>44044</v>
      </c>
      <c r="AH434" s="5">
        <v>44044</v>
      </c>
      <c r="AK434" s="5">
        <v>43647.333333333336</v>
      </c>
      <c r="AL434" s="5">
        <v>43647.333333333336</v>
      </c>
      <c r="AP434" t="s">
        <v>418</v>
      </c>
      <c r="AU434" t="s">
        <v>2734</v>
      </c>
      <c r="AV434" t="s">
        <v>2735</v>
      </c>
      <c r="AY434" t="s">
        <v>40</v>
      </c>
      <c r="AZ434">
        <v>0</v>
      </c>
      <c r="BA434">
        <v>0</v>
      </c>
      <c r="BI434" s="5">
        <v>44048.176388888889</v>
      </c>
      <c r="BJ434" s="5">
        <v>44048.176388888889</v>
      </c>
      <c r="BK434" t="s">
        <v>778</v>
      </c>
      <c r="BL434" t="s">
        <v>778</v>
      </c>
      <c r="BN434" t="s">
        <v>37</v>
      </c>
    </row>
    <row r="435" spans="1:66" x14ac:dyDescent="0.2">
      <c r="A435">
        <v>3692992</v>
      </c>
      <c r="B435">
        <v>21883</v>
      </c>
      <c r="C435">
        <v>523877</v>
      </c>
      <c r="D435">
        <v>52899</v>
      </c>
      <c r="E435">
        <v>100</v>
      </c>
      <c r="F435" t="s">
        <v>37</v>
      </c>
      <c r="G435">
        <v>1</v>
      </c>
      <c r="H435" t="s">
        <v>37</v>
      </c>
      <c r="I435" t="s">
        <v>37</v>
      </c>
      <c r="J435" t="s">
        <v>775</v>
      </c>
      <c r="K435" t="s">
        <v>230</v>
      </c>
      <c r="L435" t="s">
        <v>226</v>
      </c>
      <c r="M435" t="s">
        <v>422</v>
      </c>
      <c r="N435" t="s">
        <v>2736</v>
      </c>
      <c r="O435" t="s">
        <v>2737</v>
      </c>
      <c r="S435">
        <v>0</v>
      </c>
      <c r="T435">
        <v>0</v>
      </c>
      <c r="U435">
        <v>0</v>
      </c>
      <c r="V435">
        <v>0</v>
      </c>
      <c r="W435">
        <v>40</v>
      </c>
      <c r="X435">
        <v>0</v>
      </c>
      <c r="Y435">
        <v>0</v>
      </c>
      <c r="Z435">
        <v>0</v>
      </c>
      <c r="AB435" s="5">
        <v>43577</v>
      </c>
      <c r="AC435" s="5">
        <v>43577</v>
      </c>
      <c r="AD435" s="5">
        <v>43970.333333333336</v>
      </c>
      <c r="AE435" s="5">
        <v>43970.333333333336</v>
      </c>
      <c r="AG435" s="5">
        <v>44044</v>
      </c>
      <c r="AH435" s="5">
        <v>44044</v>
      </c>
      <c r="AK435" s="5">
        <v>43594.333333333336</v>
      </c>
      <c r="AL435" s="5">
        <v>43602.666666666664</v>
      </c>
      <c r="AP435" t="s">
        <v>418</v>
      </c>
      <c r="AU435" t="s">
        <v>2738</v>
      </c>
      <c r="AV435" t="s">
        <v>2739</v>
      </c>
      <c r="AY435" t="s">
        <v>40</v>
      </c>
      <c r="AZ435">
        <v>0</v>
      </c>
      <c r="BA435">
        <v>0</v>
      </c>
      <c r="BI435" s="5">
        <v>44048.176388888889</v>
      </c>
      <c r="BJ435" s="5">
        <v>44048.176388888889</v>
      </c>
      <c r="BK435" t="s">
        <v>778</v>
      </c>
      <c r="BL435" t="s">
        <v>778</v>
      </c>
      <c r="BN435" t="s">
        <v>37</v>
      </c>
    </row>
    <row r="436" spans="1:66" x14ac:dyDescent="0.2">
      <c r="A436">
        <v>3692993</v>
      </c>
      <c r="B436">
        <v>21883</v>
      </c>
      <c r="C436">
        <v>523971</v>
      </c>
      <c r="D436">
        <v>52899</v>
      </c>
      <c r="E436">
        <v>100</v>
      </c>
      <c r="F436" t="s">
        <v>37</v>
      </c>
      <c r="G436">
        <v>1</v>
      </c>
      <c r="H436" t="s">
        <v>37</v>
      </c>
      <c r="I436" t="s">
        <v>37</v>
      </c>
      <c r="J436" t="s">
        <v>775</v>
      </c>
      <c r="K436" t="s">
        <v>423</v>
      </c>
      <c r="L436" t="s">
        <v>420</v>
      </c>
      <c r="M436" t="s">
        <v>422</v>
      </c>
      <c r="N436" t="s">
        <v>2740</v>
      </c>
      <c r="O436" t="s">
        <v>2741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B436" s="5">
        <v>43210.666666666664</v>
      </c>
      <c r="AC436" s="5">
        <v>43210.666666666664</v>
      </c>
      <c r="AD436" s="5">
        <v>43970.333333333336</v>
      </c>
      <c r="AE436" s="5">
        <v>43970.333333333336</v>
      </c>
      <c r="AG436" s="5">
        <v>44044</v>
      </c>
      <c r="AH436" s="5">
        <v>44044</v>
      </c>
      <c r="AK436" s="5">
        <v>43283.333333333336</v>
      </c>
      <c r="AL436" s="5">
        <v>43283.333333333336</v>
      </c>
      <c r="AP436" t="s">
        <v>418</v>
      </c>
      <c r="AU436" t="s">
        <v>2742</v>
      </c>
      <c r="AV436" t="s">
        <v>2743</v>
      </c>
      <c r="AY436" t="s">
        <v>40</v>
      </c>
      <c r="AZ436">
        <v>0</v>
      </c>
      <c r="BA436">
        <v>0</v>
      </c>
      <c r="BI436" s="5">
        <v>44048.176388888889</v>
      </c>
      <c r="BJ436" s="5">
        <v>44048.176388888889</v>
      </c>
      <c r="BK436" t="s">
        <v>778</v>
      </c>
      <c r="BL436" t="s">
        <v>778</v>
      </c>
      <c r="BN436" t="s">
        <v>37</v>
      </c>
    </row>
    <row r="437" spans="1:66" x14ac:dyDescent="0.2">
      <c r="A437">
        <v>3692994</v>
      </c>
      <c r="B437">
        <v>21883</v>
      </c>
      <c r="C437">
        <v>523936</v>
      </c>
      <c r="D437">
        <v>52894</v>
      </c>
      <c r="E437">
        <v>0</v>
      </c>
      <c r="F437" t="s">
        <v>37</v>
      </c>
      <c r="G437">
        <v>1</v>
      </c>
      <c r="H437" t="s">
        <v>37</v>
      </c>
      <c r="I437" t="s">
        <v>37</v>
      </c>
      <c r="J437" t="s">
        <v>775</v>
      </c>
      <c r="K437" t="s">
        <v>230</v>
      </c>
      <c r="L437" t="s">
        <v>226</v>
      </c>
      <c r="M437" t="s">
        <v>417</v>
      </c>
      <c r="N437" t="s">
        <v>2744</v>
      </c>
      <c r="O437" t="s">
        <v>2745</v>
      </c>
      <c r="Q437">
        <v>144</v>
      </c>
      <c r="R437">
        <v>272</v>
      </c>
      <c r="S437">
        <v>16</v>
      </c>
      <c r="T437">
        <v>0</v>
      </c>
      <c r="U437">
        <v>0</v>
      </c>
      <c r="V437">
        <v>0</v>
      </c>
      <c r="W437">
        <v>16</v>
      </c>
      <c r="X437">
        <v>0</v>
      </c>
      <c r="Y437">
        <v>0</v>
      </c>
      <c r="Z437">
        <v>0</v>
      </c>
      <c r="AD437" s="5">
        <v>44114.333333333336</v>
      </c>
      <c r="AE437" s="5">
        <v>44115.666666666664</v>
      </c>
      <c r="AG437" s="5">
        <v>44044.333333333336</v>
      </c>
      <c r="AH437" s="5">
        <v>44045.666666666664</v>
      </c>
      <c r="AI437" s="5">
        <v>44044.333333333336</v>
      </c>
      <c r="AJ437" s="5">
        <v>44045.666666666664</v>
      </c>
      <c r="AK437" s="5">
        <v>44044.333333333336</v>
      </c>
      <c r="AL437" s="5">
        <v>44045.666666666664</v>
      </c>
      <c r="AM437" s="5">
        <v>44114.333333333336</v>
      </c>
      <c r="AN437" s="5">
        <v>44115.666666666664</v>
      </c>
      <c r="AP437" t="s">
        <v>418</v>
      </c>
      <c r="AU437" t="s">
        <v>2746</v>
      </c>
      <c r="AV437" t="s">
        <v>2747</v>
      </c>
      <c r="AY437" t="s">
        <v>37</v>
      </c>
      <c r="AZ437">
        <v>0</v>
      </c>
      <c r="BA437">
        <v>0</v>
      </c>
      <c r="BI437" s="5">
        <v>44048.176388888889</v>
      </c>
      <c r="BJ437" s="5">
        <v>44048.176388888889</v>
      </c>
      <c r="BK437" t="s">
        <v>778</v>
      </c>
      <c r="BL437" t="s">
        <v>778</v>
      </c>
      <c r="BN437" t="s">
        <v>37</v>
      </c>
    </row>
    <row r="438" spans="1:66" x14ac:dyDescent="0.2">
      <c r="A438">
        <v>3692995</v>
      </c>
      <c r="B438">
        <v>21883</v>
      </c>
      <c r="C438">
        <v>523936</v>
      </c>
      <c r="D438">
        <v>52894</v>
      </c>
      <c r="E438">
        <v>0</v>
      </c>
      <c r="F438" t="s">
        <v>37</v>
      </c>
      <c r="G438">
        <v>1</v>
      </c>
      <c r="H438" t="s">
        <v>37</v>
      </c>
      <c r="I438" t="s">
        <v>37</v>
      </c>
      <c r="J438" t="s">
        <v>775</v>
      </c>
      <c r="K438" t="s">
        <v>230</v>
      </c>
      <c r="L438" t="s">
        <v>226</v>
      </c>
      <c r="M438" t="s">
        <v>417</v>
      </c>
      <c r="N438" t="s">
        <v>2748</v>
      </c>
      <c r="O438" t="s">
        <v>2749</v>
      </c>
      <c r="Q438">
        <v>144</v>
      </c>
      <c r="R438">
        <v>272</v>
      </c>
      <c r="S438">
        <v>16</v>
      </c>
      <c r="T438">
        <v>0</v>
      </c>
      <c r="U438">
        <v>0</v>
      </c>
      <c r="V438">
        <v>0</v>
      </c>
      <c r="W438">
        <v>16</v>
      </c>
      <c r="X438">
        <v>0</v>
      </c>
      <c r="Y438">
        <v>0</v>
      </c>
      <c r="Z438">
        <v>0</v>
      </c>
      <c r="AD438" s="5">
        <v>44114.333333333336</v>
      </c>
      <c r="AE438" s="5">
        <v>44115.666666666664</v>
      </c>
      <c r="AG438" s="5">
        <v>44044.333333333336</v>
      </c>
      <c r="AH438" s="5">
        <v>44045.666666666664</v>
      </c>
      <c r="AI438" s="5">
        <v>44044.333333333336</v>
      </c>
      <c r="AJ438" s="5">
        <v>44045.666666666664</v>
      </c>
      <c r="AK438" s="5">
        <v>44044.333333333336</v>
      </c>
      <c r="AL438" s="5">
        <v>44045.666666666664</v>
      </c>
      <c r="AM438" s="5">
        <v>44114.333333333336</v>
      </c>
      <c r="AN438" s="5">
        <v>44115.666666666664</v>
      </c>
      <c r="AP438" t="s">
        <v>418</v>
      </c>
      <c r="AU438" t="s">
        <v>2750</v>
      </c>
      <c r="AV438" t="s">
        <v>2751</v>
      </c>
      <c r="AY438" t="s">
        <v>37</v>
      </c>
      <c r="AZ438">
        <v>0</v>
      </c>
      <c r="BA438">
        <v>0</v>
      </c>
      <c r="BI438" s="5">
        <v>44048.176388888889</v>
      </c>
      <c r="BJ438" s="5">
        <v>44048.176388888889</v>
      </c>
      <c r="BK438" t="s">
        <v>778</v>
      </c>
      <c r="BL438" t="s">
        <v>778</v>
      </c>
      <c r="BN438" t="s">
        <v>37</v>
      </c>
    </row>
    <row r="439" spans="1:66" x14ac:dyDescent="0.2">
      <c r="A439">
        <v>3692996</v>
      </c>
      <c r="B439">
        <v>21883</v>
      </c>
      <c r="C439">
        <v>523936</v>
      </c>
      <c r="D439">
        <v>52899</v>
      </c>
      <c r="E439">
        <v>100</v>
      </c>
      <c r="F439" t="s">
        <v>37</v>
      </c>
      <c r="G439">
        <v>1</v>
      </c>
      <c r="H439" t="s">
        <v>37</v>
      </c>
      <c r="I439" t="s">
        <v>37</v>
      </c>
      <c r="J439" t="s">
        <v>775</v>
      </c>
      <c r="K439" t="s">
        <v>230</v>
      </c>
      <c r="L439" t="s">
        <v>226</v>
      </c>
      <c r="M439" t="s">
        <v>422</v>
      </c>
      <c r="N439" t="s">
        <v>2752</v>
      </c>
      <c r="O439" t="s">
        <v>2753</v>
      </c>
      <c r="S439">
        <v>0</v>
      </c>
      <c r="T439">
        <v>0</v>
      </c>
      <c r="U439">
        <v>0</v>
      </c>
      <c r="V439">
        <v>0</v>
      </c>
      <c r="W439">
        <v>80</v>
      </c>
      <c r="X439">
        <v>0</v>
      </c>
      <c r="Y439">
        <v>0</v>
      </c>
      <c r="Z439">
        <v>0</v>
      </c>
      <c r="AB439" s="5">
        <v>43500</v>
      </c>
      <c r="AC439" s="5">
        <v>43571</v>
      </c>
      <c r="AD439" s="5">
        <v>43970.333333333336</v>
      </c>
      <c r="AE439" s="5">
        <v>43970.333333333336</v>
      </c>
      <c r="AG439" s="5">
        <v>44044</v>
      </c>
      <c r="AH439" s="5">
        <v>44044</v>
      </c>
      <c r="AK439" s="5">
        <v>43528.333333333336</v>
      </c>
      <c r="AL439" s="5">
        <v>43543.666666666664</v>
      </c>
      <c r="AP439" t="s">
        <v>418</v>
      </c>
      <c r="AU439" t="s">
        <v>2754</v>
      </c>
      <c r="AV439" t="s">
        <v>2755</v>
      </c>
      <c r="AY439" t="s">
        <v>40</v>
      </c>
      <c r="AZ439">
        <v>0</v>
      </c>
      <c r="BA439">
        <v>0</v>
      </c>
      <c r="BI439" s="5">
        <v>44048.176388888889</v>
      </c>
      <c r="BJ439" s="5">
        <v>44048.176388888889</v>
      </c>
      <c r="BK439" t="s">
        <v>778</v>
      </c>
      <c r="BL439" t="s">
        <v>778</v>
      </c>
      <c r="BN439" t="s">
        <v>37</v>
      </c>
    </row>
    <row r="440" spans="1:66" x14ac:dyDescent="0.2">
      <c r="A440">
        <v>3692997</v>
      </c>
      <c r="B440">
        <v>21883</v>
      </c>
      <c r="C440">
        <v>523937</v>
      </c>
      <c r="D440">
        <v>52894</v>
      </c>
      <c r="E440">
        <v>100</v>
      </c>
      <c r="F440" t="s">
        <v>37</v>
      </c>
      <c r="G440">
        <v>1</v>
      </c>
      <c r="H440" t="s">
        <v>37</v>
      </c>
      <c r="I440" t="s">
        <v>37</v>
      </c>
      <c r="J440" t="s">
        <v>775</v>
      </c>
      <c r="K440" t="s">
        <v>230</v>
      </c>
      <c r="L440" t="s">
        <v>226</v>
      </c>
      <c r="M440" t="s">
        <v>422</v>
      </c>
      <c r="N440" t="s">
        <v>2756</v>
      </c>
      <c r="O440" t="s">
        <v>2757</v>
      </c>
      <c r="S440">
        <v>0</v>
      </c>
      <c r="T440">
        <v>0</v>
      </c>
      <c r="U440">
        <v>0</v>
      </c>
      <c r="V440">
        <v>0</v>
      </c>
      <c r="W440">
        <v>16</v>
      </c>
      <c r="X440">
        <v>0</v>
      </c>
      <c r="Y440">
        <v>0</v>
      </c>
      <c r="Z440">
        <v>0</v>
      </c>
      <c r="AB440" s="5">
        <v>44021</v>
      </c>
      <c r="AC440" s="5">
        <v>44021</v>
      </c>
      <c r="AD440" s="5">
        <v>44117.333333333336</v>
      </c>
      <c r="AE440" s="5">
        <v>44117.333333333336</v>
      </c>
      <c r="AG440" s="5">
        <v>44049.666666666664</v>
      </c>
      <c r="AH440" s="5">
        <v>44049.666666666664</v>
      </c>
      <c r="AK440" s="5">
        <v>44051.333333333336</v>
      </c>
      <c r="AL440" s="5">
        <v>44052.666666666664</v>
      </c>
      <c r="AP440" t="s">
        <v>418</v>
      </c>
      <c r="AU440" t="s">
        <v>2758</v>
      </c>
      <c r="AV440" t="s">
        <v>2759</v>
      </c>
      <c r="AY440" t="s">
        <v>37</v>
      </c>
      <c r="AZ440">
        <v>0</v>
      </c>
      <c r="BA440">
        <v>0</v>
      </c>
      <c r="BI440" s="5">
        <v>44048.176388888889</v>
      </c>
      <c r="BJ440" s="5">
        <v>44048.176388888889</v>
      </c>
      <c r="BK440" t="s">
        <v>778</v>
      </c>
      <c r="BL440" t="s">
        <v>778</v>
      </c>
      <c r="BN440" t="s">
        <v>37</v>
      </c>
    </row>
    <row r="441" spans="1:66" x14ac:dyDescent="0.2">
      <c r="A441">
        <v>3692998</v>
      </c>
      <c r="B441">
        <v>21883</v>
      </c>
      <c r="C441">
        <v>523999</v>
      </c>
      <c r="D441">
        <v>52899</v>
      </c>
      <c r="E441">
        <v>100</v>
      </c>
      <c r="F441" t="s">
        <v>37</v>
      </c>
      <c r="G441">
        <v>1</v>
      </c>
      <c r="H441" t="s">
        <v>37</v>
      </c>
      <c r="I441" t="s">
        <v>37</v>
      </c>
      <c r="J441" t="s">
        <v>775</v>
      </c>
      <c r="K441" t="s">
        <v>230</v>
      </c>
      <c r="L441" t="s">
        <v>226</v>
      </c>
      <c r="M441" t="s">
        <v>422</v>
      </c>
      <c r="N441" t="s">
        <v>2760</v>
      </c>
      <c r="O441" t="s">
        <v>2761</v>
      </c>
      <c r="S441">
        <v>0</v>
      </c>
      <c r="T441">
        <v>0</v>
      </c>
      <c r="U441">
        <v>0</v>
      </c>
      <c r="V441">
        <v>0</v>
      </c>
      <c r="W441">
        <v>240</v>
      </c>
      <c r="X441">
        <v>0</v>
      </c>
      <c r="Y441">
        <v>0</v>
      </c>
      <c r="Z441">
        <v>0</v>
      </c>
      <c r="AB441" s="5">
        <v>43677</v>
      </c>
      <c r="AC441" s="5">
        <v>43677</v>
      </c>
      <c r="AD441" s="5">
        <v>44306.666666666664</v>
      </c>
      <c r="AE441" s="5">
        <v>44306.666666666664</v>
      </c>
      <c r="AG441" s="5">
        <v>44044</v>
      </c>
      <c r="AH441" s="5">
        <v>44044</v>
      </c>
      <c r="AK441" s="5">
        <v>43678.333333333336</v>
      </c>
      <c r="AL441" s="5">
        <v>43727.666666666664</v>
      </c>
      <c r="AP441" t="s">
        <v>418</v>
      </c>
      <c r="AU441" t="s">
        <v>2762</v>
      </c>
      <c r="AV441" t="s">
        <v>2763</v>
      </c>
      <c r="AY441" t="s">
        <v>37</v>
      </c>
      <c r="AZ441">
        <v>0</v>
      </c>
      <c r="BA441">
        <v>0</v>
      </c>
      <c r="BI441" s="5">
        <v>44048.176388888889</v>
      </c>
      <c r="BJ441" s="5">
        <v>44048.176388888889</v>
      </c>
      <c r="BK441" t="s">
        <v>778</v>
      </c>
      <c r="BL441" t="s">
        <v>778</v>
      </c>
      <c r="BN441" t="s">
        <v>37</v>
      </c>
    </row>
    <row r="442" spans="1:66" x14ac:dyDescent="0.2">
      <c r="A442">
        <v>3692999</v>
      </c>
      <c r="B442">
        <v>21883</v>
      </c>
      <c r="C442">
        <v>523935</v>
      </c>
      <c r="D442">
        <v>52894</v>
      </c>
      <c r="E442">
        <v>0</v>
      </c>
      <c r="F442" t="s">
        <v>37</v>
      </c>
      <c r="G442">
        <v>1</v>
      </c>
      <c r="H442" t="s">
        <v>37</v>
      </c>
      <c r="I442" t="s">
        <v>37</v>
      </c>
      <c r="J442" t="s">
        <v>775</v>
      </c>
      <c r="K442" t="s">
        <v>230</v>
      </c>
      <c r="L442" t="s">
        <v>226</v>
      </c>
      <c r="M442" t="s">
        <v>417</v>
      </c>
      <c r="N442" t="s">
        <v>2764</v>
      </c>
      <c r="O442" t="s">
        <v>2765</v>
      </c>
      <c r="Q442">
        <v>128</v>
      </c>
      <c r="R442">
        <v>256</v>
      </c>
      <c r="S442">
        <v>16</v>
      </c>
      <c r="T442">
        <v>0</v>
      </c>
      <c r="U442">
        <v>0</v>
      </c>
      <c r="V442">
        <v>0</v>
      </c>
      <c r="W442">
        <v>16</v>
      </c>
      <c r="X442">
        <v>0</v>
      </c>
      <c r="Y442">
        <v>0</v>
      </c>
      <c r="Z442">
        <v>0</v>
      </c>
      <c r="AD442" s="5">
        <v>44114.333333333336</v>
      </c>
      <c r="AE442" s="5">
        <v>44115.666666666664</v>
      </c>
      <c r="AG442" s="5">
        <v>44051.333333333336</v>
      </c>
      <c r="AH442" s="5">
        <v>44052.666666666664</v>
      </c>
      <c r="AI442" s="5">
        <v>44051.333333333336</v>
      </c>
      <c r="AJ442" s="5">
        <v>44052.666666666664</v>
      </c>
      <c r="AK442" s="5">
        <v>44051.333333333336</v>
      </c>
      <c r="AL442" s="5">
        <v>44052.666666666664</v>
      </c>
      <c r="AM442" s="5">
        <v>44114.333333333336</v>
      </c>
      <c r="AN442" s="5">
        <v>44115.666666666664</v>
      </c>
      <c r="AP442" t="s">
        <v>418</v>
      </c>
      <c r="AU442" t="s">
        <v>2766</v>
      </c>
      <c r="AV442" t="s">
        <v>2767</v>
      </c>
      <c r="AY442" t="s">
        <v>37</v>
      </c>
      <c r="AZ442">
        <v>0</v>
      </c>
      <c r="BA442">
        <v>0</v>
      </c>
      <c r="BI442" s="5">
        <v>44048.176388888889</v>
      </c>
      <c r="BJ442" s="5">
        <v>44048.176388888889</v>
      </c>
      <c r="BK442" t="s">
        <v>778</v>
      </c>
      <c r="BL442" t="s">
        <v>778</v>
      </c>
      <c r="BN442" t="s">
        <v>37</v>
      </c>
    </row>
    <row r="443" spans="1:66" x14ac:dyDescent="0.2">
      <c r="A443">
        <v>3693000</v>
      </c>
      <c r="B443">
        <v>21883</v>
      </c>
      <c r="C443">
        <v>523935</v>
      </c>
      <c r="D443">
        <v>52894</v>
      </c>
      <c r="E443">
        <v>0</v>
      </c>
      <c r="F443" t="s">
        <v>37</v>
      </c>
      <c r="G443">
        <v>1</v>
      </c>
      <c r="H443" t="s">
        <v>37</v>
      </c>
      <c r="I443" t="s">
        <v>37</v>
      </c>
      <c r="J443" t="s">
        <v>775</v>
      </c>
      <c r="K443" t="s">
        <v>230</v>
      </c>
      <c r="L443" t="s">
        <v>226</v>
      </c>
      <c r="M443" t="s">
        <v>417</v>
      </c>
      <c r="N443" t="s">
        <v>2768</v>
      </c>
      <c r="O443" t="s">
        <v>2769</v>
      </c>
      <c r="Q443">
        <v>128</v>
      </c>
      <c r="R443">
        <v>256</v>
      </c>
      <c r="S443">
        <v>16</v>
      </c>
      <c r="T443">
        <v>0</v>
      </c>
      <c r="U443">
        <v>0</v>
      </c>
      <c r="V443">
        <v>0</v>
      </c>
      <c r="W443">
        <v>16</v>
      </c>
      <c r="X443">
        <v>0</v>
      </c>
      <c r="Y443">
        <v>0</v>
      </c>
      <c r="Z443">
        <v>0</v>
      </c>
      <c r="AD443" s="5">
        <v>44114.333333333336</v>
      </c>
      <c r="AE443" s="5">
        <v>44115.666666666664</v>
      </c>
      <c r="AG443" s="5">
        <v>44051.333333333336</v>
      </c>
      <c r="AH443" s="5">
        <v>44052.666666666664</v>
      </c>
      <c r="AI443" s="5">
        <v>44051.333333333336</v>
      </c>
      <c r="AJ443" s="5">
        <v>44052.666666666664</v>
      </c>
      <c r="AK443" s="5">
        <v>44051.333333333336</v>
      </c>
      <c r="AL443" s="5">
        <v>44052.666666666664</v>
      </c>
      <c r="AM443" s="5">
        <v>44114.333333333336</v>
      </c>
      <c r="AN443" s="5">
        <v>44115.666666666664</v>
      </c>
      <c r="AP443" t="s">
        <v>418</v>
      </c>
      <c r="AU443" t="s">
        <v>2770</v>
      </c>
      <c r="AV443" t="s">
        <v>2771</v>
      </c>
      <c r="AY443" t="s">
        <v>37</v>
      </c>
      <c r="AZ443">
        <v>0</v>
      </c>
      <c r="BA443">
        <v>0</v>
      </c>
      <c r="BI443" s="5">
        <v>44048.176388888889</v>
      </c>
      <c r="BJ443" s="5">
        <v>44048.176388888889</v>
      </c>
      <c r="BK443" t="s">
        <v>778</v>
      </c>
      <c r="BL443" t="s">
        <v>778</v>
      </c>
      <c r="BN443" t="s">
        <v>37</v>
      </c>
    </row>
    <row r="444" spans="1:66" x14ac:dyDescent="0.2">
      <c r="A444">
        <v>3693001</v>
      </c>
      <c r="B444">
        <v>21883</v>
      </c>
      <c r="C444">
        <v>523981</v>
      </c>
      <c r="D444">
        <v>52899</v>
      </c>
      <c r="E444">
        <v>100</v>
      </c>
      <c r="F444" t="s">
        <v>37</v>
      </c>
      <c r="G444">
        <v>1</v>
      </c>
      <c r="H444" t="s">
        <v>37</v>
      </c>
      <c r="I444" t="s">
        <v>37</v>
      </c>
      <c r="J444" t="s">
        <v>775</v>
      </c>
      <c r="K444" t="s">
        <v>423</v>
      </c>
      <c r="L444" t="s">
        <v>420</v>
      </c>
      <c r="M444" t="s">
        <v>422</v>
      </c>
      <c r="N444" t="s">
        <v>2772</v>
      </c>
      <c r="O444" t="s">
        <v>2773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B444" s="5">
        <v>43659</v>
      </c>
      <c r="AC444" s="5">
        <v>43659</v>
      </c>
      <c r="AD444" s="5">
        <v>43970.333333333336</v>
      </c>
      <c r="AE444" s="5">
        <v>43970.333333333336</v>
      </c>
      <c r="AG444" s="5">
        <v>44044</v>
      </c>
      <c r="AH444" s="5">
        <v>44044</v>
      </c>
      <c r="AK444" s="5">
        <v>43679.666666666664</v>
      </c>
      <c r="AL444" s="5">
        <v>43679.666666666664</v>
      </c>
      <c r="AP444" t="s">
        <v>418</v>
      </c>
      <c r="AU444" t="s">
        <v>2774</v>
      </c>
      <c r="AV444" t="s">
        <v>2775</v>
      </c>
      <c r="AY444" t="s">
        <v>40</v>
      </c>
      <c r="AZ444">
        <v>0</v>
      </c>
      <c r="BA444">
        <v>0</v>
      </c>
      <c r="BI444" s="5">
        <v>44048.176388888889</v>
      </c>
      <c r="BJ444" s="5">
        <v>44048.176388888889</v>
      </c>
      <c r="BK444" t="s">
        <v>778</v>
      </c>
      <c r="BL444" t="s">
        <v>778</v>
      </c>
      <c r="BN444" t="s">
        <v>37</v>
      </c>
    </row>
    <row r="445" spans="1:66" x14ac:dyDescent="0.2">
      <c r="A445">
        <v>3693002</v>
      </c>
      <c r="B445">
        <v>21883</v>
      </c>
      <c r="C445">
        <v>523933</v>
      </c>
      <c r="D445">
        <v>52894</v>
      </c>
      <c r="E445">
        <v>0</v>
      </c>
      <c r="F445" t="s">
        <v>37</v>
      </c>
      <c r="G445">
        <v>1</v>
      </c>
      <c r="H445" t="s">
        <v>37</v>
      </c>
      <c r="I445" t="s">
        <v>37</v>
      </c>
      <c r="J445" t="s">
        <v>775</v>
      </c>
      <c r="K445" t="s">
        <v>230</v>
      </c>
      <c r="L445" t="s">
        <v>226</v>
      </c>
      <c r="M445" t="s">
        <v>417</v>
      </c>
      <c r="N445" t="s">
        <v>2776</v>
      </c>
      <c r="O445" t="s">
        <v>2777</v>
      </c>
      <c r="Q445">
        <v>144</v>
      </c>
      <c r="R445">
        <v>272</v>
      </c>
      <c r="S445">
        <v>16</v>
      </c>
      <c r="T445">
        <v>0</v>
      </c>
      <c r="U445">
        <v>0</v>
      </c>
      <c r="V445">
        <v>0</v>
      </c>
      <c r="W445">
        <v>16</v>
      </c>
      <c r="X445">
        <v>0</v>
      </c>
      <c r="Y445">
        <v>0</v>
      </c>
      <c r="Z445">
        <v>0</v>
      </c>
      <c r="AD445" s="5">
        <v>44114.333333333336</v>
      </c>
      <c r="AE445" s="5">
        <v>44115.666666666664</v>
      </c>
      <c r="AG445" s="5">
        <v>44044.333333333336</v>
      </c>
      <c r="AH445" s="5">
        <v>44045.666666666664</v>
      </c>
      <c r="AI445" s="5">
        <v>44044.333333333336</v>
      </c>
      <c r="AJ445" s="5">
        <v>44045.666666666664</v>
      </c>
      <c r="AK445" s="5">
        <v>44044.333333333336</v>
      </c>
      <c r="AL445" s="5">
        <v>44045.666666666664</v>
      </c>
      <c r="AM445" s="5">
        <v>44114.333333333336</v>
      </c>
      <c r="AN445" s="5">
        <v>44115.666666666664</v>
      </c>
      <c r="AP445" t="s">
        <v>418</v>
      </c>
      <c r="AU445" t="s">
        <v>2778</v>
      </c>
      <c r="AV445" t="s">
        <v>2779</v>
      </c>
      <c r="AY445" t="s">
        <v>37</v>
      </c>
      <c r="AZ445">
        <v>0</v>
      </c>
      <c r="BA445">
        <v>0</v>
      </c>
      <c r="BI445" s="5">
        <v>44048.176388888889</v>
      </c>
      <c r="BJ445" s="5">
        <v>44048.176388888889</v>
      </c>
      <c r="BK445" t="s">
        <v>778</v>
      </c>
      <c r="BL445" t="s">
        <v>778</v>
      </c>
      <c r="BN445" t="s">
        <v>37</v>
      </c>
    </row>
    <row r="446" spans="1:66" x14ac:dyDescent="0.2">
      <c r="A446">
        <v>3693003</v>
      </c>
      <c r="B446">
        <v>21883</v>
      </c>
      <c r="C446">
        <v>523933</v>
      </c>
      <c r="D446">
        <v>52894</v>
      </c>
      <c r="E446">
        <v>0</v>
      </c>
      <c r="F446" t="s">
        <v>37</v>
      </c>
      <c r="G446">
        <v>1</v>
      </c>
      <c r="H446" t="s">
        <v>37</v>
      </c>
      <c r="I446" t="s">
        <v>37</v>
      </c>
      <c r="J446" t="s">
        <v>775</v>
      </c>
      <c r="K446" t="s">
        <v>230</v>
      </c>
      <c r="L446" t="s">
        <v>226</v>
      </c>
      <c r="M446" t="s">
        <v>417</v>
      </c>
      <c r="N446" t="s">
        <v>2780</v>
      </c>
      <c r="O446" t="s">
        <v>2781</v>
      </c>
      <c r="Q446">
        <v>144</v>
      </c>
      <c r="R446">
        <v>272</v>
      </c>
      <c r="S446">
        <v>16</v>
      </c>
      <c r="T446">
        <v>0</v>
      </c>
      <c r="U446">
        <v>0</v>
      </c>
      <c r="V446">
        <v>0</v>
      </c>
      <c r="W446">
        <v>16</v>
      </c>
      <c r="X446">
        <v>0</v>
      </c>
      <c r="Y446">
        <v>0</v>
      </c>
      <c r="Z446">
        <v>0</v>
      </c>
      <c r="AD446" s="5">
        <v>44114.333333333336</v>
      </c>
      <c r="AE446" s="5">
        <v>44115.666666666664</v>
      </c>
      <c r="AG446" s="5">
        <v>44044.333333333336</v>
      </c>
      <c r="AH446" s="5">
        <v>44045.666666666664</v>
      </c>
      <c r="AI446" s="5">
        <v>44044.333333333336</v>
      </c>
      <c r="AJ446" s="5">
        <v>44045.666666666664</v>
      </c>
      <c r="AK446" s="5">
        <v>44044.333333333336</v>
      </c>
      <c r="AL446" s="5">
        <v>44045.666666666664</v>
      </c>
      <c r="AM446" s="5">
        <v>44114.333333333336</v>
      </c>
      <c r="AN446" s="5">
        <v>44115.666666666664</v>
      </c>
      <c r="AP446" t="s">
        <v>418</v>
      </c>
      <c r="AU446" t="s">
        <v>2782</v>
      </c>
      <c r="AV446" t="s">
        <v>2783</v>
      </c>
      <c r="AY446" t="s">
        <v>37</v>
      </c>
      <c r="AZ446">
        <v>0</v>
      </c>
      <c r="BA446">
        <v>0</v>
      </c>
      <c r="BI446" s="5">
        <v>44048.176388888889</v>
      </c>
      <c r="BJ446" s="5">
        <v>44048.176388888889</v>
      </c>
      <c r="BK446" t="s">
        <v>778</v>
      </c>
      <c r="BL446" t="s">
        <v>778</v>
      </c>
      <c r="BN446" t="s">
        <v>37</v>
      </c>
    </row>
    <row r="447" spans="1:66" x14ac:dyDescent="0.2">
      <c r="A447">
        <v>3693004</v>
      </c>
      <c r="B447">
        <v>21883</v>
      </c>
      <c r="C447">
        <v>523931</v>
      </c>
      <c r="D447">
        <v>52899</v>
      </c>
      <c r="E447">
        <v>0</v>
      </c>
      <c r="F447" t="s">
        <v>37</v>
      </c>
      <c r="G447">
        <v>1</v>
      </c>
      <c r="H447" t="s">
        <v>37</v>
      </c>
      <c r="I447" t="s">
        <v>37</v>
      </c>
      <c r="J447" t="s">
        <v>775</v>
      </c>
      <c r="K447" t="s">
        <v>230</v>
      </c>
      <c r="L447" t="s">
        <v>226</v>
      </c>
      <c r="M447" t="s">
        <v>417</v>
      </c>
      <c r="N447" t="s">
        <v>2784</v>
      </c>
      <c r="O447" t="s">
        <v>2785</v>
      </c>
      <c r="Q447">
        <v>-280</v>
      </c>
      <c r="R447">
        <v>48</v>
      </c>
      <c r="S447">
        <v>224</v>
      </c>
      <c r="T447">
        <v>0</v>
      </c>
      <c r="U447">
        <v>0</v>
      </c>
      <c r="V447">
        <v>0</v>
      </c>
      <c r="W447">
        <v>224</v>
      </c>
      <c r="X447">
        <v>0</v>
      </c>
      <c r="Y447">
        <v>0</v>
      </c>
      <c r="Z447">
        <v>0</v>
      </c>
      <c r="AD447" s="5">
        <v>44070.333333333336</v>
      </c>
      <c r="AE447" s="5">
        <v>44116.666666666664</v>
      </c>
      <c r="AG447" s="5">
        <v>44126.333333333336</v>
      </c>
      <c r="AH447" s="5">
        <v>44173.666666666664</v>
      </c>
      <c r="AI447" s="5">
        <v>44126.333333333336</v>
      </c>
      <c r="AJ447" s="5">
        <v>44173.666666666664</v>
      </c>
      <c r="AK447" s="5">
        <v>44126.333333333336</v>
      </c>
      <c r="AL447" s="5">
        <v>44173.666666666664</v>
      </c>
      <c r="AM447" s="5">
        <v>44070.333333333336</v>
      </c>
      <c r="AN447" s="5">
        <v>44116.666666666664</v>
      </c>
      <c r="AP447" t="s">
        <v>418</v>
      </c>
      <c r="AU447" t="s">
        <v>2786</v>
      </c>
      <c r="AV447" t="s">
        <v>2787</v>
      </c>
      <c r="AY447" t="s">
        <v>37</v>
      </c>
      <c r="AZ447">
        <v>0</v>
      </c>
      <c r="BA447">
        <v>0</v>
      </c>
      <c r="BI447" s="5">
        <v>44048.176388888889</v>
      </c>
      <c r="BJ447" s="5">
        <v>44048.176388888889</v>
      </c>
      <c r="BK447" t="s">
        <v>778</v>
      </c>
      <c r="BL447" t="s">
        <v>778</v>
      </c>
      <c r="BN447" t="s">
        <v>37</v>
      </c>
    </row>
    <row r="448" spans="1:66" x14ac:dyDescent="0.2">
      <c r="A448">
        <v>3693005</v>
      </c>
      <c r="B448">
        <v>21883</v>
      </c>
      <c r="C448">
        <v>523931</v>
      </c>
      <c r="D448">
        <v>52894</v>
      </c>
      <c r="E448">
        <v>0</v>
      </c>
      <c r="F448" t="s">
        <v>37</v>
      </c>
      <c r="G448">
        <v>1</v>
      </c>
      <c r="H448" t="s">
        <v>37</v>
      </c>
      <c r="I448" t="s">
        <v>37</v>
      </c>
      <c r="J448" t="s">
        <v>775</v>
      </c>
      <c r="K448" t="s">
        <v>230</v>
      </c>
      <c r="L448" t="s">
        <v>226</v>
      </c>
      <c r="M448" t="s">
        <v>417</v>
      </c>
      <c r="N448" t="s">
        <v>2788</v>
      </c>
      <c r="O448" t="s">
        <v>2789</v>
      </c>
      <c r="Q448">
        <v>64</v>
      </c>
      <c r="R448">
        <v>0</v>
      </c>
      <c r="S448">
        <v>16</v>
      </c>
      <c r="T448">
        <v>0</v>
      </c>
      <c r="U448">
        <v>0</v>
      </c>
      <c r="V448">
        <v>0</v>
      </c>
      <c r="W448">
        <v>16</v>
      </c>
      <c r="X448">
        <v>0</v>
      </c>
      <c r="Y448">
        <v>0</v>
      </c>
      <c r="Z448">
        <v>0</v>
      </c>
      <c r="AD448" s="5">
        <v>44107.333333333336</v>
      </c>
      <c r="AE448" s="5">
        <v>44108.666666666664</v>
      </c>
      <c r="AG448" s="5">
        <v>44072.333333333336</v>
      </c>
      <c r="AH448" s="5">
        <v>44073.666666666664</v>
      </c>
      <c r="AI448" s="5">
        <v>44072.333333333336</v>
      </c>
      <c r="AJ448" s="5">
        <v>44073.666666666664</v>
      </c>
      <c r="AK448" s="5">
        <v>44072.333333333336</v>
      </c>
      <c r="AL448" s="5">
        <v>44073.666666666664</v>
      </c>
      <c r="AM448" s="5">
        <v>44107.333333333336</v>
      </c>
      <c r="AN448" s="5">
        <v>44108.666666666664</v>
      </c>
      <c r="AP448" t="s">
        <v>418</v>
      </c>
      <c r="AU448" t="s">
        <v>2790</v>
      </c>
      <c r="AV448" t="s">
        <v>2791</v>
      </c>
      <c r="AY448" t="s">
        <v>37</v>
      </c>
      <c r="AZ448">
        <v>0</v>
      </c>
      <c r="BA448">
        <v>0</v>
      </c>
      <c r="BI448" s="5">
        <v>44048.176388888889</v>
      </c>
      <c r="BJ448" s="5">
        <v>44048.176388888889</v>
      </c>
      <c r="BK448" t="s">
        <v>778</v>
      </c>
      <c r="BL448" t="s">
        <v>778</v>
      </c>
      <c r="BN448" t="s">
        <v>37</v>
      </c>
    </row>
    <row r="449" spans="1:66" x14ac:dyDescent="0.2">
      <c r="A449">
        <v>3693006</v>
      </c>
      <c r="B449">
        <v>21883</v>
      </c>
      <c r="C449">
        <v>523931</v>
      </c>
      <c r="D449">
        <v>52894</v>
      </c>
      <c r="E449">
        <v>0</v>
      </c>
      <c r="F449" t="s">
        <v>37</v>
      </c>
      <c r="G449">
        <v>1</v>
      </c>
      <c r="H449" t="s">
        <v>37</v>
      </c>
      <c r="I449" t="s">
        <v>37</v>
      </c>
      <c r="J449" t="s">
        <v>775</v>
      </c>
      <c r="K449" t="s">
        <v>230</v>
      </c>
      <c r="L449" t="s">
        <v>226</v>
      </c>
      <c r="M449" t="s">
        <v>417</v>
      </c>
      <c r="N449" t="s">
        <v>2792</v>
      </c>
      <c r="O449" t="s">
        <v>2793</v>
      </c>
      <c r="Q449">
        <v>64</v>
      </c>
      <c r="R449">
        <v>192</v>
      </c>
      <c r="S449">
        <v>16</v>
      </c>
      <c r="T449">
        <v>0</v>
      </c>
      <c r="U449">
        <v>0</v>
      </c>
      <c r="V449">
        <v>0</v>
      </c>
      <c r="W449">
        <v>16</v>
      </c>
      <c r="X449">
        <v>0</v>
      </c>
      <c r="Y449">
        <v>0</v>
      </c>
      <c r="Z449">
        <v>0</v>
      </c>
      <c r="AD449" s="5">
        <v>44114.333333333336</v>
      </c>
      <c r="AE449" s="5">
        <v>44115.666666666664</v>
      </c>
      <c r="AG449" s="5">
        <v>44086.333333333336</v>
      </c>
      <c r="AH449" s="5">
        <v>44087.666666666664</v>
      </c>
      <c r="AI449" s="5">
        <v>44086.333333333336</v>
      </c>
      <c r="AJ449" s="5">
        <v>44087.666666666664</v>
      </c>
      <c r="AK449" s="5">
        <v>44086.333333333336</v>
      </c>
      <c r="AL449" s="5">
        <v>44087.666666666664</v>
      </c>
      <c r="AM449" s="5">
        <v>44114.333333333336</v>
      </c>
      <c r="AN449" s="5">
        <v>44115.666666666664</v>
      </c>
      <c r="AP449" t="s">
        <v>418</v>
      </c>
      <c r="AU449" t="s">
        <v>2794</v>
      </c>
      <c r="AV449" t="s">
        <v>2795</v>
      </c>
      <c r="AY449" t="s">
        <v>37</v>
      </c>
      <c r="AZ449">
        <v>0</v>
      </c>
      <c r="BA449">
        <v>0</v>
      </c>
      <c r="BI449" s="5">
        <v>44048.176388888889</v>
      </c>
      <c r="BJ449" s="5">
        <v>44048.176388888889</v>
      </c>
      <c r="BK449" t="s">
        <v>778</v>
      </c>
      <c r="BL449" t="s">
        <v>778</v>
      </c>
      <c r="BN449" t="s">
        <v>37</v>
      </c>
    </row>
    <row r="450" spans="1:66" x14ac:dyDescent="0.2">
      <c r="A450">
        <v>3693007</v>
      </c>
      <c r="B450">
        <v>21883</v>
      </c>
      <c r="C450">
        <v>523970</v>
      </c>
      <c r="D450">
        <v>52899</v>
      </c>
      <c r="E450">
        <v>0</v>
      </c>
      <c r="F450" t="s">
        <v>37</v>
      </c>
      <c r="G450">
        <v>1</v>
      </c>
      <c r="H450" t="s">
        <v>37</v>
      </c>
      <c r="I450" t="s">
        <v>37</v>
      </c>
      <c r="J450" t="s">
        <v>775</v>
      </c>
      <c r="K450" t="s">
        <v>423</v>
      </c>
      <c r="L450" t="s">
        <v>420</v>
      </c>
      <c r="M450" t="s">
        <v>417</v>
      </c>
      <c r="N450" t="s">
        <v>2796</v>
      </c>
      <c r="O450" t="s">
        <v>2797</v>
      </c>
      <c r="Q450">
        <v>-312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D450" s="5">
        <v>43998.666666666664</v>
      </c>
      <c r="AE450" s="5">
        <v>43998.666666666664</v>
      </c>
      <c r="AG450" s="5">
        <v>44060.666666666664</v>
      </c>
      <c r="AH450" s="5">
        <v>44060.666666666664</v>
      </c>
      <c r="AI450" s="5">
        <v>44060.666666666664</v>
      </c>
      <c r="AJ450" s="5">
        <v>44060.666666666664</v>
      </c>
      <c r="AK450" s="5">
        <v>44060.666666666664</v>
      </c>
      <c r="AL450" s="5">
        <v>44060.666666666664</v>
      </c>
      <c r="AM450" s="5">
        <v>43998.666666666664</v>
      </c>
      <c r="AN450" s="5">
        <v>43998.666666666664</v>
      </c>
      <c r="AP450" t="s">
        <v>418</v>
      </c>
      <c r="AU450" t="s">
        <v>2798</v>
      </c>
      <c r="AV450" t="s">
        <v>2799</v>
      </c>
      <c r="AY450" t="s">
        <v>37</v>
      </c>
      <c r="AZ450">
        <v>0</v>
      </c>
      <c r="BA450">
        <v>0</v>
      </c>
      <c r="BI450" s="5">
        <v>44048.176388888889</v>
      </c>
      <c r="BJ450" s="5">
        <v>44048.176388888889</v>
      </c>
      <c r="BK450" t="s">
        <v>778</v>
      </c>
      <c r="BL450" t="s">
        <v>778</v>
      </c>
      <c r="BN450" t="s">
        <v>37</v>
      </c>
    </row>
    <row r="451" spans="1:66" x14ac:dyDescent="0.2">
      <c r="A451">
        <v>3693008</v>
      </c>
      <c r="B451">
        <v>21883</v>
      </c>
      <c r="C451">
        <v>523999</v>
      </c>
      <c r="D451">
        <v>52899</v>
      </c>
      <c r="E451">
        <v>100</v>
      </c>
      <c r="F451" t="s">
        <v>37</v>
      </c>
      <c r="G451">
        <v>1</v>
      </c>
      <c r="H451" t="s">
        <v>37</v>
      </c>
      <c r="I451" t="s">
        <v>37</v>
      </c>
      <c r="J451" t="s">
        <v>775</v>
      </c>
      <c r="K451" t="s">
        <v>423</v>
      </c>
      <c r="L451" t="s">
        <v>420</v>
      </c>
      <c r="M451" t="s">
        <v>422</v>
      </c>
      <c r="N451" t="s">
        <v>2800</v>
      </c>
      <c r="O451" t="s">
        <v>2801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B451" s="5">
        <v>43497</v>
      </c>
      <c r="AC451" s="5">
        <v>43497</v>
      </c>
      <c r="AD451" s="5">
        <v>44306.666666666664</v>
      </c>
      <c r="AE451" s="5">
        <v>44306.666666666664</v>
      </c>
      <c r="AG451" s="5">
        <v>44044</v>
      </c>
      <c r="AH451" s="5">
        <v>44044</v>
      </c>
      <c r="AK451" s="5">
        <v>43497.333333333336</v>
      </c>
      <c r="AL451" s="5">
        <v>43497.333333333336</v>
      </c>
      <c r="AP451" t="s">
        <v>418</v>
      </c>
      <c r="AU451" t="s">
        <v>2802</v>
      </c>
      <c r="AV451" t="s">
        <v>2803</v>
      </c>
      <c r="AY451" t="s">
        <v>37</v>
      </c>
      <c r="AZ451">
        <v>0</v>
      </c>
      <c r="BA451">
        <v>0</v>
      </c>
      <c r="BI451" s="5">
        <v>44048.176388888889</v>
      </c>
      <c r="BJ451" s="5">
        <v>44048.176388888889</v>
      </c>
      <c r="BK451" t="s">
        <v>778</v>
      </c>
      <c r="BL451" t="s">
        <v>778</v>
      </c>
      <c r="BN451" t="s">
        <v>37</v>
      </c>
    </row>
    <row r="452" spans="1:66" x14ac:dyDescent="0.2">
      <c r="A452">
        <v>3693009</v>
      </c>
      <c r="B452">
        <v>21883</v>
      </c>
      <c r="C452">
        <v>523969</v>
      </c>
      <c r="D452">
        <v>52897</v>
      </c>
      <c r="E452">
        <v>100</v>
      </c>
      <c r="F452" t="s">
        <v>37</v>
      </c>
      <c r="G452">
        <v>1</v>
      </c>
      <c r="H452" t="s">
        <v>37</v>
      </c>
      <c r="I452" t="s">
        <v>37</v>
      </c>
      <c r="J452" t="s">
        <v>775</v>
      </c>
      <c r="K452" t="s">
        <v>230</v>
      </c>
      <c r="L452" t="s">
        <v>226</v>
      </c>
      <c r="M452" t="s">
        <v>422</v>
      </c>
      <c r="N452" t="s">
        <v>2804</v>
      </c>
      <c r="O452" t="s">
        <v>2805</v>
      </c>
      <c r="S452">
        <v>0</v>
      </c>
      <c r="T452">
        <v>120</v>
      </c>
      <c r="U452">
        <v>0</v>
      </c>
      <c r="V452">
        <v>120</v>
      </c>
      <c r="W452">
        <v>120</v>
      </c>
      <c r="X452">
        <v>0</v>
      </c>
      <c r="Y452">
        <v>0</v>
      </c>
      <c r="Z452">
        <v>0</v>
      </c>
      <c r="AB452" s="5">
        <v>43515</v>
      </c>
      <c r="AC452" s="5">
        <v>43531</v>
      </c>
      <c r="AD452" s="5">
        <v>43970.333333333336</v>
      </c>
      <c r="AE452" s="5">
        <v>43970.333333333336</v>
      </c>
      <c r="AG452" s="5">
        <v>44044</v>
      </c>
      <c r="AH452" s="5">
        <v>44044</v>
      </c>
      <c r="AK452" s="5">
        <v>43556.333333333336</v>
      </c>
      <c r="AL452" s="5">
        <v>43581.666666666664</v>
      </c>
      <c r="AP452" t="s">
        <v>418</v>
      </c>
      <c r="AU452" t="s">
        <v>2806</v>
      </c>
      <c r="AV452" t="s">
        <v>2807</v>
      </c>
      <c r="AY452" t="s">
        <v>40</v>
      </c>
      <c r="AZ452">
        <v>120</v>
      </c>
      <c r="BA452">
        <v>0</v>
      </c>
      <c r="BI452" s="5">
        <v>44048.176388888889</v>
      </c>
      <c r="BJ452" s="5">
        <v>44048.176388888889</v>
      </c>
      <c r="BK452" t="s">
        <v>778</v>
      </c>
      <c r="BL452" t="s">
        <v>778</v>
      </c>
      <c r="BN452" t="s">
        <v>37</v>
      </c>
    </row>
    <row r="453" spans="1:66" x14ac:dyDescent="0.2">
      <c r="A453">
        <v>3693010</v>
      </c>
      <c r="B453">
        <v>21883</v>
      </c>
      <c r="C453">
        <v>523969</v>
      </c>
      <c r="D453">
        <v>52899</v>
      </c>
      <c r="E453">
        <v>100</v>
      </c>
      <c r="F453" t="s">
        <v>37</v>
      </c>
      <c r="G453">
        <v>1</v>
      </c>
      <c r="H453" t="s">
        <v>37</v>
      </c>
      <c r="I453" t="s">
        <v>37</v>
      </c>
      <c r="J453" t="s">
        <v>775</v>
      </c>
      <c r="K453" t="s">
        <v>230</v>
      </c>
      <c r="L453" t="s">
        <v>226</v>
      </c>
      <c r="M453" t="s">
        <v>422</v>
      </c>
      <c r="N453" t="s">
        <v>2808</v>
      </c>
      <c r="O453" t="s">
        <v>2809</v>
      </c>
      <c r="S453">
        <v>0</v>
      </c>
      <c r="T453">
        <v>80</v>
      </c>
      <c r="U453">
        <v>0</v>
      </c>
      <c r="V453">
        <v>80</v>
      </c>
      <c r="W453">
        <v>80</v>
      </c>
      <c r="X453">
        <v>0</v>
      </c>
      <c r="Y453">
        <v>0</v>
      </c>
      <c r="Z453">
        <v>0</v>
      </c>
      <c r="AB453" s="5">
        <v>43614</v>
      </c>
      <c r="AC453" s="5">
        <v>43630</v>
      </c>
      <c r="AD453" s="5">
        <v>44032.333333333336</v>
      </c>
      <c r="AE453" s="5">
        <v>44032.333333333336</v>
      </c>
      <c r="AG453" s="5">
        <v>44044</v>
      </c>
      <c r="AH453" s="5">
        <v>44044</v>
      </c>
      <c r="AK453" s="5">
        <v>43647.333333333336</v>
      </c>
      <c r="AL453" s="5">
        <v>43661.666666666664</v>
      </c>
      <c r="AP453" t="s">
        <v>418</v>
      </c>
      <c r="AU453" t="s">
        <v>2810</v>
      </c>
      <c r="AV453" t="s">
        <v>2811</v>
      </c>
      <c r="AY453" t="s">
        <v>37</v>
      </c>
      <c r="AZ453">
        <v>0</v>
      </c>
      <c r="BA453">
        <v>0</v>
      </c>
      <c r="BI453" s="5">
        <v>44048.176388888889</v>
      </c>
      <c r="BJ453" s="5">
        <v>44048.176388888889</v>
      </c>
      <c r="BK453" t="s">
        <v>778</v>
      </c>
      <c r="BL453" t="s">
        <v>778</v>
      </c>
      <c r="BN453" t="s">
        <v>37</v>
      </c>
    </row>
    <row r="454" spans="1:66" x14ac:dyDescent="0.2">
      <c r="A454">
        <v>3693011</v>
      </c>
      <c r="B454">
        <v>21883</v>
      </c>
      <c r="C454">
        <v>523961</v>
      </c>
      <c r="D454">
        <v>52899</v>
      </c>
      <c r="E454">
        <v>100</v>
      </c>
      <c r="F454" t="s">
        <v>37</v>
      </c>
      <c r="G454">
        <v>1</v>
      </c>
      <c r="H454" t="s">
        <v>37</v>
      </c>
      <c r="I454" t="s">
        <v>37</v>
      </c>
      <c r="J454" t="s">
        <v>775</v>
      </c>
      <c r="K454" t="s">
        <v>230</v>
      </c>
      <c r="L454" t="s">
        <v>226</v>
      </c>
      <c r="M454" t="s">
        <v>422</v>
      </c>
      <c r="N454" t="s">
        <v>2812</v>
      </c>
      <c r="O454" t="s">
        <v>2813</v>
      </c>
      <c r="S454">
        <v>0</v>
      </c>
      <c r="T454">
        <v>120</v>
      </c>
      <c r="U454">
        <v>0</v>
      </c>
      <c r="V454">
        <v>120</v>
      </c>
      <c r="W454">
        <v>120</v>
      </c>
      <c r="X454">
        <v>0</v>
      </c>
      <c r="Y454">
        <v>0</v>
      </c>
      <c r="Z454">
        <v>0</v>
      </c>
      <c r="AB454" s="5">
        <v>43948</v>
      </c>
      <c r="AC454" s="5">
        <v>43965</v>
      </c>
      <c r="AD454" s="5">
        <v>44032.333333333336</v>
      </c>
      <c r="AE454" s="5">
        <v>44032.333333333336</v>
      </c>
      <c r="AG454" s="5">
        <v>44044</v>
      </c>
      <c r="AH454" s="5">
        <v>44044</v>
      </c>
      <c r="AK454" s="5">
        <v>43949.333333333336</v>
      </c>
      <c r="AL454" s="5">
        <v>43972.666666666664</v>
      </c>
      <c r="AP454" t="s">
        <v>418</v>
      </c>
      <c r="AU454" t="s">
        <v>2814</v>
      </c>
      <c r="AV454" t="s">
        <v>2815</v>
      </c>
      <c r="AY454" t="s">
        <v>37</v>
      </c>
      <c r="AZ454">
        <v>0</v>
      </c>
      <c r="BA454">
        <v>0</v>
      </c>
      <c r="BI454" s="5">
        <v>44048.176388888889</v>
      </c>
      <c r="BJ454" s="5">
        <v>44048.176388888889</v>
      </c>
      <c r="BK454" t="s">
        <v>778</v>
      </c>
      <c r="BL454" t="s">
        <v>778</v>
      </c>
      <c r="BN454" t="s">
        <v>37</v>
      </c>
    </row>
    <row r="455" spans="1:66" x14ac:dyDescent="0.2">
      <c r="A455">
        <v>3693012</v>
      </c>
      <c r="B455">
        <v>21883</v>
      </c>
      <c r="C455">
        <v>523961</v>
      </c>
      <c r="D455">
        <v>52899</v>
      </c>
      <c r="E455">
        <v>100</v>
      </c>
      <c r="F455" t="s">
        <v>37</v>
      </c>
      <c r="G455">
        <v>1</v>
      </c>
      <c r="H455" t="s">
        <v>37</v>
      </c>
      <c r="I455" t="s">
        <v>37</v>
      </c>
      <c r="J455" t="s">
        <v>775</v>
      </c>
      <c r="K455" t="s">
        <v>230</v>
      </c>
      <c r="L455" t="s">
        <v>226</v>
      </c>
      <c r="M455" t="s">
        <v>422</v>
      </c>
      <c r="N455" t="s">
        <v>2816</v>
      </c>
      <c r="O455" t="s">
        <v>2817</v>
      </c>
      <c r="S455">
        <v>0</v>
      </c>
      <c r="T455">
        <v>80</v>
      </c>
      <c r="U455">
        <v>0</v>
      </c>
      <c r="V455">
        <v>80</v>
      </c>
      <c r="W455">
        <v>80</v>
      </c>
      <c r="X455">
        <v>0</v>
      </c>
      <c r="Y455">
        <v>0</v>
      </c>
      <c r="Z455">
        <v>0</v>
      </c>
      <c r="AB455" s="5">
        <v>43993</v>
      </c>
      <c r="AC455" s="5">
        <v>44014</v>
      </c>
      <c r="AD455" s="5">
        <v>44032.333333333336</v>
      </c>
      <c r="AE455" s="5">
        <v>44032.333333333336</v>
      </c>
      <c r="AG455" s="5">
        <v>44044</v>
      </c>
      <c r="AH455" s="5">
        <v>44044</v>
      </c>
      <c r="AK455" s="5">
        <v>44004.333333333336</v>
      </c>
      <c r="AL455" s="5">
        <v>44018.666666666664</v>
      </c>
      <c r="AP455" t="s">
        <v>418</v>
      </c>
      <c r="AU455" t="s">
        <v>2818</v>
      </c>
      <c r="AV455" t="s">
        <v>2819</v>
      </c>
      <c r="AY455" t="s">
        <v>37</v>
      </c>
      <c r="AZ455">
        <v>0</v>
      </c>
      <c r="BA455">
        <v>0</v>
      </c>
      <c r="BI455" s="5">
        <v>44048.176388888889</v>
      </c>
      <c r="BJ455" s="5">
        <v>44048.176388888889</v>
      </c>
      <c r="BK455" t="s">
        <v>778</v>
      </c>
      <c r="BL455" t="s">
        <v>778</v>
      </c>
      <c r="BN455" t="s">
        <v>37</v>
      </c>
    </row>
    <row r="456" spans="1:66" x14ac:dyDescent="0.2">
      <c r="A456">
        <v>3693013</v>
      </c>
      <c r="B456">
        <v>21883</v>
      </c>
      <c r="C456">
        <v>523999</v>
      </c>
      <c r="D456">
        <v>52899</v>
      </c>
      <c r="E456">
        <v>100</v>
      </c>
      <c r="F456" t="s">
        <v>37</v>
      </c>
      <c r="G456">
        <v>1</v>
      </c>
      <c r="H456" t="s">
        <v>37</v>
      </c>
      <c r="I456" t="s">
        <v>37</v>
      </c>
      <c r="J456" t="s">
        <v>775</v>
      </c>
      <c r="K456" t="s">
        <v>230</v>
      </c>
      <c r="L456" t="s">
        <v>226</v>
      </c>
      <c r="M456" t="s">
        <v>422</v>
      </c>
      <c r="N456" t="s">
        <v>2820</v>
      </c>
      <c r="O456" t="s">
        <v>2821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B456" s="5">
        <v>43159</v>
      </c>
      <c r="AC456" s="5">
        <v>43159.666666666664</v>
      </c>
      <c r="AD456" s="5">
        <v>44306.666666666664</v>
      </c>
      <c r="AE456" s="5">
        <v>44306.666666666664</v>
      </c>
      <c r="AG456" s="5">
        <v>44044</v>
      </c>
      <c r="AH456" s="5">
        <v>44044</v>
      </c>
      <c r="AK456" s="5">
        <v>43277.333333333336</v>
      </c>
      <c r="AL456" s="5">
        <v>43277.333333333336</v>
      </c>
      <c r="AP456" t="s">
        <v>418</v>
      </c>
      <c r="AU456" t="s">
        <v>2822</v>
      </c>
      <c r="AV456" t="s">
        <v>2823</v>
      </c>
      <c r="AY456" t="s">
        <v>37</v>
      </c>
      <c r="AZ456">
        <v>0</v>
      </c>
      <c r="BA456">
        <v>0</v>
      </c>
      <c r="BI456" s="5">
        <v>44048.176388888889</v>
      </c>
      <c r="BJ456" s="5">
        <v>44048.176388888889</v>
      </c>
      <c r="BK456" t="s">
        <v>778</v>
      </c>
      <c r="BL456" t="s">
        <v>778</v>
      </c>
      <c r="BN456" t="s">
        <v>37</v>
      </c>
    </row>
    <row r="457" spans="1:66" x14ac:dyDescent="0.2">
      <c r="A457">
        <v>3693014</v>
      </c>
      <c r="B457">
        <v>21883</v>
      </c>
      <c r="C457">
        <v>523969</v>
      </c>
      <c r="D457">
        <v>52899</v>
      </c>
      <c r="E457">
        <v>100</v>
      </c>
      <c r="F457" t="s">
        <v>37</v>
      </c>
      <c r="G457">
        <v>1</v>
      </c>
      <c r="H457" t="s">
        <v>37</v>
      </c>
      <c r="I457" t="s">
        <v>37</v>
      </c>
      <c r="J457" t="s">
        <v>775</v>
      </c>
      <c r="K457" t="s">
        <v>230</v>
      </c>
      <c r="L457" t="s">
        <v>226</v>
      </c>
      <c r="M457" t="s">
        <v>422</v>
      </c>
      <c r="N457" t="s">
        <v>2824</v>
      </c>
      <c r="O457" t="s">
        <v>2825</v>
      </c>
      <c r="S457">
        <v>0</v>
      </c>
      <c r="T457">
        <v>0</v>
      </c>
      <c r="U457">
        <v>0</v>
      </c>
      <c r="V457">
        <v>0</v>
      </c>
      <c r="W457">
        <v>80</v>
      </c>
      <c r="X457">
        <v>0</v>
      </c>
      <c r="Y457">
        <v>0</v>
      </c>
      <c r="Z457">
        <v>0</v>
      </c>
      <c r="AB457" s="5">
        <v>43325.333333333336</v>
      </c>
      <c r="AC457" s="5">
        <v>43329.666666666664</v>
      </c>
      <c r="AD457" s="5">
        <v>43970.333333333336</v>
      </c>
      <c r="AE457" s="5">
        <v>43970.333333333336</v>
      </c>
      <c r="AG457" s="5">
        <v>44044</v>
      </c>
      <c r="AH457" s="5">
        <v>44044</v>
      </c>
      <c r="AK457" s="5">
        <v>43353.333333333336</v>
      </c>
      <c r="AL457" s="5">
        <v>43368.666666666664</v>
      </c>
      <c r="AP457" t="s">
        <v>418</v>
      </c>
      <c r="AU457" t="s">
        <v>2826</v>
      </c>
      <c r="AV457" t="s">
        <v>2827</v>
      </c>
      <c r="AY457" t="s">
        <v>40</v>
      </c>
      <c r="AZ457">
        <v>0</v>
      </c>
      <c r="BA457">
        <v>0</v>
      </c>
      <c r="BI457" s="5">
        <v>44048.176388888889</v>
      </c>
      <c r="BJ457" s="5">
        <v>44048.176388888889</v>
      </c>
      <c r="BK457" t="s">
        <v>778</v>
      </c>
      <c r="BL457" t="s">
        <v>778</v>
      </c>
      <c r="BN457" t="s">
        <v>37</v>
      </c>
    </row>
    <row r="458" spans="1:66" x14ac:dyDescent="0.2">
      <c r="A458">
        <v>3693015</v>
      </c>
      <c r="B458">
        <v>21883</v>
      </c>
      <c r="C458">
        <v>523967</v>
      </c>
      <c r="D458">
        <v>52899</v>
      </c>
      <c r="E458">
        <v>100</v>
      </c>
      <c r="F458" t="s">
        <v>37</v>
      </c>
      <c r="G458">
        <v>1</v>
      </c>
      <c r="H458" t="s">
        <v>37</v>
      </c>
      <c r="I458" t="s">
        <v>37</v>
      </c>
      <c r="J458" t="s">
        <v>775</v>
      </c>
      <c r="K458" t="s">
        <v>419</v>
      </c>
      <c r="L458" t="s">
        <v>420</v>
      </c>
      <c r="M458" t="s">
        <v>422</v>
      </c>
      <c r="N458" t="s">
        <v>2828</v>
      </c>
      <c r="O458" t="s">
        <v>2829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B458" s="5">
        <v>43662</v>
      </c>
      <c r="AC458" s="5">
        <v>43662</v>
      </c>
      <c r="AD458" s="5">
        <v>43970.333333333336</v>
      </c>
      <c r="AE458" s="5">
        <v>43970.333333333336</v>
      </c>
      <c r="AG458" s="5">
        <v>44044</v>
      </c>
      <c r="AH458" s="5">
        <v>44044</v>
      </c>
      <c r="AK458" s="5">
        <v>43678.333333333336</v>
      </c>
      <c r="AL458" s="5">
        <v>43678.333333333336</v>
      </c>
      <c r="AP458" t="s">
        <v>418</v>
      </c>
      <c r="AU458" t="s">
        <v>2830</v>
      </c>
      <c r="AV458" t="s">
        <v>2831</v>
      </c>
      <c r="AY458" t="s">
        <v>40</v>
      </c>
      <c r="AZ458">
        <v>0</v>
      </c>
      <c r="BA458">
        <v>0</v>
      </c>
      <c r="BI458" s="5">
        <v>44048.176388888889</v>
      </c>
      <c r="BJ458" s="5">
        <v>44048.176388888889</v>
      </c>
      <c r="BK458" t="s">
        <v>778</v>
      </c>
      <c r="BL458" t="s">
        <v>778</v>
      </c>
      <c r="BN458" t="s">
        <v>37</v>
      </c>
    </row>
    <row r="459" spans="1:66" x14ac:dyDescent="0.2">
      <c r="A459">
        <v>3693016</v>
      </c>
      <c r="B459">
        <v>21883</v>
      </c>
      <c r="C459">
        <v>523967</v>
      </c>
      <c r="D459">
        <v>52899</v>
      </c>
      <c r="E459">
        <v>100</v>
      </c>
      <c r="F459" t="s">
        <v>37</v>
      </c>
      <c r="G459">
        <v>1</v>
      </c>
      <c r="H459" t="s">
        <v>37</v>
      </c>
      <c r="I459" t="s">
        <v>37</v>
      </c>
      <c r="J459" t="s">
        <v>775</v>
      </c>
      <c r="K459" t="s">
        <v>423</v>
      </c>
      <c r="L459" t="s">
        <v>420</v>
      </c>
      <c r="M459" t="s">
        <v>422</v>
      </c>
      <c r="N459" t="s">
        <v>2832</v>
      </c>
      <c r="O459" t="s">
        <v>2833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B459" s="5">
        <v>43898</v>
      </c>
      <c r="AC459" s="5">
        <v>43898</v>
      </c>
      <c r="AD459" s="5">
        <v>43970.333333333336</v>
      </c>
      <c r="AE459" s="5">
        <v>43970.333333333336</v>
      </c>
      <c r="AG459" s="5">
        <v>44044</v>
      </c>
      <c r="AH459" s="5">
        <v>44044</v>
      </c>
      <c r="AK459" s="5">
        <v>43901.333333333336</v>
      </c>
      <c r="AL459" s="5">
        <v>43901.333333333336</v>
      </c>
      <c r="AP459" t="s">
        <v>418</v>
      </c>
      <c r="AU459" t="s">
        <v>2834</v>
      </c>
      <c r="AV459" t="s">
        <v>2835</v>
      </c>
      <c r="AY459" t="s">
        <v>40</v>
      </c>
      <c r="AZ459">
        <v>0</v>
      </c>
      <c r="BA459">
        <v>0</v>
      </c>
      <c r="BI459" s="5">
        <v>44048.176388888889</v>
      </c>
      <c r="BJ459" s="5">
        <v>44048.176388888889</v>
      </c>
      <c r="BK459" t="s">
        <v>778</v>
      </c>
      <c r="BL459" t="s">
        <v>778</v>
      </c>
      <c r="BN459" t="s">
        <v>37</v>
      </c>
    </row>
    <row r="460" spans="1:66" x14ac:dyDescent="0.2">
      <c r="A460">
        <v>3693017</v>
      </c>
      <c r="B460">
        <v>21883</v>
      </c>
      <c r="C460">
        <v>523999</v>
      </c>
      <c r="D460">
        <v>52899</v>
      </c>
      <c r="E460">
        <v>100</v>
      </c>
      <c r="F460" t="s">
        <v>37</v>
      </c>
      <c r="G460">
        <v>1</v>
      </c>
      <c r="H460" t="s">
        <v>37</v>
      </c>
      <c r="I460" t="s">
        <v>37</v>
      </c>
      <c r="J460" t="s">
        <v>775</v>
      </c>
      <c r="K460" t="s">
        <v>230</v>
      </c>
      <c r="L460" t="s">
        <v>226</v>
      </c>
      <c r="M460" t="s">
        <v>422</v>
      </c>
      <c r="N460" t="s">
        <v>2836</v>
      </c>
      <c r="O460" t="s">
        <v>2837</v>
      </c>
      <c r="S460">
        <v>0</v>
      </c>
      <c r="T460">
        <v>0</v>
      </c>
      <c r="U460">
        <v>0</v>
      </c>
      <c r="V460">
        <v>0</v>
      </c>
      <c r="W460">
        <v>40</v>
      </c>
      <c r="X460">
        <v>0</v>
      </c>
      <c r="Y460">
        <v>0</v>
      </c>
      <c r="Z460">
        <v>0</v>
      </c>
      <c r="AB460" s="5">
        <v>43586</v>
      </c>
      <c r="AC460" s="5">
        <v>43586</v>
      </c>
      <c r="AD460" s="5">
        <v>44306.666666666664</v>
      </c>
      <c r="AE460" s="5">
        <v>44306.666666666664</v>
      </c>
      <c r="AG460" s="5">
        <v>44044</v>
      </c>
      <c r="AH460" s="5">
        <v>44044</v>
      </c>
      <c r="AK460" s="5">
        <v>43619.333333333336</v>
      </c>
      <c r="AL460" s="5">
        <v>43626.666666666664</v>
      </c>
      <c r="AP460" t="s">
        <v>418</v>
      </c>
      <c r="AU460" t="s">
        <v>2838</v>
      </c>
      <c r="AV460" t="s">
        <v>2839</v>
      </c>
      <c r="AY460" t="s">
        <v>37</v>
      </c>
      <c r="AZ460">
        <v>0</v>
      </c>
      <c r="BA460">
        <v>0</v>
      </c>
      <c r="BI460" s="5">
        <v>44048.176388888889</v>
      </c>
      <c r="BJ460" s="5">
        <v>44048.176388888889</v>
      </c>
      <c r="BK460" t="s">
        <v>778</v>
      </c>
      <c r="BL460" t="s">
        <v>778</v>
      </c>
      <c r="BN460" t="s">
        <v>37</v>
      </c>
    </row>
    <row r="461" spans="1:66" x14ac:dyDescent="0.2">
      <c r="A461">
        <v>3693018</v>
      </c>
      <c r="B461">
        <v>21883</v>
      </c>
      <c r="C461">
        <v>523919</v>
      </c>
      <c r="D461">
        <v>52899</v>
      </c>
      <c r="E461">
        <v>100</v>
      </c>
      <c r="F461" t="s">
        <v>37</v>
      </c>
      <c r="G461">
        <v>1</v>
      </c>
      <c r="H461" t="s">
        <v>37</v>
      </c>
      <c r="I461" t="s">
        <v>37</v>
      </c>
      <c r="J461" t="s">
        <v>775</v>
      </c>
      <c r="K461" t="s">
        <v>419</v>
      </c>
      <c r="L461" t="s">
        <v>420</v>
      </c>
      <c r="M461" t="s">
        <v>422</v>
      </c>
      <c r="N461" t="s">
        <v>2840</v>
      </c>
      <c r="O461" t="s">
        <v>2841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B461" s="5">
        <v>43661</v>
      </c>
      <c r="AC461" s="5">
        <v>43661</v>
      </c>
      <c r="AD461" s="5">
        <v>43970.333333333336</v>
      </c>
      <c r="AE461" s="5">
        <v>43970.333333333336</v>
      </c>
      <c r="AG461" s="5">
        <v>44044</v>
      </c>
      <c r="AH461" s="5">
        <v>44044</v>
      </c>
      <c r="AK461" s="5">
        <v>43678.333333333336</v>
      </c>
      <c r="AL461" s="5">
        <v>43678.333333333336</v>
      </c>
      <c r="AP461" t="s">
        <v>418</v>
      </c>
      <c r="AU461" t="s">
        <v>2842</v>
      </c>
      <c r="AV461" t="s">
        <v>2843</v>
      </c>
      <c r="AY461" t="s">
        <v>40</v>
      </c>
      <c r="AZ461">
        <v>0</v>
      </c>
      <c r="BA461">
        <v>0</v>
      </c>
      <c r="BI461" s="5">
        <v>44048.176388888889</v>
      </c>
      <c r="BJ461" s="5">
        <v>44048.176388888889</v>
      </c>
      <c r="BK461" t="s">
        <v>778</v>
      </c>
      <c r="BL461" t="s">
        <v>778</v>
      </c>
      <c r="BN461" t="s">
        <v>37</v>
      </c>
    </row>
    <row r="462" spans="1:66" x14ac:dyDescent="0.2">
      <c r="A462">
        <v>3693019</v>
      </c>
      <c r="B462">
        <v>21883</v>
      </c>
      <c r="C462">
        <v>523999</v>
      </c>
      <c r="D462">
        <v>52896</v>
      </c>
      <c r="E462">
        <v>100</v>
      </c>
      <c r="F462" t="s">
        <v>37</v>
      </c>
      <c r="G462">
        <v>1</v>
      </c>
      <c r="H462" t="s">
        <v>37</v>
      </c>
      <c r="I462" t="s">
        <v>37</v>
      </c>
      <c r="J462" t="s">
        <v>775</v>
      </c>
      <c r="K462" t="s">
        <v>230</v>
      </c>
      <c r="L462" t="s">
        <v>226</v>
      </c>
      <c r="M462" t="s">
        <v>422</v>
      </c>
      <c r="N462" t="s">
        <v>2844</v>
      </c>
      <c r="O462" t="s">
        <v>2845</v>
      </c>
      <c r="S462">
        <v>0</v>
      </c>
      <c r="T462">
        <v>0</v>
      </c>
      <c r="U462">
        <v>0</v>
      </c>
      <c r="V462">
        <v>0</v>
      </c>
      <c r="W462">
        <v>72</v>
      </c>
      <c r="X462">
        <v>0</v>
      </c>
      <c r="Y462">
        <v>0</v>
      </c>
      <c r="Z462">
        <v>0</v>
      </c>
      <c r="AB462" s="5">
        <v>43646</v>
      </c>
      <c r="AC462" s="5">
        <v>43646</v>
      </c>
      <c r="AD462" s="5">
        <v>44306.666666666664</v>
      </c>
      <c r="AE462" s="5">
        <v>44306.666666666664</v>
      </c>
      <c r="AG462" s="5">
        <v>44044</v>
      </c>
      <c r="AH462" s="5">
        <v>44044</v>
      </c>
      <c r="AK462" s="5">
        <v>43619.333333333336</v>
      </c>
      <c r="AL462" s="5">
        <v>43629.666666666664</v>
      </c>
      <c r="AP462" t="s">
        <v>418</v>
      </c>
      <c r="AU462" t="s">
        <v>2846</v>
      </c>
      <c r="AV462" t="s">
        <v>2847</v>
      </c>
      <c r="AY462" t="s">
        <v>37</v>
      </c>
      <c r="AZ462">
        <v>0</v>
      </c>
      <c r="BA462">
        <v>0</v>
      </c>
      <c r="BI462" s="5">
        <v>44048.176388888889</v>
      </c>
      <c r="BJ462" s="5">
        <v>44048.176388888889</v>
      </c>
      <c r="BK462" t="s">
        <v>778</v>
      </c>
      <c r="BL462" t="s">
        <v>778</v>
      </c>
      <c r="BN462" t="s">
        <v>37</v>
      </c>
    </row>
    <row r="463" spans="1:66" x14ac:dyDescent="0.2">
      <c r="A463">
        <v>3693020</v>
      </c>
      <c r="B463">
        <v>21883</v>
      </c>
      <c r="C463">
        <v>523999</v>
      </c>
      <c r="D463">
        <v>52896</v>
      </c>
      <c r="E463">
        <v>100</v>
      </c>
      <c r="F463" t="s">
        <v>37</v>
      </c>
      <c r="G463">
        <v>1</v>
      </c>
      <c r="H463" t="s">
        <v>37</v>
      </c>
      <c r="I463" t="s">
        <v>37</v>
      </c>
      <c r="J463" t="s">
        <v>775</v>
      </c>
      <c r="K463" t="s">
        <v>230</v>
      </c>
      <c r="L463" t="s">
        <v>226</v>
      </c>
      <c r="M463" t="s">
        <v>422</v>
      </c>
      <c r="N463" t="s">
        <v>2848</v>
      </c>
      <c r="O463" t="s">
        <v>2849</v>
      </c>
      <c r="S463">
        <v>0</v>
      </c>
      <c r="T463">
        <v>0</v>
      </c>
      <c r="U463">
        <v>0</v>
      </c>
      <c r="V463">
        <v>0</v>
      </c>
      <c r="W463">
        <v>48</v>
      </c>
      <c r="X463">
        <v>0</v>
      </c>
      <c r="Y463">
        <v>0</v>
      </c>
      <c r="Z463">
        <v>0</v>
      </c>
      <c r="AB463" s="5">
        <v>43646</v>
      </c>
      <c r="AC463" s="5">
        <v>43646</v>
      </c>
      <c r="AD463" s="5">
        <v>44306.666666666664</v>
      </c>
      <c r="AE463" s="5">
        <v>44306.666666666664</v>
      </c>
      <c r="AG463" s="5">
        <v>44044</v>
      </c>
      <c r="AH463" s="5">
        <v>44044</v>
      </c>
      <c r="AK463" s="5">
        <v>43619.333333333336</v>
      </c>
      <c r="AL463" s="5">
        <v>43626.666666666664</v>
      </c>
      <c r="AP463" t="s">
        <v>418</v>
      </c>
      <c r="AU463" t="s">
        <v>2850</v>
      </c>
      <c r="AV463" t="s">
        <v>2851</v>
      </c>
      <c r="AY463" t="s">
        <v>37</v>
      </c>
      <c r="AZ463">
        <v>0</v>
      </c>
      <c r="BA463">
        <v>0</v>
      </c>
      <c r="BI463" s="5">
        <v>44048.176388888889</v>
      </c>
      <c r="BJ463" s="5">
        <v>44048.176388888889</v>
      </c>
      <c r="BK463" t="s">
        <v>778</v>
      </c>
      <c r="BL463" t="s">
        <v>778</v>
      </c>
      <c r="BN463" t="s">
        <v>37</v>
      </c>
    </row>
    <row r="464" spans="1:66" x14ac:dyDescent="0.2">
      <c r="A464">
        <v>3693021</v>
      </c>
      <c r="B464">
        <v>21883</v>
      </c>
      <c r="C464">
        <v>523999</v>
      </c>
      <c r="D464">
        <v>52896</v>
      </c>
      <c r="E464">
        <v>100</v>
      </c>
      <c r="F464" t="s">
        <v>37</v>
      </c>
      <c r="G464">
        <v>1</v>
      </c>
      <c r="H464" t="s">
        <v>37</v>
      </c>
      <c r="I464" t="s">
        <v>37</v>
      </c>
      <c r="J464" t="s">
        <v>775</v>
      </c>
      <c r="K464" t="s">
        <v>230</v>
      </c>
      <c r="L464" t="s">
        <v>226</v>
      </c>
      <c r="M464" t="s">
        <v>422</v>
      </c>
      <c r="N464" t="s">
        <v>2852</v>
      </c>
      <c r="O464" t="s">
        <v>2853</v>
      </c>
      <c r="S464">
        <v>0</v>
      </c>
      <c r="T464">
        <v>0</v>
      </c>
      <c r="U464">
        <v>0</v>
      </c>
      <c r="V464">
        <v>0</v>
      </c>
      <c r="W464">
        <v>48</v>
      </c>
      <c r="X464">
        <v>0</v>
      </c>
      <c r="Y464">
        <v>0</v>
      </c>
      <c r="Z464">
        <v>0</v>
      </c>
      <c r="AB464" s="5">
        <v>43646</v>
      </c>
      <c r="AC464" s="5">
        <v>43646</v>
      </c>
      <c r="AD464" s="5">
        <v>44306.666666666664</v>
      </c>
      <c r="AE464" s="5">
        <v>44306.666666666664</v>
      </c>
      <c r="AG464" s="5">
        <v>44044</v>
      </c>
      <c r="AH464" s="5">
        <v>44044</v>
      </c>
      <c r="AK464" s="5">
        <v>43619.333333333336</v>
      </c>
      <c r="AL464" s="5">
        <v>43626.666666666664</v>
      </c>
      <c r="AP464" t="s">
        <v>418</v>
      </c>
      <c r="AU464" t="s">
        <v>2854</v>
      </c>
      <c r="AV464" t="s">
        <v>2855</v>
      </c>
      <c r="AY464" t="s">
        <v>37</v>
      </c>
      <c r="AZ464">
        <v>0</v>
      </c>
      <c r="BA464">
        <v>0</v>
      </c>
      <c r="BI464" s="5">
        <v>44048.176388888889</v>
      </c>
      <c r="BJ464" s="5">
        <v>44048.176388888889</v>
      </c>
      <c r="BK464" t="s">
        <v>778</v>
      </c>
      <c r="BL464" t="s">
        <v>778</v>
      </c>
      <c r="BN464" t="s">
        <v>37</v>
      </c>
    </row>
    <row r="465" spans="1:66" x14ac:dyDescent="0.2">
      <c r="A465">
        <v>3693022</v>
      </c>
      <c r="B465">
        <v>21883</v>
      </c>
      <c r="C465">
        <v>523999</v>
      </c>
      <c r="D465">
        <v>52896</v>
      </c>
      <c r="E465">
        <v>100</v>
      </c>
      <c r="F465" t="s">
        <v>37</v>
      </c>
      <c r="G465">
        <v>1</v>
      </c>
      <c r="H465" t="s">
        <v>37</v>
      </c>
      <c r="I465" t="s">
        <v>37</v>
      </c>
      <c r="J465" t="s">
        <v>775</v>
      </c>
      <c r="K465" t="s">
        <v>230</v>
      </c>
      <c r="L465" t="s">
        <v>226</v>
      </c>
      <c r="M465" t="s">
        <v>422</v>
      </c>
      <c r="N465" t="s">
        <v>2856</v>
      </c>
      <c r="O465" t="s">
        <v>2857</v>
      </c>
      <c r="S465">
        <v>0</v>
      </c>
      <c r="T465">
        <v>0</v>
      </c>
      <c r="U465">
        <v>0</v>
      </c>
      <c r="V465">
        <v>0</v>
      </c>
      <c r="W465">
        <v>48</v>
      </c>
      <c r="X465">
        <v>0</v>
      </c>
      <c r="Y465">
        <v>0</v>
      </c>
      <c r="Z465">
        <v>0</v>
      </c>
      <c r="AB465" s="5">
        <v>43646</v>
      </c>
      <c r="AC465" s="5">
        <v>43646</v>
      </c>
      <c r="AD465" s="5">
        <v>44306.666666666664</v>
      </c>
      <c r="AE465" s="5">
        <v>44306.666666666664</v>
      </c>
      <c r="AG465" s="5">
        <v>44044</v>
      </c>
      <c r="AH465" s="5">
        <v>44044</v>
      </c>
      <c r="AK465" s="5">
        <v>43619.333333333336</v>
      </c>
      <c r="AL465" s="5">
        <v>43626.666666666664</v>
      </c>
      <c r="AP465" t="s">
        <v>418</v>
      </c>
      <c r="AU465" t="s">
        <v>2858</v>
      </c>
      <c r="AV465" t="s">
        <v>2859</v>
      </c>
      <c r="AY465" t="s">
        <v>37</v>
      </c>
      <c r="AZ465">
        <v>0</v>
      </c>
      <c r="BA465">
        <v>0</v>
      </c>
      <c r="BI465" s="5">
        <v>44048.176388888889</v>
      </c>
      <c r="BJ465" s="5">
        <v>44048.176388888889</v>
      </c>
      <c r="BK465" t="s">
        <v>778</v>
      </c>
      <c r="BL465" t="s">
        <v>778</v>
      </c>
      <c r="BN465" t="s">
        <v>37</v>
      </c>
    </row>
    <row r="466" spans="1:66" x14ac:dyDescent="0.2">
      <c r="A466">
        <v>3693023</v>
      </c>
      <c r="B466">
        <v>21883</v>
      </c>
      <c r="C466">
        <v>523999</v>
      </c>
      <c r="D466">
        <v>52896</v>
      </c>
      <c r="E466">
        <v>100</v>
      </c>
      <c r="F466" t="s">
        <v>37</v>
      </c>
      <c r="G466">
        <v>1</v>
      </c>
      <c r="H466" t="s">
        <v>37</v>
      </c>
      <c r="I466" t="s">
        <v>37</v>
      </c>
      <c r="J466" t="s">
        <v>775</v>
      </c>
      <c r="K466" t="s">
        <v>230</v>
      </c>
      <c r="L466" t="s">
        <v>226</v>
      </c>
      <c r="M466" t="s">
        <v>422</v>
      </c>
      <c r="N466" t="s">
        <v>2860</v>
      </c>
      <c r="O466" t="s">
        <v>2861</v>
      </c>
      <c r="S466">
        <v>0</v>
      </c>
      <c r="T466">
        <v>0</v>
      </c>
      <c r="U466">
        <v>0</v>
      </c>
      <c r="V466">
        <v>0</v>
      </c>
      <c r="W466">
        <v>72</v>
      </c>
      <c r="X466">
        <v>0</v>
      </c>
      <c r="Y466">
        <v>0</v>
      </c>
      <c r="Z466">
        <v>0</v>
      </c>
      <c r="AB466" s="5">
        <v>43646</v>
      </c>
      <c r="AC466" s="5">
        <v>43646</v>
      </c>
      <c r="AD466" s="5">
        <v>44306.666666666664</v>
      </c>
      <c r="AE466" s="5">
        <v>44306.666666666664</v>
      </c>
      <c r="AG466" s="5">
        <v>44044</v>
      </c>
      <c r="AH466" s="5">
        <v>44044</v>
      </c>
      <c r="AK466" s="5">
        <v>43619.333333333336</v>
      </c>
      <c r="AL466" s="5">
        <v>43629.666666666664</v>
      </c>
      <c r="AP466" t="s">
        <v>418</v>
      </c>
      <c r="AU466" t="s">
        <v>2862</v>
      </c>
      <c r="AV466" t="s">
        <v>2863</v>
      </c>
      <c r="AY466" t="s">
        <v>37</v>
      </c>
      <c r="AZ466">
        <v>0</v>
      </c>
      <c r="BA466">
        <v>0</v>
      </c>
      <c r="BI466" s="5">
        <v>44048.176388888889</v>
      </c>
      <c r="BJ466" s="5">
        <v>44048.176388888889</v>
      </c>
      <c r="BK466" t="s">
        <v>778</v>
      </c>
      <c r="BL466" t="s">
        <v>778</v>
      </c>
      <c r="BN466" t="s">
        <v>37</v>
      </c>
    </row>
    <row r="467" spans="1:66" x14ac:dyDescent="0.2">
      <c r="A467">
        <v>3693024</v>
      </c>
      <c r="B467">
        <v>21883</v>
      </c>
      <c r="C467">
        <v>523999</v>
      </c>
      <c r="D467">
        <v>52896</v>
      </c>
      <c r="E467">
        <v>100</v>
      </c>
      <c r="F467" t="s">
        <v>37</v>
      </c>
      <c r="G467">
        <v>1</v>
      </c>
      <c r="H467" t="s">
        <v>37</v>
      </c>
      <c r="I467" t="s">
        <v>37</v>
      </c>
      <c r="J467" t="s">
        <v>775</v>
      </c>
      <c r="K467" t="s">
        <v>230</v>
      </c>
      <c r="L467" t="s">
        <v>226</v>
      </c>
      <c r="M467" t="s">
        <v>422</v>
      </c>
      <c r="N467" t="s">
        <v>2864</v>
      </c>
      <c r="O467" t="s">
        <v>2865</v>
      </c>
      <c r="S467">
        <v>0</v>
      </c>
      <c r="T467">
        <v>0</v>
      </c>
      <c r="U467">
        <v>0</v>
      </c>
      <c r="V467">
        <v>0</v>
      </c>
      <c r="W467">
        <v>72</v>
      </c>
      <c r="X467">
        <v>0</v>
      </c>
      <c r="Y467">
        <v>0</v>
      </c>
      <c r="Z467">
        <v>0</v>
      </c>
      <c r="AB467" s="5">
        <v>43646</v>
      </c>
      <c r="AC467" s="5">
        <v>43646</v>
      </c>
      <c r="AD467" s="5">
        <v>44306.666666666664</v>
      </c>
      <c r="AE467" s="5">
        <v>44306.666666666664</v>
      </c>
      <c r="AG467" s="5">
        <v>44044</v>
      </c>
      <c r="AH467" s="5">
        <v>44044</v>
      </c>
      <c r="AK467" s="5">
        <v>43619.333333333336</v>
      </c>
      <c r="AL467" s="5">
        <v>43629.666666666664</v>
      </c>
      <c r="AP467" t="s">
        <v>418</v>
      </c>
      <c r="AU467" t="s">
        <v>2866</v>
      </c>
      <c r="AV467" t="s">
        <v>2867</v>
      </c>
      <c r="AY467" t="s">
        <v>37</v>
      </c>
      <c r="AZ467">
        <v>0</v>
      </c>
      <c r="BA467">
        <v>0</v>
      </c>
      <c r="BI467" s="5">
        <v>44048.176388888889</v>
      </c>
      <c r="BJ467" s="5">
        <v>44048.176388888889</v>
      </c>
      <c r="BK467" t="s">
        <v>778</v>
      </c>
      <c r="BL467" t="s">
        <v>778</v>
      </c>
      <c r="BN467" t="s">
        <v>37</v>
      </c>
    </row>
    <row r="468" spans="1:66" x14ac:dyDescent="0.2">
      <c r="A468">
        <v>3693025</v>
      </c>
      <c r="B468">
        <v>21883</v>
      </c>
      <c r="C468">
        <v>523999</v>
      </c>
      <c r="D468">
        <v>52896</v>
      </c>
      <c r="E468">
        <v>100</v>
      </c>
      <c r="F468" t="s">
        <v>37</v>
      </c>
      <c r="G468">
        <v>1</v>
      </c>
      <c r="H468" t="s">
        <v>37</v>
      </c>
      <c r="I468" t="s">
        <v>37</v>
      </c>
      <c r="J468" t="s">
        <v>775</v>
      </c>
      <c r="K468" t="s">
        <v>230</v>
      </c>
      <c r="L468" t="s">
        <v>226</v>
      </c>
      <c r="M468" t="s">
        <v>422</v>
      </c>
      <c r="N468" t="s">
        <v>2868</v>
      </c>
      <c r="O468" t="s">
        <v>2869</v>
      </c>
      <c r="S468">
        <v>0</v>
      </c>
      <c r="T468">
        <v>0</v>
      </c>
      <c r="U468">
        <v>0</v>
      </c>
      <c r="V468">
        <v>0</v>
      </c>
      <c r="W468">
        <v>72</v>
      </c>
      <c r="X468">
        <v>0</v>
      </c>
      <c r="Y468">
        <v>0</v>
      </c>
      <c r="Z468">
        <v>0</v>
      </c>
      <c r="AB468" s="5">
        <v>43646</v>
      </c>
      <c r="AC468" s="5">
        <v>43646</v>
      </c>
      <c r="AD468" s="5">
        <v>44306.666666666664</v>
      </c>
      <c r="AE468" s="5">
        <v>44306.666666666664</v>
      </c>
      <c r="AG468" s="5">
        <v>44044</v>
      </c>
      <c r="AH468" s="5">
        <v>44044</v>
      </c>
      <c r="AK468" s="5">
        <v>43619.333333333336</v>
      </c>
      <c r="AL468" s="5">
        <v>43629.666666666664</v>
      </c>
      <c r="AP468" t="s">
        <v>418</v>
      </c>
      <c r="AU468" t="s">
        <v>2870</v>
      </c>
      <c r="AV468" t="s">
        <v>2871</v>
      </c>
      <c r="AY468" t="s">
        <v>37</v>
      </c>
      <c r="AZ468">
        <v>0</v>
      </c>
      <c r="BA468">
        <v>0</v>
      </c>
      <c r="BI468" s="5">
        <v>44048.176388888889</v>
      </c>
      <c r="BJ468" s="5">
        <v>44048.176388888889</v>
      </c>
      <c r="BK468" t="s">
        <v>778</v>
      </c>
      <c r="BL468" t="s">
        <v>778</v>
      </c>
      <c r="BN468" t="s">
        <v>37</v>
      </c>
    </row>
    <row r="469" spans="1:66" x14ac:dyDescent="0.2">
      <c r="A469">
        <v>3693026</v>
      </c>
      <c r="B469">
        <v>21883</v>
      </c>
      <c r="C469">
        <v>523999</v>
      </c>
      <c r="D469">
        <v>52896</v>
      </c>
      <c r="E469">
        <v>100</v>
      </c>
      <c r="F469" t="s">
        <v>37</v>
      </c>
      <c r="G469">
        <v>1</v>
      </c>
      <c r="H469" t="s">
        <v>37</v>
      </c>
      <c r="I469" t="s">
        <v>37</v>
      </c>
      <c r="J469" t="s">
        <v>775</v>
      </c>
      <c r="K469" t="s">
        <v>230</v>
      </c>
      <c r="L469" t="s">
        <v>226</v>
      </c>
      <c r="M469" t="s">
        <v>422</v>
      </c>
      <c r="N469" t="s">
        <v>2872</v>
      </c>
      <c r="O469" t="s">
        <v>2873</v>
      </c>
      <c r="S469">
        <v>0</v>
      </c>
      <c r="T469">
        <v>0</v>
      </c>
      <c r="U469">
        <v>0</v>
      </c>
      <c r="V469">
        <v>0</v>
      </c>
      <c r="W469">
        <v>48</v>
      </c>
      <c r="X469">
        <v>0</v>
      </c>
      <c r="Y469">
        <v>0</v>
      </c>
      <c r="Z469">
        <v>0</v>
      </c>
      <c r="AB469" s="5">
        <v>43646</v>
      </c>
      <c r="AC469" s="5">
        <v>43646</v>
      </c>
      <c r="AD469" s="5">
        <v>44306.666666666664</v>
      </c>
      <c r="AE469" s="5">
        <v>44306.666666666664</v>
      </c>
      <c r="AG469" s="5">
        <v>44044</v>
      </c>
      <c r="AH469" s="5">
        <v>44044</v>
      </c>
      <c r="AK469" s="5">
        <v>43619.333333333336</v>
      </c>
      <c r="AL469" s="5">
        <v>43626.666666666664</v>
      </c>
      <c r="AP469" t="s">
        <v>418</v>
      </c>
      <c r="AU469" t="s">
        <v>2874</v>
      </c>
      <c r="AV469" t="s">
        <v>2875</v>
      </c>
      <c r="AY469" t="s">
        <v>37</v>
      </c>
      <c r="AZ469">
        <v>0</v>
      </c>
      <c r="BA469">
        <v>0</v>
      </c>
      <c r="BI469" s="5">
        <v>44048.176388888889</v>
      </c>
      <c r="BJ469" s="5">
        <v>44048.176388888889</v>
      </c>
      <c r="BK469" t="s">
        <v>778</v>
      </c>
      <c r="BL469" t="s">
        <v>778</v>
      </c>
      <c r="BN469" t="s">
        <v>37</v>
      </c>
    </row>
    <row r="470" spans="1:66" x14ac:dyDescent="0.2">
      <c r="A470">
        <v>3693027</v>
      </c>
      <c r="B470">
        <v>21883</v>
      </c>
      <c r="C470">
        <v>523919</v>
      </c>
      <c r="D470">
        <v>52896</v>
      </c>
      <c r="E470">
        <v>100</v>
      </c>
      <c r="F470" t="s">
        <v>37</v>
      </c>
      <c r="G470">
        <v>1</v>
      </c>
      <c r="H470" t="s">
        <v>37</v>
      </c>
      <c r="I470" t="s">
        <v>37</v>
      </c>
      <c r="J470" t="s">
        <v>775</v>
      </c>
      <c r="K470" t="s">
        <v>423</v>
      </c>
      <c r="L470" t="s">
        <v>420</v>
      </c>
      <c r="M470" t="s">
        <v>422</v>
      </c>
      <c r="N470" t="s">
        <v>2876</v>
      </c>
      <c r="O470" t="s">
        <v>2877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B470" s="5">
        <v>43696</v>
      </c>
      <c r="AC470" s="5">
        <v>43696</v>
      </c>
      <c r="AD470" s="5">
        <v>43970.333333333336</v>
      </c>
      <c r="AE470" s="5">
        <v>43970.333333333336</v>
      </c>
      <c r="AG470" s="5">
        <v>44044</v>
      </c>
      <c r="AH470" s="5">
        <v>44044</v>
      </c>
      <c r="AK470" s="5">
        <v>43703.333333333336</v>
      </c>
      <c r="AL470" s="5">
        <v>43703.333333333336</v>
      </c>
      <c r="AP470" t="s">
        <v>418</v>
      </c>
      <c r="AU470" t="s">
        <v>2878</v>
      </c>
      <c r="AV470" t="s">
        <v>2879</v>
      </c>
      <c r="AY470" t="s">
        <v>40</v>
      </c>
      <c r="AZ470">
        <v>0</v>
      </c>
      <c r="BA470">
        <v>0</v>
      </c>
      <c r="BI470" s="5">
        <v>44048.176388888889</v>
      </c>
      <c r="BJ470" s="5">
        <v>44048.176388888889</v>
      </c>
      <c r="BK470" t="s">
        <v>778</v>
      </c>
      <c r="BL470" t="s">
        <v>778</v>
      </c>
      <c r="BN470" t="s">
        <v>37</v>
      </c>
    </row>
    <row r="471" spans="1:66" x14ac:dyDescent="0.2">
      <c r="A471">
        <v>3693028</v>
      </c>
      <c r="B471">
        <v>21883</v>
      </c>
      <c r="C471">
        <v>523964</v>
      </c>
      <c r="D471">
        <v>52895</v>
      </c>
      <c r="E471">
        <v>100</v>
      </c>
      <c r="F471" t="s">
        <v>37</v>
      </c>
      <c r="G471">
        <v>1</v>
      </c>
      <c r="H471" t="s">
        <v>37</v>
      </c>
      <c r="I471" t="s">
        <v>37</v>
      </c>
      <c r="J471" t="s">
        <v>775</v>
      </c>
      <c r="K471" t="s">
        <v>419</v>
      </c>
      <c r="L471" t="s">
        <v>420</v>
      </c>
      <c r="M471" t="s">
        <v>422</v>
      </c>
      <c r="N471" t="s">
        <v>2880</v>
      </c>
      <c r="O471" t="s">
        <v>2881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B471" s="5">
        <v>43661</v>
      </c>
      <c r="AC471" s="5">
        <v>43661</v>
      </c>
      <c r="AD471" s="5">
        <v>43970.333333333336</v>
      </c>
      <c r="AE471" s="5">
        <v>43970.333333333336</v>
      </c>
      <c r="AG471" s="5">
        <v>44044</v>
      </c>
      <c r="AH471" s="5">
        <v>44044</v>
      </c>
      <c r="AK471" s="5">
        <v>43678.333333333336</v>
      </c>
      <c r="AL471" s="5">
        <v>43678.333333333336</v>
      </c>
      <c r="AP471" t="s">
        <v>418</v>
      </c>
      <c r="AU471" t="s">
        <v>2882</v>
      </c>
      <c r="AV471" t="s">
        <v>2883</v>
      </c>
      <c r="AY471" t="s">
        <v>40</v>
      </c>
      <c r="AZ471">
        <v>0</v>
      </c>
      <c r="BA471">
        <v>0</v>
      </c>
      <c r="BI471" s="5">
        <v>44048.176388888889</v>
      </c>
      <c r="BJ471" s="5">
        <v>44048.176388888889</v>
      </c>
      <c r="BK471" t="s">
        <v>778</v>
      </c>
      <c r="BL471" t="s">
        <v>778</v>
      </c>
      <c r="BN471" t="s">
        <v>37</v>
      </c>
    </row>
    <row r="472" spans="1:66" x14ac:dyDescent="0.2">
      <c r="A472">
        <v>3693029</v>
      </c>
      <c r="B472">
        <v>21883</v>
      </c>
      <c r="C472">
        <v>523859</v>
      </c>
      <c r="D472">
        <v>52899</v>
      </c>
      <c r="E472">
        <v>100</v>
      </c>
      <c r="F472" t="s">
        <v>37</v>
      </c>
      <c r="G472">
        <v>1</v>
      </c>
      <c r="H472" t="s">
        <v>37</v>
      </c>
      <c r="I472" t="s">
        <v>37</v>
      </c>
      <c r="J472" t="s">
        <v>775</v>
      </c>
      <c r="K472" t="s">
        <v>230</v>
      </c>
      <c r="L472" t="s">
        <v>226</v>
      </c>
      <c r="M472" t="s">
        <v>422</v>
      </c>
      <c r="N472" t="s">
        <v>2884</v>
      </c>
      <c r="O472" t="s">
        <v>2885</v>
      </c>
      <c r="S472">
        <v>0</v>
      </c>
      <c r="T472">
        <v>40</v>
      </c>
      <c r="U472">
        <v>0</v>
      </c>
      <c r="V472">
        <v>40</v>
      </c>
      <c r="W472">
        <v>40</v>
      </c>
      <c r="X472">
        <v>0</v>
      </c>
      <c r="Y472">
        <v>0</v>
      </c>
      <c r="Z472">
        <v>0</v>
      </c>
      <c r="AB472" s="5">
        <v>43875</v>
      </c>
      <c r="AC472" s="5">
        <v>43875</v>
      </c>
      <c r="AD472" s="5">
        <v>43970.333333333336</v>
      </c>
      <c r="AE472" s="5">
        <v>43970.333333333336</v>
      </c>
      <c r="AG472" s="5">
        <v>44044</v>
      </c>
      <c r="AH472" s="5">
        <v>44044</v>
      </c>
      <c r="AK472" s="5">
        <v>43864.333333333336</v>
      </c>
      <c r="AL472" s="5">
        <v>43868.666666666664</v>
      </c>
      <c r="AP472" t="s">
        <v>418</v>
      </c>
      <c r="AU472" t="s">
        <v>2886</v>
      </c>
      <c r="AV472" t="s">
        <v>2887</v>
      </c>
      <c r="AY472" t="s">
        <v>40</v>
      </c>
      <c r="AZ472">
        <v>0</v>
      </c>
      <c r="BA472">
        <v>0</v>
      </c>
      <c r="BI472" s="5">
        <v>44048.176388888889</v>
      </c>
      <c r="BJ472" s="5">
        <v>44048.176388888889</v>
      </c>
      <c r="BK472" t="s">
        <v>778</v>
      </c>
      <c r="BL472" t="s">
        <v>778</v>
      </c>
      <c r="BN472" t="s">
        <v>37</v>
      </c>
    </row>
    <row r="473" spans="1:66" x14ac:dyDescent="0.2">
      <c r="A473">
        <v>3693030</v>
      </c>
      <c r="B473">
        <v>21883</v>
      </c>
      <c r="C473">
        <v>523859</v>
      </c>
      <c r="D473">
        <v>52899</v>
      </c>
      <c r="E473">
        <v>100</v>
      </c>
      <c r="F473" t="s">
        <v>37</v>
      </c>
      <c r="G473">
        <v>1</v>
      </c>
      <c r="H473" t="s">
        <v>37</v>
      </c>
      <c r="I473" t="s">
        <v>37</v>
      </c>
      <c r="J473" t="s">
        <v>775</v>
      </c>
      <c r="K473" t="s">
        <v>230</v>
      </c>
      <c r="L473" t="s">
        <v>226</v>
      </c>
      <c r="M473" t="s">
        <v>422</v>
      </c>
      <c r="N473" t="s">
        <v>2888</v>
      </c>
      <c r="O473" t="s">
        <v>2889</v>
      </c>
      <c r="S473">
        <v>0</v>
      </c>
      <c r="T473">
        <v>0</v>
      </c>
      <c r="U473">
        <v>0</v>
      </c>
      <c r="V473">
        <v>0</v>
      </c>
      <c r="W473">
        <v>40</v>
      </c>
      <c r="X473">
        <v>0</v>
      </c>
      <c r="Y473">
        <v>0</v>
      </c>
      <c r="Z473">
        <v>0</v>
      </c>
      <c r="AB473" s="5">
        <v>43887</v>
      </c>
      <c r="AC473" s="5">
        <v>43891</v>
      </c>
      <c r="AD473" s="5">
        <v>43970.333333333336</v>
      </c>
      <c r="AE473" s="5">
        <v>43970.333333333336</v>
      </c>
      <c r="AG473" s="5">
        <v>44044</v>
      </c>
      <c r="AH473" s="5">
        <v>44044</v>
      </c>
      <c r="AK473" s="5">
        <v>43875.333333333336</v>
      </c>
      <c r="AL473" s="5">
        <v>43882.666666666664</v>
      </c>
      <c r="AP473" t="s">
        <v>418</v>
      </c>
      <c r="AU473" t="s">
        <v>2890</v>
      </c>
      <c r="AV473" t="s">
        <v>2891</v>
      </c>
      <c r="AY473" t="s">
        <v>40</v>
      </c>
      <c r="AZ473">
        <v>0</v>
      </c>
      <c r="BA473">
        <v>0</v>
      </c>
      <c r="BI473" s="5">
        <v>44048.176388888889</v>
      </c>
      <c r="BJ473" s="5">
        <v>44048.176388888889</v>
      </c>
      <c r="BK473" t="s">
        <v>778</v>
      </c>
      <c r="BL473" t="s">
        <v>778</v>
      </c>
      <c r="BN473" t="s">
        <v>37</v>
      </c>
    </row>
    <row r="474" spans="1:66" x14ac:dyDescent="0.2">
      <c r="A474">
        <v>3693031</v>
      </c>
      <c r="B474">
        <v>21883</v>
      </c>
      <c r="C474">
        <v>523999</v>
      </c>
      <c r="D474">
        <v>52899</v>
      </c>
      <c r="E474">
        <v>100</v>
      </c>
      <c r="F474" t="s">
        <v>37</v>
      </c>
      <c r="G474">
        <v>1</v>
      </c>
      <c r="H474" t="s">
        <v>37</v>
      </c>
      <c r="I474" t="s">
        <v>37</v>
      </c>
      <c r="J474" t="s">
        <v>775</v>
      </c>
      <c r="K474" t="s">
        <v>230</v>
      </c>
      <c r="L474" t="s">
        <v>226</v>
      </c>
      <c r="M474" t="s">
        <v>422</v>
      </c>
      <c r="N474" t="s">
        <v>2892</v>
      </c>
      <c r="O474" t="s">
        <v>2893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B474" s="5">
        <v>43159</v>
      </c>
      <c r="AC474" s="5">
        <v>43159.666666666664</v>
      </c>
      <c r="AD474" s="5">
        <v>44306.666666666664</v>
      </c>
      <c r="AE474" s="5">
        <v>44306.666666666664</v>
      </c>
      <c r="AG474" s="5">
        <v>44044</v>
      </c>
      <c r="AH474" s="5">
        <v>44044</v>
      </c>
      <c r="AK474" s="5">
        <v>43707.333333333336</v>
      </c>
      <c r="AL474" s="5">
        <v>43707.333333333336</v>
      </c>
      <c r="AP474" t="s">
        <v>418</v>
      </c>
      <c r="AU474" t="s">
        <v>2894</v>
      </c>
      <c r="AV474" t="s">
        <v>2895</v>
      </c>
      <c r="AY474" t="s">
        <v>37</v>
      </c>
      <c r="AZ474">
        <v>0</v>
      </c>
      <c r="BA474">
        <v>0</v>
      </c>
      <c r="BI474" s="5">
        <v>44048.176388888889</v>
      </c>
      <c r="BJ474" s="5">
        <v>44048.176388888889</v>
      </c>
      <c r="BK474" t="s">
        <v>778</v>
      </c>
      <c r="BL474" t="s">
        <v>778</v>
      </c>
      <c r="BN474" t="s">
        <v>37</v>
      </c>
    </row>
    <row r="475" spans="1:66" x14ac:dyDescent="0.2">
      <c r="A475">
        <v>3693032</v>
      </c>
      <c r="B475">
        <v>21883</v>
      </c>
      <c r="C475">
        <v>523964</v>
      </c>
      <c r="D475">
        <v>52895</v>
      </c>
      <c r="E475">
        <v>100</v>
      </c>
      <c r="F475" t="s">
        <v>37</v>
      </c>
      <c r="G475">
        <v>1</v>
      </c>
      <c r="H475" t="s">
        <v>37</v>
      </c>
      <c r="I475" t="s">
        <v>37</v>
      </c>
      <c r="J475" t="s">
        <v>775</v>
      </c>
      <c r="K475" t="s">
        <v>423</v>
      </c>
      <c r="L475" t="s">
        <v>420</v>
      </c>
      <c r="M475" t="s">
        <v>422</v>
      </c>
      <c r="N475" t="s">
        <v>2896</v>
      </c>
      <c r="O475" t="s">
        <v>2897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B475" s="5">
        <v>43896</v>
      </c>
      <c r="AC475" s="5">
        <v>43896</v>
      </c>
      <c r="AD475" s="5">
        <v>43970.333333333336</v>
      </c>
      <c r="AE475" s="5">
        <v>43970.333333333336</v>
      </c>
      <c r="AG475" s="5">
        <v>44044</v>
      </c>
      <c r="AH475" s="5">
        <v>44044</v>
      </c>
      <c r="AK475" s="5">
        <v>43922.333333333336</v>
      </c>
      <c r="AL475" s="5">
        <v>43922.333333333336</v>
      </c>
      <c r="AP475" t="s">
        <v>418</v>
      </c>
      <c r="AU475" t="s">
        <v>2898</v>
      </c>
      <c r="AV475" t="s">
        <v>2899</v>
      </c>
      <c r="AY475" t="s">
        <v>40</v>
      </c>
      <c r="AZ475">
        <v>0</v>
      </c>
      <c r="BA475">
        <v>0</v>
      </c>
      <c r="BI475" s="5">
        <v>44048.176388888889</v>
      </c>
      <c r="BJ475" s="5">
        <v>44048.176388888889</v>
      </c>
      <c r="BK475" t="s">
        <v>778</v>
      </c>
      <c r="BL475" t="s">
        <v>778</v>
      </c>
      <c r="BN475" t="s">
        <v>37</v>
      </c>
    </row>
    <row r="476" spans="1:66" x14ac:dyDescent="0.2">
      <c r="A476">
        <v>3693033</v>
      </c>
      <c r="B476">
        <v>21883</v>
      </c>
      <c r="C476">
        <v>523978</v>
      </c>
      <c r="D476">
        <v>52899</v>
      </c>
      <c r="E476">
        <v>100</v>
      </c>
      <c r="F476" t="s">
        <v>37</v>
      </c>
      <c r="G476">
        <v>1</v>
      </c>
      <c r="H476" t="s">
        <v>37</v>
      </c>
      <c r="I476" t="s">
        <v>37</v>
      </c>
      <c r="J476" t="s">
        <v>775</v>
      </c>
      <c r="K476" t="s">
        <v>230</v>
      </c>
      <c r="L476" t="s">
        <v>226</v>
      </c>
      <c r="M476" t="s">
        <v>422</v>
      </c>
      <c r="N476" t="s">
        <v>2900</v>
      </c>
      <c r="O476" t="s">
        <v>2901</v>
      </c>
      <c r="S476">
        <v>0</v>
      </c>
      <c r="T476">
        <v>0</v>
      </c>
      <c r="U476">
        <v>0</v>
      </c>
      <c r="V476">
        <v>0</v>
      </c>
      <c r="W476">
        <v>8</v>
      </c>
      <c r="X476">
        <v>0</v>
      </c>
      <c r="Y476">
        <v>0</v>
      </c>
      <c r="Z476">
        <v>0</v>
      </c>
      <c r="AB476" s="5">
        <v>43898</v>
      </c>
      <c r="AC476" s="5">
        <v>43898</v>
      </c>
      <c r="AD476" s="5">
        <v>43970.333333333336</v>
      </c>
      <c r="AE476" s="5">
        <v>43970.333333333336</v>
      </c>
      <c r="AG476" s="5">
        <v>44044</v>
      </c>
      <c r="AH476" s="5">
        <v>44044</v>
      </c>
      <c r="AK476" s="5">
        <v>43901.333333333336</v>
      </c>
      <c r="AL476" s="5">
        <v>43901.666666666664</v>
      </c>
      <c r="AP476" t="s">
        <v>418</v>
      </c>
      <c r="AU476" t="s">
        <v>2902</v>
      </c>
      <c r="AV476" t="s">
        <v>2903</v>
      </c>
      <c r="AY476" t="s">
        <v>40</v>
      </c>
      <c r="AZ476">
        <v>0</v>
      </c>
      <c r="BA476">
        <v>0</v>
      </c>
      <c r="BI476" s="5">
        <v>44048.176388888889</v>
      </c>
      <c r="BJ476" s="5">
        <v>44048.176388888889</v>
      </c>
      <c r="BK476" t="s">
        <v>778</v>
      </c>
      <c r="BL476" t="s">
        <v>778</v>
      </c>
      <c r="BN476" t="s">
        <v>37</v>
      </c>
    </row>
    <row r="477" spans="1:66" x14ac:dyDescent="0.2">
      <c r="A477">
        <v>3693034</v>
      </c>
      <c r="B477">
        <v>21883</v>
      </c>
      <c r="C477">
        <v>523859</v>
      </c>
      <c r="D477">
        <v>52899</v>
      </c>
      <c r="E477">
        <v>100</v>
      </c>
      <c r="F477" t="s">
        <v>37</v>
      </c>
      <c r="G477">
        <v>1</v>
      </c>
      <c r="H477" t="s">
        <v>37</v>
      </c>
      <c r="I477" t="s">
        <v>37</v>
      </c>
      <c r="J477" t="s">
        <v>775</v>
      </c>
      <c r="K477" t="s">
        <v>423</v>
      </c>
      <c r="L477" t="s">
        <v>420</v>
      </c>
      <c r="M477" t="s">
        <v>422</v>
      </c>
      <c r="N477" t="s">
        <v>2904</v>
      </c>
      <c r="O477" t="s">
        <v>2905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B477" s="5">
        <v>43896</v>
      </c>
      <c r="AC477" s="5">
        <v>43896</v>
      </c>
      <c r="AD477" s="5">
        <v>44005.333333333336</v>
      </c>
      <c r="AE477" s="5">
        <v>44005.333333333336</v>
      </c>
      <c r="AG477" s="5">
        <v>44044</v>
      </c>
      <c r="AH477" s="5">
        <v>44044</v>
      </c>
      <c r="AK477" s="5">
        <v>43901.333333333336</v>
      </c>
      <c r="AL477" s="5">
        <v>43901.333333333336</v>
      </c>
      <c r="AP477" t="s">
        <v>418</v>
      </c>
      <c r="AU477" t="s">
        <v>2906</v>
      </c>
      <c r="AV477" t="s">
        <v>2907</v>
      </c>
      <c r="AY477" t="s">
        <v>37</v>
      </c>
      <c r="AZ477">
        <v>0</v>
      </c>
      <c r="BA477">
        <v>0</v>
      </c>
      <c r="BI477" s="5">
        <v>44048.176388888889</v>
      </c>
      <c r="BJ477" s="5">
        <v>44048.176388888889</v>
      </c>
      <c r="BK477" t="s">
        <v>778</v>
      </c>
      <c r="BL477" t="s">
        <v>778</v>
      </c>
      <c r="BN477" t="s">
        <v>37</v>
      </c>
    </row>
    <row r="478" spans="1:66" x14ac:dyDescent="0.2">
      <c r="A478">
        <v>3693035</v>
      </c>
      <c r="B478">
        <v>21883</v>
      </c>
      <c r="C478">
        <v>523910</v>
      </c>
      <c r="D478">
        <v>52899</v>
      </c>
      <c r="E478">
        <v>100</v>
      </c>
      <c r="F478" t="s">
        <v>37</v>
      </c>
      <c r="G478">
        <v>1</v>
      </c>
      <c r="H478" t="s">
        <v>37</v>
      </c>
      <c r="I478" t="s">
        <v>37</v>
      </c>
      <c r="J478" t="s">
        <v>775</v>
      </c>
      <c r="K478" t="s">
        <v>230</v>
      </c>
      <c r="L478" t="s">
        <v>226</v>
      </c>
      <c r="M478" t="s">
        <v>422</v>
      </c>
      <c r="N478" t="s">
        <v>2908</v>
      </c>
      <c r="O478" t="s">
        <v>2909</v>
      </c>
      <c r="S478">
        <v>0</v>
      </c>
      <c r="T478">
        <v>0</v>
      </c>
      <c r="U478">
        <v>0</v>
      </c>
      <c r="V478">
        <v>0</v>
      </c>
      <c r="W478">
        <v>64</v>
      </c>
      <c r="X478">
        <v>0</v>
      </c>
      <c r="Y478">
        <v>0</v>
      </c>
      <c r="Z478">
        <v>0</v>
      </c>
      <c r="AB478" s="5">
        <v>43893</v>
      </c>
      <c r="AC478" s="5">
        <v>43895</v>
      </c>
      <c r="AD478" s="5">
        <v>43970.333333333336</v>
      </c>
      <c r="AE478" s="5">
        <v>43970.333333333336</v>
      </c>
      <c r="AG478" s="5">
        <v>44044</v>
      </c>
      <c r="AH478" s="5">
        <v>44044</v>
      </c>
      <c r="AK478" s="5">
        <v>43906.333333333336</v>
      </c>
      <c r="AL478" s="5">
        <v>43916.666666666664</v>
      </c>
      <c r="AP478" t="s">
        <v>418</v>
      </c>
      <c r="AU478" t="s">
        <v>2910</v>
      </c>
      <c r="AV478" t="s">
        <v>2911</v>
      </c>
      <c r="AY478" t="s">
        <v>40</v>
      </c>
      <c r="AZ478">
        <v>0</v>
      </c>
      <c r="BA478">
        <v>0</v>
      </c>
      <c r="BI478" s="5">
        <v>44048.176388888889</v>
      </c>
      <c r="BJ478" s="5">
        <v>44048.176388888889</v>
      </c>
      <c r="BK478" t="s">
        <v>778</v>
      </c>
      <c r="BL478" t="s">
        <v>778</v>
      </c>
      <c r="BN478" t="s">
        <v>37</v>
      </c>
    </row>
    <row r="479" spans="1:66" x14ac:dyDescent="0.2">
      <c r="A479">
        <v>3693036</v>
      </c>
      <c r="B479">
        <v>21883</v>
      </c>
      <c r="C479">
        <v>523910</v>
      </c>
      <c r="D479">
        <v>52899</v>
      </c>
      <c r="E479">
        <v>100</v>
      </c>
      <c r="F479" t="s">
        <v>37</v>
      </c>
      <c r="G479">
        <v>1</v>
      </c>
      <c r="H479" t="s">
        <v>37</v>
      </c>
      <c r="I479" t="s">
        <v>37</v>
      </c>
      <c r="J479" t="s">
        <v>775</v>
      </c>
      <c r="K479" t="s">
        <v>230</v>
      </c>
      <c r="L479" t="s">
        <v>226</v>
      </c>
      <c r="M479" t="s">
        <v>422</v>
      </c>
      <c r="N479" t="s">
        <v>2912</v>
      </c>
      <c r="O479" t="s">
        <v>2913</v>
      </c>
      <c r="S479">
        <v>0</v>
      </c>
      <c r="T479">
        <v>0</v>
      </c>
      <c r="U479">
        <v>0</v>
      </c>
      <c r="V479">
        <v>0</v>
      </c>
      <c r="W479">
        <v>40</v>
      </c>
      <c r="X479">
        <v>0</v>
      </c>
      <c r="Y479">
        <v>0</v>
      </c>
      <c r="Z479">
        <v>0</v>
      </c>
      <c r="AB479" s="5">
        <v>43923</v>
      </c>
      <c r="AC479" s="5">
        <v>43927</v>
      </c>
      <c r="AD479" s="5">
        <v>43970.333333333336</v>
      </c>
      <c r="AE479" s="5">
        <v>43970.333333333336</v>
      </c>
      <c r="AG479" s="5">
        <v>44044</v>
      </c>
      <c r="AH479" s="5">
        <v>44044</v>
      </c>
      <c r="AK479" s="5">
        <v>43922.333333333336</v>
      </c>
      <c r="AL479" s="5">
        <v>43928.666666666664</v>
      </c>
      <c r="AP479" t="s">
        <v>418</v>
      </c>
      <c r="AU479" t="s">
        <v>2914</v>
      </c>
      <c r="AV479" t="s">
        <v>2915</v>
      </c>
      <c r="AY479" t="s">
        <v>40</v>
      </c>
      <c r="AZ479">
        <v>0</v>
      </c>
      <c r="BA479">
        <v>0</v>
      </c>
      <c r="BI479" s="5">
        <v>44048.176388888889</v>
      </c>
      <c r="BJ479" s="5">
        <v>44048.176388888889</v>
      </c>
      <c r="BK479" t="s">
        <v>778</v>
      </c>
      <c r="BL479" t="s">
        <v>778</v>
      </c>
      <c r="BN479" t="s">
        <v>37</v>
      </c>
    </row>
    <row r="480" spans="1:66" x14ac:dyDescent="0.2">
      <c r="A480">
        <v>3693037</v>
      </c>
      <c r="B480">
        <v>21883</v>
      </c>
      <c r="C480">
        <v>523999</v>
      </c>
      <c r="D480">
        <v>52899</v>
      </c>
      <c r="E480">
        <v>100</v>
      </c>
      <c r="F480" t="s">
        <v>37</v>
      </c>
      <c r="G480">
        <v>1</v>
      </c>
      <c r="H480" t="s">
        <v>37</v>
      </c>
      <c r="I480" t="s">
        <v>37</v>
      </c>
      <c r="J480" t="s">
        <v>775</v>
      </c>
      <c r="K480" t="s">
        <v>426</v>
      </c>
      <c r="L480" t="s">
        <v>226</v>
      </c>
      <c r="M480" t="s">
        <v>422</v>
      </c>
      <c r="N480" t="s">
        <v>2916</v>
      </c>
      <c r="O480" t="s">
        <v>2917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B480" s="5">
        <v>43831</v>
      </c>
      <c r="AC480" s="5">
        <v>43831</v>
      </c>
      <c r="AK480" s="5">
        <v>43864.333333333336</v>
      </c>
      <c r="AL480" s="5">
        <v>43864.333333333336</v>
      </c>
      <c r="AP480" t="s">
        <v>418</v>
      </c>
      <c r="AU480" t="s">
        <v>2918</v>
      </c>
      <c r="AV480" t="s">
        <v>2919</v>
      </c>
      <c r="AY480" t="s">
        <v>37</v>
      </c>
      <c r="AZ480">
        <v>0</v>
      </c>
      <c r="BA480">
        <v>0</v>
      </c>
      <c r="BI480" s="5">
        <v>44048.176388888889</v>
      </c>
      <c r="BJ480" s="5">
        <v>44048.176388888889</v>
      </c>
      <c r="BK480" t="s">
        <v>778</v>
      </c>
      <c r="BL480" t="s">
        <v>778</v>
      </c>
      <c r="BN480" t="s">
        <v>37</v>
      </c>
    </row>
    <row r="481" spans="1:66" x14ac:dyDescent="0.2">
      <c r="A481">
        <v>3693038</v>
      </c>
      <c r="B481">
        <v>21883</v>
      </c>
      <c r="C481">
        <v>523909</v>
      </c>
      <c r="D481">
        <v>52896</v>
      </c>
      <c r="E481">
        <v>100</v>
      </c>
      <c r="F481" t="s">
        <v>37</v>
      </c>
      <c r="G481">
        <v>1</v>
      </c>
      <c r="H481" t="s">
        <v>37</v>
      </c>
      <c r="I481" t="s">
        <v>37</v>
      </c>
      <c r="J481" t="s">
        <v>775</v>
      </c>
      <c r="K481" t="s">
        <v>419</v>
      </c>
      <c r="L481" t="s">
        <v>420</v>
      </c>
      <c r="M481" t="s">
        <v>422</v>
      </c>
      <c r="N481" t="s">
        <v>2920</v>
      </c>
      <c r="O481" t="s">
        <v>2921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B481" s="5">
        <v>43899</v>
      </c>
      <c r="AC481" s="5">
        <v>43899</v>
      </c>
      <c r="AD481" s="5">
        <v>43970.333333333336</v>
      </c>
      <c r="AE481" s="5">
        <v>43970.333333333336</v>
      </c>
      <c r="AG481" s="5">
        <v>44044</v>
      </c>
      <c r="AH481" s="5">
        <v>44044</v>
      </c>
      <c r="AK481" s="5">
        <v>43906.333333333336</v>
      </c>
      <c r="AL481" s="5">
        <v>43906.333333333336</v>
      </c>
      <c r="AP481" t="s">
        <v>418</v>
      </c>
      <c r="AU481" t="s">
        <v>2922</v>
      </c>
      <c r="AV481" t="s">
        <v>2923</v>
      </c>
      <c r="AY481" t="s">
        <v>40</v>
      </c>
      <c r="AZ481">
        <v>0</v>
      </c>
      <c r="BA481">
        <v>0</v>
      </c>
      <c r="BI481" s="5">
        <v>44048.176388888889</v>
      </c>
      <c r="BJ481" s="5">
        <v>44048.176388888889</v>
      </c>
      <c r="BK481" t="s">
        <v>778</v>
      </c>
      <c r="BL481" t="s">
        <v>778</v>
      </c>
      <c r="BN481" t="s">
        <v>37</v>
      </c>
    </row>
    <row r="482" spans="1:66" x14ac:dyDescent="0.2">
      <c r="A482">
        <v>3693039</v>
      </c>
      <c r="B482">
        <v>21883</v>
      </c>
      <c r="C482">
        <v>523999</v>
      </c>
      <c r="D482">
        <v>52896</v>
      </c>
      <c r="E482">
        <v>100</v>
      </c>
      <c r="F482" t="s">
        <v>37</v>
      </c>
      <c r="G482">
        <v>1</v>
      </c>
      <c r="H482" t="s">
        <v>37</v>
      </c>
      <c r="I482" t="s">
        <v>37</v>
      </c>
      <c r="J482" t="s">
        <v>775</v>
      </c>
      <c r="K482" t="s">
        <v>230</v>
      </c>
      <c r="L482" t="s">
        <v>226</v>
      </c>
      <c r="M482" t="s">
        <v>422</v>
      </c>
      <c r="N482" t="s">
        <v>2924</v>
      </c>
      <c r="O482" t="s">
        <v>2845</v>
      </c>
      <c r="S482">
        <v>0</v>
      </c>
      <c r="T482">
        <v>0</v>
      </c>
      <c r="U482">
        <v>0</v>
      </c>
      <c r="V482">
        <v>0</v>
      </c>
      <c r="W482">
        <v>72</v>
      </c>
      <c r="X482">
        <v>0</v>
      </c>
      <c r="Y482">
        <v>0</v>
      </c>
      <c r="Z482">
        <v>0</v>
      </c>
      <c r="AB482" s="5">
        <v>43677</v>
      </c>
      <c r="AC482" s="5">
        <v>43677</v>
      </c>
      <c r="AD482" s="5">
        <v>44306.666666666664</v>
      </c>
      <c r="AE482" s="5">
        <v>44306.666666666664</v>
      </c>
      <c r="AG482" s="5">
        <v>44044</v>
      </c>
      <c r="AH482" s="5">
        <v>44044</v>
      </c>
      <c r="AK482" s="5">
        <v>43922.333333333336</v>
      </c>
      <c r="AL482" s="5">
        <v>43935.666666666664</v>
      </c>
      <c r="AP482" t="s">
        <v>418</v>
      </c>
      <c r="AU482" t="s">
        <v>2925</v>
      </c>
      <c r="AV482" t="s">
        <v>2926</v>
      </c>
      <c r="AY482" t="s">
        <v>37</v>
      </c>
      <c r="AZ482">
        <v>0</v>
      </c>
      <c r="BA482">
        <v>0</v>
      </c>
      <c r="BI482" s="5">
        <v>44048.176388888889</v>
      </c>
      <c r="BJ482" s="5">
        <v>44048.176388888889</v>
      </c>
      <c r="BK482" t="s">
        <v>778</v>
      </c>
      <c r="BL482" t="s">
        <v>778</v>
      </c>
      <c r="BN482" t="s">
        <v>37</v>
      </c>
    </row>
    <row r="483" spans="1:66" x14ac:dyDescent="0.2">
      <c r="A483">
        <v>3693040</v>
      </c>
      <c r="B483">
        <v>21883</v>
      </c>
      <c r="C483">
        <v>523999</v>
      </c>
      <c r="D483">
        <v>52896</v>
      </c>
      <c r="E483">
        <v>100</v>
      </c>
      <c r="F483" t="s">
        <v>37</v>
      </c>
      <c r="G483">
        <v>1</v>
      </c>
      <c r="H483" t="s">
        <v>37</v>
      </c>
      <c r="I483" t="s">
        <v>37</v>
      </c>
      <c r="J483" t="s">
        <v>775</v>
      </c>
      <c r="K483" t="s">
        <v>230</v>
      </c>
      <c r="L483" t="s">
        <v>226</v>
      </c>
      <c r="M483" t="s">
        <v>422</v>
      </c>
      <c r="N483" t="s">
        <v>2927</v>
      </c>
      <c r="O483" t="s">
        <v>2849</v>
      </c>
      <c r="S483">
        <v>0</v>
      </c>
      <c r="T483">
        <v>0</v>
      </c>
      <c r="U483">
        <v>0</v>
      </c>
      <c r="V483">
        <v>0</v>
      </c>
      <c r="W483">
        <v>48</v>
      </c>
      <c r="X483">
        <v>0</v>
      </c>
      <c r="Y483">
        <v>0</v>
      </c>
      <c r="Z483">
        <v>0</v>
      </c>
      <c r="AB483" s="5">
        <v>43677</v>
      </c>
      <c r="AC483" s="5">
        <v>43677</v>
      </c>
      <c r="AD483" s="5">
        <v>44306.666666666664</v>
      </c>
      <c r="AE483" s="5">
        <v>44306.666666666664</v>
      </c>
      <c r="AG483" s="5">
        <v>44044</v>
      </c>
      <c r="AH483" s="5">
        <v>44044</v>
      </c>
      <c r="AK483" s="5">
        <v>43914.333333333336</v>
      </c>
      <c r="AL483" s="5">
        <v>43921.666666666664</v>
      </c>
      <c r="AP483" t="s">
        <v>418</v>
      </c>
      <c r="AU483" t="s">
        <v>2928</v>
      </c>
      <c r="AV483" t="s">
        <v>2929</v>
      </c>
      <c r="AY483" t="s">
        <v>37</v>
      </c>
      <c r="AZ483">
        <v>0</v>
      </c>
      <c r="BA483">
        <v>0</v>
      </c>
      <c r="BI483" s="5">
        <v>44048.176388888889</v>
      </c>
      <c r="BJ483" s="5">
        <v>44048.176388888889</v>
      </c>
      <c r="BK483" t="s">
        <v>778</v>
      </c>
      <c r="BL483" t="s">
        <v>778</v>
      </c>
      <c r="BN483" t="s">
        <v>37</v>
      </c>
    </row>
    <row r="484" spans="1:66" x14ac:dyDescent="0.2">
      <c r="A484">
        <v>3693041</v>
      </c>
      <c r="B484">
        <v>21883</v>
      </c>
      <c r="C484">
        <v>523999</v>
      </c>
      <c r="D484">
        <v>52896</v>
      </c>
      <c r="E484">
        <v>100</v>
      </c>
      <c r="F484" t="s">
        <v>37</v>
      </c>
      <c r="G484">
        <v>1</v>
      </c>
      <c r="H484" t="s">
        <v>37</v>
      </c>
      <c r="I484" t="s">
        <v>37</v>
      </c>
      <c r="J484" t="s">
        <v>775</v>
      </c>
      <c r="K484" t="s">
        <v>230</v>
      </c>
      <c r="L484" t="s">
        <v>226</v>
      </c>
      <c r="M484" t="s">
        <v>422</v>
      </c>
      <c r="N484" t="s">
        <v>2930</v>
      </c>
      <c r="O484" t="s">
        <v>2853</v>
      </c>
      <c r="S484">
        <v>0</v>
      </c>
      <c r="T484">
        <v>0</v>
      </c>
      <c r="U484">
        <v>0</v>
      </c>
      <c r="V484">
        <v>0</v>
      </c>
      <c r="W484">
        <v>48</v>
      </c>
      <c r="X484">
        <v>0</v>
      </c>
      <c r="Y484">
        <v>0</v>
      </c>
      <c r="Z484">
        <v>0</v>
      </c>
      <c r="AB484" s="5">
        <v>43677</v>
      </c>
      <c r="AC484" s="5">
        <v>43677</v>
      </c>
      <c r="AD484" s="5">
        <v>44306.666666666664</v>
      </c>
      <c r="AE484" s="5">
        <v>44306.666666666664</v>
      </c>
      <c r="AG484" s="5">
        <v>44044</v>
      </c>
      <c r="AH484" s="5">
        <v>44044</v>
      </c>
      <c r="AK484" s="5">
        <v>43922.333333333336</v>
      </c>
      <c r="AL484" s="5">
        <v>43929.666666666664</v>
      </c>
      <c r="AP484" t="s">
        <v>418</v>
      </c>
      <c r="AU484" t="s">
        <v>2931</v>
      </c>
      <c r="AV484" t="s">
        <v>2932</v>
      </c>
      <c r="AY484" t="s">
        <v>37</v>
      </c>
      <c r="AZ484">
        <v>0</v>
      </c>
      <c r="BA484">
        <v>0</v>
      </c>
      <c r="BI484" s="5">
        <v>44048.176388888889</v>
      </c>
      <c r="BJ484" s="5">
        <v>44048.176388888889</v>
      </c>
      <c r="BK484" t="s">
        <v>778</v>
      </c>
      <c r="BL484" t="s">
        <v>778</v>
      </c>
      <c r="BN484" t="s">
        <v>37</v>
      </c>
    </row>
    <row r="485" spans="1:66" x14ac:dyDescent="0.2">
      <c r="A485">
        <v>3693042</v>
      </c>
      <c r="B485">
        <v>21883</v>
      </c>
      <c r="C485">
        <v>523999</v>
      </c>
      <c r="D485">
        <v>52896</v>
      </c>
      <c r="E485">
        <v>100</v>
      </c>
      <c r="F485" t="s">
        <v>37</v>
      </c>
      <c r="G485">
        <v>1</v>
      </c>
      <c r="H485" t="s">
        <v>37</v>
      </c>
      <c r="I485" t="s">
        <v>37</v>
      </c>
      <c r="J485" t="s">
        <v>775</v>
      </c>
      <c r="K485" t="s">
        <v>230</v>
      </c>
      <c r="L485" t="s">
        <v>226</v>
      </c>
      <c r="M485" t="s">
        <v>422</v>
      </c>
      <c r="N485" t="s">
        <v>2933</v>
      </c>
      <c r="O485" t="s">
        <v>2857</v>
      </c>
      <c r="S485">
        <v>0</v>
      </c>
      <c r="T485">
        <v>0</v>
      </c>
      <c r="U485">
        <v>0</v>
      </c>
      <c r="V485">
        <v>0</v>
      </c>
      <c r="W485">
        <v>48</v>
      </c>
      <c r="X485">
        <v>0</v>
      </c>
      <c r="Y485">
        <v>0</v>
      </c>
      <c r="Z485">
        <v>0</v>
      </c>
      <c r="AB485" s="5">
        <v>43677</v>
      </c>
      <c r="AC485" s="5">
        <v>43677</v>
      </c>
      <c r="AD485" s="5">
        <v>44306.666666666664</v>
      </c>
      <c r="AE485" s="5">
        <v>44306.666666666664</v>
      </c>
      <c r="AG485" s="5">
        <v>44044</v>
      </c>
      <c r="AH485" s="5">
        <v>44044</v>
      </c>
      <c r="AK485" s="5">
        <v>43930.333333333336</v>
      </c>
      <c r="AL485" s="5">
        <v>43938.666666666664</v>
      </c>
      <c r="AP485" t="s">
        <v>418</v>
      </c>
      <c r="AU485" t="s">
        <v>2934</v>
      </c>
      <c r="AV485" t="s">
        <v>2935</v>
      </c>
      <c r="AY485" t="s">
        <v>37</v>
      </c>
      <c r="AZ485">
        <v>0</v>
      </c>
      <c r="BA485">
        <v>0</v>
      </c>
      <c r="BI485" s="5">
        <v>44048.176388888889</v>
      </c>
      <c r="BJ485" s="5">
        <v>44048.176388888889</v>
      </c>
      <c r="BK485" t="s">
        <v>778</v>
      </c>
      <c r="BL485" t="s">
        <v>778</v>
      </c>
      <c r="BN485" t="s">
        <v>37</v>
      </c>
    </row>
    <row r="486" spans="1:66" x14ac:dyDescent="0.2">
      <c r="A486">
        <v>3693043</v>
      </c>
      <c r="B486">
        <v>21883</v>
      </c>
      <c r="C486">
        <v>523999</v>
      </c>
      <c r="D486">
        <v>52896</v>
      </c>
      <c r="E486">
        <v>100</v>
      </c>
      <c r="F486" t="s">
        <v>37</v>
      </c>
      <c r="G486">
        <v>1</v>
      </c>
      <c r="H486" t="s">
        <v>37</v>
      </c>
      <c r="I486" t="s">
        <v>37</v>
      </c>
      <c r="J486" t="s">
        <v>775</v>
      </c>
      <c r="K486" t="s">
        <v>230</v>
      </c>
      <c r="L486" t="s">
        <v>226</v>
      </c>
      <c r="M486" t="s">
        <v>422</v>
      </c>
      <c r="N486" t="s">
        <v>2936</v>
      </c>
      <c r="O486" t="s">
        <v>2861</v>
      </c>
      <c r="S486">
        <v>0</v>
      </c>
      <c r="T486">
        <v>0</v>
      </c>
      <c r="U486">
        <v>0</v>
      </c>
      <c r="V486">
        <v>0</v>
      </c>
      <c r="W486">
        <v>72</v>
      </c>
      <c r="X486">
        <v>0</v>
      </c>
      <c r="Y486">
        <v>0</v>
      </c>
      <c r="Z486">
        <v>0</v>
      </c>
      <c r="AB486" s="5">
        <v>43677</v>
      </c>
      <c r="AC486" s="5">
        <v>43677</v>
      </c>
      <c r="AD486" s="5">
        <v>44306.666666666664</v>
      </c>
      <c r="AE486" s="5">
        <v>44306.666666666664</v>
      </c>
      <c r="AG486" s="5">
        <v>44044</v>
      </c>
      <c r="AH486" s="5">
        <v>44044</v>
      </c>
      <c r="AK486" s="5">
        <v>43941.333333333336</v>
      </c>
      <c r="AL486" s="5">
        <v>43951.666666666664</v>
      </c>
      <c r="AP486" t="s">
        <v>418</v>
      </c>
      <c r="AU486" t="s">
        <v>2937</v>
      </c>
      <c r="AV486" t="s">
        <v>2938</v>
      </c>
      <c r="AY486" t="s">
        <v>37</v>
      </c>
      <c r="AZ486">
        <v>0</v>
      </c>
      <c r="BA486">
        <v>0</v>
      </c>
      <c r="BI486" s="5">
        <v>44048.176388888889</v>
      </c>
      <c r="BJ486" s="5">
        <v>44048.176388888889</v>
      </c>
      <c r="BK486" t="s">
        <v>778</v>
      </c>
      <c r="BL486" t="s">
        <v>778</v>
      </c>
      <c r="BN486" t="s">
        <v>37</v>
      </c>
    </row>
    <row r="487" spans="1:66" x14ac:dyDescent="0.2">
      <c r="A487">
        <v>3693044</v>
      </c>
      <c r="B487">
        <v>21883</v>
      </c>
      <c r="C487">
        <v>523999</v>
      </c>
      <c r="D487">
        <v>52896</v>
      </c>
      <c r="E487">
        <v>100</v>
      </c>
      <c r="F487" t="s">
        <v>37</v>
      </c>
      <c r="G487">
        <v>1</v>
      </c>
      <c r="H487" t="s">
        <v>37</v>
      </c>
      <c r="I487" t="s">
        <v>37</v>
      </c>
      <c r="J487" t="s">
        <v>775</v>
      </c>
      <c r="K487" t="s">
        <v>230</v>
      </c>
      <c r="L487" t="s">
        <v>226</v>
      </c>
      <c r="M487" t="s">
        <v>422</v>
      </c>
      <c r="N487" t="s">
        <v>2939</v>
      </c>
      <c r="O487" t="s">
        <v>2865</v>
      </c>
      <c r="S487">
        <v>0</v>
      </c>
      <c r="T487">
        <v>0</v>
      </c>
      <c r="U487">
        <v>0</v>
      </c>
      <c r="V487">
        <v>0</v>
      </c>
      <c r="W487">
        <v>72</v>
      </c>
      <c r="X487">
        <v>0</v>
      </c>
      <c r="Y487">
        <v>0</v>
      </c>
      <c r="Z487">
        <v>0</v>
      </c>
      <c r="AB487" s="5">
        <v>43677</v>
      </c>
      <c r="AC487" s="5">
        <v>43677</v>
      </c>
      <c r="AD487" s="5">
        <v>44306.666666666664</v>
      </c>
      <c r="AE487" s="5">
        <v>44306.666666666664</v>
      </c>
      <c r="AG487" s="5">
        <v>44044</v>
      </c>
      <c r="AH487" s="5">
        <v>44044</v>
      </c>
      <c r="AK487" s="5">
        <v>43952.333333333336</v>
      </c>
      <c r="AL487" s="5">
        <v>43964.666666666664</v>
      </c>
      <c r="AP487" t="s">
        <v>418</v>
      </c>
      <c r="AU487" t="s">
        <v>2940</v>
      </c>
      <c r="AV487" t="s">
        <v>2941</v>
      </c>
      <c r="AY487" t="s">
        <v>37</v>
      </c>
      <c r="AZ487">
        <v>0</v>
      </c>
      <c r="BA487">
        <v>0</v>
      </c>
      <c r="BI487" s="5">
        <v>44048.176388888889</v>
      </c>
      <c r="BJ487" s="5">
        <v>44048.176388888889</v>
      </c>
      <c r="BK487" t="s">
        <v>778</v>
      </c>
      <c r="BL487" t="s">
        <v>778</v>
      </c>
      <c r="BN487" t="s">
        <v>37</v>
      </c>
    </row>
    <row r="488" spans="1:66" x14ac:dyDescent="0.2">
      <c r="A488">
        <v>3693045</v>
      </c>
      <c r="B488">
        <v>21883</v>
      </c>
      <c r="C488">
        <v>523999</v>
      </c>
      <c r="D488">
        <v>52896</v>
      </c>
      <c r="E488">
        <v>100</v>
      </c>
      <c r="F488" t="s">
        <v>37</v>
      </c>
      <c r="G488">
        <v>1</v>
      </c>
      <c r="H488" t="s">
        <v>37</v>
      </c>
      <c r="I488" t="s">
        <v>37</v>
      </c>
      <c r="J488" t="s">
        <v>775</v>
      </c>
      <c r="K488" t="s">
        <v>230</v>
      </c>
      <c r="L488" t="s">
        <v>226</v>
      </c>
      <c r="M488" t="s">
        <v>422</v>
      </c>
      <c r="N488" t="s">
        <v>2942</v>
      </c>
      <c r="O488" t="s">
        <v>2869</v>
      </c>
      <c r="S488">
        <v>0</v>
      </c>
      <c r="T488">
        <v>0</v>
      </c>
      <c r="U488">
        <v>0</v>
      </c>
      <c r="V488">
        <v>0</v>
      </c>
      <c r="W488">
        <v>72</v>
      </c>
      <c r="X488">
        <v>0</v>
      </c>
      <c r="Y488">
        <v>0</v>
      </c>
      <c r="Z488">
        <v>0</v>
      </c>
      <c r="AB488" s="5">
        <v>43677</v>
      </c>
      <c r="AC488" s="5">
        <v>43677</v>
      </c>
      <c r="AD488" s="5">
        <v>44306.666666666664</v>
      </c>
      <c r="AE488" s="5">
        <v>44306.666666666664</v>
      </c>
      <c r="AG488" s="5">
        <v>44044</v>
      </c>
      <c r="AH488" s="5">
        <v>44044</v>
      </c>
      <c r="AK488" s="5">
        <v>43965.333333333336</v>
      </c>
      <c r="AL488" s="5">
        <v>43978.666666666664</v>
      </c>
      <c r="AP488" t="s">
        <v>418</v>
      </c>
      <c r="AU488" t="s">
        <v>2943</v>
      </c>
      <c r="AV488" t="e" cm="1">
        <f t="array" ref="AV488">+jkmrWei8EyIymEmwR/LVw</f>
        <v>#NAME?</v>
      </c>
      <c r="AY488" t="s">
        <v>37</v>
      </c>
      <c r="AZ488">
        <v>0</v>
      </c>
      <c r="BA488">
        <v>0</v>
      </c>
      <c r="BI488" s="5">
        <v>44048.176388888889</v>
      </c>
      <c r="BJ488" s="5">
        <v>44048.176388888889</v>
      </c>
      <c r="BK488" t="s">
        <v>778</v>
      </c>
      <c r="BL488" t="s">
        <v>778</v>
      </c>
      <c r="BN488" t="s">
        <v>37</v>
      </c>
    </row>
    <row r="489" spans="1:66" x14ac:dyDescent="0.2">
      <c r="A489">
        <v>3693046</v>
      </c>
      <c r="B489">
        <v>21883</v>
      </c>
      <c r="C489">
        <v>523999</v>
      </c>
      <c r="D489">
        <v>52896</v>
      </c>
      <c r="E489">
        <v>100</v>
      </c>
      <c r="F489" t="s">
        <v>37</v>
      </c>
      <c r="G489">
        <v>1</v>
      </c>
      <c r="H489" t="s">
        <v>37</v>
      </c>
      <c r="I489" t="s">
        <v>37</v>
      </c>
      <c r="J489" t="s">
        <v>775</v>
      </c>
      <c r="K489" t="s">
        <v>230</v>
      </c>
      <c r="L489" t="s">
        <v>226</v>
      </c>
      <c r="M489" t="s">
        <v>422</v>
      </c>
      <c r="N489" t="s">
        <v>2944</v>
      </c>
      <c r="O489" t="s">
        <v>2873</v>
      </c>
      <c r="S489">
        <v>0</v>
      </c>
      <c r="T489">
        <v>0</v>
      </c>
      <c r="U489">
        <v>0</v>
      </c>
      <c r="V489">
        <v>0</v>
      </c>
      <c r="W489">
        <v>48</v>
      </c>
      <c r="X489">
        <v>0</v>
      </c>
      <c r="Y489">
        <v>0</v>
      </c>
      <c r="Z489">
        <v>0</v>
      </c>
      <c r="AB489" s="5">
        <v>43677</v>
      </c>
      <c r="AC489" s="5">
        <v>43677</v>
      </c>
      <c r="AD489" s="5">
        <v>44306.666666666664</v>
      </c>
      <c r="AE489" s="5">
        <v>44306.666666666664</v>
      </c>
      <c r="AG489" s="5">
        <v>44044</v>
      </c>
      <c r="AH489" s="5">
        <v>44044</v>
      </c>
      <c r="AK489" s="5">
        <v>43979.333333333336</v>
      </c>
      <c r="AL489" s="5">
        <v>43986.666666666664</v>
      </c>
      <c r="AP489" t="s">
        <v>418</v>
      </c>
      <c r="AU489" t="s">
        <v>2945</v>
      </c>
      <c r="AV489" t="s">
        <v>2946</v>
      </c>
      <c r="AY489" t="s">
        <v>37</v>
      </c>
      <c r="AZ489">
        <v>0</v>
      </c>
      <c r="BA489">
        <v>0</v>
      </c>
      <c r="BI489" s="5">
        <v>44048.176388888889</v>
      </c>
      <c r="BJ489" s="5">
        <v>44048.176388888889</v>
      </c>
      <c r="BK489" t="s">
        <v>778</v>
      </c>
      <c r="BL489" t="s">
        <v>778</v>
      </c>
      <c r="BN489" t="s">
        <v>37</v>
      </c>
    </row>
    <row r="490" spans="1:66" x14ac:dyDescent="0.2">
      <c r="A490">
        <v>3693047</v>
      </c>
      <c r="B490">
        <v>21883</v>
      </c>
      <c r="C490">
        <v>523909</v>
      </c>
      <c r="D490">
        <v>52896</v>
      </c>
      <c r="E490">
        <v>100</v>
      </c>
      <c r="F490" t="s">
        <v>37</v>
      </c>
      <c r="G490">
        <v>1</v>
      </c>
      <c r="H490" t="s">
        <v>37</v>
      </c>
      <c r="I490" t="s">
        <v>37</v>
      </c>
      <c r="J490" t="s">
        <v>775</v>
      </c>
      <c r="K490" t="s">
        <v>423</v>
      </c>
      <c r="L490" t="s">
        <v>420</v>
      </c>
      <c r="M490" t="s">
        <v>422</v>
      </c>
      <c r="N490" t="s">
        <v>2947</v>
      </c>
      <c r="O490" t="s">
        <v>2948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B490" s="5">
        <v>43965</v>
      </c>
      <c r="AC490" s="5">
        <v>43965</v>
      </c>
      <c r="AD490" s="5">
        <v>44109.666666666664</v>
      </c>
      <c r="AE490" s="5">
        <v>44109.666666666664</v>
      </c>
      <c r="AG490" s="5">
        <v>44044</v>
      </c>
      <c r="AH490" s="5">
        <v>44044</v>
      </c>
      <c r="AK490" s="5">
        <v>43969.333333333336</v>
      </c>
      <c r="AL490" s="5">
        <v>43969.333333333336</v>
      </c>
      <c r="AP490" t="s">
        <v>418</v>
      </c>
      <c r="AU490" t="s">
        <v>2949</v>
      </c>
      <c r="AV490" t="s">
        <v>2950</v>
      </c>
      <c r="AY490" t="s">
        <v>37</v>
      </c>
      <c r="AZ490">
        <v>0</v>
      </c>
      <c r="BA490">
        <v>0</v>
      </c>
      <c r="BI490" s="5">
        <v>44048.176388888889</v>
      </c>
      <c r="BJ490" s="5">
        <v>44048.176388888889</v>
      </c>
      <c r="BK490" t="s">
        <v>778</v>
      </c>
      <c r="BL490" t="s">
        <v>778</v>
      </c>
      <c r="BN490" t="s">
        <v>37</v>
      </c>
    </row>
    <row r="491" spans="1:66" x14ac:dyDescent="0.2">
      <c r="A491">
        <v>3693048</v>
      </c>
      <c r="B491">
        <v>21883</v>
      </c>
      <c r="C491">
        <v>523961</v>
      </c>
      <c r="D491">
        <v>52899</v>
      </c>
      <c r="E491">
        <v>100</v>
      </c>
      <c r="F491" t="s">
        <v>37</v>
      </c>
      <c r="G491">
        <v>1</v>
      </c>
      <c r="H491" t="s">
        <v>37</v>
      </c>
      <c r="I491" t="s">
        <v>37</v>
      </c>
      <c r="J491" t="s">
        <v>775</v>
      </c>
      <c r="K491" t="s">
        <v>230</v>
      </c>
      <c r="L491" t="s">
        <v>226</v>
      </c>
      <c r="M491" t="s">
        <v>422</v>
      </c>
      <c r="N491" t="s">
        <v>2951</v>
      </c>
      <c r="O491" t="s">
        <v>2952</v>
      </c>
      <c r="S491">
        <v>0</v>
      </c>
      <c r="T491">
        <v>40</v>
      </c>
      <c r="U491">
        <v>0</v>
      </c>
      <c r="V491">
        <v>40</v>
      </c>
      <c r="W491">
        <v>40</v>
      </c>
      <c r="X491">
        <v>0</v>
      </c>
      <c r="Y491">
        <v>0</v>
      </c>
      <c r="Z491">
        <v>0</v>
      </c>
      <c r="AB491" s="5">
        <v>43992</v>
      </c>
      <c r="AC491" s="5">
        <v>43994</v>
      </c>
      <c r="AD491" s="5">
        <v>44032.333333333336</v>
      </c>
      <c r="AE491" s="5">
        <v>44032.333333333336</v>
      </c>
      <c r="AG491" s="5">
        <v>44044</v>
      </c>
      <c r="AH491" s="5">
        <v>44044</v>
      </c>
      <c r="AK491" s="5">
        <v>43997.333333333336</v>
      </c>
      <c r="AL491" s="5">
        <v>44004.666666666664</v>
      </c>
      <c r="AP491" t="s">
        <v>418</v>
      </c>
      <c r="AU491" t="s">
        <v>2953</v>
      </c>
      <c r="AV491" t="s">
        <v>2954</v>
      </c>
      <c r="AY491" t="s">
        <v>37</v>
      </c>
      <c r="AZ491">
        <v>0</v>
      </c>
      <c r="BA491">
        <v>0</v>
      </c>
      <c r="BI491" s="5">
        <v>44048.176388888889</v>
      </c>
      <c r="BJ491" s="5">
        <v>44048.176388888889</v>
      </c>
      <c r="BK491" t="s">
        <v>778</v>
      </c>
      <c r="BL491" t="s">
        <v>778</v>
      </c>
      <c r="BN491" t="s">
        <v>37</v>
      </c>
    </row>
    <row r="492" spans="1:66" x14ac:dyDescent="0.2">
      <c r="A492">
        <v>3693049</v>
      </c>
      <c r="B492">
        <v>21883</v>
      </c>
      <c r="C492">
        <v>523961</v>
      </c>
      <c r="D492">
        <v>52899</v>
      </c>
      <c r="E492">
        <v>100</v>
      </c>
      <c r="F492" t="s">
        <v>37</v>
      </c>
      <c r="G492">
        <v>1</v>
      </c>
      <c r="H492" t="s">
        <v>37</v>
      </c>
      <c r="I492" t="s">
        <v>37</v>
      </c>
      <c r="J492" t="s">
        <v>775</v>
      </c>
      <c r="K492" t="s">
        <v>230</v>
      </c>
      <c r="L492" t="s">
        <v>226</v>
      </c>
      <c r="M492" t="s">
        <v>422</v>
      </c>
      <c r="N492" t="s">
        <v>2955</v>
      </c>
      <c r="O492" t="s">
        <v>2956</v>
      </c>
      <c r="S492">
        <v>0</v>
      </c>
      <c r="T492">
        <v>40</v>
      </c>
      <c r="U492">
        <v>0</v>
      </c>
      <c r="V492">
        <v>40</v>
      </c>
      <c r="W492">
        <v>40</v>
      </c>
      <c r="X492">
        <v>0</v>
      </c>
      <c r="Y492">
        <v>0</v>
      </c>
      <c r="Z492">
        <v>0</v>
      </c>
      <c r="AA492" s="5">
        <v>44022.333333333336</v>
      </c>
      <c r="AB492" s="5">
        <v>44022</v>
      </c>
      <c r="AC492" s="5">
        <v>44022</v>
      </c>
      <c r="AD492" s="5">
        <v>44032.333333333336</v>
      </c>
      <c r="AE492" s="5">
        <v>44032.333333333336</v>
      </c>
      <c r="AG492" s="5">
        <v>44044</v>
      </c>
      <c r="AH492" s="5">
        <v>44044</v>
      </c>
      <c r="AK492" s="5">
        <v>44026.333333333336</v>
      </c>
      <c r="AL492" s="5">
        <v>44032.666666666664</v>
      </c>
      <c r="AO492" t="s">
        <v>1523</v>
      </c>
      <c r="AP492" t="s">
        <v>418</v>
      </c>
      <c r="AU492" t="s">
        <v>2957</v>
      </c>
      <c r="AV492" t="s">
        <v>2958</v>
      </c>
      <c r="AY492" t="s">
        <v>37</v>
      </c>
      <c r="AZ492">
        <v>0</v>
      </c>
      <c r="BA492">
        <v>0</v>
      </c>
      <c r="BI492" s="5">
        <v>44048.176388888889</v>
      </c>
      <c r="BJ492" s="5">
        <v>44048.176388888889</v>
      </c>
      <c r="BK492" t="s">
        <v>778</v>
      </c>
      <c r="BL492" t="s">
        <v>778</v>
      </c>
      <c r="BN492" t="s">
        <v>37</v>
      </c>
    </row>
    <row r="493" spans="1:66" x14ac:dyDescent="0.2">
      <c r="A493">
        <v>3693050</v>
      </c>
      <c r="B493">
        <v>21883</v>
      </c>
      <c r="C493">
        <v>523958</v>
      </c>
      <c r="D493">
        <v>52896</v>
      </c>
      <c r="E493">
        <v>0</v>
      </c>
      <c r="F493" t="s">
        <v>37</v>
      </c>
      <c r="G493">
        <v>1</v>
      </c>
      <c r="H493" t="s">
        <v>37</v>
      </c>
      <c r="I493" t="s">
        <v>37</v>
      </c>
      <c r="J493" t="s">
        <v>775</v>
      </c>
      <c r="K493" t="s">
        <v>419</v>
      </c>
      <c r="L493" t="s">
        <v>420</v>
      </c>
      <c r="M493" t="s">
        <v>417</v>
      </c>
      <c r="N493" t="s">
        <v>2959</v>
      </c>
      <c r="O493" t="s">
        <v>2960</v>
      </c>
      <c r="Q493">
        <v>-368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D493" s="5">
        <v>44117.333333333336</v>
      </c>
      <c r="AE493" s="5">
        <v>44117.333333333336</v>
      </c>
      <c r="AG493" s="5">
        <v>44186.333333333336</v>
      </c>
      <c r="AH493" s="5">
        <v>44186.333333333336</v>
      </c>
      <c r="AI493" s="5">
        <v>44186.333333333336</v>
      </c>
      <c r="AJ493" s="5">
        <v>44186.333333333336</v>
      </c>
      <c r="AK493" s="5">
        <v>44186.333333333336</v>
      </c>
      <c r="AL493" s="5">
        <v>44186.333333333336</v>
      </c>
      <c r="AM493" s="5">
        <v>44117.333333333336</v>
      </c>
      <c r="AN493" s="5">
        <v>44117.333333333336</v>
      </c>
      <c r="AP493" t="s">
        <v>418</v>
      </c>
      <c r="AU493" t="s">
        <v>2961</v>
      </c>
      <c r="AV493" t="s">
        <v>2962</v>
      </c>
      <c r="AY493" t="s">
        <v>40</v>
      </c>
      <c r="AZ493">
        <v>0</v>
      </c>
      <c r="BA493">
        <v>0</v>
      </c>
      <c r="BI493" s="5">
        <v>44048.176388888889</v>
      </c>
      <c r="BJ493" s="5">
        <v>44048.176388888889</v>
      </c>
      <c r="BK493" t="s">
        <v>778</v>
      </c>
      <c r="BL493" t="s">
        <v>778</v>
      </c>
      <c r="BN493" t="s">
        <v>37</v>
      </c>
    </row>
    <row r="494" spans="1:66" x14ac:dyDescent="0.2">
      <c r="A494">
        <v>3693051</v>
      </c>
      <c r="B494">
        <v>21883</v>
      </c>
      <c r="C494">
        <v>523999</v>
      </c>
      <c r="D494">
        <v>52895</v>
      </c>
      <c r="E494">
        <v>100</v>
      </c>
      <c r="F494" t="s">
        <v>37</v>
      </c>
      <c r="G494">
        <v>1</v>
      </c>
      <c r="H494" t="s">
        <v>37</v>
      </c>
      <c r="I494" t="s">
        <v>37</v>
      </c>
      <c r="J494" t="s">
        <v>775</v>
      </c>
      <c r="K494" t="s">
        <v>426</v>
      </c>
      <c r="L494" t="s">
        <v>420</v>
      </c>
      <c r="M494" t="s">
        <v>422</v>
      </c>
      <c r="N494" t="s">
        <v>2963</v>
      </c>
      <c r="O494" t="s">
        <v>2964</v>
      </c>
      <c r="S494">
        <v>0</v>
      </c>
      <c r="T494">
        <v>0</v>
      </c>
      <c r="U494">
        <v>0</v>
      </c>
      <c r="V494">
        <v>0</v>
      </c>
      <c r="W494">
        <v>5392</v>
      </c>
      <c r="X494">
        <v>0</v>
      </c>
      <c r="Y494">
        <v>0</v>
      </c>
      <c r="Z494">
        <v>0</v>
      </c>
      <c r="AB494" s="5">
        <v>43586</v>
      </c>
      <c r="AC494" s="5">
        <v>43586</v>
      </c>
      <c r="AK494" s="5">
        <v>43586.333333333336</v>
      </c>
      <c r="AL494" s="5">
        <v>44259.666666666664</v>
      </c>
      <c r="AP494" t="s">
        <v>418</v>
      </c>
      <c r="AU494" t="s">
        <v>2965</v>
      </c>
      <c r="AV494" t="s">
        <v>2966</v>
      </c>
      <c r="AY494" t="s">
        <v>37</v>
      </c>
      <c r="AZ494">
        <v>0</v>
      </c>
      <c r="BA494">
        <v>0</v>
      </c>
      <c r="BI494" s="5">
        <v>44048.176388888889</v>
      </c>
      <c r="BJ494" s="5">
        <v>44048.176388888889</v>
      </c>
      <c r="BK494" t="s">
        <v>778</v>
      </c>
      <c r="BL494" t="s">
        <v>778</v>
      </c>
      <c r="BN494" t="s">
        <v>37</v>
      </c>
    </row>
    <row r="495" spans="1:66" x14ac:dyDescent="0.2">
      <c r="A495">
        <v>3693052</v>
      </c>
      <c r="B495">
        <v>21883</v>
      </c>
      <c r="C495">
        <v>523999</v>
      </c>
      <c r="D495">
        <v>52899</v>
      </c>
      <c r="E495">
        <v>100</v>
      </c>
      <c r="F495" t="s">
        <v>37</v>
      </c>
      <c r="G495">
        <v>1</v>
      </c>
      <c r="H495" t="s">
        <v>37</v>
      </c>
      <c r="I495" t="s">
        <v>37</v>
      </c>
      <c r="J495" t="s">
        <v>775</v>
      </c>
      <c r="K495" t="s">
        <v>230</v>
      </c>
      <c r="L495" t="s">
        <v>226</v>
      </c>
      <c r="M495" t="s">
        <v>422</v>
      </c>
      <c r="N495" t="s">
        <v>2967</v>
      </c>
      <c r="O495" t="s">
        <v>2968</v>
      </c>
      <c r="S495">
        <v>0</v>
      </c>
      <c r="T495">
        <v>0</v>
      </c>
      <c r="U495">
        <v>0</v>
      </c>
      <c r="V495">
        <v>0</v>
      </c>
      <c r="W495">
        <v>40</v>
      </c>
      <c r="X495">
        <v>0</v>
      </c>
      <c r="Y495">
        <v>0</v>
      </c>
      <c r="Z495">
        <v>0</v>
      </c>
      <c r="AB495" s="5">
        <v>43581</v>
      </c>
      <c r="AC495" s="5">
        <v>43581</v>
      </c>
      <c r="AD495" s="5">
        <v>44306.666666666664</v>
      </c>
      <c r="AE495" s="5">
        <v>44306.666666666664</v>
      </c>
      <c r="AG495" s="5">
        <v>44044</v>
      </c>
      <c r="AH495" s="5">
        <v>44044</v>
      </c>
      <c r="AK495" s="5">
        <v>44260.333333333336</v>
      </c>
      <c r="AL495" s="5">
        <v>44267.666666666664</v>
      </c>
      <c r="AP495" t="s">
        <v>418</v>
      </c>
      <c r="AU495" t="s">
        <v>2969</v>
      </c>
      <c r="AV495" t="s">
        <v>2970</v>
      </c>
      <c r="AY495" t="s">
        <v>37</v>
      </c>
      <c r="AZ495">
        <v>0</v>
      </c>
      <c r="BA495">
        <v>0</v>
      </c>
      <c r="BI495" s="5">
        <v>44048.176388888889</v>
      </c>
      <c r="BJ495" s="5">
        <v>44048.176388888889</v>
      </c>
      <c r="BK495" t="s">
        <v>778</v>
      </c>
      <c r="BL495" t="s">
        <v>778</v>
      </c>
      <c r="BN495" t="s">
        <v>37</v>
      </c>
    </row>
    <row r="496" spans="1:66" x14ac:dyDescent="0.2">
      <c r="A496">
        <v>3693053</v>
      </c>
      <c r="B496">
        <v>21883</v>
      </c>
      <c r="C496">
        <v>523958</v>
      </c>
      <c r="D496">
        <v>52899</v>
      </c>
      <c r="E496">
        <v>0</v>
      </c>
      <c r="F496" t="s">
        <v>37</v>
      </c>
      <c r="G496">
        <v>1</v>
      </c>
      <c r="H496" t="s">
        <v>37</v>
      </c>
      <c r="I496" t="s">
        <v>37</v>
      </c>
      <c r="J496" t="s">
        <v>775</v>
      </c>
      <c r="K496" t="s">
        <v>423</v>
      </c>
      <c r="L496" t="s">
        <v>420</v>
      </c>
      <c r="M496" t="s">
        <v>417</v>
      </c>
      <c r="N496" t="s">
        <v>2971</v>
      </c>
      <c r="O496" t="s">
        <v>2972</v>
      </c>
      <c r="Q496">
        <v>-440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D496" s="5">
        <v>44159.666666666664</v>
      </c>
      <c r="AE496" s="5">
        <v>44159.666666666664</v>
      </c>
      <c r="AG496" s="5">
        <v>44258.666666666664</v>
      </c>
      <c r="AH496" s="5">
        <v>44258.666666666664</v>
      </c>
      <c r="AI496" s="5">
        <v>44258.666666666664</v>
      </c>
      <c r="AJ496" s="5">
        <v>44258.666666666664</v>
      </c>
      <c r="AK496" s="5">
        <v>44258.666666666664</v>
      </c>
      <c r="AL496" s="5">
        <v>44258.666666666664</v>
      </c>
      <c r="AM496" s="5">
        <v>44159.666666666664</v>
      </c>
      <c r="AN496" s="5">
        <v>44159.666666666664</v>
      </c>
      <c r="AP496" t="s">
        <v>418</v>
      </c>
      <c r="AU496" t="s">
        <v>2973</v>
      </c>
      <c r="AV496" t="s">
        <v>2974</v>
      </c>
      <c r="AY496" t="s">
        <v>40</v>
      </c>
      <c r="AZ496">
        <v>0</v>
      </c>
      <c r="BA496">
        <v>0</v>
      </c>
      <c r="BI496" s="5">
        <v>44048.176388888889</v>
      </c>
      <c r="BJ496" s="5">
        <v>44048.176388888889</v>
      </c>
      <c r="BK496" t="s">
        <v>778</v>
      </c>
      <c r="BL496" t="s">
        <v>778</v>
      </c>
      <c r="BN496" t="s">
        <v>37</v>
      </c>
    </row>
    <row r="497" spans="1:66" x14ac:dyDescent="0.2">
      <c r="A497">
        <v>3693054</v>
      </c>
      <c r="B497">
        <v>21883</v>
      </c>
      <c r="C497">
        <v>523958</v>
      </c>
      <c r="D497">
        <v>52899</v>
      </c>
      <c r="E497">
        <v>0</v>
      </c>
      <c r="F497" t="s">
        <v>37</v>
      </c>
      <c r="G497">
        <v>1</v>
      </c>
      <c r="H497" t="s">
        <v>37</v>
      </c>
      <c r="I497" t="s">
        <v>37</v>
      </c>
      <c r="J497" t="s">
        <v>775</v>
      </c>
      <c r="K497" t="s">
        <v>423</v>
      </c>
      <c r="L497" t="s">
        <v>420</v>
      </c>
      <c r="M497" t="s">
        <v>417</v>
      </c>
      <c r="N497" t="s">
        <v>2975</v>
      </c>
      <c r="O497" t="s">
        <v>2976</v>
      </c>
      <c r="Q497">
        <v>-440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D497" s="5">
        <v>44159.666666666664</v>
      </c>
      <c r="AE497" s="5">
        <v>44159.666666666664</v>
      </c>
      <c r="AG497" s="5">
        <v>44258.666666666664</v>
      </c>
      <c r="AH497" s="5">
        <v>44258.666666666664</v>
      </c>
      <c r="AI497" s="5">
        <v>44258.666666666664</v>
      </c>
      <c r="AJ497" s="5">
        <v>44258.666666666664</v>
      </c>
      <c r="AK497" s="5">
        <v>44258.666666666664</v>
      </c>
      <c r="AL497" s="5">
        <v>44258.666666666664</v>
      </c>
      <c r="AM497" s="5">
        <v>44159.666666666664</v>
      </c>
      <c r="AN497" s="5">
        <v>44159.666666666664</v>
      </c>
      <c r="AP497" t="s">
        <v>418</v>
      </c>
      <c r="AU497" t="s">
        <v>2977</v>
      </c>
      <c r="AV497" t="s">
        <v>2978</v>
      </c>
      <c r="AY497" t="s">
        <v>40</v>
      </c>
      <c r="AZ497">
        <v>0</v>
      </c>
      <c r="BA497">
        <v>0</v>
      </c>
      <c r="BI497" s="5">
        <v>44048.176388888889</v>
      </c>
      <c r="BJ497" s="5">
        <v>44048.176388888889</v>
      </c>
      <c r="BK497" t="s">
        <v>778</v>
      </c>
      <c r="BL497" t="s">
        <v>778</v>
      </c>
      <c r="BN497" t="s">
        <v>37</v>
      </c>
    </row>
    <row r="498" spans="1:66" x14ac:dyDescent="0.2">
      <c r="A498">
        <v>3693055</v>
      </c>
      <c r="B498">
        <v>21883</v>
      </c>
      <c r="C498">
        <v>523999</v>
      </c>
      <c r="D498">
        <v>52897</v>
      </c>
      <c r="E498">
        <v>100</v>
      </c>
      <c r="F498" t="s">
        <v>37</v>
      </c>
      <c r="G498">
        <v>1</v>
      </c>
      <c r="H498" t="s">
        <v>37</v>
      </c>
      <c r="I498" t="s">
        <v>37</v>
      </c>
      <c r="J498" t="s">
        <v>775</v>
      </c>
      <c r="K498" t="s">
        <v>230</v>
      </c>
      <c r="L498" t="s">
        <v>226</v>
      </c>
      <c r="M498" t="s">
        <v>422</v>
      </c>
      <c r="N498" t="s">
        <v>2979</v>
      </c>
      <c r="O498" t="s">
        <v>2980</v>
      </c>
      <c r="S498">
        <v>0</v>
      </c>
      <c r="T498">
        <v>0</v>
      </c>
      <c r="U498">
        <v>0</v>
      </c>
      <c r="V498">
        <v>0</v>
      </c>
      <c r="W498">
        <v>40</v>
      </c>
      <c r="X498">
        <v>0</v>
      </c>
      <c r="Y498">
        <v>0</v>
      </c>
      <c r="Z498">
        <v>0</v>
      </c>
      <c r="AB498" s="5">
        <v>43598</v>
      </c>
      <c r="AC498" s="5">
        <v>43598</v>
      </c>
      <c r="AD498" s="5">
        <v>44306.666666666664</v>
      </c>
      <c r="AE498" s="5">
        <v>44306.666666666664</v>
      </c>
      <c r="AG498" s="5">
        <v>44044</v>
      </c>
      <c r="AH498" s="5">
        <v>44044</v>
      </c>
      <c r="AK498" s="5">
        <v>43586.333333333336</v>
      </c>
      <c r="AL498" s="5">
        <v>43594.666666666664</v>
      </c>
      <c r="AP498" t="s">
        <v>418</v>
      </c>
      <c r="AU498" t="s">
        <v>2981</v>
      </c>
      <c r="AV498" t="s">
        <v>2982</v>
      </c>
      <c r="AY498" t="s">
        <v>37</v>
      </c>
      <c r="AZ498">
        <v>0</v>
      </c>
      <c r="BA498">
        <v>0</v>
      </c>
      <c r="BI498" s="5">
        <v>44048.176388888889</v>
      </c>
      <c r="BJ498" s="5">
        <v>44048.176388888889</v>
      </c>
      <c r="BK498" t="s">
        <v>778</v>
      </c>
      <c r="BL498" t="s">
        <v>778</v>
      </c>
      <c r="BN498" t="s">
        <v>37</v>
      </c>
    </row>
    <row r="499" spans="1:66" x14ac:dyDescent="0.2">
      <c r="A499">
        <v>3693056</v>
      </c>
      <c r="B499">
        <v>21883</v>
      </c>
      <c r="C499">
        <v>523999</v>
      </c>
      <c r="D499">
        <v>52899</v>
      </c>
      <c r="E499">
        <v>100</v>
      </c>
      <c r="F499" t="s">
        <v>37</v>
      </c>
      <c r="G499">
        <v>1</v>
      </c>
      <c r="H499" t="s">
        <v>37</v>
      </c>
      <c r="I499" t="s">
        <v>37</v>
      </c>
      <c r="J499" t="s">
        <v>775</v>
      </c>
      <c r="K499" t="s">
        <v>426</v>
      </c>
      <c r="L499" t="s">
        <v>226</v>
      </c>
      <c r="M499" t="s">
        <v>422</v>
      </c>
      <c r="N499" t="s">
        <v>2983</v>
      </c>
      <c r="O499" t="s">
        <v>2984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B499" s="5">
        <v>43159</v>
      </c>
      <c r="AC499" s="5">
        <v>43159.666666666664</v>
      </c>
      <c r="AK499" s="5">
        <v>44046.333333333336</v>
      </c>
      <c r="AL499" s="5">
        <v>44046.333333333336</v>
      </c>
      <c r="AP499" t="s">
        <v>418</v>
      </c>
      <c r="AU499" t="s">
        <v>2985</v>
      </c>
      <c r="AV499" t="s">
        <v>2986</v>
      </c>
      <c r="AY499" t="s">
        <v>37</v>
      </c>
      <c r="AZ499">
        <v>0</v>
      </c>
      <c r="BA499">
        <v>0</v>
      </c>
      <c r="BI499" s="5">
        <v>44048.176388888889</v>
      </c>
      <c r="BJ499" s="5">
        <v>44048.176388888889</v>
      </c>
      <c r="BK499" t="s">
        <v>778</v>
      </c>
      <c r="BL499" t="s">
        <v>778</v>
      </c>
      <c r="BN499" t="s">
        <v>37</v>
      </c>
    </row>
    <row r="500" spans="1:66" x14ac:dyDescent="0.2">
      <c r="A500">
        <v>3693057</v>
      </c>
      <c r="B500">
        <v>21883</v>
      </c>
      <c r="C500">
        <v>523976</v>
      </c>
      <c r="D500">
        <v>52898</v>
      </c>
      <c r="E500">
        <v>0</v>
      </c>
      <c r="F500" t="s">
        <v>37</v>
      </c>
      <c r="G500">
        <v>1</v>
      </c>
      <c r="H500" t="s">
        <v>37</v>
      </c>
      <c r="I500" t="s">
        <v>37</v>
      </c>
      <c r="J500" t="s">
        <v>775</v>
      </c>
      <c r="K500" t="s">
        <v>419</v>
      </c>
      <c r="L500" t="s">
        <v>420</v>
      </c>
      <c r="M500" t="s">
        <v>417</v>
      </c>
      <c r="N500" t="s">
        <v>2987</v>
      </c>
      <c r="O500" t="s">
        <v>2988</v>
      </c>
      <c r="Q500">
        <v>-56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D500" s="5">
        <v>44160.333333333336</v>
      </c>
      <c r="AE500" s="5">
        <v>44160.333333333336</v>
      </c>
      <c r="AG500" s="5">
        <v>44263.333333333336</v>
      </c>
      <c r="AH500" s="5">
        <v>44263.333333333336</v>
      </c>
      <c r="AI500" s="5">
        <v>44263.333333333336</v>
      </c>
      <c r="AJ500" s="5">
        <v>44263.333333333336</v>
      </c>
      <c r="AK500" s="5">
        <v>44263.333333333336</v>
      </c>
      <c r="AL500" s="5">
        <v>44263.333333333336</v>
      </c>
      <c r="AM500" s="5">
        <v>44160.333333333336</v>
      </c>
      <c r="AN500" s="5">
        <v>44160.333333333336</v>
      </c>
      <c r="AP500" t="s">
        <v>418</v>
      </c>
      <c r="AU500" t="s">
        <v>2989</v>
      </c>
      <c r="AV500" t="s">
        <v>2990</v>
      </c>
      <c r="AY500" t="s">
        <v>40</v>
      </c>
      <c r="AZ500">
        <v>0</v>
      </c>
      <c r="BA500">
        <v>0</v>
      </c>
      <c r="BI500" s="5">
        <v>44048.176388888889</v>
      </c>
      <c r="BJ500" s="5">
        <v>44048.176388888889</v>
      </c>
      <c r="BK500" t="s">
        <v>778</v>
      </c>
      <c r="BL500" t="s">
        <v>778</v>
      </c>
      <c r="BN500" t="s">
        <v>37</v>
      </c>
    </row>
    <row r="501" spans="1:66" x14ac:dyDescent="0.2">
      <c r="A501">
        <v>3693058</v>
      </c>
      <c r="B501">
        <v>21883</v>
      </c>
      <c r="C501">
        <v>523955</v>
      </c>
      <c r="D501">
        <v>52898</v>
      </c>
      <c r="E501">
        <v>0</v>
      </c>
      <c r="F501" t="s">
        <v>37</v>
      </c>
      <c r="G501">
        <v>1</v>
      </c>
      <c r="H501" t="s">
        <v>37</v>
      </c>
      <c r="I501" t="s">
        <v>37</v>
      </c>
      <c r="J501" t="s">
        <v>775</v>
      </c>
      <c r="K501" t="s">
        <v>230</v>
      </c>
      <c r="L501" t="s">
        <v>226</v>
      </c>
      <c r="M501" t="s">
        <v>417</v>
      </c>
      <c r="N501" t="s">
        <v>2991</v>
      </c>
      <c r="O501" t="s">
        <v>2992</v>
      </c>
      <c r="Q501">
        <v>-56</v>
      </c>
      <c r="R501">
        <v>0</v>
      </c>
      <c r="S501">
        <v>56</v>
      </c>
      <c r="T501">
        <v>0</v>
      </c>
      <c r="U501">
        <v>0</v>
      </c>
      <c r="V501">
        <v>0</v>
      </c>
      <c r="W501">
        <v>56</v>
      </c>
      <c r="X501">
        <v>0</v>
      </c>
      <c r="Y501">
        <v>0</v>
      </c>
      <c r="Z501">
        <v>0</v>
      </c>
      <c r="AD501" s="5">
        <v>44160.333333333336</v>
      </c>
      <c r="AE501" s="5">
        <v>44258.666666666664</v>
      </c>
      <c r="AG501" s="5">
        <v>44263.333333333336</v>
      </c>
      <c r="AH501" s="5">
        <v>44272.666666666664</v>
      </c>
      <c r="AI501" s="5">
        <v>44263.333333333336</v>
      </c>
      <c r="AJ501" s="5">
        <v>44272.666666666664</v>
      </c>
      <c r="AK501" s="5">
        <v>44263.333333333336</v>
      </c>
      <c r="AL501" s="5">
        <v>44272.666666666664</v>
      </c>
      <c r="AM501" s="5">
        <v>44160.333333333336</v>
      </c>
      <c r="AN501" s="5">
        <v>44258.666666666664</v>
      </c>
      <c r="AP501" t="s">
        <v>418</v>
      </c>
      <c r="AU501" t="s">
        <v>2993</v>
      </c>
      <c r="AV501" t="s">
        <v>2994</v>
      </c>
      <c r="AY501" t="s">
        <v>40</v>
      </c>
      <c r="AZ501">
        <v>0</v>
      </c>
      <c r="BA501">
        <v>0</v>
      </c>
      <c r="BI501" s="5">
        <v>44048.176388888889</v>
      </c>
      <c r="BJ501" s="5">
        <v>44048.176388888889</v>
      </c>
      <c r="BK501" t="s">
        <v>778</v>
      </c>
      <c r="BL501" t="s">
        <v>778</v>
      </c>
      <c r="BN501" t="s">
        <v>37</v>
      </c>
    </row>
    <row r="502" spans="1:66" x14ac:dyDescent="0.2">
      <c r="A502">
        <v>3693059</v>
      </c>
      <c r="B502">
        <v>21883</v>
      </c>
      <c r="C502">
        <v>523954</v>
      </c>
      <c r="D502">
        <v>52898</v>
      </c>
      <c r="E502">
        <v>0</v>
      </c>
      <c r="F502" t="s">
        <v>37</v>
      </c>
      <c r="G502">
        <v>1</v>
      </c>
      <c r="H502" t="s">
        <v>37</v>
      </c>
      <c r="I502" t="s">
        <v>37</v>
      </c>
      <c r="J502" t="s">
        <v>775</v>
      </c>
      <c r="K502" t="s">
        <v>230</v>
      </c>
      <c r="L502" t="s">
        <v>226</v>
      </c>
      <c r="M502" t="s">
        <v>417</v>
      </c>
      <c r="N502" t="s">
        <v>2995</v>
      </c>
      <c r="O502" t="s">
        <v>2996</v>
      </c>
      <c r="Q502">
        <v>-56</v>
      </c>
      <c r="R502">
        <v>0</v>
      </c>
      <c r="S502">
        <v>56</v>
      </c>
      <c r="T502">
        <v>0</v>
      </c>
      <c r="U502">
        <v>0</v>
      </c>
      <c r="V502">
        <v>0</v>
      </c>
      <c r="W502">
        <v>56</v>
      </c>
      <c r="X502">
        <v>0</v>
      </c>
      <c r="Y502">
        <v>0</v>
      </c>
      <c r="Z502">
        <v>0</v>
      </c>
      <c r="AD502" s="5">
        <v>44263.333333333336</v>
      </c>
      <c r="AE502" s="5">
        <v>44272.666666666664</v>
      </c>
      <c r="AG502" s="5">
        <v>44277.333333333336</v>
      </c>
      <c r="AH502" s="5">
        <v>44292.666666666664</v>
      </c>
      <c r="AI502" s="5">
        <v>44277.333333333336</v>
      </c>
      <c r="AJ502" s="5">
        <v>44292.666666666664</v>
      </c>
      <c r="AK502" s="5">
        <v>44277.333333333336</v>
      </c>
      <c r="AL502" s="5">
        <v>44292.666666666664</v>
      </c>
      <c r="AM502" s="5">
        <v>44263.333333333336</v>
      </c>
      <c r="AN502" s="5">
        <v>44272.666666666664</v>
      </c>
      <c r="AP502" t="s">
        <v>418</v>
      </c>
      <c r="AU502" t="s">
        <v>2997</v>
      </c>
      <c r="AV502" t="s">
        <v>2998</v>
      </c>
      <c r="AY502" t="s">
        <v>40</v>
      </c>
      <c r="AZ502">
        <v>0</v>
      </c>
      <c r="BA502">
        <v>0</v>
      </c>
      <c r="BI502" s="5">
        <v>44048.176388888889</v>
      </c>
      <c r="BJ502" s="5">
        <v>44048.176388888889</v>
      </c>
      <c r="BK502" t="s">
        <v>778</v>
      </c>
      <c r="BL502" t="s">
        <v>778</v>
      </c>
      <c r="BN502" t="s">
        <v>37</v>
      </c>
    </row>
    <row r="503" spans="1:66" x14ac:dyDescent="0.2">
      <c r="A503">
        <v>3693060</v>
      </c>
      <c r="B503">
        <v>21883</v>
      </c>
      <c r="C503">
        <v>523999</v>
      </c>
      <c r="D503">
        <v>52898</v>
      </c>
      <c r="E503">
        <v>100</v>
      </c>
      <c r="F503" t="s">
        <v>37</v>
      </c>
      <c r="G503">
        <v>1</v>
      </c>
      <c r="H503" t="s">
        <v>37</v>
      </c>
      <c r="I503" t="s">
        <v>37</v>
      </c>
      <c r="J503" t="s">
        <v>775</v>
      </c>
      <c r="K503" t="s">
        <v>230</v>
      </c>
      <c r="L503" t="s">
        <v>226</v>
      </c>
      <c r="M503" t="s">
        <v>422</v>
      </c>
      <c r="N503" t="s">
        <v>2999</v>
      </c>
      <c r="O503" t="s">
        <v>3000</v>
      </c>
      <c r="S503">
        <v>0</v>
      </c>
      <c r="T503">
        <v>32</v>
      </c>
      <c r="U503">
        <v>0</v>
      </c>
      <c r="V503">
        <v>32</v>
      </c>
      <c r="W503">
        <v>16</v>
      </c>
      <c r="X503">
        <v>0</v>
      </c>
      <c r="Y503">
        <v>0</v>
      </c>
      <c r="Z503">
        <v>0</v>
      </c>
      <c r="AB503" s="5">
        <v>43586</v>
      </c>
      <c r="AC503" s="5">
        <v>43586</v>
      </c>
      <c r="AD503" s="5">
        <v>44306.666666666664</v>
      </c>
      <c r="AE503" s="5">
        <v>44306.666666666664</v>
      </c>
      <c r="AG503" s="5">
        <v>44044</v>
      </c>
      <c r="AH503" s="5">
        <v>44044</v>
      </c>
      <c r="AK503" s="5">
        <v>44263.333333333336</v>
      </c>
      <c r="AL503" s="5">
        <v>44264.666666666664</v>
      </c>
      <c r="AP503" t="s">
        <v>418</v>
      </c>
      <c r="AU503" t="s">
        <v>3001</v>
      </c>
      <c r="AV503" t="s">
        <v>3002</v>
      </c>
      <c r="AY503" t="s">
        <v>37</v>
      </c>
      <c r="AZ503">
        <v>0</v>
      </c>
      <c r="BA503">
        <v>0</v>
      </c>
      <c r="BI503" s="5">
        <v>44048.176388888889</v>
      </c>
      <c r="BJ503" s="5">
        <v>44048.176388888889</v>
      </c>
      <c r="BK503" t="s">
        <v>778</v>
      </c>
      <c r="BL503" t="s">
        <v>778</v>
      </c>
      <c r="BN503" t="s">
        <v>37</v>
      </c>
    </row>
    <row r="504" spans="1:66" x14ac:dyDescent="0.2">
      <c r="A504">
        <v>3693061</v>
      </c>
      <c r="B504">
        <v>21883</v>
      </c>
      <c r="C504">
        <v>523999</v>
      </c>
      <c r="D504">
        <v>52898</v>
      </c>
      <c r="E504">
        <v>100</v>
      </c>
      <c r="F504" t="s">
        <v>37</v>
      </c>
      <c r="G504">
        <v>1</v>
      </c>
      <c r="H504" t="s">
        <v>37</v>
      </c>
      <c r="I504" t="s">
        <v>37</v>
      </c>
      <c r="J504" t="s">
        <v>775</v>
      </c>
      <c r="K504" t="s">
        <v>230</v>
      </c>
      <c r="L504" t="s">
        <v>226</v>
      </c>
      <c r="M504" t="s">
        <v>422</v>
      </c>
      <c r="N504" t="s">
        <v>3003</v>
      </c>
      <c r="O504" t="s">
        <v>3004</v>
      </c>
      <c r="S504">
        <v>0</v>
      </c>
      <c r="T504">
        <v>48</v>
      </c>
      <c r="U504">
        <v>0</v>
      </c>
      <c r="V504">
        <v>48</v>
      </c>
      <c r="W504">
        <v>24</v>
      </c>
      <c r="X504">
        <v>0</v>
      </c>
      <c r="Y504">
        <v>0</v>
      </c>
      <c r="Z504">
        <v>0</v>
      </c>
      <c r="AB504" s="5">
        <v>43586</v>
      </c>
      <c r="AC504" s="5">
        <v>43586</v>
      </c>
      <c r="AD504" s="5">
        <v>44306.666666666664</v>
      </c>
      <c r="AE504" s="5">
        <v>44306.666666666664</v>
      </c>
      <c r="AG504" s="5">
        <v>44044</v>
      </c>
      <c r="AH504" s="5">
        <v>44044</v>
      </c>
      <c r="AK504" s="5">
        <v>44265.333333333336</v>
      </c>
      <c r="AL504" s="5">
        <v>44270.666666666664</v>
      </c>
      <c r="AP504" t="s">
        <v>418</v>
      </c>
      <c r="AU504" t="s">
        <v>3005</v>
      </c>
      <c r="AV504" t="s">
        <v>3006</v>
      </c>
      <c r="AY504" t="s">
        <v>37</v>
      </c>
      <c r="AZ504">
        <v>0</v>
      </c>
      <c r="BA504">
        <v>0</v>
      </c>
      <c r="BI504" s="5">
        <v>44048.176388888889</v>
      </c>
      <c r="BJ504" s="5">
        <v>44048.176388888889</v>
      </c>
      <c r="BK504" t="s">
        <v>778</v>
      </c>
      <c r="BL504" t="s">
        <v>778</v>
      </c>
      <c r="BN504" t="s">
        <v>37</v>
      </c>
    </row>
    <row r="505" spans="1:66" x14ac:dyDescent="0.2">
      <c r="A505">
        <v>3693062</v>
      </c>
      <c r="B505">
        <v>21883</v>
      </c>
      <c r="C505">
        <v>523999</v>
      </c>
      <c r="D505">
        <v>52898</v>
      </c>
      <c r="E505">
        <v>100</v>
      </c>
      <c r="F505" t="s">
        <v>37</v>
      </c>
      <c r="G505">
        <v>1</v>
      </c>
      <c r="H505" t="s">
        <v>37</v>
      </c>
      <c r="I505" t="s">
        <v>37</v>
      </c>
      <c r="J505" t="s">
        <v>775</v>
      </c>
      <c r="K505" t="s">
        <v>230</v>
      </c>
      <c r="L505" t="s">
        <v>226</v>
      </c>
      <c r="M505" t="s">
        <v>422</v>
      </c>
      <c r="N505" t="s">
        <v>3007</v>
      </c>
      <c r="O505" t="s">
        <v>3008</v>
      </c>
      <c r="S505">
        <v>0</v>
      </c>
      <c r="T505">
        <v>32</v>
      </c>
      <c r="U505">
        <v>0</v>
      </c>
      <c r="V505">
        <v>32</v>
      </c>
      <c r="W505">
        <v>16</v>
      </c>
      <c r="X505">
        <v>0</v>
      </c>
      <c r="Y505">
        <v>0</v>
      </c>
      <c r="Z505">
        <v>0</v>
      </c>
      <c r="AB505" s="5">
        <v>43586</v>
      </c>
      <c r="AC505" s="5">
        <v>43586</v>
      </c>
      <c r="AD505" s="5">
        <v>44306.666666666664</v>
      </c>
      <c r="AE505" s="5">
        <v>44306.666666666664</v>
      </c>
      <c r="AG505" s="5">
        <v>44044</v>
      </c>
      <c r="AH505" s="5">
        <v>44044</v>
      </c>
      <c r="AK505" s="5">
        <v>44271.333333333336</v>
      </c>
      <c r="AL505" s="5">
        <v>44272.666666666664</v>
      </c>
      <c r="AP505" t="s">
        <v>418</v>
      </c>
      <c r="AU505" t="s">
        <v>3009</v>
      </c>
      <c r="AV505" t="s">
        <v>3010</v>
      </c>
      <c r="AY505" t="s">
        <v>37</v>
      </c>
      <c r="AZ505">
        <v>0</v>
      </c>
      <c r="BA505">
        <v>0</v>
      </c>
      <c r="BI505" s="5">
        <v>44048.176388888889</v>
      </c>
      <c r="BJ505" s="5">
        <v>44048.176388888889</v>
      </c>
      <c r="BK505" t="s">
        <v>778</v>
      </c>
      <c r="BL505" t="s">
        <v>778</v>
      </c>
      <c r="BN505" t="s">
        <v>37</v>
      </c>
    </row>
    <row r="506" spans="1:66" x14ac:dyDescent="0.2">
      <c r="A506">
        <v>3693063</v>
      </c>
      <c r="B506">
        <v>21883</v>
      </c>
      <c r="C506">
        <v>523999</v>
      </c>
      <c r="D506">
        <v>52898</v>
      </c>
      <c r="E506">
        <v>100</v>
      </c>
      <c r="F506" t="s">
        <v>37</v>
      </c>
      <c r="G506">
        <v>1</v>
      </c>
      <c r="H506" t="s">
        <v>37</v>
      </c>
      <c r="I506" t="s">
        <v>37</v>
      </c>
      <c r="J506" t="s">
        <v>775</v>
      </c>
      <c r="K506" t="s">
        <v>230</v>
      </c>
      <c r="L506" t="s">
        <v>226</v>
      </c>
      <c r="M506" t="s">
        <v>422</v>
      </c>
      <c r="N506" t="s">
        <v>3011</v>
      </c>
      <c r="O506" t="s">
        <v>3000</v>
      </c>
      <c r="S506">
        <v>0</v>
      </c>
      <c r="T506">
        <v>32</v>
      </c>
      <c r="U506">
        <v>0</v>
      </c>
      <c r="V506">
        <v>32</v>
      </c>
      <c r="W506">
        <v>16</v>
      </c>
      <c r="X506">
        <v>0</v>
      </c>
      <c r="Y506">
        <v>0</v>
      </c>
      <c r="Z506">
        <v>0</v>
      </c>
      <c r="AB506" s="5">
        <v>43586</v>
      </c>
      <c r="AC506" s="5">
        <v>43586</v>
      </c>
      <c r="AD506" s="5">
        <v>44306.666666666664</v>
      </c>
      <c r="AE506" s="5">
        <v>44306.666666666664</v>
      </c>
      <c r="AG506" s="5">
        <v>44044</v>
      </c>
      <c r="AH506" s="5">
        <v>44044</v>
      </c>
      <c r="AK506" s="5">
        <v>44263.333333333336</v>
      </c>
      <c r="AL506" s="5">
        <v>44264.666666666664</v>
      </c>
      <c r="AP506" t="s">
        <v>418</v>
      </c>
      <c r="AU506" t="s">
        <v>3012</v>
      </c>
      <c r="AV506" t="s">
        <v>3013</v>
      </c>
      <c r="AY506" t="s">
        <v>37</v>
      </c>
      <c r="AZ506">
        <v>0</v>
      </c>
      <c r="BA506">
        <v>0</v>
      </c>
      <c r="BI506" s="5">
        <v>44048.176388888889</v>
      </c>
      <c r="BJ506" s="5">
        <v>44048.176388888889</v>
      </c>
      <c r="BK506" t="s">
        <v>778</v>
      </c>
      <c r="BL506" t="s">
        <v>778</v>
      </c>
      <c r="BN506" t="s">
        <v>37</v>
      </c>
    </row>
    <row r="507" spans="1:66" x14ac:dyDescent="0.2">
      <c r="A507">
        <v>3693064</v>
      </c>
      <c r="B507">
        <v>21883</v>
      </c>
      <c r="C507">
        <v>523999</v>
      </c>
      <c r="D507">
        <v>52898</v>
      </c>
      <c r="E507">
        <v>100</v>
      </c>
      <c r="F507" t="s">
        <v>37</v>
      </c>
      <c r="G507">
        <v>1</v>
      </c>
      <c r="H507" t="s">
        <v>37</v>
      </c>
      <c r="I507" t="s">
        <v>37</v>
      </c>
      <c r="J507" t="s">
        <v>775</v>
      </c>
      <c r="K507" t="s">
        <v>230</v>
      </c>
      <c r="L507" t="s">
        <v>226</v>
      </c>
      <c r="M507" t="s">
        <v>422</v>
      </c>
      <c r="N507" t="s">
        <v>3014</v>
      </c>
      <c r="O507" t="s">
        <v>3004</v>
      </c>
      <c r="S507">
        <v>0</v>
      </c>
      <c r="T507">
        <v>48</v>
      </c>
      <c r="U507">
        <v>0</v>
      </c>
      <c r="V507">
        <v>48</v>
      </c>
      <c r="W507">
        <v>24</v>
      </c>
      <c r="X507">
        <v>0</v>
      </c>
      <c r="Y507">
        <v>0</v>
      </c>
      <c r="Z507">
        <v>0</v>
      </c>
      <c r="AB507" s="5">
        <v>43586</v>
      </c>
      <c r="AC507" s="5">
        <v>43586</v>
      </c>
      <c r="AD507" s="5">
        <v>44306.666666666664</v>
      </c>
      <c r="AE507" s="5">
        <v>44306.666666666664</v>
      </c>
      <c r="AG507" s="5">
        <v>44044</v>
      </c>
      <c r="AH507" s="5">
        <v>44044</v>
      </c>
      <c r="AK507" s="5">
        <v>44263.333333333336</v>
      </c>
      <c r="AL507" s="5">
        <v>44265.666666666664</v>
      </c>
      <c r="AP507" t="s">
        <v>418</v>
      </c>
      <c r="AU507" t="s">
        <v>3015</v>
      </c>
      <c r="AV507" t="s">
        <v>3016</v>
      </c>
      <c r="AY507" t="s">
        <v>37</v>
      </c>
      <c r="AZ507">
        <v>0</v>
      </c>
      <c r="BA507">
        <v>0</v>
      </c>
      <c r="BI507" s="5">
        <v>44048.176388888889</v>
      </c>
      <c r="BJ507" s="5">
        <v>44048.176388888889</v>
      </c>
      <c r="BK507" t="s">
        <v>778</v>
      </c>
      <c r="BL507" t="s">
        <v>778</v>
      </c>
      <c r="BN507" t="s">
        <v>37</v>
      </c>
    </row>
    <row r="508" spans="1:66" x14ac:dyDescent="0.2">
      <c r="A508">
        <v>3693065</v>
      </c>
      <c r="B508">
        <v>21883</v>
      </c>
      <c r="C508">
        <v>523999</v>
      </c>
      <c r="D508">
        <v>52898</v>
      </c>
      <c r="E508">
        <v>100</v>
      </c>
      <c r="F508" t="s">
        <v>37</v>
      </c>
      <c r="G508">
        <v>1</v>
      </c>
      <c r="H508" t="s">
        <v>37</v>
      </c>
      <c r="I508" t="s">
        <v>37</v>
      </c>
      <c r="J508" t="s">
        <v>775</v>
      </c>
      <c r="K508" t="s">
        <v>230</v>
      </c>
      <c r="L508" t="s">
        <v>226</v>
      </c>
      <c r="M508" t="s">
        <v>422</v>
      </c>
      <c r="N508" t="s">
        <v>3017</v>
      </c>
      <c r="O508" t="s">
        <v>3000</v>
      </c>
      <c r="S508">
        <v>0</v>
      </c>
      <c r="T508">
        <v>32</v>
      </c>
      <c r="U508">
        <v>0</v>
      </c>
      <c r="V508">
        <v>32</v>
      </c>
      <c r="W508">
        <v>16</v>
      </c>
      <c r="X508">
        <v>0</v>
      </c>
      <c r="Y508">
        <v>0</v>
      </c>
      <c r="Z508">
        <v>0</v>
      </c>
      <c r="AB508" s="5">
        <v>43586</v>
      </c>
      <c r="AC508" s="5">
        <v>43586</v>
      </c>
      <c r="AD508" s="5">
        <v>44306.666666666664</v>
      </c>
      <c r="AE508" s="5">
        <v>44306.666666666664</v>
      </c>
      <c r="AG508" s="5">
        <v>44044</v>
      </c>
      <c r="AH508" s="5">
        <v>44044</v>
      </c>
      <c r="AK508" s="5">
        <v>44263.333333333336</v>
      </c>
      <c r="AL508" s="5">
        <v>44264.666666666664</v>
      </c>
      <c r="AP508" t="s">
        <v>418</v>
      </c>
      <c r="AU508" t="s">
        <v>3018</v>
      </c>
      <c r="AV508" t="s">
        <v>3019</v>
      </c>
      <c r="AY508" t="s">
        <v>37</v>
      </c>
      <c r="AZ508">
        <v>0</v>
      </c>
      <c r="BA508">
        <v>0</v>
      </c>
      <c r="BI508" s="5">
        <v>44048.176388888889</v>
      </c>
      <c r="BJ508" s="5">
        <v>44048.176388888889</v>
      </c>
      <c r="BK508" t="s">
        <v>778</v>
      </c>
      <c r="BL508" t="s">
        <v>778</v>
      </c>
      <c r="BN508" t="s">
        <v>37</v>
      </c>
    </row>
    <row r="509" spans="1:66" x14ac:dyDescent="0.2">
      <c r="A509">
        <v>3693066</v>
      </c>
      <c r="B509">
        <v>21883</v>
      </c>
      <c r="C509">
        <v>523976</v>
      </c>
      <c r="D509">
        <v>52899</v>
      </c>
      <c r="E509">
        <v>0</v>
      </c>
      <c r="F509" t="s">
        <v>37</v>
      </c>
      <c r="G509">
        <v>1</v>
      </c>
      <c r="H509" t="s">
        <v>37</v>
      </c>
      <c r="I509" t="s">
        <v>37</v>
      </c>
      <c r="J509" t="s">
        <v>775</v>
      </c>
      <c r="K509" t="s">
        <v>423</v>
      </c>
      <c r="L509" t="s">
        <v>420</v>
      </c>
      <c r="M509" t="s">
        <v>417</v>
      </c>
      <c r="N509" t="s">
        <v>3020</v>
      </c>
      <c r="O509" t="s">
        <v>3021</v>
      </c>
      <c r="Q509">
        <v>-96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D509" s="5">
        <v>44273.666666666664</v>
      </c>
      <c r="AE509" s="5">
        <v>44273.666666666664</v>
      </c>
      <c r="AG509" s="5">
        <v>44292.666666666664</v>
      </c>
      <c r="AH509" s="5">
        <v>44292.666666666664</v>
      </c>
      <c r="AI509" s="5">
        <v>44292.666666666664</v>
      </c>
      <c r="AJ509" s="5">
        <v>44292.666666666664</v>
      </c>
      <c r="AK509" s="5">
        <v>44292.666666666664</v>
      </c>
      <c r="AL509" s="5">
        <v>44292.666666666664</v>
      </c>
      <c r="AM509" s="5">
        <v>44273.666666666664</v>
      </c>
      <c r="AN509" s="5">
        <v>44273.666666666664</v>
      </c>
      <c r="AP509" t="s">
        <v>418</v>
      </c>
      <c r="AU509" t="s">
        <v>3022</v>
      </c>
      <c r="AV509" t="s">
        <v>3023</v>
      </c>
      <c r="AY509" t="s">
        <v>40</v>
      </c>
      <c r="AZ509">
        <v>0</v>
      </c>
      <c r="BA509">
        <v>0</v>
      </c>
      <c r="BI509" s="5">
        <v>44048.176388888889</v>
      </c>
      <c r="BJ509" s="5">
        <v>44048.176388888889</v>
      </c>
      <c r="BK509" t="s">
        <v>778</v>
      </c>
      <c r="BL509" t="s">
        <v>778</v>
      </c>
      <c r="BN509" t="s">
        <v>37</v>
      </c>
    </row>
    <row r="510" spans="1:66" x14ac:dyDescent="0.2">
      <c r="A510">
        <v>3693067</v>
      </c>
      <c r="B510">
        <v>21883</v>
      </c>
      <c r="C510">
        <v>523952</v>
      </c>
      <c r="D510">
        <v>52895</v>
      </c>
      <c r="E510">
        <v>100</v>
      </c>
      <c r="F510" t="s">
        <v>37</v>
      </c>
      <c r="G510">
        <v>1</v>
      </c>
      <c r="H510" t="s">
        <v>37</v>
      </c>
      <c r="I510" t="s">
        <v>37</v>
      </c>
      <c r="J510" t="s">
        <v>775</v>
      </c>
      <c r="K510" t="s">
        <v>230</v>
      </c>
      <c r="L510" t="s">
        <v>226</v>
      </c>
      <c r="M510" t="s">
        <v>422</v>
      </c>
      <c r="N510" t="s">
        <v>3024</v>
      </c>
      <c r="O510" t="s">
        <v>3025</v>
      </c>
      <c r="S510">
        <v>0</v>
      </c>
      <c r="T510">
        <v>0</v>
      </c>
      <c r="U510">
        <v>0</v>
      </c>
      <c r="V510">
        <v>0</v>
      </c>
      <c r="W510">
        <v>2752</v>
      </c>
      <c r="X510">
        <v>0</v>
      </c>
      <c r="Y510">
        <v>0</v>
      </c>
      <c r="Z510">
        <v>0</v>
      </c>
      <c r="AB510" s="5">
        <v>42975.333333333336</v>
      </c>
      <c r="AC510" s="5">
        <v>43119.666666666664</v>
      </c>
      <c r="AD510" s="5">
        <v>43970.333333333336</v>
      </c>
      <c r="AE510" s="5">
        <v>43970.333333333336</v>
      </c>
      <c r="AG510" s="5">
        <v>44044</v>
      </c>
      <c r="AH510" s="5">
        <v>44044</v>
      </c>
      <c r="AK510" s="5">
        <v>43160.333333333336</v>
      </c>
      <c r="AL510" s="5">
        <v>43503.666666666664</v>
      </c>
      <c r="AP510" t="s">
        <v>418</v>
      </c>
      <c r="AU510" t="s">
        <v>3026</v>
      </c>
      <c r="AV510" t="s">
        <v>3027</v>
      </c>
      <c r="AY510" t="s">
        <v>40</v>
      </c>
      <c r="AZ510">
        <v>0</v>
      </c>
      <c r="BA510">
        <v>0</v>
      </c>
      <c r="BI510" s="5">
        <v>44048.176388888889</v>
      </c>
      <c r="BJ510" s="5">
        <v>44048.176388888889</v>
      </c>
      <c r="BK510" t="s">
        <v>778</v>
      </c>
      <c r="BL510" t="s">
        <v>778</v>
      </c>
      <c r="BN510" t="s">
        <v>37</v>
      </c>
    </row>
    <row r="511" spans="1:66" x14ac:dyDescent="0.2">
      <c r="A511">
        <v>3693068</v>
      </c>
      <c r="B511">
        <v>21883</v>
      </c>
      <c r="C511">
        <v>523952</v>
      </c>
      <c r="D511">
        <v>52895</v>
      </c>
      <c r="E511">
        <v>100</v>
      </c>
      <c r="F511" t="s">
        <v>37</v>
      </c>
      <c r="G511">
        <v>1</v>
      </c>
      <c r="H511" t="s">
        <v>37</v>
      </c>
      <c r="I511" t="s">
        <v>37</v>
      </c>
      <c r="J511" t="s">
        <v>775</v>
      </c>
      <c r="K511" t="s">
        <v>230</v>
      </c>
      <c r="L511" t="s">
        <v>226</v>
      </c>
      <c r="M511" t="s">
        <v>422</v>
      </c>
      <c r="N511" t="s">
        <v>3028</v>
      </c>
      <c r="O511" t="s">
        <v>3029</v>
      </c>
      <c r="S511">
        <v>0</v>
      </c>
      <c r="T511">
        <v>0</v>
      </c>
      <c r="U511">
        <v>0</v>
      </c>
      <c r="V511">
        <v>0</v>
      </c>
      <c r="W511">
        <v>8</v>
      </c>
      <c r="X511">
        <v>0</v>
      </c>
      <c r="Y511">
        <v>0</v>
      </c>
      <c r="Z511">
        <v>0</v>
      </c>
      <c r="AA511" s="5">
        <v>43082.333333333336</v>
      </c>
      <c r="AB511" s="5">
        <v>43054.333333333336</v>
      </c>
      <c r="AC511" s="5">
        <v>43054.666666666664</v>
      </c>
      <c r="AD511" s="5">
        <v>43970.333333333336</v>
      </c>
      <c r="AE511" s="5">
        <v>43970.333333333336</v>
      </c>
      <c r="AG511" s="5">
        <v>44044</v>
      </c>
      <c r="AH511" s="5">
        <v>44044</v>
      </c>
      <c r="AK511" s="5">
        <v>43083.333333333336</v>
      </c>
      <c r="AL511" s="5">
        <v>43083.666666666664</v>
      </c>
      <c r="AO511" t="s">
        <v>1523</v>
      </c>
      <c r="AP511" t="s">
        <v>418</v>
      </c>
      <c r="AU511" t="s">
        <v>3030</v>
      </c>
      <c r="AV511" t="s">
        <v>3031</v>
      </c>
      <c r="AY511" t="s">
        <v>40</v>
      </c>
      <c r="AZ511">
        <v>0</v>
      </c>
      <c r="BA511">
        <v>0</v>
      </c>
      <c r="BI511" s="5">
        <v>44048.176388888889</v>
      </c>
      <c r="BJ511" s="5">
        <v>44048.176388888889</v>
      </c>
      <c r="BK511" t="s">
        <v>778</v>
      </c>
      <c r="BL511" t="s">
        <v>778</v>
      </c>
      <c r="BN511" t="s">
        <v>37</v>
      </c>
    </row>
    <row r="512" spans="1:66" x14ac:dyDescent="0.2">
      <c r="A512">
        <v>3693069</v>
      </c>
      <c r="B512">
        <v>21883</v>
      </c>
      <c r="C512">
        <v>523952</v>
      </c>
      <c r="D512">
        <v>52895</v>
      </c>
      <c r="E512">
        <v>100</v>
      </c>
      <c r="F512" t="s">
        <v>37</v>
      </c>
      <c r="G512">
        <v>1</v>
      </c>
      <c r="H512" t="s">
        <v>37</v>
      </c>
      <c r="I512" t="s">
        <v>37</v>
      </c>
      <c r="J512" t="s">
        <v>775</v>
      </c>
      <c r="K512" t="s">
        <v>230</v>
      </c>
      <c r="L512" t="s">
        <v>226</v>
      </c>
      <c r="M512" t="s">
        <v>422</v>
      </c>
      <c r="N512" t="s">
        <v>3032</v>
      </c>
      <c r="O512" t="s">
        <v>3033</v>
      </c>
      <c r="S512">
        <v>0</v>
      </c>
      <c r="T512">
        <v>0</v>
      </c>
      <c r="U512">
        <v>0</v>
      </c>
      <c r="V512">
        <v>0</v>
      </c>
      <c r="W512">
        <v>8</v>
      </c>
      <c r="X512">
        <v>0</v>
      </c>
      <c r="Y512">
        <v>0</v>
      </c>
      <c r="Z512">
        <v>0</v>
      </c>
      <c r="AA512" s="5">
        <v>43145.333333333336</v>
      </c>
      <c r="AB512" s="5">
        <v>43118.333333333336</v>
      </c>
      <c r="AC512" s="5">
        <v>43118.666666666664</v>
      </c>
      <c r="AD512" s="5">
        <v>43970.333333333336</v>
      </c>
      <c r="AE512" s="5">
        <v>43970.333333333336</v>
      </c>
      <c r="AG512" s="5">
        <v>44044</v>
      </c>
      <c r="AH512" s="5">
        <v>44044</v>
      </c>
      <c r="AK512" s="5">
        <v>43145.333333333336</v>
      </c>
      <c r="AL512" s="5">
        <v>43145.666666666664</v>
      </c>
      <c r="AO512" t="s">
        <v>1523</v>
      </c>
      <c r="AP512" t="s">
        <v>418</v>
      </c>
      <c r="AU512" t="s">
        <v>3034</v>
      </c>
      <c r="AV512" t="s">
        <v>3035</v>
      </c>
      <c r="AY512" t="s">
        <v>40</v>
      </c>
      <c r="AZ512">
        <v>0</v>
      </c>
      <c r="BA512">
        <v>0</v>
      </c>
      <c r="BI512" s="5">
        <v>44048.176388888889</v>
      </c>
      <c r="BJ512" s="5">
        <v>44048.176388888889</v>
      </c>
      <c r="BK512" t="s">
        <v>778</v>
      </c>
      <c r="BL512" t="s">
        <v>778</v>
      </c>
      <c r="BN512" t="s">
        <v>37</v>
      </c>
    </row>
    <row r="513" spans="1:66" x14ac:dyDescent="0.2">
      <c r="A513">
        <v>3693070</v>
      </c>
      <c r="B513">
        <v>21883</v>
      </c>
      <c r="C513">
        <v>523952</v>
      </c>
      <c r="D513">
        <v>52895</v>
      </c>
      <c r="E513">
        <v>100</v>
      </c>
      <c r="F513" t="s">
        <v>37</v>
      </c>
      <c r="G513">
        <v>1</v>
      </c>
      <c r="H513" t="s">
        <v>37</v>
      </c>
      <c r="I513" t="s">
        <v>37</v>
      </c>
      <c r="J513" t="s">
        <v>775</v>
      </c>
      <c r="K513" t="s">
        <v>423</v>
      </c>
      <c r="L513" t="s">
        <v>420</v>
      </c>
      <c r="M513" t="s">
        <v>422</v>
      </c>
      <c r="N513" t="s">
        <v>3036</v>
      </c>
      <c r="O513" t="s">
        <v>3037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B513" s="5">
        <v>43236.666666666664</v>
      </c>
      <c r="AC513" s="5">
        <v>43236.666666666664</v>
      </c>
      <c r="AD513" s="5">
        <v>43970.333333333336</v>
      </c>
      <c r="AE513" s="5">
        <v>43970.333333333336</v>
      </c>
      <c r="AG513" s="5">
        <v>44044</v>
      </c>
      <c r="AH513" s="5">
        <v>44044</v>
      </c>
      <c r="AK513" s="5">
        <v>43253.666666666664</v>
      </c>
      <c r="AL513" s="5">
        <v>43253.666666666664</v>
      </c>
      <c r="AP513" t="s">
        <v>418</v>
      </c>
      <c r="AU513" t="s">
        <v>3038</v>
      </c>
      <c r="AV513" t="s">
        <v>3039</v>
      </c>
      <c r="AY513" t="s">
        <v>40</v>
      </c>
      <c r="AZ513">
        <v>0</v>
      </c>
      <c r="BA513">
        <v>0</v>
      </c>
      <c r="BI513" s="5">
        <v>44048.176388888889</v>
      </c>
      <c r="BJ513" s="5">
        <v>44048.176388888889</v>
      </c>
      <c r="BK513" t="s">
        <v>778</v>
      </c>
      <c r="BL513" t="s">
        <v>778</v>
      </c>
      <c r="BN513" t="s">
        <v>37</v>
      </c>
    </row>
    <row r="514" spans="1:66" x14ac:dyDescent="0.2">
      <c r="A514">
        <v>3693071</v>
      </c>
      <c r="B514">
        <v>21883</v>
      </c>
      <c r="C514">
        <v>523952</v>
      </c>
      <c r="D514">
        <v>52895</v>
      </c>
      <c r="E514">
        <v>100</v>
      </c>
      <c r="F514" t="s">
        <v>37</v>
      </c>
      <c r="G514">
        <v>1</v>
      </c>
      <c r="H514" t="s">
        <v>37</v>
      </c>
      <c r="I514" t="s">
        <v>37</v>
      </c>
      <c r="J514" t="s">
        <v>775</v>
      </c>
      <c r="K514" t="s">
        <v>230</v>
      </c>
      <c r="L514" t="s">
        <v>420</v>
      </c>
      <c r="M514" t="s">
        <v>422</v>
      </c>
      <c r="N514" t="s">
        <v>3040</v>
      </c>
      <c r="O514" t="s">
        <v>3041</v>
      </c>
      <c r="S514">
        <v>0</v>
      </c>
      <c r="T514">
        <v>0</v>
      </c>
      <c r="U514">
        <v>0</v>
      </c>
      <c r="V514">
        <v>0</v>
      </c>
      <c r="W514">
        <v>2640</v>
      </c>
      <c r="X514">
        <v>0</v>
      </c>
      <c r="Y514">
        <v>0</v>
      </c>
      <c r="Z514">
        <v>0</v>
      </c>
      <c r="AB514" s="5">
        <v>42975.333333333336</v>
      </c>
      <c r="AC514" s="5">
        <v>43236.666666666664</v>
      </c>
      <c r="AD514" s="5">
        <v>43970.333333333336</v>
      </c>
      <c r="AE514" s="5">
        <v>43970.333333333336</v>
      </c>
      <c r="AG514" s="5">
        <v>44044</v>
      </c>
      <c r="AH514" s="5">
        <v>44044</v>
      </c>
      <c r="AK514" s="5">
        <v>43504.333333333336</v>
      </c>
      <c r="AL514" s="5">
        <v>43833.666666666664</v>
      </c>
      <c r="AP514" t="s">
        <v>418</v>
      </c>
      <c r="AU514" t="s">
        <v>3042</v>
      </c>
      <c r="AV514" t="s">
        <v>3043</v>
      </c>
      <c r="AY514" t="s">
        <v>40</v>
      </c>
      <c r="AZ514">
        <v>0</v>
      </c>
      <c r="BA514">
        <v>0</v>
      </c>
      <c r="BI514" s="5">
        <v>44048.176388888889</v>
      </c>
      <c r="BJ514" s="5">
        <v>44048.176388888889</v>
      </c>
      <c r="BK514" t="s">
        <v>778</v>
      </c>
      <c r="BL514" t="s">
        <v>778</v>
      </c>
      <c r="BN514" t="s">
        <v>37</v>
      </c>
    </row>
    <row r="515" spans="1:66" x14ac:dyDescent="0.2">
      <c r="A515">
        <v>3693072</v>
      </c>
      <c r="B515">
        <v>21883</v>
      </c>
      <c r="C515">
        <v>523952</v>
      </c>
      <c r="D515">
        <v>52895</v>
      </c>
      <c r="E515">
        <v>100</v>
      </c>
      <c r="F515" t="s">
        <v>37</v>
      </c>
      <c r="G515">
        <v>1</v>
      </c>
      <c r="H515" t="s">
        <v>37</v>
      </c>
      <c r="I515" t="s">
        <v>37</v>
      </c>
      <c r="J515" t="s">
        <v>775</v>
      </c>
      <c r="K515" t="s">
        <v>230</v>
      </c>
      <c r="L515" t="s">
        <v>226</v>
      </c>
      <c r="M515" t="s">
        <v>422</v>
      </c>
      <c r="N515" t="s">
        <v>3044</v>
      </c>
      <c r="O515" t="s">
        <v>3045</v>
      </c>
      <c r="S515">
        <v>0</v>
      </c>
      <c r="T515">
        <v>0</v>
      </c>
      <c r="U515">
        <v>0</v>
      </c>
      <c r="V515">
        <v>0</v>
      </c>
      <c r="W515">
        <v>360</v>
      </c>
      <c r="X515">
        <v>0</v>
      </c>
      <c r="Y515">
        <v>0</v>
      </c>
      <c r="Z515">
        <v>0</v>
      </c>
      <c r="AB515" s="5">
        <v>43023.333333333336</v>
      </c>
      <c r="AC515" s="5">
        <v>43054.666666666664</v>
      </c>
      <c r="AD515" s="5">
        <v>43970.333333333336</v>
      </c>
      <c r="AE515" s="5">
        <v>43970.333333333336</v>
      </c>
      <c r="AG515" s="5">
        <v>44044</v>
      </c>
      <c r="AH515" s="5">
        <v>44044</v>
      </c>
      <c r="AK515" s="5">
        <v>43039.333333333336</v>
      </c>
      <c r="AL515" s="5">
        <v>43083.666666666664</v>
      </c>
      <c r="AP515" t="s">
        <v>418</v>
      </c>
      <c r="AU515" t="s">
        <v>3046</v>
      </c>
      <c r="AV515" t="s">
        <v>3047</v>
      </c>
      <c r="AY515" t="s">
        <v>40</v>
      </c>
      <c r="AZ515">
        <v>0</v>
      </c>
      <c r="BA515">
        <v>0</v>
      </c>
      <c r="BI515" s="5">
        <v>44048.176388888889</v>
      </c>
      <c r="BJ515" s="5">
        <v>44048.176388888889</v>
      </c>
      <c r="BK515" t="s">
        <v>778</v>
      </c>
      <c r="BL515" t="s">
        <v>778</v>
      </c>
      <c r="BN515" t="s">
        <v>37</v>
      </c>
    </row>
    <row r="516" spans="1:66" x14ac:dyDescent="0.2">
      <c r="A516">
        <v>3693073</v>
      </c>
      <c r="B516">
        <v>21883</v>
      </c>
      <c r="C516">
        <v>523952</v>
      </c>
      <c r="D516">
        <v>52895</v>
      </c>
      <c r="E516">
        <v>100</v>
      </c>
      <c r="F516" t="s">
        <v>37</v>
      </c>
      <c r="G516">
        <v>1</v>
      </c>
      <c r="H516" t="s">
        <v>37</v>
      </c>
      <c r="I516" t="s">
        <v>37</v>
      </c>
      <c r="J516" t="s">
        <v>775</v>
      </c>
      <c r="K516" t="s">
        <v>230</v>
      </c>
      <c r="L516" t="s">
        <v>226</v>
      </c>
      <c r="M516" t="s">
        <v>422</v>
      </c>
      <c r="N516" t="s">
        <v>3048</v>
      </c>
      <c r="O516" t="s">
        <v>3049</v>
      </c>
      <c r="S516">
        <v>0</v>
      </c>
      <c r="T516">
        <v>0</v>
      </c>
      <c r="U516">
        <v>0</v>
      </c>
      <c r="V516">
        <v>0</v>
      </c>
      <c r="W516">
        <v>504</v>
      </c>
      <c r="X516">
        <v>0</v>
      </c>
      <c r="Y516">
        <v>0</v>
      </c>
      <c r="Z516">
        <v>0</v>
      </c>
      <c r="AB516" s="5">
        <v>43084.333333333336</v>
      </c>
      <c r="AC516" s="5">
        <v>43115.666666666664</v>
      </c>
      <c r="AD516" s="5">
        <v>43970.333333333336</v>
      </c>
      <c r="AE516" s="5">
        <v>43970.333333333336</v>
      </c>
      <c r="AG516" s="5">
        <v>44044</v>
      </c>
      <c r="AH516" s="5">
        <v>44044</v>
      </c>
      <c r="AK516" s="5">
        <v>43083.333333333336</v>
      </c>
      <c r="AL516" s="5">
        <v>43145.666666666664</v>
      </c>
      <c r="AP516" t="s">
        <v>418</v>
      </c>
      <c r="AU516" t="s">
        <v>3050</v>
      </c>
      <c r="AV516" t="s">
        <v>3051</v>
      </c>
      <c r="AY516" t="s">
        <v>40</v>
      </c>
      <c r="AZ516">
        <v>0</v>
      </c>
      <c r="BA516">
        <v>0</v>
      </c>
      <c r="BI516" s="5">
        <v>44048.176388888889</v>
      </c>
      <c r="BJ516" s="5">
        <v>44048.176388888889</v>
      </c>
      <c r="BK516" t="s">
        <v>778</v>
      </c>
      <c r="BL516" t="s">
        <v>778</v>
      </c>
      <c r="BN516" t="s">
        <v>37</v>
      </c>
    </row>
    <row r="517" spans="1:66" x14ac:dyDescent="0.2">
      <c r="A517">
        <v>3693074</v>
      </c>
      <c r="B517">
        <v>21883</v>
      </c>
      <c r="C517">
        <v>523952</v>
      </c>
      <c r="D517">
        <v>52895</v>
      </c>
      <c r="E517">
        <v>100</v>
      </c>
      <c r="F517" t="s">
        <v>37</v>
      </c>
      <c r="G517">
        <v>1</v>
      </c>
      <c r="H517" t="s">
        <v>37</v>
      </c>
      <c r="I517" t="s">
        <v>37</v>
      </c>
      <c r="J517" t="s">
        <v>775</v>
      </c>
      <c r="K517" t="s">
        <v>230</v>
      </c>
      <c r="L517" t="s">
        <v>226</v>
      </c>
      <c r="M517" t="s">
        <v>422</v>
      </c>
      <c r="N517" t="s">
        <v>3052</v>
      </c>
      <c r="O517" t="s">
        <v>3053</v>
      </c>
      <c r="S517">
        <v>0</v>
      </c>
      <c r="T517">
        <v>0</v>
      </c>
      <c r="U517">
        <v>0</v>
      </c>
      <c r="V517">
        <v>0</v>
      </c>
      <c r="W517">
        <v>1384</v>
      </c>
      <c r="X517">
        <v>0</v>
      </c>
      <c r="Y517">
        <v>0</v>
      </c>
      <c r="Z517">
        <v>0</v>
      </c>
      <c r="AB517" s="5">
        <v>43119.333333333336</v>
      </c>
      <c r="AC517" s="5">
        <v>43154.666666666664</v>
      </c>
      <c r="AD517" s="5">
        <v>43970.333333333336</v>
      </c>
      <c r="AE517" s="5">
        <v>43970.333333333336</v>
      </c>
      <c r="AG517" s="5">
        <v>44044</v>
      </c>
      <c r="AH517" s="5">
        <v>44044</v>
      </c>
      <c r="AK517" s="5">
        <v>43146.333333333336</v>
      </c>
      <c r="AL517" s="5">
        <v>43318.666666666664</v>
      </c>
      <c r="AP517" t="s">
        <v>418</v>
      </c>
      <c r="AU517" t="s">
        <v>3054</v>
      </c>
      <c r="AV517" t="s">
        <v>3055</v>
      </c>
      <c r="AY517" t="s">
        <v>40</v>
      </c>
      <c r="AZ517">
        <v>0</v>
      </c>
      <c r="BA517">
        <v>0</v>
      </c>
      <c r="BI517" s="5">
        <v>44048.176388888889</v>
      </c>
      <c r="BJ517" s="5">
        <v>44048.176388888889</v>
      </c>
      <c r="BK517" t="s">
        <v>778</v>
      </c>
      <c r="BL517" t="s">
        <v>778</v>
      </c>
      <c r="BN517" t="s">
        <v>37</v>
      </c>
    </row>
    <row r="518" spans="1:66" x14ac:dyDescent="0.2">
      <c r="A518">
        <v>3693075</v>
      </c>
      <c r="B518">
        <v>21883</v>
      </c>
      <c r="C518">
        <v>523951</v>
      </c>
      <c r="D518">
        <v>52895</v>
      </c>
      <c r="E518">
        <v>100</v>
      </c>
      <c r="F518" t="s">
        <v>37</v>
      </c>
      <c r="G518">
        <v>1</v>
      </c>
      <c r="H518" t="s">
        <v>37</v>
      </c>
      <c r="I518" t="s">
        <v>37</v>
      </c>
      <c r="J518" t="s">
        <v>775</v>
      </c>
      <c r="K518" t="s">
        <v>426</v>
      </c>
      <c r="L518" t="s">
        <v>226</v>
      </c>
      <c r="M518" t="s">
        <v>422</v>
      </c>
      <c r="N518" t="s">
        <v>3056</v>
      </c>
      <c r="O518" t="s">
        <v>3057</v>
      </c>
      <c r="S518">
        <v>0</v>
      </c>
      <c r="T518">
        <v>0</v>
      </c>
      <c r="U518">
        <v>0</v>
      </c>
      <c r="V518">
        <v>0</v>
      </c>
      <c r="W518">
        <v>2696</v>
      </c>
      <c r="X518">
        <v>0</v>
      </c>
      <c r="Y518">
        <v>0</v>
      </c>
      <c r="Z518">
        <v>0</v>
      </c>
      <c r="AB518" s="5">
        <v>42962.333333333336</v>
      </c>
      <c r="AC518" s="5">
        <v>43164.666666666664</v>
      </c>
      <c r="AK518" s="5">
        <v>42962.333333333336</v>
      </c>
      <c r="AL518" s="5">
        <v>43298.666666666664</v>
      </c>
      <c r="AP518" t="s">
        <v>418</v>
      </c>
      <c r="AU518" t="s">
        <v>3058</v>
      </c>
      <c r="AV518" t="s">
        <v>3059</v>
      </c>
      <c r="AY518" t="s">
        <v>37</v>
      </c>
      <c r="AZ518">
        <v>0</v>
      </c>
      <c r="BA518">
        <v>0</v>
      </c>
      <c r="BI518" s="5">
        <v>44048.176388888889</v>
      </c>
      <c r="BJ518" s="5">
        <v>44048.176388888889</v>
      </c>
      <c r="BK518" t="s">
        <v>778</v>
      </c>
      <c r="BL518" t="s">
        <v>778</v>
      </c>
      <c r="BN518" t="s">
        <v>37</v>
      </c>
    </row>
    <row r="519" spans="1:66" x14ac:dyDescent="0.2">
      <c r="A519">
        <v>3693076</v>
      </c>
      <c r="B519">
        <v>21883</v>
      </c>
      <c r="C519">
        <v>523999</v>
      </c>
      <c r="D519">
        <v>52895</v>
      </c>
      <c r="E519">
        <v>100</v>
      </c>
      <c r="F519" t="s">
        <v>37</v>
      </c>
      <c r="G519">
        <v>1</v>
      </c>
      <c r="H519" t="s">
        <v>37</v>
      </c>
      <c r="I519" t="s">
        <v>37</v>
      </c>
      <c r="J519" t="s">
        <v>775</v>
      </c>
      <c r="K519" t="s">
        <v>230</v>
      </c>
      <c r="L519" t="s">
        <v>226</v>
      </c>
      <c r="M519" t="s">
        <v>422</v>
      </c>
      <c r="N519" t="s">
        <v>3060</v>
      </c>
      <c r="O519" t="s">
        <v>3061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B519" s="5">
        <v>43159</v>
      </c>
      <c r="AC519" s="5">
        <v>43159.666666666664</v>
      </c>
      <c r="AD519" s="5">
        <v>44306.666666666664</v>
      </c>
      <c r="AE519" s="5">
        <v>44306.666666666664</v>
      </c>
      <c r="AG519" s="5">
        <v>44044</v>
      </c>
      <c r="AH519" s="5">
        <v>44044</v>
      </c>
      <c r="AK519" s="5">
        <v>43160.333333333336</v>
      </c>
      <c r="AL519" s="5">
        <v>43160.333333333336</v>
      </c>
      <c r="AP519" t="s">
        <v>418</v>
      </c>
      <c r="AU519" t="s">
        <v>3062</v>
      </c>
      <c r="AV519" t="s">
        <v>3063</v>
      </c>
      <c r="AY519" t="s">
        <v>37</v>
      </c>
      <c r="AZ519">
        <v>0</v>
      </c>
      <c r="BA519">
        <v>0</v>
      </c>
      <c r="BI519" s="5">
        <v>44048.176388888889</v>
      </c>
      <c r="BJ519" s="5">
        <v>44048.176388888889</v>
      </c>
      <c r="BK519" t="s">
        <v>778</v>
      </c>
      <c r="BL519" t="s">
        <v>778</v>
      </c>
      <c r="BN519" t="s">
        <v>37</v>
      </c>
    </row>
    <row r="520" spans="1:66" x14ac:dyDescent="0.2">
      <c r="A520">
        <v>3693077</v>
      </c>
      <c r="B520">
        <v>21883</v>
      </c>
      <c r="C520">
        <v>523951</v>
      </c>
      <c r="D520">
        <v>52895</v>
      </c>
      <c r="E520">
        <v>100</v>
      </c>
      <c r="F520" t="s">
        <v>37</v>
      </c>
      <c r="G520">
        <v>1</v>
      </c>
      <c r="H520" t="s">
        <v>37</v>
      </c>
      <c r="I520" t="s">
        <v>37</v>
      </c>
      <c r="J520" t="s">
        <v>775</v>
      </c>
      <c r="K520" t="s">
        <v>230</v>
      </c>
      <c r="L520" t="s">
        <v>226</v>
      </c>
      <c r="M520" t="s">
        <v>422</v>
      </c>
      <c r="N520" t="s">
        <v>3064</v>
      </c>
      <c r="O520" t="s">
        <v>3065</v>
      </c>
      <c r="S520">
        <v>0</v>
      </c>
      <c r="T520">
        <v>0</v>
      </c>
      <c r="U520">
        <v>0</v>
      </c>
      <c r="V520">
        <v>0</v>
      </c>
      <c r="W520">
        <v>352</v>
      </c>
      <c r="X520">
        <v>0</v>
      </c>
      <c r="Y520">
        <v>0</v>
      </c>
      <c r="Z520">
        <v>0</v>
      </c>
      <c r="AB520" s="5">
        <v>42962.333333333336</v>
      </c>
      <c r="AC520" s="5">
        <v>42978.666666666664</v>
      </c>
      <c r="AD520" s="5">
        <v>43970.333333333336</v>
      </c>
      <c r="AE520" s="5">
        <v>43970.333333333336</v>
      </c>
      <c r="AG520" s="5">
        <v>44044</v>
      </c>
      <c r="AH520" s="5">
        <v>44044</v>
      </c>
      <c r="AK520" s="5">
        <v>42962.333333333336</v>
      </c>
      <c r="AL520" s="5">
        <v>43005.666666666664</v>
      </c>
      <c r="AP520" t="s">
        <v>418</v>
      </c>
      <c r="AU520" t="s">
        <v>3066</v>
      </c>
      <c r="AV520" t="s">
        <v>3067</v>
      </c>
      <c r="AY520" t="s">
        <v>40</v>
      </c>
      <c r="AZ520">
        <v>0</v>
      </c>
      <c r="BA520">
        <v>0</v>
      </c>
      <c r="BI520" s="5">
        <v>44048.176388888889</v>
      </c>
      <c r="BJ520" s="5">
        <v>44048.176388888889</v>
      </c>
      <c r="BK520" t="s">
        <v>778</v>
      </c>
      <c r="BL520" t="s">
        <v>778</v>
      </c>
      <c r="BN520" t="s">
        <v>37</v>
      </c>
    </row>
    <row r="521" spans="1:66" x14ac:dyDescent="0.2">
      <c r="A521">
        <v>3693078</v>
      </c>
      <c r="B521">
        <v>21883</v>
      </c>
      <c r="C521">
        <v>523951</v>
      </c>
      <c r="D521">
        <v>52895</v>
      </c>
      <c r="E521">
        <v>100</v>
      </c>
      <c r="F521" t="s">
        <v>37</v>
      </c>
      <c r="G521">
        <v>1</v>
      </c>
      <c r="H521" t="s">
        <v>37</v>
      </c>
      <c r="I521" t="s">
        <v>37</v>
      </c>
      <c r="J521" t="s">
        <v>775</v>
      </c>
      <c r="K521" t="s">
        <v>230</v>
      </c>
      <c r="L521" t="s">
        <v>226</v>
      </c>
      <c r="M521" t="s">
        <v>422</v>
      </c>
      <c r="N521" t="s">
        <v>3068</v>
      </c>
      <c r="O521" t="s">
        <v>3069</v>
      </c>
      <c r="S521">
        <v>0</v>
      </c>
      <c r="T521">
        <v>0</v>
      </c>
      <c r="U521">
        <v>0</v>
      </c>
      <c r="V521">
        <v>0</v>
      </c>
      <c r="W521">
        <v>440</v>
      </c>
      <c r="X521">
        <v>0</v>
      </c>
      <c r="Y521">
        <v>0</v>
      </c>
      <c r="Z521">
        <v>0</v>
      </c>
      <c r="AB521" s="5">
        <v>42979.333333333336</v>
      </c>
      <c r="AC521" s="5">
        <v>43005.666666666664</v>
      </c>
      <c r="AD521" s="5">
        <v>43970.333333333336</v>
      </c>
      <c r="AE521" s="5">
        <v>43970.333333333336</v>
      </c>
      <c r="AG521" s="5">
        <v>44044</v>
      </c>
      <c r="AH521" s="5">
        <v>44044</v>
      </c>
      <c r="AK521" s="5">
        <v>42991.333333333336</v>
      </c>
      <c r="AL521" s="5">
        <v>43045.666666666664</v>
      </c>
      <c r="AP521" t="s">
        <v>418</v>
      </c>
      <c r="AU521" t="s">
        <v>3070</v>
      </c>
      <c r="AV521" t="s">
        <v>3071</v>
      </c>
      <c r="AY521" t="s">
        <v>40</v>
      </c>
      <c r="AZ521">
        <v>0</v>
      </c>
      <c r="BA521">
        <v>0</v>
      </c>
      <c r="BI521" s="5">
        <v>44048.176388888889</v>
      </c>
      <c r="BJ521" s="5">
        <v>44048.176388888889</v>
      </c>
      <c r="BK521" t="s">
        <v>778</v>
      </c>
      <c r="BL521" t="s">
        <v>778</v>
      </c>
      <c r="BN521" t="s">
        <v>37</v>
      </c>
    </row>
    <row r="522" spans="1:66" x14ac:dyDescent="0.2">
      <c r="A522">
        <v>3693079</v>
      </c>
      <c r="B522">
        <v>21883</v>
      </c>
      <c r="C522">
        <v>523951</v>
      </c>
      <c r="D522">
        <v>52895</v>
      </c>
      <c r="E522">
        <v>100</v>
      </c>
      <c r="F522" t="s">
        <v>37</v>
      </c>
      <c r="G522">
        <v>1</v>
      </c>
      <c r="H522" t="s">
        <v>37</v>
      </c>
      <c r="I522" t="s">
        <v>37</v>
      </c>
      <c r="J522" t="s">
        <v>775</v>
      </c>
      <c r="K522" t="s">
        <v>230</v>
      </c>
      <c r="L522" t="s">
        <v>226</v>
      </c>
      <c r="M522" t="s">
        <v>422</v>
      </c>
      <c r="N522" t="s">
        <v>3072</v>
      </c>
      <c r="O522" t="s">
        <v>3073</v>
      </c>
      <c r="S522">
        <v>0</v>
      </c>
      <c r="T522">
        <v>0</v>
      </c>
      <c r="U522">
        <v>0</v>
      </c>
      <c r="V522">
        <v>0</v>
      </c>
      <c r="W522">
        <v>536</v>
      </c>
      <c r="X522">
        <v>0</v>
      </c>
      <c r="Y522">
        <v>0</v>
      </c>
      <c r="Z522">
        <v>0</v>
      </c>
      <c r="AB522" s="5">
        <v>43006.333333333336</v>
      </c>
      <c r="AC522" s="5">
        <v>43088.666666666664</v>
      </c>
      <c r="AD522" s="5">
        <v>43970.333333333336</v>
      </c>
      <c r="AE522" s="5">
        <v>43970.333333333336</v>
      </c>
      <c r="AG522" s="5">
        <v>44044</v>
      </c>
      <c r="AH522" s="5">
        <v>44044</v>
      </c>
      <c r="AK522" s="5">
        <v>43073.333333333336</v>
      </c>
      <c r="AL522" s="5">
        <v>43139.666666666664</v>
      </c>
      <c r="AP522" t="s">
        <v>418</v>
      </c>
      <c r="AU522" t="s">
        <v>3074</v>
      </c>
      <c r="AV522" t="s">
        <v>3075</v>
      </c>
      <c r="AY522" t="s">
        <v>40</v>
      </c>
      <c r="AZ522">
        <v>0</v>
      </c>
      <c r="BA522">
        <v>0</v>
      </c>
      <c r="BI522" s="5">
        <v>44048.176388888889</v>
      </c>
      <c r="BJ522" s="5">
        <v>44048.176388888889</v>
      </c>
      <c r="BK522" t="s">
        <v>778</v>
      </c>
      <c r="BL522" t="s">
        <v>778</v>
      </c>
      <c r="BN522" t="s">
        <v>37</v>
      </c>
    </row>
    <row r="523" spans="1:66" x14ac:dyDescent="0.2">
      <c r="A523">
        <v>3693080</v>
      </c>
      <c r="B523">
        <v>21883</v>
      </c>
      <c r="C523">
        <v>523951</v>
      </c>
      <c r="D523">
        <v>52895</v>
      </c>
      <c r="E523">
        <v>100</v>
      </c>
      <c r="F523" t="s">
        <v>37</v>
      </c>
      <c r="G523">
        <v>1</v>
      </c>
      <c r="H523" t="s">
        <v>37</v>
      </c>
      <c r="I523" t="s">
        <v>37</v>
      </c>
      <c r="J523" t="s">
        <v>775</v>
      </c>
      <c r="K523" t="s">
        <v>230</v>
      </c>
      <c r="L523" t="s">
        <v>226</v>
      </c>
      <c r="M523" t="s">
        <v>422</v>
      </c>
      <c r="N523" t="s">
        <v>3076</v>
      </c>
      <c r="O523" t="s">
        <v>3077</v>
      </c>
      <c r="S523">
        <v>0</v>
      </c>
      <c r="T523">
        <v>0</v>
      </c>
      <c r="U523">
        <v>0</v>
      </c>
      <c r="V523">
        <v>0</v>
      </c>
      <c r="W523">
        <v>392</v>
      </c>
      <c r="X523">
        <v>0</v>
      </c>
      <c r="Y523">
        <v>0</v>
      </c>
      <c r="Z523">
        <v>0</v>
      </c>
      <c r="AB523" s="5">
        <v>43089.333333333336</v>
      </c>
      <c r="AC523" s="5">
        <v>43164.666666666664</v>
      </c>
      <c r="AD523" s="5">
        <v>43970.333333333336</v>
      </c>
      <c r="AE523" s="5">
        <v>43970.333333333336</v>
      </c>
      <c r="AG523" s="5">
        <v>44044</v>
      </c>
      <c r="AH523" s="5">
        <v>44044</v>
      </c>
      <c r="AK523" s="5">
        <v>43133.333333333336</v>
      </c>
      <c r="AL523" s="5">
        <v>43181.666666666664</v>
      </c>
      <c r="AP523" t="s">
        <v>418</v>
      </c>
      <c r="AU523" t="s">
        <v>3078</v>
      </c>
      <c r="AV523" t="s">
        <v>3079</v>
      </c>
      <c r="AY523" t="s">
        <v>40</v>
      </c>
      <c r="AZ523">
        <v>0</v>
      </c>
      <c r="BA523">
        <v>0</v>
      </c>
      <c r="BI523" s="5">
        <v>44048.176388888889</v>
      </c>
      <c r="BJ523" s="5">
        <v>44048.176388888889</v>
      </c>
      <c r="BK523" t="s">
        <v>778</v>
      </c>
      <c r="BL523" t="s">
        <v>778</v>
      </c>
      <c r="BN523" t="s">
        <v>37</v>
      </c>
    </row>
    <row r="524" spans="1:66" x14ac:dyDescent="0.2">
      <c r="A524">
        <v>3693081</v>
      </c>
      <c r="B524">
        <v>21883</v>
      </c>
      <c r="C524">
        <v>523951</v>
      </c>
      <c r="D524">
        <v>52895</v>
      </c>
      <c r="E524">
        <v>100</v>
      </c>
      <c r="F524" t="s">
        <v>37</v>
      </c>
      <c r="G524">
        <v>1</v>
      </c>
      <c r="H524" t="s">
        <v>37</v>
      </c>
      <c r="I524" t="s">
        <v>37</v>
      </c>
      <c r="J524" t="s">
        <v>775</v>
      </c>
      <c r="K524" t="s">
        <v>230</v>
      </c>
      <c r="L524" t="s">
        <v>226</v>
      </c>
      <c r="M524" t="s">
        <v>422</v>
      </c>
      <c r="N524" t="s">
        <v>3080</v>
      </c>
      <c r="O524" t="s">
        <v>3081</v>
      </c>
      <c r="S524">
        <v>0</v>
      </c>
      <c r="T524">
        <v>0</v>
      </c>
      <c r="U524">
        <v>0</v>
      </c>
      <c r="V524">
        <v>0</v>
      </c>
      <c r="W524">
        <v>240</v>
      </c>
      <c r="X524">
        <v>0</v>
      </c>
      <c r="Y524">
        <v>0</v>
      </c>
      <c r="Z524">
        <v>0</v>
      </c>
      <c r="AB524" s="5">
        <v>43193.333333333336</v>
      </c>
      <c r="AC524" s="5">
        <v>43206.666666666664</v>
      </c>
      <c r="AD524" s="5">
        <v>43970.333333333336</v>
      </c>
      <c r="AE524" s="5">
        <v>43970.333333333336</v>
      </c>
      <c r="AG524" s="5">
        <v>44044</v>
      </c>
      <c r="AH524" s="5">
        <v>44044</v>
      </c>
      <c r="AK524" s="5">
        <v>43232.333333333336</v>
      </c>
      <c r="AL524" s="5">
        <v>43261.666666666664</v>
      </c>
      <c r="AP524" t="s">
        <v>418</v>
      </c>
      <c r="AU524" t="s">
        <v>3082</v>
      </c>
      <c r="AV524" t="s">
        <v>3083</v>
      </c>
      <c r="AY524" t="s">
        <v>40</v>
      </c>
      <c r="AZ524">
        <v>0</v>
      </c>
      <c r="BA524">
        <v>0</v>
      </c>
      <c r="BI524" s="5">
        <v>44048.176388888889</v>
      </c>
      <c r="BJ524" s="5">
        <v>44048.176388888889</v>
      </c>
      <c r="BK524" t="s">
        <v>778</v>
      </c>
      <c r="BL524" t="s">
        <v>778</v>
      </c>
      <c r="BN524" t="s">
        <v>37</v>
      </c>
    </row>
    <row r="525" spans="1:66" x14ac:dyDescent="0.2">
      <c r="A525">
        <v>3693082</v>
      </c>
      <c r="B525">
        <v>21883</v>
      </c>
      <c r="C525">
        <v>523999</v>
      </c>
      <c r="D525">
        <v>52895</v>
      </c>
      <c r="E525">
        <v>100</v>
      </c>
      <c r="F525" t="s">
        <v>37</v>
      </c>
      <c r="G525">
        <v>1</v>
      </c>
      <c r="H525" t="s">
        <v>37</v>
      </c>
      <c r="I525" t="s">
        <v>37</v>
      </c>
      <c r="J525" t="s">
        <v>775</v>
      </c>
      <c r="K525" t="s">
        <v>230</v>
      </c>
      <c r="L525" t="s">
        <v>226</v>
      </c>
      <c r="M525" t="s">
        <v>422</v>
      </c>
      <c r="N525" t="s">
        <v>3084</v>
      </c>
      <c r="O525" t="s">
        <v>3085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B525" s="5">
        <v>43159</v>
      </c>
      <c r="AC525" s="5">
        <v>43159.666666666664</v>
      </c>
      <c r="AD525" s="5">
        <v>44306.666666666664</v>
      </c>
      <c r="AE525" s="5">
        <v>44306.666666666664</v>
      </c>
      <c r="AG525" s="5">
        <v>44044</v>
      </c>
      <c r="AH525" s="5">
        <v>44044</v>
      </c>
      <c r="AK525" s="5">
        <v>43206.333333333336</v>
      </c>
      <c r="AL525" s="5">
        <v>43206.333333333336</v>
      </c>
      <c r="AP525" t="s">
        <v>418</v>
      </c>
      <c r="AU525" t="s">
        <v>3086</v>
      </c>
      <c r="AV525" t="s">
        <v>3087</v>
      </c>
      <c r="AY525" t="s">
        <v>37</v>
      </c>
      <c r="AZ525">
        <v>0</v>
      </c>
      <c r="BA525">
        <v>0</v>
      </c>
      <c r="BI525" s="5">
        <v>44048.176388888889</v>
      </c>
      <c r="BJ525" s="5">
        <v>44048.176388888889</v>
      </c>
      <c r="BK525" t="s">
        <v>778</v>
      </c>
      <c r="BL525" t="s">
        <v>778</v>
      </c>
      <c r="BN525" t="s">
        <v>37</v>
      </c>
    </row>
    <row r="526" spans="1:66" x14ac:dyDescent="0.2">
      <c r="A526">
        <v>3693083</v>
      </c>
      <c r="B526">
        <v>21883</v>
      </c>
      <c r="C526">
        <v>523950</v>
      </c>
      <c r="D526">
        <v>52895</v>
      </c>
      <c r="E526">
        <v>100</v>
      </c>
      <c r="F526" t="s">
        <v>37</v>
      </c>
      <c r="G526">
        <v>1</v>
      </c>
      <c r="H526" t="s">
        <v>37</v>
      </c>
      <c r="I526" t="s">
        <v>37</v>
      </c>
      <c r="J526" t="s">
        <v>775</v>
      </c>
      <c r="K526" t="s">
        <v>426</v>
      </c>
      <c r="L526" t="s">
        <v>226</v>
      </c>
      <c r="M526" t="s">
        <v>422</v>
      </c>
      <c r="N526" t="s">
        <v>3088</v>
      </c>
      <c r="O526" t="s">
        <v>3089</v>
      </c>
      <c r="S526">
        <v>0</v>
      </c>
      <c r="T526">
        <v>0</v>
      </c>
      <c r="U526">
        <v>0</v>
      </c>
      <c r="V526">
        <v>0</v>
      </c>
      <c r="W526">
        <v>1120</v>
      </c>
      <c r="X526">
        <v>0</v>
      </c>
      <c r="Y526">
        <v>0</v>
      </c>
      <c r="Z526">
        <v>0</v>
      </c>
      <c r="AB526" s="5">
        <v>42950.333333333336</v>
      </c>
      <c r="AC526" s="5">
        <v>43084.666666666664</v>
      </c>
      <c r="AK526" s="5">
        <v>42950.333333333336</v>
      </c>
      <c r="AL526" s="5">
        <v>43089.666666666664</v>
      </c>
      <c r="AP526" t="s">
        <v>418</v>
      </c>
      <c r="AU526" t="s">
        <v>3090</v>
      </c>
      <c r="AV526" t="s">
        <v>3091</v>
      </c>
      <c r="AY526" t="s">
        <v>37</v>
      </c>
      <c r="AZ526">
        <v>0</v>
      </c>
      <c r="BA526">
        <v>0</v>
      </c>
      <c r="BI526" s="5">
        <v>44048.176388888889</v>
      </c>
      <c r="BJ526" s="5">
        <v>44048.176388888889</v>
      </c>
      <c r="BK526" t="s">
        <v>778</v>
      </c>
      <c r="BL526" t="s">
        <v>778</v>
      </c>
      <c r="BN526" t="s">
        <v>37</v>
      </c>
    </row>
    <row r="527" spans="1:66" x14ac:dyDescent="0.2">
      <c r="A527">
        <v>3693084</v>
      </c>
      <c r="B527">
        <v>21883</v>
      </c>
      <c r="C527">
        <v>523950</v>
      </c>
      <c r="D527">
        <v>52895</v>
      </c>
      <c r="E527">
        <v>100</v>
      </c>
      <c r="F527" t="s">
        <v>37</v>
      </c>
      <c r="G527">
        <v>1</v>
      </c>
      <c r="H527" t="s">
        <v>37</v>
      </c>
      <c r="I527" t="s">
        <v>37</v>
      </c>
      <c r="J527" t="s">
        <v>775</v>
      </c>
      <c r="K527" t="s">
        <v>230</v>
      </c>
      <c r="L527" t="s">
        <v>226</v>
      </c>
      <c r="M527" t="s">
        <v>422</v>
      </c>
      <c r="N527" t="s">
        <v>3092</v>
      </c>
      <c r="O527" t="s">
        <v>3093</v>
      </c>
      <c r="S527">
        <v>0</v>
      </c>
      <c r="T527">
        <v>0</v>
      </c>
      <c r="U527">
        <v>0</v>
      </c>
      <c r="V527">
        <v>0</v>
      </c>
      <c r="W527">
        <v>1080</v>
      </c>
      <c r="X527">
        <v>0</v>
      </c>
      <c r="Y527">
        <v>0</v>
      </c>
      <c r="Z527">
        <v>0</v>
      </c>
      <c r="AB527" s="5">
        <v>42950.333333333336</v>
      </c>
      <c r="AC527" s="5">
        <v>43083.666666666664</v>
      </c>
      <c r="AD527" s="5">
        <v>43970.333333333336</v>
      </c>
      <c r="AE527" s="5">
        <v>43970.333333333336</v>
      </c>
      <c r="AG527" s="5">
        <v>44044</v>
      </c>
      <c r="AH527" s="5">
        <v>44044</v>
      </c>
      <c r="AK527" s="5">
        <v>42950.333333333336</v>
      </c>
      <c r="AL527" s="5">
        <v>43084.666666666664</v>
      </c>
      <c r="AP527" t="s">
        <v>418</v>
      </c>
      <c r="AU527" t="s">
        <v>3094</v>
      </c>
      <c r="AV527" t="s">
        <v>3095</v>
      </c>
      <c r="AY527" t="s">
        <v>40</v>
      </c>
      <c r="AZ527">
        <v>0</v>
      </c>
      <c r="BA527">
        <v>0</v>
      </c>
      <c r="BI527" s="5">
        <v>44048.176388888889</v>
      </c>
      <c r="BJ527" s="5">
        <v>44048.176388888889</v>
      </c>
      <c r="BK527" t="s">
        <v>778</v>
      </c>
      <c r="BL527" t="s">
        <v>778</v>
      </c>
      <c r="BN527" t="s">
        <v>37</v>
      </c>
    </row>
    <row r="528" spans="1:66" x14ac:dyDescent="0.2">
      <c r="A528">
        <v>3693085</v>
      </c>
      <c r="B528">
        <v>21883</v>
      </c>
      <c r="C528">
        <v>523950</v>
      </c>
      <c r="D528">
        <v>52895</v>
      </c>
      <c r="E528">
        <v>100</v>
      </c>
      <c r="F528" t="s">
        <v>37</v>
      </c>
      <c r="G528">
        <v>1</v>
      </c>
      <c r="H528" t="s">
        <v>37</v>
      </c>
      <c r="I528" t="s">
        <v>37</v>
      </c>
      <c r="J528" t="s">
        <v>775</v>
      </c>
      <c r="K528" t="s">
        <v>230</v>
      </c>
      <c r="L528" t="s">
        <v>226</v>
      </c>
      <c r="M528" t="s">
        <v>422</v>
      </c>
      <c r="N528" t="s">
        <v>3096</v>
      </c>
      <c r="O528" t="s">
        <v>3097</v>
      </c>
      <c r="S528">
        <v>0</v>
      </c>
      <c r="T528">
        <v>0</v>
      </c>
      <c r="U528">
        <v>0</v>
      </c>
      <c r="V528">
        <v>0</v>
      </c>
      <c r="W528">
        <v>464</v>
      </c>
      <c r="X528">
        <v>0</v>
      </c>
      <c r="Y528">
        <v>0</v>
      </c>
      <c r="Z528">
        <v>0</v>
      </c>
      <c r="AB528" s="5">
        <v>43006.333333333336</v>
      </c>
      <c r="AC528" s="5">
        <v>43084.666666666664</v>
      </c>
      <c r="AD528" s="5">
        <v>43970.333333333336</v>
      </c>
      <c r="AE528" s="5">
        <v>43970.333333333336</v>
      </c>
      <c r="AG528" s="5">
        <v>44044</v>
      </c>
      <c r="AH528" s="5">
        <v>44044</v>
      </c>
      <c r="AK528" s="5">
        <v>43032.333333333336</v>
      </c>
      <c r="AL528" s="5">
        <v>43089.666666666664</v>
      </c>
      <c r="AP528" t="s">
        <v>418</v>
      </c>
      <c r="AU528" t="s">
        <v>3098</v>
      </c>
      <c r="AV528" t="s">
        <v>3099</v>
      </c>
      <c r="AY528" t="s">
        <v>40</v>
      </c>
      <c r="AZ528">
        <v>0</v>
      </c>
      <c r="BA528">
        <v>0</v>
      </c>
      <c r="BI528" s="5">
        <v>44048.176388888889</v>
      </c>
      <c r="BJ528" s="5">
        <v>44048.176388888889</v>
      </c>
      <c r="BK528" t="s">
        <v>778</v>
      </c>
      <c r="BL528" t="s">
        <v>778</v>
      </c>
      <c r="BN528" t="s">
        <v>37</v>
      </c>
    </row>
    <row r="529" spans="1:66" x14ac:dyDescent="0.2">
      <c r="A529">
        <v>3693086</v>
      </c>
      <c r="B529">
        <v>21883</v>
      </c>
      <c r="C529">
        <v>523949</v>
      </c>
      <c r="D529">
        <v>52895</v>
      </c>
      <c r="E529">
        <v>100</v>
      </c>
      <c r="F529" t="s">
        <v>37</v>
      </c>
      <c r="G529">
        <v>1</v>
      </c>
      <c r="H529" t="s">
        <v>37</v>
      </c>
      <c r="I529" t="s">
        <v>37</v>
      </c>
      <c r="J529" t="s">
        <v>775</v>
      </c>
      <c r="K529" t="s">
        <v>230</v>
      </c>
      <c r="L529" t="s">
        <v>226</v>
      </c>
      <c r="M529" t="s">
        <v>422</v>
      </c>
      <c r="N529" t="s">
        <v>3100</v>
      </c>
      <c r="O529" t="s">
        <v>3101</v>
      </c>
      <c r="S529">
        <v>0</v>
      </c>
      <c r="T529">
        <v>0</v>
      </c>
      <c r="U529">
        <v>0</v>
      </c>
      <c r="V529">
        <v>0</v>
      </c>
      <c r="W529">
        <v>1920</v>
      </c>
      <c r="X529">
        <v>0</v>
      </c>
      <c r="Y529">
        <v>0</v>
      </c>
      <c r="Z529">
        <v>0</v>
      </c>
      <c r="AB529" s="5">
        <v>43073.333333333336</v>
      </c>
      <c r="AC529" s="5">
        <v>43105.666666666664</v>
      </c>
      <c r="AD529" s="5">
        <v>43970.333333333336</v>
      </c>
      <c r="AE529" s="5">
        <v>43970.333333333336</v>
      </c>
      <c r="AG529" s="5">
        <v>44044</v>
      </c>
      <c r="AH529" s="5">
        <v>44044</v>
      </c>
      <c r="AK529" s="5">
        <v>43073.333333333336</v>
      </c>
      <c r="AL529" s="5">
        <v>43312.666666666664</v>
      </c>
      <c r="AP529" t="s">
        <v>418</v>
      </c>
      <c r="AU529" t="s">
        <v>3102</v>
      </c>
      <c r="AV529" t="s">
        <v>3103</v>
      </c>
      <c r="AY529" t="s">
        <v>40</v>
      </c>
      <c r="AZ529">
        <v>0</v>
      </c>
      <c r="BA529">
        <v>0</v>
      </c>
      <c r="BI529" s="5">
        <v>44048.176388888889</v>
      </c>
      <c r="BJ529" s="5">
        <v>44048.176388888889</v>
      </c>
      <c r="BK529" t="s">
        <v>778</v>
      </c>
      <c r="BL529" t="s">
        <v>778</v>
      </c>
      <c r="BN529" t="s">
        <v>37</v>
      </c>
    </row>
    <row r="530" spans="1:66" x14ac:dyDescent="0.2">
      <c r="A530">
        <v>3693087</v>
      </c>
      <c r="B530">
        <v>21883</v>
      </c>
      <c r="C530">
        <v>523948</v>
      </c>
      <c r="D530">
        <v>52895</v>
      </c>
      <c r="E530">
        <v>100</v>
      </c>
      <c r="F530" t="s">
        <v>37</v>
      </c>
      <c r="G530">
        <v>1</v>
      </c>
      <c r="H530" t="s">
        <v>37</v>
      </c>
      <c r="I530" t="s">
        <v>37</v>
      </c>
      <c r="J530" t="s">
        <v>775</v>
      </c>
      <c r="K530" t="s">
        <v>230</v>
      </c>
      <c r="L530" t="s">
        <v>226</v>
      </c>
      <c r="M530" t="s">
        <v>422</v>
      </c>
      <c r="N530" t="s">
        <v>3104</v>
      </c>
      <c r="O530" t="s">
        <v>3105</v>
      </c>
      <c r="S530">
        <v>0</v>
      </c>
      <c r="T530">
        <v>0</v>
      </c>
      <c r="U530">
        <v>0</v>
      </c>
      <c r="V530">
        <v>0</v>
      </c>
      <c r="W530">
        <v>576</v>
      </c>
      <c r="X530">
        <v>0</v>
      </c>
      <c r="Y530">
        <v>0</v>
      </c>
      <c r="Z530">
        <v>0</v>
      </c>
      <c r="AB530" s="5">
        <v>43018.333333333336</v>
      </c>
      <c r="AC530" s="5">
        <v>43090.666666666664</v>
      </c>
      <c r="AD530" s="5">
        <v>43970.333333333336</v>
      </c>
      <c r="AE530" s="5">
        <v>43970.333333333336</v>
      </c>
      <c r="AG530" s="5">
        <v>44044</v>
      </c>
      <c r="AH530" s="5">
        <v>44044</v>
      </c>
      <c r="AK530" s="5">
        <v>43018.333333333336</v>
      </c>
      <c r="AL530" s="5">
        <v>43089.666666666664</v>
      </c>
      <c r="AP530" t="s">
        <v>418</v>
      </c>
      <c r="AU530" t="s">
        <v>3106</v>
      </c>
      <c r="AV530" t="s">
        <v>3107</v>
      </c>
      <c r="AY530" t="s">
        <v>40</v>
      </c>
      <c r="AZ530">
        <v>0</v>
      </c>
      <c r="BA530">
        <v>0</v>
      </c>
      <c r="BI530" s="5">
        <v>44048.176388888889</v>
      </c>
      <c r="BJ530" s="5">
        <v>44048.176388888889</v>
      </c>
      <c r="BK530" t="s">
        <v>778</v>
      </c>
      <c r="BL530" t="s">
        <v>778</v>
      </c>
      <c r="BN530" t="s">
        <v>37</v>
      </c>
    </row>
    <row r="531" spans="1:66" x14ac:dyDescent="0.2">
      <c r="A531">
        <v>3693088</v>
      </c>
      <c r="B531">
        <v>21883</v>
      </c>
      <c r="C531">
        <v>523948</v>
      </c>
      <c r="D531">
        <v>52895</v>
      </c>
      <c r="E531">
        <v>100</v>
      </c>
      <c r="F531" t="s">
        <v>37</v>
      </c>
      <c r="G531">
        <v>1</v>
      </c>
      <c r="H531" t="s">
        <v>37</v>
      </c>
      <c r="I531" t="s">
        <v>37</v>
      </c>
      <c r="J531" t="s">
        <v>775</v>
      </c>
      <c r="K531" t="s">
        <v>230</v>
      </c>
      <c r="L531" t="s">
        <v>226</v>
      </c>
      <c r="M531" t="s">
        <v>422</v>
      </c>
      <c r="N531" t="s">
        <v>3108</v>
      </c>
      <c r="O531" t="s">
        <v>3109</v>
      </c>
      <c r="S531">
        <v>0</v>
      </c>
      <c r="T531">
        <v>0</v>
      </c>
      <c r="U531">
        <v>0</v>
      </c>
      <c r="V531">
        <v>0</v>
      </c>
      <c r="W531">
        <v>1328</v>
      </c>
      <c r="X531">
        <v>0</v>
      </c>
      <c r="Y531">
        <v>0</v>
      </c>
      <c r="Z531">
        <v>0</v>
      </c>
      <c r="AB531" s="5">
        <v>43091.333333333336</v>
      </c>
      <c r="AC531" s="5">
        <v>43297.666666666664</v>
      </c>
      <c r="AD531" s="5">
        <v>43970.333333333336</v>
      </c>
      <c r="AE531" s="5">
        <v>43970.333333333336</v>
      </c>
      <c r="AG531" s="5">
        <v>44044</v>
      </c>
      <c r="AH531" s="5">
        <v>44044</v>
      </c>
      <c r="AK531" s="5">
        <v>43090.333333333336</v>
      </c>
      <c r="AL531" s="5">
        <v>43255.666666666664</v>
      </c>
      <c r="AP531" t="s">
        <v>418</v>
      </c>
      <c r="AU531" t="s">
        <v>3110</v>
      </c>
      <c r="AV531" t="s">
        <v>3111</v>
      </c>
      <c r="AY531" t="s">
        <v>40</v>
      </c>
      <c r="AZ531">
        <v>0</v>
      </c>
      <c r="BA531">
        <v>0</v>
      </c>
      <c r="BI531" s="5">
        <v>44048.176388888889</v>
      </c>
      <c r="BJ531" s="5">
        <v>44048.176388888889</v>
      </c>
      <c r="BK531" t="s">
        <v>778</v>
      </c>
      <c r="BL531" t="s">
        <v>778</v>
      </c>
      <c r="BN531" t="s">
        <v>37</v>
      </c>
    </row>
    <row r="532" spans="1:66" x14ac:dyDescent="0.2">
      <c r="A532">
        <v>3693089</v>
      </c>
      <c r="B532">
        <v>21883</v>
      </c>
      <c r="C532">
        <v>523948</v>
      </c>
      <c r="D532">
        <v>52895</v>
      </c>
      <c r="E532">
        <v>100</v>
      </c>
      <c r="F532" t="s">
        <v>37</v>
      </c>
      <c r="G532">
        <v>1</v>
      </c>
      <c r="H532" t="s">
        <v>37</v>
      </c>
      <c r="I532" t="s">
        <v>37</v>
      </c>
      <c r="J532" t="s">
        <v>775</v>
      </c>
      <c r="K532" t="s">
        <v>230</v>
      </c>
      <c r="L532" t="s">
        <v>226</v>
      </c>
      <c r="M532" t="s">
        <v>422</v>
      </c>
      <c r="N532" t="s">
        <v>3112</v>
      </c>
      <c r="O532" t="s">
        <v>3113</v>
      </c>
      <c r="S532">
        <v>0</v>
      </c>
      <c r="T532">
        <v>0</v>
      </c>
      <c r="U532">
        <v>0</v>
      </c>
      <c r="V532">
        <v>0</v>
      </c>
      <c r="W532">
        <v>120</v>
      </c>
      <c r="X532">
        <v>0</v>
      </c>
      <c r="Y532">
        <v>0</v>
      </c>
      <c r="Z532">
        <v>0</v>
      </c>
      <c r="AB532" s="5">
        <v>43277.333333333336</v>
      </c>
      <c r="AC532" s="5">
        <v>43322.666666666664</v>
      </c>
      <c r="AD532" s="5">
        <v>43970.333333333336</v>
      </c>
      <c r="AE532" s="5">
        <v>43970.333333333336</v>
      </c>
      <c r="AG532" s="5">
        <v>44044</v>
      </c>
      <c r="AH532" s="5">
        <v>44044</v>
      </c>
      <c r="AK532" s="5">
        <v>43283.333333333336</v>
      </c>
      <c r="AL532" s="5">
        <v>43297.666666666664</v>
      </c>
      <c r="AP532" t="s">
        <v>418</v>
      </c>
      <c r="AU532" t="s">
        <v>3114</v>
      </c>
      <c r="AV532" t="s">
        <v>3115</v>
      </c>
      <c r="AY532" t="s">
        <v>40</v>
      </c>
      <c r="AZ532">
        <v>0</v>
      </c>
      <c r="BA532">
        <v>0</v>
      </c>
      <c r="BI532" s="5">
        <v>44048.176388888889</v>
      </c>
      <c r="BJ532" s="5">
        <v>44048.176388888889</v>
      </c>
      <c r="BK532" t="s">
        <v>778</v>
      </c>
      <c r="BL532" t="s">
        <v>778</v>
      </c>
      <c r="BN532" t="s">
        <v>37</v>
      </c>
    </row>
    <row r="533" spans="1:66" x14ac:dyDescent="0.2">
      <c r="A533">
        <v>3693090</v>
      </c>
      <c r="B533">
        <v>21883</v>
      </c>
      <c r="C533">
        <v>523948</v>
      </c>
      <c r="D533">
        <v>52895</v>
      </c>
      <c r="E533">
        <v>100</v>
      </c>
      <c r="F533" t="s">
        <v>37</v>
      </c>
      <c r="G533">
        <v>1</v>
      </c>
      <c r="H533" t="s">
        <v>37</v>
      </c>
      <c r="I533" t="s">
        <v>37</v>
      </c>
      <c r="J533" t="s">
        <v>775</v>
      </c>
      <c r="K533" t="s">
        <v>230</v>
      </c>
      <c r="L533" t="s">
        <v>226</v>
      </c>
      <c r="M533" t="s">
        <v>422</v>
      </c>
      <c r="N533" t="s">
        <v>3116</v>
      </c>
      <c r="O533" t="s">
        <v>3117</v>
      </c>
      <c r="S533">
        <v>0</v>
      </c>
      <c r="T533">
        <v>0</v>
      </c>
      <c r="U533">
        <v>0</v>
      </c>
      <c r="V533">
        <v>0</v>
      </c>
      <c r="W533">
        <v>464</v>
      </c>
      <c r="X533">
        <v>0</v>
      </c>
      <c r="Y533">
        <v>0</v>
      </c>
      <c r="Z533">
        <v>0</v>
      </c>
      <c r="AB533" s="5">
        <v>43151.333333333336</v>
      </c>
      <c r="AC533" s="5">
        <v>43175.666666666664</v>
      </c>
      <c r="AD533" s="5">
        <v>44032.333333333336</v>
      </c>
      <c r="AE533" s="5">
        <v>44032.333333333336</v>
      </c>
      <c r="AG533" s="5">
        <v>44044</v>
      </c>
      <c r="AH533" s="5">
        <v>44044</v>
      </c>
      <c r="AK533" s="5">
        <v>43032.333333333336</v>
      </c>
      <c r="AL533" s="5">
        <v>43089.666666666664</v>
      </c>
      <c r="AP533" t="s">
        <v>418</v>
      </c>
      <c r="AU533" t="s">
        <v>3118</v>
      </c>
      <c r="AV533" t="s">
        <v>3119</v>
      </c>
      <c r="AY533" t="s">
        <v>37</v>
      </c>
      <c r="AZ533">
        <v>0</v>
      </c>
      <c r="BA533">
        <v>0</v>
      </c>
      <c r="BI533" s="5">
        <v>44048.176388888889</v>
      </c>
      <c r="BJ533" s="5">
        <v>44048.176388888889</v>
      </c>
      <c r="BK533" t="s">
        <v>778</v>
      </c>
      <c r="BL533" t="s">
        <v>778</v>
      </c>
      <c r="BN533" t="s">
        <v>37</v>
      </c>
    </row>
    <row r="534" spans="1:66" x14ac:dyDescent="0.2">
      <c r="A534">
        <v>3693091</v>
      </c>
      <c r="B534">
        <v>21883</v>
      </c>
      <c r="C534">
        <v>523948</v>
      </c>
      <c r="D534">
        <v>52895</v>
      </c>
      <c r="E534">
        <v>100</v>
      </c>
      <c r="F534" t="s">
        <v>37</v>
      </c>
      <c r="G534">
        <v>1</v>
      </c>
      <c r="H534" t="s">
        <v>37</v>
      </c>
      <c r="I534" t="s">
        <v>37</v>
      </c>
      <c r="J534" t="s">
        <v>775</v>
      </c>
      <c r="K534" t="s">
        <v>230</v>
      </c>
      <c r="L534" t="s">
        <v>226</v>
      </c>
      <c r="M534" t="s">
        <v>422</v>
      </c>
      <c r="N534" t="s">
        <v>3120</v>
      </c>
      <c r="O534" t="s">
        <v>3121</v>
      </c>
      <c r="S534">
        <v>0</v>
      </c>
      <c r="T534">
        <v>0</v>
      </c>
      <c r="U534">
        <v>0</v>
      </c>
      <c r="V534">
        <v>0</v>
      </c>
      <c r="W534">
        <v>552</v>
      </c>
      <c r="X534">
        <v>0</v>
      </c>
      <c r="Y534">
        <v>0</v>
      </c>
      <c r="Z534">
        <v>0</v>
      </c>
      <c r="AB534" s="5">
        <v>43165.333333333336</v>
      </c>
      <c r="AC534" s="5">
        <v>43243.666666666664</v>
      </c>
      <c r="AD534" s="5">
        <v>44032.333333333336</v>
      </c>
      <c r="AE534" s="5">
        <v>44032.333333333336</v>
      </c>
      <c r="AG534" s="5">
        <v>44044</v>
      </c>
      <c r="AH534" s="5">
        <v>44044</v>
      </c>
      <c r="AK534" s="5">
        <v>43165.333333333336</v>
      </c>
      <c r="AL534" s="5">
        <v>43233.666666666664</v>
      </c>
      <c r="AP534" t="s">
        <v>418</v>
      </c>
      <c r="AU534" t="s">
        <v>3122</v>
      </c>
      <c r="AV534" t="s">
        <v>3123</v>
      </c>
      <c r="AY534" t="s">
        <v>37</v>
      </c>
      <c r="AZ534">
        <v>0</v>
      </c>
      <c r="BA534">
        <v>0</v>
      </c>
      <c r="BI534" s="5">
        <v>44048.176388888889</v>
      </c>
      <c r="BJ534" s="5">
        <v>44048.176388888889</v>
      </c>
      <c r="BK534" t="s">
        <v>778</v>
      </c>
      <c r="BL534" t="s">
        <v>778</v>
      </c>
      <c r="BN534" t="s">
        <v>37</v>
      </c>
    </row>
    <row r="535" spans="1:66" x14ac:dyDescent="0.2">
      <c r="A535">
        <v>3693092</v>
      </c>
      <c r="B535">
        <v>21883</v>
      </c>
      <c r="C535">
        <v>523948</v>
      </c>
      <c r="D535">
        <v>52895</v>
      </c>
      <c r="E535">
        <v>100</v>
      </c>
      <c r="F535" t="s">
        <v>37</v>
      </c>
      <c r="G535">
        <v>1</v>
      </c>
      <c r="H535" t="s">
        <v>37</v>
      </c>
      <c r="I535" t="s">
        <v>37</v>
      </c>
      <c r="J535" t="s">
        <v>775</v>
      </c>
      <c r="K535" t="s">
        <v>230</v>
      </c>
      <c r="L535" t="s">
        <v>226</v>
      </c>
      <c r="M535" t="s">
        <v>422</v>
      </c>
      <c r="N535" t="s">
        <v>3124</v>
      </c>
      <c r="O535" t="s">
        <v>3125</v>
      </c>
      <c r="S535">
        <v>0</v>
      </c>
      <c r="T535">
        <v>0</v>
      </c>
      <c r="U535">
        <v>0</v>
      </c>
      <c r="V535">
        <v>0</v>
      </c>
      <c r="W535">
        <v>304</v>
      </c>
      <c r="X535">
        <v>0</v>
      </c>
      <c r="Y535">
        <v>0</v>
      </c>
      <c r="Z535">
        <v>0</v>
      </c>
      <c r="AB535" s="5">
        <v>43228.333333333336</v>
      </c>
      <c r="AC535" s="5">
        <v>43243.666666666664</v>
      </c>
      <c r="AD535" s="5">
        <v>44032.333333333336</v>
      </c>
      <c r="AE535" s="5">
        <v>44032.333333333336</v>
      </c>
      <c r="AG535" s="5">
        <v>44044</v>
      </c>
      <c r="AH535" s="5">
        <v>44044</v>
      </c>
      <c r="AK535" s="5">
        <v>43255.333333333336</v>
      </c>
      <c r="AL535" s="5">
        <v>43292.666666666664</v>
      </c>
      <c r="AP535" t="s">
        <v>418</v>
      </c>
      <c r="AU535" t="s">
        <v>3126</v>
      </c>
      <c r="AV535" t="s">
        <v>3127</v>
      </c>
      <c r="AY535" t="s">
        <v>37</v>
      </c>
      <c r="AZ535">
        <v>0</v>
      </c>
      <c r="BA535">
        <v>0</v>
      </c>
      <c r="BI535" s="5">
        <v>44048.176388888889</v>
      </c>
      <c r="BJ535" s="5">
        <v>44048.176388888889</v>
      </c>
      <c r="BK535" t="s">
        <v>778</v>
      </c>
      <c r="BL535" t="s">
        <v>778</v>
      </c>
      <c r="BN535" t="s">
        <v>37</v>
      </c>
    </row>
    <row r="536" spans="1:66" x14ac:dyDescent="0.2">
      <c r="A536">
        <v>3693093</v>
      </c>
      <c r="B536">
        <v>21883</v>
      </c>
      <c r="C536">
        <v>523985</v>
      </c>
      <c r="D536">
        <v>52895</v>
      </c>
      <c r="E536">
        <v>100</v>
      </c>
      <c r="F536" t="s">
        <v>37</v>
      </c>
      <c r="G536">
        <v>1</v>
      </c>
      <c r="H536" t="s">
        <v>37</v>
      </c>
      <c r="I536" t="s">
        <v>37</v>
      </c>
      <c r="J536" t="s">
        <v>775</v>
      </c>
      <c r="K536" t="s">
        <v>230</v>
      </c>
      <c r="L536" t="s">
        <v>226</v>
      </c>
      <c r="M536" t="s">
        <v>422</v>
      </c>
      <c r="N536" t="s">
        <v>3128</v>
      </c>
      <c r="O536" t="s">
        <v>3129</v>
      </c>
      <c r="S536">
        <v>0</v>
      </c>
      <c r="T536">
        <v>0</v>
      </c>
      <c r="U536">
        <v>0</v>
      </c>
      <c r="V536">
        <v>0</v>
      </c>
      <c r="W536">
        <v>960</v>
      </c>
      <c r="X536">
        <v>0</v>
      </c>
      <c r="Y536">
        <v>0</v>
      </c>
      <c r="Z536">
        <v>0</v>
      </c>
      <c r="AB536" s="5">
        <v>43280.333333333336</v>
      </c>
      <c r="AC536" s="5">
        <v>43311.666666666664</v>
      </c>
      <c r="AD536" s="5">
        <v>44032.333333333336</v>
      </c>
      <c r="AE536" s="5">
        <v>44032.333333333336</v>
      </c>
      <c r="AG536" s="5">
        <v>44044</v>
      </c>
      <c r="AH536" s="5">
        <v>44044</v>
      </c>
      <c r="AK536" s="5">
        <v>43313.333333333336</v>
      </c>
      <c r="AL536" s="5">
        <v>43432.666666666664</v>
      </c>
      <c r="AP536" t="s">
        <v>418</v>
      </c>
      <c r="AU536" t="s">
        <v>3130</v>
      </c>
      <c r="AV536" t="s">
        <v>3131</v>
      </c>
      <c r="AY536" t="s">
        <v>37</v>
      </c>
      <c r="AZ536">
        <v>0</v>
      </c>
      <c r="BA536">
        <v>0</v>
      </c>
      <c r="BI536" s="5">
        <v>44048.176388888889</v>
      </c>
      <c r="BJ536" s="5">
        <v>44048.176388888889</v>
      </c>
      <c r="BK536" t="s">
        <v>778</v>
      </c>
      <c r="BL536" t="s">
        <v>778</v>
      </c>
      <c r="BN536" t="s">
        <v>37</v>
      </c>
    </row>
    <row r="537" spans="1:66" x14ac:dyDescent="0.2">
      <c r="A537">
        <v>3693094</v>
      </c>
      <c r="B537">
        <v>21883</v>
      </c>
      <c r="C537">
        <v>523948</v>
      </c>
      <c r="D537">
        <v>52895</v>
      </c>
      <c r="E537">
        <v>100</v>
      </c>
      <c r="F537" t="s">
        <v>37</v>
      </c>
      <c r="G537">
        <v>1</v>
      </c>
      <c r="H537" t="s">
        <v>37</v>
      </c>
      <c r="I537" t="s">
        <v>37</v>
      </c>
      <c r="J537" t="s">
        <v>775</v>
      </c>
      <c r="K537" t="s">
        <v>230</v>
      </c>
      <c r="L537" t="s">
        <v>226</v>
      </c>
      <c r="M537" t="s">
        <v>422</v>
      </c>
      <c r="N537" t="s">
        <v>3132</v>
      </c>
      <c r="O537" t="s">
        <v>3133</v>
      </c>
      <c r="S537">
        <v>0</v>
      </c>
      <c r="T537">
        <v>0</v>
      </c>
      <c r="U537">
        <v>0</v>
      </c>
      <c r="V537">
        <v>0</v>
      </c>
      <c r="W537">
        <v>320</v>
      </c>
      <c r="X537">
        <v>0</v>
      </c>
      <c r="Y537">
        <v>0</v>
      </c>
      <c r="Z537">
        <v>0</v>
      </c>
      <c r="AB537" s="5">
        <v>43313.333333333336</v>
      </c>
      <c r="AC537" s="5">
        <v>43336.666666666664</v>
      </c>
      <c r="AD537" s="5">
        <v>44032.333333333336</v>
      </c>
      <c r="AE537" s="5">
        <v>44032.333333333336</v>
      </c>
      <c r="AG537" s="5">
        <v>44044</v>
      </c>
      <c r="AH537" s="5">
        <v>44044</v>
      </c>
      <c r="AK537" s="5">
        <v>43344.333333333336</v>
      </c>
      <c r="AL537" s="5">
        <v>43383.666666666664</v>
      </c>
      <c r="AP537" t="s">
        <v>418</v>
      </c>
      <c r="AU537" t="s">
        <v>3134</v>
      </c>
      <c r="AV537" t="s">
        <v>3135</v>
      </c>
      <c r="AY537" t="s">
        <v>37</v>
      </c>
      <c r="AZ537">
        <v>0</v>
      </c>
      <c r="BA537">
        <v>0</v>
      </c>
      <c r="BI537" s="5">
        <v>44048.176388888889</v>
      </c>
      <c r="BJ537" s="5">
        <v>44048.176388888889</v>
      </c>
      <c r="BK537" t="s">
        <v>778</v>
      </c>
      <c r="BL537" t="s">
        <v>778</v>
      </c>
      <c r="BN537" t="s">
        <v>37</v>
      </c>
    </row>
    <row r="538" spans="1:66" x14ac:dyDescent="0.2">
      <c r="A538">
        <v>3693095</v>
      </c>
      <c r="B538">
        <v>21883</v>
      </c>
      <c r="C538">
        <v>523948</v>
      </c>
      <c r="D538">
        <v>52895</v>
      </c>
      <c r="E538">
        <v>100</v>
      </c>
      <c r="F538" t="s">
        <v>37</v>
      </c>
      <c r="G538">
        <v>1</v>
      </c>
      <c r="H538" t="s">
        <v>37</v>
      </c>
      <c r="I538" t="s">
        <v>37</v>
      </c>
      <c r="J538" t="s">
        <v>775</v>
      </c>
      <c r="K538" t="s">
        <v>230</v>
      </c>
      <c r="L538" t="s">
        <v>226</v>
      </c>
      <c r="M538" t="s">
        <v>422</v>
      </c>
      <c r="N538" t="s">
        <v>3136</v>
      </c>
      <c r="O538" t="s">
        <v>3137</v>
      </c>
      <c r="S538">
        <v>0</v>
      </c>
      <c r="T538">
        <v>0</v>
      </c>
      <c r="U538">
        <v>0</v>
      </c>
      <c r="V538">
        <v>0</v>
      </c>
      <c r="W538">
        <v>512</v>
      </c>
      <c r="X538">
        <v>0</v>
      </c>
      <c r="Y538">
        <v>0</v>
      </c>
      <c r="Z538">
        <v>0</v>
      </c>
      <c r="AB538" s="5">
        <v>43161.333333333336</v>
      </c>
      <c r="AC538" s="5">
        <v>43175.666666666664</v>
      </c>
      <c r="AD538" s="5">
        <v>43970.333333333336</v>
      </c>
      <c r="AE538" s="5">
        <v>43970.333333333336</v>
      </c>
      <c r="AG538" s="5">
        <v>44044</v>
      </c>
      <c r="AH538" s="5">
        <v>44044</v>
      </c>
      <c r="AK538" s="5">
        <v>43087.333333333336</v>
      </c>
      <c r="AL538" s="5">
        <v>43150.666666666664</v>
      </c>
      <c r="AP538" t="s">
        <v>418</v>
      </c>
      <c r="AU538" t="s">
        <v>3138</v>
      </c>
      <c r="AV538" t="s">
        <v>3139</v>
      </c>
      <c r="AY538" t="s">
        <v>40</v>
      </c>
      <c r="AZ538">
        <v>0</v>
      </c>
      <c r="BA538">
        <v>0</v>
      </c>
      <c r="BI538" s="5">
        <v>44048.176388888889</v>
      </c>
      <c r="BJ538" s="5">
        <v>44048.176388888889</v>
      </c>
      <c r="BK538" t="s">
        <v>778</v>
      </c>
      <c r="BL538" t="s">
        <v>778</v>
      </c>
      <c r="BN538" t="s">
        <v>37</v>
      </c>
    </row>
    <row r="539" spans="1:66" x14ac:dyDescent="0.2">
      <c r="A539">
        <v>3693096</v>
      </c>
      <c r="B539">
        <v>21883</v>
      </c>
      <c r="C539">
        <v>523948</v>
      </c>
      <c r="D539">
        <v>52895</v>
      </c>
      <c r="E539">
        <v>100</v>
      </c>
      <c r="F539" t="s">
        <v>37</v>
      </c>
      <c r="G539">
        <v>1</v>
      </c>
      <c r="H539" t="s">
        <v>37</v>
      </c>
      <c r="I539" t="s">
        <v>37</v>
      </c>
      <c r="J539" t="s">
        <v>775</v>
      </c>
      <c r="K539" t="s">
        <v>230</v>
      </c>
      <c r="L539" t="s">
        <v>226</v>
      </c>
      <c r="M539" t="s">
        <v>422</v>
      </c>
      <c r="N539" t="s">
        <v>3140</v>
      </c>
      <c r="O539" t="s">
        <v>3141</v>
      </c>
      <c r="S539">
        <v>0</v>
      </c>
      <c r="T539">
        <v>0</v>
      </c>
      <c r="U539">
        <v>0</v>
      </c>
      <c r="V539">
        <v>0</v>
      </c>
      <c r="W539">
        <v>248</v>
      </c>
      <c r="X539">
        <v>0</v>
      </c>
      <c r="Y539">
        <v>0</v>
      </c>
      <c r="Z539">
        <v>0</v>
      </c>
      <c r="AB539" s="5">
        <v>43176.333333333336</v>
      </c>
      <c r="AC539" s="5">
        <v>43192.666666666664</v>
      </c>
      <c r="AD539" s="5">
        <v>43970.333333333336</v>
      </c>
      <c r="AE539" s="5">
        <v>43970.333333333336</v>
      </c>
      <c r="AG539" s="5">
        <v>44044</v>
      </c>
      <c r="AH539" s="5">
        <v>44044</v>
      </c>
      <c r="AK539" s="5">
        <v>43161.333333333336</v>
      </c>
      <c r="AL539" s="5">
        <v>43191.666666666664</v>
      </c>
      <c r="AP539" t="s">
        <v>418</v>
      </c>
      <c r="AU539" t="s">
        <v>3142</v>
      </c>
      <c r="AV539" t="s">
        <v>3143</v>
      </c>
      <c r="AY539" t="s">
        <v>40</v>
      </c>
      <c r="AZ539">
        <v>0</v>
      </c>
      <c r="BA539">
        <v>0</v>
      </c>
      <c r="BI539" s="5">
        <v>44048.176388888889</v>
      </c>
      <c r="BJ539" s="5">
        <v>44048.176388888889</v>
      </c>
      <c r="BK539" t="s">
        <v>778</v>
      </c>
      <c r="BL539" t="s">
        <v>778</v>
      </c>
      <c r="BN539" t="s">
        <v>37</v>
      </c>
    </row>
    <row r="540" spans="1:66" x14ac:dyDescent="0.2">
      <c r="A540">
        <v>3693097</v>
      </c>
      <c r="B540">
        <v>21883</v>
      </c>
      <c r="C540">
        <v>523947</v>
      </c>
      <c r="D540">
        <v>52895</v>
      </c>
      <c r="E540">
        <v>100</v>
      </c>
      <c r="F540" t="s">
        <v>37</v>
      </c>
      <c r="G540">
        <v>1</v>
      </c>
      <c r="H540" t="s">
        <v>37</v>
      </c>
      <c r="I540" t="s">
        <v>37</v>
      </c>
      <c r="J540" t="s">
        <v>775</v>
      </c>
      <c r="K540" t="s">
        <v>230</v>
      </c>
      <c r="L540" t="s">
        <v>226</v>
      </c>
      <c r="M540" t="s">
        <v>422</v>
      </c>
      <c r="N540" t="s">
        <v>3144</v>
      </c>
      <c r="O540" t="s">
        <v>3145</v>
      </c>
      <c r="S540">
        <v>0</v>
      </c>
      <c r="T540">
        <v>0</v>
      </c>
      <c r="U540">
        <v>0</v>
      </c>
      <c r="V540">
        <v>0</v>
      </c>
      <c r="W540">
        <v>664</v>
      </c>
      <c r="X540">
        <v>0</v>
      </c>
      <c r="Y540">
        <v>0</v>
      </c>
      <c r="Z540">
        <v>0</v>
      </c>
      <c r="AB540" s="5">
        <v>43160.333333333336</v>
      </c>
      <c r="AC540" s="5">
        <v>43231.666666666664</v>
      </c>
      <c r="AD540" s="5">
        <v>43970.333333333336</v>
      </c>
      <c r="AE540" s="5">
        <v>43970.333333333336</v>
      </c>
      <c r="AG540" s="5">
        <v>44044</v>
      </c>
      <c r="AH540" s="5">
        <v>44044</v>
      </c>
      <c r="AK540" s="5">
        <v>43160.333333333336</v>
      </c>
      <c r="AL540" s="5">
        <v>43242.666666666664</v>
      </c>
      <c r="AP540" t="s">
        <v>418</v>
      </c>
      <c r="AU540" t="s">
        <v>3146</v>
      </c>
      <c r="AV540" t="s">
        <v>3147</v>
      </c>
      <c r="AY540" t="s">
        <v>40</v>
      </c>
      <c r="AZ540">
        <v>0</v>
      </c>
      <c r="BA540">
        <v>0</v>
      </c>
      <c r="BI540" s="5">
        <v>44048.176388888889</v>
      </c>
      <c r="BJ540" s="5">
        <v>44048.176388888889</v>
      </c>
      <c r="BK540" t="s">
        <v>778</v>
      </c>
      <c r="BL540" t="s">
        <v>778</v>
      </c>
      <c r="BN540" t="s">
        <v>37</v>
      </c>
    </row>
    <row r="541" spans="1:66" x14ac:dyDescent="0.2">
      <c r="A541">
        <v>3693098</v>
      </c>
      <c r="B541">
        <v>21883</v>
      </c>
      <c r="C541">
        <v>523947</v>
      </c>
      <c r="D541">
        <v>52895</v>
      </c>
      <c r="E541">
        <v>100</v>
      </c>
      <c r="F541" t="s">
        <v>37</v>
      </c>
      <c r="G541">
        <v>1</v>
      </c>
      <c r="H541" t="s">
        <v>37</v>
      </c>
      <c r="I541" t="s">
        <v>37</v>
      </c>
      <c r="J541" t="s">
        <v>775</v>
      </c>
      <c r="K541" t="s">
        <v>230</v>
      </c>
      <c r="L541" t="s">
        <v>226</v>
      </c>
      <c r="M541" t="s">
        <v>422</v>
      </c>
      <c r="N541" t="s">
        <v>3148</v>
      </c>
      <c r="O541" t="s">
        <v>3149</v>
      </c>
      <c r="S541">
        <v>0</v>
      </c>
      <c r="T541">
        <v>0</v>
      </c>
      <c r="U541">
        <v>0</v>
      </c>
      <c r="V541">
        <v>0</v>
      </c>
      <c r="W541">
        <v>408</v>
      </c>
      <c r="X541">
        <v>0</v>
      </c>
      <c r="Y541">
        <v>0</v>
      </c>
      <c r="Z541">
        <v>0</v>
      </c>
      <c r="AB541" s="5">
        <v>43115.333333333336</v>
      </c>
      <c r="AC541" s="5">
        <v>43298.666666666664</v>
      </c>
      <c r="AD541" s="5">
        <v>44032.333333333336</v>
      </c>
      <c r="AE541" s="5">
        <v>44032.333333333336</v>
      </c>
      <c r="AG541" s="5">
        <v>44044</v>
      </c>
      <c r="AH541" s="5">
        <v>44044</v>
      </c>
      <c r="AK541" s="5">
        <v>43097.333333333336</v>
      </c>
      <c r="AL541" s="5">
        <v>43147.666666666664</v>
      </c>
      <c r="AP541" t="s">
        <v>418</v>
      </c>
      <c r="AU541" t="s">
        <v>3150</v>
      </c>
      <c r="AV541" t="s">
        <v>3151</v>
      </c>
      <c r="AY541" t="s">
        <v>37</v>
      </c>
      <c r="AZ541">
        <v>0</v>
      </c>
      <c r="BA541">
        <v>0</v>
      </c>
      <c r="BI541" s="5">
        <v>44048.176388888889</v>
      </c>
      <c r="BJ541" s="5">
        <v>44048.176388888889</v>
      </c>
      <c r="BK541" t="s">
        <v>778</v>
      </c>
      <c r="BL541" t="s">
        <v>778</v>
      </c>
      <c r="BN541" t="s">
        <v>37</v>
      </c>
    </row>
    <row r="542" spans="1:66" x14ac:dyDescent="0.2">
      <c r="A542">
        <v>3693099</v>
      </c>
      <c r="B542">
        <v>21883</v>
      </c>
      <c r="C542">
        <v>523947</v>
      </c>
      <c r="D542">
        <v>52895</v>
      </c>
      <c r="E542">
        <v>100</v>
      </c>
      <c r="F542" t="s">
        <v>37</v>
      </c>
      <c r="G542">
        <v>1</v>
      </c>
      <c r="H542" t="s">
        <v>37</v>
      </c>
      <c r="I542" t="s">
        <v>37</v>
      </c>
      <c r="J542" t="s">
        <v>775</v>
      </c>
      <c r="K542" t="s">
        <v>230</v>
      </c>
      <c r="L542" t="s">
        <v>226</v>
      </c>
      <c r="M542" t="s">
        <v>422</v>
      </c>
      <c r="N542" t="s">
        <v>3152</v>
      </c>
      <c r="O542" t="s">
        <v>3153</v>
      </c>
      <c r="S542">
        <v>0</v>
      </c>
      <c r="T542">
        <v>0</v>
      </c>
      <c r="U542">
        <v>0</v>
      </c>
      <c r="V542">
        <v>0</v>
      </c>
      <c r="W542">
        <v>464</v>
      </c>
      <c r="X542">
        <v>0</v>
      </c>
      <c r="Y542">
        <v>0</v>
      </c>
      <c r="Z542">
        <v>0</v>
      </c>
      <c r="AB542" s="5">
        <v>43160.333333333336</v>
      </c>
      <c r="AC542" s="5">
        <v>43185.666666666664</v>
      </c>
      <c r="AD542" s="5">
        <v>43970.333333333336</v>
      </c>
      <c r="AE542" s="5">
        <v>43970.333333333336</v>
      </c>
      <c r="AG542" s="5">
        <v>44044</v>
      </c>
      <c r="AH542" s="5">
        <v>44044</v>
      </c>
      <c r="AK542" s="5">
        <v>43160.333333333336</v>
      </c>
      <c r="AL542" s="5">
        <v>43217.666666666664</v>
      </c>
      <c r="AP542" t="s">
        <v>418</v>
      </c>
      <c r="AU542" t="s">
        <v>3154</v>
      </c>
      <c r="AV542" t="s">
        <v>3155</v>
      </c>
      <c r="AY542" t="s">
        <v>40</v>
      </c>
      <c r="AZ542">
        <v>0</v>
      </c>
      <c r="BA542">
        <v>0</v>
      </c>
      <c r="BI542" s="5">
        <v>44048.176388888889</v>
      </c>
      <c r="BJ542" s="5">
        <v>44048.176388888889</v>
      </c>
      <c r="BK542" t="s">
        <v>778</v>
      </c>
      <c r="BL542" t="s">
        <v>778</v>
      </c>
      <c r="BN542" t="s">
        <v>37</v>
      </c>
    </row>
    <row r="543" spans="1:66" x14ac:dyDescent="0.2">
      <c r="A543">
        <v>3693100</v>
      </c>
      <c r="B543">
        <v>21883</v>
      </c>
      <c r="C543">
        <v>523947</v>
      </c>
      <c r="D543">
        <v>52895</v>
      </c>
      <c r="E543">
        <v>100</v>
      </c>
      <c r="F543" t="s">
        <v>37</v>
      </c>
      <c r="G543">
        <v>1</v>
      </c>
      <c r="H543" t="s">
        <v>37</v>
      </c>
      <c r="I543" t="s">
        <v>37</v>
      </c>
      <c r="J543" t="s">
        <v>775</v>
      </c>
      <c r="K543" t="s">
        <v>230</v>
      </c>
      <c r="L543" t="s">
        <v>226</v>
      </c>
      <c r="M543" t="s">
        <v>422</v>
      </c>
      <c r="N543" t="s">
        <v>3156</v>
      </c>
      <c r="O543" t="s">
        <v>3157</v>
      </c>
      <c r="S543">
        <v>0</v>
      </c>
      <c r="T543">
        <v>0</v>
      </c>
      <c r="U543">
        <v>0</v>
      </c>
      <c r="V543">
        <v>0</v>
      </c>
      <c r="W543">
        <v>952</v>
      </c>
      <c r="X543">
        <v>0</v>
      </c>
      <c r="Y543">
        <v>0</v>
      </c>
      <c r="Z543">
        <v>0</v>
      </c>
      <c r="AB543" s="5">
        <v>43276.333333333336</v>
      </c>
      <c r="AC543" s="5">
        <v>43298.666666666664</v>
      </c>
      <c r="AD543" s="5">
        <v>44032.333333333336</v>
      </c>
      <c r="AE543" s="5">
        <v>44032.333333333336</v>
      </c>
      <c r="AG543" s="5">
        <v>44044</v>
      </c>
      <c r="AH543" s="5">
        <v>44044</v>
      </c>
      <c r="AK543" s="5">
        <v>43282.333333333336</v>
      </c>
      <c r="AL543" s="5">
        <v>43400.666666666664</v>
      </c>
      <c r="AP543" t="s">
        <v>418</v>
      </c>
      <c r="AU543" t="s">
        <v>3158</v>
      </c>
      <c r="AV543" t="s">
        <v>3159</v>
      </c>
      <c r="AY543" t="s">
        <v>37</v>
      </c>
      <c r="AZ543">
        <v>0</v>
      </c>
      <c r="BA543">
        <v>0</v>
      </c>
      <c r="BI543" s="5">
        <v>44048.176388888889</v>
      </c>
      <c r="BJ543" s="5">
        <v>44048.176388888889</v>
      </c>
      <c r="BK543" t="s">
        <v>778</v>
      </c>
      <c r="BL543" t="s">
        <v>778</v>
      </c>
      <c r="BN543" t="s">
        <v>37</v>
      </c>
    </row>
    <row r="544" spans="1:66" x14ac:dyDescent="0.2">
      <c r="A544">
        <v>3693101</v>
      </c>
      <c r="B544">
        <v>21883</v>
      </c>
      <c r="C544">
        <v>523947</v>
      </c>
      <c r="D544">
        <v>52895</v>
      </c>
      <c r="E544">
        <v>100</v>
      </c>
      <c r="F544" t="s">
        <v>37</v>
      </c>
      <c r="G544">
        <v>1</v>
      </c>
      <c r="H544" t="s">
        <v>37</v>
      </c>
      <c r="I544" t="s">
        <v>37</v>
      </c>
      <c r="J544" t="s">
        <v>775</v>
      </c>
      <c r="K544" t="s">
        <v>230</v>
      </c>
      <c r="L544" t="s">
        <v>226</v>
      </c>
      <c r="M544" t="s">
        <v>422</v>
      </c>
      <c r="N544" t="s">
        <v>3160</v>
      </c>
      <c r="O544" t="s">
        <v>3161</v>
      </c>
      <c r="S544">
        <v>0</v>
      </c>
      <c r="T544">
        <v>0</v>
      </c>
      <c r="U544">
        <v>0</v>
      </c>
      <c r="V544">
        <v>0</v>
      </c>
      <c r="W544">
        <v>568</v>
      </c>
      <c r="X544">
        <v>0</v>
      </c>
      <c r="Y544">
        <v>0</v>
      </c>
      <c r="Z544">
        <v>0</v>
      </c>
      <c r="AB544" s="5">
        <v>43249.333333333336</v>
      </c>
      <c r="AC544" s="5">
        <v>43278.666666666664</v>
      </c>
      <c r="AD544" s="5">
        <v>43970.333333333336</v>
      </c>
      <c r="AE544" s="5">
        <v>43970.333333333336</v>
      </c>
      <c r="AG544" s="5">
        <v>44044</v>
      </c>
      <c r="AH544" s="5">
        <v>44044</v>
      </c>
      <c r="AK544" s="5">
        <v>43282.333333333336</v>
      </c>
      <c r="AL544" s="5">
        <v>43352.666666666664</v>
      </c>
      <c r="AP544" t="s">
        <v>418</v>
      </c>
      <c r="AU544" t="s">
        <v>3162</v>
      </c>
      <c r="AV544" t="s">
        <v>3163</v>
      </c>
      <c r="AY544" t="s">
        <v>40</v>
      </c>
      <c r="AZ544">
        <v>0</v>
      </c>
      <c r="BA544">
        <v>0</v>
      </c>
      <c r="BI544" s="5">
        <v>44048.176388888889</v>
      </c>
      <c r="BJ544" s="5">
        <v>44048.176388888889</v>
      </c>
      <c r="BK544" t="s">
        <v>778</v>
      </c>
      <c r="BL544" t="s">
        <v>778</v>
      </c>
      <c r="BN544" t="s">
        <v>37</v>
      </c>
    </row>
    <row r="545" spans="1:66" x14ac:dyDescent="0.2">
      <c r="A545">
        <v>3693102</v>
      </c>
      <c r="B545">
        <v>21883</v>
      </c>
      <c r="C545">
        <v>523947</v>
      </c>
      <c r="D545">
        <v>52895</v>
      </c>
      <c r="E545">
        <v>100</v>
      </c>
      <c r="F545" t="s">
        <v>37</v>
      </c>
      <c r="G545">
        <v>1</v>
      </c>
      <c r="H545" t="s">
        <v>37</v>
      </c>
      <c r="I545" t="s">
        <v>37</v>
      </c>
      <c r="J545" t="s">
        <v>775</v>
      </c>
      <c r="K545" t="s">
        <v>230</v>
      </c>
      <c r="L545" t="s">
        <v>226</v>
      </c>
      <c r="M545" t="s">
        <v>422</v>
      </c>
      <c r="N545" t="s">
        <v>3164</v>
      </c>
      <c r="O545" t="s">
        <v>3165</v>
      </c>
      <c r="S545">
        <v>0</v>
      </c>
      <c r="T545">
        <v>0</v>
      </c>
      <c r="U545">
        <v>0</v>
      </c>
      <c r="V545">
        <v>0</v>
      </c>
      <c r="W545">
        <v>960</v>
      </c>
      <c r="X545">
        <v>0</v>
      </c>
      <c r="Y545">
        <v>0</v>
      </c>
      <c r="Z545">
        <v>0</v>
      </c>
      <c r="AB545" s="5">
        <v>43158.333333333336</v>
      </c>
      <c r="AC545" s="5">
        <v>43173.666666666664</v>
      </c>
      <c r="AD545" s="5">
        <v>43970.333333333336</v>
      </c>
      <c r="AE545" s="5">
        <v>43970.333333333336</v>
      </c>
      <c r="AG545" s="5">
        <v>44044</v>
      </c>
      <c r="AH545" s="5">
        <v>44044</v>
      </c>
      <c r="AK545" s="5">
        <v>43160.333333333336</v>
      </c>
      <c r="AL545" s="5">
        <v>43279.666666666664</v>
      </c>
      <c r="AP545" t="s">
        <v>418</v>
      </c>
      <c r="AU545" t="s">
        <v>3166</v>
      </c>
      <c r="AV545" t="s">
        <v>3167</v>
      </c>
      <c r="AY545" t="s">
        <v>40</v>
      </c>
      <c r="AZ545">
        <v>0</v>
      </c>
      <c r="BA545">
        <v>0</v>
      </c>
      <c r="BI545" s="5">
        <v>44048.176388888889</v>
      </c>
      <c r="BJ545" s="5">
        <v>44048.176388888889</v>
      </c>
      <c r="BK545" t="s">
        <v>778</v>
      </c>
      <c r="BL545" t="s">
        <v>778</v>
      </c>
      <c r="BN545" t="s">
        <v>37</v>
      </c>
    </row>
    <row r="546" spans="1:66" x14ac:dyDescent="0.2">
      <c r="A546">
        <v>3693103</v>
      </c>
      <c r="B546">
        <v>21883</v>
      </c>
      <c r="C546">
        <v>523945</v>
      </c>
      <c r="D546">
        <v>52895</v>
      </c>
      <c r="E546">
        <v>100</v>
      </c>
      <c r="F546" t="s">
        <v>37</v>
      </c>
      <c r="G546">
        <v>1</v>
      </c>
      <c r="H546" t="s">
        <v>37</v>
      </c>
      <c r="I546" t="s">
        <v>37</v>
      </c>
      <c r="J546" t="s">
        <v>775</v>
      </c>
      <c r="K546" t="s">
        <v>230</v>
      </c>
      <c r="L546" t="s">
        <v>226</v>
      </c>
      <c r="M546" t="s">
        <v>422</v>
      </c>
      <c r="N546" t="s">
        <v>3168</v>
      </c>
      <c r="O546" t="s">
        <v>3169</v>
      </c>
      <c r="S546">
        <v>0</v>
      </c>
      <c r="T546">
        <v>0</v>
      </c>
      <c r="U546">
        <v>0</v>
      </c>
      <c r="V546">
        <v>0</v>
      </c>
      <c r="W546">
        <v>552</v>
      </c>
      <c r="X546">
        <v>0</v>
      </c>
      <c r="Y546">
        <v>0</v>
      </c>
      <c r="Z546">
        <v>0</v>
      </c>
      <c r="AB546" s="5">
        <v>43040.333333333336</v>
      </c>
      <c r="AC546" s="5">
        <v>43076.666666666664</v>
      </c>
      <c r="AD546" s="5">
        <v>44273.666666666664</v>
      </c>
      <c r="AE546" s="5">
        <v>44273.666666666664</v>
      </c>
      <c r="AG546" s="5">
        <v>44044</v>
      </c>
      <c r="AH546" s="5">
        <v>44044</v>
      </c>
      <c r="AK546" s="5">
        <v>43090.333333333336</v>
      </c>
      <c r="AL546" s="5">
        <v>43158.666666666664</v>
      </c>
      <c r="AP546" t="s">
        <v>418</v>
      </c>
      <c r="AU546" t="s">
        <v>3170</v>
      </c>
      <c r="AV546" t="s">
        <v>3171</v>
      </c>
      <c r="AY546" t="s">
        <v>37</v>
      </c>
      <c r="AZ546">
        <v>0</v>
      </c>
      <c r="BA546">
        <v>0</v>
      </c>
      <c r="BI546" s="5">
        <v>44048.176388888889</v>
      </c>
      <c r="BJ546" s="5">
        <v>44048.176388888889</v>
      </c>
      <c r="BK546" t="s">
        <v>778</v>
      </c>
      <c r="BL546" t="s">
        <v>778</v>
      </c>
      <c r="BN546" t="s">
        <v>37</v>
      </c>
    </row>
    <row r="547" spans="1:66" x14ac:dyDescent="0.2">
      <c r="A547">
        <v>3693104</v>
      </c>
      <c r="B547">
        <v>21883</v>
      </c>
      <c r="C547">
        <v>523945</v>
      </c>
      <c r="D547">
        <v>52895</v>
      </c>
      <c r="E547">
        <v>100</v>
      </c>
      <c r="F547" t="s">
        <v>37</v>
      </c>
      <c r="G547">
        <v>1</v>
      </c>
      <c r="H547" t="s">
        <v>37</v>
      </c>
      <c r="I547" t="s">
        <v>37</v>
      </c>
      <c r="J547" t="s">
        <v>775</v>
      </c>
      <c r="K547" t="s">
        <v>230</v>
      </c>
      <c r="L547" t="s">
        <v>226</v>
      </c>
      <c r="M547" t="s">
        <v>422</v>
      </c>
      <c r="N547" t="s">
        <v>3172</v>
      </c>
      <c r="O547" t="s">
        <v>3173</v>
      </c>
      <c r="S547">
        <v>0</v>
      </c>
      <c r="T547">
        <v>0</v>
      </c>
      <c r="U547">
        <v>0</v>
      </c>
      <c r="V547">
        <v>0</v>
      </c>
      <c r="W547">
        <v>456</v>
      </c>
      <c r="X547">
        <v>0</v>
      </c>
      <c r="Y547">
        <v>0</v>
      </c>
      <c r="Z547">
        <v>0</v>
      </c>
      <c r="AB547" s="5">
        <v>43132.333333333336</v>
      </c>
      <c r="AC547" s="5">
        <v>43173.666666666664</v>
      </c>
      <c r="AD547" s="5">
        <v>44273.666666666664</v>
      </c>
      <c r="AE547" s="5">
        <v>44273.666666666664</v>
      </c>
      <c r="AG547" s="5">
        <v>44044</v>
      </c>
      <c r="AH547" s="5">
        <v>44044</v>
      </c>
      <c r="AK547" s="5">
        <v>43159.333333333336</v>
      </c>
      <c r="AL547" s="5">
        <v>43215.666666666664</v>
      </c>
      <c r="AP547" t="s">
        <v>418</v>
      </c>
      <c r="AU547" t="e" cm="1">
        <f t="array" ref="AU547">+apYixao60CEvBBJjdDVfg</f>
        <v>#NAME?</v>
      </c>
      <c r="AV547" t="s">
        <v>3174</v>
      </c>
      <c r="AY547" t="s">
        <v>37</v>
      </c>
      <c r="AZ547">
        <v>0</v>
      </c>
      <c r="BA547">
        <v>0</v>
      </c>
      <c r="BI547" s="5">
        <v>44048.176388888889</v>
      </c>
      <c r="BJ547" s="5">
        <v>44048.176388888889</v>
      </c>
      <c r="BK547" t="s">
        <v>778</v>
      </c>
      <c r="BL547" t="s">
        <v>778</v>
      </c>
      <c r="BN547" t="s">
        <v>37</v>
      </c>
    </row>
    <row r="548" spans="1:66" x14ac:dyDescent="0.2">
      <c r="A548">
        <v>3693105</v>
      </c>
      <c r="B548">
        <v>21883</v>
      </c>
      <c r="C548">
        <v>523945</v>
      </c>
      <c r="D548">
        <v>52895</v>
      </c>
      <c r="E548">
        <v>100</v>
      </c>
      <c r="F548" t="s">
        <v>37</v>
      </c>
      <c r="G548">
        <v>1</v>
      </c>
      <c r="H548" t="s">
        <v>37</v>
      </c>
      <c r="I548" t="s">
        <v>37</v>
      </c>
      <c r="J548" t="s">
        <v>775</v>
      </c>
      <c r="K548" t="s">
        <v>230</v>
      </c>
      <c r="L548" t="s">
        <v>226</v>
      </c>
      <c r="M548" t="s">
        <v>422</v>
      </c>
      <c r="N548" t="s">
        <v>3175</v>
      </c>
      <c r="O548" t="s">
        <v>3176</v>
      </c>
      <c r="S548">
        <v>0</v>
      </c>
      <c r="T548">
        <v>0</v>
      </c>
      <c r="U548">
        <v>0</v>
      </c>
      <c r="V548">
        <v>0</v>
      </c>
      <c r="W548">
        <v>120</v>
      </c>
      <c r="X548">
        <v>0</v>
      </c>
      <c r="Y548">
        <v>0</v>
      </c>
      <c r="Z548">
        <v>0</v>
      </c>
      <c r="AB548" s="5">
        <v>43174.333333333336</v>
      </c>
      <c r="AC548" s="5">
        <v>43187.666666666664</v>
      </c>
      <c r="AD548" s="5">
        <v>44273.666666666664</v>
      </c>
      <c r="AE548" s="5">
        <v>44273.666666666664</v>
      </c>
      <c r="AG548" s="5">
        <v>44044</v>
      </c>
      <c r="AH548" s="5">
        <v>44044</v>
      </c>
      <c r="AK548" s="5">
        <v>43177.333333333336</v>
      </c>
      <c r="AL548" s="5">
        <v>43191.666666666664</v>
      </c>
      <c r="AP548" t="s">
        <v>418</v>
      </c>
      <c r="AU548" t="s">
        <v>3177</v>
      </c>
      <c r="AV548" t="s">
        <v>3178</v>
      </c>
      <c r="AY548" t="s">
        <v>37</v>
      </c>
      <c r="AZ548">
        <v>0</v>
      </c>
      <c r="BA548">
        <v>0</v>
      </c>
      <c r="BI548" s="5">
        <v>44048.176388888889</v>
      </c>
      <c r="BJ548" s="5">
        <v>44048.176388888889</v>
      </c>
      <c r="BK548" t="s">
        <v>778</v>
      </c>
      <c r="BL548" t="s">
        <v>778</v>
      </c>
      <c r="BN548" t="s">
        <v>37</v>
      </c>
    </row>
    <row r="549" spans="1:66" x14ac:dyDescent="0.2">
      <c r="A549">
        <v>3693106</v>
      </c>
      <c r="B549">
        <v>21883</v>
      </c>
      <c r="C549">
        <v>523943</v>
      </c>
      <c r="D549">
        <v>52896</v>
      </c>
      <c r="E549">
        <v>100</v>
      </c>
      <c r="F549" t="s">
        <v>37</v>
      </c>
      <c r="G549">
        <v>1</v>
      </c>
      <c r="H549" t="s">
        <v>37</v>
      </c>
      <c r="I549" t="s">
        <v>37</v>
      </c>
      <c r="J549" t="s">
        <v>775</v>
      </c>
      <c r="K549" t="s">
        <v>230</v>
      </c>
      <c r="L549" t="s">
        <v>226</v>
      </c>
      <c r="M549" t="s">
        <v>422</v>
      </c>
      <c r="N549" t="s">
        <v>3179</v>
      </c>
      <c r="O549" t="s">
        <v>3180</v>
      </c>
      <c r="S549">
        <v>0</v>
      </c>
      <c r="T549">
        <v>0</v>
      </c>
      <c r="U549">
        <v>0</v>
      </c>
      <c r="V549">
        <v>0</v>
      </c>
      <c r="W549">
        <v>568</v>
      </c>
      <c r="X549">
        <v>0</v>
      </c>
      <c r="Y549">
        <v>0</v>
      </c>
      <c r="Z549">
        <v>0</v>
      </c>
      <c r="AB549" s="5">
        <v>43221.333333333336</v>
      </c>
      <c r="AC549" s="5">
        <v>43336.666666666664</v>
      </c>
      <c r="AD549" s="5">
        <v>44082.333333333336</v>
      </c>
      <c r="AE549" s="5">
        <v>44082.333333333336</v>
      </c>
      <c r="AG549" s="5">
        <v>44044</v>
      </c>
      <c r="AH549" s="5">
        <v>44044</v>
      </c>
      <c r="AK549" s="5">
        <v>43046.333333333336</v>
      </c>
      <c r="AL549" s="5">
        <v>43152.666666666664</v>
      </c>
      <c r="AP549" t="s">
        <v>418</v>
      </c>
      <c r="AU549" t="s">
        <v>3181</v>
      </c>
      <c r="AV549" t="s">
        <v>3182</v>
      </c>
      <c r="AY549" t="s">
        <v>37</v>
      </c>
      <c r="AZ549">
        <v>0</v>
      </c>
      <c r="BA549">
        <v>0</v>
      </c>
      <c r="BI549" s="5">
        <v>44048.176388888889</v>
      </c>
      <c r="BJ549" s="5">
        <v>44048.176388888889</v>
      </c>
      <c r="BK549" t="s">
        <v>778</v>
      </c>
      <c r="BL549" t="s">
        <v>778</v>
      </c>
      <c r="BN549" t="s">
        <v>37</v>
      </c>
    </row>
    <row r="550" spans="1:66" x14ac:dyDescent="0.2">
      <c r="A550">
        <v>3693107</v>
      </c>
      <c r="B550">
        <v>21883</v>
      </c>
      <c r="C550">
        <v>523943</v>
      </c>
      <c r="D550">
        <v>52896</v>
      </c>
      <c r="E550">
        <v>100</v>
      </c>
      <c r="F550" t="s">
        <v>37</v>
      </c>
      <c r="G550">
        <v>1</v>
      </c>
      <c r="H550" t="s">
        <v>37</v>
      </c>
      <c r="I550" t="s">
        <v>37</v>
      </c>
      <c r="J550" t="s">
        <v>775</v>
      </c>
      <c r="K550" t="s">
        <v>230</v>
      </c>
      <c r="L550" t="s">
        <v>226</v>
      </c>
      <c r="M550" t="s">
        <v>422</v>
      </c>
      <c r="N550" t="s">
        <v>3183</v>
      </c>
      <c r="O550" t="s">
        <v>3184</v>
      </c>
      <c r="S550">
        <v>0</v>
      </c>
      <c r="T550">
        <v>0</v>
      </c>
      <c r="U550">
        <v>0</v>
      </c>
      <c r="V550">
        <v>0</v>
      </c>
      <c r="W550">
        <v>120</v>
      </c>
      <c r="X550">
        <v>0</v>
      </c>
      <c r="Y550">
        <v>0</v>
      </c>
      <c r="Z550">
        <v>0</v>
      </c>
      <c r="AB550" s="5">
        <v>43319</v>
      </c>
      <c r="AC550" s="5">
        <v>43336</v>
      </c>
      <c r="AD550" s="5">
        <v>44082.333333333336</v>
      </c>
      <c r="AE550" s="5">
        <v>44082.333333333336</v>
      </c>
      <c r="AG550" s="5">
        <v>44044</v>
      </c>
      <c r="AH550" s="5">
        <v>44044</v>
      </c>
      <c r="AK550" s="5">
        <v>43525.333333333336</v>
      </c>
      <c r="AL550" s="5">
        <v>43545.666666666664</v>
      </c>
      <c r="AP550" t="s">
        <v>418</v>
      </c>
      <c r="AU550" t="s">
        <v>3185</v>
      </c>
      <c r="AV550" t="s">
        <v>3186</v>
      </c>
      <c r="AY550" t="s">
        <v>37</v>
      </c>
      <c r="AZ550">
        <v>0</v>
      </c>
      <c r="BA550">
        <v>0</v>
      </c>
      <c r="BI550" s="5">
        <v>44048.176388888889</v>
      </c>
      <c r="BJ550" s="5">
        <v>44048.176388888889</v>
      </c>
      <c r="BK550" t="s">
        <v>778</v>
      </c>
      <c r="BL550" t="s">
        <v>778</v>
      </c>
      <c r="BN550" t="s">
        <v>37</v>
      </c>
    </row>
    <row r="551" spans="1:66" x14ac:dyDescent="0.2">
      <c r="A551">
        <v>3693108</v>
      </c>
      <c r="B551">
        <v>21883</v>
      </c>
      <c r="C551">
        <v>523943</v>
      </c>
      <c r="D551">
        <v>52896</v>
      </c>
      <c r="E551">
        <v>100</v>
      </c>
      <c r="F551" t="s">
        <v>37</v>
      </c>
      <c r="G551">
        <v>1</v>
      </c>
      <c r="H551" t="s">
        <v>37</v>
      </c>
      <c r="I551" t="s">
        <v>37</v>
      </c>
      <c r="J551" t="s">
        <v>775</v>
      </c>
      <c r="K551" t="s">
        <v>230</v>
      </c>
      <c r="L551" t="s">
        <v>226</v>
      </c>
      <c r="M551" t="s">
        <v>422</v>
      </c>
      <c r="N551" t="s">
        <v>3187</v>
      </c>
      <c r="O551" t="s">
        <v>3188</v>
      </c>
      <c r="S551">
        <v>0</v>
      </c>
      <c r="T551">
        <v>0</v>
      </c>
      <c r="U551">
        <v>0</v>
      </c>
      <c r="V551">
        <v>0</v>
      </c>
      <c r="W551">
        <v>120</v>
      </c>
      <c r="X551">
        <v>0</v>
      </c>
      <c r="Y551">
        <v>0</v>
      </c>
      <c r="Z551">
        <v>0</v>
      </c>
      <c r="AB551" s="5">
        <v>43500</v>
      </c>
      <c r="AC551" s="5">
        <v>43566</v>
      </c>
      <c r="AD551" s="5">
        <v>44082.333333333336</v>
      </c>
      <c r="AE551" s="5">
        <v>44082.333333333336</v>
      </c>
      <c r="AG551" s="5">
        <v>44044</v>
      </c>
      <c r="AH551" s="5">
        <v>44044</v>
      </c>
      <c r="AK551" s="5">
        <v>43619.333333333336</v>
      </c>
      <c r="AL551" s="5">
        <v>43637.666666666664</v>
      </c>
      <c r="AP551" t="s">
        <v>418</v>
      </c>
      <c r="AU551" t="s">
        <v>3189</v>
      </c>
      <c r="AV551" t="s">
        <v>3190</v>
      </c>
      <c r="AY551" t="s">
        <v>37</v>
      </c>
      <c r="AZ551">
        <v>0</v>
      </c>
      <c r="BA551">
        <v>0</v>
      </c>
      <c r="BI551" s="5">
        <v>44048.176388888889</v>
      </c>
      <c r="BJ551" s="5">
        <v>44048.176388888889</v>
      </c>
      <c r="BK551" t="s">
        <v>778</v>
      </c>
      <c r="BL551" t="s">
        <v>778</v>
      </c>
      <c r="BN551" t="s">
        <v>37</v>
      </c>
    </row>
    <row r="552" spans="1:66" x14ac:dyDescent="0.2">
      <c r="A552">
        <v>3693109</v>
      </c>
      <c r="B552">
        <v>21883</v>
      </c>
      <c r="C552">
        <v>523942</v>
      </c>
      <c r="D552">
        <v>52896</v>
      </c>
      <c r="E552">
        <v>100</v>
      </c>
      <c r="F552" t="s">
        <v>37</v>
      </c>
      <c r="G552">
        <v>1</v>
      </c>
      <c r="H552" t="s">
        <v>37</v>
      </c>
      <c r="I552" t="s">
        <v>37</v>
      </c>
      <c r="J552" t="s">
        <v>775</v>
      </c>
      <c r="K552" t="s">
        <v>230</v>
      </c>
      <c r="L552" t="s">
        <v>226</v>
      </c>
      <c r="M552" t="s">
        <v>422</v>
      </c>
      <c r="N552" t="s">
        <v>3191</v>
      </c>
      <c r="O552" t="s">
        <v>3192</v>
      </c>
      <c r="S552">
        <v>0</v>
      </c>
      <c r="T552">
        <v>0</v>
      </c>
      <c r="U552">
        <v>0</v>
      </c>
      <c r="V552">
        <v>0</v>
      </c>
      <c r="W552">
        <v>120</v>
      </c>
      <c r="X552">
        <v>0</v>
      </c>
      <c r="Y552">
        <v>0</v>
      </c>
      <c r="Z552">
        <v>0</v>
      </c>
      <c r="AB552" s="5">
        <v>43283.333333333336</v>
      </c>
      <c r="AC552" s="5">
        <v>43336</v>
      </c>
      <c r="AD552" s="5">
        <v>44032.333333333336</v>
      </c>
      <c r="AE552" s="5">
        <v>44032.333333333336</v>
      </c>
      <c r="AG552" s="5">
        <v>44044</v>
      </c>
      <c r="AH552" s="5">
        <v>44044</v>
      </c>
      <c r="AK552" s="5">
        <v>43388.333333333336</v>
      </c>
      <c r="AL552" s="5">
        <v>43406.666666666664</v>
      </c>
      <c r="AP552" t="s">
        <v>418</v>
      </c>
      <c r="AU552" t="s">
        <v>3193</v>
      </c>
      <c r="AV552" t="s">
        <v>3194</v>
      </c>
      <c r="AY552" t="s">
        <v>37</v>
      </c>
      <c r="AZ552">
        <v>0</v>
      </c>
      <c r="BA552">
        <v>0</v>
      </c>
      <c r="BI552" s="5">
        <v>44048.176388888889</v>
      </c>
      <c r="BJ552" s="5">
        <v>44048.176388888889</v>
      </c>
      <c r="BK552" t="s">
        <v>778</v>
      </c>
      <c r="BL552" t="s">
        <v>778</v>
      </c>
      <c r="BN552" t="s">
        <v>37</v>
      </c>
    </row>
    <row r="553" spans="1:66" x14ac:dyDescent="0.2">
      <c r="A553">
        <v>3693110</v>
      </c>
      <c r="B553">
        <v>21883</v>
      </c>
      <c r="C553">
        <v>523942</v>
      </c>
      <c r="D553">
        <v>52896</v>
      </c>
      <c r="E553">
        <v>100</v>
      </c>
      <c r="F553" t="s">
        <v>37</v>
      </c>
      <c r="G553">
        <v>1</v>
      </c>
      <c r="H553" t="s">
        <v>37</v>
      </c>
      <c r="I553" t="s">
        <v>37</v>
      </c>
      <c r="J553" t="s">
        <v>775</v>
      </c>
      <c r="K553" t="s">
        <v>230</v>
      </c>
      <c r="L553" t="s">
        <v>226</v>
      </c>
      <c r="M553" t="s">
        <v>422</v>
      </c>
      <c r="N553" t="s">
        <v>3195</v>
      </c>
      <c r="O553" t="s">
        <v>3196</v>
      </c>
      <c r="S553">
        <v>0</v>
      </c>
      <c r="T553">
        <v>0</v>
      </c>
      <c r="U553">
        <v>0</v>
      </c>
      <c r="V553">
        <v>0</v>
      </c>
      <c r="W553">
        <v>120</v>
      </c>
      <c r="X553">
        <v>0</v>
      </c>
      <c r="Y553">
        <v>0</v>
      </c>
      <c r="Z553">
        <v>0</v>
      </c>
      <c r="AB553" s="5">
        <v>43434</v>
      </c>
      <c r="AC553" s="5">
        <v>43440</v>
      </c>
      <c r="AD553" s="5">
        <v>44032.333333333336</v>
      </c>
      <c r="AE553" s="5">
        <v>44032.333333333336</v>
      </c>
      <c r="AG553" s="5">
        <v>44044</v>
      </c>
      <c r="AH553" s="5">
        <v>44044</v>
      </c>
      <c r="AK553" s="5">
        <v>43518.333333333336</v>
      </c>
      <c r="AL553" s="5">
        <v>43538.666666666664</v>
      </c>
      <c r="AP553" t="s">
        <v>418</v>
      </c>
      <c r="AU553" t="s">
        <v>3197</v>
      </c>
      <c r="AV553" t="s">
        <v>3198</v>
      </c>
      <c r="AY553" t="s">
        <v>37</v>
      </c>
      <c r="AZ553">
        <v>0</v>
      </c>
      <c r="BA553">
        <v>0</v>
      </c>
      <c r="BI553" s="5">
        <v>44048.176388888889</v>
      </c>
      <c r="BJ553" s="5">
        <v>44048.176388888889</v>
      </c>
      <c r="BK553" t="s">
        <v>778</v>
      </c>
      <c r="BL553" t="s">
        <v>778</v>
      </c>
      <c r="BN553" t="s">
        <v>37</v>
      </c>
    </row>
    <row r="554" spans="1:66" x14ac:dyDescent="0.2">
      <c r="A554">
        <v>3693111</v>
      </c>
      <c r="B554">
        <v>21883</v>
      </c>
      <c r="C554">
        <v>523941</v>
      </c>
      <c r="D554">
        <v>52895</v>
      </c>
      <c r="E554">
        <v>100</v>
      </c>
      <c r="F554" t="s">
        <v>37</v>
      </c>
      <c r="G554">
        <v>1</v>
      </c>
      <c r="H554" t="s">
        <v>37</v>
      </c>
      <c r="I554" t="s">
        <v>37</v>
      </c>
      <c r="J554" t="s">
        <v>775</v>
      </c>
      <c r="K554" t="s">
        <v>230</v>
      </c>
      <c r="L554" t="s">
        <v>226</v>
      </c>
      <c r="M554" t="s">
        <v>422</v>
      </c>
      <c r="N554" t="s">
        <v>3199</v>
      </c>
      <c r="O554" t="s">
        <v>3200</v>
      </c>
      <c r="S554">
        <v>0</v>
      </c>
      <c r="T554">
        <v>0</v>
      </c>
      <c r="U554">
        <v>0</v>
      </c>
      <c r="V554">
        <v>0</v>
      </c>
      <c r="W554">
        <v>464</v>
      </c>
      <c r="X554">
        <v>0</v>
      </c>
      <c r="Y554">
        <v>0</v>
      </c>
      <c r="Z554">
        <v>0</v>
      </c>
      <c r="AB554" s="5">
        <v>43054.333333333336</v>
      </c>
      <c r="AC554" s="5">
        <v>43111.666666666664</v>
      </c>
      <c r="AD554" s="5">
        <v>44159.666666666664</v>
      </c>
      <c r="AE554" s="5">
        <v>44159.666666666664</v>
      </c>
      <c r="AG554" s="5">
        <v>44044</v>
      </c>
      <c r="AH554" s="5">
        <v>44044</v>
      </c>
      <c r="AK554" s="5">
        <v>43027.333333333336</v>
      </c>
      <c r="AL554" s="5">
        <v>43084.666666666664</v>
      </c>
      <c r="AP554" t="s">
        <v>418</v>
      </c>
      <c r="AU554" t="s">
        <v>3201</v>
      </c>
      <c r="AV554" t="s">
        <v>3202</v>
      </c>
      <c r="AY554" t="s">
        <v>37</v>
      </c>
      <c r="AZ554">
        <v>0</v>
      </c>
      <c r="BA554">
        <v>0</v>
      </c>
      <c r="BI554" s="5">
        <v>44048.176388888889</v>
      </c>
      <c r="BJ554" s="5">
        <v>44048.176388888889</v>
      </c>
      <c r="BK554" t="s">
        <v>778</v>
      </c>
      <c r="BL554" t="s">
        <v>778</v>
      </c>
      <c r="BN554" t="s">
        <v>37</v>
      </c>
    </row>
    <row r="555" spans="1:66" x14ac:dyDescent="0.2">
      <c r="A555">
        <v>3693112</v>
      </c>
      <c r="B555">
        <v>21883</v>
      </c>
      <c r="C555">
        <v>523941</v>
      </c>
      <c r="D555">
        <v>52896</v>
      </c>
      <c r="E555">
        <v>100</v>
      </c>
      <c r="F555" t="s">
        <v>37</v>
      </c>
      <c r="G555">
        <v>1</v>
      </c>
      <c r="H555" t="s">
        <v>37</v>
      </c>
      <c r="I555" t="s">
        <v>37</v>
      </c>
      <c r="J555" t="s">
        <v>775</v>
      </c>
      <c r="K555" t="s">
        <v>230</v>
      </c>
      <c r="L555" t="s">
        <v>226</v>
      </c>
      <c r="M555" t="s">
        <v>422</v>
      </c>
      <c r="N555" t="s">
        <v>3203</v>
      </c>
      <c r="O555" t="s">
        <v>3204</v>
      </c>
      <c r="S555">
        <v>0</v>
      </c>
      <c r="T555">
        <v>0</v>
      </c>
      <c r="U555">
        <v>0</v>
      </c>
      <c r="V555">
        <v>0</v>
      </c>
      <c r="W555">
        <v>536</v>
      </c>
      <c r="X555">
        <v>0</v>
      </c>
      <c r="Y555">
        <v>0</v>
      </c>
      <c r="Z555">
        <v>0</v>
      </c>
      <c r="AB555" s="5">
        <v>43112.333333333336</v>
      </c>
      <c r="AC555" s="5">
        <v>43208.666666666664</v>
      </c>
      <c r="AD555" s="5">
        <v>44159.666666666664</v>
      </c>
      <c r="AE555" s="5">
        <v>44159.666666666664</v>
      </c>
      <c r="AG555" s="5">
        <v>44044</v>
      </c>
      <c r="AH555" s="5">
        <v>44044</v>
      </c>
      <c r="AK555" s="5">
        <v>43073.333333333336</v>
      </c>
      <c r="AL555" s="5">
        <v>43168.666666666664</v>
      </c>
      <c r="AP555" t="s">
        <v>418</v>
      </c>
      <c r="AU555" t="s">
        <v>3205</v>
      </c>
      <c r="AV555" t="s">
        <v>3206</v>
      </c>
      <c r="AY555" t="s">
        <v>37</v>
      </c>
      <c r="AZ555">
        <v>0</v>
      </c>
      <c r="BA555">
        <v>0</v>
      </c>
      <c r="BI555" s="5">
        <v>44048.176388888889</v>
      </c>
      <c r="BJ555" s="5">
        <v>44048.176388888889</v>
      </c>
      <c r="BK555" t="s">
        <v>778</v>
      </c>
      <c r="BL555" t="s">
        <v>778</v>
      </c>
      <c r="BN555" t="s">
        <v>37</v>
      </c>
    </row>
    <row r="556" spans="1:66" x14ac:dyDescent="0.2">
      <c r="A556">
        <v>3693113</v>
      </c>
      <c r="B556">
        <v>21883</v>
      </c>
      <c r="C556">
        <v>523941</v>
      </c>
      <c r="D556">
        <v>52896</v>
      </c>
      <c r="E556">
        <v>100</v>
      </c>
      <c r="F556" t="s">
        <v>37</v>
      </c>
      <c r="G556">
        <v>1</v>
      </c>
      <c r="H556" t="s">
        <v>37</v>
      </c>
      <c r="I556" t="s">
        <v>37</v>
      </c>
      <c r="J556" t="s">
        <v>775</v>
      </c>
      <c r="K556" t="s">
        <v>230</v>
      </c>
      <c r="L556" t="s">
        <v>226</v>
      </c>
      <c r="M556" t="s">
        <v>422</v>
      </c>
      <c r="N556" t="s">
        <v>3207</v>
      </c>
      <c r="O556" t="s">
        <v>3208</v>
      </c>
      <c r="S556">
        <v>0</v>
      </c>
      <c r="T556">
        <v>0</v>
      </c>
      <c r="U556">
        <v>0</v>
      </c>
      <c r="V556">
        <v>0</v>
      </c>
      <c r="W556">
        <v>456</v>
      </c>
      <c r="X556">
        <v>0</v>
      </c>
      <c r="Y556">
        <v>0</v>
      </c>
      <c r="Z556">
        <v>0</v>
      </c>
      <c r="AB556" s="5">
        <v>43209.333333333336</v>
      </c>
      <c r="AC556" s="5">
        <v>43217.666666666664</v>
      </c>
      <c r="AD556" s="5">
        <v>44159.666666666664</v>
      </c>
      <c r="AE556" s="5">
        <v>44159.666666666664</v>
      </c>
      <c r="AG556" s="5">
        <v>44044</v>
      </c>
      <c r="AH556" s="5">
        <v>44044</v>
      </c>
      <c r="AK556" s="5">
        <v>43231.333333333336</v>
      </c>
      <c r="AL556" s="5">
        <v>43313.666666666664</v>
      </c>
      <c r="AP556" t="s">
        <v>418</v>
      </c>
      <c r="AU556" t="s">
        <v>3209</v>
      </c>
      <c r="AV556" t="s">
        <v>3210</v>
      </c>
      <c r="AY556" t="s">
        <v>37</v>
      </c>
      <c r="AZ556">
        <v>0</v>
      </c>
      <c r="BA556">
        <v>0</v>
      </c>
      <c r="BI556" s="5">
        <v>44048.176388888889</v>
      </c>
      <c r="BJ556" s="5">
        <v>44048.176388888889</v>
      </c>
      <c r="BK556" t="s">
        <v>778</v>
      </c>
      <c r="BL556" t="s">
        <v>778</v>
      </c>
      <c r="BN556" t="s">
        <v>37</v>
      </c>
    </row>
    <row r="557" spans="1:66" x14ac:dyDescent="0.2">
      <c r="A557">
        <v>3693114</v>
      </c>
      <c r="B557">
        <v>21883</v>
      </c>
      <c r="C557">
        <v>523941</v>
      </c>
      <c r="D557">
        <v>52896</v>
      </c>
      <c r="E557">
        <v>100</v>
      </c>
      <c r="F557" t="s">
        <v>37</v>
      </c>
      <c r="G557">
        <v>1</v>
      </c>
      <c r="H557" t="s">
        <v>37</v>
      </c>
      <c r="I557" t="s">
        <v>37</v>
      </c>
      <c r="J557" t="s">
        <v>775</v>
      </c>
      <c r="K557" t="s">
        <v>230</v>
      </c>
      <c r="L557" t="s">
        <v>226</v>
      </c>
      <c r="M557" t="s">
        <v>422</v>
      </c>
      <c r="N557" t="s">
        <v>3211</v>
      </c>
      <c r="O557" t="s">
        <v>3212</v>
      </c>
      <c r="S557">
        <v>0</v>
      </c>
      <c r="T557">
        <v>0</v>
      </c>
      <c r="U557">
        <v>0</v>
      </c>
      <c r="V557">
        <v>0</v>
      </c>
      <c r="W557">
        <v>400</v>
      </c>
      <c r="X557">
        <v>0</v>
      </c>
      <c r="Y557">
        <v>0</v>
      </c>
      <c r="Z557">
        <v>0</v>
      </c>
      <c r="AB557" s="5">
        <v>43220.333333333336</v>
      </c>
      <c r="AC557" s="5">
        <v>43292.666666666664</v>
      </c>
      <c r="AD557" s="5">
        <v>44159.666666666664</v>
      </c>
      <c r="AE557" s="5">
        <v>44159.666666666664</v>
      </c>
      <c r="AG557" s="5">
        <v>44044</v>
      </c>
      <c r="AH557" s="5">
        <v>44044</v>
      </c>
      <c r="AK557" s="5">
        <v>43292.333333333336</v>
      </c>
      <c r="AL557" s="5">
        <v>43362.666666666664</v>
      </c>
      <c r="AP557" t="s">
        <v>418</v>
      </c>
      <c r="AU557" t="s">
        <v>3213</v>
      </c>
      <c r="AV557" t="s">
        <v>3214</v>
      </c>
      <c r="AY557" t="s">
        <v>37</v>
      </c>
      <c r="AZ557">
        <v>0</v>
      </c>
      <c r="BA557">
        <v>0</v>
      </c>
      <c r="BI557" s="5">
        <v>44048.176388888889</v>
      </c>
      <c r="BJ557" s="5">
        <v>44048.176388888889</v>
      </c>
      <c r="BK557" t="s">
        <v>778</v>
      </c>
      <c r="BL557" t="s">
        <v>778</v>
      </c>
      <c r="BN557" t="s">
        <v>37</v>
      </c>
    </row>
    <row r="558" spans="1:66" x14ac:dyDescent="0.2">
      <c r="A558">
        <v>3693115</v>
      </c>
      <c r="B558">
        <v>21883</v>
      </c>
      <c r="C558">
        <v>523941</v>
      </c>
      <c r="D558">
        <v>52896</v>
      </c>
      <c r="E558">
        <v>100</v>
      </c>
      <c r="F558" t="s">
        <v>37</v>
      </c>
      <c r="G558">
        <v>1</v>
      </c>
      <c r="H558" t="s">
        <v>37</v>
      </c>
      <c r="I558" t="s">
        <v>37</v>
      </c>
      <c r="J558" t="s">
        <v>775</v>
      </c>
      <c r="K558" t="s">
        <v>230</v>
      </c>
      <c r="L558" t="s">
        <v>226</v>
      </c>
      <c r="M558" t="s">
        <v>422</v>
      </c>
      <c r="N558" t="s">
        <v>3215</v>
      </c>
      <c r="O558" t="s">
        <v>3216</v>
      </c>
      <c r="S558">
        <v>0</v>
      </c>
      <c r="T558">
        <v>0</v>
      </c>
      <c r="U558">
        <v>0</v>
      </c>
      <c r="V558">
        <v>0</v>
      </c>
      <c r="W558">
        <v>120</v>
      </c>
      <c r="X558">
        <v>0</v>
      </c>
      <c r="Y558">
        <v>0</v>
      </c>
      <c r="Z558">
        <v>0</v>
      </c>
      <c r="AB558" s="5">
        <v>43293.333333333336</v>
      </c>
      <c r="AC558" s="5">
        <v>43326.666666666664</v>
      </c>
      <c r="AD558" s="5">
        <v>44159.666666666664</v>
      </c>
      <c r="AE558" s="5">
        <v>44159.666666666664</v>
      </c>
      <c r="AG558" s="5">
        <v>44044</v>
      </c>
      <c r="AH558" s="5">
        <v>44044</v>
      </c>
      <c r="AK558" s="5">
        <v>43347.333333333336</v>
      </c>
      <c r="AL558" s="5">
        <v>43367.666666666664</v>
      </c>
      <c r="AP558" t="s">
        <v>418</v>
      </c>
      <c r="AU558" t="s">
        <v>3217</v>
      </c>
      <c r="AV558" t="s">
        <v>3218</v>
      </c>
      <c r="AY558" t="s">
        <v>37</v>
      </c>
      <c r="AZ558">
        <v>0</v>
      </c>
      <c r="BA558">
        <v>0</v>
      </c>
      <c r="BI558" s="5">
        <v>44048.176388888889</v>
      </c>
      <c r="BJ558" s="5">
        <v>44048.176388888889</v>
      </c>
      <c r="BK558" t="s">
        <v>778</v>
      </c>
      <c r="BL558" t="s">
        <v>778</v>
      </c>
      <c r="BN558" t="s">
        <v>37</v>
      </c>
    </row>
    <row r="559" spans="1:66" x14ac:dyDescent="0.2">
      <c r="A559">
        <v>3693116</v>
      </c>
      <c r="B559">
        <v>21883</v>
      </c>
      <c r="C559">
        <v>523940</v>
      </c>
      <c r="D559">
        <v>52895</v>
      </c>
      <c r="E559">
        <v>100</v>
      </c>
      <c r="F559" t="s">
        <v>37</v>
      </c>
      <c r="G559">
        <v>1</v>
      </c>
      <c r="H559" t="s">
        <v>37</v>
      </c>
      <c r="I559" t="s">
        <v>37</v>
      </c>
      <c r="J559" t="s">
        <v>775</v>
      </c>
      <c r="K559" t="s">
        <v>230</v>
      </c>
      <c r="L559" t="s">
        <v>226</v>
      </c>
      <c r="M559" t="s">
        <v>422</v>
      </c>
      <c r="N559" t="s">
        <v>3219</v>
      </c>
      <c r="O559" t="s">
        <v>3220</v>
      </c>
      <c r="S559">
        <v>0</v>
      </c>
      <c r="T559">
        <v>0</v>
      </c>
      <c r="U559">
        <v>0</v>
      </c>
      <c r="V559">
        <v>0</v>
      </c>
      <c r="W559">
        <v>232</v>
      </c>
      <c r="X559">
        <v>0</v>
      </c>
      <c r="Y559">
        <v>0</v>
      </c>
      <c r="Z559">
        <v>0</v>
      </c>
      <c r="AB559" s="5">
        <v>43125.333333333336</v>
      </c>
      <c r="AC559" s="5">
        <v>43165.666666666664</v>
      </c>
      <c r="AD559" s="5">
        <v>44273.666666666664</v>
      </c>
      <c r="AE559" s="5">
        <v>44273.666666666664</v>
      </c>
      <c r="AG559" s="5">
        <v>44044</v>
      </c>
      <c r="AH559" s="5">
        <v>44044</v>
      </c>
      <c r="AK559" s="5">
        <v>43110.333333333336</v>
      </c>
      <c r="AL559" s="5">
        <v>43138.666666666664</v>
      </c>
      <c r="AP559" t="s">
        <v>418</v>
      </c>
      <c r="AU559" t="s">
        <v>3221</v>
      </c>
      <c r="AV559" t="s">
        <v>3222</v>
      </c>
      <c r="AY559" t="s">
        <v>37</v>
      </c>
      <c r="AZ559">
        <v>0</v>
      </c>
      <c r="BA559">
        <v>0</v>
      </c>
      <c r="BI559" s="5">
        <v>44048.176388888889</v>
      </c>
      <c r="BJ559" s="5">
        <v>44048.176388888889</v>
      </c>
      <c r="BK559" t="s">
        <v>778</v>
      </c>
      <c r="BL559" t="s">
        <v>778</v>
      </c>
      <c r="BN559" t="s">
        <v>37</v>
      </c>
    </row>
    <row r="560" spans="1:66" x14ac:dyDescent="0.2">
      <c r="A560">
        <v>3693117</v>
      </c>
      <c r="B560">
        <v>21883</v>
      </c>
      <c r="C560">
        <v>523940</v>
      </c>
      <c r="D560">
        <v>52895</v>
      </c>
      <c r="E560">
        <v>100</v>
      </c>
      <c r="F560" t="s">
        <v>37</v>
      </c>
      <c r="G560">
        <v>1</v>
      </c>
      <c r="H560" t="s">
        <v>37</v>
      </c>
      <c r="I560" t="s">
        <v>37</v>
      </c>
      <c r="J560" t="s">
        <v>775</v>
      </c>
      <c r="K560" t="s">
        <v>230</v>
      </c>
      <c r="L560" t="s">
        <v>226</v>
      </c>
      <c r="M560" t="s">
        <v>422</v>
      </c>
      <c r="N560" t="s">
        <v>3223</v>
      </c>
      <c r="O560" t="s">
        <v>3224</v>
      </c>
      <c r="S560">
        <v>0</v>
      </c>
      <c r="T560">
        <v>0</v>
      </c>
      <c r="U560">
        <v>0</v>
      </c>
      <c r="V560">
        <v>0</v>
      </c>
      <c r="W560">
        <v>168</v>
      </c>
      <c r="X560">
        <v>0</v>
      </c>
      <c r="Y560">
        <v>0</v>
      </c>
      <c r="Z560">
        <v>0</v>
      </c>
      <c r="AB560" s="5">
        <v>43173.333333333336</v>
      </c>
      <c r="AC560" s="5">
        <v>43173.666666666664</v>
      </c>
      <c r="AD560" s="5">
        <v>44273.666666666664</v>
      </c>
      <c r="AE560" s="5">
        <v>44273.666666666664</v>
      </c>
      <c r="AG560" s="5">
        <v>44044</v>
      </c>
      <c r="AH560" s="5">
        <v>44044</v>
      </c>
      <c r="AK560" s="5">
        <v>43169.333333333336</v>
      </c>
      <c r="AL560" s="5">
        <v>43189.666666666664</v>
      </c>
      <c r="AP560" t="s">
        <v>418</v>
      </c>
      <c r="AU560" t="s">
        <v>3225</v>
      </c>
      <c r="AV560" t="s">
        <v>3226</v>
      </c>
      <c r="AY560" t="s">
        <v>37</v>
      </c>
      <c r="AZ560">
        <v>0</v>
      </c>
      <c r="BA560">
        <v>0</v>
      </c>
      <c r="BI560" s="5">
        <v>44048.176388888889</v>
      </c>
      <c r="BJ560" s="5">
        <v>44048.176388888889</v>
      </c>
      <c r="BK560" t="s">
        <v>778</v>
      </c>
      <c r="BL560" t="s">
        <v>778</v>
      </c>
      <c r="BN560" t="s">
        <v>37</v>
      </c>
    </row>
    <row r="561" spans="1:66" x14ac:dyDescent="0.2">
      <c r="A561">
        <v>3693118</v>
      </c>
      <c r="B561">
        <v>21883</v>
      </c>
      <c r="C561">
        <v>523940</v>
      </c>
      <c r="D561">
        <v>52895</v>
      </c>
      <c r="E561">
        <v>100</v>
      </c>
      <c r="F561" t="s">
        <v>37</v>
      </c>
      <c r="G561">
        <v>1</v>
      </c>
      <c r="H561" t="s">
        <v>37</v>
      </c>
      <c r="I561" t="s">
        <v>37</v>
      </c>
      <c r="J561" t="s">
        <v>775</v>
      </c>
      <c r="K561" t="s">
        <v>230</v>
      </c>
      <c r="L561" t="s">
        <v>226</v>
      </c>
      <c r="M561" t="s">
        <v>422</v>
      </c>
      <c r="N561" t="s">
        <v>3227</v>
      </c>
      <c r="O561" t="s">
        <v>3228</v>
      </c>
      <c r="S561">
        <v>0</v>
      </c>
      <c r="T561">
        <v>0</v>
      </c>
      <c r="U561">
        <v>0</v>
      </c>
      <c r="V561">
        <v>0</v>
      </c>
      <c r="W561">
        <v>112</v>
      </c>
      <c r="X561">
        <v>0</v>
      </c>
      <c r="Y561">
        <v>0</v>
      </c>
      <c r="Z561">
        <v>0</v>
      </c>
      <c r="AB561" s="5">
        <v>43166.333333333336</v>
      </c>
      <c r="AC561" s="5">
        <v>43173.666666666664</v>
      </c>
      <c r="AD561" s="5">
        <v>44273.666666666664</v>
      </c>
      <c r="AE561" s="5">
        <v>44273.666666666664</v>
      </c>
      <c r="AG561" s="5">
        <v>44044</v>
      </c>
      <c r="AH561" s="5">
        <v>44044</v>
      </c>
      <c r="AK561" s="5">
        <v>43190.333333333336</v>
      </c>
      <c r="AL561" s="5">
        <v>43203.666666666664</v>
      </c>
      <c r="AP561" t="s">
        <v>418</v>
      </c>
      <c r="AU561" t="s">
        <v>3229</v>
      </c>
      <c r="AV561" t="s">
        <v>3230</v>
      </c>
      <c r="AY561" t="s">
        <v>37</v>
      </c>
      <c r="AZ561">
        <v>0</v>
      </c>
      <c r="BA561">
        <v>0</v>
      </c>
      <c r="BI561" s="5">
        <v>44048.176388888889</v>
      </c>
      <c r="BJ561" s="5">
        <v>44048.176388888889</v>
      </c>
      <c r="BK561" t="s">
        <v>778</v>
      </c>
      <c r="BL561" t="s">
        <v>778</v>
      </c>
      <c r="BN561" t="s">
        <v>37</v>
      </c>
    </row>
    <row r="562" spans="1:66" x14ac:dyDescent="0.2">
      <c r="A562">
        <v>3693119</v>
      </c>
      <c r="B562">
        <v>21883</v>
      </c>
      <c r="C562">
        <v>523939</v>
      </c>
      <c r="D562">
        <v>52895</v>
      </c>
      <c r="E562">
        <v>100</v>
      </c>
      <c r="F562" t="s">
        <v>37</v>
      </c>
      <c r="G562">
        <v>1</v>
      </c>
      <c r="H562" t="s">
        <v>37</v>
      </c>
      <c r="I562" t="s">
        <v>37</v>
      </c>
      <c r="J562" t="s">
        <v>775</v>
      </c>
      <c r="K562" t="s">
        <v>230</v>
      </c>
      <c r="L562" t="s">
        <v>226</v>
      </c>
      <c r="M562" t="s">
        <v>422</v>
      </c>
      <c r="N562" t="s">
        <v>3231</v>
      </c>
      <c r="O562" t="s">
        <v>3232</v>
      </c>
      <c r="S562">
        <v>0</v>
      </c>
      <c r="T562">
        <v>0</v>
      </c>
      <c r="U562">
        <v>0</v>
      </c>
      <c r="V562">
        <v>0</v>
      </c>
      <c r="W562">
        <v>496</v>
      </c>
      <c r="X562">
        <v>0</v>
      </c>
      <c r="Y562">
        <v>0</v>
      </c>
      <c r="Z562">
        <v>0</v>
      </c>
      <c r="AB562" s="5">
        <v>43178.333333333336</v>
      </c>
      <c r="AC562" s="5">
        <v>43210.666666666664</v>
      </c>
      <c r="AD562" s="5">
        <v>44273.666666666664</v>
      </c>
      <c r="AE562" s="5">
        <v>44273.666666666664</v>
      </c>
      <c r="AG562" s="5">
        <v>44044</v>
      </c>
      <c r="AH562" s="5">
        <v>44044</v>
      </c>
      <c r="AK562" s="5">
        <v>43221.333333333336</v>
      </c>
      <c r="AL562" s="5">
        <v>43282.666666666664</v>
      </c>
      <c r="AP562" t="s">
        <v>418</v>
      </c>
      <c r="AU562" t="s">
        <v>3233</v>
      </c>
      <c r="AV562" t="s">
        <v>3234</v>
      </c>
      <c r="AY562" t="s">
        <v>37</v>
      </c>
      <c r="AZ562">
        <v>0</v>
      </c>
      <c r="BA562">
        <v>0</v>
      </c>
      <c r="BI562" s="5">
        <v>44048.176388888889</v>
      </c>
      <c r="BJ562" s="5">
        <v>44048.176388888889</v>
      </c>
      <c r="BK562" t="s">
        <v>778</v>
      </c>
      <c r="BL562" t="s">
        <v>778</v>
      </c>
      <c r="BN562" t="s">
        <v>37</v>
      </c>
    </row>
    <row r="563" spans="1:66" x14ac:dyDescent="0.2">
      <c r="A563">
        <v>3693120</v>
      </c>
      <c r="B563">
        <v>21883</v>
      </c>
      <c r="C563">
        <v>523939</v>
      </c>
      <c r="D563">
        <v>52895</v>
      </c>
      <c r="E563">
        <v>100</v>
      </c>
      <c r="F563" t="s">
        <v>37</v>
      </c>
      <c r="G563">
        <v>1</v>
      </c>
      <c r="H563" t="s">
        <v>37</v>
      </c>
      <c r="I563" t="s">
        <v>37</v>
      </c>
      <c r="J563" t="s">
        <v>775</v>
      </c>
      <c r="K563" t="s">
        <v>230</v>
      </c>
      <c r="L563" t="s">
        <v>226</v>
      </c>
      <c r="M563" t="s">
        <v>422</v>
      </c>
      <c r="N563" t="s">
        <v>3235</v>
      </c>
      <c r="O563" t="s">
        <v>3236</v>
      </c>
      <c r="S563">
        <v>0</v>
      </c>
      <c r="T563">
        <v>0</v>
      </c>
      <c r="U563">
        <v>0</v>
      </c>
      <c r="V563">
        <v>0</v>
      </c>
      <c r="W563">
        <v>680</v>
      </c>
      <c r="X563">
        <v>0</v>
      </c>
      <c r="Y563">
        <v>0</v>
      </c>
      <c r="Z563">
        <v>0</v>
      </c>
      <c r="AB563" s="5">
        <v>43390</v>
      </c>
      <c r="AC563" s="5">
        <v>43390</v>
      </c>
      <c r="AD563" s="5">
        <v>44273.666666666664</v>
      </c>
      <c r="AE563" s="5">
        <v>44273.666666666664</v>
      </c>
      <c r="AG563" s="5">
        <v>44044</v>
      </c>
      <c r="AH563" s="5">
        <v>44044</v>
      </c>
      <c r="AK563" s="5">
        <v>43586.333333333336</v>
      </c>
      <c r="AL563" s="5">
        <v>43670.666666666664</v>
      </c>
      <c r="AP563" t="s">
        <v>418</v>
      </c>
      <c r="AU563" t="s">
        <v>3237</v>
      </c>
      <c r="AV563" t="s">
        <v>3238</v>
      </c>
      <c r="AY563" t="s">
        <v>37</v>
      </c>
      <c r="AZ563">
        <v>0</v>
      </c>
      <c r="BA563">
        <v>0</v>
      </c>
      <c r="BI563" s="5">
        <v>44048.176388888889</v>
      </c>
      <c r="BJ563" s="5">
        <v>44048.176388888889</v>
      </c>
      <c r="BK563" t="s">
        <v>778</v>
      </c>
      <c r="BL563" t="s">
        <v>778</v>
      </c>
      <c r="BN563" t="s">
        <v>37</v>
      </c>
    </row>
    <row r="564" spans="1:66" x14ac:dyDescent="0.2">
      <c r="A564">
        <v>3693121</v>
      </c>
      <c r="B564">
        <v>21883</v>
      </c>
      <c r="C564">
        <v>523939</v>
      </c>
      <c r="D564">
        <v>52895</v>
      </c>
      <c r="E564">
        <v>100</v>
      </c>
      <c r="F564" t="s">
        <v>37</v>
      </c>
      <c r="G564">
        <v>1</v>
      </c>
      <c r="H564" t="s">
        <v>37</v>
      </c>
      <c r="I564" t="s">
        <v>37</v>
      </c>
      <c r="J564" t="s">
        <v>775</v>
      </c>
      <c r="K564" t="s">
        <v>230</v>
      </c>
      <c r="L564" t="s">
        <v>226</v>
      </c>
      <c r="M564" t="s">
        <v>422</v>
      </c>
      <c r="N564" t="s">
        <v>3239</v>
      </c>
      <c r="O564" t="s">
        <v>3240</v>
      </c>
      <c r="S564">
        <v>0</v>
      </c>
      <c r="T564">
        <v>0</v>
      </c>
      <c r="U564">
        <v>0</v>
      </c>
      <c r="V564">
        <v>0</v>
      </c>
      <c r="W564">
        <v>120</v>
      </c>
      <c r="X564">
        <v>0</v>
      </c>
      <c r="Y564">
        <v>0</v>
      </c>
      <c r="Z564">
        <v>0</v>
      </c>
      <c r="AB564" s="5">
        <v>43391</v>
      </c>
      <c r="AC564" s="5">
        <v>43403</v>
      </c>
      <c r="AD564" s="5">
        <v>44273.666666666664</v>
      </c>
      <c r="AE564" s="5">
        <v>44273.666666666664</v>
      </c>
      <c r="AG564" s="5">
        <v>44044</v>
      </c>
      <c r="AH564" s="5">
        <v>44044</v>
      </c>
      <c r="AK564" s="5">
        <v>43610.333333333336</v>
      </c>
      <c r="AL564" s="5">
        <v>43624.666666666664</v>
      </c>
      <c r="AP564" t="s">
        <v>418</v>
      </c>
      <c r="AU564" t="s">
        <v>3241</v>
      </c>
      <c r="AV564" t="s">
        <v>3242</v>
      </c>
      <c r="AY564" t="s">
        <v>37</v>
      </c>
      <c r="AZ564">
        <v>0</v>
      </c>
      <c r="BA564">
        <v>0</v>
      </c>
      <c r="BI564" s="5">
        <v>44048.176388888889</v>
      </c>
      <c r="BJ564" s="5">
        <v>44048.176388888889</v>
      </c>
      <c r="BK564" t="s">
        <v>778</v>
      </c>
      <c r="BL564" t="s">
        <v>778</v>
      </c>
      <c r="BN564" t="s">
        <v>37</v>
      </c>
    </row>
    <row r="565" spans="1:66" x14ac:dyDescent="0.2">
      <c r="A565">
        <v>3693122</v>
      </c>
      <c r="B565">
        <v>21883</v>
      </c>
      <c r="C565">
        <v>523939</v>
      </c>
      <c r="D565">
        <v>52899</v>
      </c>
      <c r="E565">
        <v>100</v>
      </c>
      <c r="F565" t="s">
        <v>37</v>
      </c>
      <c r="G565">
        <v>1</v>
      </c>
      <c r="H565" t="s">
        <v>37</v>
      </c>
      <c r="I565" t="s">
        <v>37</v>
      </c>
      <c r="J565" t="s">
        <v>775</v>
      </c>
      <c r="K565" t="s">
        <v>423</v>
      </c>
      <c r="L565" t="s">
        <v>420</v>
      </c>
      <c r="M565" t="s">
        <v>422</v>
      </c>
      <c r="N565" t="s">
        <v>3243</v>
      </c>
      <c r="O565" t="s">
        <v>3244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B565" s="5">
        <v>43566</v>
      </c>
      <c r="AC565" s="5">
        <v>43566</v>
      </c>
      <c r="AD565" s="5">
        <v>44273.666666666664</v>
      </c>
      <c r="AE565" s="5">
        <v>44273.666666666664</v>
      </c>
      <c r="AG565" s="5">
        <v>44044</v>
      </c>
      <c r="AH565" s="5">
        <v>44044</v>
      </c>
      <c r="AK565" s="5">
        <v>43619.333333333336</v>
      </c>
      <c r="AL565" s="5">
        <v>43619.333333333336</v>
      </c>
      <c r="AP565" t="s">
        <v>418</v>
      </c>
      <c r="AU565" t="s">
        <v>3245</v>
      </c>
      <c r="AV565" t="s">
        <v>3246</v>
      </c>
      <c r="AY565" t="s">
        <v>37</v>
      </c>
      <c r="AZ565">
        <v>0</v>
      </c>
      <c r="BA565">
        <v>0</v>
      </c>
      <c r="BI565" s="5">
        <v>44048.176388888889</v>
      </c>
      <c r="BJ565" s="5">
        <v>44048.176388888889</v>
      </c>
      <c r="BK565" t="s">
        <v>778</v>
      </c>
      <c r="BL565" t="s">
        <v>778</v>
      </c>
      <c r="BN565" t="s">
        <v>37</v>
      </c>
    </row>
    <row r="566" spans="1:66" x14ac:dyDescent="0.2">
      <c r="A566">
        <v>3693123</v>
      </c>
      <c r="B566">
        <v>21883</v>
      </c>
      <c r="C566">
        <v>523944</v>
      </c>
      <c r="D566">
        <v>52895</v>
      </c>
      <c r="E566">
        <v>100</v>
      </c>
      <c r="F566" t="s">
        <v>37</v>
      </c>
      <c r="G566">
        <v>1</v>
      </c>
      <c r="H566" t="s">
        <v>37</v>
      </c>
      <c r="I566" t="s">
        <v>37</v>
      </c>
      <c r="J566" t="s">
        <v>775</v>
      </c>
      <c r="K566" t="s">
        <v>230</v>
      </c>
      <c r="L566" t="s">
        <v>226</v>
      </c>
      <c r="M566" t="s">
        <v>422</v>
      </c>
      <c r="N566" t="s">
        <v>3247</v>
      </c>
      <c r="O566" t="s">
        <v>3248</v>
      </c>
      <c r="S566">
        <v>0</v>
      </c>
      <c r="T566">
        <v>0</v>
      </c>
      <c r="U566">
        <v>0</v>
      </c>
      <c r="V566">
        <v>0</v>
      </c>
      <c r="W566">
        <v>448</v>
      </c>
      <c r="X566">
        <v>0</v>
      </c>
      <c r="Y566">
        <v>0</v>
      </c>
      <c r="Z566">
        <v>0</v>
      </c>
      <c r="AB566" s="5">
        <v>43070.333333333336</v>
      </c>
      <c r="AC566" s="5">
        <v>43124.666666666664</v>
      </c>
      <c r="AD566" s="5">
        <v>44273.666666666664</v>
      </c>
      <c r="AE566" s="5">
        <v>44273.666666666664</v>
      </c>
      <c r="AG566" s="5">
        <v>44044</v>
      </c>
      <c r="AH566" s="5">
        <v>44044</v>
      </c>
      <c r="AK566" s="5">
        <v>43119.333333333336</v>
      </c>
      <c r="AL566" s="5">
        <v>43174.666666666664</v>
      </c>
      <c r="AP566" t="s">
        <v>418</v>
      </c>
      <c r="AU566" t="s">
        <v>3249</v>
      </c>
      <c r="AV566" t="s">
        <v>3250</v>
      </c>
      <c r="AY566" t="s">
        <v>37</v>
      </c>
      <c r="AZ566">
        <v>0</v>
      </c>
      <c r="BA566">
        <v>0</v>
      </c>
      <c r="BI566" s="5">
        <v>44048.176388888889</v>
      </c>
      <c r="BJ566" s="5">
        <v>44048.176388888889</v>
      </c>
      <c r="BK566" t="s">
        <v>778</v>
      </c>
      <c r="BL566" t="s">
        <v>778</v>
      </c>
      <c r="BN566" t="s">
        <v>37</v>
      </c>
    </row>
    <row r="567" spans="1:66" x14ac:dyDescent="0.2">
      <c r="A567">
        <v>3693124</v>
      </c>
      <c r="B567">
        <v>21883</v>
      </c>
      <c r="C567">
        <v>523944</v>
      </c>
      <c r="D567">
        <v>52896</v>
      </c>
      <c r="E567">
        <v>100</v>
      </c>
      <c r="F567" t="s">
        <v>37</v>
      </c>
      <c r="G567">
        <v>1</v>
      </c>
      <c r="H567" t="s">
        <v>37</v>
      </c>
      <c r="I567" t="s">
        <v>37</v>
      </c>
      <c r="J567" t="s">
        <v>775</v>
      </c>
      <c r="K567" t="s">
        <v>230</v>
      </c>
      <c r="L567" t="s">
        <v>226</v>
      </c>
      <c r="M567" t="s">
        <v>422</v>
      </c>
      <c r="N567" t="s">
        <v>3251</v>
      </c>
      <c r="O567" t="s">
        <v>3252</v>
      </c>
      <c r="S567">
        <v>0</v>
      </c>
      <c r="T567">
        <v>0</v>
      </c>
      <c r="U567">
        <v>0</v>
      </c>
      <c r="V567">
        <v>0</v>
      </c>
      <c r="W567">
        <v>120</v>
      </c>
      <c r="X567">
        <v>0</v>
      </c>
      <c r="Y567">
        <v>0</v>
      </c>
      <c r="Z567">
        <v>0</v>
      </c>
      <c r="AB567" s="5">
        <v>43425</v>
      </c>
      <c r="AC567" s="5">
        <v>43441</v>
      </c>
      <c r="AD567" s="5">
        <v>44273.666666666664</v>
      </c>
      <c r="AE567" s="5">
        <v>44273.666666666664</v>
      </c>
      <c r="AG567" s="5">
        <v>44044</v>
      </c>
      <c r="AH567" s="5">
        <v>44044</v>
      </c>
      <c r="AK567" s="5">
        <v>43497.333333333336</v>
      </c>
      <c r="AL567" s="5">
        <v>43517.666666666664</v>
      </c>
      <c r="AP567" t="s">
        <v>418</v>
      </c>
      <c r="AU567" t="s">
        <v>3253</v>
      </c>
      <c r="AV567" t="s">
        <v>3254</v>
      </c>
      <c r="AY567" t="s">
        <v>37</v>
      </c>
      <c r="AZ567">
        <v>0</v>
      </c>
      <c r="BA567">
        <v>0</v>
      </c>
      <c r="BI567" s="5">
        <v>44048.176388888889</v>
      </c>
      <c r="BJ567" s="5">
        <v>44048.176388888889</v>
      </c>
      <c r="BK567" t="s">
        <v>778</v>
      </c>
      <c r="BL567" t="s">
        <v>778</v>
      </c>
      <c r="BN567" t="s">
        <v>37</v>
      </c>
    </row>
    <row r="568" spans="1:66" x14ac:dyDescent="0.2">
      <c r="A568">
        <v>3693125</v>
      </c>
      <c r="B568">
        <v>21883</v>
      </c>
      <c r="C568">
        <v>523944</v>
      </c>
      <c r="D568">
        <v>52896</v>
      </c>
      <c r="E568">
        <v>100</v>
      </c>
      <c r="F568" t="s">
        <v>37</v>
      </c>
      <c r="G568">
        <v>1</v>
      </c>
      <c r="H568" t="s">
        <v>37</v>
      </c>
      <c r="I568" t="s">
        <v>37</v>
      </c>
      <c r="J568" t="s">
        <v>775</v>
      </c>
      <c r="K568" t="s">
        <v>230</v>
      </c>
      <c r="L568" t="s">
        <v>226</v>
      </c>
      <c r="M568" t="s">
        <v>422</v>
      </c>
      <c r="N568" t="s">
        <v>3255</v>
      </c>
      <c r="O568" t="s">
        <v>3256</v>
      </c>
      <c r="S568">
        <v>0</v>
      </c>
      <c r="T568">
        <v>0</v>
      </c>
      <c r="U568">
        <v>0</v>
      </c>
      <c r="V568">
        <v>0</v>
      </c>
      <c r="W568">
        <v>120</v>
      </c>
      <c r="X568">
        <v>0</v>
      </c>
      <c r="Y568">
        <v>0</v>
      </c>
      <c r="Z568">
        <v>0</v>
      </c>
      <c r="AB568" s="5">
        <v>43425</v>
      </c>
      <c r="AC568" s="5">
        <v>43441</v>
      </c>
      <c r="AD568" s="5">
        <v>44273.666666666664</v>
      </c>
      <c r="AE568" s="5">
        <v>44273.666666666664</v>
      </c>
      <c r="AG568" s="5">
        <v>44044</v>
      </c>
      <c r="AH568" s="5">
        <v>44044</v>
      </c>
      <c r="AK568" s="5">
        <v>43497.333333333336</v>
      </c>
      <c r="AL568" s="5">
        <v>43517.666666666664</v>
      </c>
      <c r="AP568" t="s">
        <v>418</v>
      </c>
      <c r="AU568" t="s">
        <v>3257</v>
      </c>
      <c r="AV568" t="s">
        <v>3258</v>
      </c>
      <c r="AY568" t="s">
        <v>37</v>
      </c>
      <c r="AZ568">
        <v>0</v>
      </c>
      <c r="BA568">
        <v>0</v>
      </c>
      <c r="BI568" s="5">
        <v>44048.176388888889</v>
      </c>
      <c r="BJ568" s="5">
        <v>44048.176388888889</v>
      </c>
      <c r="BK568" t="s">
        <v>778</v>
      </c>
      <c r="BL568" t="s">
        <v>778</v>
      </c>
      <c r="BN568" t="s">
        <v>37</v>
      </c>
    </row>
    <row r="569" spans="1:66" x14ac:dyDescent="0.2">
      <c r="A569">
        <v>3693126</v>
      </c>
      <c r="B569">
        <v>21883</v>
      </c>
      <c r="C569">
        <v>523946</v>
      </c>
      <c r="D569">
        <v>52895</v>
      </c>
      <c r="E569">
        <v>100</v>
      </c>
      <c r="F569" t="s">
        <v>37</v>
      </c>
      <c r="G569">
        <v>1</v>
      </c>
      <c r="H569" t="s">
        <v>37</v>
      </c>
      <c r="I569" t="s">
        <v>37</v>
      </c>
      <c r="J569" t="s">
        <v>775</v>
      </c>
      <c r="K569" t="s">
        <v>230</v>
      </c>
      <c r="L569" t="s">
        <v>420</v>
      </c>
      <c r="M569" t="s">
        <v>422</v>
      </c>
      <c r="N569" t="s">
        <v>3259</v>
      </c>
      <c r="O569" t="s">
        <v>3260</v>
      </c>
      <c r="S569">
        <v>0</v>
      </c>
      <c r="T569">
        <v>0</v>
      </c>
      <c r="U569">
        <v>0</v>
      </c>
      <c r="V569">
        <v>0</v>
      </c>
      <c r="W569">
        <v>1016</v>
      </c>
      <c r="X569">
        <v>0</v>
      </c>
      <c r="Y569">
        <v>0</v>
      </c>
      <c r="Z569">
        <v>0</v>
      </c>
      <c r="AB569" s="5">
        <v>43084.333333333336</v>
      </c>
      <c r="AC569" s="5">
        <v>43144.666666666664</v>
      </c>
      <c r="AD569" s="5">
        <v>43970.333333333336</v>
      </c>
      <c r="AE569" s="5">
        <v>43970.333333333336</v>
      </c>
      <c r="AG569" s="5">
        <v>44044</v>
      </c>
      <c r="AH569" s="5">
        <v>44044</v>
      </c>
      <c r="AK569" s="5">
        <v>43199.333333333336</v>
      </c>
      <c r="AL569" s="5">
        <v>43325.666666666664</v>
      </c>
      <c r="AP569" t="s">
        <v>418</v>
      </c>
      <c r="AU569" t="s">
        <v>3261</v>
      </c>
      <c r="AV569" t="s">
        <v>3262</v>
      </c>
      <c r="AY569" t="s">
        <v>40</v>
      </c>
      <c r="AZ569">
        <v>0</v>
      </c>
      <c r="BA569">
        <v>0</v>
      </c>
      <c r="BI569" s="5">
        <v>44048.176388888889</v>
      </c>
      <c r="BJ569" s="5">
        <v>44048.176388888889</v>
      </c>
      <c r="BK569" t="s">
        <v>778</v>
      </c>
      <c r="BL569" t="s">
        <v>778</v>
      </c>
      <c r="BN569" t="s">
        <v>37</v>
      </c>
    </row>
    <row r="570" spans="1:66" x14ac:dyDescent="0.2">
      <c r="A570">
        <v>3693127</v>
      </c>
      <c r="B570">
        <v>21883</v>
      </c>
      <c r="C570">
        <v>523973</v>
      </c>
      <c r="D570">
        <v>52895</v>
      </c>
      <c r="E570">
        <v>100</v>
      </c>
      <c r="F570" t="s">
        <v>37</v>
      </c>
      <c r="G570">
        <v>1</v>
      </c>
      <c r="H570" t="s">
        <v>37</v>
      </c>
      <c r="I570" t="s">
        <v>37</v>
      </c>
      <c r="J570" t="s">
        <v>775</v>
      </c>
      <c r="K570" t="s">
        <v>230</v>
      </c>
      <c r="L570" t="s">
        <v>226</v>
      </c>
      <c r="M570" t="s">
        <v>422</v>
      </c>
      <c r="N570" t="s">
        <v>3263</v>
      </c>
      <c r="O570" t="s">
        <v>3264</v>
      </c>
      <c r="S570">
        <v>0</v>
      </c>
      <c r="T570">
        <v>0</v>
      </c>
      <c r="U570">
        <v>0</v>
      </c>
      <c r="V570">
        <v>0</v>
      </c>
      <c r="W570">
        <v>536</v>
      </c>
      <c r="X570">
        <v>0</v>
      </c>
      <c r="Y570">
        <v>0</v>
      </c>
      <c r="Z570">
        <v>0</v>
      </c>
      <c r="AB570" s="5">
        <v>43006.333333333336</v>
      </c>
      <c r="AC570" s="5">
        <v>43108.666666666664</v>
      </c>
      <c r="AD570" s="5">
        <v>43970.333333333336</v>
      </c>
      <c r="AE570" s="5">
        <v>43970.333333333336</v>
      </c>
      <c r="AG570" s="5">
        <v>44044</v>
      </c>
      <c r="AH570" s="5">
        <v>44044</v>
      </c>
      <c r="AK570" s="5">
        <v>43139.333333333336</v>
      </c>
      <c r="AL570" s="5">
        <v>43205.666666666664</v>
      </c>
      <c r="AP570" t="s">
        <v>418</v>
      </c>
      <c r="AU570" t="s">
        <v>3265</v>
      </c>
      <c r="AV570" t="s">
        <v>3266</v>
      </c>
      <c r="AY570" t="s">
        <v>40</v>
      </c>
      <c r="AZ570">
        <v>0</v>
      </c>
      <c r="BA570">
        <v>0</v>
      </c>
      <c r="BI570" s="5">
        <v>44048.176388888889</v>
      </c>
      <c r="BJ570" s="5">
        <v>44048.176388888889</v>
      </c>
      <c r="BK570" t="s">
        <v>778</v>
      </c>
      <c r="BL570" t="s">
        <v>778</v>
      </c>
      <c r="BN570" t="s">
        <v>37</v>
      </c>
    </row>
    <row r="571" spans="1:66" x14ac:dyDescent="0.2">
      <c r="A571">
        <v>3693128</v>
      </c>
      <c r="B571">
        <v>21883</v>
      </c>
      <c r="C571">
        <v>523973</v>
      </c>
      <c r="D571">
        <v>52895</v>
      </c>
      <c r="E571">
        <v>100</v>
      </c>
      <c r="F571" t="s">
        <v>37</v>
      </c>
      <c r="G571">
        <v>1</v>
      </c>
      <c r="H571" t="s">
        <v>37</v>
      </c>
      <c r="I571" t="s">
        <v>37</v>
      </c>
      <c r="J571" t="s">
        <v>775</v>
      </c>
      <c r="K571" t="s">
        <v>230</v>
      </c>
      <c r="L571" t="s">
        <v>226</v>
      </c>
      <c r="M571" t="s">
        <v>422</v>
      </c>
      <c r="N571" t="s">
        <v>3267</v>
      </c>
      <c r="O571" t="s">
        <v>3268</v>
      </c>
      <c r="S571">
        <v>0</v>
      </c>
      <c r="T571">
        <v>0</v>
      </c>
      <c r="U571">
        <v>0</v>
      </c>
      <c r="V571">
        <v>0</v>
      </c>
      <c r="W571">
        <v>1680</v>
      </c>
      <c r="X571">
        <v>0</v>
      </c>
      <c r="Y571">
        <v>0</v>
      </c>
      <c r="Z571">
        <v>0</v>
      </c>
      <c r="AB571" s="5">
        <v>43109.333333333336</v>
      </c>
      <c r="AC571" s="5">
        <v>43371.666666666664</v>
      </c>
      <c r="AD571" s="5">
        <v>43970.333333333336</v>
      </c>
      <c r="AE571" s="5">
        <v>43970.333333333336</v>
      </c>
      <c r="AG571" s="5">
        <v>44044</v>
      </c>
      <c r="AH571" s="5">
        <v>44044</v>
      </c>
      <c r="AK571" s="5">
        <v>43169.333333333336</v>
      </c>
      <c r="AL571" s="5">
        <v>43378.666666666664</v>
      </c>
      <c r="AP571" t="s">
        <v>418</v>
      </c>
      <c r="AU571" t="s">
        <v>3269</v>
      </c>
      <c r="AV571" t="s">
        <v>3270</v>
      </c>
      <c r="AY571" t="s">
        <v>40</v>
      </c>
      <c r="AZ571">
        <v>0</v>
      </c>
      <c r="BA571">
        <v>0</v>
      </c>
      <c r="BI571" s="5">
        <v>44048.176388888889</v>
      </c>
      <c r="BJ571" s="5">
        <v>44048.176388888889</v>
      </c>
      <c r="BK571" t="s">
        <v>778</v>
      </c>
      <c r="BL571" t="s">
        <v>778</v>
      </c>
      <c r="BN571" t="s">
        <v>37</v>
      </c>
    </row>
    <row r="572" spans="1:66" x14ac:dyDescent="0.2">
      <c r="A572">
        <v>3693129</v>
      </c>
      <c r="B572">
        <v>21883</v>
      </c>
      <c r="C572">
        <v>523973</v>
      </c>
      <c r="D572">
        <v>52895</v>
      </c>
      <c r="E572">
        <v>100</v>
      </c>
      <c r="F572" t="s">
        <v>37</v>
      </c>
      <c r="G572">
        <v>1</v>
      </c>
      <c r="H572" t="s">
        <v>37</v>
      </c>
      <c r="I572" t="s">
        <v>37</v>
      </c>
      <c r="J572" t="s">
        <v>775</v>
      </c>
      <c r="K572" t="s">
        <v>423</v>
      </c>
      <c r="L572" t="s">
        <v>420</v>
      </c>
      <c r="M572" t="s">
        <v>422</v>
      </c>
      <c r="N572" t="s">
        <v>3271</v>
      </c>
      <c r="O572" t="s">
        <v>3272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B572" s="5">
        <v>43371.333333333336</v>
      </c>
      <c r="AC572" s="5">
        <v>43371.333333333336</v>
      </c>
      <c r="AD572" s="5">
        <v>43970.333333333336</v>
      </c>
      <c r="AE572" s="5">
        <v>43970.333333333336</v>
      </c>
      <c r="AG572" s="5">
        <v>44044</v>
      </c>
      <c r="AH572" s="5">
        <v>44044</v>
      </c>
      <c r="AK572" s="5">
        <v>43556.333333333336</v>
      </c>
      <c r="AL572" s="5">
        <v>43556.333333333336</v>
      </c>
      <c r="AP572" t="s">
        <v>418</v>
      </c>
      <c r="AU572" t="s">
        <v>3273</v>
      </c>
      <c r="AV572" t="s">
        <v>3274</v>
      </c>
      <c r="AY572" t="s">
        <v>40</v>
      </c>
      <c r="AZ572">
        <v>0</v>
      </c>
      <c r="BA572">
        <v>0</v>
      </c>
      <c r="BI572" s="5">
        <v>44048.176388888889</v>
      </c>
      <c r="BJ572" s="5">
        <v>44048.176388888889</v>
      </c>
      <c r="BK572" t="s">
        <v>778</v>
      </c>
      <c r="BL572" t="s">
        <v>778</v>
      </c>
      <c r="BN572" t="s">
        <v>37</v>
      </c>
    </row>
    <row r="573" spans="1:66" x14ac:dyDescent="0.2">
      <c r="A573">
        <v>3693130</v>
      </c>
      <c r="B573">
        <v>21883</v>
      </c>
      <c r="C573">
        <v>523982</v>
      </c>
      <c r="D573">
        <v>52899</v>
      </c>
      <c r="E573">
        <v>100</v>
      </c>
      <c r="F573" t="s">
        <v>37</v>
      </c>
      <c r="G573">
        <v>1</v>
      </c>
      <c r="H573" t="s">
        <v>37</v>
      </c>
      <c r="I573" t="s">
        <v>37</v>
      </c>
      <c r="J573" t="s">
        <v>775</v>
      </c>
      <c r="K573" t="s">
        <v>419</v>
      </c>
      <c r="L573" t="s">
        <v>420</v>
      </c>
      <c r="M573" t="s">
        <v>422</v>
      </c>
      <c r="N573" t="s">
        <v>3275</v>
      </c>
      <c r="O573" t="s">
        <v>3276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B573" s="5">
        <v>43210.333333333336</v>
      </c>
      <c r="AC573" s="5">
        <v>43210.333333333336</v>
      </c>
      <c r="AD573" s="5">
        <v>43970.333333333336</v>
      </c>
      <c r="AE573" s="5">
        <v>43970.333333333336</v>
      </c>
      <c r="AG573" s="5">
        <v>44044</v>
      </c>
      <c r="AH573" s="5">
        <v>44044</v>
      </c>
      <c r="AK573" s="5">
        <v>43223.333333333336</v>
      </c>
      <c r="AL573" s="5">
        <v>43223.333333333336</v>
      </c>
      <c r="AP573" t="s">
        <v>418</v>
      </c>
      <c r="AU573" t="s">
        <v>3277</v>
      </c>
      <c r="AV573" t="s">
        <v>3278</v>
      </c>
      <c r="AY573" t="s">
        <v>40</v>
      </c>
      <c r="AZ573">
        <v>0</v>
      </c>
      <c r="BA573">
        <v>0</v>
      </c>
      <c r="BI573" s="5">
        <v>44048.176388888889</v>
      </c>
      <c r="BJ573" s="5">
        <v>44048.176388888889</v>
      </c>
      <c r="BK573" t="s">
        <v>778</v>
      </c>
      <c r="BL573" t="s">
        <v>778</v>
      </c>
      <c r="BN573" t="s">
        <v>37</v>
      </c>
    </row>
    <row r="574" spans="1:66" x14ac:dyDescent="0.2">
      <c r="A574">
        <v>3693131</v>
      </c>
      <c r="B574">
        <v>21883</v>
      </c>
      <c r="C574">
        <v>523894</v>
      </c>
      <c r="D574">
        <v>52899</v>
      </c>
      <c r="E574">
        <v>100</v>
      </c>
      <c r="F574" t="s">
        <v>37</v>
      </c>
      <c r="G574">
        <v>1</v>
      </c>
      <c r="H574" t="s">
        <v>37</v>
      </c>
      <c r="I574" t="s">
        <v>37</v>
      </c>
      <c r="J574" t="s">
        <v>775</v>
      </c>
      <c r="K574" t="s">
        <v>230</v>
      </c>
      <c r="L574" t="s">
        <v>226</v>
      </c>
      <c r="M574" t="s">
        <v>422</v>
      </c>
      <c r="N574" t="s">
        <v>3279</v>
      </c>
      <c r="O574" t="s">
        <v>3280</v>
      </c>
      <c r="S574">
        <v>0</v>
      </c>
      <c r="T574">
        <v>0</v>
      </c>
      <c r="U574">
        <v>0</v>
      </c>
      <c r="V574">
        <v>0</v>
      </c>
      <c r="W574">
        <v>8</v>
      </c>
      <c r="X574">
        <v>0</v>
      </c>
      <c r="Y574">
        <v>0</v>
      </c>
      <c r="Z574">
        <v>0</v>
      </c>
      <c r="AB574" s="5">
        <v>43353.333333333336</v>
      </c>
      <c r="AC574" s="5">
        <v>43354.666666666664</v>
      </c>
      <c r="AD574" s="5">
        <v>43970.333333333336</v>
      </c>
      <c r="AE574" s="5">
        <v>43970.333333333336</v>
      </c>
      <c r="AG574" s="5">
        <v>44044</v>
      </c>
      <c r="AH574" s="5">
        <v>44044</v>
      </c>
      <c r="AK574" s="5">
        <v>43349.333333333336</v>
      </c>
      <c r="AL574" s="5">
        <v>43349.666666666664</v>
      </c>
      <c r="AP574" t="s">
        <v>418</v>
      </c>
      <c r="AU574" t="s">
        <v>3281</v>
      </c>
      <c r="AV574" t="s">
        <v>3282</v>
      </c>
      <c r="AY574" t="s">
        <v>40</v>
      </c>
      <c r="AZ574">
        <v>0</v>
      </c>
      <c r="BA574">
        <v>0</v>
      </c>
      <c r="BI574" s="5">
        <v>44048.176388888889</v>
      </c>
      <c r="BJ574" s="5">
        <v>44048.176388888889</v>
      </c>
      <c r="BK574" t="s">
        <v>778</v>
      </c>
      <c r="BL574" t="s">
        <v>778</v>
      </c>
      <c r="BN574" t="s">
        <v>37</v>
      </c>
    </row>
    <row r="575" spans="1:66" x14ac:dyDescent="0.2">
      <c r="A575">
        <v>3693132</v>
      </c>
      <c r="B575">
        <v>21883</v>
      </c>
      <c r="C575">
        <v>523894</v>
      </c>
      <c r="D575">
        <v>52899</v>
      </c>
      <c r="E575">
        <v>100</v>
      </c>
      <c r="F575" t="s">
        <v>37</v>
      </c>
      <c r="G575">
        <v>1</v>
      </c>
      <c r="H575" t="s">
        <v>37</v>
      </c>
      <c r="I575" t="s">
        <v>37</v>
      </c>
      <c r="J575" t="s">
        <v>775</v>
      </c>
      <c r="K575" t="s">
        <v>230</v>
      </c>
      <c r="L575" t="s">
        <v>226</v>
      </c>
      <c r="M575" t="s">
        <v>422</v>
      </c>
      <c r="N575" t="s">
        <v>3283</v>
      </c>
      <c r="O575" t="s">
        <v>3284</v>
      </c>
      <c r="S575">
        <v>0</v>
      </c>
      <c r="T575">
        <v>0</v>
      </c>
      <c r="U575">
        <v>0</v>
      </c>
      <c r="V575">
        <v>0</v>
      </c>
      <c r="W575">
        <v>8</v>
      </c>
      <c r="X575">
        <v>0</v>
      </c>
      <c r="Y575">
        <v>0</v>
      </c>
      <c r="Z575">
        <v>0</v>
      </c>
      <c r="AB575" s="5">
        <v>43364.333333333336</v>
      </c>
      <c r="AC575" s="5">
        <v>43364.666666666664</v>
      </c>
      <c r="AD575" s="5">
        <v>43970.333333333336</v>
      </c>
      <c r="AE575" s="5">
        <v>43970.333333333336</v>
      </c>
      <c r="AG575" s="5">
        <v>44044</v>
      </c>
      <c r="AH575" s="5">
        <v>44044</v>
      </c>
      <c r="AK575" s="5">
        <v>43354.333333333336</v>
      </c>
      <c r="AL575" s="5">
        <v>43354.666666666664</v>
      </c>
      <c r="AP575" t="s">
        <v>418</v>
      </c>
      <c r="AU575" t="s">
        <v>3285</v>
      </c>
      <c r="AV575" t="s">
        <v>3286</v>
      </c>
      <c r="AY575" t="s">
        <v>40</v>
      </c>
      <c r="AZ575">
        <v>0</v>
      </c>
      <c r="BA575">
        <v>0</v>
      </c>
      <c r="BI575" s="5">
        <v>44048.176388888889</v>
      </c>
      <c r="BJ575" s="5">
        <v>44048.176388888889</v>
      </c>
      <c r="BK575" t="s">
        <v>778</v>
      </c>
      <c r="BL575" t="s">
        <v>778</v>
      </c>
      <c r="BN575" t="s">
        <v>37</v>
      </c>
    </row>
    <row r="576" spans="1:66" x14ac:dyDescent="0.2">
      <c r="A576">
        <v>3693133</v>
      </c>
      <c r="B576">
        <v>21883</v>
      </c>
      <c r="C576">
        <v>523894</v>
      </c>
      <c r="D576">
        <v>52895</v>
      </c>
      <c r="E576">
        <v>100</v>
      </c>
      <c r="F576" t="s">
        <v>37</v>
      </c>
      <c r="G576">
        <v>1</v>
      </c>
      <c r="H576" t="s">
        <v>37</v>
      </c>
      <c r="I576" t="s">
        <v>37</v>
      </c>
      <c r="J576" t="s">
        <v>775</v>
      </c>
      <c r="K576" t="s">
        <v>230</v>
      </c>
      <c r="L576" t="s">
        <v>226</v>
      </c>
      <c r="M576" t="s">
        <v>422</v>
      </c>
      <c r="N576" t="s">
        <v>3287</v>
      </c>
      <c r="O576" t="s">
        <v>3288</v>
      </c>
      <c r="S576">
        <v>0</v>
      </c>
      <c r="T576">
        <v>0</v>
      </c>
      <c r="U576">
        <v>0</v>
      </c>
      <c r="V576">
        <v>0</v>
      </c>
      <c r="W576">
        <v>24</v>
      </c>
      <c r="X576">
        <v>0</v>
      </c>
      <c r="Y576">
        <v>0</v>
      </c>
      <c r="Z576">
        <v>0</v>
      </c>
      <c r="AB576" s="5">
        <v>43365.333333333336</v>
      </c>
      <c r="AC576" s="5">
        <v>43366.666666666664</v>
      </c>
      <c r="AD576" s="5">
        <v>43970.333333333336</v>
      </c>
      <c r="AE576" s="5">
        <v>43970.333333333336</v>
      </c>
      <c r="AG576" s="5">
        <v>44044</v>
      </c>
      <c r="AH576" s="5">
        <v>44044</v>
      </c>
      <c r="AK576" s="5">
        <v>43355.333333333336</v>
      </c>
      <c r="AL576" s="5">
        <v>43357.666666666664</v>
      </c>
      <c r="AP576" t="s">
        <v>418</v>
      </c>
      <c r="AU576" t="s">
        <v>3289</v>
      </c>
      <c r="AV576" t="e" cm="1">
        <f t="array" ref="AV576">++CfPy2rGEaTh71DHVCICw</f>
        <v>#NAME?</v>
      </c>
      <c r="AY576" t="s">
        <v>40</v>
      </c>
      <c r="AZ576">
        <v>0</v>
      </c>
      <c r="BA576">
        <v>0</v>
      </c>
      <c r="BI576" s="5">
        <v>44048.176388888889</v>
      </c>
      <c r="BJ576" s="5">
        <v>44048.176388888889</v>
      </c>
      <c r="BK576" t="s">
        <v>778</v>
      </c>
      <c r="BL576" t="s">
        <v>778</v>
      </c>
      <c r="BN576" t="s">
        <v>37</v>
      </c>
    </row>
    <row r="577" spans="1:66" x14ac:dyDescent="0.2">
      <c r="A577">
        <v>3693134</v>
      </c>
      <c r="B577">
        <v>21883</v>
      </c>
      <c r="C577">
        <v>523894</v>
      </c>
      <c r="D577">
        <v>52899</v>
      </c>
      <c r="E577">
        <v>100</v>
      </c>
      <c r="F577" t="s">
        <v>37</v>
      </c>
      <c r="G577">
        <v>1</v>
      </c>
      <c r="H577" t="s">
        <v>37</v>
      </c>
      <c r="I577" t="s">
        <v>37</v>
      </c>
      <c r="J577" t="s">
        <v>775</v>
      </c>
      <c r="K577" t="s">
        <v>230</v>
      </c>
      <c r="L577" t="s">
        <v>226</v>
      </c>
      <c r="M577" t="s">
        <v>422</v>
      </c>
      <c r="N577" t="s">
        <v>3290</v>
      </c>
      <c r="O577" t="s">
        <v>3291</v>
      </c>
      <c r="S577">
        <v>0</v>
      </c>
      <c r="T577">
        <v>0</v>
      </c>
      <c r="U577">
        <v>0</v>
      </c>
      <c r="V577">
        <v>0</v>
      </c>
      <c r="W577">
        <v>8</v>
      </c>
      <c r="X577">
        <v>0</v>
      </c>
      <c r="Y577">
        <v>0</v>
      </c>
      <c r="Z577">
        <v>0</v>
      </c>
      <c r="AB577" s="5">
        <v>43368.333333333336</v>
      </c>
      <c r="AC577" s="5">
        <v>43368.666666666664</v>
      </c>
      <c r="AD577" s="5">
        <v>43970.333333333336</v>
      </c>
      <c r="AE577" s="5">
        <v>43970.333333333336</v>
      </c>
      <c r="AG577" s="5">
        <v>44044</v>
      </c>
      <c r="AH577" s="5">
        <v>44044</v>
      </c>
      <c r="AK577" s="5">
        <v>43361.333333333336</v>
      </c>
      <c r="AL577" s="5">
        <v>43361.666666666664</v>
      </c>
      <c r="AP577" t="s">
        <v>418</v>
      </c>
      <c r="AU577" t="s">
        <v>3292</v>
      </c>
      <c r="AV577" t="s">
        <v>3293</v>
      </c>
      <c r="AY577" t="s">
        <v>40</v>
      </c>
      <c r="AZ577">
        <v>0</v>
      </c>
      <c r="BA577">
        <v>0</v>
      </c>
      <c r="BI577" s="5">
        <v>44048.176388888889</v>
      </c>
      <c r="BJ577" s="5">
        <v>44048.176388888889</v>
      </c>
      <c r="BK577" t="s">
        <v>778</v>
      </c>
      <c r="BL577" t="s">
        <v>778</v>
      </c>
      <c r="BN577" t="s">
        <v>37</v>
      </c>
    </row>
    <row r="578" spans="1:66" x14ac:dyDescent="0.2">
      <c r="A578">
        <v>3693135</v>
      </c>
      <c r="B578">
        <v>21883</v>
      </c>
      <c r="C578">
        <v>523893</v>
      </c>
      <c r="D578">
        <v>52899</v>
      </c>
      <c r="E578">
        <v>100</v>
      </c>
      <c r="F578" t="s">
        <v>37</v>
      </c>
      <c r="G578">
        <v>1</v>
      </c>
      <c r="H578" t="s">
        <v>37</v>
      </c>
      <c r="I578" t="s">
        <v>37</v>
      </c>
      <c r="J578" t="s">
        <v>775</v>
      </c>
      <c r="K578" t="s">
        <v>230</v>
      </c>
      <c r="L578" t="s">
        <v>226</v>
      </c>
      <c r="M578" t="s">
        <v>422</v>
      </c>
      <c r="N578" t="s">
        <v>3294</v>
      </c>
      <c r="O578" t="s">
        <v>3295</v>
      </c>
      <c r="S578">
        <v>0</v>
      </c>
      <c r="T578">
        <v>0</v>
      </c>
      <c r="U578">
        <v>0</v>
      </c>
      <c r="V578">
        <v>0</v>
      </c>
      <c r="W578">
        <v>8</v>
      </c>
      <c r="X578">
        <v>0</v>
      </c>
      <c r="Y578">
        <v>0</v>
      </c>
      <c r="Z578">
        <v>0</v>
      </c>
      <c r="AB578" s="5">
        <v>43424</v>
      </c>
      <c r="AC578" s="5">
        <v>43424</v>
      </c>
      <c r="AD578" s="5">
        <v>43970.333333333336</v>
      </c>
      <c r="AE578" s="5">
        <v>43970.333333333336</v>
      </c>
      <c r="AG578" s="5">
        <v>44044</v>
      </c>
      <c r="AH578" s="5">
        <v>44044</v>
      </c>
      <c r="AK578" s="5">
        <v>43468.333333333336</v>
      </c>
      <c r="AL578" s="5">
        <v>43468.666666666664</v>
      </c>
      <c r="AP578" t="s">
        <v>418</v>
      </c>
      <c r="AU578" t="s">
        <v>3296</v>
      </c>
      <c r="AV578" t="s">
        <v>3297</v>
      </c>
      <c r="AY578" t="s">
        <v>40</v>
      </c>
      <c r="AZ578">
        <v>0</v>
      </c>
      <c r="BA578">
        <v>0</v>
      </c>
      <c r="BI578" s="5">
        <v>44048.176388888889</v>
      </c>
      <c r="BJ578" s="5">
        <v>44048.176388888889</v>
      </c>
      <c r="BK578" t="s">
        <v>778</v>
      </c>
      <c r="BL578" t="s">
        <v>778</v>
      </c>
      <c r="BN578" t="s">
        <v>37</v>
      </c>
    </row>
    <row r="579" spans="1:66" x14ac:dyDescent="0.2">
      <c r="A579">
        <v>3693136</v>
      </c>
      <c r="B579">
        <v>21883</v>
      </c>
      <c r="C579">
        <v>523893</v>
      </c>
      <c r="D579">
        <v>52899</v>
      </c>
      <c r="E579">
        <v>100</v>
      </c>
      <c r="F579" t="s">
        <v>37</v>
      </c>
      <c r="G579">
        <v>1</v>
      </c>
      <c r="H579" t="s">
        <v>37</v>
      </c>
      <c r="I579" t="s">
        <v>37</v>
      </c>
      <c r="J579" t="s">
        <v>775</v>
      </c>
      <c r="K579" t="s">
        <v>230</v>
      </c>
      <c r="L579" t="s">
        <v>226</v>
      </c>
      <c r="M579" t="s">
        <v>422</v>
      </c>
      <c r="N579" t="s">
        <v>3298</v>
      </c>
      <c r="O579" t="s">
        <v>3299</v>
      </c>
      <c r="S579">
        <v>0</v>
      </c>
      <c r="T579">
        <v>8</v>
      </c>
      <c r="U579">
        <v>0</v>
      </c>
      <c r="V579">
        <v>8</v>
      </c>
      <c r="W579">
        <v>8</v>
      </c>
      <c r="X579">
        <v>0</v>
      </c>
      <c r="Y579">
        <v>0</v>
      </c>
      <c r="Z579">
        <v>0</v>
      </c>
      <c r="AB579" s="5">
        <v>43430</v>
      </c>
      <c r="AC579" s="5">
        <v>43430</v>
      </c>
      <c r="AD579" s="5">
        <v>43970.333333333336</v>
      </c>
      <c r="AE579" s="5">
        <v>43970.333333333336</v>
      </c>
      <c r="AG579" s="5">
        <v>44044</v>
      </c>
      <c r="AH579" s="5">
        <v>44044</v>
      </c>
      <c r="AK579" s="5">
        <v>43472.333333333336</v>
      </c>
      <c r="AL579" s="5">
        <v>43472.666666666664</v>
      </c>
      <c r="AP579" t="s">
        <v>418</v>
      </c>
      <c r="AU579" t="s">
        <v>3300</v>
      </c>
      <c r="AV579" t="s">
        <v>3301</v>
      </c>
      <c r="AY579" t="s">
        <v>40</v>
      </c>
      <c r="AZ579">
        <v>8</v>
      </c>
      <c r="BA579">
        <v>0</v>
      </c>
      <c r="BI579" s="5">
        <v>44048.176388888889</v>
      </c>
      <c r="BJ579" s="5">
        <v>44048.176388888889</v>
      </c>
      <c r="BK579" t="s">
        <v>778</v>
      </c>
      <c r="BL579" t="s">
        <v>778</v>
      </c>
      <c r="BN579" t="s">
        <v>37</v>
      </c>
    </row>
    <row r="580" spans="1:66" x14ac:dyDescent="0.2">
      <c r="A580">
        <v>3693137</v>
      </c>
      <c r="B580">
        <v>21883</v>
      </c>
      <c r="C580">
        <v>523893</v>
      </c>
      <c r="D580">
        <v>52895</v>
      </c>
      <c r="E580">
        <v>100</v>
      </c>
      <c r="F580" t="s">
        <v>37</v>
      </c>
      <c r="G580">
        <v>1</v>
      </c>
      <c r="H580" t="s">
        <v>37</v>
      </c>
      <c r="I580" t="s">
        <v>37</v>
      </c>
      <c r="J580" t="s">
        <v>775</v>
      </c>
      <c r="K580" t="s">
        <v>230</v>
      </c>
      <c r="L580" t="s">
        <v>226</v>
      </c>
      <c r="M580" t="s">
        <v>422</v>
      </c>
      <c r="N580" t="s">
        <v>3302</v>
      </c>
      <c r="O580" t="s">
        <v>3303</v>
      </c>
      <c r="S580">
        <v>0</v>
      </c>
      <c r="T580">
        <v>0</v>
      </c>
      <c r="U580">
        <v>0</v>
      </c>
      <c r="V580">
        <v>0</v>
      </c>
      <c r="W580">
        <v>24</v>
      </c>
      <c r="X580">
        <v>0</v>
      </c>
      <c r="Y580">
        <v>0</v>
      </c>
      <c r="Z580">
        <v>0</v>
      </c>
      <c r="AB580" s="5">
        <v>43430</v>
      </c>
      <c r="AC580" s="5">
        <v>43430</v>
      </c>
      <c r="AD580" s="5">
        <v>43970.333333333336</v>
      </c>
      <c r="AE580" s="5">
        <v>43970.333333333336</v>
      </c>
      <c r="AG580" s="5">
        <v>44044</v>
      </c>
      <c r="AH580" s="5">
        <v>44044</v>
      </c>
      <c r="AK580" s="5">
        <v>43470.333333333336</v>
      </c>
      <c r="AL580" s="5">
        <v>43472.666666666664</v>
      </c>
      <c r="AP580" t="s">
        <v>418</v>
      </c>
      <c r="AU580" t="s">
        <v>3304</v>
      </c>
      <c r="AV580" t="s">
        <v>3305</v>
      </c>
      <c r="AY580" t="s">
        <v>40</v>
      </c>
      <c r="AZ580">
        <v>0</v>
      </c>
      <c r="BA580">
        <v>0</v>
      </c>
      <c r="BI580" s="5">
        <v>44048.176388888889</v>
      </c>
      <c r="BJ580" s="5">
        <v>44048.176388888889</v>
      </c>
      <c r="BK580" t="s">
        <v>778</v>
      </c>
      <c r="BL580" t="s">
        <v>778</v>
      </c>
      <c r="BN580" t="s">
        <v>37</v>
      </c>
    </row>
    <row r="581" spans="1:66" x14ac:dyDescent="0.2">
      <c r="A581">
        <v>3693138</v>
      </c>
      <c r="B581">
        <v>21883</v>
      </c>
      <c r="C581">
        <v>523893</v>
      </c>
      <c r="D581">
        <v>52899</v>
      </c>
      <c r="E581">
        <v>100</v>
      </c>
      <c r="F581" t="s">
        <v>37</v>
      </c>
      <c r="G581">
        <v>1</v>
      </c>
      <c r="H581" t="s">
        <v>37</v>
      </c>
      <c r="I581" t="s">
        <v>37</v>
      </c>
      <c r="J581" t="s">
        <v>775</v>
      </c>
      <c r="K581" t="s">
        <v>230</v>
      </c>
      <c r="L581" t="s">
        <v>226</v>
      </c>
      <c r="M581" t="s">
        <v>422</v>
      </c>
      <c r="N581" t="s">
        <v>3306</v>
      </c>
      <c r="O581" t="s">
        <v>3307</v>
      </c>
      <c r="S581">
        <v>0</v>
      </c>
      <c r="T581">
        <v>8</v>
      </c>
      <c r="U581">
        <v>0</v>
      </c>
      <c r="V581">
        <v>8</v>
      </c>
      <c r="W581">
        <v>8</v>
      </c>
      <c r="X581">
        <v>0</v>
      </c>
      <c r="Y581">
        <v>0</v>
      </c>
      <c r="Z581">
        <v>0</v>
      </c>
      <c r="AB581" s="5">
        <v>43434</v>
      </c>
      <c r="AC581" s="5">
        <v>43434</v>
      </c>
      <c r="AD581" s="5">
        <v>43970.333333333336</v>
      </c>
      <c r="AE581" s="5">
        <v>43970.333333333336</v>
      </c>
      <c r="AG581" s="5">
        <v>44044</v>
      </c>
      <c r="AH581" s="5">
        <v>44044</v>
      </c>
      <c r="AK581" s="5">
        <v>43472.333333333336</v>
      </c>
      <c r="AL581" s="5">
        <v>43472.666666666664</v>
      </c>
      <c r="AP581" t="s">
        <v>418</v>
      </c>
      <c r="AU581" t="s">
        <v>3308</v>
      </c>
      <c r="AV581" t="s">
        <v>3309</v>
      </c>
      <c r="AY581" t="s">
        <v>40</v>
      </c>
      <c r="AZ581">
        <v>8</v>
      </c>
      <c r="BA581">
        <v>0</v>
      </c>
      <c r="BI581" s="5">
        <v>44048.176388888889</v>
      </c>
      <c r="BJ581" s="5">
        <v>44048.176388888889</v>
      </c>
      <c r="BK581" t="s">
        <v>778</v>
      </c>
      <c r="BL581" t="s">
        <v>778</v>
      </c>
      <c r="BN581" t="s">
        <v>37</v>
      </c>
    </row>
    <row r="582" spans="1:66" x14ac:dyDescent="0.2">
      <c r="A582">
        <v>3693139</v>
      </c>
      <c r="B582">
        <v>21883</v>
      </c>
      <c r="C582">
        <v>523892</v>
      </c>
      <c r="D582">
        <v>52899</v>
      </c>
      <c r="E582">
        <v>100</v>
      </c>
      <c r="F582" t="s">
        <v>37</v>
      </c>
      <c r="G582">
        <v>1</v>
      </c>
      <c r="H582" t="s">
        <v>37</v>
      </c>
      <c r="I582" t="s">
        <v>37</v>
      </c>
      <c r="J582" t="s">
        <v>775</v>
      </c>
      <c r="K582" t="s">
        <v>230</v>
      </c>
      <c r="L582" t="s">
        <v>226</v>
      </c>
      <c r="M582" t="s">
        <v>422</v>
      </c>
      <c r="N582" t="s">
        <v>3310</v>
      </c>
      <c r="O582" t="s">
        <v>3311</v>
      </c>
      <c r="S582">
        <v>0</v>
      </c>
      <c r="T582">
        <v>0</v>
      </c>
      <c r="U582">
        <v>0</v>
      </c>
      <c r="V582">
        <v>0</v>
      </c>
      <c r="W582">
        <v>8</v>
      </c>
      <c r="X582">
        <v>0</v>
      </c>
      <c r="Y582">
        <v>0</v>
      </c>
      <c r="Z582">
        <v>0</v>
      </c>
      <c r="AB582" s="5">
        <v>43396</v>
      </c>
      <c r="AC582" s="5">
        <v>43396</v>
      </c>
      <c r="AD582" s="5">
        <v>43970.333333333336</v>
      </c>
      <c r="AE582" s="5">
        <v>43970.333333333336</v>
      </c>
      <c r="AG582" s="5">
        <v>44044</v>
      </c>
      <c r="AH582" s="5">
        <v>44044</v>
      </c>
      <c r="AK582" s="5">
        <v>43406.333333333336</v>
      </c>
      <c r="AL582" s="5">
        <v>43406.666666666664</v>
      </c>
      <c r="AP582" t="s">
        <v>418</v>
      </c>
      <c r="AU582" t="s">
        <v>3312</v>
      </c>
      <c r="AV582" t="s">
        <v>3313</v>
      </c>
      <c r="AY582" t="s">
        <v>40</v>
      </c>
      <c r="AZ582">
        <v>0</v>
      </c>
      <c r="BA582">
        <v>0</v>
      </c>
      <c r="BI582" s="5">
        <v>44048.176388888889</v>
      </c>
      <c r="BJ582" s="5">
        <v>44048.176388888889</v>
      </c>
      <c r="BK582" t="s">
        <v>778</v>
      </c>
      <c r="BL582" t="s">
        <v>778</v>
      </c>
      <c r="BN582" t="s">
        <v>37</v>
      </c>
    </row>
    <row r="583" spans="1:66" x14ac:dyDescent="0.2">
      <c r="A583">
        <v>3693140</v>
      </c>
      <c r="B583">
        <v>21883</v>
      </c>
      <c r="C583">
        <v>523892</v>
      </c>
      <c r="D583">
        <v>52899</v>
      </c>
      <c r="E583">
        <v>100</v>
      </c>
      <c r="F583" t="s">
        <v>37</v>
      </c>
      <c r="G583">
        <v>1</v>
      </c>
      <c r="H583" t="s">
        <v>37</v>
      </c>
      <c r="I583" t="s">
        <v>37</v>
      </c>
      <c r="J583" t="s">
        <v>775</v>
      </c>
      <c r="K583" t="s">
        <v>230</v>
      </c>
      <c r="L583" t="s">
        <v>226</v>
      </c>
      <c r="M583" t="s">
        <v>422</v>
      </c>
      <c r="N583" t="s">
        <v>3314</v>
      </c>
      <c r="O583" t="s">
        <v>3315</v>
      </c>
      <c r="S583">
        <v>0</v>
      </c>
      <c r="T583">
        <v>8</v>
      </c>
      <c r="U583">
        <v>0</v>
      </c>
      <c r="V583">
        <v>8</v>
      </c>
      <c r="W583">
        <v>8</v>
      </c>
      <c r="X583">
        <v>0</v>
      </c>
      <c r="Y583">
        <v>0</v>
      </c>
      <c r="Z583">
        <v>0</v>
      </c>
      <c r="AB583" s="5">
        <v>43397</v>
      </c>
      <c r="AC583" s="5">
        <v>43397</v>
      </c>
      <c r="AD583" s="5">
        <v>43970.333333333336</v>
      </c>
      <c r="AE583" s="5">
        <v>43970.333333333336</v>
      </c>
      <c r="AG583" s="5">
        <v>44044</v>
      </c>
      <c r="AH583" s="5">
        <v>44044</v>
      </c>
      <c r="AK583" s="5">
        <v>43406.333333333336</v>
      </c>
      <c r="AL583" s="5">
        <v>43406.666666666664</v>
      </c>
      <c r="AP583" t="s">
        <v>418</v>
      </c>
      <c r="AU583" t="s">
        <v>3316</v>
      </c>
      <c r="AV583" t="s">
        <v>3317</v>
      </c>
      <c r="AY583" t="s">
        <v>40</v>
      </c>
      <c r="AZ583">
        <v>8</v>
      </c>
      <c r="BA583">
        <v>0</v>
      </c>
      <c r="BI583" s="5">
        <v>44048.176388888889</v>
      </c>
      <c r="BJ583" s="5">
        <v>44048.176388888889</v>
      </c>
      <c r="BK583" t="s">
        <v>778</v>
      </c>
      <c r="BL583" t="s">
        <v>778</v>
      </c>
      <c r="BN583" t="s">
        <v>37</v>
      </c>
    </row>
    <row r="584" spans="1:66" x14ac:dyDescent="0.2">
      <c r="A584">
        <v>3693141</v>
      </c>
      <c r="B584">
        <v>21883</v>
      </c>
      <c r="C584">
        <v>523891</v>
      </c>
      <c r="D584">
        <v>52899</v>
      </c>
      <c r="E584">
        <v>100</v>
      </c>
      <c r="F584" t="s">
        <v>37</v>
      </c>
      <c r="G584">
        <v>1</v>
      </c>
      <c r="H584" t="s">
        <v>37</v>
      </c>
      <c r="I584" t="s">
        <v>37</v>
      </c>
      <c r="J584" t="s">
        <v>775</v>
      </c>
      <c r="K584" t="s">
        <v>230</v>
      </c>
      <c r="L584" t="s">
        <v>226</v>
      </c>
      <c r="M584" t="s">
        <v>422</v>
      </c>
      <c r="N584" t="s">
        <v>3318</v>
      </c>
      <c r="O584" t="s">
        <v>3319</v>
      </c>
      <c r="S584">
        <v>0</v>
      </c>
      <c r="T584">
        <v>0</v>
      </c>
      <c r="U584">
        <v>0</v>
      </c>
      <c r="V584">
        <v>0</v>
      </c>
      <c r="W584">
        <v>8</v>
      </c>
      <c r="X584">
        <v>0</v>
      </c>
      <c r="Y584">
        <v>0</v>
      </c>
      <c r="Z584">
        <v>0</v>
      </c>
      <c r="AB584" s="5">
        <v>43342.333333333336</v>
      </c>
      <c r="AC584" s="5">
        <v>43342.666666666664</v>
      </c>
      <c r="AD584" s="5">
        <v>43970.333333333336</v>
      </c>
      <c r="AE584" s="5">
        <v>43970.333333333336</v>
      </c>
      <c r="AG584" s="5">
        <v>44044</v>
      </c>
      <c r="AH584" s="5">
        <v>44044</v>
      </c>
      <c r="AK584" s="5">
        <v>43348.333333333336</v>
      </c>
      <c r="AL584" s="5">
        <v>43348.666666666664</v>
      </c>
      <c r="AP584" t="s">
        <v>418</v>
      </c>
      <c r="AU584" t="s">
        <v>3320</v>
      </c>
      <c r="AV584" t="s">
        <v>3321</v>
      </c>
      <c r="AY584" t="s">
        <v>40</v>
      </c>
      <c r="AZ584">
        <v>0</v>
      </c>
      <c r="BA584">
        <v>0</v>
      </c>
      <c r="BI584" s="5">
        <v>44048.176388888889</v>
      </c>
      <c r="BJ584" s="5">
        <v>44048.176388888889</v>
      </c>
      <c r="BK584" t="s">
        <v>778</v>
      </c>
      <c r="BL584" t="s">
        <v>778</v>
      </c>
      <c r="BN584" t="s">
        <v>37</v>
      </c>
    </row>
    <row r="585" spans="1:66" x14ac:dyDescent="0.2">
      <c r="A585">
        <v>3693142</v>
      </c>
      <c r="B585">
        <v>21883</v>
      </c>
      <c r="C585">
        <v>523891</v>
      </c>
      <c r="D585">
        <v>52899</v>
      </c>
      <c r="E585">
        <v>100</v>
      </c>
      <c r="F585" t="s">
        <v>37</v>
      </c>
      <c r="G585">
        <v>1</v>
      </c>
      <c r="H585" t="s">
        <v>37</v>
      </c>
      <c r="I585" t="s">
        <v>37</v>
      </c>
      <c r="J585" t="s">
        <v>775</v>
      </c>
      <c r="K585" t="s">
        <v>230</v>
      </c>
      <c r="L585" t="s">
        <v>226</v>
      </c>
      <c r="M585" t="s">
        <v>422</v>
      </c>
      <c r="N585" t="s">
        <v>3322</v>
      </c>
      <c r="O585" t="s">
        <v>3323</v>
      </c>
      <c r="S585">
        <v>0</v>
      </c>
      <c r="T585">
        <v>0</v>
      </c>
      <c r="U585">
        <v>0</v>
      </c>
      <c r="V585">
        <v>0</v>
      </c>
      <c r="W585">
        <v>8</v>
      </c>
      <c r="X585">
        <v>0</v>
      </c>
      <c r="Y585">
        <v>0</v>
      </c>
      <c r="Z585">
        <v>0</v>
      </c>
      <c r="AB585" s="5">
        <v>43350.333333333336</v>
      </c>
      <c r="AC585" s="5">
        <v>43350.666666666664</v>
      </c>
      <c r="AD585" s="5">
        <v>43970.333333333336</v>
      </c>
      <c r="AE585" s="5">
        <v>43970.333333333336</v>
      </c>
      <c r="AG585" s="5">
        <v>44044</v>
      </c>
      <c r="AH585" s="5">
        <v>44044</v>
      </c>
      <c r="AK585" s="5">
        <v>43350.333333333336</v>
      </c>
      <c r="AL585" s="5">
        <v>43350.666666666664</v>
      </c>
      <c r="AP585" t="s">
        <v>418</v>
      </c>
      <c r="AU585" t="s">
        <v>3324</v>
      </c>
      <c r="AV585" t="s">
        <v>3325</v>
      </c>
      <c r="AY585" t="s">
        <v>40</v>
      </c>
      <c r="AZ585">
        <v>0</v>
      </c>
      <c r="BA585">
        <v>0</v>
      </c>
      <c r="BI585" s="5">
        <v>44048.176388888889</v>
      </c>
      <c r="BJ585" s="5">
        <v>44048.176388888889</v>
      </c>
      <c r="BK585" t="s">
        <v>778</v>
      </c>
      <c r="BL585" t="s">
        <v>778</v>
      </c>
      <c r="BN585" t="s">
        <v>37</v>
      </c>
    </row>
    <row r="586" spans="1:66" x14ac:dyDescent="0.2">
      <c r="A586">
        <v>3693143</v>
      </c>
      <c r="B586">
        <v>21883</v>
      </c>
      <c r="C586">
        <v>523890</v>
      </c>
      <c r="D586">
        <v>52899</v>
      </c>
      <c r="E586">
        <v>100</v>
      </c>
      <c r="F586" t="s">
        <v>37</v>
      </c>
      <c r="G586">
        <v>1</v>
      </c>
      <c r="H586" t="s">
        <v>37</v>
      </c>
      <c r="I586" t="s">
        <v>37</v>
      </c>
      <c r="J586" t="s">
        <v>775</v>
      </c>
      <c r="K586" t="s">
        <v>230</v>
      </c>
      <c r="L586" t="s">
        <v>226</v>
      </c>
      <c r="M586" t="s">
        <v>422</v>
      </c>
      <c r="N586" t="s">
        <v>3326</v>
      </c>
      <c r="O586" t="s">
        <v>3327</v>
      </c>
      <c r="S586">
        <v>0</v>
      </c>
      <c r="T586">
        <v>0</v>
      </c>
      <c r="U586">
        <v>0</v>
      </c>
      <c r="V586">
        <v>0</v>
      </c>
      <c r="W586">
        <v>8</v>
      </c>
      <c r="X586">
        <v>0</v>
      </c>
      <c r="Y586">
        <v>0</v>
      </c>
      <c r="Z586">
        <v>0</v>
      </c>
      <c r="AB586" s="5">
        <v>43370.333333333336</v>
      </c>
      <c r="AC586" s="5">
        <v>43370.666666666664</v>
      </c>
      <c r="AD586" s="5">
        <v>43970.333333333336</v>
      </c>
      <c r="AE586" s="5">
        <v>43970.333333333336</v>
      </c>
      <c r="AG586" s="5">
        <v>44044</v>
      </c>
      <c r="AH586" s="5">
        <v>44044</v>
      </c>
      <c r="AK586" s="5">
        <v>43361.333333333336</v>
      </c>
      <c r="AL586" s="5">
        <v>43361.666666666664</v>
      </c>
      <c r="AP586" t="s">
        <v>418</v>
      </c>
      <c r="AU586" t="s">
        <v>3328</v>
      </c>
      <c r="AV586" t="s">
        <v>3329</v>
      </c>
      <c r="AY586" t="s">
        <v>40</v>
      </c>
      <c r="AZ586">
        <v>0</v>
      </c>
      <c r="BA586">
        <v>0</v>
      </c>
      <c r="BI586" s="5">
        <v>44048.176388888889</v>
      </c>
      <c r="BJ586" s="5">
        <v>44048.176388888889</v>
      </c>
      <c r="BK586" t="s">
        <v>778</v>
      </c>
      <c r="BL586" t="s">
        <v>778</v>
      </c>
      <c r="BN586" t="s">
        <v>37</v>
      </c>
    </row>
    <row r="587" spans="1:66" x14ac:dyDescent="0.2">
      <c r="A587">
        <v>3693144</v>
      </c>
      <c r="B587">
        <v>21883</v>
      </c>
      <c r="C587">
        <v>523890</v>
      </c>
      <c r="D587">
        <v>52899</v>
      </c>
      <c r="E587">
        <v>100</v>
      </c>
      <c r="F587" t="s">
        <v>37</v>
      </c>
      <c r="G587">
        <v>1</v>
      </c>
      <c r="H587" t="s">
        <v>37</v>
      </c>
      <c r="I587" t="s">
        <v>37</v>
      </c>
      <c r="J587" t="s">
        <v>775</v>
      </c>
      <c r="K587" t="s">
        <v>230</v>
      </c>
      <c r="L587" t="s">
        <v>226</v>
      </c>
      <c r="M587" t="s">
        <v>422</v>
      </c>
      <c r="N587" t="s">
        <v>3330</v>
      </c>
      <c r="O587" t="s">
        <v>3331</v>
      </c>
      <c r="S587">
        <v>0</v>
      </c>
      <c r="T587">
        <v>0</v>
      </c>
      <c r="U587">
        <v>0</v>
      </c>
      <c r="V587">
        <v>0</v>
      </c>
      <c r="W587">
        <v>8</v>
      </c>
      <c r="X587">
        <v>0</v>
      </c>
      <c r="Y587">
        <v>0</v>
      </c>
      <c r="Z587">
        <v>0</v>
      </c>
      <c r="AB587" s="5">
        <v>43371.333333333336</v>
      </c>
      <c r="AC587" s="5">
        <v>43371.666666666664</v>
      </c>
      <c r="AD587" s="5">
        <v>43970.333333333336</v>
      </c>
      <c r="AE587" s="5">
        <v>43970.333333333336</v>
      </c>
      <c r="AG587" s="5">
        <v>44044</v>
      </c>
      <c r="AH587" s="5">
        <v>44044</v>
      </c>
      <c r="AK587" s="5">
        <v>43363.333333333336</v>
      </c>
      <c r="AL587" s="5">
        <v>43363.666666666664</v>
      </c>
      <c r="AP587" t="s">
        <v>418</v>
      </c>
      <c r="AU587" t="s">
        <v>3332</v>
      </c>
      <c r="AV587" t="s">
        <v>3333</v>
      </c>
      <c r="AY587" t="s">
        <v>40</v>
      </c>
      <c r="AZ587">
        <v>0</v>
      </c>
      <c r="BA587">
        <v>0</v>
      </c>
      <c r="BI587" s="5">
        <v>44048.176388888889</v>
      </c>
      <c r="BJ587" s="5">
        <v>44048.176388888889</v>
      </c>
      <c r="BK587" t="s">
        <v>778</v>
      </c>
      <c r="BL587" t="s">
        <v>778</v>
      </c>
      <c r="BN587" t="s">
        <v>37</v>
      </c>
    </row>
    <row r="588" spans="1:66" x14ac:dyDescent="0.2">
      <c r="A588">
        <v>3693145</v>
      </c>
      <c r="B588">
        <v>21883</v>
      </c>
      <c r="C588">
        <v>523889</v>
      </c>
      <c r="D588">
        <v>52899</v>
      </c>
      <c r="E588">
        <v>100</v>
      </c>
      <c r="F588" t="s">
        <v>37</v>
      </c>
      <c r="G588">
        <v>1</v>
      </c>
      <c r="H588" t="s">
        <v>37</v>
      </c>
      <c r="I588" t="s">
        <v>37</v>
      </c>
      <c r="J588" t="s">
        <v>775</v>
      </c>
      <c r="K588" t="s">
        <v>230</v>
      </c>
      <c r="L588" t="s">
        <v>226</v>
      </c>
      <c r="M588" t="s">
        <v>422</v>
      </c>
      <c r="N588" t="s">
        <v>3334</v>
      </c>
      <c r="O588" t="s">
        <v>3335</v>
      </c>
      <c r="S588">
        <v>0</v>
      </c>
      <c r="T588">
        <v>0</v>
      </c>
      <c r="U588">
        <v>0</v>
      </c>
      <c r="V588">
        <v>0</v>
      </c>
      <c r="W588">
        <v>8</v>
      </c>
      <c r="X588">
        <v>0</v>
      </c>
      <c r="Y588">
        <v>0</v>
      </c>
      <c r="Z588">
        <v>0</v>
      </c>
      <c r="AB588" s="5">
        <v>43375</v>
      </c>
      <c r="AC588" s="5">
        <v>43375</v>
      </c>
      <c r="AD588" s="5">
        <v>43970.333333333336</v>
      </c>
      <c r="AE588" s="5">
        <v>43970.333333333336</v>
      </c>
      <c r="AG588" s="5">
        <v>44044</v>
      </c>
      <c r="AH588" s="5">
        <v>44044</v>
      </c>
      <c r="AK588" s="5">
        <v>43374.333333333336</v>
      </c>
      <c r="AL588" s="5">
        <v>43374.666666666664</v>
      </c>
      <c r="AP588" t="s">
        <v>418</v>
      </c>
      <c r="AU588" t="s">
        <v>3336</v>
      </c>
      <c r="AV588" t="s">
        <v>3337</v>
      </c>
      <c r="AY588" t="s">
        <v>40</v>
      </c>
      <c r="AZ588">
        <v>0</v>
      </c>
      <c r="BA588">
        <v>0</v>
      </c>
      <c r="BI588" s="5">
        <v>44048.176388888889</v>
      </c>
      <c r="BJ588" s="5">
        <v>44048.176388888889</v>
      </c>
      <c r="BK588" t="s">
        <v>778</v>
      </c>
      <c r="BL588" t="s">
        <v>778</v>
      </c>
      <c r="BN588" t="s">
        <v>37</v>
      </c>
    </row>
    <row r="589" spans="1:66" x14ac:dyDescent="0.2">
      <c r="A589">
        <v>3693146</v>
      </c>
      <c r="B589">
        <v>21883</v>
      </c>
      <c r="C589">
        <v>523889</v>
      </c>
      <c r="D589">
        <v>52899</v>
      </c>
      <c r="E589">
        <v>100</v>
      </c>
      <c r="F589" t="s">
        <v>37</v>
      </c>
      <c r="G589">
        <v>1</v>
      </c>
      <c r="H589" t="s">
        <v>37</v>
      </c>
      <c r="I589" t="s">
        <v>37</v>
      </c>
      <c r="J589" t="s">
        <v>775</v>
      </c>
      <c r="K589" t="s">
        <v>230</v>
      </c>
      <c r="L589" t="s">
        <v>226</v>
      </c>
      <c r="M589" t="s">
        <v>422</v>
      </c>
      <c r="N589" t="s">
        <v>3338</v>
      </c>
      <c r="O589" t="s">
        <v>3339</v>
      </c>
      <c r="S589">
        <v>0</v>
      </c>
      <c r="T589">
        <v>8</v>
      </c>
      <c r="U589">
        <v>0</v>
      </c>
      <c r="V589">
        <v>8</v>
      </c>
      <c r="W589">
        <v>8</v>
      </c>
      <c r="X589">
        <v>0</v>
      </c>
      <c r="Y589">
        <v>0</v>
      </c>
      <c r="Z589">
        <v>0</v>
      </c>
      <c r="AB589" s="5">
        <v>43376</v>
      </c>
      <c r="AC589" s="5">
        <v>43376</v>
      </c>
      <c r="AD589" s="5">
        <v>43970.333333333336</v>
      </c>
      <c r="AE589" s="5">
        <v>43970.333333333336</v>
      </c>
      <c r="AG589" s="5">
        <v>44044</v>
      </c>
      <c r="AH589" s="5">
        <v>44044</v>
      </c>
      <c r="AK589" s="5">
        <v>43375.333333333336</v>
      </c>
      <c r="AL589" s="5">
        <v>43375.666666666664</v>
      </c>
      <c r="AP589" t="s">
        <v>418</v>
      </c>
      <c r="AU589" t="s">
        <v>3340</v>
      </c>
      <c r="AV589" t="s">
        <v>3341</v>
      </c>
      <c r="AY589" t="s">
        <v>40</v>
      </c>
      <c r="AZ589">
        <v>8</v>
      </c>
      <c r="BA589">
        <v>0</v>
      </c>
      <c r="BI589" s="5">
        <v>44048.176388888889</v>
      </c>
      <c r="BJ589" s="5">
        <v>44048.176388888889</v>
      </c>
      <c r="BK589" t="s">
        <v>778</v>
      </c>
      <c r="BL589" t="s">
        <v>778</v>
      </c>
      <c r="BN589" t="s">
        <v>37</v>
      </c>
    </row>
    <row r="590" spans="1:66" x14ac:dyDescent="0.2">
      <c r="A590">
        <v>3693147</v>
      </c>
      <c r="B590">
        <v>21883</v>
      </c>
      <c r="C590">
        <v>523886</v>
      </c>
      <c r="D590">
        <v>52899</v>
      </c>
      <c r="E590">
        <v>100</v>
      </c>
      <c r="F590" t="s">
        <v>37</v>
      </c>
      <c r="G590">
        <v>1</v>
      </c>
      <c r="H590" t="s">
        <v>37</v>
      </c>
      <c r="I590" t="s">
        <v>37</v>
      </c>
      <c r="J590" t="s">
        <v>775</v>
      </c>
      <c r="K590" t="s">
        <v>230</v>
      </c>
      <c r="L590" t="s">
        <v>226</v>
      </c>
      <c r="M590" t="s">
        <v>422</v>
      </c>
      <c r="N590" t="s">
        <v>3342</v>
      </c>
      <c r="O590" t="s">
        <v>3343</v>
      </c>
      <c r="S590">
        <v>0</v>
      </c>
      <c r="T590">
        <v>0</v>
      </c>
      <c r="U590">
        <v>0</v>
      </c>
      <c r="V590">
        <v>0</v>
      </c>
      <c r="W590">
        <v>8</v>
      </c>
      <c r="X590">
        <v>0</v>
      </c>
      <c r="Y590">
        <v>0</v>
      </c>
      <c r="Z590">
        <v>0</v>
      </c>
      <c r="AB590" s="5">
        <v>43377</v>
      </c>
      <c r="AC590" s="5">
        <v>43377</v>
      </c>
      <c r="AD590" s="5">
        <v>43970.333333333336</v>
      </c>
      <c r="AE590" s="5">
        <v>43970.333333333336</v>
      </c>
      <c r="AG590" s="5">
        <v>44044</v>
      </c>
      <c r="AH590" s="5">
        <v>44044</v>
      </c>
      <c r="AK590" s="5">
        <v>43397.333333333336</v>
      </c>
      <c r="AL590" s="5">
        <v>43397.666666666664</v>
      </c>
      <c r="AP590" t="s">
        <v>418</v>
      </c>
      <c r="AU590" t="s">
        <v>3344</v>
      </c>
      <c r="AV590" t="s">
        <v>3345</v>
      </c>
      <c r="AY590" t="s">
        <v>40</v>
      </c>
      <c r="AZ590">
        <v>0</v>
      </c>
      <c r="BA590">
        <v>0</v>
      </c>
      <c r="BI590" s="5">
        <v>44048.176388888889</v>
      </c>
      <c r="BJ590" s="5">
        <v>44048.176388888889</v>
      </c>
      <c r="BK590" t="s">
        <v>778</v>
      </c>
      <c r="BL590" t="s">
        <v>778</v>
      </c>
      <c r="BN590" t="s">
        <v>37</v>
      </c>
    </row>
    <row r="591" spans="1:66" x14ac:dyDescent="0.2">
      <c r="A591">
        <v>3693148</v>
      </c>
      <c r="B591">
        <v>21883</v>
      </c>
      <c r="C591">
        <v>523886</v>
      </c>
      <c r="D591">
        <v>52899</v>
      </c>
      <c r="E591">
        <v>100</v>
      </c>
      <c r="F591" t="s">
        <v>37</v>
      </c>
      <c r="G591">
        <v>1</v>
      </c>
      <c r="H591" t="s">
        <v>37</v>
      </c>
      <c r="I591" t="s">
        <v>37</v>
      </c>
      <c r="J591" t="s">
        <v>775</v>
      </c>
      <c r="K591" t="s">
        <v>230</v>
      </c>
      <c r="L591" t="s">
        <v>226</v>
      </c>
      <c r="M591" t="s">
        <v>422</v>
      </c>
      <c r="N591" t="s">
        <v>3346</v>
      </c>
      <c r="O591" t="s">
        <v>3347</v>
      </c>
      <c r="S591">
        <v>0</v>
      </c>
      <c r="T591">
        <v>8</v>
      </c>
      <c r="U591">
        <v>0</v>
      </c>
      <c r="V591">
        <v>8</v>
      </c>
      <c r="W591">
        <v>8</v>
      </c>
      <c r="X591">
        <v>0</v>
      </c>
      <c r="Y591">
        <v>0</v>
      </c>
      <c r="Z591">
        <v>0</v>
      </c>
      <c r="AB591" s="5">
        <v>43378</v>
      </c>
      <c r="AC591" s="5">
        <v>43378</v>
      </c>
      <c r="AD591" s="5">
        <v>43970.333333333336</v>
      </c>
      <c r="AE591" s="5">
        <v>43970.333333333336</v>
      </c>
      <c r="AG591" s="5">
        <v>44044</v>
      </c>
      <c r="AH591" s="5">
        <v>44044</v>
      </c>
      <c r="AK591" s="5">
        <v>43397.333333333336</v>
      </c>
      <c r="AL591" s="5">
        <v>43397.666666666664</v>
      </c>
      <c r="AP591" t="s">
        <v>418</v>
      </c>
      <c r="AU591" t="s">
        <v>3348</v>
      </c>
      <c r="AV591" t="s">
        <v>3349</v>
      </c>
      <c r="AY591" t="s">
        <v>40</v>
      </c>
      <c r="AZ591">
        <v>8</v>
      </c>
      <c r="BA591">
        <v>0</v>
      </c>
      <c r="BI591" s="5">
        <v>44048.176388888889</v>
      </c>
      <c r="BJ591" s="5">
        <v>44048.176388888889</v>
      </c>
      <c r="BK591" t="s">
        <v>778</v>
      </c>
      <c r="BL591" t="s">
        <v>778</v>
      </c>
      <c r="BN591" t="s">
        <v>37</v>
      </c>
    </row>
    <row r="592" spans="1:66" x14ac:dyDescent="0.2">
      <c r="A592">
        <v>3693149</v>
      </c>
      <c r="B592">
        <v>21883</v>
      </c>
      <c r="C592">
        <v>523886</v>
      </c>
      <c r="D592">
        <v>52899</v>
      </c>
      <c r="E592">
        <v>100</v>
      </c>
      <c r="F592" t="s">
        <v>37</v>
      </c>
      <c r="G592">
        <v>1</v>
      </c>
      <c r="H592" t="s">
        <v>37</v>
      </c>
      <c r="I592" t="s">
        <v>37</v>
      </c>
      <c r="J592" t="s">
        <v>775</v>
      </c>
      <c r="K592" t="s">
        <v>230</v>
      </c>
      <c r="L592" t="s">
        <v>226</v>
      </c>
      <c r="M592" t="s">
        <v>422</v>
      </c>
      <c r="N592" t="s">
        <v>3350</v>
      </c>
      <c r="O592" t="s">
        <v>3351</v>
      </c>
      <c r="S592">
        <v>0</v>
      </c>
      <c r="T592">
        <v>0</v>
      </c>
      <c r="U592">
        <v>0</v>
      </c>
      <c r="V592">
        <v>0</v>
      </c>
      <c r="W592">
        <v>8</v>
      </c>
      <c r="X592">
        <v>0</v>
      </c>
      <c r="Y592">
        <v>0</v>
      </c>
      <c r="Z592">
        <v>0</v>
      </c>
      <c r="AB592" s="5">
        <v>43383</v>
      </c>
      <c r="AC592" s="5">
        <v>43383</v>
      </c>
      <c r="AD592" s="5">
        <v>43970.333333333336</v>
      </c>
      <c r="AE592" s="5">
        <v>43970.333333333336</v>
      </c>
      <c r="AG592" s="5">
        <v>44044</v>
      </c>
      <c r="AH592" s="5">
        <v>44044</v>
      </c>
      <c r="AK592" s="5">
        <v>43397.333333333336</v>
      </c>
      <c r="AL592" s="5">
        <v>43397.666666666664</v>
      </c>
      <c r="AP592" t="s">
        <v>418</v>
      </c>
      <c r="AU592" t="s">
        <v>3352</v>
      </c>
      <c r="AV592" t="s">
        <v>3353</v>
      </c>
      <c r="AY592" t="s">
        <v>40</v>
      </c>
      <c r="AZ592">
        <v>0</v>
      </c>
      <c r="BA592">
        <v>0</v>
      </c>
      <c r="BI592" s="5">
        <v>44048.176388888889</v>
      </c>
      <c r="BJ592" s="5">
        <v>44048.176388888889</v>
      </c>
      <c r="BK592" t="s">
        <v>778</v>
      </c>
      <c r="BL592" t="s">
        <v>778</v>
      </c>
      <c r="BN592" t="s">
        <v>37</v>
      </c>
    </row>
    <row r="593" spans="1:66" x14ac:dyDescent="0.2">
      <c r="A593">
        <v>3693150</v>
      </c>
      <c r="B593">
        <v>21883</v>
      </c>
      <c r="C593">
        <v>523886</v>
      </c>
      <c r="D593">
        <v>52899</v>
      </c>
      <c r="E593">
        <v>100</v>
      </c>
      <c r="F593" t="s">
        <v>37</v>
      </c>
      <c r="G593">
        <v>1</v>
      </c>
      <c r="H593" t="s">
        <v>37</v>
      </c>
      <c r="I593" t="s">
        <v>37</v>
      </c>
      <c r="J593" t="s">
        <v>775</v>
      </c>
      <c r="K593" t="s">
        <v>230</v>
      </c>
      <c r="L593" t="s">
        <v>226</v>
      </c>
      <c r="M593" t="s">
        <v>422</v>
      </c>
      <c r="N593" t="s">
        <v>3354</v>
      </c>
      <c r="O593" t="s">
        <v>3355</v>
      </c>
      <c r="S593">
        <v>0</v>
      </c>
      <c r="T593">
        <v>8</v>
      </c>
      <c r="U593">
        <v>0</v>
      </c>
      <c r="V593">
        <v>8</v>
      </c>
      <c r="W593">
        <v>8</v>
      </c>
      <c r="X593">
        <v>0</v>
      </c>
      <c r="Y593">
        <v>0</v>
      </c>
      <c r="Z593">
        <v>0</v>
      </c>
      <c r="AB593" s="5">
        <v>43390</v>
      </c>
      <c r="AC593" s="5">
        <v>43390</v>
      </c>
      <c r="AD593" s="5">
        <v>43970.333333333336</v>
      </c>
      <c r="AE593" s="5">
        <v>43970.333333333336</v>
      </c>
      <c r="AG593" s="5">
        <v>44044</v>
      </c>
      <c r="AH593" s="5">
        <v>44044</v>
      </c>
      <c r="AK593" s="5">
        <v>43420.333333333336</v>
      </c>
      <c r="AL593" s="5">
        <v>43420.666666666664</v>
      </c>
      <c r="AP593" t="s">
        <v>418</v>
      </c>
      <c r="AU593" t="s">
        <v>3356</v>
      </c>
      <c r="AV593" t="s">
        <v>3357</v>
      </c>
      <c r="AY593" t="s">
        <v>40</v>
      </c>
      <c r="AZ593">
        <v>8</v>
      </c>
      <c r="BA593">
        <v>0</v>
      </c>
      <c r="BI593" s="5">
        <v>44048.176388888889</v>
      </c>
      <c r="BJ593" s="5">
        <v>44048.176388888889</v>
      </c>
      <c r="BK593" t="s">
        <v>778</v>
      </c>
      <c r="BL593" t="s">
        <v>778</v>
      </c>
      <c r="BN593" t="s">
        <v>37</v>
      </c>
    </row>
    <row r="594" spans="1:66" x14ac:dyDescent="0.2">
      <c r="A594">
        <v>3693151</v>
      </c>
      <c r="B594">
        <v>21883</v>
      </c>
      <c r="C594">
        <v>523887</v>
      </c>
      <c r="D594">
        <v>52899</v>
      </c>
      <c r="E594">
        <v>100</v>
      </c>
      <c r="F594" t="s">
        <v>37</v>
      </c>
      <c r="G594">
        <v>1</v>
      </c>
      <c r="H594" t="s">
        <v>37</v>
      </c>
      <c r="I594" t="s">
        <v>37</v>
      </c>
      <c r="J594" t="s">
        <v>775</v>
      </c>
      <c r="K594" t="s">
        <v>230</v>
      </c>
      <c r="L594" t="s">
        <v>226</v>
      </c>
      <c r="M594" t="s">
        <v>422</v>
      </c>
      <c r="N594" t="s">
        <v>3358</v>
      </c>
      <c r="O594" t="s">
        <v>3359</v>
      </c>
      <c r="S594">
        <v>0</v>
      </c>
      <c r="T594">
        <v>0</v>
      </c>
      <c r="U594">
        <v>0</v>
      </c>
      <c r="V594">
        <v>0</v>
      </c>
      <c r="W594">
        <v>8</v>
      </c>
      <c r="X594">
        <v>0</v>
      </c>
      <c r="Y594">
        <v>0</v>
      </c>
      <c r="Z594">
        <v>0</v>
      </c>
      <c r="AB594" s="5">
        <v>43370.333333333336</v>
      </c>
      <c r="AC594" s="5">
        <v>43372.666666666664</v>
      </c>
      <c r="AD594" s="5">
        <v>43970.333333333336</v>
      </c>
      <c r="AE594" s="5">
        <v>43970.333333333336</v>
      </c>
      <c r="AG594" s="5">
        <v>44044</v>
      </c>
      <c r="AH594" s="5">
        <v>44044</v>
      </c>
      <c r="AK594" s="5">
        <v>43360.333333333336</v>
      </c>
      <c r="AL594" s="5">
        <v>43360.666666666664</v>
      </c>
      <c r="AP594" t="s">
        <v>418</v>
      </c>
      <c r="AU594" t="s">
        <v>3360</v>
      </c>
      <c r="AV594" t="s">
        <v>3361</v>
      </c>
      <c r="AY594" t="s">
        <v>40</v>
      </c>
      <c r="AZ594">
        <v>0</v>
      </c>
      <c r="BA594">
        <v>0</v>
      </c>
      <c r="BI594" s="5">
        <v>44048.176388888889</v>
      </c>
      <c r="BJ594" s="5">
        <v>44048.176388888889</v>
      </c>
      <c r="BK594" t="s">
        <v>778</v>
      </c>
      <c r="BL594" t="s">
        <v>778</v>
      </c>
      <c r="BN594" t="s">
        <v>37</v>
      </c>
    </row>
    <row r="595" spans="1:66" x14ac:dyDescent="0.2">
      <c r="A595">
        <v>3693152</v>
      </c>
      <c r="B595">
        <v>21883</v>
      </c>
      <c r="C595">
        <v>523887</v>
      </c>
      <c r="D595">
        <v>52899</v>
      </c>
      <c r="E595">
        <v>100</v>
      </c>
      <c r="F595" t="s">
        <v>37</v>
      </c>
      <c r="G595">
        <v>1</v>
      </c>
      <c r="H595" t="s">
        <v>37</v>
      </c>
      <c r="I595" t="s">
        <v>37</v>
      </c>
      <c r="J595" t="s">
        <v>775</v>
      </c>
      <c r="K595" t="s">
        <v>230</v>
      </c>
      <c r="L595" t="s">
        <v>226</v>
      </c>
      <c r="M595" t="s">
        <v>422</v>
      </c>
      <c r="N595" t="s">
        <v>3362</v>
      </c>
      <c r="O595" t="s">
        <v>3363</v>
      </c>
      <c r="S595">
        <v>0</v>
      </c>
      <c r="T595">
        <v>8</v>
      </c>
      <c r="U595">
        <v>0</v>
      </c>
      <c r="V595">
        <v>8</v>
      </c>
      <c r="W595">
        <v>8</v>
      </c>
      <c r="X595">
        <v>0</v>
      </c>
      <c r="Y595">
        <v>0</v>
      </c>
      <c r="Z595">
        <v>0</v>
      </c>
      <c r="AB595" s="5">
        <v>43374</v>
      </c>
      <c r="AC595" s="5">
        <v>43374</v>
      </c>
      <c r="AD595" s="5">
        <v>43970.333333333336</v>
      </c>
      <c r="AE595" s="5">
        <v>43970.333333333336</v>
      </c>
      <c r="AG595" s="5">
        <v>44044</v>
      </c>
      <c r="AH595" s="5">
        <v>44044</v>
      </c>
      <c r="AK595" s="5">
        <v>43374.333333333336</v>
      </c>
      <c r="AL595" s="5">
        <v>43374.666666666664</v>
      </c>
      <c r="AP595" t="s">
        <v>418</v>
      </c>
      <c r="AU595" t="s">
        <v>3364</v>
      </c>
      <c r="AV595" t="s">
        <v>3365</v>
      </c>
      <c r="AY595" t="s">
        <v>40</v>
      </c>
      <c r="AZ595">
        <v>8</v>
      </c>
      <c r="BA595">
        <v>0</v>
      </c>
      <c r="BI595" s="5">
        <v>44048.176388888889</v>
      </c>
      <c r="BJ595" s="5">
        <v>44048.176388888889</v>
      </c>
      <c r="BK595" t="s">
        <v>778</v>
      </c>
      <c r="BL595" t="s">
        <v>778</v>
      </c>
      <c r="BN595" t="s">
        <v>37</v>
      </c>
    </row>
    <row r="596" spans="1:66" x14ac:dyDescent="0.2">
      <c r="A596">
        <v>3693153</v>
      </c>
      <c r="B596">
        <v>21883</v>
      </c>
      <c r="C596">
        <v>523887</v>
      </c>
      <c r="D596">
        <v>52899</v>
      </c>
      <c r="E596">
        <v>100</v>
      </c>
      <c r="F596" t="s">
        <v>37</v>
      </c>
      <c r="G596">
        <v>1</v>
      </c>
      <c r="H596" t="s">
        <v>37</v>
      </c>
      <c r="I596" t="s">
        <v>37</v>
      </c>
      <c r="J596" t="s">
        <v>775</v>
      </c>
      <c r="K596" t="s">
        <v>230</v>
      </c>
      <c r="L596" t="s">
        <v>226</v>
      </c>
      <c r="M596" t="s">
        <v>422</v>
      </c>
      <c r="N596" t="s">
        <v>3366</v>
      </c>
      <c r="O596" t="s">
        <v>3367</v>
      </c>
      <c r="S596">
        <v>0</v>
      </c>
      <c r="T596">
        <v>0</v>
      </c>
      <c r="U596">
        <v>0</v>
      </c>
      <c r="V596">
        <v>0</v>
      </c>
      <c r="W596">
        <v>8</v>
      </c>
      <c r="X596">
        <v>0</v>
      </c>
      <c r="Y596">
        <v>0</v>
      </c>
      <c r="Z596">
        <v>0</v>
      </c>
      <c r="AB596" s="5">
        <v>43408</v>
      </c>
      <c r="AC596" s="5">
        <v>43408</v>
      </c>
      <c r="AD596" s="5">
        <v>43970.333333333336</v>
      </c>
      <c r="AE596" s="5">
        <v>43970.333333333336</v>
      </c>
      <c r="AG596" s="5">
        <v>44044</v>
      </c>
      <c r="AH596" s="5">
        <v>44044</v>
      </c>
      <c r="AK596" s="5">
        <v>43437.333333333336</v>
      </c>
      <c r="AL596" s="5">
        <v>43437.666666666664</v>
      </c>
      <c r="AP596" t="s">
        <v>418</v>
      </c>
      <c r="AU596" t="s">
        <v>3368</v>
      </c>
      <c r="AV596" t="s">
        <v>3369</v>
      </c>
      <c r="AY596" t="s">
        <v>40</v>
      </c>
      <c r="AZ596">
        <v>0</v>
      </c>
      <c r="BA596">
        <v>0</v>
      </c>
      <c r="BI596" s="5">
        <v>44048.176388888889</v>
      </c>
      <c r="BJ596" s="5">
        <v>44048.176388888889</v>
      </c>
      <c r="BK596" t="s">
        <v>778</v>
      </c>
      <c r="BL596" t="s">
        <v>778</v>
      </c>
      <c r="BN596" t="s">
        <v>37</v>
      </c>
    </row>
    <row r="597" spans="1:66" x14ac:dyDescent="0.2">
      <c r="A597">
        <v>3693154</v>
      </c>
      <c r="B597">
        <v>21883</v>
      </c>
      <c r="C597">
        <v>523887</v>
      </c>
      <c r="D597">
        <v>52899</v>
      </c>
      <c r="E597">
        <v>100</v>
      </c>
      <c r="F597" t="s">
        <v>37</v>
      </c>
      <c r="G597">
        <v>1</v>
      </c>
      <c r="H597" t="s">
        <v>37</v>
      </c>
      <c r="I597" t="s">
        <v>37</v>
      </c>
      <c r="J597" t="s">
        <v>775</v>
      </c>
      <c r="K597" t="s">
        <v>230</v>
      </c>
      <c r="L597" t="s">
        <v>226</v>
      </c>
      <c r="M597" t="s">
        <v>422</v>
      </c>
      <c r="N597" t="s">
        <v>3370</v>
      </c>
      <c r="O597" t="s">
        <v>3371</v>
      </c>
      <c r="S597">
        <v>0</v>
      </c>
      <c r="T597">
        <v>8</v>
      </c>
      <c r="U597">
        <v>0</v>
      </c>
      <c r="V597">
        <v>8</v>
      </c>
      <c r="W597">
        <v>8</v>
      </c>
      <c r="X597">
        <v>0</v>
      </c>
      <c r="Y597">
        <v>0</v>
      </c>
      <c r="Z597">
        <v>0</v>
      </c>
      <c r="AB597" s="5">
        <v>43409</v>
      </c>
      <c r="AC597" s="5">
        <v>43409</v>
      </c>
      <c r="AD597" s="5">
        <v>43970.333333333336</v>
      </c>
      <c r="AE597" s="5">
        <v>43970.333333333336</v>
      </c>
      <c r="AG597" s="5">
        <v>44044</v>
      </c>
      <c r="AH597" s="5">
        <v>44044</v>
      </c>
      <c r="AK597" s="5">
        <v>43437.333333333336</v>
      </c>
      <c r="AL597" s="5">
        <v>43437.666666666664</v>
      </c>
      <c r="AP597" t="s">
        <v>418</v>
      </c>
      <c r="AU597" t="s">
        <v>3372</v>
      </c>
      <c r="AV597" t="s">
        <v>3373</v>
      </c>
      <c r="AY597" t="s">
        <v>40</v>
      </c>
      <c r="AZ597">
        <v>8</v>
      </c>
      <c r="BA597">
        <v>0</v>
      </c>
      <c r="BI597" s="5">
        <v>44048.176388888889</v>
      </c>
      <c r="BJ597" s="5">
        <v>44048.176388888889</v>
      </c>
      <c r="BK597" t="s">
        <v>778</v>
      </c>
      <c r="BL597" t="s">
        <v>778</v>
      </c>
      <c r="BN597" t="s">
        <v>37</v>
      </c>
    </row>
    <row r="598" spans="1:66" x14ac:dyDescent="0.2">
      <c r="A598">
        <v>3693155</v>
      </c>
      <c r="B598">
        <v>21883</v>
      </c>
      <c r="C598">
        <v>523888</v>
      </c>
      <c r="D598">
        <v>52899</v>
      </c>
      <c r="E598">
        <v>100</v>
      </c>
      <c r="F598" t="s">
        <v>37</v>
      </c>
      <c r="G598">
        <v>1</v>
      </c>
      <c r="H598" t="s">
        <v>37</v>
      </c>
      <c r="I598" t="s">
        <v>37</v>
      </c>
      <c r="J598" t="s">
        <v>775</v>
      </c>
      <c r="K598" t="s">
        <v>230</v>
      </c>
      <c r="L598" t="s">
        <v>226</v>
      </c>
      <c r="M598" t="s">
        <v>422</v>
      </c>
      <c r="N598" t="s">
        <v>3374</v>
      </c>
      <c r="O598" t="s">
        <v>3375</v>
      </c>
      <c r="S598">
        <v>0</v>
      </c>
      <c r="T598">
        <v>0</v>
      </c>
      <c r="U598">
        <v>0</v>
      </c>
      <c r="V598">
        <v>0</v>
      </c>
      <c r="W598">
        <v>8</v>
      </c>
      <c r="X598">
        <v>0</v>
      </c>
      <c r="Y598">
        <v>0</v>
      </c>
      <c r="Z598">
        <v>0</v>
      </c>
      <c r="AB598" s="5">
        <v>43320.333333333336</v>
      </c>
      <c r="AC598" s="5">
        <v>43321.666666666664</v>
      </c>
      <c r="AD598" s="5">
        <v>43970.333333333336</v>
      </c>
      <c r="AE598" s="5">
        <v>43970.333333333336</v>
      </c>
      <c r="AG598" s="5">
        <v>44044</v>
      </c>
      <c r="AH598" s="5">
        <v>44044</v>
      </c>
      <c r="AK598" s="5">
        <v>43347.333333333336</v>
      </c>
      <c r="AL598" s="5">
        <v>43347.666666666664</v>
      </c>
      <c r="AP598" t="s">
        <v>418</v>
      </c>
      <c r="AU598" t="s">
        <v>3376</v>
      </c>
      <c r="AV598" t="s">
        <v>3377</v>
      </c>
      <c r="AY598" t="s">
        <v>40</v>
      </c>
      <c r="AZ598">
        <v>0</v>
      </c>
      <c r="BA598">
        <v>0</v>
      </c>
      <c r="BI598" s="5">
        <v>44048.176388888889</v>
      </c>
      <c r="BJ598" s="5">
        <v>44048.176388888889</v>
      </c>
      <c r="BK598" t="s">
        <v>778</v>
      </c>
      <c r="BL598" t="s">
        <v>778</v>
      </c>
      <c r="BN598" t="s">
        <v>37</v>
      </c>
    </row>
    <row r="599" spans="1:66" x14ac:dyDescent="0.2">
      <c r="A599">
        <v>3693156</v>
      </c>
      <c r="B599">
        <v>21883</v>
      </c>
      <c r="C599">
        <v>523888</v>
      </c>
      <c r="D599">
        <v>52899</v>
      </c>
      <c r="E599">
        <v>100</v>
      </c>
      <c r="F599" t="s">
        <v>37</v>
      </c>
      <c r="G599">
        <v>1</v>
      </c>
      <c r="H599" t="s">
        <v>37</v>
      </c>
      <c r="I599" t="s">
        <v>37</v>
      </c>
      <c r="J599" t="s">
        <v>775</v>
      </c>
      <c r="K599" t="s">
        <v>230</v>
      </c>
      <c r="L599" t="s">
        <v>226</v>
      </c>
      <c r="M599" t="s">
        <v>422</v>
      </c>
      <c r="N599" t="s">
        <v>3378</v>
      </c>
      <c r="O599" t="s">
        <v>3379</v>
      </c>
      <c r="S599">
        <v>0</v>
      </c>
      <c r="T599">
        <v>8</v>
      </c>
      <c r="U599">
        <v>0</v>
      </c>
      <c r="V599">
        <v>8</v>
      </c>
      <c r="W599">
        <v>8</v>
      </c>
      <c r="X599">
        <v>0</v>
      </c>
      <c r="Y599">
        <v>0</v>
      </c>
      <c r="Z599">
        <v>0</v>
      </c>
      <c r="AB599" s="5">
        <v>43325</v>
      </c>
      <c r="AC599" s="5">
        <v>43325.666666666664</v>
      </c>
      <c r="AD599" s="5">
        <v>43970.333333333336</v>
      </c>
      <c r="AE599" s="5">
        <v>43970.333333333336</v>
      </c>
      <c r="AG599" s="5">
        <v>44044</v>
      </c>
      <c r="AH599" s="5">
        <v>44044</v>
      </c>
      <c r="AK599" s="5">
        <v>43319.333333333336</v>
      </c>
      <c r="AL599" s="5">
        <v>43319.666666666664</v>
      </c>
      <c r="AP599" t="s">
        <v>418</v>
      </c>
      <c r="AU599" t="s">
        <v>3380</v>
      </c>
      <c r="AV599" t="s">
        <v>3381</v>
      </c>
      <c r="AY599" t="s">
        <v>40</v>
      </c>
      <c r="AZ599">
        <v>8</v>
      </c>
      <c r="BA599">
        <v>0</v>
      </c>
      <c r="BI599" s="5">
        <v>44048.176388888889</v>
      </c>
      <c r="BJ599" s="5">
        <v>44048.176388888889</v>
      </c>
      <c r="BK599" t="s">
        <v>778</v>
      </c>
      <c r="BL599" t="s">
        <v>778</v>
      </c>
      <c r="BN599" t="s">
        <v>37</v>
      </c>
    </row>
    <row r="600" spans="1:66" x14ac:dyDescent="0.2">
      <c r="A600">
        <v>3693157</v>
      </c>
      <c r="B600">
        <v>21883</v>
      </c>
      <c r="C600">
        <v>523888</v>
      </c>
      <c r="D600">
        <v>52899</v>
      </c>
      <c r="E600">
        <v>100</v>
      </c>
      <c r="F600" t="s">
        <v>37</v>
      </c>
      <c r="G600">
        <v>1</v>
      </c>
      <c r="H600" t="s">
        <v>37</v>
      </c>
      <c r="I600" t="s">
        <v>37</v>
      </c>
      <c r="J600" t="s">
        <v>775</v>
      </c>
      <c r="K600" t="s">
        <v>230</v>
      </c>
      <c r="L600" t="s">
        <v>226</v>
      </c>
      <c r="M600" t="s">
        <v>422</v>
      </c>
      <c r="N600" t="s">
        <v>3382</v>
      </c>
      <c r="O600" t="s">
        <v>3383</v>
      </c>
      <c r="S600">
        <v>0</v>
      </c>
      <c r="T600">
        <v>0</v>
      </c>
      <c r="U600">
        <v>0</v>
      </c>
      <c r="V600">
        <v>0</v>
      </c>
      <c r="W600">
        <v>8</v>
      </c>
      <c r="X600">
        <v>0</v>
      </c>
      <c r="Y600">
        <v>0</v>
      </c>
      <c r="Z600">
        <v>0</v>
      </c>
      <c r="AB600" s="5">
        <v>43332.333333333336</v>
      </c>
      <c r="AC600" s="5">
        <v>43334.666666666664</v>
      </c>
      <c r="AD600" s="5">
        <v>43970.333333333336</v>
      </c>
      <c r="AE600" s="5">
        <v>43970.333333333336</v>
      </c>
      <c r="AG600" s="5">
        <v>44044</v>
      </c>
      <c r="AH600" s="5">
        <v>44044</v>
      </c>
      <c r="AK600" s="5">
        <v>43348.333333333336</v>
      </c>
      <c r="AL600" s="5">
        <v>43348.666666666664</v>
      </c>
      <c r="AP600" t="s">
        <v>418</v>
      </c>
      <c r="AU600" t="s">
        <v>3384</v>
      </c>
      <c r="AV600" t="s">
        <v>3385</v>
      </c>
      <c r="AY600" t="s">
        <v>40</v>
      </c>
      <c r="AZ600">
        <v>0</v>
      </c>
      <c r="BA600">
        <v>0</v>
      </c>
      <c r="BI600" s="5">
        <v>44048.176388888889</v>
      </c>
      <c r="BJ600" s="5">
        <v>44048.176388888889</v>
      </c>
      <c r="BK600" t="s">
        <v>778</v>
      </c>
      <c r="BL600" t="s">
        <v>778</v>
      </c>
      <c r="BN600" t="s">
        <v>37</v>
      </c>
    </row>
    <row r="601" spans="1:66" x14ac:dyDescent="0.2">
      <c r="A601">
        <v>3693158</v>
      </c>
      <c r="B601">
        <v>21883</v>
      </c>
      <c r="C601">
        <v>523888</v>
      </c>
      <c r="D601">
        <v>52899</v>
      </c>
      <c r="E601">
        <v>100</v>
      </c>
      <c r="F601" t="s">
        <v>37</v>
      </c>
      <c r="G601">
        <v>1</v>
      </c>
      <c r="H601" t="s">
        <v>37</v>
      </c>
      <c r="I601" t="s">
        <v>37</v>
      </c>
      <c r="J601" t="s">
        <v>775</v>
      </c>
      <c r="K601" t="s">
        <v>230</v>
      </c>
      <c r="L601" t="s">
        <v>226</v>
      </c>
      <c r="M601" t="s">
        <v>422</v>
      </c>
      <c r="N601" t="s">
        <v>3386</v>
      </c>
      <c r="O601" t="s">
        <v>3387</v>
      </c>
      <c r="S601">
        <v>0</v>
      </c>
      <c r="T601">
        <v>8</v>
      </c>
      <c r="U601">
        <v>0</v>
      </c>
      <c r="V601">
        <v>8</v>
      </c>
      <c r="W601">
        <v>8</v>
      </c>
      <c r="X601">
        <v>0</v>
      </c>
      <c r="Y601">
        <v>0</v>
      </c>
      <c r="Z601">
        <v>0</v>
      </c>
      <c r="AB601" s="5">
        <v>43336</v>
      </c>
      <c r="AC601" s="5">
        <v>43336.666666666664</v>
      </c>
      <c r="AD601" s="5">
        <v>43970.333333333336</v>
      </c>
      <c r="AE601" s="5">
        <v>43970.333333333336</v>
      </c>
      <c r="AG601" s="5">
        <v>44044</v>
      </c>
      <c r="AH601" s="5">
        <v>44044</v>
      </c>
      <c r="AK601" s="5">
        <v>43347.333333333336</v>
      </c>
      <c r="AL601" s="5">
        <v>43347.666666666664</v>
      </c>
      <c r="AP601" t="s">
        <v>418</v>
      </c>
      <c r="AU601" t="s">
        <v>3388</v>
      </c>
      <c r="AV601" t="s">
        <v>3389</v>
      </c>
      <c r="AY601" t="s">
        <v>40</v>
      </c>
      <c r="AZ601">
        <v>8</v>
      </c>
      <c r="BA601">
        <v>0</v>
      </c>
      <c r="BI601" s="5">
        <v>44048.176388888889</v>
      </c>
      <c r="BJ601" s="5">
        <v>44048.176388888889</v>
      </c>
      <c r="BK601" t="s">
        <v>778</v>
      </c>
      <c r="BL601" t="s">
        <v>778</v>
      </c>
      <c r="BN601" t="s">
        <v>37</v>
      </c>
    </row>
    <row r="602" spans="1:66" x14ac:dyDescent="0.2">
      <c r="A602">
        <v>3693159</v>
      </c>
      <c r="B602">
        <v>21883</v>
      </c>
      <c r="C602">
        <v>523972</v>
      </c>
      <c r="D602">
        <v>52893</v>
      </c>
      <c r="E602">
        <v>100</v>
      </c>
      <c r="F602" t="s">
        <v>37</v>
      </c>
      <c r="G602">
        <v>1</v>
      </c>
      <c r="H602" t="s">
        <v>37</v>
      </c>
      <c r="I602" t="s">
        <v>37</v>
      </c>
      <c r="J602" t="s">
        <v>775</v>
      </c>
      <c r="K602" t="s">
        <v>230</v>
      </c>
      <c r="L602" t="s">
        <v>226</v>
      </c>
      <c r="M602" t="s">
        <v>422</v>
      </c>
      <c r="N602" t="s">
        <v>3390</v>
      </c>
      <c r="O602" t="s">
        <v>3391</v>
      </c>
      <c r="S602">
        <v>0</v>
      </c>
      <c r="T602">
        <v>24</v>
      </c>
      <c r="U602">
        <v>0</v>
      </c>
      <c r="V602">
        <v>24</v>
      </c>
      <c r="W602">
        <v>24</v>
      </c>
      <c r="X602">
        <v>0</v>
      </c>
      <c r="Y602">
        <v>0</v>
      </c>
      <c r="Z602">
        <v>0</v>
      </c>
      <c r="AB602" s="5">
        <v>43210.333333333336</v>
      </c>
      <c r="AC602" s="5">
        <v>43212.666666666664</v>
      </c>
      <c r="AD602" s="5">
        <v>43970.333333333336</v>
      </c>
      <c r="AE602" s="5">
        <v>43970.333333333336</v>
      </c>
      <c r="AG602" s="5">
        <v>44044</v>
      </c>
      <c r="AH602" s="5">
        <v>44044</v>
      </c>
      <c r="AK602" s="5">
        <v>43210.333333333336</v>
      </c>
      <c r="AL602" s="5">
        <v>43212.666666666664</v>
      </c>
      <c r="AP602" t="s">
        <v>418</v>
      </c>
      <c r="AU602" t="s">
        <v>3392</v>
      </c>
      <c r="AV602" t="s">
        <v>3393</v>
      </c>
      <c r="AY602" t="s">
        <v>40</v>
      </c>
      <c r="AZ602">
        <v>24</v>
      </c>
      <c r="BA602">
        <v>0</v>
      </c>
      <c r="BI602" s="5">
        <v>44048.176388888889</v>
      </c>
      <c r="BJ602" s="5">
        <v>44048.176388888889</v>
      </c>
      <c r="BK602" t="s">
        <v>778</v>
      </c>
      <c r="BL602" t="s">
        <v>778</v>
      </c>
      <c r="BN602" t="s">
        <v>37</v>
      </c>
    </row>
    <row r="603" spans="1:66" x14ac:dyDescent="0.2">
      <c r="A603">
        <v>3693160</v>
      </c>
      <c r="B603">
        <v>21883</v>
      </c>
      <c r="C603">
        <v>523972</v>
      </c>
      <c r="D603">
        <v>52893</v>
      </c>
      <c r="E603">
        <v>100</v>
      </c>
      <c r="F603" t="s">
        <v>37</v>
      </c>
      <c r="G603">
        <v>1</v>
      </c>
      <c r="H603" t="s">
        <v>37</v>
      </c>
      <c r="I603" t="s">
        <v>37</v>
      </c>
      <c r="J603" t="s">
        <v>775</v>
      </c>
      <c r="K603" t="s">
        <v>230</v>
      </c>
      <c r="L603" t="s">
        <v>226</v>
      </c>
      <c r="M603" t="s">
        <v>422</v>
      </c>
      <c r="N603" t="s">
        <v>3394</v>
      </c>
      <c r="O603" t="s">
        <v>3395</v>
      </c>
      <c r="S603">
        <v>0</v>
      </c>
      <c r="T603">
        <v>24</v>
      </c>
      <c r="U603">
        <v>0</v>
      </c>
      <c r="V603">
        <v>24</v>
      </c>
      <c r="W603">
        <v>24</v>
      </c>
      <c r="X603">
        <v>0</v>
      </c>
      <c r="Y603">
        <v>0</v>
      </c>
      <c r="Z603">
        <v>0</v>
      </c>
      <c r="AB603" s="5">
        <v>43224.333333333336</v>
      </c>
      <c r="AC603" s="5">
        <v>43226.666666666664</v>
      </c>
      <c r="AD603" s="5">
        <v>43970.333333333336</v>
      </c>
      <c r="AE603" s="5">
        <v>43970.333333333336</v>
      </c>
      <c r="AG603" s="5">
        <v>44044</v>
      </c>
      <c r="AH603" s="5">
        <v>44044</v>
      </c>
      <c r="AK603" s="5">
        <v>43224.333333333336</v>
      </c>
      <c r="AL603" s="5">
        <v>43226.666666666664</v>
      </c>
      <c r="AP603" t="s">
        <v>418</v>
      </c>
      <c r="AU603" t="s">
        <v>3396</v>
      </c>
      <c r="AV603" t="s">
        <v>3397</v>
      </c>
      <c r="AY603" t="s">
        <v>40</v>
      </c>
      <c r="AZ603">
        <v>24</v>
      </c>
      <c r="BA603">
        <v>0</v>
      </c>
      <c r="BI603" s="5">
        <v>44048.176388888889</v>
      </c>
      <c r="BJ603" s="5">
        <v>44048.176388888889</v>
      </c>
      <c r="BK603" t="s">
        <v>778</v>
      </c>
      <c r="BL603" t="s">
        <v>778</v>
      </c>
      <c r="BN603" t="s">
        <v>37</v>
      </c>
    </row>
    <row r="604" spans="1:66" x14ac:dyDescent="0.2">
      <c r="A604">
        <v>3693161</v>
      </c>
      <c r="B604">
        <v>21883</v>
      </c>
      <c r="C604">
        <v>523972</v>
      </c>
      <c r="D604">
        <v>52893</v>
      </c>
      <c r="E604">
        <v>100</v>
      </c>
      <c r="F604" t="s">
        <v>37</v>
      </c>
      <c r="G604">
        <v>1</v>
      </c>
      <c r="H604" t="s">
        <v>37</v>
      </c>
      <c r="I604" t="s">
        <v>37</v>
      </c>
      <c r="J604" t="s">
        <v>775</v>
      </c>
      <c r="K604" t="s">
        <v>230</v>
      </c>
      <c r="L604" t="s">
        <v>226</v>
      </c>
      <c r="M604" t="s">
        <v>422</v>
      </c>
      <c r="N604" t="s">
        <v>3398</v>
      </c>
      <c r="O604" t="s">
        <v>3399</v>
      </c>
      <c r="S604">
        <v>0</v>
      </c>
      <c r="T604">
        <v>24</v>
      </c>
      <c r="U604">
        <v>0</v>
      </c>
      <c r="V604">
        <v>24</v>
      </c>
      <c r="W604">
        <v>24</v>
      </c>
      <c r="X604">
        <v>0</v>
      </c>
      <c r="Y604">
        <v>0</v>
      </c>
      <c r="Z604">
        <v>0</v>
      </c>
      <c r="AB604" s="5">
        <v>43224.333333333336</v>
      </c>
      <c r="AC604" s="5">
        <v>43226.666666666664</v>
      </c>
      <c r="AD604" s="5">
        <v>43970.333333333336</v>
      </c>
      <c r="AE604" s="5">
        <v>43970.333333333336</v>
      </c>
      <c r="AG604" s="5">
        <v>44044</v>
      </c>
      <c r="AH604" s="5">
        <v>44044</v>
      </c>
      <c r="AK604" s="5">
        <v>43231.666666666664</v>
      </c>
      <c r="AL604" s="5">
        <v>43238.666666666664</v>
      </c>
      <c r="AP604" t="s">
        <v>418</v>
      </c>
      <c r="AU604" t="s">
        <v>3400</v>
      </c>
      <c r="AV604" t="s">
        <v>3401</v>
      </c>
      <c r="AY604" t="s">
        <v>40</v>
      </c>
      <c r="AZ604">
        <v>24</v>
      </c>
      <c r="BA604">
        <v>0</v>
      </c>
      <c r="BI604" s="5">
        <v>44048.176388888889</v>
      </c>
      <c r="BJ604" s="5">
        <v>44048.176388888889</v>
      </c>
      <c r="BK604" t="s">
        <v>778</v>
      </c>
      <c r="BL604" t="s">
        <v>778</v>
      </c>
      <c r="BN604" t="s">
        <v>37</v>
      </c>
    </row>
    <row r="605" spans="1:66" x14ac:dyDescent="0.2">
      <c r="A605">
        <v>3693162</v>
      </c>
      <c r="B605">
        <v>21883</v>
      </c>
      <c r="C605">
        <v>523972</v>
      </c>
      <c r="D605">
        <v>52893</v>
      </c>
      <c r="E605">
        <v>100</v>
      </c>
      <c r="F605" t="s">
        <v>37</v>
      </c>
      <c r="G605">
        <v>1</v>
      </c>
      <c r="H605" t="s">
        <v>37</v>
      </c>
      <c r="I605" t="s">
        <v>37</v>
      </c>
      <c r="J605" t="s">
        <v>775</v>
      </c>
      <c r="K605" t="s">
        <v>230</v>
      </c>
      <c r="L605" t="s">
        <v>226</v>
      </c>
      <c r="M605" t="s">
        <v>422</v>
      </c>
      <c r="N605" t="s">
        <v>3402</v>
      </c>
      <c r="O605" t="s">
        <v>3403</v>
      </c>
      <c r="S605">
        <v>0</v>
      </c>
      <c r="T605">
        <v>24</v>
      </c>
      <c r="U605">
        <v>0</v>
      </c>
      <c r="V605">
        <v>24</v>
      </c>
      <c r="W605">
        <v>24</v>
      </c>
      <c r="X605">
        <v>0</v>
      </c>
      <c r="Y605">
        <v>0</v>
      </c>
      <c r="Z605">
        <v>0</v>
      </c>
      <c r="AB605" s="5">
        <v>43252.333333333336</v>
      </c>
      <c r="AC605" s="5">
        <v>43254.666666666664</v>
      </c>
      <c r="AD605" s="5">
        <v>43970.333333333336</v>
      </c>
      <c r="AE605" s="5">
        <v>43970.333333333336</v>
      </c>
      <c r="AG605" s="5">
        <v>44044</v>
      </c>
      <c r="AH605" s="5">
        <v>44044</v>
      </c>
      <c r="AK605" s="5">
        <v>43282.333333333336</v>
      </c>
      <c r="AL605" s="5">
        <v>43288.666666666664</v>
      </c>
      <c r="AP605" t="s">
        <v>418</v>
      </c>
      <c r="AU605" t="s">
        <v>3404</v>
      </c>
      <c r="AV605" t="s">
        <v>3405</v>
      </c>
      <c r="AY605" t="s">
        <v>40</v>
      </c>
      <c r="AZ605">
        <v>24</v>
      </c>
      <c r="BA605">
        <v>0</v>
      </c>
      <c r="BI605" s="5">
        <v>44048.176388888889</v>
      </c>
      <c r="BJ605" s="5">
        <v>44048.176388888889</v>
      </c>
      <c r="BK605" t="s">
        <v>778</v>
      </c>
      <c r="BL605" t="s">
        <v>778</v>
      </c>
      <c r="BN605" t="s">
        <v>37</v>
      </c>
    </row>
    <row r="606" spans="1:66" x14ac:dyDescent="0.2">
      <c r="A606">
        <v>3693163</v>
      </c>
      <c r="B606">
        <v>21883</v>
      </c>
      <c r="C606">
        <v>523972</v>
      </c>
      <c r="D606">
        <v>52893</v>
      </c>
      <c r="E606">
        <v>100</v>
      </c>
      <c r="F606" t="s">
        <v>37</v>
      </c>
      <c r="G606">
        <v>1</v>
      </c>
      <c r="H606" t="s">
        <v>37</v>
      </c>
      <c r="I606" t="s">
        <v>37</v>
      </c>
      <c r="J606" t="s">
        <v>775</v>
      </c>
      <c r="K606" t="s">
        <v>230</v>
      </c>
      <c r="L606" t="s">
        <v>226</v>
      </c>
      <c r="M606" t="s">
        <v>422</v>
      </c>
      <c r="N606" t="s">
        <v>3406</v>
      </c>
      <c r="O606" t="s">
        <v>3407</v>
      </c>
      <c r="S606">
        <v>0</v>
      </c>
      <c r="T606">
        <v>24</v>
      </c>
      <c r="U606">
        <v>0</v>
      </c>
      <c r="V606">
        <v>24</v>
      </c>
      <c r="W606">
        <v>24</v>
      </c>
      <c r="X606">
        <v>0</v>
      </c>
      <c r="Y606">
        <v>0</v>
      </c>
      <c r="Z606">
        <v>0</v>
      </c>
      <c r="AB606" s="5">
        <v>43259.333333333336</v>
      </c>
      <c r="AC606" s="5">
        <v>43261.666666666664</v>
      </c>
      <c r="AD606" s="5">
        <v>43970.333333333336</v>
      </c>
      <c r="AE606" s="5">
        <v>43970.333333333336</v>
      </c>
      <c r="AG606" s="5">
        <v>44044</v>
      </c>
      <c r="AH606" s="5">
        <v>44044</v>
      </c>
      <c r="AK606" s="5">
        <v>43294.333333333336</v>
      </c>
      <c r="AL606" s="5">
        <v>43296.666666666664</v>
      </c>
      <c r="AP606" t="s">
        <v>418</v>
      </c>
      <c r="AU606" t="s">
        <v>3408</v>
      </c>
      <c r="AV606" t="s">
        <v>3409</v>
      </c>
      <c r="AY606" t="s">
        <v>40</v>
      </c>
      <c r="AZ606">
        <v>24</v>
      </c>
      <c r="BA606">
        <v>0</v>
      </c>
      <c r="BI606" s="5">
        <v>44048.176388888889</v>
      </c>
      <c r="BJ606" s="5">
        <v>44048.176388888889</v>
      </c>
      <c r="BK606" t="s">
        <v>778</v>
      </c>
      <c r="BL606" t="s">
        <v>778</v>
      </c>
      <c r="BN606" t="s">
        <v>37</v>
      </c>
    </row>
    <row r="607" spans="1:66" x14ac:dyDescent="0.2">
      <c r="A607">
        <v>3693164</v>
      </c>
      <c r="B607">
        <v>21883</v>
      </c>
      <c r="C607">
        <v>523972</v>
      </c>
      <c r="D607">
        <v>52893</v>
      </c>
      <c r="E607">
        <v>100</v>
      </c>
      <c r="F607" t="s">
        <v>37</v>
      </c>
      <c r="G607">
        <v>1</v>
      </c>
      <c r="H607" t="s">
        <v>37</v>
      </c>
      <c r="I607" t="s">
        <v>37</v>
      </c>
      <c r="J607" t="s">
        <v>775</v>
      </c>
      <c r="K607" t="s">
        <v>230</v>
      </c>
      <c r="L607" t="s">
        <v>226</v>
      </c>
      <c r="M607" t="s">
        <v>422</v>
      </c>
      <c r="N607" t="s">
        <v>3410</v>
      </c>
      <c r="O607" t="s">
        <v>3411</v>
      </c>
      <c r="S607">
        <v>0</v>
      </c>
      <c r="T607">
        <v>24</v>
      </c>
      <c r="U607">
        <v>0</v>
      </c>
      <c r="V607">
        <v>24</v>
      </c>
      <c r="W607">
        <v>24</v>
      </c>
      <c r="X607">
        <v>0</v>
      </c>
      <c r="Y607">
        <v>0</v>
      </c>
      <c r="Z607">
        <v>0</v>
      </c>
      <c r="AB607" s="5">
        <v>43259.333333333336</v>
      </c>
      <c r="AC607" s="5">
        <v>43261.666666666664</v>
      </c>
      <c r="AD607" s="5">
        <v>43970.333333333336</v>
      </c>
      <c r="AE607" s="5">
        <v>43970.333333333336</v>
      </c>
      <c r="AG607" s="5">
        <v>44044</v>
      </c>
      <c r="AH607" s="5">
        <v>44044</v>
      </c>
      <c r="AK607" s="5">
        <v>43301.333333333336</v>
      </c>
      <c r="AL607" s="5">
        <v>43303.666666666664</v>
      </c>
      <c r="AP607" t="s">
        <v>418</v>
      </c>
      <c r="AU607" t="s">
        <v>3412</v>
      </c>
      <c r="AV607" t="s">
        <v>3413</v>
      </c>
      <c r="AY607" t="s">
        <v>40</v>
      </c>
      <c r="AZ607">
        <v>24</v>
      </c>
      <c r="BA607">
        <v>0</v>
      </c>
      <c r="BI607" s="5">
        <v>44048.176388888889</v>
      </c>
      <c r="BJ607" s="5">
        <v>44048.176388888889</v>
      </c>
      <c r="BK607" t="s">
        <v>778</v>
      </c>
      <c r="BL607" t="s">
        <v>778</v>
      </c>
      <c r="BN607" t="s">
        <v>37</v>
      </c>
    </row>
    <row r="608" spans="1:66" x14ac:dyDescent="0.2">
      <c r="A608">
        <v>3693165</v>
      </c>
      <c r="B608">
        <v>21883</v>
      </c>
      <c r="C608">
        <v>523972</v>
      </c>
      <c r="D608">
        <v>52899</v>
      </c>
      <c r="E608">
        <v>100</v>
      </c>
      <c r="F608" t="s">
        <v>37</v>
      </c>
      <c r="G608">
        <v>1</v>
      </c>
      <c r="H608" t="s">
        <v>37</v>
      </c>
      <c r="I608" t="s">
        <v>37</v>
      </c>
      <c r="J608" t="s">
        <v>775</v>
      </c>
      <c r="K608" t="s">
        <v>230</v>
      </c>
      <c r="L608" t="s">
        <v>226</v>
      </c>
      <c r="M608" t="s">
        <v>422</v>
      </c>
      <c r="N608" t="s">
        <v>3414</v>
      </c>
      <c r="O608" t="s">
        <v>3415</v>
      </c>
      <c r="S608">
        <v>0</v>
      </c>
      <c r="T608">
        <v>0</v>
      </c>
      <c r="U608">
        <v>0</v>
      </c>
      <c r="V608">
        <v>0</v>
      </c>
      <c r="W608">
        <v>32</v>
      </c>
      <c r="X608">
        <v>0</v>
      </c>
      <c r="Y608">
        <v>0</v>
      </c>
      <c r="Z608">
        <v>0</v>
      </c>
      <c r="AB608" s="5">
        <v>43231.333333333336</v>
      </c>
      <c r="AC608" s="5">
        <v>43244.666666666664</v>
      </c>
      <c r="AD608" s="5">
        <v>43970.333333333336</v>
      </c>
      <c r="AE608" s="5">
        <v>43970.333333333336</v>
      </c>
      <c r="AG608" s="5">
        <v>44044</v>
      </c>
      <c r="AH608" s="5">
        <v>44044</v>
      </c>
      <c r="AK608" s="5">
        <v>43227.333333333336</v>
      </c>
      <c r="AL608" s="5">
        <v>43231.666666666664</v>
      </c>
      <c r="AP608" t="s">
        <v>418</v>
      </c>
      <c r="AU608" t="s">
        <v>3416</v>
      </c>
      <c r="AV608" t="s">
        <v>3417</v>
      </c>
      <c r="AY608" t="s">
        <v>40</v>
      </c>
      <c r="AZ608">
        <v>0</v>
      </c>
      <c r="BA608">
        <v>0</v>
      </c>
      <c r="BI608" s="5">
        <v>44048.176388888889</v>
      </c>
      <c r="BJ608" s="5">
        <v>44048.176388888889</v>
      </c>
      <c r="BK608" t="s">
        <v>778</v>
      </c>
      <c r="BL608" t="s">
        <v>778</v>
      </c>
      <c r="BN608" t="s">
        <v>37</v>
      </c>
    </row>
    <row r="609" spans="1:66" x14ac:dyDescent="0.2">
      <c r="A609">
        <v>3693166</v>
      </c>
      <c r="B609">
        <v>21883</v>
      </c>
      <c r="C609">
        <v>523972</v>
      </c>
      <c r="D609">
        <v>52899</v>
      </c>
      <c r="E609">
        <v>100</v>
      </c>
      <c r="F609" t="s">
        <v>37</v>
      </c>
      <c r="G609">
        <v>1</v>
      </c>
      <c r="H609" t="s">
        <v>37</v>
      </c>
      <c r="I609" t="s">
        <v>37</v>
      </c>
      <c r="J609" t="s">
        <v>775</v>
      </c>
      <c r="K609" t="s">
        <v>230</v>
      </c>
      <c r="L609" t="s">
        <v>226</v>
      </c>
      <c r="M609" t="s">
        <v>422</v>
      </c>
      <c r="N609" t="s">
        <v>3418</v>
      </c>
      <c r="O609" t="s">
        <v>3419</v>
      </c>
      <c r="S609">
        <v>0</v>
      </c>
      <c r="T609">
        <v>0</v>
      </c>
      <c r="U609">
        <v>0</v>
      </c>
      <c r="V609">
        <v>0</v>
      </c>
      <c r="W609">
        <v>32</v>
      </c>
      <c r="X609">
        <v>0</v>
      </c>
      <c r="Y609">
        <v>0</v>
      </c>
      <c r="Z609">
        <v>0</v>
      </c>
      <c r="AB609" s="5">
        <v>43259</v>
      </c>
      <c r="AC609" s="5">
        <v>43259.666666666664</v>
      </c>
      <c r="AD609" s="5">
        <v>43970.333333333336</v>
      </c>
      <c r="AE609" s="5">
        <v>43970.333333333336</v>
      </c>
      <c r="AG609" s="5">
        <v>44044</v>
      </c>
      <c r="AH609" s="5">
        <v>44044</v>
      </c>
      <c r="AK609" s="5">
        <v>43283.333333333336</v>
      </c>
      <c r="AL609" s="5">
        <v>43287.666666666664</v>
      </c>
      <c r="AP609" t="s">
        <v>418</v>
      </c>
      <c r="AU609" t="s">
        <v>3420</v>
      </c>
      <c r="AV609" t="s">
        <v>3421</v>
      </c>
      <c r="AY609" t="s">
        <v>40</v>
      </c>
      <c r="AZ609">
        <v>0</v>
      </c>
      <c r="BA609">
        <v>0</v>
      </c>
      <c r="BI609" s="5">
        <v>44048.176388888889</v>
      </c>
      <c r="BJ609" s="5">
        <v>44048.176388888889</v>
      </c>
      <c r="BK609" t="s">
        <v>778</v>
      </c>
      <c r="BL609" t="s">
        <v>778</v>
      </c>
      <c r="BN609" t="s">
        <v>37</v>
      </c>
    </row>
    <row r="610" spans="1:66" x14ac:dyDescent="0.2">
      <c r="A610">
        <v>3693167</v>
      </c>
      <c r="B610">
        <v>21883</v>
      </c>
      <c r="C610">
        <v>523972</v>
      </c>
      <c r="D610">
        <v>52899</v>
      </c>
      <c r="E610">
        <v>100</v>
      </c>
      <c r="F610" t="s">
        <v>37</v>
      </c>
      <c r="G610">
        <v>1</v>
      </c>
      <c r="H610" t="s">
        <v>37</v>
      </c>
      <c r="I610" t="s">
        <v>37</v>
      </c>
      <c r="J610" t="s">
        <v>775</v>
      </c>
      <c r="K610" t="s">
        <v>230</v>
      </c>
      <c r="L610" t="s">
        <v>226</v>
      </c>
      <c r="M610" t="s">
        <v>422</v>
      </c>
      <c r="N610" t="s">
        <v>3422</v>
      </c>
      <c r="O610" t="s">
        <v>3423</v>
      </c>
      <c r="S610">
        <v>0</v>
      </c>
      <c r="T610">
        <v>0</v>
      </c>
      <c r="U610">
        <v>0</v>
      </c>
      <c r="V610">
        <v>0</v>
      </c>
      <c r="W610">
        <v>32</v>
      </c>
      <c r="X610">
        <v>0</v>
      </c>
      <c r="Y610">
        <v>0</v>
      </c>
      <c r="Z610">
        <v>0</v>
      </c>
      <c r="AB610" s="5">
        <v>43261</v>
      </c>
      <c r="AC610" s="5">
        <v>43261.666666666664</v>
      </c>
      <c r="AD610" s="5">
        <v>43970.333333333336</v>
      </c>
      <c r="AE610" s="5">
        <v>43970.333333333336</v>
      </c>
      <c r="AG610" s="5">
        <v>44044</v>
      </c>
      <c r="AH610" s="5">
        <v>44044</v>
      </c>
      <c r="AK610" s="5">
        <v>43313.333333333336</v>
      </c>
      <c r="AL610" s="5">
        <v>43319.666666666664</v>
      </c>
      <c r="AP610" t="s">
        <v>418</v>
      </c>
      <c r="AU610" t="s">
        <v>3424</v>
      </c>
      <c r="AV610" t="s">
        <v>3425</v>
      </c>
      <c r="AY610" t="s">
        <v>40</v>
      </c>
      <c r="AZ610">
        <v>0</v>
      </c>
      <c r="BA610">
        <v>0</v>
      </c>
      <c r="BI610" s="5">
        <v>44048.176388888889</v>
      </c>
      <c r="BJ610" s="5">
        <v>44048.176388888889</v>
      </c>
      <c r="BK610" t="s">
        <v>778</v>
      </c>
      <c r="BL610" t="s">
        <v>778</v>
      </c>
      <c r="BN610" t="s">
        <v>37</v>
      </c>
    </row>
    <row r="611" spans="1:66" x14ac:dyDescent="0.2">
      <c r="A611">
        <v>3693168</v>
      </c>
      <c r="B611">
        <v>21883</v>
      </c>
      <c r="C611">
        <v>523938</v>
      </c>
      <c r="D611">
        <v>52899</v>
      </c>
      <c r="E611">
        <v>100</v>
      </c>
      <c r="F611" t="s">
        <v>37</v>
      </c>
      <c r="G611">
        <v>1</v>
      </c>
      <c r="H611" t="s">
        <v>37</v>
      </c>
      <c r="I611" t="s">
        <v>37</v>
      </c>
      <c r="J611" t="s">
        <v>775</v>
      </c>
      <c r="K611" t="s">
        <v>230</v>
      </c>
      <c r="L611" t="s">
        <v>226</v>
      </c>
      <c r="M611" t="s">
        <v>422</v>
      </c>
      <c r="N611" t="s">
        <v>3426</v>
      </c>
      <c r="O611" t="s">
        <v>3427</v>
      </c>
      <c r="S611">
        <v>0</v>
      </c>
      <c r="T611">
        <v>0</v>
      </c>
      <c r="U611">
        <v>0</v>
      </c>
      <c r="V611">
        <v>0</v>
      </c>
      <c r="W611">
        <v>120</v>
      </c>
      <c r="X611">
        <v>0</v>
      </c>
      <c r="Y611">
        <v>0</v>
      </c>
      <c r="Z611">
        <v>0</v>
      </c>
      <c r="AB611" s="5">
        <v>43292.333333333336</v>
      </c>
      <c r="AC611" s="5">
        <v>43343.666666666664</v>
      </c>
      <c r="AD611" s="5">
        <v>43970.333333333336</v>
      </c>
      <c r="AE611" s="5">
        <v>43970.333333333336</v>
      </c>
      <c r="AG611" s="5">
        <v>44044</v>
      </c>
      <c r="AH611" s="5">
        <v>44044</v>
      </c>
      <c r="AK611" s="5">
        <v>43283.333333333336</v>
      </c>
      <c r="AL611" s="5">
        <v>43305.666666666664</v>
      </c>
      <c r="AP611" t="s">
        <v>418</v>
      </c>
      <c r="AU611" t="s">
        <v>3428</v>
      </c>
      <c r="AV611" t="s">
        <v>3429</v>
      </c>
      <c r="AY611" t="s">
        <v>40</v>
      </c>
      <c r="AZ611">
        <v>0</v>
      </c>
      <c r="BA611">
        <v>0</v>
      </c>
      <c r="BI611" s="5">
        <v>44048.176388888889</v>
      </c>
      <c r="BJ611" s="5">
        <v>44048.176388888889</v>
      </c>
      <c r="BK611" t="s">
        <v>778</v>
      </c>
      <c r="BL611" t="s">
        <v>778</v>
      </c>
      <c r="BN611" t="s">
        <v>37</v>
      </c>
    </row>
    <row r="612" spans="1:66" x14ac:dyDescent="0.2">
      <c r="A612">
        <v>3693169</v>
      </c>
      <c r="B612">
        <v>21883</v>
      </c>
      <c r="C612">
        <v>523938</v>
      </c>
      <c r="D612">
        <v>52899</v>
      </c>
      <c r="E612">
        <v>100</v>
      </c>
      <c r="F612" t="s">
        <v>37</v>
      </c>
      <c r="G612">
        <v>1</v>
      </c>
      <c r="H612" t="s">
        <v>37</v>
      </c>
      <c r="I612" t="s">
        <v>37</v>
      </c>
      <c r="J612" t="s">
        <v>775</v>
      </c>
      <c r="K612" t="s">
        <v>230</v>
      </c>
      <c r="L612" t="s">
        <v>226</v>
      </c>
      <c r="M612" t="s">
        <v>422</v>
      </c>
      <c r="N612" t="s">
        <v>3430</v>
      </c>
      <c r="O612" t="s">
        <v>3431</v>
      </c>
      <c r="S612">
        <v>0</v>
      </c>
      <c r="T612">
        <v>0</v>
      </c>
      <c r="U612">
        <v>0</v>
      </c>
      <c r="V612">
        <v>0</v>
      </c>
      <c r="W612">
        <v>40</v>
      </c>
      <c r="X612">
        <v>0</v>
      </c>
      <c r="Y612">
        <v>0</v>
      </c>
      <c r="Z612">
        <v>0</v>
      </c>
      <c r="AB612" s="5">
        <v>43269.333333333336</v>
      </c>
      <c r="AC612" s="5">
        <v>43280.666666666664</v>
      </c>
      <c r="AD612" s="5">
        <v>43970.333333333336</v>
      </c>
      <c r="AE612" s="5">
        <v>43970.333333333336</v>
      </c>
      <c r="AG612" s="5">
        <v>44044</v>
      </c>
      <c r="AH612" s="5">
        <v>44044</v>
      </c>
      <c r="AK612" s="5">
        <v>43283.333333333336</v>
      </c>
      <c r="AL612" s="5">
        <v>43290.666666666664</v>
      </c>
      <c r="AP612" t="s">
        <v>418</v>
      </c>
      <c r="AU612" t="s">
        <v>3432</v>
      </c>
      <c r="AV612" t="s">
        <v>3433</v>
      </c>
      <c r="AY612" t="s">
        <v>40</v>
      </c>
      <c r="AZ612">
        <v>0</v>
      </c>
      <c r="BA612">
        <v>0</v>
      </c>
      <c r="BI612" s="5">
        <v>44048.176388888889</v>
      </c>
      <c r="BJ612" s="5">
        <v>44048.176388888889</v>
      </c>
      <c r="BK612" t="s">
        <v>778</v>
      </c>
      <c r="BL612" t="s">
        <v>778</v>
      </c>
      <c r="BN612" t="s">
        <v>37</v>
      </c>
    </row>
    <row r="613" spans="1:66" x14ac:dyDescent="0.2">
      <c r="A613">
        <v>3693170</v>
      </c>
      <c r="B613">
        <v>21883</v>
      </c>
      <c r="C613">
        <v>523938</v>
      </c>
      <c r="D613">
        <v>52899</v>
      </c>
      <c r="E613">
        <v>100</v>
      </c>
      <c r="F613" t="s">
        <v>37</v>
      </c>
      <c r="G613">
        <v>1</v>
      </c>
      <c r="H613" t="s">
        <v>37</v>
      </c>
      <c r="I613" t="s">
        <v>37</v>
      </c>
      <c r="J613" t="s">
        <v>775</v>
      </c>
      <c r="K613" t="s">
        <v>230</v>
      </c>
      <c r="L613" t="s">
        <v>226</v>
      </c>
      <c r="M613" t="s">
        <v>422</v>
      </c>
      <c r="N613" t="s">
        <v>3434</v>
      </c>
      <c r="O613" t="s">
        <v>3435</v>
      </c>
      <c r="S613">
        <v>0</v>
      </c>
      <c r="T613">
        <v>0</v>
      </c>
      <c r="U613">
        <v>0</v>
      </c>
      <c r="V613">
        <v>0</v>
      </c>
      <c r="W613">
        <v>120</v>
      </c>
      <c r="X613">
        <v>0</v>
      </c>
      <c r="Y613">
        <v>0</v>
      </c>
      <c r="Z613">
        <v>0</v>
      </c>
      <c r="AB613" s="5">
        <v>43341.333333333336</v>
      </c>
      <c r="AC613" s="5">
        <v>43377</v>
      </c>
      <c r="AD613" s="5">
        <v>43970.333333333336</v>
      </c>
      <c r="AE613" s="5">
        <v>43970.333333333336</v>
      </c>
      <c r="AG613" s="5">
        <v>44044</v>
      </c>
      <c r="AH613" s="5">
        <v>44044</v>
      </c>
      <c r="AK613" s="5">
        <v>43347.333333333336</v>
      </c>
      <c r="AL613" s="5">
        <v>43369.666666666664</v>
      </c>
      <c r="AP613" t="s">
        <v>418</v>
      </c>
      <c r="AU613" t="s">
        <v>3436</v>
      </c>
      <c r="AV613" t="s">
        <v>3437</v>
      </c>
      <c r="AY613" t="s">
        <v>40</v>
      </c>
      <c r="AZ613">
        <v>0</v>
      </c>
      <c r="BA613">
        <v>0</v>
      </c>
      <c r="BI613" s="5">
        <v>44048.176388888889</v>
      </c>
      <c r="BJ613" s="5">
        <v>44048.176388888889</v>
      </c>
      <c r="BK613" t="s">
        <v>778</v>
      </c>
      <c r="BL613" t="s">
        <v>778</v>
      </c>
      <c r="BN613" t="s">
        <v>37</v>
      </c>
    </row>
    <row r="614" spans="1:66" x14ac:dyDescent="0.2">
      <c r="A614">
        <v>3693171</v>
      </c>
      <c r="B614">
        <v>21883</v>
      </c>
      <c r="C614">
        <v>523938</v>
      </c>
      <c r="D614">
        <v>52899</v>
      </c>
      <c r="E614">
        <v>100</v>
      </c>
      <c r="F614" t="s">
        <v>37</v>
      </c>
      <c r="G614">
        <v>1</v>
      </c>
      <c r="H614" t="s">
        <v>37</v>
      </c>
      <c r="I614" t="s">
        <v>37</v>
      </c>
      <c r="J614" t="s">
        <v>775</v>
      </c>
      <c r="K614" t="s">
        <v>230</v>
      </c>
      <c r="L614" t="s">
        <v>226</v>
      </c>
      <c r="M614" t="s">
        <v>422</v>
      </c>
      <c r="N614" t="s">
        <v>3438</v>
      </c>
      <c r="O614" t="s">
        <v>3439</v>
      </c>
      <c r="S614">
        <v>0</v>
      </c>
      <c r="T614">
        <v>0</v>
      </c>
      <c r="U614">
        <v>0</v>
      </c>
      <c r="V614">
        <v>0</v>
      </c>
      <c r="W614">
        <v>120</v>
      </c>
      <c r="X614">
        <v>0</v>
      </c>
      <c r="Y614">
        <v>0</v>
      </c>
      <c r="Z614">
        <v>0</v>
      </c>
      <c r="AB614" s="5">
        <v>43326.333333333336</v>
      </c>
      <c r="AC614" s="5">
        <v>43341.666666666664</v>
      </c>
      <c r="AD614" s="5">
        <v>43983.333333333336</v>
      </c>
      <c r="AE614" s="5">
        <v>43983.333333333336</v>
      </c>
      <c r="AG614" s="5">
        <v>44044</v>
      </c>
      <c r="AH614" s="5">
        <v>44044</v>
      </c>
      <c r="AK614" s="5">
        <v>43354.333333333336</v>
      </c>
      <c r="AL614" s="5">
        <v>43376.666666666664</v>
      </c>
      <c r="AP614" t="s">
        <v>418</v>
      </c>
      <c r="AU614" t="s">
        <v>3440</v>
      </c>
      <c r="AV614" t="s">
        <v>3441</v>
      </c>
      <c r="AY614" t="s">
        <v>40</v>
      </c>
      <c r="AZ614">
        <v>0</v>
      </c>
      <c r="BA614">
        <v>0</v>
      </c>
      <c r="BI614" s="5">
        <v>44048.176388888889</v>
      </c>
      <c r="BJ614" s="5">
        <v>44048.176388888889</v>
      </c>
      <c r="BK614" t="s">
        <v>778</v>
      </c>
      <c r="BL614" t="s">
        <v>778</v>
      </c>
      <c r="BN614" t="s">
        <v>37</v>
      </c>
    </row>
    <row r="615" spans="1:66" x14ac:dyDescent="0.2">
      <c r="A615">
        <v>3693172</v>
      </c>
      <c r="B615">
        <v>21883</v>
      </c>
      <c r="C615">
        <v>523938</v>
      </c>
      <c r="D615">
        <v>52899</v>
      </c>
      <c r="E615">
        <v>100</v>
      </c>
      <c r="F615" t="s">
        <v>37</v>
      </c>
      <c r="G615">
        <v>1</v>
      </c>
      <c r="H615" t="s">
        <v>37</v>
      </c>
      <c r="I615" t="s">
        <v>37</v>
      </c>
      <c r="J615" t="s">
        <v>775</v>
      </c>
      <c r="K615" t="s">
        <v>230</v>
      </c>
      <c r="L615" t="s">
        <v>226</v>
      </c>
      <c r="M615" t="s">
        <v>422</v>
      </c>
      <c r="N615" t="s">
        <v>3442</v>
      </c>
      <c r="O615" t="s">
        <v>3443</v>
      </c>
      <c r="S615">
        <v>0</v>
      </c>
      <c r="T615">
        <v>0</v>
      </c>
      <c r="U615">
        <v>0</v>
      </c>
      <c r="V615">
        <v>0</v>
      </c>
      <c r="W615">
        <v>40</v>
      </c>
      <c r="X615">
        <v>0</v>
      </c>
      <c r="Y615">
        <v>0</v>
      </c>
      <c r="Z615">
        <v>0</v>
      </c>
      <c r="AB615" s="5">
        <v>43325.333333333336</v>
      </c>
      <c r="AC615" s="5">
        <v>43329.666666666664</v>
      </c>
      <c r="AD615" s="5">
        <v>43983.333333333336</v>
      </c>
      <c r="AE615" s="5">
        <v>43983.333333333336</v>
      </c>
      <c r="AG615" s="5">
        <v>44044</v>
      </c>
      <c r="AH615" s="5">
        <v>44044</v>
      </c>
      <c r="AK615" s="5">
        <v>43347.333333333336</v>
      </c>
      <c r="AL615" s="5">
        <v>43353.666666666664</v>
      </c>
      <c r="AP615" t="s">
        <v>418</v>
      </c>
      <c r="AU615" t="s">
        <v>3444</v>
      </c>
      <c r="AV615" t="s">
        <v>3445</v>
      </c>
      <c r="AY615" t="s">
        <v>40</v>
      </c>
      <c r="AZ615">
        <v>0</v>
      </c>
      <c r="BA615">
        <v>0</v>
      </c>
      <c r="BI615" s="5">
        <v>44048.176388888889</v>
      </c>
      <c r="BJ615" s="5">
        <v>44048.176388888889</v>
      </c>
      <c r="BK615" t="s">
        <v>778</v>
      </c>
      <c r="BL615" t="s">
        <v>778</v>
      </c>
      <c r="BN615" t="s">
        <v>37</v>
      </c>
    </row>
    <row r="616" spans="1:66" x14ac:dyDescent="0.2">
      <c r="A616">
        <v>3693173</v>
      </c>
      <c r="B616">
        <v>21883</v>
      </c>
      <c r="C616">
        <v>523938</v>
      </c>
      <c r="D616">
        <v>52899</v>
      </c>
      <c r="E616">
        <v>100</v>
      </c>
      <c r="F616" t="s">
        <v>37</v>
      </c>
      <c r="G616">
        <v>1</v>
      </c>
      <c r="H616" t="s">
        <v>37</v>
      </c>
      <c r="I616" t="s">
        <v>37</v>
      </c>
      <c r="J616" t="s">
        <v>775</v>
      </c>
      <c r="K616" t="s">
        <v>230</v>
      </c>
      <c r="L616" t="s">
        <v>226</v>
      </c>
      <c r="M616" t="s">
        <v>422</v>
      </c>
      <c r="N616" t="s">
        <v>3446</v>
      </c>
      <c r="O616" t="s">
        <v>3447</v>
      </c>
      <c r="S616">
        <v>0</v>
      </c>
      <c r="T616">
        <v>0</v>
      </c>
      <c r="U616">
        <v>0</v>
      </c>
      <c r="V616">
        <v>0</v>
      </c>
      <c r="W616">
        <v>120</v>
      </c>
      <c r="X616">
        <v>0</v>
      </c>
      <c r="Y616">
        <v>0</v>
      </c>
      <c r="Z616">
        <v>0</v>
      </c>
      <c r="AB616" s="5">
        <v>43341.333333333336</v>
      </c>
      <c r="AC616" s="5">
        <v>43404</v>
      </c>
      <c r="AD616" s="5">
        <v>43983.333333333336</v>
      </c>
      <c r="AE616" s="5">
        <v>43983.333333333336</v>
      </c>
      <c r="AG616" s="5">
        <v>44044</v>
      </c>
      <c r="AH616" s="5">
        <v>44044</v>
      </c>
      <c r="AK616" s="5">
        <v>43347.333333333336</v>
      </c>
      <c r="AL616" s="5">
        <v>43369.666666666664</v>
      </c>
      <c r="AP616" t="s">
        <v>418</v>
      </c>
      <c r="AU616" t="s">
        <v>3448</v>
      </c>
      <c r="AV616" t="s">
        <v>3449</v>
      </c>
      <c r="AY616" t="s">
        <v>40</v>
      </c>
      <c r="AZ616">
        <v>0</v>
      </c>
      <c r="BA616">
        <v>0</v>
      </c>
      <c r="BI616" s="5">
        <v>44048.176388888889</v>
      </c>
      <c r="BJ616" s="5">
        <v>44048.176388888889</v>
      </c>
      <c r="BK616" t="s">
        <v>778</v>
      </c>
      <c r="BL616" t="s">
        <v>778</v>
      </c>
      <c r="BN616" t="s">
        <v>37</v>
      </c>
    </row>
    <row r="617" spans="1:66" x14ac:dyDescent="0.2">
      <c r="A617">
        <v>3693174</v>
      </c>
      <c r="B617">
        <v>21883</v>
      </c>
      <c r="C617">
        <v>523938</v>
      </c>
      <c r="D617">
        <v>52899</v>
      </c>
      <c r="E617">
        <v>100</v>
      </c>
      <c r="F617" t="s">
        <v>37</v>
      </c>
      <c r="G617">
        <v>1</v>
      </c>
      <c r="H617" t="s">
        <v>37</v>
      </c>
      <c r="I617" t="s">
        <v>37</v>
      </c>
      <c r="J617" t="s">
        <v>775</v>
      </c>
      <c r="K617" t="s">
        <v>230</v>
      </c>
      <c r="L617" t="s">
        <v>226</v>
      </c>
      <c r="M617" t="s">
        <v>422</v>
      </c>
      <c r="N617" t="s">
        <v>3450</v>
      </c>
      <c r="O617" t="s">
        <v>3451</v>
      </c>
      <c r="S617">
        <v>0</v>
      </c>
      <c r="T617">
        <v>0</v>
      </c>
      <c r="U617">
        <v>0</v>
      </c>
      <c r="V617">
        <v>0</v>
      </c>
      <c r="W617">
        <v>120</v>
      </c>
      <c r="X617">
        <v>0</v>
      </c>
      <c r="Y617">
        <v>0</v>
      </c>
      <c r="Z617">
        <v>0</v>
      </c>
      <c r="AB617" s="5">
        <v>43270.333333333336</v>
      </c>
      <c r="AC617" s="5">
        <v>43299.666666666664</v>
      </c>
      <c r="AD617" s="5">
        <v>43970.333333333336</v>
      </c>
      <c r="AE617" s="5">
        <v>43970.333333333336</v>
      </c>
      <c r="AG617" s="5">
        <v>44044</v>
      </c>
      <c r="AH617" s="5">
        <v>44044</v>
      </c>
      <c r="AK617" s="5">
        <v>43298.333333333336</v>
      </c>
      <c r="AL617" s="5">
        <v>43321.666666666664</v>
      </c>
      <c r="AP617" t="s">
        <v>418</v>
      </c>
      <c r="AU617" t="s">
        <v>3452</v>
      </c>
      <c r="AV617" t="s">
        <v>3453</v>
      </c>
      <c r="AY617" t="s">
        <v>40</v>
      </c>
      <c r="AZ617">
        <v>0</v>
      </c>
      <c r="BA617">
        <v>0</v>
      </c>
      <c r="BI617" s="5">
        <v>44048.176388888889</v>
      </c>
      <c r="BJ617" s="5">
        <v>44048.176388888889</v>
      </c>
      <c r="BK617" t="s">
        <v>778</v>
      </c>
      <c r="BL617" t="s">
        <v>778</v>
      </c>
      <c r="BN617" t="s">
        <v>37</v>
      </c>
    </row>
    <row r="618" spans="1:66" x14ac:dyDescent="0.2">
      <c r="A618">
        <v>3693175</v>
      </c>
      <c r="B618">
        <v>21883</v>
      </c>
      <c r="C618">
        <v>523938</v>
      </c>
      <c r="D618">
        <v>52899</v>
      </c>
      <c r="E618">
        <v>100</v>
      </c>
      <c r="F618" t="s">
        <v>37</v>
      </c>
      <c r="G618">
        <v>1</v>
      </c>
      <c r="H618" t="s">
        <v>37</v>
      </c>
      <c r="I618" t="s">
        <v>37</v>
      </c>
      <c r="J618" t="s">
        <v>775</v>
      </c>
      <c r="K618" t="s">
        <v>230</v>
      </c>
      <c r="L618" t="s">
        <v>226</v>
      </c>
      <c r="M618" t="s">
        <v>422</v>
      </c>
      <c r="N618" t="s">
        <v>3454</v>
      </c>
      <c r="O618" t="s">
        <v>3455</v>
      </c>
      <c r="S618">
        <v>0</v>
      </c>
      <c r="T618">
        <v>0</v>
      </c>
      <c r="U618">
        <v>0</v>
      </c>
      <c r="V618">
        <v>0</v>
      </c>
      <c r="W618">
        <v>40</v>
      </c>
      <c r="X618">
        <v>0</v>
      </c>
      <c r="Y618">
        <v>0</v>
      </c>
      <c r="Z618">
        <v>0</v>
      </c>
      <c r="AB618" s="5">
        <v>43269.333333333336</v>
      </c>
      <c r="AC618" s="5">
        <v>43280.666666666664</v>
      </c>
      <c r="AD618" s="5">
        <v>43970.333333333336</v>
      </c>
      <c r="AE618" s="5">
        <v>43970.333333333336</v>
      </c>
      <c r="AG618" s="5">
        <v>44044</v>
      </c>
      <c r="AH618" s="5">
        <v>44044</v>
      </c>
      <c r="AK618" s="5">
        <v>43291.333333333336</v>
      </c>
      <c r="AL618" s="5">
        <v>43297.666666666664</v>
      </c>
      <c r="AP618" t="s">
        <v>418</v>
      </c>
      <c r="AU618" t="s">
        <v>3456</v>
      </c>
      <c r="AV618" t="s">
        <v>3457</v>
      </c>
      <c r="AY618" t="s">
        <v>40</v>
      </c>
      <c r="AZ618">
        <v>0</v>
      </c>
      <c r="BA618">
        <v>0</v>
      </c>
      <c r="BI618" s="5">
        <v>44048.176388888889</v>
      </c>
      <c r="BJ618" s="5">
        <v>44048.176388888889</v>
      </c>
      <c r="BK618" t="s">
        <v>778</v>
      </c>
      <c r="BL618" t="s">
        <v>778</v>
      </c>
      <c r="BN618" t="s">
        <v>37</v>
      </c>
    </row>
    <row r="619" spans="1:66" x14ac:dyDescent="0.2">
      <c r="A619">
        <v>3693176</v>
      </c>
      <c r="B619">
        <v>21883</v>
      </c>
      <c r="C619">
        <v>523938</v>
      </c>
      <c r="D619">
        <v>52899</v>
      </c>
      <c r="E619">
        <v>100</v>
      </c>
      <c r="F619" t="s">
        <v>37</v>
      </c>
      <c r="G619">
        <v>1</v>
      </c>
      <c r="H619" t="s">
        <v>37</v>
      </c>
      <c r="I619" t="s">
        <v>37</v>
      </c>
      <c r="J619" t="s">
        <v>775</v>
      </c>
      <c r="K619" t="s">
        <v>230</v>
      </c>
      <c r="L619" t="s">
        <v>226</v>
      </c>
      <c r="M619" t="s">
        <v>422</v>
      </c>
      <c r="N619" t="s">
        <v>3458</v>
      </c>
      <c r="O619" t="s">
        <v>3459</v>
      </c>
      <c r="S619">
        <v>0</v>
      </c>
      <c r="T619">
        <v>0</v>
      </c>
      <c r="U619">
        <v>0</v>
      </c>
      <c r="V619">
        <v>0</v>
      </c>
      <c r="W619">
        <v>120</v>
      </c>
      <c r="X619">
        <v>0</v>
      </c>
      <c r="Y619">
        <v>0</v>
      </c>
      <c r="Z619">
        <v>0</v>
      </c>
      <c r="AB619" s="5">
        <v>43276.333333333336</v>
      </c>
      <c r="AC619" s="5">
        <v>43294.666666666664</v>
      </c>
      <c r="AD619" s="5">
        <v>43970.333333333336</v>
      </c>
      <c r="AE619" s="5">
        <v>43970.333333333336</v>
      </c>
      <c r="AG619" s="5">
        <v>44044</v>
      </c>
      <c r="AH619" s="5">
        <v>44044</v>
      </c>
      <c r="AK619" s="5">
        <v>43313.333333333336</v>
      </c>
      <c r="AL619" s="5">
        <v>43336.666666666664</v>
      </c>
      <c r="AP619" t="s">
        <v>418</v>
      </c>
      <c r="AU619" t="s">
        <v>3460</v>
      </c>
      <c r="AV619" t="s">
        <v>3461</v>
      </c>
      <c r="AY619" t="s">
        <v>40</v>
      </c>
      <c r="AZ619">
        <v>0</v>
      </c>
      <c r="BA619">
        <v>0</v>
      </c>
      <c r="BI619" s="5">
        <v>44048.176388888889</v>
      </c>
      <c r="BJ619" s="5">
        <v>44048.176388888889</v>
      </c>
      <c r="BK619" t="s">
        <v>778</v>
      </c>
      <c r="BL619" t="s">
        <v>778</v>
      </c>
      <c r="BN619" t="s">
        <v>37</v>
      </c>
    </row>
    <row r="620" spans="1:66" x14ac:dyDescent="0.2">
      <c r="A620">
        <v>3693177</v>
      </c>
      <c r="B620">
        <v>21883</v>
      </c>
      <c r="C620">
        <v>523999</v>
      </c>
      <c r="D620">
        <v>52899</v>
      </c>
      <c r="E620">
        <v>100</v>
      </c>
      <c r="F620" t="s">
        <v>37</v>
      </c>
      <c r="G620">
        <v>1</v>
      </c>
      <c r="H620" t="s">
        <v>37</v>
      </c>
      <c r="I620" t="s">
        <v>37</v>
      </c>
      <c r="J620" t="s">
        <v>775</v>
      </c>
      <c r="K620" t="s">
        <v>230</v>
      </c>
      <c r="L620" t="s">
        <v>226</v>
      </c>
      <c r="M620" t="s">
        <v>422</v>
      </c>
      <c r="N620" t="s">
        <v>3462</v>
      </c>
      <c r="O620" t="s">
        <v>3463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B620" s="5">
        <v>43497</v>
      </c>
      <c r="AC620" s="5">
        <v>43497</v>
      </c>
      <c r="AD620" s="5">
        <v>44306.666666666664</v>
      </c>
      <c r="AE620" s="5">
        <v>44306.666666666664</v>
      </c>
      <c r="AG620" s="5">
        <v>44044</v>
      </c>
      <c r="AH620" s="5">
        <v>44044</v>
      </c>
      <c r="AK620" s="5">
        <v>43497.333333333336</v>
      </c>
      <c r="AL620" s="5">
        <v>43497.333333333336</v>
      </c>
      <c r="AP620" t="s">
        <v>418</v>
      </c>
      <c r="AU620" t="s">
        <v>3464</v>
      </c>
      <c r="AV620" t="s">
        <v>3465</v>
      </c>
      <c r="AY620" t="s">
        <v>37</v>
      </c>
      <c r="AZ620">
        <v>0</v>
      </c>
      <c r="BA620">
        <v>0</v>
      </c>
      <c r="BI620" s="5">
        <v>44048.176388888889</v>
      </c>
      <c r="BJ620" s="5">
        <v>44048.176388888889</v>
      </c>
      <c r="BK620" t="s">
        <v>778</v>
      </c>
      <c r="BL620" t="s">
        <v>778</v>
      </c>
      <c r="BN620" t="s">
        <v>37</v>
      </c>
    </row>
    <row r="621" spans="1:66" x14ac:dyDescent="0.2">
      <c r="A621">
        <v>3693178</v>
      </c>
      <c r="B621">
        <v>21883</v>
      </c>
      <c r="C621">
        <v>523999</v>
      </c>
      <c r="D621">
        <v>52899</v>
      </c>
      <c r="E621">
        <v>100</v>
      </c>
      <c r="F621" t="s">
        <v>37</v>
      </c>
      <c r="G621">
        <v>1</v>
      </c>
      <c r="H621" t="s">
        <v>37</v>
      </c>
      <c r="I621" t="s">
        <v>37</v>
      </c>
      <c r="J621" t="s">
        <v>775</v>
      </c>
      <c r="K621" t="s">
        <v>230</v>
      </c>
      <c r="L621" t="s">
        <v>226</v>
      </c>
      <c r="M621" t="s">
        <v>422</v>
      </c>
      <c r="N621" t="s">
        <v>3466</v>
      </c>
      <c r="O621" t="s">
        <v>3467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B621" s="5">
        <v>43497</v>
      </c>
      <c r="AC621" s="5">
        <v>43497</v>
      </c>
      <c r="AD621" s="5">
        <v>44306.666666666664</v>
      </c>
      <c r="AE621" s="5">
        <v>44306.666666666664</v>
      </c>
      <c r="AG621" s="5">
        <v>44044</v>
      </c>
      <c r="AH621" s="5">
        <v>44044</v>
      </c>
      <c r="AK621" s="5">
        <v>43497.333333333336</v>
      </c>
      <c r="AL621" s="5">
        <v>43497.333333333336</v>
      </c>
      <c r="AP621" t="s">
        <v>418</v>
      </c>
      <c r="AU621" t="s">
        <v>3468</v>
      </c>
      <c r="AV621" t="s">
        <v>3469</v>
      </c>
      <c r="AY621" t="s">
        <v>37</v>
      </c>
      <c r="AZ621">
        <v>0</v>
      </c>
      <c r="BA621">
        <v>0</v>
      </c>
      <c r="BI621" s="5">
        <v>44048.176388888889</v>
      </c>
      <c r="BJ621" s="5">
        <v>44048.176388888889</v>
      </c>
      <c r="BK621" t="s">
        <v>778</v>
      </c>
      <c r="BL621" t="s">
        <v>778</v>
      </c>
      <c r="BN621" t="s">
        <v>37</v>
      </c>
    </row>
    <row r="622" spans="1:66" x14ac:dyDescent="0.2">
      <c r="A622">
        <v>3693179</v>
      </c>
      <c r="B622">
        <v>21883</v>
      </c>
      <c r="C622">
        <v>523999</v>
      </c>
      <c r="D622">
        <v>52899</v>
      </c>
      <c r="E622">
        <v>100</v>
      </c>
      <c r="F622" t="s">
        <v>37</v>
      </c>
      <c r="G622">
        <v>1</v>
      </c>
      <c r="H622" t="s">
        <v>37</v>
      </c>
      <c r="I622" t="s">
        <v>37</v>
      </c>
      <c r="J622" t="s">
        <v>775</v>
      </c>
      <c r="K622" t="s">
        <v>230</v>
      </c>
      <c r="L622" t="s">
        <v>226</v>
      </c>
      <c r="M622" t="s">
        <v>422</v>
      </c>
      <c r="N622" t="s">
        <v>3470</v>
      </c>
      <c r="O622" t="s">
        <v>3471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B622" s="5">
        <v>43497</v>
      </c>
      <c r="AC622" s="5">
        <v>43497</v>
      </c>
      <c r="AD622" s="5">
        <v>44306.666666666664</v>
      </c>
      <c r="AE622" s="5">
        <v>44306.666666666664</v>
      </c>
      <c r="AG622" s="5">
        <v>44044</v>
      </c>
      <c r="AH622" s="5">
        <v>44044</v>
      </c>
      <c r="AK622" s="5">
        <v>43497.333333333336</v>
      </c>
      <c r="AL622" s="5">
        <v>43497.333333333336</v>
      </c>
      <c r="AP622" t="s">
        <v>418</v>
      </c>
      <c r="AU622" t="s">
        <v>3472</v>
      </c>
      <c r="AV622" t="s">
        <v>3473</v>
      </c>
      <c r="AY622" t="s">
        <v>37</v>
      </c>
      <c r="AZ622">
        <v>0</v>
      </c>
      <c r="BA622">
        <v>0</v>
      </c>
      <c r="BI622" s="5">
        <v>44048.176388888889</v>
      </c>
      <c r="BJ622" s="5">
        <v>44048.176388888889</v>
      </c>
      <c r="BK622" t="s">
        <v>778</v>
      </c>
      <c r="BL622" t="s">
        <v>778</v>
      </c>
      <c r="BN622" t="s">
        <v>37</v>
      </c>
    </row>
    <row r="623" spans="1:66" x14ac:dyDescent="0.2">
      <c r="A623">
        <v>3693180</v>
      </c>
      <c r="B623">
        <v>21883</v>
      </c>
      <c r="C623">
        <v>523934</v>
      </c>
      <c r="D623">
        <v>52899</v>
      </c>
      <c r="E623">
        <v>100</v>
      </c>
      <c r="F623" t="s">
        <v>37</v>
      </c>
      <c r="G623">
        <v>1</v>
      </c>
      <c r="H623" t="s">
        <v>37</v>
      </c>
      <c r="I623" t="s">
        <v>37</v>
      </c>
      <c r="J623" t="s">
        <v>775</v>
      </c>
      <c r="K623" t="s">
        <v>230</v>
      </c>
      <c r="L623" t="s">
        <v>226</v>
      </c>
      <c r="M623" t="s">
        <v>422</v>
      </c>
      <c r="N623" t="s">
        <v>3474</v>
      </c>
      <c r="O623" t="s">
        <v>3475</v>
      </c>
      <c r="S623">
        <v>0</v>
      </c>
      <c r="T623">
        <v>0</v>
      </c>
      <c r="U623">
        <v>0</v>
      </c>
      <c r="V623">
        <v>0</v>
      </c>
      <c r="W623">
        <v>320</v>
      </c>
      <c r="X623">
        <v>0</v>
      </c>
      <c r="Y623">
        <v>0</v>
      </c>
      <c r="Z623">
        <v>0</v>
      </c>
      <c r="AB623" s="5">
        <v>43553</v>
      </c>
      <c r="AC623" s="5">
        <v>43614</v>
      </c>
      <c r="AD623" s="5">
        <v>43983.333333333336</v>
      </c>
      <c r="AE623" s="5">
        <v>43983.333333333336</v>
      </c>
      <c r="AG623" s="5">
        <v>44044</v>
      </c>
      <c r="AH623" s="5">
        <v>44044</v>
      </c>
      <c r="AK623" s="5">
        <v>43586.333333333336</v>
      </c>
      <c r="AL623" s="5">
        <v>43651.666666666664</v>
      </c>
      <c r="AP623" t="s">
        <v>418</v>
      </c>
      <c r="AU623" t="s">
        <v>3476</v>
      </c>
      <c r="AV623" t="s">
        <v>3477</v>
      </c>
      <c r="AY623" t="s">
        <v>40</v>
      </c>
      <c r="AZ623">
        <v>0</v>
      </c>
      <c r="BA623">
        <v>0</v>
      </c>
      <c r="BI623" s="5">
        <v>44048.176388888889</v>
      </c>
      <c r="BJ623" s="5">
        <v>44048.176388888889</v>
      </c>
      <c r="BK623" t="s">
        <v>778</v>
      </c>
      <c r="BL623" t="s">
        <v>778</v>
      </c>
      <c r="BN623" t="s">
        <v>37</v>
      </c>
    </row>
    <row r="624" spans="1:66" x14ac:dyDescent="0.2">
      <c r="A624">
        <v>3693181</v>
      </c>
      <c r="B624">
        <v>21883</v>
      </c>
      <c r="C624">
        <v>523999</v>
      </c>
      <c r="D624">
        <v>52899</v>
      </c>
      <c r="E624">
        <v>100</v>
      </c>
      <c r="F624" t="s">
        <v>37</v>
      </c>
      <c r="G624">
        <v>1</v>
      </c>
      <c r="H624" t="s">
        <v>37</v>
      </c>
      <c r="I624" t="s">
        <v>37</v>
      </c>
      <c r="J624" t="s">
        <v>775</v>
      </c>
      <c r="K624" t="s">
        <v>230</v>
      </c>
      <c r="L624" t="s">
        <v>226</v>
      </c>
      <c r="M624" t="s">
        <v>422</v>
      </c>
      <c r="N624" t="s">
        <v>3478</v>
      </c>
      <c r="O624" t="s">
        <v>3479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B624" s="5">
        <v>43497</v>
      </c>
      <c r="AC624" s="5">
        <v>43497</v>
      </c>
      <c r="AD624" s="5">
        <v>44306.666666666664</v>
      </c>
      <c r="AE624" s="5">
        <v>44306.666666666664</v>
      </c>
      <c r="AG624" s="5">
        <v>44044</v>
      </c>
      <c r="AH624" s="5">
        <v>44044</v>
      </c>
      <c r="AK624" s="5">
        <v>43497.333333333336</v>
      </c>
      <c r="AL624" s="5">
        <v>43497.333333333336</v>
      </c>
      <c r="AP624" t="s">
        <v>418</v>
      </c>
      <c r="AU624" t="s">
        <v>3480</v>
      </c>
      <c r="AV624" t="s">
        <v>3481</v>
      </c>
      <c r="AY624" t="s">
        <v>37</v>
      </c>
      <c r="AZ624">
        <v>0</v>
      </c>
      <c r="BA624">
        <v>0</v>
      </c>
      <c r="BI624" s="5">
        <v>44048.176388888889</v>
      </c>
      <c r="BJ624" s="5">
        <v>44048.176388888889</v>
      </c>
      <c r="BK624" t="s">
        <v>778</v>
      </c>
      <c r="BL624" t="s">
        <v>778</v>
      </c>
      <c r="BN624" t="s">
        <v>37</v>
      </c>
    </row>
    <row r="625" spans="1:66" x14ac:dyDescent="0.2">
      <c r="A625">
        <v>3693182</v>
      </c>
      <c r="B625">
        <v>21883</v>
      </c>
      <c r="C625">
        <v>523999</v>
      </c>
      <c r="D625">
        <v>52899</v>
      </c>
      <c r="E625">
        <v>100</v>
      </c>
      <c r="F625" t="s">
        <v>37</v>
      </c>
      <c r="G625">
        <v>1</v>
      </c>
      <c r="H625" t="s">
        <v>37</v>
      </c>
      <c r="I625" t="s">
        <v>37</v>
      </c>
      <c r="J625" t="s">
        <v>775</v>
      </c>
      <c r="K625" t="s">
        <v>230</v>
      </c>
      <c r="L625" t="s">
        <v>226</v>
      </c>
      <c r="M625" t="s">
        <v>422</v>
      </c>
      <c r="N625" t="s">
        <v>3482</v>
      </c>
      <c r="O625" t="s">
        <v>3483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B625" s="5">
        <v>43497</v>
      </c>
      <c r="AC625" s="5">
        <v>43497</v>
      </c>
      <c r="AD625" s="5">
        <v>44306.666666666664</v>
      </c>
      <c r="AE625" s="5">
        <v>44306.666666666664</v>
      </c>
      <c r="AG625" s="5">
        <v>44044</v>
      </c>
      <c r="AH625" s="5">
        <v>44044</v>
      </c>
      <c r="AK625" s="5">
        <v>43497.333333333336</v>
      </c>
      <c r="AL625" s="5">
        <v>43497.333333333336</v>
      </c>
      <c r="AP625" t="s">
        <v>418</v>
      </c>
      <c r="AU625" t="s">
        <v>3484</v>
      </c>
      <c r="AV625" t="s">
        <v>3485</v>
      </c>
      <c r="AY625" t="s">
        <v>37</v>
      </c>
      <c r="AZ625">
        <v>0</v>
      </c>
      <c r="BA625">
        <v>0</v>
      </c>
      <c r="BI625" s="5">
        <v>44048.176388888889</v>
      </c>
      <c r="BJ625" s="5">
        <v>44048.176388888889</v>
      </c>
      <c r="BK625" t="s">
        <v>778</v>
      </c>
      <c r="BL625" t="s">
        <v>778</v>
      </c>
      <c r="BN625" t="s">
        <v>37</v>
      </c>
    </row>
    <row r="626" spans="1:66" x14ac:dyDescent="0.2">
      <c r="A626">
        <v>3693183</v>
      </c>
      <c r="B626">
        <v>21883</v>
      </c>
      <c r="C626">
        <v>523999</v>
      </c>
      <c r="D626">
        <v>52899</v>
      </c>
      <c r="E626">
        <v>100</v>
      </c>
      <c r="F626" t="s">
        <v>37</v>
      </c>
      <c r="G626">
        <v>1</v>
      </c>
      <c r="H626" t="s">
        <v>37</v>
      </c>
      <c r="I626" t="s">
        <v>37</v>
      </c>
      <c r="J626" t="s">
        <v>775</v>
      </c>
      <c r="K626" t="s">
        <v>230</v>
      </c>
      <c r="L626" t="s">
        <v>226</v>
      </c>
      <c r="M626" t="s">
        <v>422</v>
      </c>
      <c r="N626" t="s">
        <v>3486</v>
      </c>
      <c r="O626" t="s">
        <v>3487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B626" s="5">
        <v>43497</v>
      </c>
      <c r="AC626" s="5">
        <v>43497</v>
      </c>
      <c r="AD626" s="5">
        <v>44306.666666666664</v>
      </c>
      <c r="AE626" s="5">
        <v>44306.666666666664</v>
      </c>
      <c r="AG626" s="5">
        <v>44044</v>
      </c>
      <c r="AH626" s="5">
        <v>44044</v>
      </c>
      <c r="AK626" s="5">
        <v>43497.333333333336</v>
      </c>
      <c r="AL626" s="5">
        <v>43497.333333333336</v>
      </c>
      <c r="AP626" t="s">
        <v>418</v>
      </c>
      <c r="AU626" t="s">
        <v>3488</v>
      </c>
      <c r="AV626" t="s">
        <v>3489</v>
      </c>
      <c r="AY626" t="s">
        <v>37</v>
      </c>
      <c r="AZ626">
        <v>0</v>
      </c>
      <c r="BA626">
        <v>0</v>
      </c>
      <c r="BI626" s="5">
        <v>44048.176388888889</v>
      </c>
      <c r="BJ626" s="5">
        <v>44048.176388888889</v>
      </c>
      <c r="BK626" t="s">
        <v>778</v>
      </c>
      <c r="BL626" t="s">
        <v>778</v>
      </c>
      <c r="BN626" t="s">
        <v>37</v>
      </c>
    </row>
    <row r="627" spans="1:66" x14ac:dyDescent="0.2">
      <c r="A627">
        <v>3693184</v>
      </c>
      <c r="B627">
        <v>21883</v>
      </c>
      <c r="C627">
        <v>523999</v>
      </c>
      <c r="D627">
        <v>52899</v>
      </c>
      <c r="E627">
        <v>100</v>
      </c>
      <c r="F627" t="s">
        <v>37</v>
      </c>
      <c r="G627">
        <v>1</v>
      </c>
      <c r="H627" t="s">
        <v>37</v>
      </c>
      <c r="I627" t="s">
        <v>37</v>
      </c>
      <c r="J627" t="s">
        <v>775</v>
      </c>
      <c r="K627" t="s">
        <v>230</v>
      </c>
      <c r="L627" t="s">
        <v>226</v>
      </c>
      <c r="M627" t="s">
        <v>422</v>
      </c>
      <c r="N627" t="s">
        <v>3490</v>
      </c>
      <c r="O627" t="s">
        <v>3491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B627" s="5">
        <v>43497</v>
      </c>
      <c r="AC627" s="5">
        <v>43497</v>
      </c>
      <c r="AD627" s="5">
        <v>44306.666666666664</v>
      </c>
      <c r="AE627" s="5">
        <v>44306.666666666664</v>
      </c>
      <c r="AG627" s="5">
        <v>44044</v>
      </c>
      <c r="AH627" s="5">
        <v>44044</v>
      </c>
      <c r="AK627" s="5">
        <v>43497.333333333336</v>
      </c>
      <c r="AL627" s="5">
        <v>43497.333333333336</v>
      </c>
      <c r="AP627" t="s">
        <v>418</v>
      </c>
      <c r="AU627" t="s">
        <v>3492</v>
      </c>
      <c r="AV627" t="s">
        <v>3493</v>
      </c>
      <c r="AY627" t="s">
        <v>37</v>
      </c>
      <c r="AZ627">
        <v>0</v>
      </c>
      <c r="BA627">
        <v>0</v>
      </c>
      <c r="BI627" s="5">
        <v>44048.176388888889</v>
      </c>
      <c r="BJ627" s="5">
        <v>44048.176388888889</v>
      </c>
      <c r="BK627" t="s">
        <v>778</v>
      </c>
      <c r="BL627" t="s">
        <v>778</v>
      </c>
      <c r="BN627" t="s">
        <v>37</v>
      </c>
    </row>
    <row r="628" spans="1:66" x14ac:dyDescent="0.2">
      <c r="A628">
        <v>3693185</v>
      </c>
      <c r="B628">
        <v>21883</v>
      </c>
      <c r="C628">
        <v>523999</v>
      </c>
      <c r="D628">
        <v>52899</v>
      </c>
      <c r="E628">
        <v>100</v>
      </c>
      <c r="F628" t="s">
        <v>37</v>
      </c>
      <c r="G628">
        <v>1</v>
      </c>
      <c r="H628" t="s">
        <v>37</v>
      </c>
      <c r="I628" t="s">
        <v>37</v>
      </c>
      <c r="J628" t="s">
        <v>775</v>
      </c>
      <c r="K628" t="s">
        <v>230</v>
      </c>
      <c r="L628" t="s">
        <v>226</v>
      </c>
      <c r="M628" t="s">
        <v>422</v>
      </c>
      <c r="N628" t="s">
        <v>3494</v>
      </c>
      <c r="O628" t="s">
        <v>3495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B628" s="5">
        <v>43497</v>
      </c>
      <c r="AC628" s="5">
        <v>43497</v>
      </c>
      <c r="AD628" s="5">
        <v>44306.666666666664</v>
      </c>
      <c r="AE628" s="5">
        <v>44306.666666666664</v>
      </c>
      <c r="AG628" s="5">
        <v>44044</v>
      </c>
      <c r="AH628" s="5">
        <v>44044</v>
      </c>
      <c r="AK628" s="5">
        <v>43497.333333333336</v>
      </c>
      <c r="AL628" s="5">
        <v>43497.333333333336</v>
      </c>
      <c r="AP628" t="s">
        <v>418</v>
      </c>
      <c r="AU628" t="s">
        <v>3496</v>
      </c>
      <c r="AV628" t="s">
        <v>3497</v>
      </c>
      <c r="AY628" t="s">
        <v>37</v>
      </c>
      <c r="AZ628">
        <v>0</v>
      </c>
      <c r="BA628">
        <v>0</v>
      </c>
      <c r="BI628" s="5">
        <v>44048.176388888889</v>
      </c>
      <c r="BJ628" s="5">
        <v>44048.176388888889</v>
      </c>
      <c r="BK628" t="s">
        <v>778</v>
      </c>
      <c r="BL628" t="s">
        <v>778</v>
      </c>
      <c r="BN628" t="s">
        <v>37</v>
      </c>
    </row>
    <row r="629" spans="1:66" x14ac:dyDescent="0.2">
      <c r="A629">
        <v>3693186</v>
      </c>
      <c r="B629">
        <v>21883</v>
      </c>
      <c r="C629">
        <v>523937</v>
      </c>
      <c r="D629">
        <v>52899</v>
      </c>
      <c r="E629">
        <v>100</v>
      </c>
      <c r="F629" t="s">
        <v>37</v>
      </c>
      <c r="G629">
        <v>1</v>
      </c>
      <c r="H629" t="s">
        <v>37</v>
      </c>
      <c r="I629" t="s">
        <v>37</v>
      </c>
      <c r="J629" t="s">
        <v>775</v>
      </c>
      <c r="K629" t="s">
        <v>230</v>
      </c>
      <c r="L629" t="s">
        <v>226</v>
      </c>
      <c r="M629" t="s">
        <v>422</v>
      </c>
      <c r="N629" t="s">
        <v>3498</v>
      </c>
      <c r="O629" t="s">
        <v>3499</v>
      </c>
      <c r="S629">
        <v>0</v>
      </c>
      <c r="T629">
        <v>0</v>
      </c>
      <c r="U629">
        <v>0</v>
      </c>
      <c r="V629">
        <v>0</v>
      </c>
      <c r="W629">
        <v>24</v>
      </c>
      <c r="X629">
        <v>0</v>
      </c>
      <c r="Y629">
        <v>0</v>
      </c>
      <c r="Z629">
        <v>0</v>
      </c>
      <c r="AB629" s="5">
        <v>43505</v>
      </c>
      <c r="AC629" s="5">
        <v>43553</v>
      </c>
      <c r="AD629" s="5">
        <v>43970.333333333336</v>
      </c>
      <c r="AE629" s="5">
        <v>43970.333333333336</v>
      </c>
      <c r="AG629" s="5">
        <v>44044</v>
      </c>
      <c r="AH629" s="5">
        <v>44044</v>
      </c>
      <c r="AK629" s="5">
        <v>43539.333333333336</v>
      </c>
      <c r="AL629" s="5">
        <v>43543.666666666664</v>
      </c>
      <c r="AP629" t="s">
        <v>418</v>
      </c>
      <c r="AU629" t="s">
        <v>3500</v>
      </c>
      <c r="AV629" t="s">
        <v>3501</v>
      </c>
      <c r="AY629" t="s">
        <v>40</v>
      </c>
      <c r="AZ629">
        <v>0</v>
      </c>
      <c r="BA629">
        <v>0</v>
      </c>
      <c r="BI629" s="5">
        <v>44048.176388888889</v>
      </c>
      <c r="BJ629" s="5">
        <v>44048.176388888889</v>
      </c>
      <c r="BK629" t="s">
        <v>778</v>
      </c>
      <c r="BL629" t="s">
        <v>778</v>
      </c>
      <c r="BN629" t="s">
        <v>37</v>
      </c>
    </row>
    <row r="630" spans="1:66" x14ac:dyDescent="0.2">
      <c r="A630">
        <v>3693187</v>
      </c>
      <c r="B630">
        <v>21883</v>
      </c>
      <c r="C630">
        <v>523937</v>
      </c>
      <c r="D630">
        <v>52899</v>
      </c>
      <c r="E630">
        <v>100</v>
      </c>
      <c r="F630" t="s">
        <v>37</v>
      </c>
      <c r="G630">
        <v>1</v>
      </c>
      <c r="H630" t="s">
        <v>37</v>
      </c>
      <c r="I630" t="s">
        <v>37</v>
      </c>
      <c r="J630" t="s">
        <v>775</v>
      </c>
      <c r="K630" t="s">
        <v>230</v>
      </c>
      <c r="L630" t="s">
        <v>226</v>
      </c>
      <c r="M630" t="s">
        <v>422</v>
      </c>
      <c r="N630" t="s">
        <v>3502</v>
      </c>
      <c r="O630" t="s">
        <v>3503</v>
      </c>
      <c r="S630">
        <v>0</v>
      </c>
      <c r="T630">
        <v>0</v>
      </c>
      <c r="U630">
        <v>0</v>
      </c>
      <c r="V630">
        <v>0</v>
      </c>
      <c r="W630">
        <v>224</v>
      </c>
      <c r="X630">
        <v>0</v>
      </c>
      <c r="Y630">
        <v>0</v>
      </c>
      <c r="Z630">
        <v>0</v>
      </c>
      <c r="AB630" s="5">
        <v>43342.333333333336</v>
      </c>
      <c r="AC630" s="5">
        <v>43383</v>
      </c>
      <c r="AD630" s="5">
        <v>43970.333333333336</v>
      </c>
      <c r="AE630" s="5">
        <v>43970.333333333336</v>
      </c>
      <c r="AG630" s="5">
        <v>44044</v>
      </c>
      <c r="AH630" s="5">
        <v>44044</v>
      </c>
      <c r="AK630" s="5">
        <v>43350.333333333336</v>
      </c>
      <c r="AL630" s="5">
        <v>43391.666666666664</v>
      </c>
      <c r="AP630" t="s">
        <v>418</v>
      </c>
      <c r="AU630" t="s">
        <v>3504</v>
      </c>
      <c r="AV630" t="s">
        <v>3505</v>
      </c>
      <c r="AY630" t="s">
        <v>40</v>
      </c>
      <c r="AZ630">
        <v>0</v>
      </c>
      <c r="BA630">
        <v>0</v>
      </c>
      <c r="BI630" s="5">
        <v>44048.176388888889</v>
      </c>
      <c r="BJ630" s="5">
        <v>44048.176388888889</v>
      </c>
      <c r="BK630" t="s">
        <v>778</v>
      </c>
      <c r="BL630" t="s">
        <v>778</v>
      </c>
      <c r="BN630" t="s">
        <v>37</v>
      </c>
    </row>
    <row r="631" spans="1:66" x14ac:dyDescent="0.2">
      <c r="A631">
        <v>3693188</v>
      </c>
      <c r="B631">
        <v>21883</v>
      </c>
      <c r="C631">
        <v>523937</v>
      </c>
      <c r="D631">
        <v>52899</v>
      </c>
      <c r="E631">
        <v>100</v>
      </c>
      <c r="F631" t="s">
        <v>37</v>
      </c>
      <c r="G631">
        <v>1</v>
      </c>
      <c r="H631" t="s">
        <v>37</v>
      </c>
      <c r="I631" t="s">
        <v>37</v>
      </c>
      <c r="J631" t="s">
        <v>775</v>
      </c>
      <c r="K631" t="s">
        <v>230</v>
      </c>
      <c r="L631" t="s">
        <v>226</v>
      </c>
      <c r="M631" t="s">
        <v>422</v>
      </c>
      <c r="N631" t="s">
        <v>3506</v>
      </c>
      <c r="O631" t="s">
        <v>3507</v>
      </c>
      <c r="S631">
        <v>0</v>
      </c>
      <c r="T631">
        <v>0</v>
      </c>
      <c r="U631">
        <v>0</v>
      </c>
      <c r="V631">
        <v>0</v>
      </c>
      <c r="W631">
        <v>112</v>
      </c>
      <c r="X631">
        <v>0</v>
      </c>
      <c r="Y631">
        <v>0</v>
      </c>
      <c r="Z631">
        <v>0</v>
      </c>
      <c r="AB631" s="5">
        <v>43505</v>
      </c>
      <c r="AC631" s="5">
        <v>43553</v>
      </c>
      <c r="AD631" s="5">
        <v>43970.333333333336</v>
      </c>
      <c r="AE631" s="5">
        <v>43970.333333333336</v>
      </c>
      <c r="AG631" s="5">
        <v>44044</v>
      </c>
      <c r="AH631" s="5">
        <v>44044</v>
      </c>
      <c r="AK631" s="5">
        <v>43556.333333333336</v>
      </c>
      <c r="AL631" s="5">
        <v>43577.666666666664</v>
      </c>
      <c r="AP631" t="s">
        <v>418</v>
      </c>
      <c r="AU631" t="s">
        <v>3508</v>
      </c>
      <c r="AV631" t="s">
        <v>3509</v>
      </c>
      <c r="AY631" t="s">
        <v>40</v>
      </c>
      <c r="AZ631">
        <v>0</v>
      </c>
      <c r="BA631">
        <v>0</v>
      </c>
      <c r="BI631" s="5">
        <v>44048.176388888889</v>
      </c>
      <c r="BJ631" s="5">
        <v>44048.176388888889</v>
      </c>
      <c r="BK631" t="s">
        <v>778</v>
      </c>
      <c r="BL631" t="s">
        <v>778</v>
      </c>
      <c r="BN631" t="s">
        <v>37</v>
      </c>
    </row>
    <row r="632" spans="1:66" x14ac:dyDescent="0.2">
      <c r="A632">
        <v>3693189</v>
      </c>
      <c r="B632">
        <v>21883</v>
      </c>
      <c r="C632">
        <v>523937</v>
      </c>
      <c r="D632">
        <v>52898</v>
      </c>
      <c r="E632">
        <v>100</v>
      </c>
      <c r="F632" t="s">
        <v>37</v>
      </c>
      <c r="G632">
        <v>1</v>
      </c>
      <c r="H632" t="s">
        <v>37</v>
      </c>
      <c r="I632" t="s">
        <v>37</v>
      </c>
      <c r="J632" t="s">
        <v>775</v>
      </c>
      <c r="K632" t="s">
        <v>230</v>
      </c>
      <c r="L632" t="s">
        <v>226</v>
      </c>
      <c r="M632" t="s">
        <v>422</v>
      </c>
      <c r="N632" t="s">
        <v>3510</v>
      </c>
      <c r="O632" t="s">
        <v>3511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B632" s="5">
        <v>43501</v>
      </c>
      <c r="AC632" s="5">
        <v>43501</v>
      </c>
      <c r="AD632" s="5">
        <v>43970.333333333336</v>
      </c>
      <c r="AE632" s="5">
        <v>43970.333333333336</v>
      </c>
      <c r="AG632" s="5">
        <v>44044</v>
      </c>
      <c r="AH632" s="5">
        <v>44044</v>
      </c>
      <c r="AK632" s="5">
        <v>43601.333333333336</v>
      </c>
      <c r="AL632" s="5">
        <v>43601.333333333336</v>
      </c>
      <c r="AP632" t="s">
        <v>418</v>
      </c>
      <c r="AU632" t="s">
        <v>3512</v>
      </c>
      <c r="AV632" t="s">
        <v>3513</v>
      </c>
      <c r="AY632" t="s">
        <v>40</v>
      </c>
      <c r="AZ632">
        <v>0</v>
      </c>
      <c r="BA632">
        <v>0</v>
      </c>
      <c r="BI632" s="5">
        <v>44048.176388888889</v>
      </c>
      <c r="BJ632" s="5">
        <v>44048.176388888889</v>
      </c>
      <c r="BK632" t="s">
        <v>778</v>
      </c>
      <c r="BL632" t="s">
        <v>778</v>
      </c>
      <c r="BN632" t="s">
        <v>37</v>
      </c>
    </row>
    <row r="633" spans="1:66" x14ac:dyDescent="0.2">
      <c r="A633">
        <v>3693190</v>
      </c>
      <c r="B633">
        <v>21883</v>
      </c>
      <c r="C633">
        <v>523937</v>
      </c>
      <c r="D633">
        <v>52899</v>
      </c>
      <c r="E633">
        <v>100</v>
      </c>
      <c r="F633" t="s">
        <v>37</v>
      </c>
      <c r="G633">
        <v>1</v>
      </c>
      <c r="H633" t="s">
        <v>37</v>
      </c>
      <c r="I633" t="s">
        <v>37</v>
      </c>
      <c r="J633" t="s">
        <v>775</v>
      </c>
      <c r="K633" t="s">
        <v>230</v>
      </c>
      <c r="L633" t="s">
        <v>226</v>
      </c>
      <c r="M633" t="s">
        <v>422</v>
      </c>
      <c r="N633" t="s">
        <v>3514</v>
      </c>
      <c r="O633" t="s">
        <v>3515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B633" s="5">
        <v>43501</v>
      </c>
      <c r="AC633" s="5">
        <v>43501</v>
      </c>
      <c r="AD633" s="5">
        <v>43970.333333333336</v>
      </c>
      <c r="AE633" s="5">
        <v>43970.333333333336</v>
      </c>
      <c r="AG633" s="5">
        <v>44044</v>
      </c>
      <c r="AH633" s="5">
        <v>44044</v>
      </c>
      <c r="AK633" s="5">
        <v>43621.333333333336</v>
      </c>
      <c r="AL633" s="5">
        <v>43621.333333333336</v>
      </c>
      <c r="AP633" t="s">
        <v>418</v>
      </c>
      <c r="AU633" t="s">
        <v>3516</v>
      </c>
      <c r="AV633" t="s">
        <v>3517</v>
      </c>
      <c r="AY633" t="s">
        <v>40</v>
      </c>
      <c r="AZ633">
        <v>0</v>
      </c>
      <c r="BA633">
        <v>0</v>
      </c>
      <c r="BI633" s="5">
        <v>44048.176388888889</v>
      </c>
      <c r="BJ633" s="5">
        <v>44048.176388888889</v>
      </c>
      <c r="BK633" t="s">
        <v>778</v>
      </c>
      <c r="BL633" t="s">
        <v>778</v>
      </c>
      <c r="BN633" t="s">
        <v>37</v>
      </c>
    </row>
    <row r="634" spans="1:66" x14ac:dyDescent="0.2">
      <c r="A634">
        <v>3693191</v>
      </c>
      <c r="B634">
        <v>21883</v>
      </c>
      <c r="C634">
        <v>523937</v>
      </c>
      <c r="D634">
        <v>52898</v>
      </c>
      <c r="E634">
        <v>100</v>
      </c>
      <c r="F634" t="s">
        <v>37</v>
      </c>
      <c r="G634">
        <v>1</v>
      </c>
      <c r="H634" t="s">
        <v>37</v>
      </c>
      <c r="I634" t="s">
        <v>37</v>
      </c>
      <c r="J634" t="s">
        <v>775</v>
      </c>
      <c r="K634" t="s">
        <v>230</v>
      </c>
      <c r="L634" t="s">
        <v>226</v>
      </c>
      <c r="M634" t="s">
        <v>422</v>
      </c>
      <c r="N634" t="s">
        <v>3518</v>
      </c>
      <c r="O634" t="s">
        <v>3519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B634" s="5">
        <v>43501</v>
      </c>
      <c r="AC634" s="5">
        <v>43501</v>
      </c>
      <c r="AD634" s="5">
        <v>43970.333333333336</v>
      </c>
      <c r="AE634" s="5">
        <v>43970.333333333336</v>
      </c>
      <c r="AG634" s="5">
        <v>44044</v>
      </c>
      <c r="AH634" s="5">
        <v>44044</v>
      </c>
      <c r="AK634" s="5">
        <v>43621.333333333336</v>
      </c>
      <c r="AL634" s="5">
        <v>43621.333333333336</v>
      </c>
      <c r="AP634" t="s">
        <v>418</v>
      </c>
      <c r="AU634" t="s">
        <v>3520</v>
      </c>
      <c r="AV634" t="s">
        <v>3521</v>
      </c>
      <c r="AY634" t="s">
        <v>40</v>
      </c>
      <c r="AZ634">
        <v>0</v>
      </c>
      <c r="BA634">
        <v>0</v>
      </c>
      <c r="BI634" s="5">
        <v>44048.176388888889</v>
      </c>
      <c r="BJ634" s="5">
        <v>44048.176388888889</v>
      </c>
      <c r="BK634" t="s">
        <v>778</v>
      </c>
      <c r="BL634" t="s">
        <v>778</v>
      </c>
      <c r="BN634" t="s">
        <v>37</v>
      </c>
    </row>
    <row r="635" spans="1:66" x14ac:dyDescent="0.2">
      <c r="A635">
        <v>3693192</v>
      </c>
      <c r="B635">
        <v>21883</v>
      </c>
      <c r="C635">
        <v>523937</v>
      </c>
      <c r="D635">
        <v>52898</v>
      </c>
      <c r="E635">
        <v>100</v>
      </c>
      <c r="F635" t="s">
        <v>37</v>
      </c>
      <c r="G635">
        <v>1</v>
      </c>
      <c r="H635" t="s">
        <v>37</v>
      </c>
      <c r="I635" t="s">
        <v>37</v>
      </c>
      <c r="J635" t="s">
        <v>775</v>
      </c>
      <c r="K635" t="s">
        <v>230</v>
      </c>
      <c r="L635" t="s">
        <v>226</v>
      </c>
      <c r="M635" t="s">
        <v>422</v>
      </c>
      <c r="N635" t="s">
        <v>3522</v>
      </c>
      <c r="O635" t="s">
        <v>3523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B635" s="5">
        <v>43501</v>
      </c>
      <c r="AC635" s="5">
        <v>43501</v>
      </c>
      <c r="AD635" s="5">
        <v>43970.333333333336</v>
      </c>
      <c r="AE635" s="5">
        <v>43970.333333333336</v>
      </c>
      <c r="AG635" s="5">
        <v>44044</v>
      </c>
      <c r="AH635" s="5">
        <v>44044</v>
      </c>
      <c r="AK635" s="5">
        <v>43621.333333333336</v>
      </c>
      <c r="AL635" s="5">
        <v>43621.333333333336</v>
      </c>
      <c r="AP635" t="s">
        <v>418</v>
      </c>
      <c r="AU635" t="s">
        <v>3524</v>
      </c>
      <c r="AV635" t="e" cm="1">
        <f t="array" ref="AV635">+O759GmyV0SnEPiueYPlWg</f>
        <v>#NAME?</v>
      </c>
      <c r="AY635" t="s">
        <v>40</v>
      </c>
      <c r="AZ635">
        <v>0</v>
      </c>
      <c r="BA635">
        <v>0</v>
      </c>
      <c r="BI635" s="5">
        <v>44048.176388888889</v>
      </c>
      <c r="BJ635" s="5">
        <v>44048.176388888889</v>
      </c>
      <c r="BK635" t="s">
        <v>778</v>
      </c>
      <c r="BL635" t="s">
        <v>778</v>
      </c>
      <c r="BN635" t="s">
        <v>37</v>
      </c>
    </row>
    <row r="636" spans="1:66" x14ac:dyDescent="0.2">
      <c r="A636">
        <v>3693193</v>
      </c>
      <c r="B636">
        <v>21883</v>
      </c>
      <c r="C636">
        <v>523937</v>
      </c>
      <c r="D636">
        <v>52898</v>
      </c>
      <c r="E636">
        <v>100</v>
      </c>
      <c r="F636" t="s">
        <v>37</v>
      </c>
      <c r="G636">
        <v>1</v>
      </c>
      <c r="H636" t="s">
        <v>37</v>
      </c>
      <c r="I636" t="s">
        <v>37</v>
      </c>
      <c r="J636" t="s">
        <v>775</v>
      </c>
      <c r="K636" t="s">
        <v>230</v>
      </c>
      <c r="L636" t="s">
        <v>226</v>
      </c>
      <c r="M636" t="s">
        <v>422</v>
      </c>
      <c r="N636" t="s">
        <v>3525</v>
      </c>
      <c r="O636" t="s">
        <v>3526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B636" s="5">
        <v>43501</v>
      </c>
      <c r="AC636" s="5">
        <v>43501</v>
      </c>
      <c r="AD636" s="5">
        <v>43970.333333333336</v>
      </c>
      <c r="AE636" s="5">
        <v>43970.333333333336</v>
      </c>
      <c r="AG636" s="5">
        <v>44044</v>
      </c>
      <c r="AH636" s="5">
        <v>44044</v>
      </c>
      <c r="AK636" s="5">
        <v>43621.333333333336</v>
      </c>
      <c r="AL636" s="5">
        <v>43621.333333333336</v>
      </c>
      <c r="AP636" t="s">
        <v>418</v>
      </c>
      <c r="AU636" t="s">
        <v>3527</v>
      </c>
      <c r="AV636" t="s">
        <v>3528</v>
      </c>
      <c r="AY636" t="s">
        <v>40</v>
      </c>
      <c r="AZ636">
        <v>0</v>
      </c>
      <c r="BA636">
        <v>0</v>
      </c>
      <c r="BI636" s="5">
        <v>44048.176388888889</v>
      </c>
      <c r="BJ636" s="5">
        <v>44048.176388888889</v>
      </c>
      <c r="BK636" t="s">
        <v>778</v>
      </c>
      <c r="BL636" t="s">
        <v>778</v>
      </c>
      <c r="BN636" t="s">
        <v>37</v>
      </c>
    </row>
    <row r="637" spans="1:66" x14ac:dyDescent="0.2">
      <c r="A637">
        <v>3693194</v>
      </c>
      <c r="B637">
        <v>21883</v>
      </c>
      <c r="C637">
        <v>523936</v>
      </c>
      <c r="D637">
        <v>52899</v>
      </c>
      <c r="E637">
        <v>100</v>
      </c>
      <c r="F637" t="s">
        <v>37</v>
      </c>
      <c r="G637">
        <v>1</v>
      </c>
      <c r="H637" t="s">
        <v>37</v>
      </c>
      <c r="I637" t="s">
        <v>37</v>
      </c>
      <c r="J637" t="s">
        <v>775</v>
      </c>
      <c r="K637" t="s">
        <v>230</v>
      </c>
      <c r="L637" t="s">
        <v>226</v>
      </c>
      <c r="M637" t="s">
        <v>422</v>
      </c>
      <c r="N637" t="s">
        <v>3529</v>
      </c>
      <c r="O637" t="s">
        <v>3530</v>
      </c>
      <c r="S637">
        <v>0</v>
      </c>
      <c r="T637">
        <v>0</v>
      </c>
      <c r="U637">
        <v>0</v>
      </c>
      <c r="V637">
        <v>0</v>
      </c>
      <c r="W637">
        <v>80</v>
      </c>
      <c r="X637">
        <v>0</v>
      </c>
      <c r="Y637">
        <v>0</v>
      </c>
      <c r="Z637">
        <v>0</v>
      </c>
      <c r="AB637" s="5">
        <v>43329.333333333336</v>
      </c>
      <c r="AC637" s="5">
        <v>43336.666666666664</v>
      </c>
      <c r="AD637" s="5">
        <v>43970.333333333336</v>
      </c>
      <c r="AE637" s="5">
        <v>43970.333333333336</v>
      </c>
      <c r="AG637" s="5">
        <v>44044</v>
      </c>
      <c r="AH637" s="5">
        <v>44044</v>
      </c>
      <c r="AK637" s="5">
        <v>43347.333333333336</v>
      </c>
      <c r="AL637" s="5">
        <v>43362.666666666664</v>
      </c>
      <c r="AP637" t="s">
        <v>418</v>
      </c>
      <c r="AU637" t="s">
        <v>3531</v>
      </c>
      <c r="AV637" t="s">
        <v>3532</v>
      </c>
      <c r="AY637" t="s">
        <v>40</v>
      </c>
      <c r="AZ637">
        <v>0</v>
      </c>
      <c r="BA637">
        <v>0</v>
      </c>
      <c r="BI637" s="5">
        <v>44048.176388888889</v>
      </c>
      <c r="BJ637" s="5">
        <v>44048.176388888889</v>
      </c>
      <c r="BK637" t="s">
        <v>778</v>
      </c>
      <c r="BL637" t="s">
        <v>778</v>
      </c>
      <c r="BN637" t="s">
        <v>37</v>
      </c>
    </row>
    <row r="638" spans="1:66" x14ac:dyDescent="0.2">
      <c r="A638">
        <v>3693195</v>
      </c>
      <c r="B638">
        <v>21883</v>
      </c>
      <c r="C638">
        <v>523936</v>
      </c>
      <c r="D638">
        <v>52899</v>
      </c>
      <c r="E638">
        <v>100</v>
      </c>
      <c r="F638" t="s">
        <v>37</v>
      </c>
      <c r="G638">
        <v>1</v>
      </c>
      <c r="H638" t="s">
        <v>37</v>
      </c>
      <c r="I638" t="s">
        <v>37</v>
      </c>
      <c r="J638" t="s">
        <v>775</v>
      </c>
      <c r="K638" t="s">
        <v>230</v>
      </c>
      <c r="L638" t="s">
        <v>226</v>
      </c>
      <c r="M638" t="s">
        <v>422</v>
      </c>
      <c r="N638" t="s">
        <v>3533</v>
      </c>
      <c r="O638" t="s">
        <v>3534</v>
      </c>
      <c r="S638">
        <v>0</v>
      </c>
      <c r="T638">
        <v>0</v>
      </c>
      <c r="U638">
        <v>0</v>
      </c>
      <c r="V638">
        <v>0</v>
      </c>
      <c r="W638">
        <v>456</v>
      </c>
      <c r="X638">
        <v>0</v>
      </c>
      <c r="Y638">
        <v>0</v>
      </c>
      <c r="Z638">
        <v>0</v>
      </c>
      <c r="AB638" s="5">
        <v>43301.333333333336</v>
      </c>
      <c r="AC638" s="5">
        <v>43383</v>
      </c>
      <c r="AD638" s="5">
        <v>43970.333333333336</v>
      </c>
      <c r="AE638" s="5">
        <v>43970.333333333336</v>
      </c>
      <c r="AG638" s="5">
        <v>44044</v>
      </c>
      <c r="AH638" s="5">
        <v>44044</v>
      </c>
      <c r="AK638" s="5">
        <v>43363.333333333336</v>
      </c>
      <c r="AL638" s="5">
        <v>43455.666666666664</v>
      </c>
      <c r="AP638" t="s">
        <v>418</v>
      </c>
      <c r="AU638" t="s">
        <v>3535</v>
      </c>
      <c r="AV638" t="s">
        <v>3536</v>
      </c>
      <c r="AY638" t="s">
        <v>40</v>
      </c>
      <c r="AZ638">
        <v>0</v>
      </c>
      <c r="BA638">
        <v>0</v>
      </c>
      <c r="BI638" s="5">
        <v>44048.176388888889</v>
      </c>
      <c r="BJ638" s="5">
        <v>44048.176388888889</v>
      </c>
      <c r="BK638" t="s">
        <v>778</v>
      </c>
      <c r="BL638" t="s">
        <v>778</v>
      </c>
      <c r="BN638" t="s">
        <v>37</v>
      </c>
    </row>
    <row r="639" spans="1:66" x14ac:dyDescent="0.2">
      <c r="A639">
        <v>3693196</v>
      </c>
      <c r="B639">
        <v>21883</v>
      </c>
      <c r="C639">
        <v>523936</v>
      </c>
      <c r="D639">
        <v>52899</v>
      </c>
      <c r="E639">
        <v>100</v>
      </c>
      <c r="F639" t="s">
        <v>37</v>
      </c>
      <c r="G639">
        <v>1</v>
      </c>
      <c r="H639" t="s">
        <v>37</v>
      </c>
      <c r="I639" t="s">
        <v>37</v>
      </c>
      <c r="J639" t="s">
        <v>775</v>
      </c>
      <c r="K639" t="s">
        <v>230</v>
      </c>
      <c r="L639" t="s">
        <v>226</v>
      </c>
      <c r="M639" t="s">
        <v>422</v>
      </c>
      <c r="N639" t="s">
        <v>3537</v>
      </c>
      <c r="O639" t="s">
        <v>3538</v>
      </c>
      <c r="S639">
        <v>0</v>
      </c>
      <c r="T639">
        <v>0</v>
      </c>
      <c r="U639">
        <v>0</v>
      </c>
      <c r="V639">
        <v>0</v>
      </c>
      <c r="W639">
        <v>80</v>
      </c>
      <c r="X639">
        <v>0</v>
      </c>
      <c r="Y639">
        <v>0</v>
      </c>
      <c r="Z639">
        <v>0</v>
      </c>
      <c r="AB639" s="5">
        <v>43329.333333333336</v>
      </c>
      <c r="AC639" s="5">
        <v>43395</v>
      </c>
      <c r="AD639" s="5">
        <v>43970.333333333336</v>
      </c>
      <c r="AE639" s="5">
        <v>43970.333333333336</v>
      </c>
      <c r="AG639" s="5">
        <v>44044</v>
      </c>
      <c r="AH639" s="5">
        <v>44044</v>
      </c>
      <c r="AK639" s="5">
        <v>43347.333333333336</v>
      </c>
      <c r="AL639" s="5">
        <v>43362.666666666664</v>
      </c>
      <c r="AP639" t="s">
        <v>418</v>
      </c>
      <c r="AU639" t="s">
        <v>3539</v>
      </c>
      <c r="AV639" t="s">
        <v>3540</v>
      </c>
      <c r="AY639" t="s">
        <v>40</v>
      </c>
      <c r="AZ639">
        <v>0</v>
      </c>
      <c r="BA639">
        <v>0</v>
      </c>
      <c r="BI639" s="5">
        <v>44048.176388888889</v>
      </c>
      <c r="BJ639" s="5">
        <v>44048.176388888889</v>
      </c>
      <c r="BK639" t="s">
        <v>778</v>
      </c>
      <c r="BL639" t="s">
        <v>778</v>
      </c>
      <c r="BN639" t="s">
        <v>37</v>
      </c>
    </row>
    <row r="640" spans="1:66" x14ac:dyDescent="0.2">
      <c r="A640">
        <v>3693197</v>
      </c>
      <c r="B640">
        <v>21883</v>
      </c>
      <c r="C640">
        <v>523936</v>
      </c>
      <c r="D640">
        <v>52897</v>
      </c>
      <c r="E640">
        <v>100</v>
      </c>
      <c r="F640" t="s">
        <v>37</v>
      </c>
      <c r="G640">
        <v>1</v>
      </c>
      <c r="H640" t="s">
        <v>37</v>
      </c>
      <c r="I640" t="s">
        <v>37</v>
      </c>
      <c r="J640" t="s">
        <v>775</v>
      </c>
      <c r="K640" t="s">
        <v>230</v>
      </c>
      <c r="L640" t="s">
        <v>226</v>
      </c>
      <c r="M640" t="s">
        <v>422</v>
      </c>
      <c r="N640" t="s">
        <v>3541</v>
      </c>
      <c r="O640" t="s">
        <v>3542</v>
      </c>
      <c r="S640">
        <v>0</v>
      </c>
      <c r="T640">
        <v>0</v>
      </c>
      <c r="U640">
        <v>0</v>
      </c>
      <c r="V640">
        <v>0</v>
      </c>
      <c r="W640">
        <v>88</v>
      </c>
      <c r="X640">
        <v>0</v>
      </c>
      <c r="Y640">
        <v>0</v>
      </c>
      <c r="Z640">
        <v>0</v>
      </c>
      <c r="AB640" s="5">
        <v>43437</v>
      </c>
      <c r="AC640" s="5">
        <v>43537</v>
      </c>
      <c r="AD640" s="5">
        <v>43970.333333333336</v>
      </c>
      <c r="AE640" s="5">
        <v>43970.333333333336</v>
      </c>
      <c r="AG640" s="5">
        <v>44044</v>
      </c>
      <c r="AH640" s="5">
        <v>44044</v>
      </c>
      <c r="AK640" s="5">
        <v>43525.333333333336</v>
      </c>
      <c r="AL640" s="5">
        <v>43552.666666666664</v>
      </c>
      <c r="AP640" t="s">
        <v>418</v>
      </c>
      <c r="AU640" t="s">
        <v>3543</v>
      </c>
      <c r="AV640" t="s">
        <v>3544</v>
      </c>
      <c r="AY640" t="s">
        <v>40</v>
      </c>
      <c r="AZ640">
        <v>0</v>
      </c>
      <c r="BA640">
        <v>0</v>
      </c>
      <c r="BI640" s="5">
        <v>44048.176388888889</v>
      </c>
      <c r="BJ640" s="5">
        <v>44048.176388888889</v>
      </c>
      <c r="BK640" t="s">
        <v>778</v>
      </c>
      <c r="BL640" t="s">
        <v>778</v>
      </c>
      <c r="BN640" t="s">
        <v>37</v>
      </c>
    </row>
    <row r="641" spans="1:66" x14ac:dyDescent="0.2">
      <c r="A641">
        <v>3693198</v>
      </c>
      <c r="B641">
        <v>21883</v>
      </c>
      <c r="C641">
        <v>523936</v>
      </c>
      <c r="D641">
        <v>52897</v>
      </c>
      <c r="E641">
        <v>100</v>
      </c>
      <c r="F641" t="s">
        <v>37</v>
      </c>
      <c r="G641">
        <v>1</v>
      </c>
      <c r="H641" t="s">
        <v>37</v>
      </c>
      <c r="I641" t="s">
        <v>37</v>
      </c>
      <c r="J641" t="s">
        <v>775</v>
      </c>
      <c r="K641" t="s">
        <v>230</v>
      </c>
      <c r="L641" t="s">
        <v>226</v>
      </c>
      <c r="M641" t="s">
        <v>422</v>
      </c>
      <c r="N641" t="s">
        <v>3545</v>
      </c>
      <c r="O641" t="s">
        <v>3546</v>
      </c>
      <c r="S641">
        <v>0</v>
      </c>
      <c r="T641">
        <v>0</v>
      </c>
      <c r="U641">
        <v>0</v>
      </c>
      <c r="V641">
        <v>0</v>
      </c>
      <c r="W641">
        <v>40</v>
      </c>
      <c r="X641">
        <v>0</v>
      </c>
      <c r="Y641">
        <v>0</v>
      </c>
      <c r="Z641">
        <v>0</v>
      </c>
      <c r="AB641" s="5">
        <v>43538</v>
      </c>
      <c r="AC641" s="5">
        <v>43567</v>
      </c>
      <c r="AD641" s="5">
        <v>43970.333333333336</v>
      </c>
      <c r="AE641" s="5">
        <v>43970.333333333336</v>
      </c>
      <c r="AG641" s="5">
        <v>44044</v>
      </c>
      <c r="AH641" s="5">
        <v>44044</v>
      </c>
      <c r="AK641" s="5">
        <v>43556.333333333336</v>
      </c>
      <c r="AL641" s="5">
        <v>43563.666666666664</v>
      </c>
      <c r="AP641" t="s">
        <v>418</v>
      </c>
      <c r="AU641" t="s">
        <v>3547</v>
      </c>
      <c r="AV641" t="s">
        <v>3548</v>
      </c>
      <c r="AY641" t="s">
        <v>40</v>
      </c>
      <c r="AZ641">
        <v>0</v>
      </c>
      <c r="BA641">
        <v>0</v>
      </c>
      <c r="BI641" s="5">
        <v>44048.176388888889</v>
      </c>
      <c r="BJ641" s="5">
        <v>44048.176388888889</v>
      </c>
      <c r="BK641" t="s">
        <v>778</v>
      </c>
      <c r="BL641" t="s">
        <v>778</v>
      </c>
      <c r="BN641" t="s">
        <v>37</v>
      </c>
    </row>
    <row r="642" spans="1:66" x14ac:dyDescent="0.2">
      <c r="A642">
        <v>3693199</v>
      </c>
      <c r="B642">
        <v>21883</v>
      </c>
      <c r="C642">
        <v>523936</v>
      </c>
      <c r="D642">
        <v>52898</v>
      </c>
      <c r="E642">
        <v>100</v>
      </c>
      <c r="F642" t="s">
        <v>37</v>
      </c>
      <c r="G642">
        <v>1</v>
      </c>
      <c r="H642" t="s">
        <v>37</v>
      </c>
      <c r="I642" t="s">
        <v>37</v>
      </c>
      <c r="J642" t="s">
        <v>775</v>
      </c>
      <c r="K642" t="s">
        <v>230</v>
      </c>
      <c r="L642" t="s">
        <v>226</v>
      </c>
      <c r="M642" t="s">
        <v>422</v>
      </c>
      <c r="N642" t="s">
        <v>3549</v>
      </c>
      <c r="O642" t="s">
        <v>3550</v>
      </c>
      <c r="S642">
        <v>0</v>
      </c>
      <c r="T642">
        <v>16</v>
      </c>
      <c r="U642">
        <v>0</v>
      </c>
      <c r="V642">
        <v>16</v>
      </c>
      <c r="W642">
        <v>16</v>
      </c>
      <c r="X642">
        <v>0</v>
      </c>
      <c r="Y642">
        <v>0</v>
      </c>
      <c r="Z642">
        <v>0</v>
      </c>
      <c r="AB642" s="5">
        <v>43588</v>
      </c>
      <c r="AC642" s="5">
        <v>43592</v>
      </c>
      <c r="AD642" s="5">
        <v>43970.333333333336</v>
      </c>
      <c r="AE642" s="5">
        <v>43970.333333333336</v>
      </c>
      <c r="AG642" s="5">
        <v>44044</v>
      </c>
      <c r="AH642" s="5">
        <v>44044</v>
      </c>
      <c r="AK642" s="5">
        <v>43619.333333333336</v>
      </c>
      <c r="AL642" s="5">
        <v>43621.666666666664</v>
      </c>
      <c r="AP642" t="s">
        <v>418</v>
      </c>
      <c r="AU642" t="s">
        <v>3551</v>
      </c>
      <c r="AV642" t="s">
        <v>3552</v>
      </c>
      <c r="AY642" t="s">
        <v>40</v>
      </c>
      <c r="AZ642">
        <v>0</v>
      </c>
      <c r="BA642">
        <v>0</v>
      </c>
      <c r="BI642" s="5">
        <v>44048.176388888889</v>
      </c>
      <c r="BJ642" s="5">
        <v>44048.176388888889</v>
      </c>
      <c r="BK642" t="s">
        <v>778</v>
      </c>
      <c r="BL642" t="s">
        <v>778</v>
      </c>
      <c r="BN642" t="s">
        <v>37</v>
      </c>
    </row>
    <row r="643" spans="1:66" x14ac:dyDescent="0.2">
      <c r="A643">
        <v>3693200</v>
      </c>
      <c r="B643">
        <v>21883</v>
      </c>
      <c r="C643">
        <v>523936</v>
      </c>
      <c r="D643">
        <v>52898</v>
      </c>
      <c r="E643">
        <v>100</v>
      </c>
      <c r="F643" t="s">
        <v>37</v>
      </c>
      <c r="G643">
        <v>1</v>
      </c>
      <c r="H643" t="s">
        <v>37</v>
      </c>
      <c r="I643" t="s">
        <v>37</v>
      </c>
      <c r="J643" t="s">
        <v>775</v>
      </c>
      <c r="K643" t="s">
        <v>230</v>
      </c>
      <c r="L643" t="s">
        <v>226</v>
      </c>
      <c r="M643" t="s">
        <v>422</v>
      </c>
      <c r="N643" t="s">
        <v>3553</v>
      </c>
      <c r="O643" t="s">
        <v>3554</v>
      </c>
      <c r="S643">
        <v>0</v>
      </c>
      <c r="T643">
        <v>24</v>
      </c>
      <c r="U643">
        <v>0</v>
      </c>
      <c r="V643">
        <v>24</v>
      </c>
      <c r="W643">
        <v>24</v>
      </c>
      <c r="X643">
        <v>0</v>
      </c>
      <c r="Y643">
        <v>0</v>
      </c>
      <c r="Z643">
        <v>0</v>
      </c>
      <c r="AB643" s="5">
        <v>43591</v>
      </c>
      <c r="AC643" s="5">
        <v>43592</v>
      </c>
      <c r="AD643" s="5">
        <v>43970.333333333336</v>
      </c>
      <c r="AE643" s="5">
        <v>43970.333333333336</v>
      </c>
      <c r="AG643" s="5">
        <v>44044</v>
      </c>
      <c r="AH643" s="5">
        <v>44044</v>
      </c>
      <c r="AK643" s="5">
        <v>43643.333333333336</v>
      </c>
      <c r="AL643" s="5">
        <v>43647.666666666664</v>
      </c>
      <c r="AP643" t="s">
        <v>418</v>
      </c>
      <c r="AU643" t="s">
        <v>3555</v>
      </c>
      <c r="AV643" t="s">
        <v>3556</v>
      </c>
      <c r="AY643" t="s">
        <v>40</v>
      </c>
      <c r="AZ643">
        <v>0</v>
      </c>
      <c r="BA643">
        <v>0</v>
      </c>
      <c r="BI643" s="5">
        <v>44048.176388888889</v>
      </c>
      <c r="BJ643" s="5">
        <v>44048.176388888889</v>
      </c>
      <c r="BK643" t="s">
        <v>778</v>
      </c>
      <c r="BL643" t="s">
        <v>778</v>
      </c>
      <c r="BN643" t="s">
        <v>37</v>
      </c>
    </row>
    <row r="644" spans="1:66" x14ac:dyDescent="0.2">
      <c r="A644">
        <v>3693201</v>
      </c>
      <c r="B644">
        <v>21883</v>
      </c>
      <c r="C644">
        <v>523936</v>
      </c>
      <c r="D644">
        <v>52898</v>
      </c>
      <c r="E644">
        <v>100</v>
      </c>
      <c r="F644" t="s">
        <v>37</v>
      </c>
      <c r="G644">
        <v>1</v>
      </c>
      <c r="H644" t="s">
        <v>37</v>
      </c>
      <c r="I644" t="s">
        <v>37</v>
      </c>
      <c r="J644" t="s">
        <v>775</v>
      </c>
      <c r="K644" t="s">
        <v>230</v>
      </c>
      <c r="L644" t="s">
        <v>226</v>
      </c>
      <c r="M644" t="s">
        <v>422</v>
      </c>
      <c r="N644" t="s">
        <v>3557</v>
      </c>
      <c r="O644" t="s">
        <v>3558</v>
      </c>
      <c r="S644">
        <v>0</v>
      </c>
      <c r="T644">
        <v>16</v>
      </c>
      <c r="U644">
        <v>0</v>
      </c>
      <c r="V644">
        <v>16</v>
      </c>
      <c r="W644">
        <v>16</v>
      </c>
      <c r="X644">
        <v>0</v>
      </c>
      <c r="Y644">
        <v>0</v>
      </c>
      <c r="Z644">
        <v>0</v>
      </c>
      <c r="AB644" s="5">
        <v>43609</v>
      </c>
      <c r="AC644" s="5">
        <v>43609</v>
      </c>
      <c r="AD644" s="5">
        <v>43970.333333333336</v>
      </c>
      <c r="AE644" s="5">
        <v>43970.333333333336</v>
      </c>
      <c r="AG644" s="5">
        <v>44044</v>
      </c>
      <c r="AH644" s="5">
        <v>44044</v>
      </c>
      <c r="AK644" s="5">
        <v>43643.333333333336</v>
      </c>
      <c r="AL644" s="5">
        <v>43644.666666666664</v>
      </c>
      <c r="AP644" t="s">
        <v>418</v>
      </c>
      <c r="AU644" t="s">
        <v>3559</v>
      </c>
      <c r="AV644" t="s">
        <v>3560</v>
      </c>
      <c r="AY644" t="s">
        <v>40</v>
      </c>
      <c r="AZ644">
        <v>0</v>
      </c>
      <c r="BA644">
        <v>0</v>
      </c>
      <c r="BI644" s="5">
        <v>44048.176388888889</v>
      </c>
      <c r="BJ644" s="5">
        <v>44048.176388888889</v>
      </c>
      <c r="BK644" t="s">
        <v>778</v>
      </c>
      <c r="BL644" t="s">
        <v>778</v>
      </c>
      <c r="BN644" t="s">
        <v>37</v>
      </c>
    </row>
    <row r="645" spans="1:66" x14ac:dyDescent="0.2">
      <c r="A645">
        <v>3693202</v>
      </c>
      <c r="B645">
        <v>21883</v>
      </c>
      <c r="C645">
        <v>524000</v>
      </c>
      <c r="D645">
        <v>52897</v>
      </c>
      <c r="E645">
        <v>100</v>
      </c>
      <c r="F645" t="s">
        <v>37</v>
      </c>
      <c r="G645">
        <v>1</v>
      </c>
      <c r="H645" t="s">
        <v>37</v>
      </c>
      <c r="I645" t="s">
        <v>37</v>
      </c>
      <c r="J645" t="s">
        <v>775</v>
      </c>
      <c r="K645" t="s">
        <v>230</v>
      </c>
      <c r="L645" t="s">
        <v>226</v>
      </c>
      <c r="M645" t="s">
        <v>422</v>
      </c>
      <c r="N645" t="s">
        <v>3561</v>
      </c>
      <c r="O645" t="s">
        <v>3562</v>
      </c>
      <c r="S645">
        <v>0</v>
      </c>
      <c r="T645">
        <v>0</v>
      </c>
      <c r="U645">
        <v>0</v>
      </c>
      <c r="V645">
        <v>0</v>
      </c>
      <c r="W645">
        <v>312</v>
      </c>
      <c r="X645">
        <v>0</v>
      </c>
      <c r="Y645">
        <v>0</v>
      </c>
      <c r="Z645">
        <v>0</v>
      </c>
      <c r="AB645" s="5">
        <v>43510</v>
      </c>
      <c r="AC645" s="5">
        <v>44043</v>
      </c>
      <c r="AD645" s="5">
        <v>43983.333333333336</v>
      </c>
      <c r="AE645" s="5">
        <v>43983.333333333336</v>
      </c>
      <c r="AG645" s="5">
        <v>44044</v>
      </c>
      <c r="AH645" s="5">
        <v>44044</v>
      </c>
      <c r="AK645" s="5">
        <v>43556.333333333336</v>
      </c>
      <c r="AL645" s="5">
        <v>43629.666666666664</v>
      </c>
      <c r="AP645" t="s">
        <v>418</v>
      </c>
      <c r="AU645" t="s">
        <v>3563</v>
      </c>
      <c r="AV645" t="s">
        <v>3564</v>
      </c>
      <c r="AY645" t="s">
        <v>40</v>
      </c>
      <c r="AZ645">
        <v>0</v>
      </c>
      <c r="BA645">
        <v>0</v>
      </c>
      <c r="BI645" s="5">
        <v>44048.176388888889</v>
      </c>
      <c r="BJ645" s="5">
        <v>44048.176388888889</v>
      </c>
      <c r="BK645" t="s">
        <v>778</v>
      </c>
      <c r="BL645" t="s">
        <v>778</v>
      </c>
      <c r="BN645" t="s">
        <v>37</v>
      </c>
    </row>
    <row r="646" spans="1:66" x14ac:dyDescent="0.2">
      <c r="A646">
        <v>3693203</v>
      </c>
      <c r="B646">
        <v>21883</v>
      </c>
      <c r="C646">
        <v>523935</v>
      </c>
      <c r="D646">
        <v>52897</v>
      </c>
      <c r="E646">
        <v>100</v>
      </c>
      <c r="F646" t="s">
        <v>37</v>
      </c>
      <c r="G646">
        <v>1</v>
      </c>
      <c r="H646" t="s">
        <v>37</v>
      </c>
      <c r="I646" t="s">
        <v>37</v>
      </c>
      <c r="J646" t="s">
        <v>775</v>
      </c>
      <c r="K646" t="s">
        <v>230</v>
      </c>
      <c r="L646" t="s">
        <v>226</v>
      </c>
      <c r="M646" t="s">
        <v>422</v>
      </c>
      <c r="N646" t="s">
        <v>3565</v>
      </c>
      <c r="O646" t="s">
        <v>3566</v>
      </c>
      <c r="S646">
        <v>0</v>
      </c>
      <c r="T646">
        <v>0</v>
      </c>
      <c r="U646">
        <v>0</v>
      </c>
      <c r="V646">
        <v>0</v>
      </c>
      <c r="W646">
        <v>328</v>
      </c>
      <c r="X646">
        <v>0</v>
      </c>
      <c r="Y646">
        <v>0</v>
      </c>
      <c r="Z646">
        <v>0</v>
      </c>
      <c r="AB646" s="5">
        <v>43612</v>
      </c>
      <c r="AC646" s="5">
        <v>43722</v>
      </c>
      <c r="AD646" s="5">
        <v>43986.333333333336</v>
      </c>
      <c r="AE646" s="5">
        <v>43986.333333333336</v>
      </c>
      <c r="AG646" s="5">
        <v>44044</v>
      </c>
      <c r="AH646" s="5">
        <v>44044</v>
      </c>
      <c r="AK646" s="5">
        <v>43619.333333333336</v>
      </c>
      <c r="AL646" s="5">
        <v>43703.666666666664</v>
      </c>
      <c r="AP646" t="s">
        <v>418</v>
      </c>
      <c r="AU646" t="s">
        <v>3567</v>
      </c>
      <c r="AV646" t="s">
        <v>3568</v>
      </c>
      <c r="AY646" t="s">
        <v>40</v>
      </c>
      <c r="AZ646">
        <v>0</v>
      </c>
      <c r="BA646">
        <v>0</v>
      </c>
      <c r="BI646" s="5">
        <v>44048.176388888889</v>
      </c>
      <c r="BJ646" s="5">
        <v>44048.176388888889</v>
      </c>
      <c r="BK646" t="s">
        <v>778</v>
      </c>
      <c r="BL646" t="s">
        <v>778</v>
      </c>
      <c r="BN646" t="s">
        <v>37</v>
      </c>
    </row>
    <row r="647" spans="1:66" x14ac:dyDescent="0.2">
      <c r="A647">
        <v>3693204</v>
      </c>
      <c r="B647">
        <v>21883</v>
      </c>
      <c r="C647">
        <v>523999</v>
      </c>
      <c r="D647">
        <v>52899</v>
      </c>
      <c r="E647">
        <v>100</v>
      </c>
      <c r="F647" t="s">
        <v>37</v>
      </c>
      <c r="G647">
        <v>1</v>
      </c>
      <c r="H647" t="s">
        <v>37</v>
      </c>
      <c r="I647" t="s">
        <v>37</v>
      </c>
      <c r="J647" t="s">
        <v>775</v>
      </c>
      <c r="K647" t="s">
        <v>230</v>
      </c>
      <c r="L647" t="s">
        <v>226</v>
      </c>
      <c r="M647" t="s">
        <v>422</v>
      </c>
      <c r="N647" t="s">
        <v>3569</v>
      </c>
      <c r="O647" t="s">
        <v>3570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B647" s="5">
        <v>43497</v>
      </c>
      <c r="AC647" s="5">
        <v>43497</v>
      </c>
      <c r="AD647" s="5">
        <v>44306.666666666664</v>
      </c>
      <c r="AE647" s="5">
        <v>44306.666666666664</v>
      </c>
      <c r="AG647" s="5">
        <v>44044</v>
      </c>
      <c r="AH647" s="5">
        <v>44044</v>
      </c>
      <c r="AK647" s="5">
        <v>43497.333333333336</v>
      </c>
      <c r="AL647" s="5">
        <v>43497.333333333336</v>
      </c>
      <c r="AP647" t="s">
        <v>418</v>
      </c>
      <c r="AU647" t="s">
        <v>3571</v>
      </c>
      <c r="AV647" t="s">
        <v>3572</v>
      </c>
      <c r="AY647" t="s">
        <v>37</v>
      </c>
      <c r="AZ647">
        <v>0</v>
      </c>
      <c r="BA647">
        <v>0</v>
      </c>
      <c r="BI647" s="5">
        <v>44048.176388888889</v>
      </c>
      <c r="BJ647" s="5">
        <v>44048.176388888889</v>
      </c>
      <c r="BK647" t="s">
        <v>778</v>
      </c>
      <c r="BL647" t="s">
        <v>778</v>
      </c>
      <c r="BN647" t="s">
        <v>37</v>
      </c>
    </row>
    <row r="648" spans="1:66" x14ac:dyDescent="0.2">
      <c r="A648">
        <v>3693205</v>
      </c>
      <c r="B648">
        <v>21883</v>
      </c>
      <c r="C648">
        <v>523935</v>
      </c>
      <c r="D648">
        <v>52886</v>
      </c>
      <c r="E648">
        <v>100</v>
      </c>
      <c r="F648" t="s">
        <v>37</v>
      </c>
      <c r="G648">
        <v>1</v>
      </c>
      <c r="H648" t="s">
        <v>37</v>
      </c>
      <c r="I648" t="s">
        <v>37</v>
      </c>
      <c r="J648" t="s">
        <v>775</v>
      </c>
      <c r="K648" t="s">
        <v>230</v>
      </c>
      <c r="L648" t="s">
        <v>226</v>
      </c>
      <c r="M648" t="s">
        <v>422</v>
      </c>
      <c r="N648" t="s">
        <v>3573</v>
      </c>
      <c r="O648" t="s">
        <v>3574</v>
      </c>
      <c r="S648">
        <v>0</v>
      </c>
      <c r="T648">
        <v>0</v>
      </c>
      <c r="U648">
        <v>0</v>
      </c>
      <c r="V648">
        <v>0</v>
      </c>
      <c r="W648">
        <v>16</v>
      </c>
      <c r="X648">
        <v>0</v>
      </c>
      <c r="Y648">
        <v>0</v>
      </c>
      <c r="Z648">
        <v>0</v>
      </c>
      <c r="AB648" s="5">
        <v>43927</v>
      </c>
      <c r="AC648" s="5">
        <v>43929</v>
      </c>
      <c r="AD648" s="5">
        <v>44008.666666666664</v>
      </c>
      <c r="AE648" s="5">
        <v>44008.666666666664</v>
      </c>
      <c r="AG648" s="5">
        <v>44044</v>
      </c>
      <c r="AH648" s="5">
        <v>44044</v>
      </c>
      <c r="AK648" s="5">
        <v>43934.333333333336</v>
      </c>
      <c r="AL648" s="5">
        <v>43936.708333333336</v>
      </c>
      <c r="AP648" t="s">
        <v>418</v>
      </c>
      <c r="AU648" t="s">
        <v>1860</v>
      </c>
      <c r="AV648" t="s">
        <v>3575</v>
      </c>
      <c r="AY648" t="s">
        <v>37</v>
      </c>
      <c r="AZ648">
        <v>0</v>
      </c>
      <c r="BA648">
        <v>0</v>
      </c>
      <c r="BI648" s="5">
        <v>44048.176388888889</v>
      </c>
      <c r="BJ648" s="5">
        <v>44048.176388888889</v>
      </c>
      <c r="BK648" t="s">
        <v>778</v>
      </c>
      <c r="BL648" t="s">
        <v>778</v>
      </c>
      <c r="BN648" t="s">
        <v>37</v>
      </c>
    </row>
    <row r="649" spans="1:66" x14ac:dyDescent="0.2">
      <c r="A649">
        <v>3693206</v>
      </c>
      <c r="B649">
        <v>21883</v>
      </c>
      <c r="C649">
        <v>523935</v>
      </c>
      <c r="D649">
        <v>52897</v>
      </c>
      <c r="E649">
        <v>100</v>
      </c>
      <c r="F649" t="s">
        <v>37</v>
      </c>
      <c r="G649">
        <v>1</v>
      </c>
      <c r="H649" t="s">
        <v>37</v>
      </c>
      <c r="I649" t="s">
        <v>37</v>
      </c>
      <c r="J649" t="s">
        <v>775</v>
      </c>
      <c r="K649" t="s">
        <v>230</v>
      </c>
      <c r="L649" t="s">
        <v>226</v>
      </c>
      <c r="M649" t="s">
        <v>422</v>
      </c>
      <c r="N649" t="s">
        <v>3576</v>
      </c>
      <c r="O649" t="s">
        <v>3577</v>
      </c>
      <c r="S649">
        <v>0</v>
      </c>
      <c r="T649">
        <v>0</v>
      </c>
      <c r="U649">
        <v>0</v>
      </c>
      <c r="V649">
        <v>0</v>
      </c>
      <c r="W649">
        <v>24</v>
      </c>
      <c r="X649">
        <v>0</v>
      </c>
      <c r="Y649">
        <v>0</v>
      </c>
      <c r="Z649">
        <v>0</v>
      </c>
      <c r="AB649" s="5">
        <v>43943</v>
      </c>
      <c r="AC649" s="5">
        <v>43946</v>
      </c>
      <c r="AD649" s="5">
        <v>44008.666666666664</v>
      </c>
      <c r="AE649" s="5">
        <v>44008.666666666664</v>
      </c>
      <c r="AG649" s="5">
        <v>44044</v>
      </c>
      <c r="AH649" s="5">
        <v>44044</v>
      </c>
      <c r="AK649" s="5">
        <v>43948.333333333336</v>
      </c>
      <c r="AL649" s="5">
        <v>43952.666666666664</v>
      </c>
      <c r="AP649" t="s">
        <v>418</v>
      </c>
      <c r="AU649" t="s">
        <v>1863</v>
      </c>
      <c r="AV649" t="s">
        <v>3578</v>
      </c>
      <c r="AY649" t="s">
        <v>37</v>
      </c>
      <c r="AZ649">
        <v>0</v>
      </c>
      <c r="BA649">
        <v>0</v>
      </c>
      <c r="BI649" s="5">
        <v>44048.176388888889</v>
      </c>
      <c r="BJ649" s="5">
        <v>44048.176388888889</v>
      </c>
      <c r="BK649" t="s">
        <v>778</v>
      </c>
      <c r="BL649" t="s">
        <v>778</v>
      </c>
      <c r="BN649" t="s">
        <v>37</v>
      </c>
    </row>
    <row r="650" spans="1:66" x14ac:dyDescent="0.2">
      <c r="A650">
        <v>3693207</v>
      </c>
      <c r="B650">
        <v>21883</v>
      </c>
      <c r="C650">
        <v>523935</v>
      </c>
      <c r="D650">
        <v>52898</v>
      </c>
      <c r="E650">
        <v>100</v>
      </c>
      <c r="F650" t="s">
        <v>37</v>
      </c>
      <c r="G650">
        <v>1</v>
      </c>
      <c r="H650" t="s">
        <v>37</v>
      </c>
      <c r="I650" t="s">
        <v>37</v>
      </c>
      <c r="J650" t="s">
        <v>775</v>
      </c>
      <c r="K650" t="s">
        <v>230</v>
      </c>
      <c r="L650" t="s">
        <v>226</v>
      </c>
      <c r="M650" t="s">
        <v>422</v>
      </c>
      <c r="N650" t="s">
        <v>3579</v>
      </c>
      <c r="O650" t="s">
        <v>3580</v>
      </c>
      <c r="S650">
        <v>0</v>
      </c>
      <c r="T650">
        <v>16</v>
      </c>
      <c r="U650">
        <v>0</v>
      </c>
      <c r="V650">
        <v>16</v>
      </c>
      <c r="W650">
        <v>16</v>
      </c>
      <c r="X650">
        <v>0</v>
      </c>
      <c r="Y650">
        <v>0</v>
      </c>
      <c r="Z650">
        <v>0</v>
      </c>
      <c r="AB650" s="5">
        <v>43955</v>
      </c>
      <c r="AC650" s="5">
        <v>43955</v>
      </c>
      <c r="AD650" s="5">
        <v>44008.666666666664</v>
      </c>
      <c r="AE650" s="5">
        <v>44008.666666666664</v>
      </c>
      <c r="AG650" s="5">
        <v>44044</v>
      </c>
      <c r="AH650" s="5">
        <v>44044</v>
      </c>
      <c r="AK650" s="5">
        <v>43962.333333333336</v>
      </c>
      <c r="AL650" s="5">
        <v>43963.666666666664</v>
      </c>
      <c r="AP650" t="s">
        <v>418</v>
      </c>
      <c r="AU650" t="s">
        <v>1866</v>
      </c>
      <c r="AV650" t="s">
        <v>3581</v>
      </c>
      <c r="AY650" t="s">
        <v>37</v>
      </c>
      <c r="AZ650">
        <v>0</v>
      </c>
      <c r="BA650">
        <v>0</v>
      </c>
      <c r="BI650" s="5">
        <v>44048.176388888889</v>
      </c>
      <c r="BJ650" s="5">
        <v>44048.176388888889</v>
      </c>
      <c r="BK650" t="s">
        <v>778</v>
      </c>
      <c r="BL650" t="s">
        <v>778</v>
      </c>
      <c r="BN650" t="s">
        <v>37</v>
      </c>
    </row>
    <row r="651" spans="1:66" x14ac:dyDescent="0.2">
      <c r="A651">
        <v>3693208</v>
      </c>
      <c r="B651">
        <v>21883</v>
      </c>
      <c r="C651">
        <v>524016</v>
      </c>
      <c r="D651">
        <v>52898</v>
      </c>
      <c r="E651">
        <v>100</v>
      </c>
      <c r="F651" t="s">
        <v>37</v>
      </c>
      <c r="G651">
        <v>1</v>
      </c>
      <c r="H651" t="s">
        <v>37</v>
      </c>
      <c r="I651" t="s">
        <v>37</v>
      </c>
      <c r="J651" t="s">
        <v>775</v>
      </c>
      <c r="K651" t="s">
        <v>230</v>
      </c>
      <c r="L651" t="s">
        <v>226</v>
      </c>
      <c r="M651" t="s">
        <v>422</v>
      </c>
      <c r="N651" t="s">
        <v>3582</v>
      </c>
      <c r="O651" t="s">
        <v>3583</v>
      </c>
      <c r="S651">
        <v>0</v>
      </c>
      <c r="T651">
        <v>8</v>
      </c>
      <c r="U651">
        <v>0</v>
      </c>
      <c r="V651">
        <v>8</v>
      </c>
      <c r="W651">
        <v>80</v>
      </c>
      <c r="X651">
        <v>0</v>
      </c>
      <c r="Y651">
        <v>0</v>
      </c>
      <c r="Z651">
        <v>0</v>
      </c>
      <c r="AB651" s="5">
        <v>44011</v>
      </c>
      <c r="AC651" s="5">
        <v>44020</v>
      </c>
      <c r="AD651" s="5">
        <v>44008.666666666664</v>
      </c>
      <c r="AE651" s="5">
        <v>44008.666666666664</v>
      </c>
      <c r="AG651" s="5">
        <v>44044</v>
      </c>
      <c r="AH651" s="5">
        <v>44044</v>
      </c>
      <c r="AK651" s="5">
        <v>44014.333333333336</v>
      </c>
      <c r="AL651" s="5">
        <v>44033.666666666664</v>
      </c>
      <c r="AP651" t="s">
        <v>418</v>
      </c>
      <c r="AU651" t="s">
        <v>1792</v>
      </c>
      <c r="AV651" t="s">
        <v>3584</v>
      </c>
      <c r="AY651" t="s">
        <v>37</v>
      </c>
      <c r="AZ651">
        <v>0</v>
      </c>
      <c r="BA651">
        <v>0</v>
      </c>
      <c r="BI651" s="5">
        <v>44048.176388888889</v>
      </c>
      <c r="BJ651" s="5">
        <v>44048.176388888889</v>
      </c>
      <c r="BK651" t="s">
        <v>778</v>
      </c>
      <c r="BL651" t="s">
        <v>778</v>
      </c>
      <c r="BN651" t="s">
        <v>37</v>
      </c>
    </row>
    <row r="652" spans="1:66" x14ac:dyDescent="0.2">
      <c r="A652">
        <v>3693209</v>
      </c>
      <c r="B652">
        <v>21883</v>
      </c>
      <c r="C652">
        <v>524016</v>
      </c>
      <c r="D652">
        <v>52898</v>
      </c>
      <c r="E652">
        <v>100</v>
      </c>
      <c r="F652" t="s">
        <v>37</v>
      </c>
      <c r="G652">
        <v>1</v>
      </c>
      <c r="H652" t="s">
        <v>37</v>
      </c>
      <c r="I652" t="s">
        <v>37</v>
      </c>
      <c r="J652" t="s">
        <v>775</v>
      </c>
      <c r="K652" t="s">
        <v>230</v>
      </c>
      <c r="L652" t="s">
        <v>226</v>
      </c>
      <c r="M652" t="s">
        <v>422</v>
      </c>
      <c r="N652" t="s">
        <v>3585</v>
      </c>
      <c r="O652" t="s">
        <v>3586</v>
      </c>
      <c r="S652">
        <v>0</v>
      </c>
      <c r="T652">
        <v>8</v>
      </c>
      <c r="U652">
        <v>0</v>
      </c>
      <c r="V652">
        <v>8</v>
      </c>
      <c r="W652">
        <v>16</v>
      </c>
      <c r="X652">
        <v>0</v>
      </c>
      <c r="Y652">
        <v>0</v>
      </c>
      <c r="Z652">
        <v>0</v>
      </c>
      <c r="AB652" s="5">
        <v>44021</v>
      </c>
      <c r="AC652" s="5">
        <v>44021</v>
      </c>
      <c r="AD652" s="5">
        <v>44008.666666666664</v>
      </c>
      <c r="AE652" s="5">
        <v>44008.666666666664</v>
      </c>
      <c r="AG652" s="5">
        <v>44044</v>
      </c>
      <c r="AH652" s="5">
        <v>44044</v>
      </c>
      <c r="AK652" s="5">
        <v>44026.333333333336</v>
      </c>
      <c r="AL652" s="5">
        <v>44028.666666666664</v>
      </c>
      <c r="AP652" t="s">
        <v>418</v>
      </c>
      <c r="AU652" t="s">
        <v>1796</v>
      </c>
      <c r="AV652" t="s">
        <v>3587</v>
      </c>
      <c r="AY652" t="s">
        <v>37</v>
      </c>
      <c r="AZ652">
        <v>0</v>
      </c>
      <c r="BA652">
        <v>0</v>
      </c>
      <c r="BI652" s="5">
        <v>44048.176388888889</v>
      </c>
      <c r="BJ652" s="5">
        <v>44048.176388888889</v>
      </c>
      <c r="BK652" t="s">
        <v>778</v>
      </c>
      <c r="BL652" t="s">
        <v>778</v>
      </c>
      <c r="BN652" t="s">
        <v>37</v>
      </c>
    </row>
    <row r="653" spans="1:66" x14ac:dyDescent="0.2">
      <c r="A653">
        <v>3693210</v>
      </c>
      <c r="B653">
        <v>21883</v>
      </c>
      <c r="C653">
        <v>523984</v>
      </c>
      <c r="D653">
        <v>52895</v>
      </c>
      <c r="E653">
        <v>100</v>
      </c>
      <c r="F653" t="s">
        <v>37</v>
      </c>
      <c r="G653">
        <v>1</v>
      </c>
      <c r="H653" t="s">
        <v>37</v>
      </c>
      <c r="I653" t="s">
        <v>37</v>
      </c>
      <c r="J653" t="s">
        <v>775</v>
      </c>
      <c r="K653" t="s">
        <v>230</v>
      </c>
      <c r="L653" t="s">
        <v>226</v>
      </c>
      <c r="M653" t="s">
        <v>422</v>
      </c>
      <c r="N653" t="s">
        <v>3588</v>
      </c>
      <c r="O653" t="s">
        <v>3589</v>
      </c>
      <c r="S653">
        <v>0</v>
      </c>
      <c r="T653">
        <v>0</v>
      </c>
      <c r="U653">
        <v>0</v>
      </c>
      <c r="V653">
        <v>0</v>
      </c>
      <c r="W653">
        <v>240</v>
      </c>
      <c r="X653">
        <v>0</v>
      </c>
      <c r="Y653">
        <v>0</v>
      </c>
      <c r="Z653">
        <v>0</v>
      </c>
      <c r="AA653" s="5">
        <v>43192.333333333336</v>
      </c>
      <c r="AB653" s="5">
        <v>43209.333333333336</v>
      </c>
      <c r="AC653" s="5">
        <v>43255.666666666664</v>
      </c>
      <c r="AD653" s="5">
        <v>43970.333333333336</v>
      </c>
      <c r="AE653" s="5">
        <v>43970.333333333336</v>
      </c>
      <c r="AG653" s="5">
        <v>44044</v>
      </c>
      <c r="AH653" s="5">
        <v>44044</v>
      </c>
      <c r="AK653" s="5">
        <v>43221.333333333336</v>
      </c>
      <c r="AL653" s="5">
        <v>43250.666666666664</v>
      </c>
      <c r="AO653" t="s">
        <v>1523</v>
      </c>
      <c r="AP653" t="s">
        <v>418</v>
      </c>
      <c r="AU653" t="s">
        <v>3590</v>
      </c>
      <c r="AV653" t="s">
        <v>3591</v>
      </c>
      <c r="AY653" t="s">
        <v>40</v>
      </c>
      <c r="AZ653">
        <v>0</v>
      </c>
      <c r="BA653">
        <v>0</v>
      </c>
      <c r="BI653" s="5">
        <v>44048.176388888889</v>
      </c>
      <c r="BJ653" s="5">
        <v>44048.176388888889</v>
      </c>
      <c r="BK653" t="s">
        <v>778</v>
      </c>
      <c r="BL653" t="s">
        <v>778</v>
      </c>
      <c r="BN653" t="s">
        <v>37</v>
      </c>
    </row>
    <row r="654" spans="1:66" x14ac:dyDescent="0.2">
      <c r="A654">
        <v>3693211</v>
      </c>
      <c r="B654">
        <v>21883</v>
      </c>
      <c r="C654">
        <v>523984</v>
      </c>
      <c r="D654">
        <v>52895</v>
      </c>
      <c r="E654">
        <v>100</v>
      </c>
      <c r="F654" t="s">
        <v>37</v>
      </c>
      <c r="G654">
        <v>1</v>
      </c>
      <c r="H654" t="s">
        <v>37</v>
      </c>
      <c r="I654" t="s">
        <v>37</v>
      </c>
      <c r="J654" t="s">
        <v>775</v>
      </c>
      <c r="K654" t="s">
        <v>230</v>
      </c>
      <c r="L654" t="s">
        <v>226</v>
      </c>
      <c r="M654" t="s">
        <v>422</v>
      </c>
      <c r="N654" t="s">
        <v>3592</v>
      </c>
      <c r="O654" t="s">
        <v>3593</v>
      </c>
      <c r="S654">
        <v>0</v>
      </c>
      <c r="T654">
        <v>0</v>
      </c>
      <c r="U654">
        <v>0</v>
      </c>
      <c r="V654">
        <v>0</v>
      </c>
      <c r="W654">
        <v>240</v>
      </c>
      <c r="X654">
        <v>0</v>
      </c>
      <c r="Y654">
        <v>0</v>
      </c>
      <c r="Z654">
        <v>0</v>
      </c>
      <c r="AA654" s="5">
        <v>43192.333333333336</v>
      </c>
      <c r="AB654" s="5">
        <v>43209.333333333336</v>
      </c>
      <c r="AC654" s="5">
        <v>43255.666666666664</v>
      </c>
      <c r="AD654" s="5">
        <v>43970.333333333336</v>
      </c>
      <c r="AE654" s="5">
        <v>43970.333333333336</v>
      </c>
      <c r="AG654" s="5">
        <v>44044</v>
      </c>
      <c r="AH654" s="5">
        <v>44044</v>
      </c>
      <c r="AK654" s="5">
        <v>43221.333333333336</v>
      </c>
      <c r="AL654" s="5">
        <v>43250.666666666664</v>
      </c>
      <c r="AO654" t="s">
        <v>1523</v>
      </c>
      <c r="AP654" t="s">
        <v>418</v>
      </c>
      <c r="AU654" t="s">
        <v>3594</v>
      </c>
      <c r="AV654" t="s">
        <v>3595</v>
      </c>
      <c r="AY654" t="s">
        <v>40</v>
      </c>
      <c r="AZ654">
        <v>0</v>
      </c>
      <c r="BA654">
        <v>0</v>
      </c>
      <c r="BI654" s="5">
        <v>44048.176388888889</v>
      </c>
      <c r="BJ654" s="5">
        <v>44048.176388888889</v>
      </c>
      <c r="BK654" t="s">
        <v>778</v>
      </c>
      <c r="BL654" t="s">
        <v>778</v>
      </c>
      <c r="BN654" t="s">
        <v>37</v>
      </c>
    </row>
    <row r="655" spans="1:66" x14ac:dyDescent="0.2">
      <c r="A655">
        <v>3693212</v>
      </c>
      <c r="B655">
        <v>21883</v>
      </c>
      <c r="C655">
        <v>523984</v>
      </c>
      <c r="D655">
        <v>52895</v>
      </c>
      <c r="E655">
        <v>100</v>
      </c>
      <c r="F655" t="s">
        <v>37</v>
      </c>
      <c r="G655">
        <v>1</v>
      </c>
      <c r="H655" t="s">
        <v>37</v>
      </c>
      <c r="I655" t="s">
        <v>37</v>
      </c>
      <c r="J655" t="s">
        <v>775</v>
      </c>
      <c r="K655" t="s">
        <v>230</v>
      </c>
      <c r="L655" t="s">
        <v>226</v>
      </c>
      <c r="M655" t="s">
        <v>422</v>
      </c>
      <c r="N655" t="s">
        <v>3596</v>
      </c>
      <c r="O655" t="s">
        <v>3597</v>
      </c>
      <c r="S655">
        <v>0</v>
      </c>
      <c r="T655">
        <v>0</v>
      </c>
      <c r="U655">
        <v>0</v>
      </c>
      <c r="V655">
        <v>0</v>
      </c>
      <c r="W655">
        <v>240</v>
      </c>
      <c r="X655">
        <v>0</v>
      </c>
      <c r="Y655">
        <v>0</v>
      </c>
      <c r="Z655">
        <v>0</v>
      </c>
      <c r="AA655" s="5">
        <v>43192.333333333336</v>
      </c>
      <c r="AB655" s="5">
        <v>43215.333333333336</v>
      </c>
      <c r="AC655" s="5">
        <v>43266.666666666664</v>
      </c>
      <c r="AD655" s="5">
        <v>43970.333333333336</v>
      </c>
      <c r="AE655" s="5">
        <v>43970.333333333336</v>
      </c>
      <c r="AG655" s="5">
        <v>44044</v>
      </c>
      <c r="AH655" s="5">
        <v>44044</v>
      </c>
      <c r="AK655" s="5">
        <v>43221.333333333336</v>
      </c>
      <c r="AL655" s="5">
        <v>43250.666666666664</v>
      </c>
      <c r="AO655" t="s">
        <v>1523</v>
      </c>
      <c r="AP655" t="s">
        <v>418</v>
      </c>
      <c r="AU655" t="s">
        <v>3598</v>
      </c>
      <c r="AV655" t="s">
        <v>3599</v>
      </c>
      <c r="AY655" t="s">
        <v>40</v>
      </c>
      <c r="AZ655">
        <v>0</v>
      </c>
      <c r="BA655">
        <v>0</v>
      </c>
      <c r="BI655" s="5">
        <v>44048.176388888889</v>
      </c>
      <c r="BJ655" s="5">
        <v>44048.176388888889</v>
      </c>
      <c r="BK655" t="s">
        <v>778</v>
      </c>
      <c r="BL655" t="s">
        <v>778</v>
      </c>
      <c r="BN655" t="s">
        <v>37</v>
      </c>
    </row>
    <row r="656" spans="1:66" x14ac:dyDescent="0.2">
      <c r="A656">
        <v>3693213</v>
      </c>
      <c r="B656">
        <v>21883</v>
      </c>
      <c r="C656">
        <v>523984</v>
      </c>
      <c r="D656">
        <v>52895</v>
      </c>
      <c r="E656">
        <v>100</v>
      </c>
      <c r="F656" t="s">
        <v>37</v>
      </c>
      <c r="G656">
        <v>1</v>
      </c>
      <c r="H656" t="s">
        <v>37</v>
      </c>
      <c r="I656" t="s">
        <v>37</v>
      </c>
      <c r="J656" t="s">
        <v>775</v>
      </c>
      <c r="K656" t="s">
        <v>230</v>
      </c>
      <c r="L656" t="s">
        <v>226</v>
      </c>
      <c r="M656" t="s">
        <v>422</v>
      </c>
      <c r="N656" t="s">
        <v>3600</v>
      </c>
      <c r="O656" t="s">
        <v>3601</v>
      </c>
      <c r="S656">
        <v>0</v>
      </c>
      <c r="T656">
        <v>0</v>
      </c>
      <c r="U656">
        <v>0</v>
      </c>
      <c r="V656">
        <v>0</v>
      </c>
      <c r="W656">
        <v>240</v>
      </c>
      <c r="X656">
        <v>0</v>
      </c>
      <c r="Y656">
        <v>0</v>
      </c>
      <c r="Z656">
        <v>0</v>
      </c>
      <c r="AB656" s="5">
        <v>43189.333333333336</v>
      </c>
      <c r="AC656" s="5">
        <v>43307.666666666664</v>
      </c>
      <c r="AD656" s="5">
        <v>43970.333333333336</v>
      </c>
      <c r="AE656" s="5">
        <v>43970.333333333336</v>
      </c>
      <c r="AG656" s="5">
        <v>44044</v>
      </c>
      <c r="AH656" s="5">
        <v>44044</v>
      </c>
      <c r="AK656" s="5">
        <v>43160.333333333336</v>
      </c>
      <c r="AL656" s="5">
        <v>43189.666666666664</v>
      </c>
      <c r="AP656" t="s">
        <v>418</v>
      </c>
      <c r="AU656" t="s">
        <v>3602</v>
      </c>
      <c r="AV656" t="s">
        <v>3603</v>
      </c>
      <c r="AY656" t="s">
        <v>40</v>
      </c>
      <c r="AZ656">
        <v>0</v>
      </c>
      <c r="BA656">
        <v>0</v>
      </c>
      <c r="BI656" s="5">
        <v>44048.176388888889</v>
      </c>
      <c r="BJ656" s="5">
        <v>44048.176388888889</v>
      </c>
      <c r="BK656" t="s">
        <v>778</v>
      </c>
      <c r="BL656" t="s">
        <v>778</v>
      </c>
      <c r="BN656" t="s">
        <v>37</v>
      </c>
    </row>
    <row r="657" spans="1:66" x14ac:dyDescent="0.2">
      <c r="A657">
        <v>3693214</v>
      </c>
      <c r="B657">
        <v>21883</v>
      </c>
      <c r="C657">
        <v>523984</v>
      </c>
      <c r="D657">
        <v>52895</v>
      </c>
      <c r="E657">
        <v>100</v>
      </c>
      <c r="F657" t="s">
        <v>37</v>
      </c>
      <c r="G657">
        <v>1</v>
      </c>
      <c r="H657" t="s">
        <v>37</v>
      </c>
      <c r="I657" t="s">
        <v>37</v>
      </c>
      <c r="J657" t="s">
        <v>775</v>
      </c>
      <c r="K657" t="s">
        <v>230</v>
      </c>
      <c r="L657" t="s">
        <v>226</v>
      </c>
      <c r="M657" t="s">
        <v>422</v>
      </c>
      <c r="N657" t="s">
        <v>3604</v>
      </c>
      <c r="O657" t="s">
        <v>3605</v>
      </c>
      <c r="S657">
        <v>0</v>
      </c>
      <c r="T657">
        <v>0</v>
      </c>
      <c r="U657">
        <v>0</v>
      </c>
      <c r="V657">
        <v>0</v>
      </c>
      <c r="W657">
        <v>240</v>
      </c>
      <c r="X657">
        <v>0</v>
      </c>
      <c r="Y657">
        <v>0</v>
      </c>
      <c r="Z657">
        <v>0</v>
      </c>
      <c r="AB657" s="5">
        <v>43241.333333333336</v>
      </c>
      <c r="AC657" s="5">
        <v>43287.666666666664</v>
      </c>
      <c r="AD657" s="5">
        <v>43970.333333333336</v>
      </c>
      <c r="AE657" s="5">
        <v>43970.333333333336</v>
      </c>
      <c r="AG657" s="5">
        <v>44044</v>
      </c>
      <c r="AH657" s="5">
        <v>44044</v>
      </c>
      <c r="AK657" s="5">
        <v>43221.333333333336</v>
      </c>
      <c r="AL657" s="5">
        <v>43250.666666666664</v>
      </c>
      <c r="AP657" t="s">
        <v>418</v>
      </c>
      <c r="AU657" t="s">
        <v>3606</v>
      </c>
      <c r="AV657" t="s">
        <v>3607</v>
      </c>
      <c r="AY657" t="s">
        <v>40</v>
      </c>
      <c r="AZ657">
        <v>0</v>
      </c>
      <c r="BA657">
        <v>0</v>
      </c>
      <c r="BI657" s="5">
        <v>44048.176388888889</v>
      </c>
      <c r="BJ657" s="5">
        <v>44048.176388888889</v>
      </c>
      <c r="BK657" t="s">
        <v>778</v>
      </c>
      <c r="BL657" t="s">
        <v>778</v>
      </c>
      <c r="BN657" t="s">
        <v>37</v>
      </c>
    </row>
    <row r="658" spans="1:66" x14ac:dyDescent="0.2">
      <c r="A658">
        <v>3693215</v>
      </c>
      <c r="B658">
        <v>21883</v>
      </c>
      <c r="C658">
        <v>523935</v>
      </c>
      <c r="D658">
        <v>52899</v>
      </c>
      <c r="E658">
        <v>100</v>
      </c>
      <c r="F658" t="s">
        <v>37</v>
      </c>
      <c r="G658">
        <v>1</v>
      </c>
      <c r="H658" t="s">
        <v>37</v>
      </c>
      <c r="I658" t="s">
        <v>37</v>
      </c>
      <c r="J658" t="s">
        <v>775</v>
      </c>
      <c r="K658" t="s">
        <v>230</v>
      </c>
      <c r="L658" t="s">
        <v>226</v>
      </c>
      <c r="M658" t="s">
        <v>422</v>
      </c>
      <c r="N658" t="s">
        <v>3608</v>
      </c>
      <c r="O658" t="s">
        <v>3609</v>
      </c>
      <c r="S658">
        <v>0</v>
      </c>
      <c r="T658">
        <v>200</v>
      </c>
      <c r="U658">
        <v>0</v>
      </c>
      <c r="V658">
        <v>200</v>
      </c>
      <c r="W658">
        <v>200</v>
      </c>
      <c r="X658">
        <v>0</v>
      </c>
      <c r="Y658">
        <v>0</v>
      </c>
      <c r="Z658">
        <v>0</v>
      </c>
      <c r="AB658" s="5">
        <v>43321.333333333336</v>
      </c>
      <c r="AC658" s="5">
        <v>43354.666666666664</v>
      </c>
      <c r="AD658" s="5">
        <v>44008.666666666664</v>
      </c>
      <c r="AE658" s="5">
        <v>44008.666666666664</v>
      </c>
      <c r="AG658" s="5">
        <v>44044</v>
      </c>
      <c r="AH658" s="5">
        <v>44044</v>
      </c>
      <c r="AK658" s="5">
        <v>43353.333333333336</v>
      </c>
      <c r="AL658" s="5">
        <v>43389.666666666664</v>
      </c>
      <c r="AP658" t="s">
        <v>418</v>
      </c>
      <c r="AU658" t="s">
        <v>3610</v>
      </c>
      <c r="AV658" t="s">
        <v>3611</v>
      </c>
      <c r="AY658" t="s">
        <v>37</v>
      </c>
      <c r="AZ658">
        <v>200</v>
      </c>
      <c r="BA658">
        <v>0</v>
      </c>
      <c r="BI658" s="5">
        <v>44048.176388888889</v>
      </c>
      <c r="BJ658" s="5">
        <v>44048.176388888889</v>
      </c>
      <c r="BK658" t="s">
        <v>778</v>
      </c>
      <c r="BL658" t="s">
        <v>778</v>
      </c>
      <c r="BN658" t="s">
        <v>37</v>
      </c>
    </row>
    <row r="659" spans="1:66" x14ac:dyDescent="0.2">
      <c r="A659">
        <v>3693216</v>
      </c>
      <c r="B659">
        <v>21883</v>
      </c>
      <c r="C659">
        <v>523970</v>
      </c>
      <c r="D659">
        <v>52897</v>
      </c>
      <c r="E659">
        <v>100</v>
      </c>
      <c r="F659" t="s">
        <v>37</v>
      </c>
      <c r="G659">
        <v>1</v>
      </c>
      <c r="H659" t="s">
        <v>37</v>
      </c>
      <c r="I659" t="s">
        <v>37</v>
      </c>
      <c r="J659" t="s">
        <v>775</v>
      </c>
      <c r="K659" t="s">
        <v>230</v>
      </c>
      <c r="L659" t="s">
        <v>226</v>
      </c>
      <c r="M659" t="s">
        <v>422</v>
      </c>
      <c r="N659" t="s">
        <v>3612</v>
      </c>
      <c r="O659" t="s">
        <v>3613</v>
      </c>
      <c r="S659">
        <v>0</v>
      </c>
      <c r="T659">
        <v>0</v>
      </c>
      <c r="U659">
        <v>0</v>
      </c>
      <c r="V659">
        <v>0</v>
      </c>
      <c r="W659">
        <v>232</v>
      </c>
      <c r="X659">
        <v>0</v>
      </c>
      <c r="Y659">
        <v>0</v>
      </c>
      <c r="Z659">
        <v>0</v>
      </c>
      <c r="AB659" s="5">
        <v>43594</v>
      </c>
      <c r="AC659" s="5">
        <v>43830</v>
      </c>
      <c r="AD659" s="5">
        <v>43983.333333333336</v>
      </c>
      <c r="AE659" s="5">
        <v>43983.333333333336</v>
      </c>
      <c r="AG659" s="5">
        <v>44044</v>
      </c>
      <c r="AH659" s="5">
        <v>44044</v>
      </c>
      <c r="AK659" s="5">
        <v>43619.333333333336</v>
      </c>
      <c r="AL659" s="5">
        <v>43677.666666666664</v>
      </c>
      <c r="AP659" t="s">
        <v>418</v>
      </c>
      <c r="AU659" t="s">
        <v>3614</v>
      </c>
      <c r="AV659" t="s">
        <v>3615</v>
      </c>
      <c r="AY659" t="s">
        <v>40</v>
      </c>
      <c r="AZ659">
        <v>0</v>
      </c>
      <c r="BA659">
        <v>0</v>
      </c>
      <c r="BI659" s="5">
        <v>44048.176388888889</v>
      </c>
      <c r="BJ659" s="5">
        <v>44048.176388888889</v>
      </c>
      <c r="BK659" t="s">
        <v>778</v>
      </c>
      <c r="BL659" t="s">
        <v>778</v>
      </c>
      <c r="BN659" t="s">
        <v>37</v>
      </c>
    </row>
    <row r="660" spans="1:66" x14ac:dyDescent="0.2">
      <c r="A660">
        <v>3693217</v>
      </c>
      <c r="B660">
        <v>21883</v>
      </c>
      <c r="C660">
        <v>523933</v>
      </c>
      <c r="D660">
        <v>52897</v>
      </c>
      <c r="E660">
        <v>100</v>
      </c>
      <c r="F660" t="s">
        <v>37</v>
      </c>
      <c r="G660">
        <v>1</v>
      </c>
      <c r="H660" t="s">
        <v>37</v>
      </c>
      <c r="I660" t="s">
        <v>37</v>
      </c>
      <c r="J660" t="s">
        <v>775</v>
      </c>
      <c r="K660" t="s">
        <v>230</v>
      </c>
      <c r="L660" t="s">
        <v>226</v>
      </c>
      <c r="M660" t="s">
        <v>422</v>
      </c>
      <c r="N660" t="s">
        <v>3616</v>
      </c>
      <c r="O660" t="s">
        <v>3617</v>
      </c>
      <c r="S660">
        <v>0</v>
      </c>
      <c r="T660">
        <v>0</v>
      </c>
      <c r="U660">
        <v>0</v>
      </c>
      <c r="V660">
        <v>0</v>
      </c>
      <c r="W660">
        <v>416</v>
      </c>
      <c r="X660">
        <v>0</v>
      </c>
      <c r="Y660">
        <v>0</v>
      </c>
      <c r="Z660">
        <v>0</v>
      </c>
      <c r="AB660" s="5">
        <v>43657</v>
      </c>
      <c r="AC660" s="5">
        <v>43710</v>
      </c>
      <c r="AD660" s="5">
        <v>43993.333333333336</v>
      </c>
      <c r="AE660" s="5">
        <v>43993.333333333336</v>
      </c>
      <c r="AG660" s="5">
        <v>44044</v>
      </c>
      <c r="AH660" s="5">
        <v>44044</v>
      </c>
      <c r="AK660" s="5">
        <v>43711.333333333336</v>
      </c>
      <c r="AL660" s="5">
        <v>43836.666666666664</v>
      </c>
      <c r="AP660" t="s">
        <v>418</v>
      </c>
      <c r="AU660" t="s">
        <v>3618</v>
      </c>
      <c r="AV660" t="s">
        <v>3619</v>
      </c>
      <c r="AY660" t="s">
        <v>40</v>
      </c>
      <c r="AZ660">
        <v>0</v>
      </c>
      <c r="BA660">
        <v>0</v>
      </c>
      <c r="BI660" s="5">
        <v>44048.176388888889</v>
      </c>
      <c r="BJ660" s="5">
        <v>44048.176388888889</v>
      </c>
      <c r="BK660" t="s">
        <v>778</v>
      </c>
      <c r="BL660" t="s">
        <v>778</v>
      </c>
      <c r="BN660" t="s">
        <v>37</v>
      </c>
    </row>
    <row r="661" spans="1:66" x14ac:dyDescent="0.2">
      <c r="A661">
        <v>3693218</v>
      </c>
      <c r="B661">
        <v>21883</v>
      </c>
      <c r="C661">
        <v>523999</v>
      </c>
      <c r="D661">
        <v>52899</v>
      </c>
      <c r="E661">
        <v>100</v>
      </c>
      <c r="F661" t="s">
        <v>37</v>
      </c>
      <c r="G661">
        <v>1</v>
      </c>
      <c r="H661" t="s">
        <v>37</v>
      </c>
      <c r="I661" t="s">
        <v>37</v>
      </c>
      <c r="J661" t="s">
        <v>775</v>
      </c>
      <c r="K661" t="s">
        <v>230</v>
      </c>
      <c r="L661" t="s">
        <v>226</v>
      </c>
      <c r="M661" t="s">
        <v>422</v>
      </c>
      <c r="N661" t="s">
        <v>3620</v>
      </c>
      <c r="O661" t="s">
        <v>3621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B661" s="5">
        <v>43497</v>
      </c>
      <c r="AC661" s="5">
        <v>43497</v>
      </c>
      <c r="AD661" s="5">
        <v>44306.666666666664</v>
      </c>
      <c r="AE661" s="5">
        <v>44306.666666666664</v>
      </c>
      <c r="AG661" s="5">
        <v>44044</v>
      </c>
      <c r="AH661" s="5">
        <v>44044</v>
      </c>
      <c r="AK661" s="5">
        <v>43497.333333333336</v>
      </c>
      <c r="AL661" s="5">
        <v>43497.333333333336</v>
      </c>
      <c r="AP661" t="s">
        <v>418</v>
      </c>
      <c r="AU661" t="s">
        <v>3622</v>
      </c>
      <c r="AV661" t="s">
        <v>3623</v>
      </c>
      <c r="AY661" t="s">
        <v>37</v>
      </c>
      <c r="AZ661">
        <v>0</v>
      </c>
      <c r="BA661">
        <v>0</v>
      </c>
      <c r="BI661" s="5">
        <v>44048.176388888889</v>
      </c>
      <c r="BJ661" s="5">
        <v>44048.176388888889</v>
      </c>
      <c r="BK661" t="s">
        <v>778</v>
      </c>
      <c r="BL661" t="s">
        <v>778</v>
      </c>
      <c r="BN661" t="s">
        <v>37</v>
      </c>
    </row>
    <row r="662" spans="1:66" x14ac:dyDescent="0.2">
      <c r="A662">
        <v>3693219</v>
      </c>
      <c r="B662">
        <v>21883</v>
      </c>
      <c r="C662">
        <v>523933</v>
      </c>
      <c r="D662">
        <v>52886</v>
      </c>
      <c r="E662">
        <v>100</v>
      </c>
      <c r="F662" t="s">
        <v>37</v>
      </c>
      <c r="G662">
        <v>1</v>
      </c>
      <c r="H662" t="s">
        <v>37</v>
      </c>
      <c r="I662" t="s">
        <v>37</v>
      </c>
      <c r="J662" t="s">
        <v>775</v>
      </c>
      <c r="K662" t="s">
        <v>230</v>
      </c>
      <c r="L662" t="s">
        <v>226</v>
      </c>
      <c r="M662" t="s">
        <v>422</v>
      </c>
      <c r="N662" t="s">
        <v>3624</v>
      </c>
      <c r="O662" t="s">
        <v>3625</v>
      </c>
      <c r="S662">
        <v>0</v>
      </c>
      <c r="T662">
        <v>0</v>
      </c>
      <c r="U662">
        <v>0</v>
      </c>
      <c r="V662">
        <v>0</v>
      </c>
      <c r="W662">
        <v>32</v>
      </c>
      <c r="X662">
        <v>0</v>
      </c>
      <c r="Y662">
        <v>0</v>
      </c>
      <c r="Z662">
        <v>0</v>
      </c>
      <c r="AB662" s="5">
        <v>43964</v>
      </c>
      <c r="AC662" s="5">
        <v>43968</v>
      </c>
      <c r="AD662" s="5">
        <v>43993.333333333336</v>
      </c>
      <c r="AE662" s="5">
        <v>43993.333333333336</v>
      </c>
      <c r="AG662" s="5">
        <v>44044</v>
      </c>
      <c r="AH662" s="5">
        <v>44044</v>
      </c>
      <c r="AK662" s="5">
        <v>43969.333333333336</v>
      </c>
      <c r="AL662" s="5">
        <v>43977.708333333336</v>
      </c>
      <c r="AP662" t="s">
        <v>418</v>
      </c>
      <c r="AU662" t="s">
        <v>3626</v>
      </c>
      <c r="AV662" t="s">
        <v>3627</v>
      </c>
      <c r="AY662" t="s">
        <v>40</v>
      </c>
      <c r="AZ662">
        <v>0</v>
      </c>
      <c r="BA662">
        <v>0</v>
      </c>
      <c r="BI662" s="5">
        <v>44048.176388888889</v>
      </c>
      <c r="BJ662" s="5">
        <v>44048.176388888889</v>
      </c>
      <c r="BK662" t="s">
        <v>778</v>
      </c>
      <c r="BL662" t="s">
        <v>778</v>
      </c>
      <c r="BN662" t="s">
        <v>37</v>
      </c>
    </row>
    <row r="663" spans="1:66" x14ac:dyDescent="0.2">
      <c r="A663">
        <v>3693220</v>
      </c>
      <c r="B663">
        <v>21883</v>
      </c>
      <c r="C663">
        <v>523933</v>
      </c>
      <c r="D663">
        <v>52897</v>
      </c>
      <c r="E663">
        <v>100</v>
      </c>
      <c r="F663" t="s">
        <v>37</v>
      </c>
      <c r="G663">
        <v>1</v>
      </c>
      <c r="H663" t="s">
        <v>37</v>
      </c>
      <c r="I663" t="s">
        <v>37</v>
      </c>
      <c r="J663" t="s">
        <v>775</v>
      </c>
      <c r="K663" t="s">
        <v>230</v>
      </c>
      <c r="L663" t="s">
        <v>226</v>
      </c>
      <c r="M663" t="s">
        <v>422</v>
      </c>
      <c r="N663" t="s">
        <v>3628</v>
      </c>
      <c r="O663" t="s">
        <v>3629</v>
      </c>
      <c r="S663">
        <v>0</v>
      </c>
      <c r="T663">
        <v>0</v>
      </c>
      <c r="U663">
        <v>0</v>
      </c>
      <c r="V663">
        <v>0</v>
      </c>
      <c r="W663">
        <v>40</v>
      </c>
      <c r="X663">
        <v>0</v>
      </c>
      <c r="Y663">
        <v>0</v>
      </c>
      <c r="Z663">
        <v>0</v>
      </c>
      <c r="AB663" s="5">
        <v>43985</v>
      </c>
      <c r="AC663" s="5">
        <v>43987</v>
      </c>
      <c r="AD663" s="5">
        <v>43993.333333333336</v>
      </c>
      <c r="AE663" s="5">
        <v>43993.333333333336</v>
      </c>
      <c r="AG663" s="5">
        <v>44044</v>
      </c>
      <c r="AH663" s="5">
        <v>44044</v>
      </c>
      <c r="AK663" s="5">
        <v>43983.333333333336</v>
      </c>
      <c r="AL663" s="5">
        <v>43992.666666666664</v>
      </c>
      <c r="AP663" t="s">
        <v>418</v>
      </c>
      <c r="AU663" t="s">
        <v>3630</v>
      </c>
      <c r="AV663" t="s">
        <v>3631</v>
      </c>
      <c r="AY663" t="s">
        <v>40</v>
      </c>
      <c r="AZ663">
        <v>0</v>
      </c>
      <c r="BA663">
        <v>0</v>
      </c>
      <c r="BI663" s="5">
        <v>44048.176388888889</v>
      </c>
      <c r="BJ663" s="5">
        <v>44048.176388888889</v>
      </c>
      <c r="BK663" t="s">
        <v>778</v>
      </c>
      <c r="BL663" t="s">
        <v>778</v>
      </c>
      <c r="BN663" t="s">
        <v>37</v>
      </c>
    </row>
    <row r="664" spans="1:66" x14ac:dyDescent="0.2">
      <c r="A664">
        <v>3693221</v>
      </c>
      <c r="B664">
        <v>21883</v>
      </c>
      <c r="C664">
        <v>523933</v>
      </c>
      <c r="D664">
        <v>52898</v>
      </c>
      <c r="E664">
        <v>100</v>
      </c>
      <c r="F664" t="s">
        <v>37</v>
      </c>
      <c r="G664">
        <v>1</v>
      </c>
      <c r="H664" t="s">
        <v>37</v>
      </c>
      <c r="I664" t="s">
        <v>37</v>
      </c>
      <c r="J664" t="s">
        <v>775</v>
      </c>
      <c r="K664" t="s">
        <v>230</v>
      </c>
      <c r="L664" t="s">
        <v>226</v>
      </c>
      <c r="M664" t="s">
        <v>422</v>
      </c>
      <c r="N664" t="s">
        <v>3632</v>
      </c>
      <c r="O664" t="s">
        <v>3633</v>
      </c>
      <c r="S664">
        <v>0</v>
      </c>
      <c r="T664">
        <v>16</v>
      </c>
      <c r="U664">
        <v>0</v>
      </c>
      <c r="V664">
        <v>16</v>
      </c>
      <c r="W664">
        <v>16</v>
      </c>
      <c r="X664">
        <v>0</v>
      </c>
      <c r="Y664">
        <v>0</v>
      </c>
      <c r="Z664">
        <v>0</v>
      </c>
      <c r="AB664" s="5">
        <v>43994</v>
      </c>
      <c r="AC664" s="5">
        <v>44000</v>
      </c>
      <c r="AD664" s="5">
        <v>43993.333333333336</v>
      </c>
      <c r="AE664" s="5">
        <v>43993.333333333336</v>
      </c>
      <c r="AG664" s="5">
        <v>44044</v>
      </c>
      <c r="AH664" s="5">
        <v>44044</v>
      </c>
      <c r="AK664" s="5">
        <v>43992.333333333336</v>
      </c>
      <c r="AL664" s="5">
        <v>43993.666666666664</v>
      </c>
      <c r="AP664" t="s">
        <v>418</v>
      </c>
      <c r="AU664" t="s">
        <v>3634</v>
      </c>
      <c r="AV664" t="s">
        <v>3635</v>
      </c>
      <c r="AY664" t="s">
        <v>40</v>
      </c>
      <c r="AZ664">
        <v>0</v>
      </c>
      <c r="BA664">
        <v>0</v>
      </c>
      <c r="BI664" s="5">
        <v>44048.176388888889</v>
      </c>
      <c r="BJ664" s="5">
        <v>44048.176388888889</v>
      </c>
      <c r="BK664" t="s">
        <v>778</v>
      </c>
      <c r="BL664" t="s">
        <v>778</v>
      </c>
      <c r="BN664" t="s">
        <v>37</v>
      </c>
    </row>
    <row r="665" spans="1:66" x14ac:dyDescent="0.2">
      <c r="A665">
        <v>3693222</v>
      </c>
      <c r="B665">
        <v>21883</v>
      </c>
      <c r="C665">
        <v>524020</v>
      </c>
      <c r="D665">
        <v>52898</v>
      </c>
      <c r="E665">
        <v>0</v>
      </c>
      <c r="F665" t="s">
        <v>37</v>
      </c>
      <c r="G665">
        <v>1</v>
      </c>
      <c r="H665" t="s">
        <v>37</v>
      </c>
      <c r="I665" t="s">
        <v>37</v>
      </c>
      <c r="J665" t="s">
        <v>775</v>
      </c>
      <c r="K665" t="s">
        <v>230</v>
      </c>
      <c r="L665" t="s">
        <v>226</v>
      </c>
      <c r="M665" t="s">
        <v>417</v>
      </c>
      <c r="N665" t="s">
        <v>3636</v>
      </c>
      <c r="O665" t="s">
        <v>3637</v>
      </c>
      <c r="Q665">
        <v>-208</v>
      </c>
      <c r="R665">
        <v>0</v>
      </c>
      <c r="S665">
        <v>48</v>
      </c>
      <c r="T665">
        <v>0</v>
      </c>
      <c r="U665">
        <v>24</v>
      </c>
      <c r="V665">
        <v>24</v>
      </c>
      <c r="W665">
        <v>48</v>
      </c>
      <c r="X665">
        <v>0</v>
      </c>
      <c r="Y665">
        <v>0</v>
      </c>
      <c r="Z665">
        <v>0</v>
      </c>
      <c r="AD665" s="5">
        <v>44006.333333333336</v>
      </c>
      <c r="AE665" s="5">
        <v>44018.666666666664</v>
      </c>
      <c r="AG665" s="5">
        <v>44060.333333333336</v>
      </c>
      <c r="AH665" s="5">
        <v>44071.666666666664</v>
      </c>
      <c r="AI665" s="5">
        <v>44060.333333333336</v>
      </c>
      <c r="AJ665" s="5">
        <v>44071.666666666664</v>
      </c>
      <c r="AK665" s="5">
        <v>44060.333333333336</v>
      </c>
      <c r="AL665" s="5">
        <v>44071.666666666664</v>
      </c>
      <c r="AM665" s="5">
        <v>44006.333333333336</v>
      </c>
      <c r="AN665" s="5">
        <v>44018.666666666664</v>
      </c>
      <c r="AP665" t="s">
        <v>418</v>
      </c>
      <c r="AU665" t="s">
        <v>1756</v>
      </c>
      <c r="AV665" t="s">
        <v>3638</v>
      </c>
      <c r="AY665" t="s">
        <v>40</v>
      </c>
      <c r="AZ665">
        <v>0</v>
      </c>
      <c r="BA665">
        <v>0</v>
      </c>
      <c r="BI665" s="5">
        <v>44048.176388888889</v>
      </c>
      <c r="BJ665" s="5">
        <v>44048.176388888889</v>
      </c>
      <c r="BK665" t="s">
        <v>778</v>
      </c>
      <c r="BL665" t="s">
        <v>778</v>
      </c>
      <c r="BN665" t="s">
        <v>37</v>
      </c>
    </row>
    <row r="666" spans="1:66" x14ac:dyDescent="0.2">
      <c r="A666">
        <v>3693223</v>
      </c>
      <c r="B666">
        <v>21883</v>
      </c>
      <c r="C666">
        <v>524020</v>
      </c>
      <c r="D666">
        <v>52898</v>
      </c>
      <c r="E666">
        <v>0</v>
      </c>
      <c r="F666" t="s">
        <v>37</v>
      </c>
      <c r="G666">
        <v>1</v>
      </c>
      <c r="H666" t="s">
        <v>37</v>
      </c>
      <c r="I666" t="s">
        <v>37</v>
      </c>
      <c r="J666" t="s">
        <v>775</v>
      </c>
      <c r="K666" t="s">
        <v>230</v>
      </c>
      <c r="L666" t="s">
        <v>226</v>
      </c>
      <c r="M666" t="s">
        <v>417</v>
      </c>
      <c r="N666" t="s">
        <v>3639</v>
      </c>
      <c r="O666" t="s">
        <v>3640</v>
      </c>
      <c r="Q666">
        <v>-208</v>
      </c>
      <c r="R666">
        <v>0</v>
      </c>
      <c r="S666">
        <v>16</v>
      </c>
      <c r="T666">
        <v>0</v>
      </c>
      <c r="U666">
        <v>16</v>
      </c>
      <c r="V666">
        <v>16</v>
      </c>
      <c r="W666">
        <v>16</v>
      </c>
      <c r="X666">
        <v>0</v>
      </c>
      <c r="Y666">
        <v>0</v>
      </c>
      <c r="Z666">
        <v>0</v>
      </c>
      <c r="AD666" s="5">
        <v>44021.333333333336</v>
      </c>
      <c r="AE666" s="5">
        <v>44022.666666666664</v>
      </c>
      <c r="AG666" s="5">
        <v>44074.333333333336</v>
      </c>
      <c r="AH666" s="5">
        <v>44075.666666666664</v>
      </c>
      <c r="AI666" s="5">
        <v>44074.333333333336</v>
      </c>
      <c r="AJ666" s="5">
        <v>44075.666666666664</v>
      </c>
      <c r="AK666" s="5">
        <v>44074.333333333336</v>
      </c>
      <c r="AL666" s="5">
        <v>44075.666666666664</v>
      </c>
      <c r="AM666" s="5">
        <v>44021.333333333336</v>
      </c>
      <c r="AN666" s="5">
        <v>44022.666666666664</v>
      </c>
      <c r="AP666" t="s">
        <v>418</v>
      </c>
      <c r="AU666" t="s">
        <v>1760</v>
      </c>
      <c r="AV666" t="s">
        <v>3641</v>
      </c>
      <c r="AY666" t="s">
        <v>40</v>
      </c>
      <c r="AZ666">
        <v>0</v>
      </c>
      <c r="BA666">
        <v>0</v>
      </c>
      <c r="BI666" s="5">
        <v>44048.176388888889</v>
      </c>
      <c r="BJ666" s="5">
        <v>44048.176388888889</v>
      </c>
      <c r="BK666" t="s">
        <v>778</v>
      </c>
      <c r="BL666" t="s">
        <v>778</v>
      </c>
      <c r="BN666" t="s">
        <v>37</v>
      </c>
    </row>
    <row r="667" spans="1:66" x14ac:dyDescent="0.2">
      <c r="A667">
        <v>3693224</v>
      </c>
      <c r="B667">
        <v>21883</v>
      </c>
      <c r="C667">
        <v>523932</v>
      </c>
      <c r="D667">
        <v>52897</v>
      </c>
      <c r="E667">
        <v>0</v>
      </c>
      <c r="F667" t="s">
        <v>37</v>
      </c>
      <c r="G667">
        <v>1</v>
      </c>
      <c r="H667" t="s">
        <v>37</v>
      </c>
      <c r="I667" t="s">
        <v>37</v>
      </c>
      <c r="J667" t="s">
        <v>775</v>
      </c>
      <c r="K667" t="s">
        <v>230</v>
      </c>
      <c r="L667" t="s">
        <v>226</v>
      </c>
      <c r="M667" t="s">
        <v>417</v>
      </c>
      <c r="N667" t="s">
        <v>3642</v>
      </c>
      <c r="O667" t="s">
        <v>3643</v>
      </c>
      <c r="Q667">
        <v>-8</v>
      </c>
      <c r="R667">
        <v>0</v>
      </c>
      <c r="S667">
        <v>64</v>
      </c>
      <c r="T667">
        <v>0</v>
      </c>
      <c r="U667">
        <v>0</v>
      </c>
      <c r="V667">
        <v>0</v>
      </c>
      <c r="W667">
        <v>64</v>
      </c>
      <c r="X667">
        <v>0</v>
      </c>
      <c r="Y667">
        <v>0</v>
      </c>
      <c r="Z667">
        <v>0</v>
      </c>
      <c r="AD667" s="5">
        <v>44043.333333333336</v>
      </c>
      <c r="AE667" s="5">
        <v>44057.666666666664</v>
      </c>
      <c r="AG667" s="5">
        <v>44046.333333333336</v>
      </c>
      <c r="AH667" s="5">
        <v>44060.666666666664</v>
      </c>
      <c r="AI667" s="5">
        <v>44046.333333333336</v>
      </c>
      <c r="AJ667" s="5">
        <v>44060.666666666664</v>
      </c>
      <c r="AK667" s="5">
        <v>44046.333333333336</v>
      </c>
      <c r="AL667" s="5">
        <v>44060.666666666664</v>
      </c>
      <c r="AM667" s="5">
        <v>44043.333333333336</v>
      </c>
      <c r="AN667" s="5">
        <v>44057.666666666664</v>
      </c>
      <c r="AP667" t="s">
        <v>418</v>
      </c>
      <c r="AU667" t="s">
        <v>3644</v>
      </c>
      <c r="AV667" t="s">
        <v>3645</v>
      </c>
      <c r="AY667" t="s">
        <v>37</v>
      </c>
      <c r="AZ667">
        <v>0</v>
      </c>
      <c r="BA667">
        <v>0</v>
      </c>
      <c r="BI667" s="5">
        <v>44048.176388888889</v>
      </c>
      <c r="BJ667" s="5">
        <v>44048.176388888889</v>
      </c>
      <c r="BK667" t="s">
        <v>778</v>
      </c>
      <c r="BL667" t="s">
        <v>778</v>
      </c>
      <c r="BN667" t="s">
        <v>37</v>
      </c>
    </row>
    <row r="668" spans="1:66" x14ac:dyDescent="0.2">
      <c r="A668">
        <v>3693225</v>
      </c>
      <c r="B668">
        <v>21883</v>
      </c>
      <c r="C668">
        <v>523932</v>
      </c>
      <c r="D668">
        <v>52897</v>
      </c>
      <c r="E668">
        <v>0</v>
      </c>
      <c r="F668" t="s">
        <v>37</v>
      </c>
      <c r="G668">
        <v>1</v>
      </c>
      <c r="H668" t="s">
        <v>37</v>
      </c>
      <c r="I668" t="s">
        <v>37</v>
      </c>
      <c r="J668" t="s">
        <v>775</v>
      </c>
      <c r="K668" t="s">
        <v>230</v>
      </c>
      <c r="L668" t="s">
        <v>226</v>
      </c>
      <c r="M668" t="s">
        <v>417</v>
      </c>
      <c r="N668" t="s">
        <v>3646</v>
      </c>
      <c r="O668" t="s">
        <v>3647</v>
      </c>
      <c r="Q668">
        <v>-8</v>
      </c>
      <c r="R668">
        <v>0</v>
      </c>
      <c r="S668">
        <v>96</v>
      </c>
      <c r="T668">
        <v>0</v>
      </c>
      <c r="U668">
        <v>0</v>
      </c>
      <c r="V668">
        <v>0</v>
      </c>
      <c r="W668">
        <v>96</v>
      </c>
      <c r="X668">
        <v>0</v>
      </c>
      <c r="Y668">
        <v>0</v>
      </c>
      <c r="Z668">
        <v>0</v>
      </c>
      <c r="AD668" s="5">
        <v>44060.333333333336</v>
      </c>
      <c r="AE668" s="5">
        <v>44082.666666666664</v>
      </c>
      <c r="AG668" s="5">
        <v>44064.333333333336</v>
      </c>
      <c r="AH668" s="5">
        <v>44083.666666666664</v>
      </c>
      <c r="AI668" s="5">
        <v>44064.333333333336</v>
      </c>
      <c r="AJ668" s="5">
        <v>44083.666666666664</v>
      </c>
      <c r="AK668" s="5">
        <v>44064.333333333336</v>
      </c>
      <c r="AL668" s="5">
        <v>44083.666666666664</v>
      </c>
      <c r="AM668" s="5">
        <v>44060.333333333336</v>
      </c>
      <c r="AN668" s="5">
        <v>44082.666666666664</v>
      </c>
      <c r="AP668" t="s">
        <v>418</v>
      </c>
      <c r="AU668" t="s">
        <v>3648</v>
      </c>
      <c r="AV668" t="s">
        <v>3649</v>
      </c>
      <c r="AY668" t="s">
        <v>37</v>
      </c>
      <c r="AZ668">
        <v>0</v>
      </c>
      <c r="BA668">
        <v>0</v>
      </c>
      <c r="BI668" s="5">
        <v>44048.176388888889</v>
      </c>
      <c r="BJ668" s="5">
        <v>44048.176388888889</v>
      </c>
      <c r="BK668" t="s">
        <v>778</v>
      </c>
      <c r="BL668" t="s">
        <v>778</v>
      </c>
      <c r="BN668" t="s">
        <v>37</v>
      </c>
    </row>
    <row r="669" spans="1:66" x14ac:dyDescent="0.2">
      <c r="A669">
        <v>3693226</v>
      </c>
      <c r="B669">
        <v>21883</v>
      </c>
      <c r="C669">
        <v>523999</v>
      </c>
      <c r="D669">
        <v>52899</v>
      </c>
      <c r="E669">
        <v>100</v>
      </c>
      <c r="F669" t="s">
        <v>37</v>
      </c>
      <c r="G669">
        <v>1</v>
      </c>
      <c r="H669" t="s">
        <v>37</v>
      </c>
      <c r="I669" t="s">
        <v>37</v>
      </c>
      <c r="J669" t="s">
        <v>775</v>
      </c>
      <c r="K669" t="s">
        <v>230</v>
      </c>
      <c r="L669" t="s">
        <v>226</v>
      </c>
      <c r="M669" t="s">
        <v>422</v>
      </c>
      <c r="N669" t="s">
        <v>3650</v>
      </c>
      <c r="O669" t="s">
        <v>3651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B669" s="5">
        <v>43497</v>
      </c>
      <c r="AC669" s="5">
        <v>43497</v>
      </c>
      <c r="AD669" s="5">
        <v>44306.666666666664</v>
      </c>
      <c r="AE669" s="5">
        <v>44306.666666666664</v>
      </c>
      <c r="AG669" s="5">
        <v>44044</v>
      </c>
      <c r="AH669" s="5">
        <v>44044</v>
      </c>
      <c r="AK669" s="5">
        <v>43497.333333333336</v>
      </c>
      <c r="AL669" s="5">
        <v>43497.333333333336</v>
      </c>
      <c r="AP669" t="s">
        <v>418</v>
      </c>
      <c r="AU669" t="s">
        <v>3652</v>
      </c>
      <c r="AV669" t="s">
        <v>3653</v>
      </c>
      <c r="AY669" t="s">
        <v>37</v>
      </c>
      <c r="AZ669">
        <v>0</v>
      </c>
      <c r="BA669">
        <v>0</v>
      </c>
      <c r="BI669" s="5">
        <v>44048.176388888889</v>
      </c>
      <c r="BJ669" s="5">
        <v>44048.176388888889</v>
      </c>
      <c r="BK669" t="s">
        <v>778</v>
      </c>
      <c r="BL669" t="s">
        <v>778</v>
      </c>
      <c r="BN669" t="s">
        <v>37</v>
      </c>
    </row>
    <row r="670" spans="1:66" x14ac:dyDescent="0.2">
      <c r="A670">
        <v>3693227</v>
      </c>
      <c r="B670">
        <v>21883</v>
      </c>
      <c r="C670">
        <v>523999</v>
      </c>
      <c r="D670">
        <v>52898</v>
      </c>
      <c r="E670">
        <v>100</v>
      </c>
      <c r="F670" t="s">
        <v>37</v>
      </c>
      <c r="G670">
        <v>1</v>
      </c>
      <c r="H670" t="s">
        <v>37</v>
      </c>
      <c r="I670" t="s">
        <v>37</v>
      </c>
      <c r="J670" t="s">
        <v>775</v>
      </c>
      <c r="K670" t="s">
        <v>230</v>
      </c>
      <c r="L670" t="s">
        <v>226</v>
      </c>
      <c r="M670" t="s">
        <v>422</v>
      </c>
      <c r="N670" t="s">
        <v>3654</v>
      </c>
      <c r="O670" t="s">
        <v>3655</v>
      </c>
      <c r="S670">
        <v>0</v>
      </c>
      <c r="T670">
        <v>0</v>
      </c>
      <c r="U670">
        <v>0</v>
      </c>
      <c r="V670">
        <v>0</v>
      </c>
      <c r="W670">
        <v>16</v>
      </c>
      <c r="X670">
        <v>0</v>
      </c>
      <c r="Y670">
        <v>0</v>
      </c>
      <c r="Z670">
        <v>0</v>
      </c>
      <c r="AB670" s="5">
        <v>43677</v>
      </c>
      <c r="AC670" s="5">
        <v>43677</v>
      </c>
      <c r="AD670" s="5">
        <v>44306.666666666664</v>
      </c>
      <c r="AE670" s="5">
        <v>44306.666666666664</v>
      </c>
      <c r="AG670" s="5">
        <v>44044</v>
      </c>
      <c r="AH670" s="5">
        <v>44044</v>
      </c>
      <c r="AK670" s="5">
        <v>43678.333333333336</v>
      </c>
      <c r="AL670" s="5">
        <v>43679.666666666664</v>
      </c>
      <c r="AP670" t="s">
        <v>418</v>
      </c>
      <c r="AU670" t="s">
        <v>3656</v>
      </c>
      <c r="AV670" t="s">
        <v>3657</v>
      </c>
      <c r="AY670" t="s">
        <v>37</v>
      </c>
      <c r="AZ670">
        <v>0</v>
      </c>
      <c r="BA670">
        <v>0</v>
      </c>
      <c r="BI670" s="5">
        <v>44048.176388888889</v>
      </c>
      <c r="BJ670" s="5">
        <v>44048.176388888889</v>
      </c>
      <c r="BK670" t="s">
        <v>778</v>
      </c>
      <c r="BL670" t="s">
        <v>778</v>
      </c>
      <c r="BN670" t="s">
        <v>37</v>
      </c>
    </row>
    <row r="671" spans="1:66" x14ac:dyDescent="0.2">
      <c r="A671">
        <v>3693228</v>
      </c>
      <c r="B671">
        <v>21883</v>
      </c>
      <c r="C671">
        <v>523999</v>
      </c>
      <c r="D671">
        <v>52897</v>
      </c>
      <c r="E671">
        <v>100</v>
      </c>
      <c r="F671" t="s">
        <v>37</v>
      </c>
      <c r="G671">
        <v>1</v>
      </c>
      <c r="H671" t="s">
        <v>37</v>
      </c>
      <c r="I671" t="s">
        <v>37</v>
      </c>
      <c r="J671" t="s">
        <v>775</v>
      </c>
      <c r="K671" t="s">
        <v>230</v>
      </c>
      <c r="L671" t="s">
        <v>226</v>
      </c>
      <c r="M671" t="s">
        <v>422</v>
      </c>
      <c r="N671" t="s">
        <v>3658</v>
      </c>
      <c r="O671" t="s">
        <v>3659</v>
      </c>
      <c r="S671">
        <v>0</v>
      </c>
      <c r="T671">
        <v>0</v>
      </c>
      <c r="U671">
        <v>0</v>
      </c>
      <c r="V671">
        <v>0</v>
      </c>
      <c r="W671">
        <v>16</v>
      </c>
      <c r="X671">
        <v>0</v>
      </c>
      <c r="Y671">
        <v>0</v>
      </c>
      <c r="Z671">
        <v>0</v>
      </c>
      <c r="AB671" s="5">
        <v>43677</v>
      </c>
      <c r="AC671" s="5">
        <v>43677</v>
      </c>
      <c r="AD671" s="5">
        <v>44306.666666666664</v>
      </c>
      <c r="AE671" s="5">
        <v>44306.666666666664</v>
      </c>
      <c r="AG671" s="5">
        <v>44044</v>
      </c>
      <c r="AH671" s="5">
        <v>44044</v>
      </c>
      <c r="AK671" s="5">
        <v>43678.333333333336</v>
      </c>
      <c r="AL671" s="5">
        <v>43679.666666666664</v>
      </c>
      <c r="AP671" t="s">
        <v>418</v>
      </c>
      <c r="AU671" t="s">
        <v>3660</v>
      </c>
      <c r="AV671" t="s">
        <v>3661</v>
      </c>
      <c r="AY671" t="s">
        <v>37</v>
      </c>
      <c r="AZ671">
        <v>0</v>
      </c>
      <c r="BA671">
        <v>0</v>
      </c>
      <c r="BI671" s="5">
        <v>44048.176388888889</v>
      </c>
      <c r="BJ671" s="5">
        <v>44048.176388888889</v>
      </c>
      <c r="BK671" t="s">
        <v>778</v>
      </c>
      <c r="BL671" t="s">
        <v>778</v>
      </c>
      <c r="BN671" t="s">
        <v>37</v>
      </c>
    </row>
    <row r="672" spans="1:66" x14ac:dyDescent="0.2">
      <c r="A672">
        <v>3693229</v>
      </c>
      <c r="B672">
        <v>21883</v>
      </c>
      <c r="C672">
        <v>523999</v>
      </c>
      <c r="D672">
        <v>52898</v>
      </c>
      <c r="E672">
        <v>100</v>
      </c>
      <c r="F672" t="s">
        <v>37</v>
      </c>
      <c r="G672">
        <v>1</v>
      </c>
      <c r="H672" t="s">
        <v>37</v>
      </c>
      <c r="I672" t="s">
        <v>37</v>
      </c>
      <c r="J672" t="s">
        <v>775</v>
      </c>
      <c r="K672" t="s">
        <v>230</v>
      </c>
      <c r="L672" t="s">
        <v>226</v>
      </c>
      <c r="M672" t="s">
        <v>422</v>
      </c>
      <c r="N672" t="s">
        <v>3662</v>
      </c>
      <c r="O672" t="s">
        <v>3663</v>
      </c>
      <c r="S672">
        <v>0</v>
      </c>
      <c r="T672">
        <v>8</v>
      </c>
      <c r="U672">
        <v>0</v>
      </c>
      <c r="V672">
        <v>8</v>
      </c>
      <c r="W672">
        <v>8</v>
      </c>
      <c r="X672">
        <v>0</v>
      </c>
      <c r="Y672">
        <v>0</v>
      </c>
      <c r="Z672">
        <v>0</v>
      </c>
      <c r="AB672" s="5">
        <v>43677</v>
      </c>
      <c r="AC672" s="5">
        <v>43677</v>
      </c>
      <c r="AD672" s="5">
        <v>44306.666666666664</v>
      </c>
      <c r="AE672" s="5">
        <v>44306.666666666664</v>
      </c>
      <c r="AG672" s="5">
        <v>44044</v>
      </c>
      <c r="AH672" s="5">
        <v>44044</v>
      </c>
      <c r="AK672" s="5">
        <v>43678.333333333336</v>
      </c>
      <c r="AL672" s="5">
        <v>43678.666666666664</v>
      </c>
      <c r="AP672" t="s">
        <v>418</v>
      </c>
      <c r="AU672" t="s">
        <v>3664</v>
      </c>
      <c r="AV672" t="s">
        <v>3665</v>
      </c>
      <c r="AY672" t="s">
        <v>37</v>
      </c>
      <c r="AZ672">
        <v>0</v>
      </c>
      <c r="BA672">
        <v>0</v>
      </c>
      <c r="BI672" s="5">
        <v>44048.176388888889</v>
      </c>
      <c r="BJ672" s="5">
        <v>44048.176388888889</v>
      </c>
      <c r="BK672" t="s">
        <v>778</v>
      </c>
      <c r="BL672" t="s">
        <v>778</v>
      </c>
      <c r="BN672" t="s">
        <v>37</v>
      </c>
    </row>
    <row r="673" spans="1:66" x14ac:dyDescent="0.2">
      <c r="A673">
        <v>3693230</v>
      </c>
      <c r="B673">
        <v>21883</v>
      </c>
      <c r="C673">
        <v>523999</v>
      </c>
      <c r="D673">
        <v>52898</v>
      </c>
      <c r="E673">
        <v>100</v>
      </c>
      <c r="F673" t="s">
        <v>37</v>
      </c>
      <c r="G673">
        <v>1</v>
      </c>
      <c r="H673" t="s">
        <v>37</v>
      </c>
      <c r="I673" t="s">
        <v>37</v>
      </c>
      <c r="J673" t="s">
        <v>775</v>
      </c>
      <c r="K673" t="s">
        <v>230</v>
      </c>
      <c r="L673" t="s">
        <v>226</v>
      </c>
      <c r="M673" t="s">
        <v>422</v>
      </c>
      <c r="N673" t="s">
        <v>3666</v>
      </c>
      <c r="O673" t="s">
        <v>3667</v>
      </c>
      <c r="S673">
        <v>0</v>
      </c>
      <c r="T673">
        <v>8</v>
      </c>
      <c r="U673">
        <v>0</v>
      </c>
      <c r="V673">
        <v>8</v>
      </c>
      <c r="W673">
        <v>16</v>
      </c>
      <c r="X673">
        <v>0</v>
      </c>
      <c r="Y673">
        <v>0</v>
      </c>
      <c r="Z673">
        <v>0</v>
      </c>
      <c r="AB673" s="5">
        <v>43677</v>
      </c>
      <c r="AC673" s="5">
        <v>43677</v>
      </c>
      <c r="AD673" s="5">
        <v>44306.666666666664</v>
      </c>
      <c r="AE673" s="5">
        <v>44306.666666666664</v>
      </c>
      <c r="AG673" s="5">
        <v>44044</v>
      </c>
      <c r="AH673" s="5">
        <v>44044</v>
      </c>
      <c r="AK673" s="5">
        <v>43678.333333333336</v>
      </c>
      <c r="AL673" s="5">
        <v>43679.666666666664</v>
      </c>
      <c r="AP673" t="s">
        <v>418</v>
      </c>
      <c r="AU673" t="s">
        <v>3668</v>
      </c>
      <c r="AV673" t="s">
        <v>3669</v>
      </c>
      <c r="AY673" t="s">
        <v>37</v>
      </c>
      <c r="AZ673">
        <v>0</v>
      </c>
      <c r="BA673">
        <v>0</v>
      </c>
      <c r="BI673" s="5">
        <v>44048.176388888889</v>
      </c>
      <c r="BJ673" s="5">
        <v>44048.176388888889</v>
      </c>
      <c r="BK673" t="s">
        <v>778</v>
      </c>
      <c r="BL673" t="s">
        <v>778</v>
      </c>
      <c r="BN673" t="s">
        <v>37</v>
      </c>
    </row>
    <row r="674" spans="1:66" x14ac:dyDescent="0.2">
      <c r="A674">
        <v>3693231</v>
      </c>
      <c r="B674">
        <v>21883</v>
      </c>
      <c r="C674">
        <v>523999</v>
      </c>
      <c r="D674">
        <v>52898</v>
      </c>
      <c r="E674">
        <v>100</v>
      </c>
      <c r="F674" t="s">
        <v>37</v>
      </c>
      <c r="G674">
        <v>1</v>
      </c>
      <c r="H674" t="s">
        <v>37</v>
      </c>
      <c r="I674" t="s">
        <v>37</v>
      </c>
      <c r="J674" t="s">
        <v>775</v>
      </c>
      <c r="K674" t="s">
        <v>230</v>
      </c>
      <c r="L674" t="s">
        <v>226</v>
      </c>
      <c r="M674" t="s">
        <v>422</v>
      </c>
      <c r="N674" t="s">
        <v>3670</v>
      </c>
      <c r="O674" t="s">
        <v>3671</v>
      </c>
      <c r="S674">
        <v>0</v>
      </c>
      <c r="T674">
        <v>8</v>
      </c>
      <c r="U674">
        <v>0</v>
      </c>
      <c r="V674">
        <v>8</v>
      </c>
      <c r="W674">
        <v>8</v>
      </c>
      <c r="X674">
        <v>0</v>
      </c>
      <c r="Y674">
        <v>0</v>
      </c>
      <c r="Z674">
        <v>0</v>
      </c>
      <c r="AB674" s="5">
        <v>43677</v>
      </c>
      <c r="AC674" s="5">
        <v>43677</v>
      </c>
      <c r="AD674" s="5">
        <v>44306.666666666664</v>
      </c>
      <c r="AE674" s="5">
        <v>44306.666666666664</v>
      </c>
      <c r="AG674" s="5">
        <v>44044</v>
      </c>
      <c r="AH674" s="5">
        <v>44044</v>
      </c>
      <c r="AK674" s="5">
        <v>43678.333333333336</v>
      </c>
      <c r="AL674" s="5">
        <v>43678.666666666664</v>
      </c>
      <c r="AP674" t="s">
        <v>418</v>
      </c>
      <c r="AU674" t="s">
        <v>3672</v>
      </c>
      <c r="AV674" t="s">
        <v>3673</v>
      </c>
      <c r="AY674" t="s">
        <v>37</v>
      </c>
      <c r="AZ674">
        <v>0</v>
      </c>
      <c r="BA674">
        <v>0</v>
      </c>
      <c r="BI674" s="5">
        <v>44048.176388888889</v>
      </c>
      <c r="BJ674" s="5">
        <v>44048.176388888889</v>
      </c>
      <c r="BK674" t="s">
        <v>778</v>
      </c>
      <c r="BL674" t="s">
        <v>778</v>
      </c>
      <c r="BN674" t="s">
        <v>37</v>
      </c>
    </row>
    <row r="675" spans="1:66" x14ac:dyDescent="0.2">
      <c r="A675">
        <v>3693232</v>
      </c>
      <c r="B675">
        <v>21883</v>
      </c>
      <c r="C675">
        <v>524013</v>
      </c>
      <c r="D675">
        <v>52897</v>
      </c>
      <c r="E675">
        <v>0</v>
      </c>
      <c r="F675" t="s">
        <v>37</v>
      </c>
      <c r="G675">
        <v>1</v>
      </c>
      <c r="H675" t="s">
        <v>37</v>
      </c>
      <c r="I675" t="s">
        <v>37</v>
      </c>
      <c r="J675" t="s">
        <v>775</v>
      </c>
      <c r="K675" t="s">
        <v>230</v>
      </c>
      <c r="L675" t="s">
        <v>226</v>
      </c>
      <c r="M675" t="s">
        <v>421</v>
      </c>
      <c r="N675" t="s">
        <v>3674</v>
      </c>
      <c r="O675" t="s">
        <v>3675</v>
      </c>
      <c r="Q675">
        <v>176</v>
      </c>
      <c r="R675">
        <v>184</v>
      </c>
      <c r="S675">
        <v>112</v>
      </c>
      <c r="T675">
        <v>0</v>
      </c>
      <c r="U675">
        <v>0</v>
      </c>
      <c r="V675">
        <v>0</v>
      </c>
      <c r="W675">
        <v>152</v>
      </c>
      <c r="X675">
        <v>0</v>
      </c>
      <c r="Y675">
        <v>0</v>
      </c>
      <c r="Z675">
        <v>0</v>
      </c>
      <c r="AB675" s="5">
        <v>43644</v>
      </c>
      <c r="AD675" s="5">
        <v>44089.333333333336</v>
      </c>
      <c r="AE675" s="5">
        <v>44116.666666666664</v>
      </c>
      <c r="AG675" s="5">
        <v>44046.333333333336</v>
      </c>
      <c r="AH675" s="5">
        <v>44074.666666666664</v>
      </c>
      <c r="AI675" s="5">
        <v>44046.333333333336</v>
      </c>
      <c r="AJ675" s="5">
        <v>44074.666666666664</v>
      </c>
      <c r="AK675" s="5">
        <v>43678.333333333336</v>
      </c>
      <c r="AL675" s="5">
        <v>43717.666666666664</v>
      </c>
      <c r="AM675" s="5">
        <v>44089.333333333336</v>
      </c>
      <c r="AN675" s="5">
        <v>44116.666666666664</v>
      </c>
      <c r="AP675" t="s">
        <v>418</v>
      </c>
      <c r="AU675" t="s">
        <v>3676</v>
      </c>
      <c r="AV675" t="s">
        <v>3677</v>
      </c>
      <c r="AY675" t="s">
        <v>37</v>
      </c>
      <c r="AZ675">
        <v>0</v>
      </c>
      <c r="BA675">
        <v>0</v>
      </c>
      <c r="BI675" s="5">
        <v>44048.176388888889</v>
      </c>
      <c r="BJ675" s="5">
        <v>44048.176388888889</v>
      </c>
      <c r="BK675" t="s">
        <v>778</v>
      </c>
      <c r="BL675" t="s">
        <v>778</v>
      </c>
      <c r="BN675" t="s">
        <v>37</v>
      </c>
    </row>
    <row r="676" spans="1:66" x14ac:dyDescent="0.2">
      <c r="A676">
        <v>3693233</v>
      </c>
      <c r="B676">
        <v>21883</v>
      </c>
      <c r="C676">
        <v>523931</v>
      </c>
      <c r="D676">
        <v>52897</v>
      </c>
      <c r="E676">
        <v>0</v>
      </c>
      <c r="F676" t="s">
        <v>37</v>
      </c>
      <c r="G676">
        <v>1</v>
      </c>
      <c r="H676" t="s">
        <v>37</v>
      </c>
      <c r="I676" t="s">
        <v>37</v>
      </c>
      <c r="J676" t="s">
        <v>775</v>
      </c>
      <c r="K676" t="s">
        <v>230</v>
      </c>
      <c r="L676" t="s">
        <v>226</v>
      </c>
      <c r="M676" t="s">
        <v>417</v>
      </c>
      <c r="N676" t="s">
        <v>3678</v>
      </c>
      <c r="O676" t="s">
        <v>3679</v>
      </c>
      <c r="Q676">
        <v>-32</v>
      </c>
      <c r="R676">
        <v>0</v>
      </c>
      <c r="S676">
        <v>104</v>
      </c>
      <c r="T676">
        <v>0</v>
      </c>
      <c r="U676">
        <v>0</v>
      </c>
      <c r="V676">
        <v>0</v>
      </c>
      <c r="W676">
        <v>104</v>
      </c>
      <c r="X676">
        <v>0</v>
      </c>
      <c r="Y676">
        <v>0</v>
      </c>
      <c r="Z676">
        <v>0</v>
      </c>
      <c r="AD676" s="5">
        <v>44036.333333333336</v>
      </c>
      <c r="AE676" s="5">
        <v>44064.666666666664</v>
      </c>
      <c r="AG676" s="5">
        <v>44046.333333333336</v>
      </c>
      <c r="AH676" s="5">
        <v>44071.666666666664</v>
      </c>
      <c r="AI676" s="5">
        <v>44046.333333333336</v>
      </c>
      <c r="AJ676" s="5">
        <v>44071.666666666664</v>
      </c>
      <c r="AK676" s="5">
        <v>44046.333333333336</v>
      </c>
      <c r="AL676" s="5">
        <v>44071.666666666664</v>
      </c>
      <c r="AM676" s="5">
        <v>44036.333333333336</v>
      </c>
      <c r="AN676" s="5">
        <v>44064.666666666664</v>
      </c>
      <c r="AP676" t="s">
        <v>418</v>
      </c>
      <c r="AU676" t="s">
        <v>3680</v>
      </c>
      <c r="AV676" t="s">
        <v>3681</v>
      </c>
      <c r="AY676" t="s">
        <v>37</v>
      </c>
      <c r="AZ676">
        <v>0</v>
      </c>
      <c r="BA676">
        <v>0</v>
      </c>
      <c r="BI676" s="5">
        <v>44048.176388888889</v>
      </c>
      <c r="BJ676" s="5">
        <v>44048.176388888889</v>
      </c>
      <c r="BK676" t="s">
        <v>778</v>
      </c>
      <c r="BL676" t="s">
        <v>778</v>
      </c>
      <c r="BN676" t="s">
        <v>37</v>
      </c>
    </row>
    <row r="677" spans="1:66" x14ac:dyDescent="0.2">
      <c r="A677">
        <v>3693234</v>
      </c>
      <c r="B677">
        <v>21883</v>
      </c>
      <c r="C677">
        <v>523999</v>
      </c>
      <c r="D677">
        <v>52899</v>
      </c>
      <c r="E677">
        <v>100</v>
      </c>
      <c r="F677" t="s">
        <v>37</v>
      </c>
      <c r="G677">
        <v>1</v>
      </c>
      <c r="H677" t="s">
        <v>37</v>
      </c>
      <c r="I677" t="s">
        <v>37</v>
      </c>
      <c r="J677" t="s">
        <v>775</v>
      </c>
      <c r="K677" t="s">
        <v>230</v>
      </c>
      <c r="L677" t="s">
        <v>226</v>
      </c>
      <c r="M677" t="s">
        <v>422</v>
      </c>
      <c r="N677" t="s">
        <v>3682</v>
      </c>
      <c r="O677" t="s">
        <v>3683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B677" s="5">
        <v>43497</v>
      </c>
      <c r="AC677" s="5">
        <v>43497</v>
      </c>
      <c r="AD677" s="5">
        <v>44306.666666666664</v>
      </c>
      <c r="AE677" s="5">
        <v>44306.666666666664</v>
      </c>
      <c r="AG677" s="5">
        <v>44044</v>
      </c>
      <c r="AH677" s="5">
        <v>44044</v>
      </c>
      <c r="AK677" s="5">
        <v>43497.333333333336</v>
      </c>
      <c r="AL677" s="5">
        <v>43497.333333333336</v>
      </c>
      <c r="AP677" t="s">
        <v>418</v>
      </c>
      <c r="AU677" t="s">
        <v>3684</v>
      </c>
      <c r="AV677" t="s">
        <v>3685</v>
      </c>
      <c r="AY677" t="s">
        <v>37</v>
      </c>
      <c r="AZ677">
        <v>0</v>
      </c>
      <c r="BA677">
        <v>0</v>
      </c>
      <c r="BI677" s="5">
        <v>44048.176388888889</v>
      </c>
      <c r="BJ677" s="5">
        <v>44048.176388888889</v>
      </c>
      <c r="BK677" t="s">
        <v>778</v>
      </c>
      <c r="BL677" t="s">
        <v>778</v>
      </c>
      <c r="BN677" t="s">
        <v>37</v>
      </c>
    </row>
    <row r="678" spans="1:66" x14ac:dyDescent="0.2">
      <c r="A678">
        <v>3693235</v>
      </c>
      <c r="B678">
        <v>21883</v>
      </c>
      <c r="C678">
        <v>523999</v>
      </c>
      <c r="D678">
        <v>52898</v>
      </c>
      <c r="E678">
        <v>100</v>
      </c>
      <c r="F678" t="s">
        <v>37</v>
      </c>
      <c r="G678">
        <v>1</v>
      </c>
      <c r="H678" t="s">
        <v>37</v>
      </c>
      <c r="I678" t="s">
        <v>37</v>
      </c>
      <c r="J678" t="s">
        <v>775</v>
      </c>
      <c r="K678" t="s">
        <v>230</v>
      </c>
      <c r="L678" t="s">
        <v>226</v>
      </c>
      <c r="M678" t="s">
        <v>422</v>
      </c>
      <c r="N678" t="s">
        <v>3686</v>
      </c>
      <c r="O678" t="s">
        <v>3687</v>
      </c>
      <c r="S678">
        <v>0</v>
      </c>
      <c r="T678">
        <v>0</v>
      </c>
      <c r="U678">
        <v>0</v>
      </c>
      <c r="V678">
        <v>0</v>
      </c>
      <c r="W678">
        <v>40</v>
      </c>
      <c r="X678">
        <v>0</v>
      </c>
      <c r="Y678">
        <v>0</v>
      </c>
      <c r="Z678">
        <v>0</v>
      </c>
      <c r="AB678" s="5">
        <v>43677</v>
      </c>
      <c r="AC678" s="5">
        <v>43677</v>
      </c>
      <c r="AD678" s="5">
        <v>44306.666666666664</v>
      </c>
      <c r="AE678" s="5">
        <v>44306.666666666664</v>
      </c>
      <c r="AG678" s="5">
        <v>44044</v>
      </c>
      <c r="AH678" s="5">
        <v>44044</v>
      </c>
      <c r="AK678" s="5">
        <v>43948.333333333336</v>
      </c>
      <c r="AL678" s="5">
        <v>43956.666666666664</v>
      </c>
      <c r="AP678" t="s">
        <v>418</v>
      </c>
      <c r="AU678" t="s">
        <v>3688</v>
      </c>
      <c r="AV678" t="s">
        <v>3689</v>
      </c>
      <c r="AY678" t="s">
        <v>37</v>
      </c>
      <c r="AZ678">
        <v>0</v>
      </c>
      <c r="BA678">
        <v>0</v>
      </c>
      <c r="BI678" s="5">
        <v>44048.176388888889</v>
      </c>
      <c r="BJ678" s="5">
        <v>44048.176388888889</v>
      </c>
      <c r="BK678" t="s">
        <v>778</v>
      </c>
      <c r="BL678" t="s">
        <v>778</v>
      </c>
      <c r="BN678" t="s">
        <v>37</v>
      </c>
    </row>
    <row r="679" spans="1:66" x14ac:dyDescent="0.2">
      <c r="A679">
        <v>3693236</v>
      </c>
      <c r="B679">
        <v>21883</v>
      </c>
      <c r="C679">
        <v>523999</v>
      </c>
      <c r="D679">
        <v>52897</v>
      </c>
      <c r="E679">
        <v>100</v>
      </c>
      <c r="F679" t="s">
        <v>37</v>
      </c>
      <c r="G679">
        <v>1</v>
      </c>
      <c r="H679" t="s">
        <v>37</v>
      </c>
      <c r="I679" t="s">
        <v>37</v>
      </c>
      <c r="J679" t="s">
        <v>775</v>
      </c>
      <c r="K679" t="s">
        <v>230</v>
      </c>
      <c r="L679" t="s">
        <v>226</v>
      </c>
      <c r="M679" t="s">
        <v>422</v>
      </c>
      <c r="N679" t="s">
        <v>3690</v>
      </c>
      <c r="O679" t="s">
        <v>3691</v>
      </c>
      <c r="S679">
        <v>0</v>
      </c>
      <c r="T679">
        <v>0</v>
      </c>
      <c r="U679">
        <v>0</v>
      </c>
      <c r="V679">
        <v>0</v>
      </c>
      <c r="W679">
        <v>40</v>
      </c>
      <c r="X679">
        <v>0</v>
      </c>
      <c r="Y679">
        <v>0</v>
      </c>
      <c r="Z679">
        <v>0</v>
      </c>
      <c r="AB679" s="5">
        <v>43677</v>
      </c>
      <c r="AC679" s="5">
        <v>43677</v>
      </c>
      <c r="AD679" s="5">
        <v>44306.666666666664</v>
      </c>
      <c r="AE679" s="5">
        <v>44306.666666666664</v>
      </c>
      <c r="AG679" s="5">
        <v>44044</v>
      </c>
      <c r="AH679" s="5">
        <v>44044</v>
      </c>
      <c r="AK679" s="5">
        <v>43966.333333333336</v>
      </c>
      <c r="AL679" s="5">
        <v>43977.666666666664</v>
      </c>
      <c r="AP679" t="s">
        <v>418</v>
      </c>
      <c r="AU679" t="s">
        <v>3692</v>
      </c>
      <c r="AV679" t="s">
        <v>3693</v>
      </c>
      <c r="AY679" t="s">
        <v>37</v>
      </c>
      <c r="AZ679">
        <v>0</v>
      </c>
      <c r="BA679">
        <v>0</v>
      </c>
      <c r="BI679" s="5">
        <v>44048.176388888889</v>
      </c>
      <c r="BJ679" s="5">
        <v>44048.176388888889</v>
      </c>
      <c r="BK679" t="s">
        <v>778</v>
      </c>
      <c r="BL679" t="s">
        <v>778</v>
      </c>
      <c r="BN679" t="s">
        <v>37</v>
      </c>
    </row>
    <row r="680" spans="1:66" x14ac:dyDescent="0.2">
      <c r="A680">
        <v>3693237</v>
      </c>
      <c r="B680">
        <v>21883</v>
      </c>
      <c r="C680">
        <v>523999</v>
      </c>
      <c r="D680">
        <v>52898</v>
      </c>
      <c r="E680">
        <v>100</v>
      </c>
      <c r="F680" t="s">
        <v>37</v>
      </c>
      <c r="G680">
        <v>1</v>
      </c>
      <c r="H680" t="s">
        <v>37</v>
      </c>
      <c r="I680" t="s">
        <v>37</v>
      </c>
      <c r="J680" t="s">
        <v>775</v>
      </c>
      <c r="K680" t="s">
        <v>230</v>
      </c>
      <c r="L680" t="s">
        <v>226</v>
      </c>
      <c r="M680" t="s">
        <v>422</v>
      </c>
      <c r="N680" t="s">
        <v>3694</v>
      </c>
      <c r="O680" t="s">
        <v>3695</v>
      </c>
      <c r="S680">
        <v>0</v>
      </c>
      <c r="T680">
        <v>8</v>
      </c>
      <c r="U680">
        <v>0</v>
      </c>
      <c r="V680">
        <v>8</v>
      </c>
      <c r="W680">
        <v>16</v>
      </c>
      <c r="X680">
        <v>0</v>
      </c>
      <c r="Y680">
        <v>0</v>
      </c>
      <c r="Z680">
        <v>0</v>
      </c>
      <c r="AB680" s="5">
        <v>43677</v>
      </c>
      <c r="AC680" s="5">
        <v>43677</v>
      </c>
      <c r="AD680" s="5">
        <v>44306.666666666664</v>
      </c>
      <c r="AE680" s="5">
        <v>44306.666666666664</v>
      </c>
      <c r="AG680" s="5">
        <v>44044</v>
      </c>
      <c r="AH680" s="5">
        <v>44044</v>
      </c>
      <c r="AK680" s="5">
        <v>43980.333333333336</v>
      </c>
      <c r="AL680" s="5">
        <v>43983.666666666664</v>
      </c>
      <c r="AP680" t="s">
        <v>418</v>
      </c>
      <c r="AU680" t="s">
        <v>3696</v>
      </c>
      <c r="AV680" t="s">
        <v>3697</v>
      </c>
      <c r="AY680" t="s">
        <v>37</v>
      </c>
      <c r="AZ680">
        <v>0</v>
      </c>
      <c r="BA680">
        <v>0</v>
      </c>
      <c r="BI680" s="5">
        <v>44048.176388888889</v>
      </c>
      <c r="BJ680" s="5">
        <v>44048.176388888889</v>
      </c>
      <c r="BK680" t="s">
        <v>778</v>
      </c>
      <c r="BL680" t="s">
        <v>778</v>
      </c>
      <c r="BN680" t="s">
        <v>37</v>
      </c>
    </row>
    <row r="681" spans="1:66" x14ac:dyDescent="0.2">
      <c r="A681">
        <v>3693238</v>
      </c>
      <c r="B681">
        <v>21883</v>
      </c>
      <c r="C681">
        <v>524015</v>
      </c>
      <c r="D681">
        <v>52898</v>
      </c>
      <c r="E681">
        <v>0</v>
      </c>
      <c r="F681" t="s">
        <v>37</v>
      </c>
      <c r="G681">
        <v>1</v>
      </c>
      <c r="H681" t="s">
        <v>37</v>
      </c>
      <c r="I681" t="s">
        <v>37</v>
      </c>
      <c r="J681" t="s">
        <v>775</v>
      </c>
      <c r="K681" t="s">
        <v>230</v>
      </c>
      <c r="L681" t="s">
        <v>226</v>
      </c>
      <c r="M681" t="s">
        <v>417</v>
      </c>
      <c r="N681" t="s">
        <v>3698</v>
      </c>
      <c r="O681" t="s">
        <v>3699</v>
      </c>
      <c r="Q681">
        <v>-112</v>
      </c>
      <c r="R681">
        <v>0</v>
      </c>
      <c r="S681">
        <v>96</v>
      </c>
      <c r="T681">
        <v>0</v>
      </c>
      <c r="U681">
        <v>24</v>
      </c>
      <c r="V681">
        <v>24</v>
      </c>
      <c r="W681">
        <v>96</v>
      </c>
      <c r="X681">
        <v>0</v>
      </c>
      <c r="Y681">
        <v>0</v>
      </c>
      <c r="Z681">
        <v>0</v>
      </c>
      <c r="AD681" s="5">
        <v>44088.333333333336</v>
      </c>
      <c r="AE681" s="5">
        <v>44110.666666666664</v>
      </c>
      <c r="AG681" s="5">
        <v>44116.333333333336</v>
      </c>
      <c r="AH681" s="5">
        <v>44139.666666666664</v>
      </c>
      <c r="AI681" s="5">
        <v>44116.333333333336</v>
      </c>
      <c r="AJ681" s="5">
        <v>44139.666666666664</v>
      </c>
      <c r="AK681" s="5">
        <v>44116.333333333336</v>
      </c>
      <c r="AL681" s="5">
        <v>44139.666666666664</v>
      </c>
      <c r="AM681" s="5">
        <v>44088.333333333336</v>
      </c>
      <c r="AN681" s="5">
        <v>44110.666666666664</v>
      </c>
      <c r="AP681" t="s">
        <v>418</v>
      </c>
      <c r="AU681" t="s">
        <v>3700</v>
      </c>
      <c r="AV681" t="s">
        <v>3701</v>
      </c>
      <c r="AY681" t="s">
        <v>37</v>
      </c>
      <c r="AZ681">
        <v>0</v>
      </c>
      <c r="BA681">
        <v>0</v>
      </c>
      <c r="BI681" s="5">
        <v>44048.176388888889</v>
      </c>
      <c r="BJ681" s="5">
        <v>44048.176388888889</v>
      </c>
      <c r="BK681" t="s">
        <v>778</v>
      </c>
      <c r="BL681" t="s">
        <v>778</v>
      </c>
      <c r="BN681" t="s">
        <v>37</v>
      </c>
    </row>
    <row r="682" spans="1:66" x14ac:dyDescent="0.2">
      <c r="A682">
        <v>3693239</v>
      </c>
      <c r="B682">
        <v>21883</v>
      </c>
      <c r="C682">
        <v>524015</v>
      </c>
      <c r="D682">
        <v>52898</v>
      </c>
      <c r="E682">
        <v>0</v>
      </c>
      <c r="F682" t="s">
        <v>37</v>
      </c>
      <c r="G682">
        <v>1</v>
      </c>
      <c r="H682" t="s">
        <v>37</v>
      </c>
      <c r="I682" t="s">
        <v>37</v>
      </c>
      <c r="J682" t="s">
        <v>775</v>
      </c>
      <c r="K682" t="s">
        <v>230</v>
      </c>
      <c r="L682" t="s">
        <v>226</v>
      </c>
      <c r="M682" t="s">
        <v>417</v>
      </c>
      <c r="N682" t="s">
        <v>3702</v>
      </c>
      <c r="O682" t="s">
        <v>3703</v>
      </c>
      <c r="Q682">
        <v>-112</v>
      </c>
      <c r="R682">
        <v>72</v>
      </c>
      <c r="S682">
        <v>16</v>
      </c>
      <c r="T682">
        <v>0</v>
      </c>
      <c r="U682">
        <v>16</v>
      </c>
      <c r="V682">
        <v>16</v>
      </c>
      <c r="W682">
        <v>16</v>
      </c>
      <c r="X682">
        <v>0</v>
      </c>
      <c r="Y682">
        <v>0</v>
      </c>
      <c r="Z682">
        <v>0</v>
      </c>
      <c r="AD682" s="5">
        <v>44111.333333333336</v>
      </c>
      <c r="AE682" s="5">
        <v>44112.666666666664</v>
      </c>
      <c r="AG682" s="5">
        <v>44140.333333333336</v>
      </c>
      <c r="AH682" s="5">
        <v>44141.666666666664</v>
      </c>
      <c r="AI682" s="5">
        <v>44140.333333333336</v>
      </c>
      <c r="AJ682" s="5">
        <v>44141.666666666664</v>
      </c>
      <c r="AK682" s="5">
        <v>44140.333333333336</v>
      </c>
      <c r="AL682" s="5">
        <v>44141.666666666664</v>
      </c>
      <c r="AM682" s="5">
        <v>44111.333333333336</v>
      </c>
      <c r="AN682" s="5">
        <v>44112.666666666664</v>
      </c>
      <c r="AP682" t="s">
        <v>418</v>
      </c>
      <c r="AU682" t="s">
        <v>3704</v>
      </c>
      <c r="AV682" t="s">
        <v>3705</v>
      </c>
      <c r="AY682" t="s">
        <v>37</v>
      </c>
      <c r="AZ682">
        <v>0</v>
      </c>
      <c r="BA682">
        <v>0</v>
      </c>
      <c r="BI682" s="5">
        <v>44048.176388888889</v>
      </c>
      <c r="BJ682" s="5">
        <v>44048.176388888889</v>
      </c>
      <c r="BK682" t="s">
        <v>778</v>
      </c>
      <c r="BL682" t="s">
        <v>778</v>
      </c>
      <c r="BN682" t="s">
        <v>37</v>
      </c>
    </row>
    <row r="683" spans="1:66" x14ac:dyDescent="0.2">
      <c r="A683">
        <v>3693240</v>
      </c>
      <c r="B683">
        <v>21883</v>
      </c>
      <c r="C683">
        <v>523937</v>
      </c>
      <c r="D683">
        <v>52899</v>
      </c>
      <c r="E683">
        <v>100</v>
      </c>
      <c r="F683" t="s">
        <v>37</v>
      </c>
      <c r="G683">
        <v>1</v>
      </c>
      <c r="H683" t="s">
        <v>37</v>
      </c>
      <c r="I683" t="s">
        <v>37</v>
      </c>
      <c r="J683" t="s">
        <v>775</v>
      </c>
      <c r="K683" t="s">
        <v>230</v>
      </c>
      <c r="L683" t="s">
        <v>226</v>
      </c>
      <c r="M683" t="s">
        <v>422</v>
      </c>
      <c r="N683" t="s">
        <v>3706</v>
      </c>
      <c r="O683" t="s">
        <v>3707</v>
      </c>
      <c r="S683">
        <v>0</v>
      </c>
      <c r="T683">
        <v>0</v>
      </c>
      <c r="U683">
        <v>0</v>
      </c>
      <c r="V683">
        <v>0</v>
      </c>
      <c r="W683">
        <v>16</v>
      </c>
      <c r="X683">
        <v>0</v>
      </c>
      <c r="Y683">
        <v>0</v>
      </c>
      <c r="Z683">
        <v>0</v>
      </c>
      <c r="AB683" s="5">
        <v>43395</v>
      </c>
      <c r="AC683" s="5">
        <v>43396</v>
      </c>
      <c r="AD683" s="5">
        <v>43970.333333333336</v>
      </c>
      <c r="AE683" s="5">
        <v>43970.333333333336</v>
      </c>
      <c r="AG683" s="5">
        <v>44044</v>
      </c>
      <c r="AH683" s="5">
        <v>44044</v>
      </c>
      <c r="AK683" s="5">
        <v>43552.333333333336</v>
      </c>
      <c r="AL683" s="5">
        <v>43553.666666666664</v>
      </c>
      <c r="AP683" t="s">
        <v>418</v>
      </c>
      <c r="AU683" t="s">
        <v>3708</v>
      </c>
      <c r="AV683" t="s">
        <v>3709</v>
      </c>
      <c r="AY683" t="s">
        <v>40</v>
      </c>
      <c r="AZ683">
        <v>0</v>
      </c>
      <c r="BA683">
        <v>0</v>
      </c>
      <c r="BI683" s="5">
        <v>44048.176388888889</v>
      </c>
      <c r="BJ683" s="5">
        <v>44048.176388888889</v>
      </c>
      <c r="BK683" t="s">
        <v>778</v>
      </c>
      <c r="BL683" t="s">
        <v>778</v>
      </c>
      <c r="BN683" t="s">
        <v>37</v>
      </c>
    </row>
    <row r="684" spans="1:66" x14ac:dyDescent="0.2">
      <c r="A684">
        <v>3693241</v>
      </c>
      <c r="B684">
        <v>21883</v>
      </c>
      <c r="C684">
        <v>523937</v>
      </c>
      <c r="D684">
        <v>52899</v>
      </c>
      <c r="E684">
        <v>100</v>
      </c>
      <c r="F684" t="s">
        <v>37</v>
      </c>
      <c r="G684">
        <v>1</v>
      </c>
      <c r="H684" t="s">
        <v>37</v>
      </c>
      <c r="I684" t="s">
        <v>37</v>
      </c>
      <c r="J684" t="s">
        <v>775</v>
      </c>
      <c r="K684" t="s">
        <v>230</v>
      </c>
      <c r="L684" t="s">
        <v>226</v>
      </c>
      <c r="M684" t="s">
        <v>422</v>
      </c>
      <c r="N684" t="s">
        <v>3710</v>
      </c>
      <c r="O684" t="s">
        <v>3711</v>
      </c>
      <c r="S684">
        <v>0</v>
      </c>
      <c r="T684">
        <v>0</v>
      </c>
      <c r="U684">
        <v>0</v>
      </c>
      <c r="V684">
        <v>0</v>
      </c>
      <c r="W684">
        <v>8</v>
      </c>
      <c r="X684">
        <v>0</v>
      </c>
      <c r="Y684">
        <v>0</v>
      </c>
      <c r="Z684">
        <v>0</v>
      </c>
      <c r="AB684" s="5">
        <v>43654</v>
      </c>
      <c r="AC684" s="5">
        <v>43659</v>
      </c>
      <c r="AD684" s="5">
        <v>43970.333333333336</v>
      </c>
      <c r="AE684" s="5">
        <v>43970.333333333336</v>
      </c>
      <c r="AG684" s="5">
        <v>44044</v>
      </c>
      <c r="AH684" s="5">
        <v>44044</v>
      </c>
      <c r="AK684" s="5">
        <v>43678.333333333336</v>
      </c>
      <c r="AL684" s="5">
        <v>43678.666666666664</v>
      </c>
      <c r="AP684" t="s">
        <v>418</v>
      </c>
      <c r="AU684" t="s">
        <v>3712</v>
      </c>
      <c r="AV684" t="s">
        <v>3713</v>
      </c>
      <c r="AY684" t="s">
        <v>40</v>
      </c>
      <c r="AZ684">
        <v>0</v>
      </c>
      <c r="BA684">
        <v>0</v>
      </c>
      <c r="BI684" s="5">
        <v>44048.176388888889</v>
      </c>
      <c r="BJ684" s="5">
        <v>44048.176388888889</v>
      </c>
      <c r="BK684" t="s">
        <v>778</v>
      </c>
      <c r="BL684" t="s">
        <v>778</v>
      </c>
      <c r="BN684" t="s">
        <v>37</v>
      </c>
    </row>
    <row r="685" spans="1:66" x14ac:dyDescent="0.2">
      <c r="A685">
        <v>3693242</v>
      </c>
      <c r="B685">
        <v>21883</v>
      </c>
      <c r="C685">
        <v>523936</v>
      </c>
      <c r="D685">
        <v>52899</v>
      </c>
      <c r="E685">
        <v>100</v>
      </c>
      <c r="F685" t="s">
        <v>37</v>
      </c>
      <c r="G685">
        <v>1</v>
      </c>
      <c r="H685" t="s">
        <v>37</v>
      </c>
      <c r="I685" t="s">
        <v>37</v>
      </c>
      <c r="J685" t="s">
        <v>775</v>
      </c>
      <c r="K685" t="s">
        <v>230</v>
      </c>
      <c r="L685" t="s">
        <v>226</v>
      </c>
      <c r="M685" t="s">
        <v>422</v>
      </c>
      <c r="N685" t="s">
        <v>3714</v>
      </c>
      <c r="O685" t="s">
        <v>3715</v>
      </c>
      <c r="S685">
        <v>0</v>
      </c>
      <c r="T685">
        <v>0</v>
      </c>
      <c r="U685">
        <v>0</v>
      </c>
      <c r="V685">
        <v>0</v>
      </c>
      <c r="W685">
        <v>24</v>
      </c>
      <c r="X685">
        <v>0</v>
      </c>
      <c r="Y685">
        <v>0</v>
      </c>
      <c r="Z685">
        <v>0</v>
      </c>
      <c r="AB685" s="5">
        <v>43395</v>
      </c>
      <c r="AC685" s="5">
        <v>43396</v>
      </c>
      <c r="AD685" s="5">
        <v>43970.333333333336</v>
      </c>
      <c r="AE685" s="5">
        <v>43970.333333333336</v>
      </c>
      <c r="AG685" s="5">
        <v>44044</v>
      </c>
      <c r="AH685" s="5">
        <v>44044</v>
      </c>
      <c r="AK685" s="5">
        <v>43469.333333333336</v>
      </c>
      <c r="AL685" s="5">
        <v>43473.666666666664</v>
      </c>
      <c r="AP685" t="s">
        <v>418</v>
      </c>
      <c r="AU685" t="s">
        <v>3716</v>
      </c>
      <c r="AV685" t="s">
        <v>3717</v>
      </c>
      <c r="AY685" t="s">
        <v>40</v>
      </c>
      <c r="AZ685">
        <v>0</v>
      </c>
      <c r="BA685">
        <v>0</v>
      </c>
      <c r="BI685" s="5">
        <v>44048.176388888889</v>
      </c>
      <c r="BJ685" s="5">
        <v>44048.176388888889</v>
      </c>
      <c r="BK685" t="s">
        <v>778</v>
      </c>
      <c r="BL685" t="s">
        <v>778</v>
      </c>
      <c r="BN685" t="s">
        <v>37</v>
      </c>
    </row>
    <row r="686" spans="1:66" x14ac:dyDescent="0.2">
      <c r="A686">
        <v>3693243</v>
      </c>
      <c r="B686">
        <v>21883</v>
      </c>
      <c r="C686">
        <v>523936</v>
      </c>
      <c r="D686">
        <v>52899</v>
      </c>
      <c r="E686">
        <v>100</v>
      </c>
      <c r="F686" t="s">
        <v>37</v>
      </c>
      <c r="G686">
        <v>1</v>
      </c>
      <c r="H686" t="s">
        <v>37</v>
      </c>
      <c r="I686" t="s">
        <v>37</v>
      </c>
      <c r="J686" t="s">
        <v>775</v>
      </c>
      <c r="K686" t="s">
        <v>230</v>
      </c>
      <c r="L686" t="s">
        <v>226</v>
      </c>
      <c r="M686" t="s">
        <v>422</v>
      </c>
      <c r="N686" t="s">
        <v>3718</v>
      </c>
      <c r="O686" t="s">
        <v>3719</v>
      </c>
      <c r="S686">
        <v>0</v>
      </c>
      <c r="T686">
        <v>0</v>
      </c>
      <c r="U686">
        <v>0</v>
      </c>
      <c r="V686">
        <v>0</v>
      </c>
      <c r="W686">
        <v>24</v>
      </c>
      <c r="X686">
        <v>0</v>
      </c>
      <c r="Y686">
        <v>0</v>
      </c>
      <c r="Z686">
        <v>0</v>
      </c>
      <c r="AB686" s="5">
        <v>43605</v>
      </c>
      <c r="AC686" s="5">
        <v>43634</v>
      </c>
      <c r="AD686" s="5">
        <v>43970.333333333336</v>
      </c>
      <c r="AE686" s="5">
        <v>43970.333333333336</v>
      </c>
      <c r="AG686" s="5">
        <v>44044</v>
      </c>
      <c r="AH686" s="5">
        <v>44044</v>
      </c>
      <c r="AK686" s="5">
        <v>43619.333333333336</v>
      </c>
      <c r="AL686" s="5">
        <v>43622.666666666664</v>
      </c>
      <c r="AP686" t="s">
        <v>418</v>
      </c>
      <c r="AU686" t="s">
        <v>3720</v>
      </c>
      <c r="AV686" t="s">
        <v>3721</v>
      </c>
      <c r="AY686" t="s">
        <v>40</v>
      </c>
      <c r="AZ686">
        <v>0</v>
      </c>
      <c r="BA686">
        <v>0</v>
      </c>
      <c r="BI686" s="5">
        <v>44048.176388888889</v>
      </c>
      <c r="BJ686" s="5">
        <v>44048.176388888889</v>
      </c>
      <c r="BK686" t="s">
        <v>778</v>
      </c>
      <c r="BL686" t="s">
        <v>778</v>
      </c>
      <c r="BN686" t="s">
        <v>37</v>
      </c>
    </row>
    <row r="687" spans="1:66" x14ac:dyDescent="0.2">
      <c r="A687">
        <v>3693244</v>
      </c>
      <c r="B687">
        <v>21883</v>
      </c>
      <c r="C687">
        <v>523936</v>
      </c>
      <c r="D687">
        <v>52899</v>
      </c>
      <c r="E687">
        <v>100</v>
      </c>
      <c r="F687" t="s">
        <v>37</v>
      </c>
      <c r="G687">
        <v>1</v>
      </c>
      <c r="H687" t="s">
        <v>37</v>
      </c>
      <c r="I687" t="s">
        <v>37</v>
      </c>
      <c r="J687" t="s">
        <v>775</v>
      </c>
      <c r="K687" t="s">
        <v>230</v>
      </c>
      <c r="L687" t="s">
        <v>226</v>
      </c>
      <c r="M687" t="s">
        <v>422</v>
      </c>
      <c r="N687" t="s">
        <v>3722</v>
      </c>
      <c r="O687" t="s">
        <v>3723</v>
      </c>
      <c r="S687">
        <v>0</v>
      </c>
      <c r="T687">
        <v>0</v>
      </c>
      <c r="U687">
        <v>0</v>
      </c>
      <c r="V687">
        <v>0</v>
      </c>
      <c r="W687">
        <v>16</v>
      </c>
      <c r="X687">
        <v>0</v>
      </c>
      <c r="Y687">
        <v>0</v>
      </c>
      <c r="Z687">
        <v>0</v>
      </c>
      <c r="AB687" s="5">
        <v>43397</v>
      </c>
      <c r="AC687" s="5">
        <v>43398</v>
      </c>
      <c r="AD687" s="5">
        <v>43970.333333333336</v>
      </c>
      <c r="AE687" s="5">
        <v>43970.333333333336</v>
      </c>
      <c r="AG687" s="5">
        <v>44044</v>
      </c>
      <c r="AH687" s="5">
        <v>44044</v>
      </c>
      <c r="AK687" s="5">
        <v>43469.333333333336</v>
      </c>
      <c r="AL687" s="5">
        <v>43472.666666666664</v>
      </c>
      <c r="AP687" t="s">
        <v>418</v>
      </c>
      <c r="AU687" t="s">
        <v>3724</v>
      </c>
      <c r="AV687" t="s">
        <v>3725</v>
      </c>
      <c r="AY687" t="s">
        <v>40</v>
      </c>
      <c r="AZ687">
        <v>0</v>
      </c>
      <c r="BA687">
        <v>0</v>
      </c>
      <c r="BI687" s="5">
        <v>44048.176388888889</v>
      </c>
      <c r="BJ687" s="5">
        <v>44048.176388888889</v>
      </c>
      <c r="BK687" t="s">
        <v>778</v>
      </c>
      <c r="BL687" t="s">
        <v>778</v>
      </c>
      <c r="BN687" t="s">
        <v>37</v>
      </c>
    </row>
    <row r="688" spans="1:66" x14ac:dyDescent="0.2">
      <c r="A688">
        <v>3693245</v>
      </c>
      <c r="B688">
        <v>21883</v>
      </c>
      <c r="C688">
        <v>523937</v>
      </c>
      <c r="D688">
        <v>52899</v>
      </c>
      <c r="E688">
        <v>100</v>
      </c>
      <c r="F688" t="s">
        <v>37</v>
      </c>
      <c r="G688">
        <v>1</v>
      </c>
      <c r="H688" t="s">
        <v>37</v>
      </c>
      <c r="I688" t="s">
        <v>37</v>
      </c>
      <c r="J688" t="s">
        <v>775</v>
      </c>
      <c r="K688" t="s">
        <v>230</v>
      </c>
      <c r="L688" t="s">
        <v>226</v>
      </c>
      <c r="M688" t="s">
        <v>422</v>
      </c>
      <c r="N688" t="s">
        <v>3726</v>
      </c>
      <c r="O688" t="s">
        <v>3727</v>
      </c>
      <c r="S688">
        <v>0</v>
      </c>
      <c r="T688">
        <v>0</v>
      </c>
      <c r="U688">
        <v>0</v>
      </c>
      <c r="V688">
        <v>0</v>
      </c>
      <c r="W688">
        <v>24</v>
      </c>
      <c r="X688">
        <v>0</v>
      </c>
      <c r="Y688">
        <v>0</v>
      </c>
      <c r="Z688">
        <v>0</v>
      </c>
      <c r="AB688" s="5">
        <v>43397</v>
      </c>
      <c r="AC688" s="5">
        <v>43398</v>
      </c>
      <c r="AD688" s="5">
        <v>43970.333333333336</v>
      </c>
      <c r="AE688" s="5">
        <v>43970.333333333336</v>
      </c>
      <c r="AG688" s="5">
        <v>44044</v>
      </c>
      <c r="AH688" s="5">
        <v>44044</v>
      </c>
      <c r="AK688" s="5">
        <v>43552.333333333336</v>
      </c>
      <c r="AL688" s="5">
        <v>43556.666666666664</v>
      </c>
      <c r="AP688" t="s">
        <v>418</v>
      </c>
      <c r="AU688" t="s">
        <v>3728</v>
      </c>
      <c r="AV688" t="s">
        <v>3729</v>
      </c>
      <c r="AY688" t="s">
        <v>40</v>
      </c>
      <c r="AZ688">
        <v>0</v>
      </c>
      <c r="BA688">
        <v>0</v>
      </c>
      <c r="BI688" s="5">
        <v>44048.176388888889</v>
      </c>
      <c r="BJ688" s="5">
        <v>44048.176388888889</v>
      </c>
      <c r="BK688" t="s">
        <v>778</v>
      </c>
      <c r="BL688" t="s">
        <v>778</v>
      </c>
      <c r="BN688" t="s">
        <v>37</v>
      </c>
    </row>
    <row r="689" spans="1:66" x14ac:dyDescent="0.2">
      <c r="A689">
        <v>3693246</v>
      </c>
      <c r="B689">
        <v>21883</v>
      </c>
      <c r="C689">
        <v>524016</v>
      </c>
      <c r="D689">
        <v>52898</v>
      </c>
      <c r="E689">
        <v>100</v>
      </c>
      <c r="F689" t="s">
        <v>37</v>
      </c>
      <c r="G689">
        <v>1</v>
      </c>
      <c r="H689" t="s">
        <v>37</v>
      </c>
      <c r="I689" t="s">
        <v>37</v>
      </c>
      <c r="J689" t="s">
        <v>775</v>
      </c>
      <c r="K689" t="s">
        <v>230</v>
      </c>
      <c r="L689" t="s">
        <v>226</v>
      </c>
      <c r="M689" t="s">
        <v>422</v>
      </c>
      <c r="N689" t="s">
        <v>3730</v>
      </c>
      <c r="O689" t="s">
        <v>3731</v>
      </c>
      <c r="S689">
        <v>0</v>
      </c>
      <c r="T689">
        <v>0</v>
      </c>
      <c r="U689">
        <v>0</v>
      </c>
      <c r="V689">
        <v>0</v>
      </c>
      <c r="W689">
        <v>16</v>
      </c>
      <c r="X689">
        <v>0</v>
      </c>
      <c r="Y689">
        <v>0</v>
      </c>
      <c r="Z689">
        <v>0</v>
      </c>
      <c r="AB689" s="5">
        <v>44005</v>
      </c>
      <c r="AC689" s="5">
        <v>44006</v>
      </c>
      <c r="AD689" s="5">
        <v>44008.666666666664</v>
      </c>
      <c r="AE689" s="5">
        <v>44008.666666666664</v>
      </c>
      <c r="AG689" s="5">
        <v>44044</v>
      </c>
      <c r="AH689" s="5">
        <v>44044</v>
      </c>
      <c r="AK689" s="5">
        <v>44011.333333333336</v>
      </c>
      <c r="AL689" s="5">
        <v>44014.666666666664</v>
      </c>
      <c r="AP689" t="s">
        <v>418</v>
      </c>
      <c r="AU689" t="s">
        <v>1800</v>
      </c>
      <c r="AV689" t="s">
        <v>3732</v>
      </c>
      <c r="AY689" t="s">
        <v>37</v>
      </c>
      <c r="AZ689">
        <v>0</v>
      </c>
      <c r="BA689">
        <v>0</v>
      </c>
      <c r="BI689" s="5">
        <v>44048.176388888889</v>
      </c>
      <c r="BJ689" s="5">
        <v>44048.176388888889</v>
      </c>
      <c r="BK689" t="s">
        <v>778</v>
      </c>
      <c r="BL689" t="s">
        <v>778</v>
      </c>
      <c r="BN689" t="s">
        <v>37</v>
      </c>
    </row>
    <row r="690" spans="1:66" x14ac:dyDescent="0.2">
      <c r="A690">
        <v>3693247</v>
      </c>
      <c r="B690">
        <v>21883</v>
      </c>
      <c r="C690">
        <v>524016</v>
      </c>
      <c r="D690">
        <v>52899</v>
      </c>
      <c r="E690">
        <v>100</v>
      </c>
      <c r="F690" t="s">
        <v>37</v>
      </c>
      <c r="G690">
        <v>1</v>
      </c>
      <c r="H690" t="s">
        <v>37</v>
      </c>
      <c r="I690" t="s">
        <v>37</v>
      </c>
      <c r="J690" t="s">
        <v>775</v>
      </c>
      <c r="K690" t="s">
        <v>230</v>
      </c>
      <c r="L690" t="s">
        <v>226</v>
      </c>
      <c r="M690" t="s">
        <v>422</v>
      </c>
      <c r="N690" t="s">
        <v>3733</v>
      </c>
      <c r="O690" t="s">
        <v>3734</v>
      </c>
      <c r="S690">
        <v>0</v>
      </c>
      <c r="T690">
        <v>0</v>
      </c>
      <c r="U690">
        <v>0</v>
      </c>
      <c r="V690">
        <v>0</v>
      </c>
      <c r="W690">
        <v>16</v>
      </c>
      <c r="X690">
        <v>0</v>
      </c>
      <c r="Y690">
        <v>0</v>
      </c>
      <c r="Z690">
        <v>0</v>
      </c>
      <c r="AB690" s="5">
        <v>44004</v>
      </c>
      <c r="AC690" s="5">
        <v>44004</v>
      </c>
      <c r="AD690" s="5">
        <v>44008.666666666664</v>
      </c>
      <c r="AE690" s="5">
        <v>44008.666666666664</v>
      </c>
      <c r="AG690" s="5">
        <v>44044</v>
      </c>
      <c r="AH690" s="5">
        <v>44044</v>
      </c>
      <c r="AK690" s="5">
        <v>44011.333333333336</v>
      </c>
      <c r="AL690" s="5">
        <v>44012.666666666664</v>
      </c>
      <c r="AP690" t="s">
        <v>418</v>
      </c>
      <c r="AU690" t="s">
        <v>1804</v>
      </c>
      <c r="AV690" t="s">
        <v>3735</v>
      </c>
      <c r="AY690" t="s">
        <v>37</v>
      </c>
      <c r="AZ690">
        <v>0</v>
      </c>
      <c r="BA690">
        <v>0</v>
      </c>
      <c r="BI690" s="5">
        <v>44048.176388888889</v>
      </c>
      <c r="BJ690" s="5">
        <v>44048.176388888889</v>
      </c>
      <c r="BK690" t="s">
        <v>778</v>
      </c>
      <c r="BL690" t="s">
        <v>778</v>
      </c>
      <c r="BN690" t="s">
        <v>37</v>
      </c>
    </row>
    <row r="691" spans="1:66" x14ac:dyDescent="0.2">
      <c r="A691">
        <v>3693248</v>
      </c>
      <c r="B691">
        <v>21883</v>
      </c>
      <c r="C691">
        <v>524016</v>
      </c>
      <c r="D691">
        <v>52897</v>
      </c>
      <c r="E691">
        <v>100</v>
      </c>
      <c r="F691" t="s">
        <v>37</v>
      </c>
      <c r="G691">
        <v>1</v>
      </c>
      <c r="H691" t="s">
        <v>37</v>
      </c>
      <c r="I691" t="s">
        <v>37</v>
      </c>
      <c r="J691" t="s">
        <v>775</v>
      </c>
      <c r="K691" t="s">
        <v>230</v>
      </c>
      <c r="L691" t="s">
        <v>226</v>
      </c>
      <c r="M691" t="s">
        <v>422</v>
      </c>
      <c r="N691" t="s">
        <v>3736</v>
      </c>
      <c r="O691" t="s">
        <v>3737</v>
      </c>
      <c r="S691">
        <v>0</v>
      </c>
      <c r="T691">
        <v>0</v>
      </c>
      <c r="U691">
        <v>0</v>
      </c>
      <c r="V691">
        <v>0</v>
      </c>
      <c r="W691">
        <v>8</v>
      </c>
      <c r="X691">
        <v>0</v>
      </c>
      <c r="Y691">
        <v>0</v>
      </c>
      <c r="Z691">
        <v>0</v>
      </c>
      <c r="AB691" s="5">
        <v>44007</v>
      </c>
      <c r="AC691" s="5">
        <v>44008</v>
      </c>
      <c r="AD691" s="5">
        <v>44008.666666666664</v>
      </c>
      <c r="AE691" s="5">
        <v>44008.666666666664</v>
      </c>
      <c r="AG691" s="5">
        <v>44044</v>
      </c>
      <c r="AH691" s="5">
        <v>44044</v>
      </c>
      <c r="AK691" s="5">
        <v>44011.333333333336</v>
      </c>
      <c r="AL691" s="5">
        <v>44011.666666666664</v>
      </c>
      <c r="AP691" t="s">
        <v>418</v>
      </c>
      <c r="AU691" t="s">
        <v>1808</v>
      </c>
      <c r="AV691" t="s">
        <v>3738</v>
      </c>
      <c r="AY691" t="s">
        <v>37</v>
      </c>
      <c r="AZ691">
        <v>0</v>
      </c>
      <c r="BA691">
        <v>0</v>
      </c>
      <c r="BI691" s="5">
        <v>44048.176388888889</v>
      </c>
      <c r="BJ691" s="5">
        <v>44048.176388888889</v>
      </c>
      <c r="BK691" t="s">
        <v>778</v>
      </c>
      <c r="BL691" t="s">
        <v>778</v>
      </c>
      <c r="BN691" t="s">
        <v>37</v>
      </c>
    </row>
    <row r="692" spans="1:66" x14ac:dyDescent="0.2">
      <c r="A692">
        <v>3693249</v>
      </c>
      <c r="B692">
        <v>21883</v>
      </c>
      <c r="C692">
        <v>523881</v>
      </c>
      <c r="D692">
        <v>52899</v>
      </c>
      <c r="E692">
        <v>100</v>
      </c>
      <c r="F692" t="s">
        <v>37</v>
      </c>
      <c r="G692">
        <v>1</v>
      </c>
      <c r="H692" t="s">
        <v>37</v>
      </c>
      <c r="I692" t="s">
        <v>37</v>
      </c>
      <c r="J692" t="s">
        <v>775</v>
      </c>
      <c r="K692" t="s">
        <v>230</v>
      </c>
      <c r="L692" t="s">
        <v>226</v>
      </c>
      <c r="M692" t="s">
        <v>422</v>
      </c>
      <c r="N692" t="s">
        <v>3739</v>
      </c>
      <c r="O692" t="s">
        <v>3740</v>
      </c>
      <c r="S692">
        <v>0</v>
      </c>
      <c r="T692">
        <v>0</v>
      </c>
      <c r="U692">
        <v>0</v>
      </c>
      <c r="V692">
        <v>0</v>
      </c>
      <c r="W692">
        <v>8</v>
      </c>
      <c r="X692">
        <v>0</v>
      </c>
      <c r="Y692">
        <v>0</v>
      </c>
      <c r="Z692">
        <v>0</v>
      </c>
      <c r="AB692" s="5">
        <v>43424</v>
      </c>
      <c r="AC692" s="5">
        <v>43424</v>
      </c>
      <c r="AD692" s="5">
        <v>43970.333333333336</v>
      </c>
      <c r="AE692" s="5">
        <v>43970.333333333336</v>
      </c>
      <c r="AG692" s="5">
        <v>44044</v>
      </c>
      <c r="AH692" s="5">
        <v>44044</v>
      </c>
      <c r="AK692" s="5">
        <v>43467.333333333336</v>
      </c>
      <c r="AL692" s="5">
        <v>43467.666666666664</v>
      </c>
      <c r="AP692" t="s">
        <v>418</v>
      </c>
      <c r="AU692" t="s">
        <v>3741</v>
      </c>
      <c r="AV692" t="s">
        <v>3742</v>
      </c>
      <c r="AY692" t="s">
        <v>40</v>
      </c>
      <c r="AZ692">
        <v>0</v>
      </c>
      <c r="BA692">
        <v>0</v>
      </c>
      <c r="BI692" s="5">
        <v>44048.176388888889</v>
      </c>
      <c r="BJ692" s="5">
        <v>44048.176388888889</v>
      </c>
      <c r="BK692" t="s">
        <v>778</v>
      </c>
      <c r="BL692" t="s">
        <v>778</v>
      </c>
      <c r="BN692" t="s">
        <v>37</v>
      </c>
    </row>
    <row r="693" spans="1:66" x14ac:dyDescent="0.2">
      <c r="A693">
        <v>3693250</v>
      </c>
      <c r="B693">
        <v>21883</v>
      </c>
      <c r="C693">
        <v>523880</v>
      </c>
      <c r="D693">
        <v>52899</v>
      </c>
      <c r="E693">
        <v>100</v>
      </c>
      <c r="F693" t="s">
        <v>37</v>
      </c>
      <c r="G693">
        <v>1</v>
      </c>
      <c r="H693" t="s">
        <v>37</v>
      </c>
      <c r="I693" t="s">
        <v>37</v>
      </c>
      <c r="J693" t="s">
        <v>775</v>
      </c>
      <c r="K693" t="s">
        <v>230</v>
      </c>
      <c r="L693" t="s">
        <v>226</v>
      </c>
      <c r="M693" t="s">
        <v>422</v>
      </c>
      <c r="N693" t="s">
        <v>3743</v>
      </c>
      <c r="O693" t="s">
        <v>3744</v>
      </c>
      <c r="S693">
        <v>0</v>
      </c>
      <c r="T693">
        <v>0</v>
      </c>
      <c r="U693">
        <v>0</v>
      </c>
      <c r="V693">
        <v>0</v>
      </c>
      <c r="W693">
        <v>8</v>
      </c>
      <c r="X693">
        <v>0</v>
      </c>
      <c r="Y693">
        <v>0</v>
      </c>
      <c r="Z693">
        <v>0</v>
      </c>
      <c r="AB693" s="5">
        <v>43411</v>
      </c>
      <c r="AC693" s="5">
        <v>43411</v>
      </c>
      <c r="AD693" s="5">
        <v>43970.333333333336</v>
      </c>
      <c r="AE693" s="5">
        <v>43970.333333333336</v>
      </c>
      <c r="AG693" s="5">
        <v>44044</v>
      </c>
      <c r="AH693" s="5">
        <v>44044</v>
      </c>
      <c r="AK693" s="5">
        <v>43437.333333333336</v>
      </c>
      <c r="AL693" s="5">
        <v>43437.666666666664</v>
      </c>
      <c r="AP693" t="s">
        <v>418</v>
      </c>
      <c r="AU693" t="s">
        <v>3745</v>
      </c>
      <c r="AV693" t="s">
        <v>3746</v>
      </c>
      <c r="AY693" t="s">
        <v>40</v>
      </c>
      <c r="AZ693">
        <v>0</v>
      </c>
      <c r="BA693">
        <v>0</v>
      </c>
      <c r="BI693" s="5">
        <v>44048.176388888889</v>
      </c>
      <c r="BJ693" s="5">
        <v>44048.176388888889</v>
      </c>
      <c r="BK693" t="s">
        <v>778</v>
      </c>
      <c r="BL693" t="s">
        <v>778</v>
      </c>
      <c r="BN693" t="s">
        <v>37</v>
      </c>
    </row>
    <row r="694" spans="1:66" x14ac:dyDescent="0.2">
      <c r="A694">
        <v>3693251</v>
      </c>
      <c r="B694">
        <v>21883</v>
      </c>
      <c r="C694">
        <v>523879</v>
      </c>
      <c r="D694">
        <v>52899</v>
      </c>
      <c r="E694">
        <v>100</v>
      </c>
      <c r="F694" t="s">
        <v>37</v>
      </c>
      <c r="G694">
        <v>1</v>
      </c>
      <c r="H694" t="s">
        <v>37</v>
      </c>
      <c r="I694" t="s">
        <v>37</v>
      </c>
      <c r="J694" t="s">
        <v>775</v>
      </c>
      <c r="K694" t="s">
        <v>230</v>
      </c>
      <c r="L694" t="s">
        <v>226</v>
      </c>
      <c r="M694" t="s">
        <v>422</v>
      </c>
      <c r="N694" t="s">
        <v>3747</v>
      </c>
      <c r="O694" t="s">
        <v>3748</v>
      </c>
      <c r="S694">
        <v>0</v>
      </c>
      <c r="T694">
        <v>0</v>
      </c>
      <c r="U694">
        <v>0</v>
      </c>
      <c r="V694">
        <v>0</v>
      </c>
      <c r="W694">
        <v>8</v>
      </c>
      <c r="X694">
        <v>0</v>
      </c>
      <c r="Y694">
        <v>0</v>
      </c>
      <c r="Z694">
        <v>0</v>
      </c>
      <c r="AB694" s="5">
        <v>43412</v>
      </c>
      <c r="AC694" s="5">
        <v>43412</v>
      </c>
      <c r="AD694" s="5">
        <v>43970.333333333336</v>
      </c>
      <c r="AE694" s="5">
        <v>43970.333333333336</v>
      </c>
      <c r="AG694" s="5">
        <v>44044</v>
      </c>
      <c r="AH694" s="5">
        <v>44044</v>
      </c>
      <c r="AK694" s="5">
        <v>43437.333333333336</v>
      </c>
      <c r="AL694" s="5">
        <v>43437.666666666664</v>
      </c>
      <c r="AP694" t="s">
        <v>418</v>
      </c>
      <c r="AU694" t="s">
        <v>3749</v>
      </c>
      <c r="AV694" t="s">
        <v>3750</v>
      </c>
      <c r="AY694" t="s">
        <v>40</v>
      </c>
      <c r="AZ694">
        <v>0</v>
      </c>
      <c r="BA694">
        <v>0</v>
      </c>
      <c r="BI694" s="5">
        <v>44048.176388888889</v>
      </c>
      <c r="BJ694" s="5">
        <v>44048.176388888889</v>
      </c>
      <c r="BK694" t="s">
        <v>778</v>
      </c>
      <c r="BL694" t="s">
        <v>778</v>
      </c>
      <c r="BN694" t="s">
        <v>37</v>
      </c>
    </row>
    <row r="695" spans="1:66" x14ac:dyDescent="0.2">
      <c r="A695">
        <v>3693252</v>
      </c>
      <c r="B695">
        <v>21883</v>
      </c>
      <c r="C695">
        <v>523882</v>
      </c>
      <c r="D695">
        <v>52899</v>
      </c>
      <c r="E695">
        <v>100</v>
      </c>
      <c r="F695" t="s">
        <v>37</v>
      </c>
      <c r="G695">
        <v>1</v>
      </c>
      <c r="H695" t="s">
        <v>37</v>
      </c>
      <c r="I695" t="s">
        <v>37</v>
      </c>
      <c r="J695" t="s">
        <v>775</v>
      </c>
      <c r="K695" t="s">
        <v>230</v>
      </c>
      <c r="L695" t="s">
        <v>226</v>
      </c>
      <c r="M695" t="s">
        <v>422</v>
      </c>
      <c r="N695" t="s">
        <v>3751</v>
      </c>
      <c r="O695" t="s">
        <v>3752</v>
      </c>
      <c r="S695">
        <v>0</v>
      </c>
      <c r="T695">
        <v>0</v>
      </c>
      <c r="U695">
        <v>0</v>
      </c>
      <c r="V695">
        <v>0</v>
      </c>
      <c r="W695">
        <v>8</v>
      </c>
      <c r="X695">
        <v>0</v>
      </c>
      <c r="Y695">
        <v>0</v>
      </c>
      <c r="Z695">
        <v>0</v>
      </c>
      <c r="AB695" s="5">
        <v>43438</v>
      </c>
      <c r="AC695" s="5">
        <v>43438</v>
      </c>
      <c r="AD695" s="5">
        <v>43970.333333333336</v>
      </c>
      <c r="AE695" s="5">
        <v>43970.333333333336</v>
      </c>
      <c r="AG695" s="5">
        <v>44044</v>
      </c>
      <c r="AH695" s="5">
        <v>44044</v>
      </c>
      <c r="AK695" s="5">
        <v>43467.333333333336</v>
      </c>
      <c r="AL695" s="5">
        <v>43467.666666666664</v>
      </c>
      <c r="AP695" t="s">
        <v>418</v>
      </c>
      <c r="AU695" t="s">
        <v>3753</v>
      </c>
      <c r="AV695" t="s">
        <v>3754</v>
      </c>
      <c r="AY695" t="s">
        <v>40</v>
      </c>
      <c r="AZ695">
        <v>0</v>
      </c>
      <c r="BA695">
        <v>0</v>
      </c>
      <c r="BI695" s="5">
        <v>44048.176388888889</v>
      </c>
      <c r="BJ695" s="5">
        <v>44048.176388888889</v>
      </c>
      <c r="BK695" t="s">
        <v>778</v>
      </c>
      <c r="BL695" t="s">
        <v>778</v>
      </c>
      <c r="BN695" t="s">
        <v>37</v>
      </c>
    </row>
    <row r="696" spans="1:66" x14ac:dyDescent="0.2">
      <c r="A696">
        <v>3693253</v>
      </c>
      <c r="B696">
        <v>21883</v>
      </c>
      <c r="C696">
        <v>523883</v>
      </c>
      <c r="D696">
        <v>52899</v>
      </c>
      <c r="E696">
        <v>100</v>
      </c>
      <c r="F696" t="s">
        <v>37</v>
      </c>
      <c r="G696">
        <v>1</v>
      </c>
      <c r="H696" t="s">
        <v>37</v>
      </c>
      <c r="I696" t="s">
        <v>37</v>
      </c>
      <c r="J696" t="s">
        <v>775</v>
      </c>
      <c r="K696" t="s">
        <v>230</v>
      </c>
      <c r="L696" t="s">
        <v>226</v>
      </c>
      <c r="M696" t="s">
        <v>422</v>
      </c>
      <c r="N696" t="s">
        <v>3755</v>
      </c>
      <c r="O696" t="s">
        <v>3756</v>
      </c>
      <c r="S696">
        <v>0</v>
      </c>
      <c r="T696">
        <v>0</v>
      </c>
      <c r="U696">
        <v>0</v>
      </c>
      <c r="V696">
        <v>0</v>
      </c>
      <c r="W696">
        <v>8</v>
      </c>
      <c r="X696">
        <v>0</v>
      </c>
      <c r="Y696">
        <v>0</v>
      </c>
      <c r="Z696">
        <v>0</v>
      </c>
      <c r="AB696" s="5">
        <v>43440</v>
      </c>
      <c r="AC696" s="5">
        <v>43440</v>
      </c>
      <c r="AD696" s="5">
        <v>43970.333333333336</v>
      </c>
      <c r="AE696" s="5">
        <v>43970.333333333336</v>
      </c>
      <c r="AG696" s="5">
        <v>44044</v>
      </c>
      <c r="AH696" s="5">
        <v>44044</v>
      </c>
      <c r="AK696" s="5">
        <v>43467.333333333336</v>
      </c>
      <c r="AL696" s="5">
        <v>43467.666666666664</v>
      </c>
      <c r="AP696" t="s">
        <v>418</v>
      </c>
      <c r="AU696" t="s">
        <v>3757</v>
      </c>
      <c r="AV696" t="s">
        <v>3758</v>
      </c>
      <c r="AY696" t="s">
        <v>40</v>
      </c>
      <c r="AZ696">
        <v>0</v>
      </c>
      <c r="BA696">
        <v>0</v>
      </c>
      <c r="BI696" s="5">
        <v>44048.176388888889</v>
      </c>
      <c r="BJ696" s="5">
        <v>44048.176388888889</v>
      </c>
      <c r="BK696" t="s">
        <v>778</v>
      </c>
      <c r="BL696" t="s">
        <v>778</v>
      </c>
      <c r="BN696" t="s">
        <v>37</v>
      </c>
    </row>
    <row r="697" spans="1:66" x14ac:dyDescent="0.2">
      <c r="A697">
        <v>3693254</v>
      </c>
      <c r="B697">
        <v>21883</v>
      </c>
      <c r="C697">
        <v>523885</v>
      </c>
      <c r="D697">
        <v>52899</v>
      </c>
      <c r="E697">
        <v>100</v>
      </c>
      <c r="F697" t="s">
        <v>37</v>
      </c>
      <c r="G697">
        <v>1</v>
      </c>
      <c r="H697" t="s">
        <v>37</v>
      </c>
      <c r="I697" t="s">
        <v>37</v>
      </c>
      <c r="J697" t="s">
        <v>775</v>
      </c>
      <c r="K697" t="s">
        <v>230</v>
      </c>
      <c r="L697" t="s">
        <v>226</v>
      </c>
      <c r="M697" t="s">
        <v>422</v>
      </c>
      <c r="N697" t="s">
        <v>3759</v>
      </c>
      <c r="O697" t="s">
        <v>3760</v>
      </c>
      <c r="S697">
        <v>0</v>
      </c>
      <c r="T697">
        <v>0</v>
      </c>
      <c r="U697">
        <v>0</v>
      </c>
      <c r="V697">
        <v>0</v>
      </c>
      <c r="W697">
        <v>8</v>
      </c>
      <c r="X697">
        <v>0</v>
      </c>
      <c r="Y697">
        <v>0</v>
      </c>
      <c r="Z697">
        <v>0</v>
      </c>
      <c r="AB697" s="5">
        <v>43447</v>
      </c>
      <c r="AC697" s="5">
        <v>43447</v>
      </c>
      <c r="AD697" s="5">
        <v>43970.333333333336</v>
      </c>
      <c r="AE697" s="5">
        <v>43970.333333333336</v>
      </c>
      <c r="AG697" s="5">
        <v>44044</v>
      </c>
      <c r="AH697" s="5">
        <v>44044</v>
      </c>
      <c r="AK697" s="5">
        <v>43467.333333333336</v>
      </c>
      <c r="AL697" s="5">
        <v>43467.666666666664</v>
      </c>
      <c r="AP697" t="s">
        <v>418</v>
      </c>
      <c r="AU697" t="s">
        <v>3761</v>
      </c>
      <c r="AV697" t="s">
        <v>3762</v>
      </c>
      <c r="AY697" t="s">
        <v>40</v>
      </c>
      <c r="AZ697">
        <v>0</v>
      </c>
      <c r="BA697">
        <v>0</v>
      </c>
      <c r="BI697" s="5">
        <v>44048.176388888889</v>
      </c>
      <c r="BJ697" s="5">
        <v>44048.176388888889</v>
      </c>
      <c r="BK697" t="s">
        <v>778</v>
      </c>
      <c r="BL697" t="s">
        <v>778</v>
      </c>
      <c r="BN697" t="s">
        <v>37</v>
      </c>
    </row>
    <row r="698" spans="1:66" x14ac:dyDescent="0.2">
      <c r="A698">
        <v>3693255</v>
      </c>
      <c r="B698">
        <v>21883</v>
      </c>
      <c r="C698">
        <v>523884</v>
      </c>
      <c r="D698">
        <v>52899</v>
      </c>
      <c r="E698">
        <v>100</v>
      </c>
      <c r="F698" t="s">
        <v>37</v>
      </c>
      <c r="G698">
        <v>1</v>
      </c>
      <c r="H698" t="s">
        <v>37</v>
      </c>
      <c r="I698" t="s">
        <v>37</v>
      </c>
      <c r="J698" t="s">
        <v>775</v>
      </c>
      <c r="K698" t="s">
        <v>230</v>
      </c>
      <c r="L698" t="s">
        <v>226</v>
      </c>
      <c r="M698" t="s">
        <v>422</v>
      </c>
      <c r="N698" t="s">
        <v>3763</v>
      </c>
      <c r="O698" t="s">
        <v>3764</v>
      </c>
      <c r="S698">
        <v>0</v>
      </c>
      <c r="T698">
        <v>0</v>
      </c>
      <c r="U698">
        <v>0</v>
      </c>
      <c r="V698">
        <v>0</v>
      </c>
      <c r="W698">
        <v>8</v>
      </c>
      <c r="X698">
        <v>0</v>
      </c>
      <c r="Y698">
        <v>0</v>
      </c>
      <c r="Z698">
        <v>0</v>
      </c>
      <c r="AB698" s="5">
        <v>43440</v>
      </c>
      <c r="AC698" s="5">
        <v>43440</v>
      </c>
      <c r="AD698" s="5">
        <v>43970.333333333336</v>
      </c>
      <c r="AE698" s="5">
        <v>43970.333333333336</v>
      </c>
      <c r="AG698" s="5">
        <v>44044</v>
      </c>
      <c r="AH698" s="5">
        <v>44044</v>
      </c>
      <c r="AK698" s="5">
        <v>43467.333333333336</v>
      </c>
      <c r="AL698" s="5">
        <v>43467.666666666664</v>
      </c>
      <c r="AP698" t="s">
        <v>418</v>
      </c>
      <c r="AU698" t="s">
        <v>3765</v>
      </c>
      <c r="AV698" t="s">
        <v>3766</v>
      </c>
      <c r="AY698" t="s">
        <v>40</v>
      </c>
      <c r="AZ698">
        <v>0</v>
      </c>
      <c r="BA698">
        <v>0</v>
      </c>
      <c r="BI698" s="5">
        <v>44048.176388888889</v>
      </c>
      <c r="BJ698" s="5">
        <v>44048.176388888889</v>
      </c>
      <c r="BK698" t="s">
        <v>778</v>
      </c>
      <c r="BL698" t="s">
        <v>778</v>
      </c>
      <c r="BN698" t="s">
        <v>37</v>
      </c>
    </row>
    <row r="699" spans="1:66" x14ac:dyDescent="0.2">
      <c r="A699">
        <v>3693256</v>
      </c>
      <c r="B699">
        <v>21883</v>
      </c>
      <c r="C699">
        <v>523894</v>
      </c>
      <c r="D699">
        <v>52899</v>
      </c>
      <c r="E699">
        <v>100</v>
      </c>
      <c r="F699" t="s">
        <v>37</v>
      </c>
      <c r="G699">
        <v>1</v>
      </c>
      <c r="H699" t="s">
        <v>37</v>
      </c>
      <c r="I699" t="s">
        <v>37</v>
      </c>
      <c r="J699" t="s">
        <v>775</v>
      </c>
      <c r="K699" t="s">
        <v>230</v>
      </c>
      <c r="L699" t="s">
        <v>226</v>
      </c>
      <c r="M699" t="s">
        <v>422</v>
      </c>
      <c r="N699" t="s">
        <v>3767</v>
      </c>
      <c r="O699" t="s">
        <v>3768</v>
      </c>
      <c r="S699">
        <v>0</v>
      </c>
      <c r="T699">
        <v>0</v>
      </c>
      <c r="U699">
        <v>0</v>
      </c>
      <c r="V699">
        <v>0</v>
      </c>
      <c r="W699">
        <v>8</v>
      </c>
      <c r="X699">
        <v>0</v>
      </c>
      <c r="Y699">
        <v>0</v>
      </c>
      <c r="Z699">
        <v>0</v>
      </c>
      <c r="AB699" s="5">
        <v>43371.333333333336</v>
      </c>
      <c r="AC699" s="5">
        <v>43371.666666666664</v>
      </c>
      <c r="AD699" s="5">
        <v>43970.333333333336</v>
      </c>
      <c r="AE699" s="5">
        <v>43970.333333333336</v>
      </c>
      <c r="AG699" s="5">
        <v>44044</v>
      </c>
      <c r="AH699" s="5">
        <v>44044</v>
      </c>
      <c r="AK699" s="5">
        <v>43362.333333333336</v>
      </c>
      <c r="AL699" s="5">
        <v>43362.666666666664</v>
      </c>
      <c r="AP699" t="s">
        <v>418</v>
      </c>
      <c r="AU699" t="s">
        <v>3769</v>
      </c>
      <c r="AV699" t="s">
        <v>3770</v>
      </c>
      <c r="AY699" t="s">
        <v>40</v>
      </c>
      <c r="AZ699">
        <v>0</v>
      </c>
      <c r="BA699">
        <v>0</v>
      </c>
      <c r="BI699" s="5">
        <v>44048.176388888889</v>
      </c>
      <c r="BJ699" s="5">
        <v>44048.176388888889</v>
      </c>
      <c r="BK699" t="s">
        <v>778</v>
      </c>
      <c r="BL699" t="s">
        <v>778</v>
      </c>
      <c r="BN699" t="s">
        <v>37</v>
      </c>
    </row>
    <row r="700" spans="1:66" x14ac:dyDescent="0.2">
      <c r="A700">
        <v>3693257</v>
      </c>
      <c r="B700">
        <v>21883</v>
      </c>
      <c r="C700">
        <v>523894</v>
      </c>
      <c r="D700">
        <v>52899</v>
      </c>
      <c r="E700">
        <v>100</v>
      </c>
      <c r="F700" t="s">
        <v>37</v>
      </c>
      <c r="G700">
        <v>1</v>
      </c>
      <c r="H700" t="s">
        <v>37</v>
      </c>
      <c r="I700" t="s">
        <v>37</v>
      </c>
      <c r="J700" t="s">
        <v>775</v>
      </c>
      <c r="K700" t="s">
        <v>230</v>
      </c>
      <c r="L700" t="s">
        <v>226</v>
      </c>
      <c r="M700" t="s">
        <v>422</v>
      </c>
      <c r="N700" t="s">
        <v>3771</v>
      </c>
      <c r="O700" t="s">
        <v>3772</v>
      </c>
      <c r="S700">
        <v>0</v>
      </c>
      <c r="T700">
        <v>0</v>
      </c>
      <c r="U700">
        <v>0</v>
      </c>
      <c r="V700">
        <v>0</v>
      </c>
      <c r="W700">
        <v>16</v>
      </c>
      <c r="X700">
        <v>0</v>
      </c>
      <c r="Y700">
        <v>0</v>
      </c>
      <c r="Z700">
        <v>0</v>
      </c>
      <c r="AB700" s="5">
        <v>43372.333333333336</v>
      </c>
      <c r="AC700" s="5">
        <v>43372.666666666664</v>
      </c>
      <c r="AD700" s="5">
        <v>43970.333333333336</v>
      </c>
      <c r="AE700" s="5">
        <v>43970.333333333336</v>
      </c>
      <c r="AG700" s="5">
        <v>44044</v>
      </c>
      <c r="AH700" s="5">
        <v>44044</v>
      </c>
      <c r="AK700" s="5">
        <v>43363.333333333336</v>
      </c>
      <c r="AL700" s="5">
        <v>43364.666666666664</v>
      </c>
      <c r="AP700" t="s">
        <v>418</v>
      </c>
      <c r="AU700" t="s">
        <v>3773</v>
      </c>
      <c r="AV700" t="s">
        <v>3774</v>
      </c>
      <c r="AY700" t="s">
        <v>40</v>
      </c>
      <c r="AZ700">
        <v>0</v>
      </c>
      <c r="BA700">
        <v>0</v>
      </c>
      <c r="BI700" s="5">
        <v>44048.176388888889</v>
      </c>
      <c r="BJ700" s="5">
        <v>44048.176388888889</v>
      </c>
      <c r="BK700" t="s">
        <v>778</v>
      </c>
      <c r="BL700" t="s">
        <v>778</v>
      </c>
      <c r="BN700" t="s">
        <v>37</v>
      </c>
    </row>
    <row r="701" spans="1:66" x14ac:dyDescent="0.2">
      <c r="A701">
        <v>3693258</v>
      </c>
      <c r="B701">
        <v>21883</v>
      </c>
      <c r="C701">
        <v>523878</v>
      </c>
      <c r="D701">
        <v>52899</v>
      </c>
      <c r="E701">
        <v>100</v>
      </c>
      <c r="F701" t="s">
        <v>37</v>
      </c>
      <c r="G701">
        <v>1</v>
      </c>
      <c r="H701" t="s">
        <v>37</v>
      </c>
      <c r="I701" t="s">
        <v>37</v>
      </c>
      <c r="J701" t="s">
        <v>775</v>
      </c>
      <c r="K701" t="s">
        <v>230</v>
      </c>
      <c r="L701" t="s">
        <v>226</v>
      </c>
      <c r="M701" t="s">
        <v>422</v>
      </c>
      <c r="N701" t="s">
        <v>3775</v>
      </c>
      <c r="O701" t="s">
        <v>3776</v>
      </c>
      <c r="S701">
        <v>0</v>
      </c>
      <c r="T701">
        <v>0</v>
      </c>
      <c r="U701">
        <v>0</v>
      </c>
      <c r="V701">
        <v>0</v>
      </c>
      <c r="W701">
        <v>8</v>
      </c>
      <c r="X701">
        <v>0</v>
      </c>
      <c r="Y701">
        <v>0</v>
      </c>
      <c r="Z701">
        <v>0</v>
      </c>
      <c r="AB701" s="5">
        <v>43412</v>
      </c>
      <c r="AC701" s="5">
        <v>43412</v>
      </c>
      <c r="AD701" s="5">
        <v>43970.333333333336</v>
      </c>
      <c r="AE701" s="5">
        <v>43970.333333333336</v>
      </c>
      <c r="AG701" s="5">
        <v>44044</v>
      </c>
      <c r="AH701" s="5">
        <v>44044</v>
      </c>
      <c r="AK701" s="5">
        <v>43437.333333333336</v>
      </c>
      <c r="AL701" s="5">
        <v>43437.666666666664</v>
      </c>
      <c r="AP701" t="s">
        <v>418</v>
      </c>
      <c r="AU701" t="s">
        <v>3777</v>
      </c>
      <c r="AV701" t="s">
        <v>3778</v>
      </c>
      <c r="AY701" t="s">
        <v>40</v>
      </c>
      <c r="AZ701">
        <v>0</v>
      </c>
      <c r="BA701">
        <v>0</v>
      </c>
      <c r="BI701" s="5">
        <v>44048.176388888889</v>
      </c>
      <c r="BJ701" s="5">
        <v>44048.176388888889</v>
      </c>
      <c r="BK701" t="s">
        <v>778</v>
      </c>
      <c r="BL701" t="s">
        <v>778</v>
      </c>
      <c r="BN701" t="s">
        <v>37</v>
      </c>
    </row>
    <row r="702" spans="1:66" x14ac:dyDescent="0.2">
      <c r="A702">
        <v>3693259</v>
      </c>
      <c r="B702">
        <v>21883</v>
      </c>
      <c r="C702">
        <v>523893</v>
      </c>
      <c r="D702">
        <v>52899</v>
      </c>
      <c r="E702">
        <v>100</v>
      </c>
      <c r="F702" t="s">
        <v>37</v>
      </c>
      <c r="G702">
        <v>1</v>
      </c>
      <c r="H702" t="s">
        <v>37</v>
      </c>
      <c r="I702" t="s">
        <v>37</v>
      </c>
      <c r="J702" t="s">
        <v>775</v>
      </c>
      <c r="K702" t="s">
        <v>230</v>
      </c>
      <c r="L702" t="s">
        <v>226</v>
      </c>
      <c r="M702" t="s">
        <v>422</v>
      </c>
      <c r="N702" t="s">
        <v>3779</v>
      </c>
      <c r="O702" t="s">
        <v>3780</v>
      </c>
      <c r="S702">
        <v>0</v>
      </c>
      <c r="T702">
        <v>8</v>
      </c>
      <c r="U702">
        <v>0</v>
      </c>
      <c r="V702">
        <v>8</v>
      </c>
      <c r="W702">
        <v>8</v>
      </c>
      <c r="X702">
        <v>0</v>
      </c>
      <c r="Y702">
        <v>0</v>
      </c>
      <c r="Z702">
        <v>0</v>
      </c>
      <c r="AB702" s="5">
        <v>43439</v>
      </c>
      <c r="AC702" s="5">
        <v>43441</v>
      </c>
      <c r="AD702" s="5">
        <v>43970.333333333336</v>
      </c>
      <c r="AE702" s="5">
        <v>43970.333333333336</v>
      </c>
      <c r="AG702" s="5">
        <v>44044</v>
      </c>
      <c r="AH702" s="5">
        <v>44044</v>
      </c>
      <c r="AK702" s="5">
        <v>43467.333333333336</v>
      </c>
      <c r="AL702" s="5">
        <v>43467.666666666664</v>
      </c>
      <c r="AP702" t="s">
        <v>418</v>
      </c>
      <c r="AU702" t="s">
        <v>3781</v>
      </c>
      <c r="AV702" t="s">
        <v>3782</v>
      </c>
      <c r="AY702" t="s">
        <v>40</v>
      </c>
      <c r="AZ702">
        <v>8</v>
      </c>
      <c r="BA702">
        <v>0</v>
      </c>
      <c r="BI702" s="5">
        <v>44048.176388888889</v>
      </c>
      <c r="BJ702" s="5">
        <v>44048.176388888889</v>
      </c>
      <c r="BK702" t="s">
        <v>778</v>
      </c>
      <c r="BL702" t="s">
        <v>778</v>
      </c>
      <c r="BN702" t="s">
        <v>37</v>
      </c>
    </row>
    <row r="703" spans="1:66" x14ac:dyDescent="0.2">
      <c r="A703">
        <v>3693260</v>
      </c>
      <c r="B703">
        <v>21883</v>
      </c>
      <c r="C703">
        <v>523893</v>
      </c>
      <c r="D703">
        <v>52899</v>
      </c>
      <c r="E703">
        <v>100</v>
      </c>
      <c r="F703" t="s">
        <v>37</v>
      </c>
      <c r="G703">
        <v>1</v>
      </c>
      <c r="H703" t="s">
        <v>37</v>
      </c>
      <c r="I703" t="s">
        <v>37</v>
      </c>
      <c r="J703" t="s">
        <v>775</v>
      </c>
      <c r="K703" t="s">
        <v>230</v>
      </c>
      <c r="L703" t="s">
        <v>226</v>
      </c>
      <c r="M703" t="s">
        <v>422</v>
      </c>
      <c r="N703" t="s">
        <v>3783</v>
      </c>
      <c r="O703" t="s">
        <v>3784</v>
      </c>
      <c r="S703">
        <v>0</v>
      </c>
      <c r="T703">
        <v>8</v>
      </c>
      <c r="U703">
        <v>0</v>
      </c>
      <c r="V703">
        <v>8</v>
      </c>
      <c r="W703">
        <v>16</v>
      </c>
      <c r="X703">
        <v>0</v>
      </c>
      <c r="Y703">
        <v>0</v>
      </c>
      <c r="Z703">
        <v>0</v>
      </c>
      <c r="AB703" s="5">
        <v>43441</v>
      </c>
      <c r="AC703" s="5">
        <v>43441</v>
      </c>
      <c r="AD703" s="5">
        <v>43970.333333333336</v>
      </c>
      <c r="AE703" s="5">
        <v>43970.333333333336</v>
      </c>
      <c r="AG703" s="5">
        <v>44044</v>
      </c>
      <c r="AH703" s="5">
        <v>44044</v>
      </c>
      <c r="AK703" s="5">
        <v>43467.333333333336</v>
      </c>
      <c r="AL703" s="5">
        <v>43468.666666666664</v>
      </c>
      <c r="AP703" t="s">
        <v>418</v>
      </c>
      <c r="AU703" t="s">
        <v>3785</v>
      </c>
      <c r="AV703" t="s">
        <v>3786</v>
      </c>
      <c r="AY703" t="s">
        <v>40</v>
      </c>
      <c r="AZ703">
        <v>8</v>
      </c>
      <c r="BA703">
        <v>0</v>
      </c>
      <c r="BI703" s="5">
        <v>44048.176388888889</v>
      </c>
      <c r="BJ703" s="5">
        <v>44048.176388888889</v>
      </c>
      <c r="BK703" t="s">
        <v>778</v>
      </c>
      <c r="BL703" t="s">
        <v>778</v>
      </c>
      <c r="BN703" t="s">
        <v>37</v>
      </c>
    </row>
    <row r="704" spans="1:66" x14ac:dyDescent="0.2">
      <c r="A704">
        <v>3693261</v>
      </c>
      <c r="B704">
        <v>21883</v>
      </c>
      <c r="C704">
        <v>523885</v>
      </c>
      <c r="D704">
        <v>52899</v>
      </c>
      <c r="E704">
        <v>100</v>
      </c>
      <c r="F704" t="s">
        <v>37</v>
      </c>
      <c r="G704">
        <v>1</v>
      </c>
      <c r="H704" t="s">
        <v>37</v>
      </c>
      <c r="I704" t="s">
        <v>37</v>
      </c>
      <c r="J704" t="s">
        <v>775</v>
      </c>
      <c r="K704" t="s">
        <v>230</v>
      </c>
      <c r="L704" t="s">
        <v>226</v>
      </c>
      <c r="M704" t="s">
        <v>422</v>
      </c>
      <c r="N704" t="s">
        <v>3787</v>
      </c>
      <c r="O704" t="s">
        <v>3788</v>
      </c>
      <c r="S704">
        <v>0</v>
      </c>
      <c r="T704">
        <v>0</v>
      </c>
      <c r="U704">
        <v>0</v>
      </c>
      <c r="V704">
        <v>0</v>
      </c>
      <c r="W704">
        <v>8</v>
      </c>
      <c r="X704">
        <v>0</v>
      </c>
      <c r="Y704">
        <v>0</v>
      </c>
      <c r="Z704">
        <v>0</v>
      </c>
      <c r="AB704" s="5">
        <v>43447</v>
      </c>
      <c r="AC704" s="5">
        <v>43447</v>
      </c>
      <c r="AD704" s="5">
        <v>43970.333333333336</v>
      </c>
      <c r="AE704" s="5">
        <v>43970.333333333336</v>
      </c>
      <c r="AG704" s="5">
        <v>44044</v>
      </c>
      <c r="AH704" s="5">
        <v>44044</v>
      </c>
      <c r="AK704" s="5">
        <v>43467.333333333336</v>
      </c>
      <c r="AL704" s="5">
        <v>43467.666666666664</v>
      </c>
      <c r="AP704" t="s">
        <v>418</v>
      </c>
      <c r="AU704" t="s">
        <v>3789</v>
      </c>
      <c r="AV704" t="s">
        <v>3790</v>
      </c>
      <c r="AY704" t="s">
        <v>40</v>
      </c>
      <c r="AZ704">
        <v>0</v>
      </c>
      <c r="BA704">
        <v>0</v>
      </c>
      <c r="BI704" s="5">
        <v>44048.176388888889</v>
      </c>
      <c r="BJ704" s="5">
        <v>44048.176388888889</v>
      </c>
      <c r="BK704" t="s">
        <v>778</v>
      </c>
      <c r="BL704" t="s">
        <v>778</v>
      </c>
      <c r="BN704" t="s">
        <v>37</v>
      </c>
    </row>
    <row r="705" spans="1:66" x14ac:dyDescent="0.2">
      <c r="A705">
        <v>3693262</v>
      </c>
      <c r="B705">
        <v>21883</v>
      </c>
      <c r="C705">
        <v>523984</v>
      </c>
      <c r="D705">
        <v>52895</v>
      </c>
      <c r="E705">
        <v>100</v>
      </c>
      <c r="F705" t="s">
        <v>37</v>
      </c>
      <c r="G705">
        <v>1</v>
      </c>
      <c r="H705" t="s">
        <v>37</v>
      </c>
      <c r="I705" t="s">
        <v>37</v>
      </c>
      <c r="J705" t="s">
        <v>775</v>
      </c>
      <c r="K705" t="s">
        <v>230</v>
      </c>
      <c r="L705" t="s">
        <v>226</v>
      </c>
      <c r="M705" t="s">
        <v>422</v>
      </c>
      <c r="N705" t="s">
        <v>3791</v>
      </c>
      <c r="O705" t="s">
        <v>3792</v>
      </c>
      <c r="S705">
        <v>0</v>
      </c>
      <c r="T705">
        <v>0</v>
      </c>
      <c r="U705">
        <v>0</v>
      </c>
      <c r="V705">
        <v>0</v>
      </c>
      <c r="W705">
        <v>240</v>
      </c>
      <c r="X705">
        <v>0</v>
      </c>
      <c r="Y705">
        <v>0</v>
      </c>
      <c r="Z705">
        <v>0</v>
      </c>
      <c r="AB705" s="5">
        <v>43262.333333333336</v>
      </c>
      <c r="AC705" s="5">
        <v>43313.666666666664</v>
      </c>
      <c r="AD705" s="5">
        <v>43970.333333333336</v>
      </c>
      <c r="AE705" s="5">
        <v>43970.333333333336</v>
      </c>
      <c r="AG705" s="5">
        <v>44044</v>
      </c>
      <c r="AH705" s="5">
        <v>44044</v>
      </c>
      <c r="AK705" s="5">
        <v>43282.333333333336</v>
      </c>
      <c r="AL705" s="5">
        <v>43311.666666666664</v>
      </c>
      <c r="AP705" t="s">
        <v>418</v>
      </c>
      <c r="AU705" t="s">
        <v>3793</v>
      </c>
      <c r="AV705" t="s">
        <v>3794</v>
      </c>
      <c r="AY705" t="s">
        <v>40</v>
      </c>
      <c r="AZ705">
        <v>0</v>
      </c>
      <c r="BA705">
        <v>0</v>
      </c>
      <c r="BI705" s="5">
        <v>44048.176388888889</v>
      </c>
      <c r="BJ705" s="5">
        <v>44048.176388888889</v>
      </c>
      <c r="BK705" t="s">
        <v>778</v>
      </c>
      <c r="BL705" t="s">
        <v>778</v>
      </c>
      <c r="BN705" t="s">
        <v>37</v>
      </c>
    </row>
    <row r="706" spans="1:66" x14ac:dyDescent="0.2">
      <c r="A706">
        <v>3693263</v>
      </c>
      <c r="B706">
        <v>21883</v>
      </c>
      <c r="C706">
        <v>523984</v>
      </c>
      <c r="D706">
        <v>52895</v>
      </c>
      <c r="E706">
        <v>100</v>
      </c>
      <c r="F706" t="s">
        <v>37</v>
      </c>
      <c r="G706">
        <v>1</v>
      </c>
      <c r="H706" t="s">
        <v>37</v>
      </c>
      <c r="I706" t="s">
        <v>37</v>
      </c>
      <c r="J706" t="s">
        <v>775</v>
      </c>
      <c r="K706" t="s">
        <v>230</v>
      </c>
      <c r="L706" t="s">
        <v>226</v>
      </c>
      <c r="M706" t="s">
        <v>422</v>
      </c>
      <c r="N706" t="s">
        <v>3795</v>
      </c>
      <c r="O706" t="s">
        <v>3796</v>
      </c>
      <c r="S706">
        <v>0</v>
      </c>
      <c r="T706">
        <v>0</v>
      </c>
      <c r="U706">
        <v>0</v>
      </c>
      <c r="V706">
        <v>0</v>
      </c>
      <c r="W706">
        <v>240</v>
      </c>
      <c r="X706">
        <v>0</v>
      </c>
      <c r="Y706">
        <v>0</v>
      </c>
      <c r="Z706">
        <v>0</v>
      </c>
      <c r="AB706" s="5">
        <v>43262.333333333336</v>
      </c>
      <c r="AC706" s="5">
        <v>43299.666666666664</v>
      </c>
      <c r="AD706" s="5">
        <v>43970.333333333336</v>
      </c>
      <c r="AE706" s="5">
        <v>43970.333333333336</v>
      </c>
      <c r="AG706" s="5">
        <v>44044</v>
      </c>
      <c r="AH706" s="5">
        <v>44044</v>
      </c>
      <c r="AK706" s="5">
        <v>43282.333333333336</v>
      </c>
      <c r="AL706" s="5">
        <v>43311.666666666664</v>
      </c>
      <c r="AP706" t="s">
        <v>418</v>
      </c>
      <c r="AU706" t="s">
        <v>3797</v>
      </c>
      <c r="AV706" t="s">
        <v>3798</v>
      </c>
      <c r="AY706" t="s">
        <v>40</v>
      </c>
      <c r="AZ706">
        <v>0</v>
      </c>
      <c r="BA706">
        <v>0</v>
      </c>
      <c r="BI706" s="5">
        <v>44048.176388888889</v>
      </c>
      <c r="BJ706" s="5">
        <v>44048.176388888889</v>
      </c>
      <c r="BK706" t="s">
        <v>778</v>
      </c>
      <c r="BL706" t="s">
        <v>778</v>
      </c>
      <c r="BN706" t="s">
        <v>37</v>
      </c>
    </row>
    <row r="707" spans="1:66" x14ac:dyDescent="0.2">
      <c r="A707">
        <v>3693264</v>
      </c>
      <c r="B707">
        <v>21883</v>
      </c>
      <c r="C707">
        <v>523984</v>
      </c>
      <c r="D707">
        <v>52895</v>
      </c>
      <c r="E707">
        <v>100</v>
      </c>
      <c r="F707" t="s">
        <v>37</v>
      </c>
      <c r="G707">
        <v>1</v>
      </c>
      <c r="H707" t="s">
        <v>37</v>
      </c>
      <c r="I707" t="s">
        <v>37</v>
      </c>
      <c r="J707" t="s">
        <v>775</v>
      </c>
      <c r="K707" t="s">
        <v>230</v>
      </c>
      <c r="L707" t="s">
        <v>226</v>
      </c>
      <c r="M707" t="s">
        <v>422</v>
      </c>
      <c r="N707" t="s">
        <v>3799</v>
      </c>
      <c r="O707" t="s">
        <v>3800</v>
      </c>
      <c r="S707">
        <v>0</v>
      </c>
      <c r="T707">
        <v>0</v>
      </c>
      <c r="U707">
        <v>0</v>
      </c>
      <c r="V707">
        <v>0</v>
      </c>
      <c r="W707">
        <v>240</v>
      </c>
      <c r="X707">
        <v>0</v>
      </c>
      <c r="Y707">
        <v>0</v>
      </c>
      <c r="Z707">
        <v>0</v>
      </c>
      <c r="AB707" s="5">
        <v>43241.333333333336</v>
      </c>
      <c r="AC707" s="5">
        <v>43287.666666666664</v>
      </c>
      <c r="AD707" s="5">
        <v>43970.333333333336</v>
      </c>
      <c r="AE707" s="5">
        <v>43970.333333333336</v>
      </c>
      <c r="AG707" s="5">
        <v>44044</v>
      </c>
      <c r="AH707" s="5">
        <v>44044</v>
      </c>
      <c r="AK707" s="5">
        <v>43221.333333333336</v>
      </c>
      <c r="AL707" s="5">
        <v>43250.666666666664</v>
      </c>
      <c r="AP707" t="s">
        <v>418</v>
      </c>
      <c r="AU707" t="s">
        <v>3801</v>
      </c>
      <c r="AV707" t="s">
        <v>3802</v>
      </c>
      <c r="AY707" t="s">
        <v>40</v>
      </c>
      <c r="AZ707">
        <v>0</v>
      </c>
      <c r="BA707">
        <v>0</v>
      </c>
      <c r="BI707" s="5">
        <v>44048.176388888889</v>
      </c>
      <c r="BJ707" s="5">
        <v>44048.176388888889</v>
      </c>
      <c r="BK707" t="s">
        <v>778</v>
      </c>
      <c r="BL707" t="s">
        <v>778</v>
      </c>
      <c r="BN707" t="s">
        <v>37</v>
      </c>
    </row>
    <row r="708" spans="1:66" x14ac:dyDescent="0.2">
      <c r="A708">
        <v>3693265</v>
      </c>
      <c r="B708">
        <v>21883</v>
      </c>
      <c r="C708">
        <v>523985</v>
      </c>
      <c r="D708">
        <v>52895</v>
      </c>
      <c r="E708">
        <v>100</v>
      </c>
      <c r="F708" t="s">
        <v>37</v>
      </c>
      <c r="G708">
        <v>1</v>
      </c>
      <c r="H708" t="s">
        <v>37</v>
      </c>
      <c r="I708" t="s">
        <v>37</v>
      </c>
      <c r="J708" t="s">
        <v>775</v>
      </c>
      <c r="K708" t="s">
        <v>230</v>
      </c>
      <c r="L708" t="s">
        <v>226</v>
      </c>
      <c r="M708" t="s">
        <v>422</v>
      </c>
      <c r="N708" t="s">
        <v>3803</v>
      </c>
      <c r="O708" t="s">
        <v>3804</v>
      </c>
      <c r="S708">
        <v>0</v>
      </c>
      <c r="T708">
        <v>0</v>
      </c>
      <c r="U708">
        <v>0</v>
      </c>
      <c r="V708">
        <v>0</v>
      </c>
      <c r="W708">
        <v>120</v>
      </c>
      <c r="X708">
        <v>0</v>
      </c>
      <c r="Y708">
        <v>0</v>
      </c>
      <c r="Z708">
        <v>0</v>
      </c>
      <c r="AB708" s="5">
        <v>43262</v>
      </c>
      <c r="AC708" s="5">
        <v>43262.666666666664</v>
      </c>
      <c r="AD708" s="5">
        <v>43970.333333333336</v>
      </c>
      <c r="AE708" s="5">
        <v>43970.333333333336</v>
      </c>
      <c r="AG708" s="5">
        <v>44044</v>
      </c>
      <c r="AH708" s="5">
        <v>44044</v>
      </c>
      <c r="AK708" s="5">
        <v>43282.333333333336</v>
      </c>
      <c r="AL708" s="5">
        <v>43296.666666666664</v>
      </c>
      <c r="AP708" t="s">
        <v>418</v>
      </c>
      <c r="AU708" t="s">
        <v>3805</v>
      </c>
      <c r="AV708" t="s">
        <v>3806</v>
      </c>
      <c r="AY708" t="s">
        <v>40</v>
      </c>
      <c r="AZ708">
        <v>0</v>
      </c>
      <c r="BA708">
        <v>0</v>
      </c>
      <c r="BI708" s="5">
        <v>44048.176388888889</v>
      </c>
      <c r="BJ708" s="5">
        <v>44048.176388888889</v>
      </c>
      <c r="BK708" t="s">
        <v>778</v>
      </c>
      <c r="BL708" t="s">
        <v>778</v>
      </c>
      <c r="BN708" t="s">
        <v>37</v>
      </c>
    </row>
    <row r="709" spans="1:66" x14ac:dyDescent="0.2">
      <c r="A709">
        <v>3693266</v>
      </c>
      <c r="B709">
        <v>21883</v>
      </c>
      <c r="C709">
        <v>523985</v>
      </c>
      <c r="D709">
        <v>52895</v>
      </c>
      <c r="E709">
        <v>100</v>
      </c>
      <c r="F709" t="s">
        <v>37</v>
      </c>
      <c r="G709">
        <v>1</v>
      </c>
      <c r="H709" t="s">
        <v>37</v>
      </c>
      <c r="I709" t="s">
        <v>37</v>
      </c>
      <c r="J709" t="s">
        <v>775</v>
      </c>
      <c r="K709" t="s">
        <v>230</v>
      </c>
      <c r="L709" t="s">
        <v>226</v>
      </c>
      <c r="M709" t="s">
        <v>422</v>
      </c>
      <c r="N709" t="s">
        <v>3807</v>
      </c>
      <c r="O709" t="s">
        <v>3808</v>
      </c>
      <c r="S709">
        <v>0</v>
      </c>
      <c r="T709">
        <v>0</v>
      </c>
      <c r="U709">
        <v>0</v>
      </c>
      <c r="V709">
        <v>0</v>
      </c>
      <c r="W709">
        <v>120</v>
      </c>
      <c r="X709">
        <v>0</v>
      </c>
      <c r="Y709">
        <v>0</v>
      </c>
      <c r="Z709">
        <v>0</v>
      </c>
      <c r="AB709" s="5">
        <v>43251</v>
      </c>
      <c r="AC709" s="5">
        <v>43251.666666666664</v>
      </c>
      <c r="AD709" s="5">
        <v>43970.333333333336</v>
      </c>
      <c r="AE709" s="5">
        <v>43970.333333333336</v>
      </c>
      <c r="AG709" s="5">
        <v>44044</v>
      </c>
      <c r="AH709" s="5">
        <v>44044</v>
      </c>
      <c r="AK709" s="5">
        <v>43282.333333333336</v>
      </c>
      <c r="AL709" s="5">
        <v>43296.666666666664</v>
      </c>
      <c r="AP709" t="s">
        <v>418</v>
      </c>
      <c r="AU709" t="s">
        <v>3809</v>
      </c>
      <c r="AV709" t="s">
        <v>3810</v>
      </c>
      <c r="AY709" t="s">
        <v>40</v>
      </c>
      <c r="AZ709">
        <v>0</v>
      </c>
      <c r="BA709">
        <v>0</v>
      </c>
      <c r="BI709" s="5">
        <v>44048.176388888889</v>
      </c>
      <c r="BJ709" s="5">
        <v>44048.176388888889</v>
      </c>
      <c r="BK709" t="s">
        <v>778</v>
      </c>
      <c r="BL709" t="s">
        <v>778</v>
      </c>
      <c r="BN709" t="s">
        <v>37</v>
      </c>
    </row>
    <row r="710" spans="1:66" x14ac:dyDescent="0.2">
      <c r="A710">
        <v>3693267</v>
      </c>
      <c r="B710">
        <v>21883</v>
      </c>
      <c r="C710">
        <v>523985</v>
      </c>
      <c r="D710">
        <v>52895</v>
      </c>
      <c r="E710">
        <v>100</v>
      </c>
      <c r="F710" t="s">
        <v>37</v>
      </c>
      <c r="G710">
        <v>1</v>
      </c>
      <c r="H710" t="s">
        <v>37</v>
      </c>
      <c r="I710" t="s">
        <v>37</v>
      </c>
      <c r="J710" t="s">
        <v>775</v>
      </c>
      <c r="K710" t="s">
        <v>230</v>
      </c>
      <c r="L710" t="s">
        <v>226</v>
      </c>
      <c r="M710" t="s">
        <v>422</v>
      </c>
      <c r="N710" t="s">
        <v>3811</v>
      </c>
      <c r="O710" t="s">
        <v>3812</v>
      </c>
      <c r="S710">
        <v>0</v>
      </c>
      <c r="T710">
        <v>0</v>
      </c>
      <c r="U710">
        <v>0</v>
      </c>
      <c r="V710">
        <v>0</v>
      </c>
      <c r="W710">
        <v>40</v>
      </c>
      <c r="X710">
        <v>0</v>
      </c>
      <c r="Y710">
        <v>0</v>
      </c>
      <c r="Z710">
        <v>0</v>
      </c>
      <c r="AB710" s="5">
        <v>43231.333333333336</v>
      </c>
      <c r="AC710" s="5">
        <v>43237.666666666664</v>
      </c>
      <c r="AD710" s="5">
        <v>43970.333333333336</v>
      </c>
      <c r="AE710" s="5">
        <v>43970.333333333336</v>
      </c>
      <c r="AG710" s="5">
        <v>44044</v>
      </c>
      <c r="AH710" s="5">
        <v>44044</v>
      </c>
      <c r="AK710" s="5">
        <v>43237.333333333336</v>
      </c>
      <c r="AL710" s="5">
        <v>43241.666666666664</v>
      </c>
      <c r="AP710" t="s">
        <v>418</v>
      </c>
      <c r="AU710" t="s">
        <v>3813</v>
      </c>
      <c r="AV710" t="s">
        <v>3814</v>
      </c>
      <c r="AY710" t="s">
        <v>40</v>
      </c>
      <c r="AZ710">
        <v>0</v>
      </c>
      <c r="BA710">
        <v>0</v>
      </c>
      <c r="BI710" s="5">
        <v>44048.176388888889</v>
      </c>
      <c r="BJ710" s="5">
        <v>44048.176388888889</v>
      </c>
      <c r="BK710" t="s">
        <v>778</v>
      </c>
      <c r="BL710" t="s">
        <v>778</v>
      </c>
      <c r="BN710" t="s">
        <v>37</v>
      </c>
    </row>
    <row r="711" spans="1:66" x14ac:dyDescent="0.2">
      <c r="A711">
        <v>3693268</v>
      </c>
      <c r="B711">
        <v>21883</v>
      </c>
      <c r="C711">
        <v>523985</v>
      </c>
      <c r="D711">
        <v>52895</v>
      </c>
      <c r="E711">
        <v>100</v>
      </c>
      <c r="F711" t="s">
        <v>37</v>
      </c>
      <c r="G711">
        <v>1</v>
      </c>
      <c r="H711" t="s">
        <v>37</v>
      </c>
      <c r="I711" t="s">
        <v>37</v>
      </c>
      <c r="J711" t="s">
        <v>775</v>
      </c>
      <c r="K711" t="s">
        <v>230</v>
      </c>
      <c r="L711" t="s">
        <v>226</v>
      </c>
      <c r="M711" t="s">
        <v>422</v>
      </c>
      <c r="N711" t="s">
        <v>3815</v>
      </c>
      <c r="O711" t="s">
        <v>3816</v>
      </c>
      <c r="S711">
        <v>0</v>
      </c>
      <c r="T711">
        <v>0</v>
      </c>
      <c r="U711">
        <v>0</v>
      </c>
      <c r="V711">
        <v>0</v>
      </c>
      <c r="W711">
        <v>240</v>
      </c>
      <c r="X711">
        <v>0</v>
      </c>
      <c r="Y711">
        <v>0</v>
      </c>
      <c r="Z711">
        <v>0</v>
      </c>
      <c r="AB711" s="5">
        <v>43307</v>
      </c>
      <c r="AC711" s="5">
        <v>43307.666666666664</v>
      </c>
      <c r="AD711" s="5">
        <v>43970.333333333336</v>
      </c>
      <c r="AE711" s="5">
        <v>43970.333333333336</v>
      </c>
      <c r="AG711" s="5">
        <v>44044</v>
      </c>
      <c r="AH711" s="5">
        <v>44044</v>
      </c>
      <c r="AK711" s="5">
        <v>43287.333333333336</v>
      </c>
      <c r="AL711" s="5">
        <v>43316.666666666664</v>
      </c>
      <c r="AP711" t="s">
        <v>418</v>
      </c>
      <c r="AU711" t="s">
        <v>3817</v>
      </c>
      <c r="AV711" t="s">
        <v>3818</v>
      </c>
      <c r="AY711" t="s">
        <v>40</v>
      </c>
      <c r="AZ711">
        <v>0</v>
      </c>
      <c r="BA711">
        <v>0</v>
      </c>
      <c r="BI711" s="5">
        <v>44048.176388888889</v>
      </c>
      <c r="BJ711" s="5">
        <v>44048.176388888889</v>
      </c>
      <c r="BK711" t="s">
        <v>778</v>
      </c>
      <c r="BL711" t="s">
        <v>778</v>
      </c>
      <c r="BN711" t="s">
        <v>37</v>
      </c>
    </row>
    <row r="712" spans="1:66" x14ac:dyDescent="0.2">
      <c r="A712">
        <v>3693269</v>
      </c>
      <c r="B712">
        <v>21883</v>
      </c>
      <c r="C712">
        <v>523999</v>
      </c>
      <c r="D712">
        <v>52895</v>
      </c>
      <c r="E712">
        <v>100</v>
      </c>
      <c r="F712" t="s">
        <v>37</v>
      </c>
      <c r="G712">
        <v>1</v>
      </c>
      <c r="H712" t="s">
        <v>37</v>
      </c>
      <c r="I712" t="s">
        <v>37</v>
      </c>
      <c r="J712" t="s">
        <v>775</v>
      </c>
      <c r="K712" t="s">
        <v>230</v>
      </c>
      <c r="L712" t="s">
        <v>226</v>
      </c>
      <c r="M712" t="s">
        <v>422</v>
      </c>
      <c r="N712" t="s">
        <v>3819</v>
      </c>
      <c r="O712" t="s">
        <v>3820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B712" s="5">
        <v>43313.333333333336</v>
      </c>
      <c r="AC712" s="5">
        <v>43342.666666666664</v>
      </c>
      <c r="AD712" s="5">
        <v>44306.666666666664</v>
      </c>
      <c r="AE712" s="5">
        <v>44306.666666666664</v>
      </c>
      <c r="AG712" s="5">
        <v>44044</v>
      </c>
      <c r="AH712" s="5">
        <v>44044</v>
      </c>
      <c r="AK712" s="5">
        <v>43313.333333333336</v>
      </c>
      <c r="AL712" s="5">
        <v>43313.333333333336</v>
      </c>
      <c r="AP712" t="s">
        <v>418</v>
      </c>
      <c r="AU712" t="s">
        <v>3821</v>
      </c>
      <c r="AV712" t="s">
        <v>3822</v>
      </c>
      <c r="AY712" t="s">
        <v>37</v>
      </c>
      <c r="AZ712">
        <v>0</v>
      </c>
      <c r="BA712">
        <v>0</v>
      </c>
      <c r="BI712" s="5">
        <v>44048.176388888889</v>
      </c>
      <c r="BJ712" s="5">
        <v>44048.176388888889</v>
      </c>
      <c r="BK712" t="s">
        <v>778</v>
      </c>
      <c r="BL712" t="s">
        <v>778</v>
      </c>
      <c r="BN712" t="s">
        <v>37</v>
      </c>
    </row>
    <row r="713" spans="1:66" x14ac:dyDescent="0.2">
      <c r="A713">
        <v>3693270</v>
      </c>
      <c r="B713">
        <v>21883</v>
      </c>
      <c r="C713">
        <v>523985</v>
      </c>
      <c r="D713">
        <v>52895</v>
      </c>
      <c r="E713">
        <v>100</v>
      </c>
      <c r="F713" t="s">
        <v>37</v>
      </c>
      <c r="G713">
        <v>1</v>
      </c>
      <c r="H713" t="s">
        <v>37</v>
      </c>
      <c r="I713" t="s">
        <v>37</v>
      </c>
      <c r="J713" t="s">
        <v>775</v>
      </c>
      <c r="K713" t="s">
        <v>230</v>
      </c>
      <c r="L713" t="s">
        <v>226</v>
      </c>
      <c r="M713" t="s">
        <v>422</v>
      </c>
      <c r="N713" t="s">
        <v>3823</v>
      </c>
      <c r="O713" t="s">
        <v>3824</v>
      </c>
      <c r="S713">
        <v>0</v>
      </c>
      <c r="T713">
        <v>0</v>
      </c>
      <c r="U713">
        <v>0</v>
      </c>
      <c r="V713">
        <v>0</v>
      </c>
      <c r="W713">
        <v>240</v>
      </c>
      <c r="X713">
        <v>0</v>
      </c>
      <c r="Y713">
        <v>0</v>
      </c>
      <c r="Z713">
        <v>0</v>
      </c>
      <c r="AB713" s="5">
        <v>43326.333333333336</v>
      </c>
      <c r="AC713" s="5">
        <v>43335.666666666664</v>
      </c>
      <c r="AD713" s="5">
        <v>43970.333333333336</v>
      </c>
      <c r="AE713" s="5">
        <v>43970.333333333336</v>
      </c>
      <c r="AG713" s="5">
        <v>44044</v>
      </c>
      <c r="AH713" s="5">
        <v>44044</v>
      </c>
      <c r="AK713" s="5">
        <v>43313.333333333336</v>
      </c>
      <c r="AL713" s="5">
        <v>43342.666666666664</v>
      </c>
      <c r="AP713" t="s">
        <v>418</v>
      </c>
      <c r="AU713" t="s">
        <v>3825</v>
      </c>
      <c r="AV713" t="s">
        <v>3826</v>
      </c>
      <c r="AY713" t="s">
        <v>40</v>
      </c>
      <c r="AZ713">
        <v>0</v>
      </c>
      <c r="BA713">
        <v>0</v>
      </c>
      <c r="BI713" s="5">
        <v>44048.176388888889</v>
      </c>
      <c r="BJ713" s="5">
        <v>44048.176388888889</v>
      </c>
      <c r="BK713" t="s">
        <v>778</v>
      </c>
      <c r="BL713" t="s">
        <v>778</v>
      </c>
      <c r="BN713" t="s">
        <v>37</v>
      </c>
    </row>
    <row r="714" spans="1:66" x14ac:dyDescent="0.2">
      <c r="A714">
        <v>3693271</v>
      </c>
      <c r="B714">
        <v>21883</v>
      </c>
      <c r="C714">
        <v>523985</v>
      </c>
      <c r="D714">
        <v>52895</v>
      </c>
      <c r="E714">
        <v>100</v>
      </c>
      <c r="F714" t="s">
        <v>37</v>
      </c>
      <c r="G714">
        <v>1</v>
      </c>
      <c r="H714" t="s">
        <v>37</v>
      </c>
      <c r="I714" t="s">
        <v>37</v>
      </c>
      <c r="J714" t="s">
        <v>775</v>
      </c>
      <c r="K714" t="s">
        <v>230</v>
      </c>
      <c r="L714" t="s">
        <v>226</v>
      </c>
      <c r="M714" t="s">
        <v>422</v>
      </c>
      <c r="N714" t="s">
        <v>3827</v>
      </c>
      <c r="O714" t="s">
        <v>3828</v>
      </c>
      <c r="S714">
        <v>0</v>
      </c>
      <c r="T714">
        <v>0</v>
      </c>
      <c r="U714">
        <v>0</v>
      </c>
      <c r="V714">
        <v>0</v>
      </c>
      <c r="W714">
        <v>240</v>
      </c>
      <c r="X714">
        <v>0</v>
      </c>
      <c r="Y714">
        <v>0</v>
      </c>
      <c r="Z714">
        <v>0</v>
      </c>
      <c r="AB714" s="5">
        <v>43319</v>
      </c>
      <c r="AC714" s="5">
        <v>43319.666666666664</v>
      </c>
      <c r="AD714" s="5">
        <v>43970.333333333336</v>
      </c>
      <c r="AE714" s="5">
        <v>43970.333333333336</v>
      </c>
      <c r="AG714" s="5">
        <v>44044</v>
      </c>
      <c r="AH714" s="5">
        <v>44044</v>
      </c>
      <c r="AK714" s="5">
        <v>43344.333333333336</v>
      </c>
      <c r="AL714" s="5">
        <v>43373.666666666664</v>
      </c>
      <c r="AP714" t="s">
        <v>418</v>
      </c>
      <c r="AU714" t="s">
        <v>3829</v>
      </c>
      <c r="AV714" t="s">
        <v>3830</v>
      </c>
      <c r="AY714" t="s">
        <v>40</v>
      </c>
      <c r="AZ714">
        <v>0</v>
      </c>
      <c r="BA714">
        <v>0</v>
      </c>
      <c r="BI714" s="5">
        <v>44048.176388888889</v>
      </c>
      <c r="BJ714" s="5">
        <v>44048.176388888889</v>
      </c>
      <c r="BK714" t="s">
        <v>778</v>
      </c>
      <c r="BL714" t="s">
        <v>778</v>
      </c>
      <c r="BN714" t="s">
        <v>37</v>
      </c>
    </row>
    <row r="715" spans="1:66" x14ac:dyDescent="0.2">
      <c r="A715">
        <v>3693272</v>
      </c>
      <c r="B715">
        <v>21883</v>
      </c>
      <c r="C715">
        <v>523985</v>
      </c>
      <c r="D715">
        <v>52895</v>
      </c>
      <c r="E715">
        <v>100</v>
      </c>
      <c r="F715" t="s">
        <v>37</v>
      </c>
      <c r="G715">
        <v>1</v>
      </c>
      <c r="H715" t="s">
        <v>37</v>
      </c>
      <c r="I715" t="s">
        <v>37</v>
      </c>
      <c r="J715" t="s">
        <v>775</v>
      </c>
      <c r="K715" t="s">
        <v>230</v>
      </c>
      <c r="L715" t="s">
        <v>226</v>
      </c>
      <c r="M715" t="s">
        <v>422</v>
      </c>
      <c r="N715" t="s">
        <v>3831</v>
      </c>
      <c r="O715" t="s">
        <v>3832</v>
      </c>
      <c r="S715">
        <v>0</v>
      </c>
      <c r="T715">
        <v>0</v>
      </c>
      <c r="U715">
        <v>0</v>
      </c>
      <c r="V715">
        <v>0</v>
      </c>
      <c r="W715">
        <v>120</v>
      </c>
      <c r="X715">
        <v>0</v>
      </c>
      <c r="Y715">
        <v>0</v>
      </c>
      <c r="Z715">
        <v>0</v>
      </c>
      <c r="AB715" s="5">
        <v>43297</v>
      </c>
      <c r="AC715" s="5">
        <v>43297.666666666664</v>
      </c>
      <c r="AD715" s="5">
        <v>43970.333333333336</v>
      </c>
      <c r="AE715" s="5">
        <v>43970.333333333336</v>
      </c>
      <c r="AG715" s="5">
        <v>44044</v>
      </c>
      <c r="AH715" s="5">
        <v>44044</v>
      </c>
      <c r="AK715" s="5">
        <v>43344.333333333336</v>
      </c>
      <c r="AL715" s="5">
        <v>43358.666666666664</v>
      </c>
      <c r="AP715" t="s">
        <v>418</v>
      </c>
      <c r="AU715" t="s">
        <v>3833</v>
      </c>
      <c r="AV715" t="s">
        <v>3834</v>
      </c>
      <c r="AY715" t="s">
        <v>40</v>
      </c>
      <c r="AZ715">
        <v>0</v>
      </c>
      <c r="BA715">
        <v>0</v>
      </c>
      <c r="BI715" s="5">
        <v>44048.176388888889</v>
      </c>
      <c r="BJ715" s="5">
        <v>44048.176388888889</v>
      </c>
      <c r="BK715" t="s">
        <v>778</v>
      </c>
      <c r="BL715" t="s">
        <v>778</v>
      </c>
      <c r="BN715" t="s">
        <v>37</v>
      </c>
    </row>
    <row r="716" spans="1:66" x14ac:dyDescent="0.2">
      <c r="A716">
        <v>3693273</v>
      </c>
      <c r="B716">
        <v>21883</v>
      </c>
      <c r="C716">
        <v>523985</v>
      </c>
      <c r="D716">
        <v>52895</v>
      </c>
      <c r="E716">
        <v>100</v>
      </c>
      <c r="F716" t="s">
        <v>37</v>
      </c>
      <c r="G716">
        <v>1</v>
      </c>
      <c r="H716" t="s">
        <v>37</v>
      </c>
      <c r="I716" t="s">
        <v>37</v>
      </c>
      <c r="J716" t="s">
        <v>775</v>
      </c>
      <c r="K716" t="s">
        <v>230</v>
      </c>
      <c r="L716" t="s">
        <v>226</v>
      </c>
      <c r="M716" t="s">
        <v>422</v>
      </c>
      <c r="N716" t="s">
        <v>3835</v>
      </c>
      <c r="O716" t="s">
        <v>3836</v>
      </c>
      <c r="S716">
        <v>0</v>
      </c>
      <c r="T716">
        <v>0</v>
      </c>
      <c r="U716">
        <v>0</v>
      </c>
      <c r="V716">
        <v>0</v>
      </c>
      <c r="W716">
        <v>120</v>
      </c>
      <c r="X716">
        <v>0</v>
      </c>
      <c r="Y716">
        <v>0</v>
      </c>
      <c r="Z716">
        <v>0</v>
      </c>
      <c r="AB716" s="5">
        <v>43262.333333333336</v>
      </c>
      <c r="AC716" s="5">
        <v>43286.666666666664</v>
      </c>
      <c r="AD716" s="5">
        <v>43970.333333333336</v>
      </c>
      <c r="AE716" s="5">
        <v>43970.333333333336</v>
      </c>
      <c r="AG716" s="5">
        <v>44044</v>
      </c>
      <c r="AH716" s="5">
        <v>44044</v>
      </c>
      <c r="AK716" s="5">
        <v>43297.333333333336</v>
      </c>
      <c r="AL716" s="5">
        <v>43311.666666666664</v>
      </c>
      <c r="AP716" t="s">
        <v>418</v>
      </c>
      <c r="AU716" t="s">
        <v>3837</v>
      </c>
      <c r="AV716" t="s">
        <v>3838</v>
      </c>
      <c r="AY716" t="s">
        <v>40</v>
      </c>
      <c r="AZ716">
        <v>0</v>
      </c>
      <c r="BA716">
        <v>0</v>
      </c>
      <c r="BI716" s="5">
        <v>44048.176388888889</v>
      </c>
      <c r="BJ716" s="5">
        <v>44048.176388888889</v>
      </c>
      <c r="BK716" t="s">
        <v>778</v>
      </c>
      <c r="BL716" t="s">
        <v>778</v>
      </c>
      <c r="BN716" t="s">
        <v>37</v>
      </c>
    </row>
    <row r="717" spans="1:66" x14ac:dyDescent="0.2">
      <c r="A717">
        <v>3693274</v>
      </c>
      <c r="B717">
        <v>21883</v>
      </c>
      <c r="C717">
        <v>523985</v>
      </c>
      <c r="D717">
        <v>52895</v>
      </c>
      <c r="E717">
        <v>100</v>
      </c>
      <c r="F717" t="s">
        <v>37</v>
      </c>
      <c r="G717">
        <v>1</v>
      </c>
      <c r="H717" t="s">
        <v>37</v>
      </c>
      <c r="I717" t="s">
        <v>37</v>
      </c>
      <c r="J717" t="s">
        <v>775</v>
      </c>
      <c r="K717" t="s">
        <v>230</v>
      </c>
      <c r="L717" t="s">
        <v>226</v>
      </c>
      <c r="M717" t="s">
        <v>422</v>
      </c>
      <c r="N717" t="s">
        <v>3839</v>
      </c>
      <c r="O717" t="s">
        <v>3840</v>
      </c>
      <c r="S717">
        <v>0</v>
      </c>
      <c r="T717">
        <v>0</v>
      </c>
      <c r="U717">
        <v>0</v>
      </c>
      <c r="V717">
        <v>0</v>
      </c>
      <c r="W717">
        <v>240</v>
      </c>
      <c r="X717">
        <v>0</v>
      </c>
      <c r="Y717">
        <v>0</v>
      </c>
      <c r="Z717">
        <v>0</v>
      </c>
      <c r="AB717" s="5">
        <v>43251.333333333336</v>
      </c>
      <c r="AC717" s="5">
        <v>43286.666666666664</v>
      </c>
      <c r="AD717" s="5">
        <v>43970.333333333336</v>
      </c>
      <c r="AE717" s="5">
        <v>43970.333333333336</v>
      </c>
      <c r="AG717" s="5">
        <v>44044</v>
      </c>
      <c r="AH717" s="5">
        <v>44044</v>
      </c>
      <c r="AK717" s="5">
        <v>43297.333333333336</v>
      </c>
      <c r="AL717" s="5">
        <v>43326.666666666664</v>
      </c>
      <c r="AP717" t="s">
        <v>418</v>
      </c>
      <c r="AU717" t="s">
        <v>3841</v>
      </c>
      <c r="AV717" t="s">
        <v>3842</v>
      </c>
      <c r="AY717" t="s">
        <v>40</v>
      </c>
      <c r="AZ717">
        <v>0</v>
      </c>
      <c r="BA717">
        <v>0</v>
      </c>
      <c r="BI717" s="5">
        <v>44048.176388888889</v>
      </c>
      <c r="BJ717" s="5">
        <v>44048.176388888889</v>
      </c>
      <c r="BK717" t="s">
        <v>778</v>
      </c>
      <c r="BL717" t="s">
        <v>778</v>
      </c>
      <c r="BN717" t="s">
        <v>37</v>
      </c>
    </row>
    <row r="718" spans="1:66" x14ac:dyDescent="0.2">
      <c r="A718">
        <v>3693275</v>
      </c>
      <c r="B718">
        <v>21883</v>
      </c>
      <c r="C718">
        <v>523985</v>
      </c>
      <c r="D718">
        <v>52895</v>
      </c>
      <c r="E718">
        <v>100</v>
      </c>
      <c r="F718" t="s">
        <v>37</v>
      </c>
      <c r="G718">
        <v>1</v>
      </c>
      <c r="H718" t="s">
        <v>37</v>
      </c>
      <c r="I718" t="s">
        <v>37</v>
      </c>
      <c r="J718" t="s">
        <v>775</v>
      </c>
      <c r="K718" t="s">
        <v>230</v>
      </c>
      <c r="L718" t="s">
        <v>226</v>
      </c>
      <c r="M718" t="s">
        <v>422</v>
      </c>
      <c r="N718" t="s">
        <v>3843</v>
      </c>
      <c r="O718" t="s">
        <v>3844</v>
      </c>
      <c r="S718">
        <v>0</v>
      </c>
      <c r="T718">
        <v>0</v>
      </c>
      <c r="U718">
        <v>0</v>
      </c>
      <c r="V718">
        <v>0</v>
      </c>
      <c r="W718">
        <v>120</v>
      </c>
      <c r="X718">
        <v>0</v>
      </c>
      <c r="Y718">
        <v>0</v>
      </c>
      <c r="Z718">
        <v>0</v>
      </c>
      <c r="AB718" s="5">
        <v>43237.333333333336</v>
      </c>
      <c r="AC718" s="5">
        <v>43250.666666666664</v>
      </c>
      <c r="AD718" s="5">
        <v>43970.333333333336</v>
      </c>
      <c r="AE718" s="5">
        <v>43970.333333333336</v>
      </c>
      <c r="AG718" s="5">
        <v>44044</v>
      </c>
      <c r="AH718" s="5">
        <v>44044</v>
      </c>
      <c r="AK718" s="5">
        <v>43242.333333333336</v>
      </c>
      <c r="AL718" s="5">
        <v>43256.666666666664</v>
      </c>
      <c r="AP718" t="s">
        <v>418</v>
      </c>
      <c r="AU718" t="s">
        <v>3845</v>
      </c>
      <c r="AV718" t="s">
        <v>3846</v>
      </c>
      <c r="AY718" t="s">
        <v>40</v>
      </c>
      <c r="AZ718">
        <v>0</v>
      </c>
      <c r="BA718">
        <v>0</v>
      </c>
      <c r="BI718" s="5">
        <v>44048.176388888889</v>
      </c>
      <c r="BJ718" s="5">
        <v>44048.176388888889</v>
      </c>
      <c r="BK718" t="s">
        <v>778</v>
      </c>
      <c r="BL718" t="s">
        <v>778</v>
      </c>
      <c r="BN718" t="s">
        <v>37</v>
      </c>
    </row>
    <row r="719" spans="1:66" x14ac:dyDescent="0.2">
      <c r="A719">
        <v>3693276</v>
      </c>
      <c r="B719">
        <v>21883</v>
      </c>
      <c r="C719">
        <v>523985</v>
      </c>
      <c r="D719">
        <v>52895</v>
      </c>
      <c r="E719">
        <v>100</v>
      </c>
      <c r="F719" t="s">
        <v>37</v>
      </c>
      <c r="G719">
        <v>1</v>
      </c>
      <c r="H719" t="s">
        <v>37</v>
      </c>
      <c r="I719" t="s">
        <v>37</v>
      </c>
      <c r="J719" t="s">
        <v>775</v>
      </c>
      <c r="K719" t="s">
        <v>230</v>
      </c>
      <c r="L719" t="s">
        <v>226</v>
      </c>
      <c r="M719" t="s">
        <v>422</v>
      </c>
      <c r="N719" t="s">
        <v>3847</v>
      </c>
      <c r="O719" t="s">
        <v>3848</v>
      </c>
      <c r="S719">
        <v>0</v>
      </c>
      <c r="T719">
        <v>0</v>
      </c>
      <c r="U719">
        <v>0</v>
      </c>
      <c r="V719">
        <v>0</v>
      </c>
      <c r="W719">
        <v>120</v>
      </c>
      <c r="X719">
        <v>0</v>
      </c>
      <c r="Y719">
        <v>0</v>
      </c>
      <c r="Z719">
        <v>0</v>
      </c>
      <c r="AB719" s="5">
        <v>43307.333333333336</v>
      </c>
      <c r="AC719" s="5">
        <v>43342.666666666664</v>
      </c>
      <c r="AD719" s="5">
        <v>43970.333333333336</v>
      </c>
      <c r="AE719" s="5">
        <v>43970.333333333336</v>
      </c>
      <c r="AG719" s="5">
        <v>44044</v>
      </c>
      <c r="AH719" s="5">
        <v>44044</v>
      </c>
      <c r="AK719" s="5">
        <v>43348.333333333336</v>
      </c>
      <c r="AL719" s="5">
        <v>43362.666666666664</v>
      </c>
      <c r="AP719" t="s">
        <v>418</v>
      </c>
      <c r="AU719" t="s">
        <v>3849</v>
      </c>
      <c r="AV719" t="s">
        <v>3850</v>
      </c>
      <c r="AY719" t="s">
        <v>40</v>
      </c>
      <c r="AZ719">
        <v>0</v>
      </c>
      <c r="BA719">
        <v>0</v>
      </c>
      <c r="BI719" s="5">
        <v>44048.176388888889</v>
      </c>
      <c r="BJ719" s="5">
        <v>44048.176388888889</v>
      </c>
      <c r="BK719" t="s">
        <v>778</v>
      </c>
      <c r="BL719" t="s">
        <v>778</v>
      </c>
      <c r="BN719" t="s">
        <v>37</v>
      </c>
    </row>
    <row r="720" spans="1:66" x14ac:dyDescent="0.2">
      <c r="A720">
        <v>3693277</v>
      </c>
      <c r="B720">
        <v>21883</v>
      </c>
      <c r="C720">
        <v>523999</v>
      </c>
      <c r="D720">
        <v>52895</v>
      </c>
      <c r="E720">
        <v>100</v>
      </c>
      <c r="F720" t="s">
        <v>37</v>
      </c>
      <c r="G720">
        <v>1</v>
      </c>
      <c r="H720" t="s">
        <v>37</v>
      </c>
      <c r="I720" t="s">
        <v>37</v>
      </c>
      <c r="J720" t="s">
        <v>775</v>
      </c>
      <c r="K720" t="s">
        <v>230</v>
      </c>
      <c r="L720" t="s">
        <v>226</v>
      </c>
      <c r="M720" t="s">
        <v>422</v>
      </c>
      <c r="N720" t="s">
        <v>3851</v>
      </c>
      <c r="O720" t="s">
        <v>3852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B720" s="5">
        <v>43313</v>
      </c>
      <c r="AC720" s="5">
        <v>43313.666666666664</v>
      </c>
      <c r="AD720" s="5">
        <v>44306.666666666664</v>
      </c>
      <c r="AE720" s="5">
        <v>44306.666666666664</v>
      </c>
      <c r="AG720" s="5">
        <v>44044</v>
      </c>
      <c r="AH720" s="5">
        <v>44044</v>
      </c>
      <c r="AK720" s="5">
        <v>43343.333333333336</v>
      </c>
      <c r="AL720" s="5">
        <v>43343.333333333336</v>
      </c>
      <c r="AP720" t="s">
        <v>418</v>
      </c>
      <c r="AU720" t="s">
        <v>3853</v>
      </c>
      <c r="AV720" t="s">
        <v>3854</v>
      </c>
      <c r="AY720" t="s">
        <v>37</v>
      </c>
      <c r="AZ720">
        <v>0</v>
      </c>
      <c r="BA720">
        <v>0</v>
      </c>
      <c r="BI720" s="5">
        <v>44048.176388888889</v>
      </c>
      <c r="BJ720" s="5">
        <v>44048.176388888889</v>
      </c>
      <c r="BK720" t="s">
        <v>778</v>
      </c>
      <c r="BL720" t="s">
        <v>778</v>
      </c>
      <c r="BN720" t="s">
        <v>37</v>
      </c>
    </row>
    <row r="721" spans="1:66" x14ac:dyDescent="0.2">
      <c r="A721">
        <v>3693278</v>
      </c>
      <c r="B721">
        <v>21883</v>
      </c>
      <c r="C721">
        <v>523985</v>
      </c>
      <c r="D721">
        <v>52895</v>
      </c>
      <c r="E721">
        <v>100</v>
      </c>
      <c r="F721" t="s">
        <v>37</v>
      </c>
      <c r="G721">
        <v>1</v>
      </c>
      <c r="H721" t="s">
        <v>37</v>
      </c>
      <c r="I721" t="s">
        <v>37</v>
      </c>
      <c r="J721" t="s">
        <v>775</v>
      </c>
      <c r="K721" t="s">
        <v>230</v>
      </c>
      <c r="L721" t="s">
        <v>226</v>
      </c>
      <c r="M721" t="s">
        <v>422</v>
      </c>
      <c r="N721" t="s">
        <v>3855</v>
      </c>
      <c r="O721" t="s">
        <v>3856</v>
      </c>
      <c r="S721">
        <v>0</v>
      </c>
      <c r="T721">
        <v>0</v>
      </c>
      <c r="U721">
        <v>0</v>
      </c>
      <c r="V721">
        <v>0</v>
      </c>
      <c r="W721">
        <v>120</v>
      </c>
      <c r="X721">
        <v>0</v>
      </c>
      <c r="Y721">
        <v>0</v>
      </c>
      <c r="Z721">
        <v>0</v>
      </c>
      <c r="AB721" s="5">
        <v>43314</v>
      </c>
      <c r="AC721" s="5">
        <v>43314.666666666664</v>
      </c>
      <c r="AD721" s="5">
        <v>43970.333333333336</v>
      </c>
      <c r="AE721" s="5">
        <v>43970.333333333336</v>
      </c>
      <c r="AG721" s="5">
        <v>44044</v>
      </c>
      <c r="AH721" s="5">
        <v>44044</v>
      </c>
      <c r="AK721" s="5">
        <v>43343.333333333336</v>
      </c>
      <c r="AL721" s="5">
        <v>43357.666666666664</v>
      </c>
      <c r="AP721" t="s">
        <v>418</v>
      </c>
      <c r="AU721" t="s">
        <v>3857</v>
      </c>
      <c r="AV721" t="s">
        <v>3858</v>
      </c>
      <c r="AY721" t="s">
        <v>40</v>
      </c>
      <c r="AZ721">
        <v>0</v>
      </c>
      <c r="BA721">
        <v>0</v>
      </c>
      <c r="BI721" s="5">
        <v>44048.176388888889</v>
      </c>
      <c r="BJ721" s="5">
        <v>44048.176388888889</v>
      </c>
      <c r="BK721" t="s">
        <v>778</v>
      </c>
      <c r="BL721" t="s">
        <v>778</v>
      </c>
      <c r="BN721" t="s">
        <v>37</v>
      </c>
    </row>
    <row r="722" spans="1:66" x14ac:dyDescent="0.2">
      <c r="A722">
        <v>3693279</v>
      </c>
      <c r="B722">
        <v>21883</v>
      </c>
      <c r="C722">
        <v>523985</v>
      </c>
      <c r="D722">
        <v>52895</v>
      </c>
      <c r="E722">
        <v>100</v>
      </c>
      <c r="F722" t="s">
        <v>37</v>
      </c>
      <c r="G722">
        <v>1</v>
      </c>
      <c r="H722" t="s">
        <v>37</v>
      </c>
      <c r="I722" t="s">
        <v>37</v>
      </c>
      <c r="J722" t="s">
        <v>775</v>
      </c>
      <c r="K722" t="s">
        <v>230</v>
      </c>
      <c r="L722" t="s">
        <v>226</v>
      </c>
      <c r="M722" t="s">
        <v>422</v>
      </c>
      <c r="N722" t="s">
        <v>3859</v>
      </c>
      <c r="O722" t="s">
        <v>3860</v>
      </c>
      <c r="S722">
        <v>0</v>
      </c>
      <c r="T722">
        <v>0</v>
      </c>
      <c r="U722">
        <v>0</v>
      </c>
      <c r="V722">
        <v>0</v>
      </c>
      <c r="W722">
        <v>120</v>
      </c>
      <c r="X722">
        <v>0</v>
      </c>
      <c r="Y722">
        <v>0</v>
      </c>
      <c r="Z722">
        <v>0</v>
      </c>
      <c r="AB722" s="5">
        <v>43320.333333333336</v>
      </c>
      <c r="AC722" s="5">
        <v>43335.666666666664</v>
      </c>
      <c r="AD722" s="5">
        <v>43970.333333333336</v>
      </c>
      <c r="AE722" s="5">
        <v>43970.333333333336</v>
      </c>
      <c r="AG722" s="5">
        <v>44044</v>
      </c>
      <c r="AH722" s="5">
        <v>44044</v>
      </c>
      <c r="AK722" s="5">
        <v>43374.333333333336</v>
      </c>
      <c r="AL722" s="5">
        <v>43388.666666666664</v>
      </c>
      <c r="AP722" t="s">
        <v>418</v>
      </c>
      <c r="AU722" t="s">
        <v>3861</v>
      </c>
      <c r="AV722" t="s">
        <v>3862</v>
      </c>
      <c r="AY722" t="s">
        <v>40</v>
      </c>
      <c r="AZ722">
        <v>0</v>
      </c>
      <c r="BA722">
        <v>0</v>
      </c>
      <c r="BI722" s="5">
        <v>44048.176388888889</v>
      </c>
      <c r="BJ722" s="5">
        <v>44048.176388888889</v>
      </c>
      <c r="BK722" t="s">
        <v>778</v>
      </c>
      <c r="BL722" t="s">
        <v>778</v>
      </c>
      <c r="BN722" t="s">
        <v>37</v>
      </c>
    </row>
    <row r="723" spans="1:66" x14ac:dyDescent="0.2">
      <c r="A723">
        <v>3693280</v>
      </c>
      <c r="B723">
        <v>21883</v>
      </c>
      <c r="C723">
        <v>523985</v>
      </c>
      <c r="D723">
        <v>52895</v>
      </c>
      <c r="E723">
        <v>100</v>
      </c>
      <c r="F723" t="s">
        <v>37</v>
      </c>
      <c r="G723">
        <v>1</v>
      </c>
      <c r="H723" t="s">
        <v>37</v>
      </c>
      <c r="I723" t="s">
        <v>37</v>
      </c>
      <c r="J723" t="s">
        <v>775</v>
      </c>
      <c r="K723" t="s">
        <v>230</v>
      </c>
      <c r="L723" t="s">
        <v>226</v>
      </c>
      <c r="M723" t="s">
        <v>422</v>
      </c>
      <c r="N723" t="s">
        <v>3863</v>
      </c>
      <c r="O723" t="s">
        <v>3864</v>
      </c>
      <c r="S723">
        <v>0</v>
      </c>
      <c r="T723">
        <v>0</v>
      </c>
      <c r="U723">
        <v>0</v>
      </c>
      <c r="V723">
        <v>0</v>
      </c>
      <c r="W723">
        <v>120</v>
      </c>
      <c r="X723">
        <v>0</v>
      </c>
      <c r="Y723">
        <v>0</v>
      </c>
      <c r="Z723">
        <v>0</v>
      </c>
      <c r="AB723" s="5">
        <v>43297</v>
      </c>
      <c r="AC723" s="5">
        <v>43297.666666666664</v>
      </c>
      <c r="AD723" s="5">
        <v>43970.333333333336</v>
      </c>
      <c r="AE723" s="5">
        <v>43970.333333333336</v>
      </c>
      <c r="AG723" s="5">
        <v>44044</v>
      </c>
      <c r="AH723" s="5">
        <v>44044</v>
      </c>
      <c r="AK723" s="5">
        <v>43359.333333333336</v>
      </c>
      <c r="AL723" s="5">
        <v>43373.666666666664</v>
      </c>
      <c r="AP723" t="s">
        <v>418</v>
      </c>
      <c r="AU723" t="s">
        <v>3865</v>
      </c>
      <c r="AV723" t="s">
        <v>3866</v>
      </c>
      <c r="AY723" t="s">
        <v>40</v>
      </c>
      <c r="AZ723">
        <v>0</v>
      </c>
      <c r="BA723">
        <v>0</v>
      </c>
      <c r="BI723" s="5">
        <v>44048.176388888889</v>
      </c>
      <c r="BJ723" s="5">
        <v>44048.176388888889</v>
      </c>
      <c r="BK723" t="s">
        <v>778</v>
      </c>
      <c r="BL723" t="s">
        <v>778</v>
      </c>
      <c r="BN723" t="s">
        <v>37</v>
      </c>
    </row>
    <row r="724" spans="1:66" x14ac:dyDescent="0.2">
      <c r="A724">
        <v>3693281</v>
      </c>
      <c r="B724">
        <v>21883</v>
      </c>
      <c r="C724">
        <v>523983</v>
      </c>
      <c r="D724">
        <v>52895</v>
      </c>
      <c r="E724">
        <v>100</v>
      </c>
      <c r="F724" t="s">
        <v>37</v>
      </c>
      <c r="G724">
        <v>1</v>
      </c>
      <c r="H724" t="s">
        <v>37</v>
      </c>
      <c r="I724" t="s">
        <v>37</v>
      </c>
      <c r="J724" t="s">
        <v>775</v>
      </c>
      <c r="K724" t="s">
        <v>230</v>
      </c>
      <c r="L724" t="s">
        <v>226</v>
      </c>
      <c r="M724" t="s">
        <v>422</v>
      </c>
      <c r="N724" t="s">
        <v>3867</v>
      </c>
      <c r="O724" t="s">
        <v>3868</v>
      </c>
      <c r="S724">
        <v>0</v>
      </c>
      <c r="T724">
        <v>0</v>
      </c>
      <c r="U724">
        <v>0</v>
      </c>
      <c r="V724">
        <v>0</v>
      </c>
      <c r="W724">
        <v>488</v>
      </c>
      <c r="X724">
        <v>0</v>
      </c>
      <c r="Y724">
        <v>0</v>
      </c>
      <c r="Z724">
        <v>0</v>
      </c>
      <c r="AB724" s="5">
        <v>43216.333333333336</v>
      </c>
      <c r="AC724" s="5">
        <v>43280.666666666664</v>
      </c>
      <c r="AD724" s="5">
        <v>43970.333333333336</v>
      </c>
      <c r="AE724" s="5">
        <v>43970.333333333336</v>
      </c>
      <c r="AG724" s="5">
        <v>44044</v>
      </c>
      <c r="AH724" s="5">
        <v>44044</v>
      </c>
      <c r="AK724" s="5">
        <v>43236.333333333336</v>
      </c>
      <c r="AL724" s="5">
        <v>43296.666666666664</v>
      </c>
      <c r="AP724" t="s">
        <v>418</v>
      </c>
      <c r="AU724" t="s">
        <v>3869</v>
      </c>
      <c r="AV724" t="s">
        <v>3870</v>
      </c>
      <c r="AY724" t="s">
        <v>40</v>
      </c>
      <c r="AZ724">
        <v>0</v>
      </c>
      <c r="BA724">
        <v>0</v>
      </c>
      <c r="BI724" s="5">
        <v>44048.176388888889</v>
      </c>
      <c r="BJ724" s="5">
        <v>44048.176388888889</v>
      </c>
      <c r="BK724" t="s">
        <v>778</v>
      </c>
      <c r="BL724" t="s">
        <v>778</v>
      </c>
      <c r="BN724" t="s">
        <v>37</v>
      </c>
    </row>
    <row r="725" spans="1:66" x14ac:dyDescent="0.2">
      <c r="A725">
        <v>3693282</v>
      </c>
      <c r="B725">
        <v>21883</v>
      </c>
      <c r="C725">
        <v>523983</v>
      </c>
      <c r="D725">
        <v>52895</v>
      </c>
      <c r="E725">
        <v>100</v>
      </c>
      <c r="F725" t="s">
        <v>37</v>
      </c>
      <c r="G725">
        <v>1</v>
      </c>
      <c r="H725" t="s">
        <v>37</v>
      </c>
      <c r="I725" t="s">
        <v>37</v>
      </c>
      <c r="J725" t="s">
        <v>775</v>
      </c>
      <c r="K725" t="s">
        <v>230</v>
      </c>
      <c r="L725" t="s">
        <v>226</v>
      </c>
      <c r="M725" t="s">
        <v>422</v>
      </c>
      <c r="N725" t="s">
        <v>3871</v>
      </c>
      <c r="O725" t="s">
        <v>3872</v>
      </c>
      <c r="S725">
        <v>0</v>
      </c>
      <c r="T725">
        <v>0</v>
      </c>
      <c r="U725">
        <v>0</v>
      </c>
      <c r="V725">
        <v>0</v>
      </c>
      <c r="W725">
        <v>240</v>
      </c>
      <c r="X725">
        <v>0</v>
      </c>
      <c r="Y725">
        <v>0</v>
      </c>
      <c r="Z725">
        <v>0</v>
      </c>
      <c r="AB725" s="5">
        <v>43216.333333333336</v>
      </c>
      <c r="AC725" s="5">
        <v>43313.666666666664</v>
      </c>
      <c r="AD725" s="5">
        <v>43970.333333333336</v>
      </c>
      <c r="AE725" s="5">
        <v>43970.333333333336</v>
      </c>
      <c r="AG725" s="5">
        <v>44044</v>
      </c>
      <c r="AH725" s="5">
        <v>44044</v>
      </c>
      <c r="AK725" s="5">
        <v>43236.333333333336</v>
      </c>
      <c r="AL725" s="5">
        <v>43265.666666666664</v>
      </c>
      <c r="AP725" t="s">
        <v>418</v>
      </c>
      <c r="AU725" t="s">
        <v>3873</v>
      </c>
      <c r="AV725" t="s">
        <v>3874</v>
      </c>
      <c r="AY725" t="s">
        <v>40</v>
      </c>
      <c r="AZ725">
        <v>0</v>
      </c>
      <c r="BA725">
        <v>0</v>
      </c>
      <c r="BI725" s="5">
        <v>44048.176388888889</v>
      </c>
      <c r="BJ725" s="5">
        <v>44048.176388888889</v>
      </c>
      <c r="BK725" t="s">
        <v>778</v>
      </c>
      <c r="BL725" t="s">
        <v>778</v>
      </c>
      <c r="BN725" t="s">
        <v>37</v>
      </c>
    </row>
    <row r="726" spans="1:66" x14ac:dyDescent="0.2">
      <c r="A726">
        <v>3693283</v>
      </c>
      <c r="B726">
        <v>21883</v>
      </c>
      <c r="C726">
        <v>523983</v>
      </c>
      <c r="D726">
        <v>52895</v>
      </c>
      <c r="E726">
        <v>100</v>
      </c>
      <c r="F726" t="s">
        <v>37</v>
      </c>
      <c r="G726">
        <v>1</v>
      </c>
      <c r="H726" t="s">
        <v>37</v>
      </c>
      <c r="I726" t="s">
        <v>37</v>
      </c>
      <c r="J726" t="s">
        <v>775</v>
      </c>
      <c r="K726" t="s">
        <v>230</v>
      </c>
      <c r="L726" t="s">
        <v>226</v>
      </c>
      <c r="M726" t="s">
        <v>422</v>
      </c>
      <c r="N726" t="s">
        <v>3875</v>
      </c>
      <c r="O726" t="s">
        <v>3876</v>
      </c>
      <c r="S726">
        <v>0</v>
      </c>
      <c r="T726">
        <v>0</v>
      </c>
      <c r="U726">
        <v>0</v>
      </c>
      <c r="V726">
        <v>0</v>
      </c>
      <c r="W726">
        <v>240</v>
      </c>
      <c r="X726">
        <v>0</v>
      </c>
      <c r="Y726">
        <v>0</v>
      </c>
      <c r="Z726">
        <v>0</v>
      </c>
      <c r="AB726" s="5">
        <v>43343.333333333336</v>
      </c>
      <c r="AC726" s="5">
        <v>43454</v>
      </c>
      <c r="AD726" s="5">
        <v>43970.333333333336</v>
      </c>
      <c r="AE726" s="5">
        <v>43970.333333333336</v>
      </c>
      <c r="AG726" s="5">
        <v>44044</v>
      </c>
      <c r="AH726" s="5">
        <v>44044</v>
      </c>
      <c r="AK726" s="5">
        <v>43348.333333333336</v>
      </c>
      <c r="AL726" s="5">
        <v>43377.666666666664</v>
      </c>
      <c r="AP726" t="s">
        <v>418</v>
      </c>
      <c r="AU726" t="s">
        <v>3877</v>
      </c>
      <c r="AV726" t="s">
        <v>3878</v>
      </c>
      <c r="AY726" t="s">
        <v>40</v>
      </c>
      <c r="AZ726">
        <v>0</v>
      </c>
      <c r="BA726">
        <v>0</v>
      </c>
      <c r="BI726" s="5">
        <v>44048.176388888889</v>
      </c>
      <c r="BJ726" s="5">
        <v>44048.176388888889</v>
      </c>
      <c r="BK726" t="s">
        <v>778</v>
      </c>
      <c r="BL726" t="s">
        <v>778</v>
      </c>
      <c r="BN726" t="s">
        <v>37</v>
      </c>
    </row>
    <row r="727" spans="1:66" x14ac:dyDescent="0.2">
      <c r="A727">
        <v>3693284</v>
      </c>
      <c r="B727">
        <v>21883</v>
      </c>
      <c r="C727">
        <v>523983</v>
      </c>
      <c r="D727">
        <v>52895</v>
      </c>
      <c r="E727">
        <v>100</v>
      </c>
      <c r="F727" t="s">
        <v>37</v>
      </c>
      <c r="G727">
        <v>1</v>
      </c>
      <c r="H727" t="s">
        <v>37</v>
      </c>
      <c r="I727" t="s">
        <v>37</v>
      </c>
      <c r="J727" t="s">
        <v>775</v>
      </c>
      <c r="K727" t="s">
        <v>230</v>
      </c>
      <c r="L727" t="s">
        <v>226</v>
      </c>
      <c r="M727" t="s">
        <v>422</v>
      </c>
      <c r="N727" t="s">
        <v>3879</v>
      </c>
      <c r="O727" t="s">
        <v>3880</v>
      </c>
      <c r="S727">
        <v>0</v>
      </c>
      <c r="T727">
        <v>0</v>
      </c>
      <c r="U727">
        <v>0</v>
      </c>
      <c r="V727">
        <v>0</v>
      </c>
      <c r="W727">
        <v>240</v>
      </c>
      <c r="X727">
        <v>0</v>
      </c>
      <c r="Y727">
        <v>0</v>
      </c>
      <c r="Z727">
        <v>0</v>
      </c>
      <c r="AB727" s="5">
        <v>43314.333333333336</v>
      </c>
      <c r="AC727" s="5">
        <v>43341.666666666664</v>
      </c>
      <c r="AD727" s="5">
        <v>43970.333333333336</v>
      </c>
      <c r="AE727" s="5">
        <v>43970.333333333336</v>
      </c>
      <c r="AG727" s="5">
        <v>44044</v>
      </c>
      <c r="AH727" s="5">
        <v>44044</v>
      </c>
      <c r="AK727" s="5">
        <v>43359.333333333336</v>
      </c>
      <c r="AL727" s="5">
        <v>43388.666666666664</v>
      </c>
      <c r="AP727" t="s">
        <v>418</v>
      </c>
      <c r="AU727" t="s">
        <v>3881</v>
      </c>
      <c r="AV727" t="s">
        <v>3882</v>
      </c>
      <c r="AY727" t="s">
        <v>40</v>
      </c>
      <c r="AZ727">
        <v>0</v>
      </c>
      <c r="BA727">
        <v>0</v>
      </c>
      <c r="BI727" s="5">
        <v>44048.176388888889</v>
      </c>
      <c r="BJ727" s="5">
        <v>44048.176388888889</v>
      </c>
      <c r="BK727" t="s">
        <v>778</v>
      </c>
      <c r="BL727" t="s">
        <v>778</v>
      </c>
      <c r="BN727" t="s">
        <v>37</v>
      </c>
    </row>
    <row r="728" spans="1:66" x14ac:dyDescent="0.2">
      <c r="A728">
        <v>3693285</v>
      </c>
      <c r="B728">
        <v>21883</v>
      </c>
      <c r="C728">
        <v>523983</v>
      </c>
      <c r="D728">
        <v>52895</v>
      </c>
      <c r="E728">
        <v>100</v>
      </c>
      <c r="F728" t="s">
        <v>37</v>
      </c>
      <c r="G728">
        <v>1</v>
      </c>
      <c r="H728" t="s">
        <v>37</v>
      </c>
      <c r="I728" t="s">
        <v>37</v>
      </c>
      <c r="J728" t="s">
        <v>775</v>
      </c>
      <c r="K728" t="s">
        <v>230</v>
      </c>
      <c r="L728" t="s">
        <v>226</v>
      </c>
      <c r="M728" t="s">
        <v>422</v>
      </c>
      <c r="N728" t="s">
        <v>3883</v>
      </c>
      <c r="O728" t="s">
        <v>3884</v>
      </c>
      <c r="S728">
        <v>0</v>
      </c>
      <c r="T728">
        <v>0</v>
      </c>
      <c r="U728">
        <v>0</v>
      </c>
      <c r="V728">
        <v>0</v>
      </c>
      <c r="W728">
        <v>272</v>
      </c>
      <c r="X728">
        <v>0</v>
      </c>
      <c r="Y728">
        <v>0</v>
      </c>
      <c r="Z728">
        <v>0</v>
      </c>
      <c r="AB728" s="5">
        <v>43482</v>
      </c>
      <c r="AC728" s="5">
        <v>43489</v>
      </c>
      <c r="AD728" s="5">
        <v>43970.333333333336</v>
      </c>
      <c r="AE728" s="5">
        <v>43970.333333333336</v>
      </c>
      <c r="AG728" s="5">
        <v>44044</v>
      </c>
      <c r="AH728" s="5">
        <v>44044</v>
      </c>
      <c r="AK728" s="5">
        <v>43497.333333333336</v>
      </c>
      <c r="AL728" s="5">
        <v>43530.666666666664</v>
      </c>
      <c r="AP728" t="s">
        <v>418</v>
      </c>
      <c r="AU728" t="s">
        <v>3885</v>
      </c>
      <c r="AV728" t="s">
        <v>3886</v>
      </c>
      <c r="AY728" t="s">
        <v>40</v>
      </c>
      <c r="AZ728">
        <v>0</v>
      </c>
      <c r="BA728">
        <v>0</v>
      </c>
      <c r="BI728" s="5">
        <v>44048.176388888889</v>
      </c>
      <c r="BJ728" s="5">
        <v>44048.176388888889</v>
      </c>
      <c r="BK728" t="s">
        <v>778</v>
      </c>
      <c r="BL728" t="s">
        <v>778</v>
      </c>
      <c r="BN728" t="s">
        <v>37</v>
      </c>
    </row>
    <row r="729" spans="1:66" x14ac:dyDescent="0.2">
      <c r="A729">
        <v>3693286</v>
      </c>
      <c r="B729">
        <v>21883</v>
      </c>
      <c r="C729">
        <v>523983</v>
      </c>
      <c r="D729">
        <v>52895</v>
      </c>
      <c r="E729">
        <v>100</v>
      </c>
      <c r="F729" t="s">
        <v>37</v>
      </c>
      <c r="G729">
        <v>1</v>
      </c>
      <c r="H729" t="s">
        <v>37</v>
      </c>
      <c r="I729" t="s">
        <v>37</v>
      </c>
      <c r="J729" t="s">
        <v>775</v>
      </c>
      <c r="K729" t="s">
        <v>230</v>
      </c>
      <c r="L729" t="s">
        <v>226</v>
      </c>
      <c r="M729" t="s">
        <v>422</v>
      </c>
      <c r="N729" t="s">
        <v>3887</v>
      </c>
      <c r="O729" t="s">
        <v>3888</v>
      </c>
      <c r="S729">
        <v>0</v>
      </c>
      <c r="T729">
        <v>0</v>
      </c>
      <c r="U729">
        <v>0</v>
      </c>
      <c r="V729">
        <v>0</v>
      </c>
      <c r="W729">
        <v>240</v>
      </c>
      <c r="X729">
        <v>0</v>
      </c>
      <c r="Y729">
        <v>0</v>
      </c>
      <c r="Z729">
        <v>0</v>
      </c>
      <c r="AB729" s="5">
        <v>43298.333333333336</v>
      </c>
      <c r="AC729" s="5">
        <v>43378</v>
      </c>
      <c r="AD729" s="5">
        <v>43970.333333333336</v>
      </c>
      <c r="AE729" s="5">
        <v>43970.333333333336</v>
      </c>
      <c r="AG729" s="5">
        <v>44044</v>
      </c>
      <c r="AH729" s="5">
        <v>44044</v>
      </c>
      <c r="AK729" s="5">
        <v>43374.333333333336</v>
      </c>
      <c r="AL729" s="5">
        <v>43403.666666666664</v>
      </c>
      <c r="AP729" t="s">
        <v>418</v>
      </c>
      <c r="AU729" t="s">
        <v>3889</v>
      </c>
      <c r="AV729" t="s">
        <v>3890</v>
      </c>
      <c r="AY729" t="s">
        <v>40</v>
      </c>
      <c r="AZ729">
        <v>0</v>
      </c>
      <c r="BA729">
        <v>0</v>
      </c>
      <c r="BI729" s="5">
        <v>44048.176388888889</v>
      </c>
      <c r="BJ729" s="5">
        <v>44048.176388888889</v>
      </c>
      <c r="BK729" t="s">
        <v>778</v>
      </c>
      <c r="BL729" t="s">
        <v>778</v>
      </c>
      <c r="BN729" t="s">
        <v>37</v>
      </c>
    </row>
    <row r="730" spans="1:66" x14ac:dyDescent="0.2">
      <c r="A730">
        <v>3693287</v>
      </c>
      <c r="B730">
        <v>21883</v>
      </c>
      <c r="C730">
        <v>523877</v>
      </c>
      <c r="D730">
        <v>52899</v>
      </c>
      <c r="E730">
        <v>100</v>
      </c>
      <c r="F730" t="s">
        <v>37</v>
      </c>
      <c r="G730">
        <v>1</v>
      </c>
      <c r="H730" t="s">
        <v>37</v>
      </c>
      <c r="I730" t="s">
        <v>37</v>
      </c>
      <c r="J730" t="s">
        <v>775</v>
      </c>
      <c r="K730" t="s">
        <v>230</v>
      </c>
      <c r="L730" t="s">
        <v>226</v>
      </c>
      <c r="M730" t="s">
        <v>422</v>
      </c>
      <c r="N730" t="s">
        <v>3891</v>
      </c>
      <c r="O730" t="s">
        <v>3892</v>
      </c>
      <c r="S730">
        <v>0</v>
      </c>
      <c r="T730">
        <v>8</v>
      </c>
      <c r="U730">
        <v>0</v>
      </c>
      <c r="V730">
        <v>8</v>
      </c>
      <c r="W730">
        <v>8</v>
      </c>
      <c r="X730">
        <v>0</v>
      </c>
      <c r="Y730">
        <v>0</v>
      </c>
      <c r="Z730">
        <v>0</v>
      </c>
      <c r="AB730" s="5">
        <v>43543</v>
      </c>
      <c r="AC730" s="5">
        <v>43543</v>
      </c>
      <c r="AD730" s="5">
        <v>43970.333333333336</v>
      </c>
      <c r="AE730" s="5">
        <v>43970.333333333336</v>
      </c>
      <c r="AG730" s="5">
        <v>44044</v>
      </c>
      <c r="AH730" s="5">
        <v>44044</v>
      </c>
      <c r="AK730" s="5">
        <v>43556.333333333336</v>
      </c>
      <c r="AL730" s="5">
        <v>43556.666666666664</v>
      </c>
      <c r="AP730" t="s">
        <v>418</v>
      </c>
      <c r="AU730" t="s">
        <v>3893</v>
      </c>
      <c r="AV730" t="s">
        <v>3894</v>
      </c>
      <c r="AY730" t="s">
        <v>40</v>
      </c>
      <c r="AZ730">
        <v>8</v>
      </c>
      <c r="BA730">
        <v>0</v>
      </c>
      <c r="BI730" s="5">
        <v>44048.176388888889</v>
      </c>
      <c r="BJ730" s="5">
        <v>44048.176388888889</v>
      </c>
      <c r="BK730" t="s">
        <v>778</v>
      </c>
      <c r="BL730" t="s">
        <v>778</v>
      </c>
      <c r="BN730" t="s">
        <v>37</v>
      </c>
    </row>
    <row r="731" spans="1:66" x14ac:dyDescent="0.2">
      <c r="A731">
        <v>3693288</v>
      </c>
      <c r="B731">
        <v>21883</v>
      </c>
      <c r="C731">
        <v>523877</v>
      </c>
      <c r="D731">
        <v>52899</v>
      </c>
      <c r="E731">
        <v>100</v>
      </c>
      <c r="F731" t="s">
        <v>37</v>
      </c>
      <c r="G731">
        <v>1</v>
      </c>
      <c r="H731" t="s">
        <v>37</v>
      </c>
      <c r="I731" t="s">
        <v>37</v>
      </c>
      <c r="J731" t="s">
        <v>775</v>
      </c>
      <c r="K731" t="s">
        <v>230</v>
      </c>
      <c r="L731" t="s">
        <v>226</v>
      </c>
      <c r="M731" t="s">
        <v>422</v>
      </c>
      <c r="N731" t="s">
        <v>3895</v>
      </c>
      <c r="O731" t="s">
        <v>3896</v>
      </c>
      <c r="S731">
        <v>0</v>
      </c>
      <c r="T731">
        <v>0</v>
      </c>
      <c r="U731">
        <v>0</v>
      </c>
      <c r="V731">
        <v>0</v>
      </c>
      <c r="W731">
        <v>8</v>
      </c>
      <c r="X731">
        <v>0</v>
      </c>
      <c r="Y731">
        <v>0</v>
      </c>
      <c r="Z731">
        <v>0</v>
      </c>
      <c r="AB731" s="5">
        <v>43544</v>
      </c>
      <c r="AC731" s="5">
        <v>43544</v>
      </c>
      <c r="AD731" s="5">
        <v>43970.333333333336</v>
      </c>
      <c r="AE731" s="5">
        <v>43970.333333333336</v>
      </c>
      <c r="AG731" s="5">
        <v>44044</v>
      </c>
      <c r="AH731" s="5">
        <v>44044</v>
      </c>
      <c r="AK731" s="5">
        <v>43556.333333333336</v>
      </c>
      <c r="AL731" s="5">
        <v>43556.666666666664</v>
      </c>
      <c r="AP731" t="s">
        <v>418</v>
      </c>
      <c r="AU731" t="s">
        <v>3897</v>
      </c>
      <c r="AV731" t="s">
        <v>3898</v>
      </c>
      <c r="AY731" t="s">
        <v>40</v>
      </c>
      <c r="AZ731">
        <v>0</v>
      </c>
      <c r="BA731">
        <v>0</v>
      </c>
      <c r="BI731" s="5">
        <v>44048.176388888889</v>
      </c>
      <c r="BJ731" s="5">
        <v>44048.176388888889</v>
      </c>
      <c r="BK731" t="s">
        <v>778</v>
      </c>
      <c r="BL731" t="s">
        <v>778</v>
      </c>
      <c r="BN731" t="s">
        <v>37</v>
      </c>
    </row>
    <row r="732" spans="1:66" x14ac:dyDescent="0.2">
      <c r="A732">
        <v>3693289</v>
      </c>
      <c r="B732">
        <v>21883</v>
      </c>
      <c r="C732">
        <v>523877</v>
      </c>
      <c r="D732">
        <v>52899</v>
      </c>
      <c r="E732">
        <v>100</v>
      </c>
      <c r="F732" t="s">
        <v>37</v>
      </c>
      <c r="G732">
        <v>1</v>
      </c>
      <c r="H732" t="s">
        <v>37</v>
      </c>
      <c r="I732" t="s">
        <v>37</v>
      </c>
      <c r="J732" t="s">
        <v>775</v>
      </c>
      <c r="K732" t="s">
        <v>230</v>
      </c>
      <c r="L732" t="s">
        <v>226</v>
      </c>
      <c r="M732" t="s">
        <v>422</v>
      </c>
      <c r="N732" t="s">
        <v>3899</v>
      </c>
      <c r="O732" t="s">
        <v>3900</v>
      </c>
      <c r="S732">
        <v>0</v>
      </c>
      <c r="T732">
        <v>8</v>
      </c>
      <c r="U732">
        <v>0</v>
      </c>
      <c r="V732">
        <v>8</v>
      </c>
      <c r="W732">
        <v>8</v>
      </c>
      <c r="X732">
        <v>0</v>
      </c>
      <c r="Y732">
        <v>0</v>
      </c>
      <c r="Z732">
        <v>0</v>
      </c>
      <c r="AB732" s="5">
        <v>43553</v>
      </c>
      <c r="AC732" s="5">
        <v>43553</v>
      </c>
      <c r="AD732" s="5">
        <v>43970.333333333336</v>
      </c>
      <c r="AE732" s="5">
        <v>43970.333333333336</v>
      </c>
      <c r="AG732" s="5">
        <v>44044</v>
      </c>
      <c r="AH732" s="5">
        <v>44044</v>
      </c>
      <c r="AK732" s="5">
        <v>43556.333333333336</v>
      </c>
      <c r="AL732" s="5">
        <v>43556.666666666664</v>
      </c>
      <c r="AP732" t="s">
        <v>418</v>
      </c>
      <c r="AU732" t="s">
        <v>3901</v>
      </c>
      <c r="AV732" t="s">
        <v>3902</v>
      </c>
      <c r="AY732" t="s">
        <v>40</v>
      </c>
      <c r="AZ732">
        <v>8</v>
      </c>
      <c r="BA732">
        <v>0</v>
      </c>
      <c r="BI732" s="5">
        <v>44048.176388888889</v>
      </c>
      <c r="BJ732" s="5">
        <v>44048.176388888889</v>
      </c>
      <c r="BK732" t="s">
        <v>778</v>
      </c>
      <c r="BL732" t="s">
        <v>778</v>
      </c>
      <c r="BN732" t="s">
        <v>37</v>
      </c>
    </row>
    <row r="733" spans="1:66" x14ac:dyDescent="0.2">
      <c r="A733">
        <v>3693290</v>
      </c>
      <c r="B733">
        <v>21883</v>
      </c>
      <c r="C733">
        <v>523877</v>
      </c>
      <c r="D733">
        <v>52895</v>
      </c>
      <c r="E733">
        <v>100</v>
      </c>
      <c r="F733" t="s">
        <v>37</v>
      </c>
      <c r="G733">
        <v>1</v>
      </c>
      <c r="H733" t="s">
        <v>37</v>
      </c>
      <c r="I733" t="s">
        <v>37</v>
      </c>
      <c r="J733" t="s">
        <v>775</v>
      </c>
      <c r="K733" t="s">
        <v>230</v>
      </c>
      <c r="L733" t="s">
        <v>226</v>
      </c>
      <c r="M733" t="s">
        <v>422</v>
      </c>
      <c r="N733" t="s">
        <v>3903</v>
      </c>
      <c r="O733" t="s">
        <v>3904</v>
      </c>
      <c r="S733">
        <v>0</v>
      </c>
      <c r="T733">
        <v>0</v>
      </c>
      <c r="U733">
        <v>0</v>
      </c>
      <c r="V733">
        <v>0</v>
      </c>
      <c r="W733">
        <v>16</v>
      </c>
      <c r="X733">
        <v>0</v>
      </c>
      <c r="Y733">
        <v>0</v>
      </c>
      <c r="Z733">
        <v>0</v>
      </c>
      <c r="AB733" s="5">
        <v>43553</v>
      </c>
      <c r="AC733" s="5">
        <v>43560</v>
      </c>
      <c r="AD733" s="5">
        <v>43970.333333333336</v>
      </c>
      <c r="AE733" s="5">
        <v>43970.333333333336</v>
      </c>
      <c r="AG733" s="5">
        <v>44044</v>
      </c>
      <c r="AH733" s="5">
        <v>44044</v>
      </c>
      <c r="AK733" s="5">
        <v>43556.333333333336</v>
      </c>
      <c r="AL733" s="5">
        <v>43557.666666666664</v>
      </c>
      <c r="AP733" t="s">
        <v>418</v>
      </c>
      <c r="AU733" t="s">
        <v>3905</v>
      </c>
      <c r="AV733" t="s">
        <v>3906</v>
      </c>
      <c r="AY733" t="s">
        <v>40</v>
      </c>
      <c r="AZ733">
        <v>0</v>
      </c>
      <c r="BA733">
        <v>0</v>
      </c>
      <c r="BI733" s="5">
        <v>44048.176388888889</v>
      </c>
      <c r="BJ733" s="5">
        <v>44048.176388888889</v>
      </c>
      <c r="BK733" t="s">
        <v>778</v>
      </c>
      <c r="BL733" t="s">
        <v>778</v>
      </c>
      <c r="BN733" t="s">
        <v>37</v>
      </c>
    </row>
    <row r="734" spans="1:66" x14ac:dyDescent="0.2">
      <c r="A734">
        <v>3693291</v>
      </c>
      <c r="B734">
        <v>21883</v>
      </c>
      <c r="C734">
        <v>523877</v>
      </c>
      <c r="D734">
        <v>52899</v>
      </c>
      <c r="E734">
        <v>100</v>
      </c>
      <c r="F734" t="s">
        <v>37</v>
      </c>
      <c r="G734">
        <v>1</v>
      </c>
      <c r="H734" t="s">
        <v>37</v>
      </c>
      <c r="I734" t="s">
        <v>37</v>
      </c>
      <c r="J734" t="s">
        <v>775</v>
      </c>
      <c r="K734" t="s">
        <v>230</v>
      </c>
      <c r="L734" t="s">
        <v>226</v>
      </c>
      <c r="M734" t="s">
        <v>422</v>
      </c>
      <c r="N734" t="s">
        <v>3907</v>
      </c>
      <c r="O734" t="s">
        <v>3908</v>
      </c>
      <c r="S734">
        <v>0</v>
      </c>
      <c r="T734">
        <v>8</v>
      </c>
      <c r="U734">
        <v>0</v>
      </c>
      <c r="V734">
        <v>8</v>
      </c>
      <c r="W734">
        <v>8</v>
      </c>
      <c r="X734">
        <v>0</v>
      </c>
      <c r="Y734">
        <v>0</v>
      </c>
      <c r="Z734">
        <v>0</v>
      </c>
      <c r="AB734" s="5">
        <v>43565</v>
      </c>
      <c r="AC734" s="5">
        <v>43565</v>
      </c>
      <c r="AD734" s="5">
        <v>43970.333333333336</v>
      </c>
      <c r="AE734" s="5">
        <v>43970.333333333336</v>
      </c>
      <c r="AG734" s="5">
        <v>44044</v>
      </c>
      <c r="AH734" s="5">
        <v>44044</v>
      </c>
      <c r="AK734" s="5">
        <v>43586.333333333336</v>
      </c>
      <c r="AL734" s="5">
        <v>43586.666666666664</v>
      </c>
      <c r="AP734" t="s">
        <v>418</v>
      </c>
      <c r="AU734" t="s">
        <v>3909</v>
      </c>
      <c r="AV734" t="s">
        <v>3910</v>
      </c>
      <c r="AY734" t="s">
        <v>40</v>
      </c>
      <c r="AZ734">
        <v>8</v>
      </c>
      <c r="BA734">
        <v>0</v>
      </c>
      <c r="BI734" s="5">
        <v>44048.176388888889</v>
      </c>
      <c r="BJ734" s="5">
        <v>44048.176388888889</v>
      </c>
      <c r="BK734" t="s">
        <v>778</v>
      </c>
      <c r="BL734" t="s">
        <v>778</v>
      </c>
      <c r="BN734" t="s">
        <v>37</v>
      </c>
    </row>
    <row r="735" spans="1:66" x14ac:dyDescent="0.2">
      <c r="A735">
        <v>3693292</v>
      </c>
      <c r="B735">
        <v>21883</v>
      </c>
      <c r="C735">
        <v>523877</v>
      </c>
      <c r="D735">
        <v>52899</v>
      </c>
      <c r="E735">
        <v>100</v>
      </c>
      <c r="F735" t="s">
        <v>37</v>
      </c>
      <c r="G735">
        <v>1</v>
      </c>
      <c r="H735" t="s">
        <v>37</v>
      </c>
      <c r="I735" t="s">
        <v>37</v>
      </c>
      <c r="J735" t="s">
        <v>775</v>
      </c>
      <c r="K735" t="s">
        <v>230</v>
      </c>
      <c r="L735" t="s">
        <v>226</v>
      </c>
      <c r="M735" t="s">
        <v>422</v>
      </c>
      <c r="N735" t="s">
        <v>3911</v>
      </c>
      <c r="O735" t="s">
        <v>3912</v>
      </c>
      <c r="S735">
        <v>0</v>
      </c>
      <c r="T735">
        <v>8</v>
      </c>
      <c r="U735">
        <v>0</v>
      </c>
      <c r="V735">
        <v>8</v>
      </c>
      <c r="W735">
        <v>8</v>
      </c>
      <c r="X735">
        <v>0</v>
      </c>
      <c r="Y735">
        <v>0</v>
      </c>
      <c r="Z735">
        <v>0</v>
      </c>
      <c r="AB735" s="5">
        <v>43500</v>
      </c>
      <c r="AC735" s="5">
        <v>43500</v>
      </c>
      <c r="AD735" s="5">
        <v>43970.333333333336</v>
      </c>
      <c r="AE735" s="5">
        <v>43970.333333333336</v>
      </c>
      <c r="AG735" s="5">
        <v>44044</v>
      </c>
      <c r="AH735" s="5">
        <v>44044</v>
      </c>
      <c r="AK735" s="5">
        <v>43556.333333333336</v>
      </c>
      <c r="AL735" s="5">
        <v>43556.666666666664</v>
      </c>
      <c r="AP735" t="s">
        <v>418</v>
      </c>
      <c r="AU735" t="s">
        <v>3913</v>
      </c>
      <c r="AV735" t="s">
        <v>3914</v>
      </c>
      <c r="AY735" t="s">
        <v>40</v>
      </c>
      <c r="AZ735">
        <v>8</v>
      </c>
      <c r="BA735">
        <v>0</v>
      </c>
      <c r="BI735" s="5">
        <v>44048.176388888889</v>
      </c>
      <c r="BJ735" s="5">
        <v>44048.176388888889</v>
      </c>
      <c r="BK735" t="s">
        <v>778</v>
      </c>
      <c r="BL735" t="s">
        <v>778</v>
      </c>
      <c r="BN735" t="s">
        <v>37</v>
      </c>
    </row>
    <row r="736" spans="1:66" x14ac:dyDescent="0.2">
      <c r="A736">
        <v>3693293</v>
      </c>
      <c r="B736">
        <v>21883</v>
      </c>
      <c r="C736">
        <v>523877</v>
      </c>
      <c r="D736">
        <v>52899</v>
      </c>
      <c r="E736">
        <v>100</v>
      </c>
      <c r="F736" t="s">
        <v>37</v>
      </c>
      <c r="G736">
        <v>1</v>
      </c>
      <c r="H736" t="s">
        <v>37</v>
      </c>
      <c r="I736" t="s">
        <v>37</v>
      </c>
      <c r="J736" t="s">
        <v>775</v>
      </c>
      <c r="K736" t="s">
        <v>230</v>
      </c>
      <c r="L736" t="s">
        <v>226</v>
      </c>
      <c r="M736" t="s">
        <v>422</v>
      </c>
      <c r="N736" t="s">
        <v>3915</v>
      </c>
      <c r="O736" t="s">
        <v>3916</v>
      </c>
      <c r="S736">
        <v>0</v>
      </c>
      <c r="T736">
        <v>0</v>
      </c>
      <c r="U736">
        <v>0</v>
      </c>
      <c r="V736">
        <v>0</v>
      </c>
      <c r="W736">
        <v>8</v>
      </c>
      <c r="X736">
        <v>0</v>
      </c>
      <c r="Y736">
        <v>0</v>
      </c>
      <c r="Z736">
        <v>0</v>
      </c>
      <c r="AB736" s="5">
        <v>43502</v>
      </c>
      <c r="AC736" s="5">
        <v>43502</v>
      </c>
      <c r="AD736" s="5">
        <v>43970.333333333336</v>
      </c>
      <c r="AE736" s="5">
        <v>43970.333333333336</v>
      </c>
      <c r="AG736" s="5">
        <v>44044</v>
      </c>
      <c r="AH736" s="5">
        <v>44044</v>
      </c>
      <c r="AK736" s="5">
        <v>43556.333333333336</v>
      </c>
      <c r="AL736" s="5">
        <v>43556.666666666664</v>
      </c>
      <c r="AP736" t="s">
        <v>418</v>
      </c>
      <c r="AU736" t="s">
        <v>3917</v>
      </c>
      <c r="AV736" t="s">
        <v>3918</v>
      </c>
      <c r="AY736" t="s">
        <v>40</v>
      </c>
      <c r="AZ736">
        <v>0</v>
      </c>
      <c r="BA736">
        <v>0</v>
      </c>
      <c r="BI736" s="5">
        <v>44048.176388888889</v>
      </c>
      <c r="BJ736" s="5">
        <v>44048.176388888889</v>
      </c>
      <c r="BK736" t="s">
        <v>778</v>
      </c>
      <c r="BL736" t="s">
        <v>778</v>
      </c>
      <c r="BN736" t="s">
        <v>37</v>
      </c>
    </row>
    <row r="737" spans="1:66" x14ac:dyDescent="0.2">
      <c r="A737">
        <v>3693294</v>
      </c>
      <c r="B737">
        <v>21883</v>
      </c>
      <c r="C737">
        <v>523877</v>
      </c>
      <c r="D737">
        <v>52899</v>
      </c>
      <c r="E737">
        <v>100</v>
      </c>
      <c r="F737" t="s">
        <v>37</v>
      </c>
      <c r="G737">
        <v>1</v>
      </c>
      <c r="H737" t="s">
        <v>37</v>
      </c>
      <c r="I737" t="s">
        <v>37</v>
      </c>
      <c r="J737" t="s">
        <v>775</v>
      </c>
      <c r="K737" t="s">
        <v>230</v>
      </c>
      <c r="L737" t="s">
        <v>226</v>
      </c>
      <c r="M737" t="s">
        <v>422</v>
      </c>
      <c r="N737" t="s">
        <v>3919</v>
      </c>
      <c r="O737" t="s">
        <v>3920</v>
      </c>
      <c r="S737">
        <v>0</v>
      </c>
      <c r="T737">
        <v>8</v>
      </c>
      <c r="U737">
        <v>0</v>
      </c>
      <c r="V737">
        <v>8</v>
      </c>
      <c r="W737">
        <v>8</v>
      </c>
      <c r="X737">
        <v>0</v>
      </c>
      <c r="Y737">
        <v>0</v>
      </c>
      <c r="Z737">
        <v>0</v>
      </c>
      <c r="AB737" s="5">
        <v>43514</v>
      </c>
      <c r="AC737" s="5">
        <v>43514</v>
      </c>
      <c r="AD737" s="5">
        <v>43970.333333333336</v>
      </c>
      <c r="AE737" s="5">
        <v>43970.333333333336</v>
      </c>
      <c r="AG737" s="5">
        <v>44044</v>
      </c>
      <c r="AH737" s="5">
        <v>44044</v>
      </c>
      <c r="AK737" s="5">
        <v>43556.333333333336</v>
      </c>
      <c r="AL737" s="5">
        <v>43556.666666666664</v>
      </c>
      <c r="AP737" t="s">
        <v>418</v>
      </c>
      <c r="AU737" t="s">
        <v>3921</v>
      </c>
      <c r="AV737" t="s">
        <v>3922</v>
      </c>
      <c r="AY737" t="s">
        <v>40</v>
      </c>
      <c r="AZ737">
        <v>8</v>
      </c>
      <c r="BA737">
        <v>0</v>
      </c>
      <c r="BI737" s="5">
        <v>44048.176388888889</v>
      </c>
      <c r="BJ737" s="5">
        <v>44048.176388888889</v>
      </c>
      <c r="BK737" t="s">
        <v>778</v>
      </c>
      <c r="BL737" t="s">
        <v>778</v>
      </c>
      <c r="BN737" t="s">
        <v>37</v>
      </c>
    </row>
    <row r="738" spans="1:66" x14ac:dyDescent="0.2">
      <c r="A738">
        <v>3693295</v>
      </c>
      <c r="B738">
        <v>21883</v>
      </c>
      <c r="C738">
        <v>523877</v>
      </c>
      <c r="D738">
        <v>52895</v>
      </c>
      <c r="E738">
        <v>100</v>
      </c>
      <c r="F738" t="s">
        <v>37</v>
      </c>
      <c r="G738">
        <v>1</v>
      </c>
      <c r="H738" t="s">
        <v>37</v>
      </c>
      <c r="I738" t="s">
        <v>37</v>
      </c>
      <c r="J738" t="s">
        <v>775</v>
      </c>
      <c r="K738" t="s">
        <v>230</v>
      </c>
      <c r="L738" t="s">
        <v>226</v>
      </c>
      <c r="M738" t="s">
        <v>422</v>
      </c>
      <c r="N738" t="s">
        <v>3923</v>
      </c>
      <c r="O738" t="s">
        <v>3924</v>
      </c>
      <c r="S738">
        <v>0</v>
      </c>
      <c r="T738">
        <v>0</v>
      </c>
      <c r="U738">
        <v>0</v>
      </c>
      <c r="V738">
        <v>0</v>
      </c>
      <c r="W738">
        <v>16</v>
      </c>
      <c r="X738">
        <v>0</v>
      </c>
      <c r="Y738">
        <v>0</v>
      </c>
      <c r="Z738">
        <v>0</v>
      </c>
      <c r="AB738" s="5">
        <v>43514</v>
      </c>
      <c r="AC738" s="5">
        <v>43521</v>
      </c>
      <c r="AD738" s="5">
        <v>43970.333333333336</v>
      </c>
      <c r="AE738" s="5">
        <v>43970.333333333336</v>
      </c>
      <c r="AG738" s="5">
        <v>44044</v>
      </c>
      <c r="AH738" s="5">
        <v>44044</v>
      </c>
      <c r="AK738" s="5">
        <v>43556.333333333336</v>
      </c>
      <c r="AL738" s="5">
        <v>43557.666666666664</v>
      </c>
      <c r="AP738" t="s">
        <v>418</v>
      </c>
      <c r="AU738" t="s">
        <v>3925</v>
      </c>
      <c r="AV738" t="s">
        <v>3926</v>
      </c>
      <c r="AY738" t="s">
        <v>40</v>
      </c>
      <c r="AZ738">
        <v>0</v>
      </c>
      <c r="BA738">
        <v>0</v>
      </c>
      <c r="BI738" s="5">
        <v>44048.176388888889</v>
      </c>
      <c r="BJ738" s="5">
        <v>44048.176388888889</v>
      </c>
      <c r="BK738" t="s">
        <v>778</v>
      </c>
      <c r="BL738" t="s">
        <v>778</v>
      </c>
      <c r="BN738" t="s">
        <v>37</v>
      </c>
    </row>
    <row r="739" spans="1:66" x14ac:dyDescent="0.2">
      <c r="A739">
        <v>3693296</v>
      </c>
      <c r="B739">
        <v>21883</v>
      </c>
      <c r="C739">
        <v>523877</v>
      </c>
      <c r="D739">
        <v>52899</v>
      </c>
      <c r="E739">
        <v>100</v>
      </c>
      <c r="F739" t="s">
        <v>37</v>
      </c>
      <c r="G739">
        <v>1</v>
      </c>
      <c r="H739" t="s">
        <v>37</v>
      </c>
      <c r="I739" t="s">
        <v>37</v>
      </c>
      <c r="J739" t="s">
        <v>775</v>
      </c>
      <c r="K739" t="s">
        <v>230</v>
      </c>
      <c r="L739" t="s">
        <v>226</v>
      </c>
      <c r="M739" t="s">
        <v>422</v>
      </c>
      <c r="N739" t="s">
        <v>3927</v>
      </c>
      <c r="O739" t="s">
        <v>3928</v>
      </c>
      <c r="S739">
        <v>0</v>
      </c>
      <c r="T739">
        <v>8</v>
      </c>
      <c r="U739">
        <v>0</v>
      </c>
      <c r="V739">
        <v>8</v>
      </c>
      <c r="W739">
        <v>8</v>
      </c>
      <c r="X739">
        <v>0</v>
      </c>
      <c r="Y739">
        <v>0</v>
      </c>
      <c r="Z739">
        <v>0</v>
      </c>
      <c r="AB739" s="5">
        <v>43522</v>
      </c>
      <c r="AC739" s="5">
        <v>43524</v>
      </c>
      <c r="AD739" s="5">
        <v>43970.333333333336</v>
      </c>
      <c r="AE739" s="5">
        <v>43970.333333333336</v>
      </c>
      <c r="AG739" s="5">
        <v>44044</v>
      </c>
      <c r="AH739" s="5">
        <v>44044</v>
      </c>
      <c r="AK739" s="5">
        <v>43586.333333333336</v>
      </c>
      <c r="AL739" s="5">
        <v>43586.666666666664</v>
      </c>
      <c r="AP739" t="s">
        <v>418</v>
      </c>
      <c r="AU739" t="s">
        <v>3929</v>
      </c>
      <c r="AV739" t="s">
        <v>3930</v>
      </c>
      <c r="AY739" t="s">
        <v>40</v>
      </c>
      <c r="AZ739">
        <v>8</v>
      </c>
      <c r="BA739">
        <v>0</v>
      </c>
      <c r="BI739" s="5">
        <v>44048.176388888889</v>
      </c>
      <c r="BJ739" s="5">
        <v>44048.176388888889</v>
      </c>
      <c r="BK739" t="s">
        <v>778</v>
      </c>
      <c r="BL739" t="s">
        <v>778</v>
      </c>
      <c r="BN739" t="s">
        <v>37</v>
      </c>
    </row>
    <row r="740" spans="1:66" x14ac:dyDescent="0.2">
      <c r="A740">
        <v>3693297</v>
      </c>
      <c r="B740">
        <v>21883</v>
      </c>
      <c r="C740">
        <v>523894</v>
      </c>
      <c r="D740">
        <v>52899</v>
      </c>
      <c r="E740">
        <v>100</v>
      </c>
      <c r="F740" t="s">
        <v>37</v>
      </c>
      <c r="G740">
        <v>1</v>
      </c>
      <c r="H740" t="s">
        <v>37</v>
      </c>
      <c r="I740" t="s">
        <v>37</v>
      </c>
      <c r="J740" t="s">
        <v>775</v>
      </c>
      <c r="K740" t="s">
        <v>230</v>
      </c>
      <c r="L740" t="s">
        <v>226</v>
      </c>
      <c r="M740" t="s">
        <v>422</v>
      </c>
      <c r="N740" t="s">
        <v>3931</v>
      </c>
      <c r="O740" t="s">
        <v>3932</v>
      </c>
      <c r="S740">
        <v>0</v>
      </c>
      <c r="T740">
        <v>24</v>
      </c>
      <c r="U740">
        <v>0</v>
      </c>
      <c r="V740">
        <v>24</v>
      </c>
      <c r="W740">
        <v>24</v>
      </c>
      <c r="X740">
        <v>0</v>
      </c>
      <c r="Y740">
        <v>0</v>
      </c>
      <c r="Z740">
        <v>0</v>
      </c>
      <c r="AB740" s="5">
        <v>43392</v>
      </c>
      <c r="AC740" s="5">
        <v>43395</v>
      </c>
      <c r="AD740" s="5">
        <v>43970.333333333336</v>
      </c>
      <c r="AE740" s="5">
        <v>43970.333333333336</v>
      </c>
      <c r="AG740" s="5">
        <v>44044</v>
      </c>
      <c r="AH740" s="5">
        <v>44044</v>
      </c>
      <c r="AK740" s="5">
        <v>43406.333333333336</v>
      </c>
      <c r="AL740" s="5">
        <v>43410.666666666664</v>
      </c>
      <c r="AP740" t="s">
        <v>418</v>
      </c>
      <c r="AU740" t="s">
        <v>3933</v>
      </c>
      <c r="AV740" t="s">
        <v>3934</v>
      </c>
      <c r="AY740" t="s">
        <v>40</v>
      </c>
      <c r="AZ740">
        <v>24</v>
      </c>
      <c r="BA740">
        <v>0</v>
      </c>
      <c r="BI740" s="5">
        <v>44048.176388888889</v>
      </c>
      <c r="BJ740" s="5">
        <v>44048.176388888889</v>
      </c>
      <c r="BK740" t="s">
        <v>778</v>
      </c>
      <c r="BL740" t="s">
        <v>778</v>
      </c>
      <c r="BN740" t="s">
        <v>37</v>
      </c>
    </row>
    <row r="741" spans="1:66" x14ac:dyDescent="0.2">
      <c r="A741">
        <v>3693298</v>
      </c>
      <c r="B741">
        <v>21883</v>
      </c>
      <c r="C741">
        <v>523893</v>
      </c>
      <c r="D741">
        <v>52899</v>
      </c>
      <c r="E741">
        <v>100</v>
      </c>
      <c r="F741" t="s">
        <v>37</v>
      </c>
      <c r="G741">
        <v>1</v>
      </c>
      <c r="H741" t="s">
        <v>37</v>
      </c>
      <c r="I741" t="s">
        <v>37</v>
      </c>
      <c r="J741" t="s">
        <v>775</v>
      </c>
      <c r="K741" t="s">
        <v>230</v>
      </c>
      <c r="L741" t="s">
        <v>226</v>
      </c>
      <c r="M741" t="s">
        <v>422</v>
      </c>
      <c r="N741" t="s">
        <v>3935</v>
      </c>
      <c r="O741" t="s">
        <v>3936</v>
      </c>
      <c r="S741">
        <v>0</v>
      </c>
      <c r="T741">
        <v>0</v>
      </c>
      <c r="U741">
        <v>0</v>
      </c>
      <c r="V741">
        <v>0</v>
      </c>
      <c r="W741">
        <v>16</v>
      </c>
      <c r="X741">
        <v>0</v>
      </c>
      <c r="Y741">
        <v>0</v>
      </c>
      <c r="Z741">
        <v>0</v>
      </c>
      <c r="AB741" s="5">
        <v>43409</v>
      </c>
      <c r="AC741" s="5">
        <v>43411</v>
      </c>
      <c r="AD741" s="5">
        <v>43970.333333333336</v>
      </c>
      <c r="AE741" s="5">
        <v>43970.333333333336</v>
      </c>
      <c r="AG741" s="5">
        <v>44044</v>
      </c>
      <c r="AH741" s="5">
        <v>44044</v>
      </c>
      <c r="AK741" s="5">
        <v>43497.333333333336</v>
      </c>
      <c r="AL741" s="5">
        <v>43500.666666666664</v>
      </c>
      <c r="AP741" t="s">
        <v>418</v>
      </c>
      <c r="AU741" t="s">
        <v>3937</v>
      </c>
      <c r="AV741" t="s">
        <v>3938</v>
      </c>
      <c r="AY741" t="s">
        <v>40</v>
      </c>
      <c r="AZ741">
        <v>0</v>
      </c>
      <c r="BA741">
        <v>0</v>
      </c>
      <c r="BI741" s="5">
        <v>44048.176388888889</v>
      </c>
      <c r="BJ741" s="5">
        <v>44048.176388888889</v>
      </c>
      <c r="BK741" t="s">
        <v>778</v>
      </c>
      <c r="BL741" t="s">
        <v>778</v>
      </c>
      <c r="BN741" t="s">
        <v>37</v>
      </c>
    </row>
    <row r="742" spans="1:66" x14ac:dyDescent="0.2">
      <c r="A742">
        <v>3693299</v>
      </c>
      <c r="B742">
        <v>21883</v>
      </c>
      <c r="C742">
        <v>523893</v>
      </c>
      <c r="D742">
        <v>52899</v>
      </c>
      <c r="E742">
        <v>100</v>
      </c>
      <c r="F742" t="s">
        <v>37</v>
      </c>
      <c r="G742">
        <v>1</v>
      </c>
      <c r="H742" t="s">
        <v>37</v>
      </c>
      <c r="I742" t="s">
        <v>37</v>
      </c>
      <c r="J742" t="s">
        <v>775</v>
      </c>
      <c r="K742" t="s">
        <v>230</v>
      </c>
      <c r="L742" t="s">
        <v>226</v>
      </c>
      <c r="M742" t="s">
        <v>422</v>
      </c>
      <c r="N742" t="s">
        <v>3939</v>
      </c>
      <c r="O742" t="s">
        <v>3940</v>
      </c>
      <c r="S742">
        <v>0</v>
      </c>
      <c r="T742">
        <v>24</v>
      </c>
      <c r="U742">
        <v>0</v>
      </c>
      <c r="V742">
        <v>24</v>
      </c>
      <c r="W742">
        <v>24</v>
      </c>
      <c r="X742">
        <v>0</v>
      </c>
      <c r="Y742">
        <v>0</v>
      </c>
      <c r="Z742">
        <v>0</v>
      </c>
      <c r="AB742" s="5">
        <v>43411</v>
      </c>
      <c r="AC742" s="5">
        <v>43413</v>
      </c>
      <c r="AD742" s="5">
        <v>43970.333333333336</v>
      </c>
      <c r="AE742" s="5">
        <v>43970.333333333336</v>
      </c>
      <c r="AG742" s="5">
        <v>44044</v>
      </c>
      <c r="AH742" s="5">
        <v>44044</v>
      </c>
      <c r="AK742" s="5">
        <v>43501.333333333336</v>
      </c>
      <c r="AL742" s="5">
        <v>43503.666666666664</v>
      </c>
      <c r="AP742" t="s">
        <v>418</v>
      </c>
      <c r="AU742" t="s">
        <v>3941</v>
      </c>
      <c r="AV742" t="s">
        <v>3942</v>
      </c>
      <c r="AY742" t="s">
        <v>40</v>
      </c>
      <c r="AZ742">
        <v>24</v>
      </c>
      <c r="BA742">
        <v>0</v>
      </c>
      <c r="BI742" s="5">
        <v>44048.176388888889</v>
      </c>
      <c r="BJ742" s="5">
        <v>44048.176388888889</v>
      </c>
      <c r="BK742" t="s">
        <v>778</v>
      </c>
      <c r="BL742" t="s">
        <v>778</v>
      </c>
      <c r="BN742" t="s">
        <v>37</v>
      </c>
    </row>
    <row r="743" spans="1:66" x14ac:dyDescent="0.2">
      <c r="A743">
        <v>3693300</v>
      </c>
      <c r="B743">
        <v>21883</v>
      </c>
      <c r="C743">
        <v>523894</v>
      </c>
      <c r="D743">
        <v>52899</v>
      </c>
      <c r="E743">
        <v>100</v>
      </c>
      <c r="F743" t="s">
        <v>37</v>
      </c>
      <c r="G743">
        <v>1</v>
      </c>
      <c r="H743" t="s">
        <v>37</v>
      </c>
      <c r="I743" t="s">
        <v>37</v>
      </c>
      <c r="J743" t="s">
        <v>775</v>
      </c>
      <c r="K743" t="s">
        <v>230</v>
      </c>
      <c r="L743" t="s">
        <v>226</v>
      </c>
      <c r="M743" t="s">
        <v>422</v>
      </c>
      <c r="N743" t="s">
        <v>3943</v>
      </c>
      <c r="O743" t="s">
        <v>3944</v>
      </c>
      <c r="S743">
        <v>0</v>
      </c>
      <c r="T743">
        <v>0</v>
      </c>
      <c r="U743">
        <v>0</v>
      </c>
      <c r="V743">
        <v>0</v>
      </c>
      <c r="W743">
        <v>16</v>
      </c>
      <c r="X743">
        <v>0</v>
      </c>
      <c r="Y743">
        <v>0</v>
      </c>
      <c r="Z743">
        <v>0</v>
      </c>
      <c r="AB743" s="5">
        <v>43389</v>
      </c>
      <c r="AC743" s="5">
        <v>43392</v>
      </c>
      <c r="AD743" s="5">
        <v>43970.333333333336</v>
      </c>
      <c r="AE743" s="5">
        <v>43970.333333333336</v>
      </c>
      <c r="AG743" s="5">
        <v>44044</v>
      </c>
      <c r="AH743" s="5">
        <v>44044</v>
      </c>
      <c r="AK743" s="5">
        <v>43406.333333333336</v>
      </c>
      <c r="AL743" s="5">
        <v>43409.666666666664</v>
      </c>
      <c r="AP743" t="s">
        <v>418</v>
      </c>
      <c r="AU743" t="s">
        <v>3945</v>
      </c>
      <c r="AV743" t="s">
        <v>3946</v>
      </c>
      <c r="AY743" t="s">
        <v>40</v>
      </c>
      <c r="AZ743">
        <v>0</v>
      </c>
      <c r="BA743">
        <v>0</v>
      </c>
      <c r="BI743" s="5">
        <v>44048.176388888889</v>
      </c>
      <c r="BJ743" s="5">
        <v>44048.176388888889</v>
      </c>
      <c r="BK743" t="s">
        <v>778</v>
      </c>
      <c r="BL743" t="s">
        <v>778</v>
      </c>
      <c r="BN743" t="s">
        <v>37</v>
      </c>
    </row>
    <row r="744" spans="1:66" x14ac:dyDescent="0.2">
      <c r="A744">
        <v>3693301</v>
      </c>
      <c r="B744">
        <v>21883</v>
      </c>
      <c r="C744">
        <v>523984</v>
      </c>
      <c r="D744">
        <v>52895</v>
      </c>
      <c r="E744">
        <v>100</v>
      </c>
      <c r="F744" t="s">
        <v>37</v>
      </c>
      <c r="G744">
        <v>1</v>
      </c>
      <c r="H744" t="s">
        <v>37</v>
      </c>
      <c r="I744" t="s">
        <v>37</v>
      </c>
      <c r="J744" t="s">
        <v>775</v>
      </c>
      <c r="K744" t="s">
        <v>230</v>
      </c>
      <c r="L744" t="s">
        <v>226</v>
      </c>
      <c r="M744" t="s">
        <v>422</v>
      </c>
      <c r="N744" t="s">
        <v>3947</v>
      </c>
      <c r="O744" t="s">
        <v>3948</v>
      </c>
      <c r="S744">
        <v>0</v>
      </c>
      <c r="T744">
        <v>0</v>
      </c>
      <c r="U744">
        <v>0</v>
      </c>
      <c r="V744">
        <v>0</v>
      </c>
      <c r="W744">
        <v>240</v>
      </c>
      <c r="X744">
        <v>0</v>
      </c>
      <c r="Y744">
        <v>0</v>
      </c>
      <c r="Z744">
        <v>0</v>
      </c>
      <c r="AB744" s="5">
        <v>43160.333333333336</v>
      </c>
      <c r="AC744" s="5">
        <v>43203.666666666664</v>
      </c>
      <c r="AD744" s="5">
        <v>43970.333333333336</v>
      </c>
      <c r="AE744" s="5">
        <v>43970.333333333336</v>
      </c>
      <c r="AG744" s="5">
        <v>44044</v>
      </c>
      <c r="AH744" s="5">
        <v>44044</v>
      </c>
      <c r="AK744" s="5">
        <v>43160.333333333336</v>
      </c>
      <c r="AL744" s="5">
        <v>43189.666666666664</v>
      </c>
      <c r="AP744" t="s">
        <v>418</v>
      </c>
      <c r="AU744" t="s">
        <v>3949</v>
      </c>
      <c r="AV744" t="s">
        <v>3950</v>
      </c>
      <c r="AY744" t="s">
        <v>40</v>
      </c>
      <c r="AZ744">
        <v>0</v>
      </c>
      <c r="BA744">
        <v>0</v>
      </c>
      <c r="BI744" s="5">
        <v>44048.176388888889</v>
      </c>
      <c r="BJ744" s="5">
        <v>44048.176388888889</v>
      </c>
      <c r="BK744" t="s">
        <v>778</v>
      </c>
      <c r="BL744" t="s">
        <v>778</v>
      </c>
      <c r="BN744" t="s">
        <v>37</v>
      </c>
    </row>
    <row r="745" spans="1:66" x14ac:dyDescent="0.2">
      <c r="A745">
        <v>3693302</v>
      </c>
      <c r="B745">
        <v>21883</v>
      </c>
      <c r="C745">
        <v>523984</v>
      </c>
      <c r="D745">
        <v>52895</v>
      </c>
      <c r="E745">
        <v>100</v>
      </c>
      <c r="F745" t="s">
        <v>37</v>
      </c>
      <c r="G745">
        <v>1</v>
      </c>
      <c r="H745" t="s">
        <v>37</v>
      </c>
      <c r="I745" t="s">
        <v>37</v>
      </c>
      <c r="J745" t="s">
        <v>775</v>
      </c>
      <c r="K745" t="s">
        <v>230</v>
      </c>
      <c r="L745" t="s">
        <v>226</v>
      </c>
      <c r="M745" t="s">
        <v>422</v>
      </c>
      <c r="N745" t="s">
        <v>3951</v>
      </c>
      <c r="O745" t="s">
        <v>3952</v>
      </c>
      <c r="S745">
        <v>0</v>
      </c>
      <c r="T745">
        <v>0</v>
      </c>
      <c r="U745">
        <v>0</v>
      </c>
      <c r="V745">
        <v>0</v>
      </c>
      <c r="W745">
        <v>240</v>
      </c>
      <c r="X745">
        <v>0</v>
      </c>
      <c r="Y745">
        <v>0</v>
      </c>
      <c r="Z745">
        <v>0</v>
      </c>
      <c r="AB745" s="5">
        <v>43182.333333333336</v>
      </c>
      <c r="AC745" s="5">
        <v>43203.666666666664</v>
      </c>
      <c r="AD745" s="5">
        <v>43970.333333333336</v>
      </c>
      <c r="AE745" s="5">
        <v>43970.333333333336</v>
      </c>
      <c r="AG745" s="5">
        <v>44044</v>
      </c>
      <c r="AH745" s="5">
        <v>44044</v>
      </c>
      <c r="AK745" s="5">
        <v>43191.333333333336</v>
      </c>
      <c r="AL745" s="5">
        <v>43220.666666666664</v>
      </c>
      <c r="AP745" t="s">
        <v>418</v>
      </c>
      <c r="AU745" t="s">
        <v>3953</v>
      </c>
      <c r="AV745" t="s">
        <v>3954</v>
      </c>
      <c r="AY745" t="s">
        <v>40</v>
      </c>
      <c r="AZ745">
        <v>0</v>
      </c>
      <c r="BA745">
        <v>0</v>
      </c>
      <c r="BI745" s="5">
        <v>44048.176388888889</v>
      </c>
      <c r="BJ745" s="5">
        <v>44048.176388888889</v>
      </c>
      <c r="BK745" t="s">
        <v>778</v>
      </c>
      <c r="BL745" t="s">
        <v>778</v>
      </c>
      <c r="BN745" t="s">
        <v>37</v>
      </c>
    </row>
    <row r="746" spans="1:66" x14ac:dyDescent="0.2">
      <c r="A746">
        <v>3693303</v>
      </c>
      <c r="B746">
        <v>21883</v>
      </c>
      <c r="C746">
        <v>523984</v>
      </c>
      <c r="D746">
        <v>52895</v>
      </c>
      <c r="E746">
        <v>100</v>
      </c>
      <c r="F746" t="s">
        <v>37</v>
      </c>
      <c r="G746">
        <v>1</v>
      </c>
      <c r="H746" t="s">
        <v>37</v>
      </c>
      <c r="I746" t="s">
        <v>37</v>
      </c>
      <c r="J746" t="s">
        <v>775</v>
      </c>
      <c r="K746" t="s">
        <v>230</v>
      </c>
      <c r="L746" t="s">
        <v>226</v>
      </c>
      <c r="M746" t="s">
        <v>422</v>
      </c>
      <c r="N746" t="s">
        <v>3955</v>
      </c>
      <c r="O746" t="s">
        <v>3956</v>
      </c>
      <c r="S746">
        <v>0</v>
      </c>
      <c r="T746">
        <v>0</v>
      </c>
      <c r="U746">
        <v>0</v>
      </c>
      <c r="V746">
        <v>0</v>
      </c>
      <c r="W746">
        <v>240</v>
      </c>
      <c r="X746">
        <v>0</v>
      </c>
      <c r="Y746">
        <v>0</v>
      </c>
      <c r="Z746">
        <v>0</v>
      </c>
      <c r="AB746" s="5">
        <v>43160.333333333336</v>
      </c>
      <c r="AC746" s="5">
        <v>43203.666666666664</v>
      </c>
      <c r="AD746" s="5">
        <v>43970.333333333336</v>
      </c>
      <c r="AE746" s="5">
        <v>43970.333333333336</v>
      </c>
      <c r="AG746" s="5">
        <v>44044</v>
      </c>
      <c r="AH746" s="5">
        <v>44044</v>
      </c>
      <c r="AK746" s="5">
        <v>43160.333333333336</v>
      </c>
      <c r="AL746" s="5">
        <v>43189.666666666664</v>
      </c>
      <c r="AP746" t="s">
        <v>418</v>
      </c>
      <c r="AU746" t="s">
        <v>3957</v>
      </c>
      <c r="AV746" t="s">
        <v>3958</v>
      </c>
      <c r="AY746" t="s">
        <v>40</v>
      </c>
      <c r="AZ746">
        <v>0</v>
      </c>
      <c r="BA746">
        <v>0</v>
      </c>
      <c r="BI746" s="5">
        <v>44048.176388888889</v>
      </c>
      <c r="BJ746" s="5">
        <v>44048.176388888889</v>
      </c>
      <c r="BK746" t="s">
        <v>778</v>
      </c>
      <c r="BL746" t="s">
        <v>778</v>
      </c>
      <c r="BN746" t="s">
        <v>37</v>
      </c>
    </row>
    <row r="747" spans="1:66" x14ac:dyDescent="0.2">
      <c r="A747">
        <v>3693304</v>
      </c>
      <c r="B747">
        <v>21883</v>
      </c>
      <c r="C747">
        <v>523984</v>
      </c>
      <c r="D747">
        <v>52895</v>
      </c>
      <c r="E747">
        <v>100</v>
      </c>
      <c r="F747" t="s">
        <v>37</v>
      </c>
      <c r="G747">
        <v>1</v>
      </c>
      <c r="H747" t="s">
        <v>37</v>
      </c>
      <c r="I747" t="s">
        <v>37</v>
      </c>
      <c r="J747" t="s">
        <v>775</v>
      </c>
      <c r="K747" t="s">
        <v>230</v>
      </c>
      <c r="L747" t="s">
        <v>226</v>
      </c>
      <c r="M747" t="s">
        <v>422</v>
      </c>
      <c r="N747" t="s">
        <v>3959</v>
      </c>
      <c r="O747" t="s">
        <v>3960</v>
      </c>
      <c r="S747">
        <v>0</v>
      </c>
      <c r="T747">
        <v>0</v>
      </c>
      <c r="U747">
        <v>0</v>
      </c>
      <c r="V747">
        <v>0</v>
      </c>
      <c r="W747">
        <v>240</v>
      </c>
      <c r="X747">
        <v>0</v>
      </c>
      <c r="Y747">
        <v>0</v>
      </c>
      <c r="Z747">
        <v>0</v>
      </c>
      <c r="AB747" s="5">
        <v>43290.333333333336</v>
      </c>
      <c r="AC747" s="5">
        <v>43326.666666666664</v>
      </c>
      <c r="AD747" s="5">
        <v>43970.333333333336</v>
      </c>
      <c r="AE747" s="5">
        <v>43970.333333333336</v>
      </c>
      <c r="AG747" s="5">
        <v>44044</v>
      </c>
      <c r="AH747" s="5">
        <v>44044</v>
      </c>
      <c r="AK747" s="5">
        <v>43282.333333333336</v>
      </c>
      <c r="AL747" s="5">
        <v>43311.666666666664</v>
      </c>
      <c r="AP747" t="s">
        <v>418</v>
      </c>
      <c r="AU747" t="s">
        <v>3961</v>
      </c>
      <c r="AV747" t="s">
        <v>3962</v>
      </c>
      <c r="AY747" t="s">
        <v>40</v>
      </c>
      <c r="AZ747">
        <v>0</v>
      </c>
      <c r="BA747">
        <v>0</v>
      </c>
      <c r="BI747" s="5">
        <v>44048.176388888889</v>
      </c>
      <c r="BJ747" s="5">
        <v>44048.176388888889</v>
      </c>
      <c r="BK747" t="s">
        <v>778</v>
      </c>
      <c r="BL747" t="s">
        <v>778</v>
      </c>
      <c r="BN747" t="s">
        <v>37</v>
      </c>
    </row>
    <row r="748" spans="1:66" x14ac:dyDescent="0.2">
      <c r="A748">
        <v>3693305</v>
      </c>
      <c r="B748">
        <v>21883</v>
      </c>
      <c r="C748">
        <v>523984</v>
      </c>
      <c r="D748">
        <v>52895</v>
      </c>
      <c r="E748">
        <v>100</v>
      </c>
      <c r="F748" t="s">
        <v>37</v>
      </c>
      <c r="G748">
        <v>1</v>
      </c>
      <c r="H748" t="s">
        <v>37</v>
      </c>
      <c r="I748" t="s">
        <v>37</v>
      </c>
      <c r="J748" t="s">
        <v>775</v>
      </c>
      <c r="K748" t="s">
        <v>230</v>
      </c>
      <c r="L748" t="s">
        <v>226</v>
      </c>
      <c r="M748" t="s">
        <v>422</v>
      </c>
      <c r="N748" t="s">
        <v>3963</v>
      </c>
      <c r="O748" t="s">
        <v>3964</v>
      </c>
      <c r="S748">
        <v>0</v>
      </c>
      <c r="T748">
        <v>0</v>
      </c>
      <c r="U748">
        <v>0</v>
      </c>
      <c r="V748">
        <v>0</v>
      </c>
      <c r="W748">
        <v>240</v>
      </c>
      <c r="X748">
        <v>0</v>
      </c>
      <c r="Y748">
        <v>0</v>
      </c>
      <c r="Z748">
        <v>0</v>
      </c>
      <c r="AB748" s="5">
        <v>43276.333333333336</v>
      </c>
      <c r="AC748" s="5">
        <v>43342.666666666664</v>
      </c>
      <c r="AD748" s="5">
        <v>43970.333333333336</v>
      </c>
      <c r="AE748" s="5">
        <v>43970.333333333336</v>
      </c>
      <c r="AG748" s="5">
        <v>44044</v>
      </c>
      <c r="AH748" s="5">
        <v>44044</v>
      </c>
      <c r="AK748" s="5">
        <v>43282.333333333336</v>
      </c>
      <c r="AL748" s="5">
        <v>43311.666666666664</v>
      </c>
      <c r="AP748" t="s">
        <v>418</v>
      </c>
      <c r="AU748" t="s">
        <v>3965</v>
      </c>
      <c r="AV748" t="s">
        <v>3966</v>
      </c>
      <c r="AY748" t="s">
        <v>40</v>
      </c>
      <c r="AZ748">
        <v>0</v>
      </c>
      <c r="BA748">
        <v>0</v>
      </c>
      <c r="BI748" s="5">
        <v>44048.176388888889</v>
      </c>
      <c r="BJ748" s="5">
        <v>44048.176388888889</v>
      </c>
      <c r="BK748" t="s">
        <v>778</v>
      </c>
      <c r="BL748" t="s">
        <v>778</v>
      </c>
      <c r="BN748" t="s">
        <v>37</v>
      </c>
    </row>
    <row r="749" spans="1:66" x14ac:dyDescent="0.2">
      <c r="A749">
        <v>3693306</v>
      </c>
      <c r="B749">
        <v>21883</v>
      </c>
      <c r="C749">
        <v>523985</v>
      </c>
      <c r="D749">
        <v>52895</v>
      </c>
      <c r="E749">
        <v>100</v>
      </c>
      <c r="F749" t="s">
        <v>37</v>
      </c>
      <c r="G749">
        <v>1</v>
      </c>
      <c r="H749" t="s">
        <v>37</v>
      </c>
      <c r="I749" t="s">
        <v>37</v>
      </c>
      <c r="J749" t="s">
        <v>775</v>
      </c>
      <c r="K749" t="s">
        <v>230</v>
      </c>
      <c r="L749" t="s">
        <v>226</v>
      </c>
      <c r="M749" t="s">
        <v>422</v>
      </c>
      <c r="N749" t="s">
        <v>3967</v>
      </c>
      <c r="O749" t="s">
        <v>3968</v>
      </c>
      <c r="S749">
        <v>0</v>
      </c>
      <c r="T749">
        <v>0</v>
      </c>
      <c r="U749">
        <v>0</v>
      </c>
      <c r="V749">
        <v>0</v>
      </c>
      <c r="W749">
        <v>120</v>
      </c>
      <c r="X749">
        <v>0</v>
      </c>
      <c r="Y749">
        <v>0</v>
      </c>
      <c r="Z749">
        <v>0</v>
      </c>
      <c r="AB749" s="5">
        <v>43360.333333333336</v>
      </c>
      <c r="AC749" s="5">
        <v>43451</v>
      </c>
      <c r="AD749" s="5">
        <v>43970.333333333336</v>
      </c>
      <c r="AE749" s="5">
        <v>43970.333333333336</v>
      </c>
      <c r="AG749" s="5">
        <v>44044</v>
      </c>
      <c r="AH749" s="5">
        <v>44044</v>
      </c>
      <c r="AK749" s="5">
        <v>43355.333333333336</v>
      </c>
      <c r="AL749" s="5">
        <v>43369.666666666664</v>
      </c>
      <c r="AP749" t="s">
        <v>418</v>
      </c>
      <c r="AU749" t="s">
        <v>3969</v>
      </c>
      <c r="AV749" t="s">
        <v>3970</v>
      </c>
      <c r="AY749" t="s">
        <v>40</v>
      </c>
      <c r="AZ749">
        <v>0</v>
      </c>
      <c r="BA749">
        <v>0</v>
      </c>
      <c r="BI749" s="5">
        <v>44048.176388888889</v>
      </c>
      <c r="BJ749" s="5">
        <v>44048.176388888889</v>
      </c>
      <c r="BK749" t="s">
        <v>778</v>
      </c>
      <c r="BL749" t="s">
        <v>778</v>
      </c>
      <c r="BN749" t="s">
        <v>37</v>
      </c>
    </row>
    <row r="750" spans="1:66" x14ac:dyDescent="0.2">
      <c r="A750">
        <v>3693307</v>
      </c>
      <c r="B750">
        <v>21883</v>
      </c>
      <c r="C750">
        <v>523985</v>
      </c>
      <c r="D750">
        <v>52895</v>
      </c>
      <c r="E750">
        <v>100</v>
      </c>
      <c r="F750" t="s">
        <v>37</v>
      </c>
      <c r="G750">
        <v>1</v>
      </c>
      <c r="H750" t="s">
        <v>37</v>
      </c>
      <c r="I750" t="s">
        <v>37</v>
      </c>
      <c r="J750" t="s">
        <v>775</v>
      </c>
      <c r="K750" t="s">
        <v>230</v>
      </c>
      <c r="L750" t="s">
        <v>226</v>
      </c>
      <c r="M750" t="s">
        <v>422</v>
      </c>
      <c r="N750" t="s">
        <v>3971</v>
      </c>
      <c r="O750" t="s">
        <v>3972</v>
      </c>
      <c r="S750">
        <v>0</v>
      </c>
      <c r="T750">
        <v>0</v>
      </c>
      <c r="U750">
        <v>0</v>
      </c>
      <c r="V750">
        <v>0</v>
      </c>
      <c r="W750">
        <v>240</v>
      </c>
      <c r="X750">
        <v>0</v>
      </c>
      <c r="Y750">
        <v>0</v>
      </c>
      <c r="Z750">
        <v>0</v>
      </c>
      <c r="AB750" s="5">
        <v>43342.333333333336</v>
      </c>
      <c r="AC750" s="5">
        <v>43482</v>
      </c>
      <c r="AD750" s="5">
        <v>43970.333333333336</v>
      </c>
      <c r="AE750" s="5">
        <v>43970.333333333336</v>
      </c>
      <c r="AG750" s="5">
        <v>44044</v>
      </c>
      <c r="AH750" s="5">
        <v>44044</v>
      </c>
      <c r="AK750" s="5">
        <v>43344.333333333336</v>
      </c>
      <c r="AL750" s="5">
        <v>43373.666666666664</v>
      </c>
      <c r="AP750" t="s">
        <v>418</v>
      </c>
      <c r="AU750" t="s">
        <v>3973</v>
      </c>
      <c r="AV750" t="s">
        <v>3974</v>
      </c>
      <c r="AY750" t="s">
        <v>40</v>
      </c>
      <c r="AZ750">
        <v>0</v>
      </c>
      <c r="BA750">
        <v>0</v>
      </c>
      <c r="BI750" s="5">
        <v>44048.176388888889</v>
      </c>
      <c r="BJ750" s="5">
        <v>44048.176388888889</v>
      </c>
      <c r="BK750" t="s">
        <v>778</v>
      </c>
      <c r="BL750" t="s">
        <v>778</v>
      </c>
      <c r="BN750" t="s">
        <v>37</v>
      </c>
    </row>
    <row r="751" spans="1:66" x14ac:dyDescent="0.2">
      <c r="A751">
        <v>3693308</v>
      </c>
      <c r="B751">
        <v>21883</v>
      </c>
      <c r="C751">
        <v>523984</v>
      </c>
      <c r="D751">
        <v>52895</v>
      </c>
      <c r="E751">
        <v>100</v>
      </c>
      <c r="F751" t="s">
        <v>37</v>
      </c>
      <c r="G751">
        <v>1</v>
      </c>
      <c r="H751" t="s">
        <v>37</v>
      </c>
      <c r="I751" t="s">
        <v>37</v>
      </c>
      <c r="J751" t="s">
        <v>775</v>
      </c>
      <c r="K751" t="s">
        <v>230</v>
      </c>
      <c r="L751" t="s">
        <v>226</v>
      </c>
      <c r="M751" t="s">
        <v>422</v>
      </c>
      <c r="N751" t="s">
        <v>3975</v>
      </c>
      <c r="O751" t="s">
        <v>3976</v>
      </c>
      <c r="S751">
        <v>0</v>
      </c>
      <c r="T751">
        <v>0</v>
      </c>
      <c r="U751">
        <v>0</v>
      </c>
      <c r="V751">
        <v>0</v>
      </c>
      <c r="W751">
        <v>240</v>
      </c>
      <c r="X751">
        <v>0</v>
      </c>
      <c r="Y751">
        <v>0</v>
      </c>
      <c r="Z751">
        <v>0</v>
      </c>
      <c r="AB751" s="5">
        <v>43332.333333333336</v>
      </c>
      <c r="AC751" s="5">
        <v>43445</v>
      </c>
      <c r="AD751" s="5">
        <v>44082.333333333336</v>
      </c>
      <c r="AE751" s="5">
        <v>44082.333333333336</v>
      </c>
      <c r="AG751" s="5">
        <v>44044</v>
      </c>
      <c r="AH751" s="5">
        <v>44044</v>
      </c>
      <c r="AK751" s="5">
        <v>43344.333333333336</v>
      </c>
      <c r="AL751" s="5">
        <v>43373.666666666664</v>
      </c>
      <c r="AP751" t="s">
        <v>418</v>
      </c>
      <c r="AU751" t="s">
        <v>3977</v>
      </c>
      <c r="AV751" t="s">
        <v>3978</v>
      </c>
      <c r="AY751" t="s">
        <v>37</v>
      </c>
      <c r="AZ751">
        <v>0</v>
      </c>
      <c r="BA751">
        <v>0</v>
      </c>
      <c r="BI751" s="5">
        <v>44048.176388888889</v>
      </c>
      <c r="BJ751" s="5">
        <v>44048.176388888889</v>
      </c>
      <c r="BK751" t="s">
        <v>778</v>
      </c>
      <c r="BL751" t="s">
        <v>778</v>
      </c>
      <c r="BN751" t="s">
        <v>37</v>
      </c>
    </row>
    <row r="752" spans="1:66" x14ac:dyDescent="0.2">
      <c r="A752">
        <v>3693309</v>
      </c>
      <c r="B752">
        <v>21883</v>
      </c>
      <c r="C752">
        <v>523984</v>
      </c>
      <c r="D752">
        <v>52895</v>
      </c>
      <c r="E752">
        <v>100</v>
      </c>
      <c r="F752" t="s">
        <v>37</v>
      </c>
      <c r="G752">
        <v>1</v>
      </c>
      <c r="H752" t="s">
        <v>37</v>
      </c>
      <c r="I752" t="s">
        <v>37</v>
      </c>
      <c r="J752" t="s">
        <v>775</v>
      </c>
      <c r="K752" t="s">
        <v>230</v>
      </c>
      <c r="L752" t="s">
        <v>226</v>
      </c>
      <c r="M752" t="s">
        <v>422</v>
      </c>
      <c r="N752" t="s">
        <v>3979</v>
      </c>
      <c r="O752" t="s">
        <v>3980</v>
      </c>
      <c r="S752">
        <v>0</v>
      </c>
      <c r="T752">
        <v>0</v>
      </c>
      <c r="U752">
        <v>0</v>
      </c>
      <c r="V752">
        <v>0</v>
      </c>
      <c r="W752">
        <v>240</v>
      </c>
      <c r="X752">
        <v>0</v>
      </c>
      <c r="Y752">
        <v>0</v>
      </c>
      <c r="Z752">
        <v>0</v>
      </c>
      <c r="AB752" s="5">
        <v>43230.333333333336</v>
      </c>
      <c r="AC752" s="5">
        <v>43311.666666666664</v>
      </c>
      <c r="AD752" s="5">
        <v>44113.333333333336</v>
      </c>
      <c r="AE752" s="5">
        <v>44113.333333333336</v>
      </c>
      <c r="AG752" s="5">
        <v>44044</v>
      </c>
      <c r="AH752" s="5">
        <v>44044</v>
      </c>
      <c r="AK752" s="5">
        <v>43221.333333333336</v>
      </c>
      <c r="AL752" s="5">
        <v>43250.666666666664</v>
      </c>
      <c r="AP752" t="s">
        <v>418</v>
      </c>
      <c r="AU752" t="s">
        <v>3981</v>
      </c>
      <c r="AV752" t="s">
        <v>3982</v>
      </c>
      <c r="AY752" t="s">
        <v>37</v>
      </c>
      <c r="AZ752">
        <v>0</v>
      </c>
      <c r="BA752">
        <v>0</v>
      </c>
      <c r="BI752" s="5">
        <v>44048.176388888889</v>
      </c>
      <c r="BJ752" s="5">
        <v>44048.176388888889</v>
      </c>
      <c r="BK752" t="s">
        <v>778</v>
      </c>
      <c r="BL752" t="s">
        <v>778</v>
      </c>
      <c r="BN752" t="s">
        <v>37</v>
      </c>
    </row>
    <row r="753" spans="1:66" x14ac:dyDescent="0.2">
      <c r="A753">
        <v>3693310</v>
      </c>
      <c r="B753">
        <v>21883</v>
      </c>
      <c r="C753">
        <v>523984</v>
      </c>
      <c r="D753">
        <v>52895</v>
      </c>
      <c r="E753">
        <v>100</v>
      </c>
      <c r="F753" t="s">
        <v>37</v>
      </c>
      <c r="G753">
        <v>1</v>
      </c>
      <c r="H753" t="s">
        <v>37</v>
      </c>
      <c r="I753" t="s">
        <v>37</v>
      </c>
      <c r="J753" t="s">
        <v>775</v>
      </c>
      <c r="K753" t="s">
        <v>230</v>
      </c>
      <c r="L753" t="s">
        <v>226</v>
      </c>
      <c r="M753" t="s">
        <v>422</v>
      </c>
      <c r="N753" t="s">
        <v>3983</v>
      </c>
      <c r="O753" t="s">
        <v>3984</v>
      </c>
      <c r="S753">
        <v>0</v>
      </c>
      <c r="T753">
        <v>0</v>
      </c>
      <c r="U753">
        <v>0</v>
      </c>
      <c r="V753">
        <v>0</v>
      </c>
      <c r="W753">
        <v>240</v>
      </c>
      <c r="X753">
        <v>0</v>
      </c>
      <c r="Y753">
        <v>0</v>
      </c>
      <c r="Z753">
        <v>0</v>
      </c>
      <c r="AB753" s="5">
        <v>43172.333333333336</v>
      </c>
      <c r="AC753" s="5">
        <v>43200.666666666664</v>
      </c>
      <c r="AD753" s="5">
        <v>44032.333333333336</v>
      </c>
      <c r="AE753" s="5">
        <v>44032.333333333336</v>
      </c>
      <c r="AG753" s="5">
        <v>44044</v>
      </c>
      <c r="AH753" s="5">
        <v>44044</v>
      </c>
      <c r="AK753" s="5">
        <v>43201.333333333336</v>
      </c>
      <c r="AL753" s="5">
        <v>43230.666666666664</v>
      </c>
      <c r="AP753" t="s">
        <v>418</v>
      </c>
      <c r="AU753" t="s">
        <v>3985</v>
      </c>
      <c r="AV753" t="s">
        <v>3986</v>
      </c>
      <c r="AY753" t="s">
        <v>37</v>
      </c>
      <c r="AZ753">
        <v>0</v>
      </c>
      <c r="BA753">
        <v>0</v>
      </c>
      <c r="BI753" s="5">
        <v>44048.176388888889</v>
      </c>
      <c r="BJ753" s="5">
        <v>44048.176388888889</v>
      </c>
      <c r="BK753" t="s">
        <v>778</v>
      </c>
      <c r="BL753" t="s">
        <v>778</v>
      </c>
      <c r="BN753" t="s">
        <v>37</v>
      </c>
    </row>
    <row r="754" spans="1:66" x14ac:dyDescent="0.2">
      <c r="A754">
        <v>3693311</v>
      </c>
      <c r="B754">
        <v>21883</v>
      </c>
      <c r="C754">
        <v>523984</v>
      </c>
      <c r="D754">
        <v>52895</v>
      </c>
      <c r="E754">
        <v>100</v>
      </c>
      <c r="F754" t="s">
        <v>37</v>
      </c>
      <c r="G754">
        <v>1</v>
      </c>
      <c r="H754" t="s">
        <v>37</v>
      </c>
      <c r="I754" t="s">
        <v>37</v>
      </c>
      <c r="J754" t="s">
        <v>775</v>
      </c>
      <c r="K754" t="s">
        <v>230</v>
      </c>
      <c r="L754" t="s">
        <v>226</v>
      </c>
      <c r="M754" t="s">
        <v>422</v>
      </c>
      <c r="N754" t="s">
        <v>3987</v>
      </c>
      <c r="O754" t="s">
        <v>3988</v>
      </c>
      <c r="S754">
        <v>0</v>
      </c>
      <c r="T754">
        <v>0</v>
      </c>
      <c r="U754">
        <v>0</v>
      </c>
      <c r="V754">
        <v>0</v>
      </c>
      <c r="W754">
        <v>240</v>
      </c>
      <c r="X754">
        <v>0</v>
      </c>
      <c r="Y754">
        <v>0</v>
      </c>
      <c r="Z754">
        <v>0</v>
      </c>
      <c r="AB754" s="5">
        <v>43332.333333333336</v>
      </c>
      <c r="AC754" s="5">
        <v>43445</v>
      </c>
      <c r="AD754" s="5">
        <v>44082.333333333336</v>
      </c>
      <c r="AE754" s="5">
        <v>44082.333333333336</v>
      </c>
      <c r="AG754" s="5">
        <v>44044</v>
      </c>
      <c r="AH754" s="5">
        <v>44044</v>
      </c>
      <c r="AK754" s="5">
        <v>43344.333333333336</v>
      </c>
      <c r="AL754" s="5">
        <v>43373.666666666664</v>
      </c>
      <c r="AP754" t="s">
        <v>418</v>
      </c>
      <c r="AU754" t="s">
        <v>3989</v>
      </c>
      <c r="AV754" t="s">
        <v>3990</v>
      </c>
      <c r="AY754" t="s">
        <v>37</v>
      </c>
      <c r="AZ754">
        <v>0</v>
      </c>
      <c r="BA754">
        <v>0</v>
      </c>
      <c r="BI754" s="5">
        <v>44048.176388888889</v>
      </c>
      <c r="BJ754" s="5">
        <v>44048.176388888889</v>
      </c>
      <c r="BK754" t="s">
        <v>778</v>
      </c>
      <c r="BL754" t="s">
        <v>778</v>
      </c>
      <c r="BN754" t="s">
        <v>37</v>
      </c>
    </row>
    <row r="755" spans="1:66" x14ac:dyDescent="0.2">
      <c r="A755">
        <v>3693312</v>
      </c>
      <c r="B755">
        <v>21883</v>
      </c>
      <c r="C755">
        <v>523985</v>
      </c>
      <c r="D755">
        <v>52895</v>
      </c>
      <c r="E755">
        <v>100</v>
      </c>
      <c r="F755" t="s">
        <v>37</v>
      </c>
      <c r="G755">
        <v>1</v>
      </c>
      <c r="H755" t="s">
        <v>37</v>
      </c>
      <c r="I755" t="s">
        <v>37</v>
      </c>
      <c r="J755" t="s">
        <v>775</v>
      </c>
      <c r="K755" t="s">
        <v>230</v>
      </c>
      <c r="L755" t="s">
        <v>226</v>
      </c>
      <c r="M755" t="s">
        <v>422</v>
      </c>
      <c r="N755" t="s">
        <v>3991</v>
      </c>
      <c r="O755" t="s">
        <v>3992</v>
      </c>
      <c r="S755">
        <v>0</v>
      </c>
      <c r="T755">
        <v>0</v>
      </c>
      <c r="U755">
        <v>0</v>
      </c>
      <c r="V755">
        <v>0</v>
      </c>
      <c r="W755">
        <v>240</v>
      </c>
      <c r="X755">
        <v>0</v>
      </c>
      <c r="Y755">
        <v>0</v>
      </c>
      <c r="Z755">
        <v>0</v>
      </c>
      <c r="AB755" s="5">
        <v>43403</v>
      </c>
      <c r="AC755" s="5">
        <v>43417</v>
      </c>
      <c r="AD755" s="5">
        <v>44113.333333333336</v>
      </c>
      <c r="AE755" s="5">
        <v>44113.333333333336</v>
      </c>
      <c r="AG755" s="5">
        <v>44044</v>
      </c>
      <c r="AH755" s="5">
        <v>44044</v>
      </c>
      <c r="AK755" s="5">
        <v>43435.333333333336</v>
      </c>
      <c r="AL755" s="5">
        <v>43464.666666666664</v>
      </c>
      <c r="AP755" t="s">
        <v>418</v>
      </c>
      <c r="AU755" t="s">
        <v>3993</v>
      </c>
      <c r="AV755" t="s">
        <v>3994</v>
      </c>
      <c r="AY755" t="s">
        <v>37</v>
      </c>
      <c r="AZ755">
        <v>0</v>
      </c>
      <c r="BA755">
        <v>0</v>
      </c>
      <c r="BI755" s="5">
        <v>44048.176388888889</v>
      </c>
      <c r="BJ755" s="5">
        <v>44048.176388888889</v>
      </c>
      <c r="BK755" t="s">
        <v>778</v>
      </c>
      <c r="BL755" t="s">
        <v>778</v>
      </c>
      <c r="BN755" t="s">
        <v>37</v>
      </c>
    </row>
    <row r="756" spans="1:66" x14ac:dyDescent="0.2">
      <c r="A756">
        <v>3693313</v>
      </c>
      <c r="B756">
        <v>21883</v>
      </c>
      <c r="C756">
        <v>523985</v>
      </c>
      <c r="D756">
        <v>52895</v>
      </c>
      <c r="E756">
        <v>100</v>
      </c>
      <c r="F756" t="s">
        <v>37</v>
      </c>
      <c r="G756">
        <v>1</v>
      </c>
      <c r="H756" t="s">
        <v>37</v>
      </c>
      <c r="I756" t="s">
        <v>37</v>
      </c>
      <c r="J756" t="s">
        <v>775</v>
      </c>
      <c r="K756" t="s">
        <v>230</v>
      </c>
      <c r="L756" t="s">
        <v>226</v>
      </c>
      <c r="M756" t="s">
        <v>422</v>
      </c>
      <c r="N756" t="s">
        <v>3995</v>
      </c>
      <c r="O756" t="s">
        <v>3996</v>
      </c>
      <c r="S756">
        <v>0</v>
      </c>
      <c r="T756">
        <v>0</v>
      </c>
      <c r="U756">
        <v>0</v>
      </c>
      <c r="V756">
        <v>0</v>
      </c>
      <c r="W756">
        <v>240</v>
      </c>
      <c r="X756">
        <v>0</v>
      </c>
      <c r="Y756">
        <v>0</v>
      </c>
      <c r="Z756">
        <v>0</v>
      </c>
      <c r="AB756" s="5">
        <v>43831</v>
      </c>
      <c r="AC756" s="5">
        <v>43887.666666666664</v>
      </c>
      <c r="AD756" s="5">
        <v>44082.333333333336</v>
      </c>
      <c r="AE756" s="5">
        <v>44082.333333333336</v>
      </c>
      <c r="AG756" s="5">
        <v>44044</v>
      </c>
      <c r="AH756" s="5">
        <v>44044</v>
      </c>
      <c r="AK756" s="5">
        <v>43862.333333333336</v>
      </c>
      <c r="AL756" s="5">
        <v>43891.666666666664</v>
      </c>
      <c r="AP756" t="s">
        <v>418</v>
      </c>
      <c r="AU756" t="s">
        <v>3997</v>
      </c>
      <c r="AV756" t="s">
        <v>3998</v>
      </c>
      <c r="AY756" t="s">
        <v>37</v>
      </c>
      <c r="AZ756">
        <v>0</v>
      </c>
      <c r="BA756">
        <v>0</v>
      </c>
      <c r="BI756" s="5">
        <v>44048.176388888889</v>
      </c>
      <c r="BJ756" s="5">
        <v>44048.176388888889</v>
      </c>
      <c r="BK756" t="s">
        <v>778</v>
      </c>
      <c r="BL756" t="s">
        <v>778</v>
      </c>
      <c r="BN756" t="s">
        <v>37</v>
      </c>
    </row>
    <row r="757" spans="1:66" x14ac:dyDescent="0.2">
      <c r="A757">
        <v>3693314</v>
      </c>
      <c r="B757">
        <v>21883</v>
      </c>
      <c r="C757">
        <v>523985</v>
      </c>
      <c r="D757">
        <v>52895</v>
      </c>
      <c r="E757">
        <v>100</v>
      </c>
      <c r="F757" t="s">
        <v>37</v>
      </c>
      <c r="G757">
        <v>1</v>
      </c>
      <c r="H757" t="s">
        <v>37</v>
      </c>
      <c r="I757" t="s">
        <v>37</v>
      </c>
      <c r="J757" t="s">
        <v>775</v>
      </c>
      <c r="K757" t="s">
        <v>230</v>
      </c>
      <c r="L757" t="s">
        <v>226</v>
      </c>
      <c r="M757" t="s">
        <v>422</v>
      </c>
      <c r="N757" t="s">
        <v>3999</v>
      </c>
      <c r="O757" t="s">
        <v>4000</v>
      </c>
      <c r="S757">
        <v>0</v>
      </c>
      <c r="T757">
        <v>0</v>
      </c>
      <c r="U757">
        <v>0</v>
      </c>
      <c r="V757">
        <v>0</v>
      </c>
      <c r="W757">
        <v>240</v>
      </c>
      <c r="X757">
        <v>0</v>
      </c>
      <c r="Y757">
        <v>0</v>
      </c>
      <c r="Z757">
        <v>0</v>
      </c>
      <c r="AB757" s="5">
        <v>43546</v>
      </c>
      <c r="AC757" s="5">
        <v>43570</v>
      </c>
      <c r="AD757" s="5">
        <v>44082.333333333336</v>
      </c>
      <c r="AE757" s="5">
        <v>44082.333333333336</v>
      </c>
      <c r="AG757" s="5">
        <v>44044</v>
      </c>
      <c r="AH757" s="5">
        <v>44044</v>
      </c>
      <c r="AK757" s="5">
        <v>43617.333333333336</v>
      </c>
      <c r="AL757" s="5">
        <v>43646.666666666664</v>
      </c>
      <c r="AP757" t="s">
        <v>418</v>
      </c>
      <c r="AU757" t="s">
        <v>4001</v>
      </c>
      <c r="AV757" t="s">
        <v>4002</v>
      </c>
      <c r="AY757" t="s">
        <v>37</v>
      </c>
      <c r="AZ757">
        <v>0</v>
      </c>
      <c r="BA757">
        <v>0</v>
      </c>
      <c r="BI757" s="5">
        <v>44048.176388888889</v>
      </c>
      <c r="BJ757" s="5">
        <v>44048.176388888889</v>
      </c>
      <c r="BK757" t="s">
        <v>778</v>
      </c>
      <c r="BL757" t="s">
        <v>778</v>
      </c>
      <c r="BN757" t="s">
        <v>37</v>
      </c>
    </row>
    <row r="758" spans="1:66" x14ac:dyDescent="0.2">
      <c r="A758">
        <v>3693315</v>
      </c>
      <c r="B758">
        <v>21883</v>
      </c>
      <c r="C758">
        <v>523985</v>
      </c>
      <c r="D758">
        <v>52895</v>
      </c>
      <c r="E758">
        <v>100</v>
      </c>
      <c r="F758" t="s">
        <v>37</v>
      </c>
      <c r="G758">
        <v>1</v>
      </c>
      <c r="H758" t="s">
        <v>37</v>
      </c>
      <c r="I758" t="s">
        <v>37</v>
      </c>
      <c r="J758" t="s">
        <v>775</v>
      </c>
      <c r="K758" t="s">
        <v>230</v>
      </c>
      <c r="L758" t="s">
        <v>226</v>
      </c>
      <c r="M758" t="s">
        <v>422</v>
      </c>
      <c r="N758" t="s">
        <v>4003</v>
      </c>
      <c r="O758" t="s">
        <v>4004</v>
      </c>
      <c r="S758">
        <v>0</v>
      </c>
      <c r="T758">
        <v>0</v>
      </c>
      <c r="U758">
        <v>0</v>
      </c>
      <c r="V758">
        <v>0</v>
      </c>
      <c r="W758">
        <v>240</v>
      </c>
      <c r="X758">
        <v>0</v>
      </c>
      <c r="Y758">
        <v>0</v>
      </c>
      <c r="Z758">
        <v>0</v>
      </c>
      <c r="AB758" s="5">
        <v>43181.333333333336</v>
      </c>
      <c r="AC758" s="5">
        <v>43242.666666666664</v>
      </c>
      <c r="AD758" s="5">
        <v>44032.333333333336</v>
      </c>
      <c r="AE758" s="5">
        <v>44032.333333333336</v>
      </c>
      <c r="AG758" s="5">
        <v>44044</v>
      </c>
      <c r="AH758" s="5">
        <v>44044</v>
      </c>
      <c r="AK758" s="5">
        <v>43247.333333333336</v>
      </c>
      <c r="AL758" s="5">
        <v>43276.666666666664</v>
      </c>
      <c r="AP758" t="s">
        <v>418</v>
      </c>
      <c r="AU758" t="s">
        <v>4005</v>
      </c>
      <c r="AV758" t="s">
        <v>4006</v>
      </c>
      <c r="AY758" t="s">
        <v>37</v>
      </c>
      <c r="AZ758">
        <v>0</v>
      </c>
      <c r="BA758">
        <v>0</v>
      </c>
      <c r="BI758" s="5">
        <v>44048.176388888889</v>
      </c>
      <c r="BJ758" s="5">
        <v>44048.176388888889</v>
      </c>
      <c r="BK758" t="s">
        <v>778</v>
      </c>
      <c r="BL758" t="s">
        <v>778</v>
      </c>
      <c r="BN758" t="s">
        <v>37</v>
      </c>
    </row>
    <row r="759" spans="1:66" x14ac:dyDescent="0.2">
      <c r="A759">
        <v>3693316</v>
      </c>
      <c r="B759">
        <v>21883</v>
      </c>
      <c r="C759">
        <v>523984</v>
      </c>
      <c r="D759">
        <v>52895</v>
      </c>
      <c r="E759">
        <v>100</v>
      </c>
      <c r="F759" t="s">
        <v>37</v>
      </c>
      <c r="G759">
        <v>1</v>
      </c>
      <c r="H759" t="s">
        <v>37</v>
      </c>
      <c r="I759" t="s">
        <v>37</v>
      </c>
      <c r="J759" t="s">
        <v>775</v>
      </c>
      <c r="K759" t="s">
        <v>230</v>
      </c>
      <c r="L759" t="s">
        <v>226</v>
      </c>
      <c r="M759" t="s">
        <v>422</v>
      </c>
      <c r="N759" t="s">
        <v>4007</v>
      </c>
      <c r="O759" t="s">
        <v>4008</v>
      </c>
      <c r="S759">
        <v>0</v>
      </c>
      <c r="T759">
        <v>0</v>
      </c>
      <c r="U759">
        <v>0</v>
      </c>
      <c r="V759">
        <v>0</v>
      </c>
      <c r="W759">
        <v>240</v>
      </c>
      <c r="X759">
        <v>0</v>
      </c>
      <c r="Y759">
        <v>0</v>
      </c>
      <c r="Z759">
        <v>0</v>
      </c>
      <c r="AB759" s="5">
        <v>43207.333333333336</v>
      </c>
      <c r="AC759" s="5">
        <v>43250.666666666664</v>
      </c>
      <c r="AD759" s="5">
        <v>43970.333333333336</v>
      </c>
      <c r="AE759" s="5">
        <v>43970.333333333336</v>
      </c>
      <c r="AG759" s="5">
        <v>44044</v>
      </c>
      <c r="AH759" s="5">
        <v>44044</v>
      </c>
      <c r="AK759" s="5">
        <v>43221.333333333336</v>
      </c>
      <c r="AL759" s="5">
        <v>43250.666666666664</v>
      </c>
      <c r="AP759" t="s">
        <v>418</v>
      </c>
      <c r="AU759" t="s">
        <v>4009</v>
      </c>
      <c r="AV759" t="s">
        <v>4010</v>
      </c>
      <c r="AY759" t="s">
        <v>40</v>
      </c>
      <c r="AZ759">
        <v>0</v>
      </c>
      <c r="BA759">
        <v>0</v>
      </c>
      <c r="BI759" s="5">
        <v>44048.176388888889</v>
      </c>
      <c r="BJ759" s="5">
        <v>44048.176388888889</v>
      </c>
      <c r="BK759" t="s">
        <v>778</v>
      </c>
      <c r="BL759" t="s">
        <v>778</v>
      </c>
      <c r="BN759" t="s">
        <v>37</v>
      </c>
    </row>
    <row r="760" spans="1:66" x14ac:dyDescent="0.2">
      <c r="A760">
        <v>3693317</v>
      </c>
      <c r="B760">
        <v>21883</v>
      </c>
      <c r="C760">
        <v>523984</v>
      </c>
      <c r="D760">
        <v>52895</v>
      </c>
      <c r="E760">
        <v>100</v>
      </c>
      <c r="F760" t="s">
        <v>37</v>
      </c>
      <c r="G760">
        <v>1</v>
      </c>
      <c r="H760" t="s">
        <v>37</v>
      </c>
      <c r="I760" t="s">
        <v>37</v>
      </c>
      <c r="J760" t="s">
        <v>775</v>
      </c>
      <c r="K760" t="s">
        <v>230</v>
      </c>
      <c r="L760" t="s">
        <v>226</v>
      </c>
      <c r="M760" t="s">
        <v>422</v>
      </c>
      <c r="N760" t="s">
        <v>4011</v>
      </c>
      <c r="O760" t="s">
        <v>4012</v>
      </c>
      <c r="S760">
        <v>0</v>
      </c>
      <c r="T760">
        <v>0</v>
      </c>
      <c r="U760">
        <v>0</v>
      </c>
      <c r="V760">
        <v>0</v>
      </c>
      <c r="W760">
        <v>240</v>
      </c>
      <c r="X760">
        <v>0</v>
      </c>
      <c r="Y760">
        <v>0</v>
      </c>
      <c r="Z760">
        <v>0</v>
      </c>
      <c r="AB760" s="5">
        <v>43269.333333333336</v>
      </c>
      <c r="AC760" s="5">
        <v>43445</v>
      </c>
      <c r="AD760" s="5">
        <v>43970.333333333336</v>
      </c>
      <c r="AE760" s="5">
        <v>43970.333333333336</v>
      </c>
      <c r="AG760" s="5">
        <v>44044</v>
      </c>
      <c r="AH760" s="5">
        <v>44044</v>
      </c>
      <c r="AK760" s="5">
        <v>43282.333333333336</v>
      </c>
      <c r="AL760" s="5">
        <v>43311.666666666664</v>
      </c>
      <c r="AP760" t="s">
        <v>418</v>
      </c>
      <c r="AU760" t="s">
        <v>4013</v>
      </c>
      <c r="AV760" t="s">
        <v>4014</v>
      </c>
      <c r="AY760" t="s">
        <v>40</v>
      </c>
      <c r="AZ760">
        <v>0</v>
      </c>
      <c r="BA760">
        <v>0</v>
      </c>
      <c r="BI760" s="5">
        <v>44048.176388888889</v>
      </c>
      <c r="BJ760" s="5">
        <v>44048.176388888889</v>
      </c>
      <c r="BK760" t="s">
        <v>778</v>
      </c>
      <c r="BL760" t="s">
        <v>778</v>
      </c>
      <c r="BN760" t="s">
        <v>37</v>
      </c>
    </row>
    <row r="761" spans="1:66" x14ac:dyDescent="0.2">
      <c r="A761">
        <v>3693318</v>
      </c>
      <c r="B761">
        <v>21883</v>
      </c>
      <c r="C761">
        <v>523984</v>
      </c>
      <c r="D761">
        <v>52895</v>
      </c>
      <c r="E761">
        <v>100</v>
      </c>
      <c r="F761" t="s">
        <v>37</v>
      </c>
      <c r="G761">
        <v>1</v>
      </c>
      <c r="H761" t="s">
        <v>37</v>
      </c>
      <c r="I761" t="s">
        <v>37</v>
      </c>
      <c r="J761" t="s">
        <v>775</v>
      </c>
      <c r="K761" t="s">
        <v>230</v>
      </c>
      <c r="L761" t="s">
        <v>226</v>
      </c>
      <c r="M761" t="s">
        <v>422</v>
      </c>
      <c r="N761" t="s">
        <v>4015</v>
      </c>
      <c r="O761" t="s">
        <v>4016</v>
      </c>
      <c r="S761">
        <v>0</v>
      </c>
      <c r="T761">
        <v>0</v>
      </c>
      <c r="U761">
        <v>0</v>
      </c>
      <c r="V761">
        <v>0</v>
      </c>
      <c r="W761">
        <v>240</v>
      </c>
      <c r="X761">
        <v>0</v>
      </c>
      <c r="Y761">
        <v>0</v>
      </c>
      <c r="Z761">
        <v>0</v>
      </c>
      <c r="AB761" s="5">
        <v>43318.333333333336</v>
      </c>
      <c r="AC761" s="5">
        <v>43481</v>
      </c>
      <c r="AD761" s="5">
        <v>43970.333333333336</v>
      </c>
      <c r="AE761" s="5">
        <v>43970.333333333336</v>
      </c>
      <c r="AG761" s="5">
        <v>44044</v>
      </c>
      <c r="AH761" s="5">
        <v>44044</v>
      </c>
      <c r="AK761" s="5">
        <v>43344.333333333336</v>
      </c>
      <c r="AL761" s="5">
        <v>43373.666666666664</v>
      </c>
      <c r="AP761" t="s">
        <v>418</v>
      </c>
      <c r="AU761" t="s">
        <v>4017</v>
      </c>
      <c r="AV761" t="s">
        <v>4018</v>
      </c>
      <c r="AY761" t="s">
        <v>40</v>
      </c>
      <c r="AZ761">
        <v>0</v>
      </c>
      <c r="BA761">
        <v>0</v>
      </c>
      <c r="BI761" s="5">
        <v>44048.176388888889</v>
      </c>
      <c r="BJ761" s="5">
        <v>44048.176388888889</v>
      </c>
      <c r="BK761" t="s">
        <v>778</v>
      </c>
      <c r="BL761" t="s">
        <v>778</v>
      </c>
      <c r="BN761" t="s">
        <v>37</v>
      </c>
    </row>
    <row r="762" spans="1:66" x14ac:dyDescent="0.2">
      <c r="A762">
        <v>3693319</v>
      </c>
      <c r="B762">
        <v>21883</v>
      </c>
      <c r="C762">
        <v>523935</v>
      </c>
      <c r="D762">
        <v>52899</v>
      </c>
      <c r="E762">
        <v>100</v>
      </c>
      <c r="F762" t="s">
        <v>37</v>
      </c>
      <c r="G762">
        <v>1</v>
      </c>
      <c r="H762" t="s">
        <v>37</v>
      </c>
      <c r="I762" t="s">
        <v>37</v>
      </c>
      <c r="J762" t="s">
        <v>775</v>
      </c>
      <c r="K762" t="s">
        <v>230</v>
      </c>
      <c r="L762" t="s">
        <v>226</v>
      </c>
      <c r="M762" t="s">
        <v>422</v>
      </c>
      <c r="N762" t="s">
        <v>4019</v>
      </c>
      <c r="O762" t="s">
        <v>4020</v>
      </c>
      <c r="S762">
        <v>0</v>
      </c>
      <c r="T762">
        <v>208</v>
      </c>
      <c r="U762">
        <v>0</v>
      </c>
      <c r="V762">
        <v>208</v>
      </c>
      <c r="W762">
        <v>208</v>
      </c>
      <c r="X762">
        <v>0</v>
      </c>
      <c r="Y762">
        <v>0</v>
      </c>
      <c r="Z762">
        <v>0</v>
      </c>
      <c r="AB762" s="5">
        <v>43377</v>
      </c>
      <c r="AC762" s="5">
        <v>43423</v>
      </c>
      <c r="AD762" s="5">
        <v>44117.333333333336</v>
      </c>
      <c r="AE762" s="5">
        <v>44117.333333333336</v>
      </c>
      <c r="AG762" s="5">
        <v>44044</v>
      </c>
      <c r="AH762" s="5">
        <v>44044</v>
      </c>
      <c r="AK762" s="5">
        <v>43437.333333333336</v>
      </c>
      <c r="AL762" s="5">
        <v>43481.666666666664</v>
      </c>
      <c r="AP762" t="s">
        <v>418</v>
      </c>
      <c r="AU762" t="s">
        <v>4021</v>
      </c>
      <c r="AV762" t="s">
        <v>4022</v>
      </c>
      <c r="AY762" t="s">
        <v>37</v>
      </c>
      <c r="AZ762">
        <v>208</v>
      </c>
      <c r="BA762">
        <v>0</v>
      </c>
      <c r="BI762" s="5">
        <v>44048.176388888889</v>
      </c>
      <c r="BJ762" s="5">
        <v>44048.176388888889</v>
      </c>
      <c r="BK762" t="s">
        <v>778</v>
      </c>
      <c r="BL762" t="s">
        <v>778</v>
      </c>
      <c r="BN762" t="s">
        <v>37</v>
      </c>
    </row>
    <row r="763" spans="1:66" x14ac:dyDescent="0.2">
      <c r="A763">
        <v>3693320</v>
      </c>
      <c r="B763">
        <v>21883</v>
      </c>
      <c r="C763">
        <v>523935</v>
      </c>
      <c r="D763">
        <v>52899</v>
      </c>
      <c r="E763">
        <v>100</v>
      </c>
      <c r="F763" t="s">
        <v>37</v>
      </c>
      <c r="G763">
        <v>1</v>
      </c>
      <c r="H763" t="s">
        <v>37</v>
      </c>
      <c r="I763" t="s">
        <v>37</v>
      </c>
      <c r="J763" t="s">
        <v>775</v>
      </c>
      <c r="K763" t="s">
        <v>230</v>
      </c>
      <c r="L763" t="s">
        <v>226</v>
      </c>
      <c r="M763" t="s">
        <v>422</v>
      </c>
      <c r="N763" t="s">
        <v>4023</v>
      </c>
      <c r="O763" t="s">
        <v>4024</v>
      </c>
      <c r="S763">
        <v>0</v>
      </c>
      <c r="T763">
        <v>152</v>
      </c>
      <c r="U763">
        <v>0</v>
      </c>
      <c r="V763">
        <v>152</v>
      </c>
      <c r="W763">
        <v>152</v>
      </c>
      <c r="X763">
        <v>0</v>
      </c>
      <c r="Y763">
        <v>0</v>
      </c>
      <c r="Z763">
        <v>0</v>
      </c>
      <c r="AB763" s="5">
        <v>43430</v>
      </c>
      <c r="AC763" s="5">
        <v>43461</v>
      </c>
      <c r="AD763" s="5">
        <v>44117.333333333336</v>
      </c>
      <c r="AE763" s="5">
        <v>44117.333333333336</v>
      </c>
      <c r="AG763" s="5">
        <v>44044</v>
      </c>
      <c r="AH763" s="5">
        <v>44044</v>
      </c>
      <c r="AK763" s="5">
        <v>43482.333333333336</v>
      </c>
      <c r="AL763" s="5">
        <v>43510.666666666664</v>
      </c>
      <c r="AP763" t="s">
        <v>418</v>
      </c>
      <c r="AU763" t="s">
        <v>4025</v>
      </c>
      <c r="AV763" t="s">
        <v>4026</v>
      </c>
      <c r="AY763" t="s">
        <v>37</v>
      </c>
      <c r="AZ763">
        <v>152</v>
      </c>
      <c r="BA763">
        <v>0</v>
      </c>
      <c r="BI763" s="5">
        <v>44048.176388888889</v>
      </c>
      <c r="BJ763" s="5">
        <v>44048.176388888889</v>
      </c>
      <c r="BK763" t="s">
        <v>778</v>
      </c>
      <c r="BL763" t="s">
        <v>778</v>
      </c>
      <c r="BN763" t="s">
        <v>37</v>
      </c>
    </row>
    <row r="764" spans="1:66" x14ac:dyDescent="0.2">
      <c r="A764">
        <v>3693321</v>
      </c>
      <c r="B764">
        <v>21883</v>
      </c>
      <c r="C764">
        <v>523935</v>
      </c>
      <c r="D764">
        <v>52899</v>
      </c>
      <c r="E764">
        <v>100</v>
      </c>
      <c r="F764" t="s">
        <v>37</v>
      </c>
      <c r="G764">
        <v>1</v>
      </c>
      <c r="H764" t="s">
        <v>37</v>
      </c>
      <c r="I764" t="s">
        <v>37</v>
      </c>
      <c r="J764" t="s">
        <v>775</v>
      </c>
      <c r="K764" t="s">
        <v>230</v>
      </c>
      <c r="L764" t="s">
        <v>226</v>
      </c>
      <c r="M764" t="s">
        <v>422</v>
      </c>
      <c r="N764" t="s">
        <v>4027</v>
      </c>
      <c r="O764" t="s">
        <v>4028</v>
      </c>
      <c r="S764">
        <v>0</v>
      </c>
      <c r="T764">
        <v>0</v>
      </c>
      <c r="U764">
        <v>0</v>
      </c>
      <c r="V764">
        <v>0</v>
      </c>
      <c r="W764">
        <v>176</v>
      </c>
      <c r="X764">
        <v>0</v>
      </c>
      <c r="Y764">
        <v>0</v>
      </c>
      <c r="Z764">
        <v>0</v>
      </c>
      <c r="AB764" s="5">
        <v>43361.333333333336</v>
      </c>
      <c r="AC764" s="5">
        <v>43368.666666666664</v>
      </c>
      <c r="AD764" s="5">
        <v>44008.666666666664</v>
      </c>
      <c r="AE764" s="5">
        <v>44008.666666666664</v>
      </c>
      <c r="AG764" s="5">
        <v>44044</v>
      </c>
      <c r="AH764" s="5">
        <v>44044</v>
      </c>
      <c r="AK764" s="5">
        <v>43354.333333333336</v>
      </c>
      <c r="AL764" s="5">
        <v>43385.666666666664</v>
      </c>
      <c r="AP764" t="s">
        <v>418</v>
      </c>
      <c r="AU764" t="s">
        <v>4029</v>
      </c>
      <c r="AV764" t="s">
        <v>4030</v>
      </c>
      <c r="AY764" t="s">
        <v>37</v>
      </c>
      <c r="AZ764">
        <v>0</v>
      </c>
      <c r="BA764">
        <v>0</v>
      </c>
      <c r="BI764" s="5">
        <v>44048.176388888889</v>
      </c>
      <c r="BJ764" s="5">
        <v>44048.176388888889</v>
      </c>
      <c r="BK764" t="s">
        <v>778</v>
      </c>
      <c r="BL764" t="s">
        <v>778</v>
      </c>
      <c r="BN764" t="s">
        <v>37</v>
      </c>
    </row>
    <row r="765" spans="1:66" x14ac:dyDescent="0.2">
      <c r="A765">
        <v>3693322</v>
      </c>
      <c r="B765">
        <v>21883</v>
      </c>
      <c r="C765">
        <v>523988</v>
      </c>
      <c r="D765">
        <v>52895</v>
      </c>
      <c r="E765">
        <v>100</v>
      </c>
      <c r="F765" t="s">
        <v>37</v>
      </c>
      <c r="G765">
        <v>1</v>
      </c>
      <c r="H765" t="s">
        <v>37</v>
      </c>
      <c r="I765" t="s">
        <v>37</v>
      </c>
      <c r="J765" t="s">
        <v>775</v>
      </c>
      <c r="K765" t="s">
        <v>419</v>
      </c>
      <c r="L765" t="s">
        <v>420</v>
      </c>
      <c r="M765" t="s">
        <v>422</v>
      </c>
      <c r="N765" t="s">
        <v>4031</v>
      </c>
      <c r="O765" t="s">
        <v>4032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B765" s="5">
        <v>43278.333333333336</v>
      </c>
      <c r="AC765" s="5">
        <v>43278.333333333336</v>
      </c>
      <c r="AD765" s="5">
        <v>43970.333333333336</v>
      </c>
      <c r="AE765" s="5">
        <v>43970.333333333336</v>
      </c>
      <c r="AG765" s="5">
        <v>44044</v>
      </c>
      <c r="AH765" s="5">
        <v>44044</v>
      </c>
      <c r="AK765" s="5">
        <v>43282.333333333336</v>
      </c>
      <c r="AL765" s="5">
        <v>43282.333333333336</v>
      </c>
      <c r="AP765" t="s">
        <v>418</v>
      </c>
      <c r="AU765" t="s">
        <v>4033</v>
      </c>
      <c r="AV765" t="s">
        <v>4034</v>
      </c>
      <c r="AY765" t="s">
        <v>40</v>
      </c>
      <c r="AZ765">
        <v>0</v>
      </c>
      <c r="BA765">
        <v>0</v>
      </c>
      <c r="BI765" s="5">
        <v>44048.176388888889</v>
      </c>
      <c r="BJ765" s="5">
        <v>44048.176388888889</v>
      </c>
      <c r="BK765" t="s">
        <v>778</v>
      </c>
      <c r="BL765" t="s">
        <v>778</v>
      </c>
      <c r="BN765" t="s">
        <v>37</v>
      </c>
    </row>
    <row r="766" spans="1:66" x14ac:dyDescent="0.2">
      <c r="A766">
        <v>3693323</v>
      </c>
      <c r="B766">
        <v>21883</v>
      </c>
      <c r="C766">
        <v>523988</v>
      </c>
      <c r="D766">
        <v>52895</v>
      </c>
      <c r="E766">
        <v>100</v>
      </c>
      <c r="F766" t="s">
        <v>37</v>
      </c>
      <c r="G766">
        <v>1</v>
      </c>
      <c r="H766" t="s">
        <v>37</v>
      </c>
      <c r="I766" t="s">
        <v>37</v>
      </c>
      <c r="J766" t="s">
        <v>775</v>
      </c>
      <c r="K766" t="s">
        <v>423</v>
      </c>
      <c r="L766" t="s">
        <v>420</v>
      </c>
      <c r="M766" t="s">
        <v>422</v>
      </c>
      <c r="N766" t="s">
        <v>4035</v>
      </c>
      <c r="O766" t="s">
        <v>4036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B766" s="5">
        <v>43609</v>
      </c>
      <c r="AC766" s="5">
        <v>43609</v>
      </c>
      <c r="AD766" s="5">
        <v>43970.333333333336</v>
      </c>
      <c r="AE766" s="5">
        <v>43970.333333333336</v>
      </c>
      <c r="AG766" s="5">
        <v>44044</v>
      </c>
      <c r="AH766" s="5">
        <v>44044</v>
      </c>
      <c r="AK766" s="5">
        <v>43678.333333333336</v>
      </c>
      <c r="AL766" s="5">
        <v>43678.333333333336</v>
      </c>
      <c r="AP766" t="s">
        <v>418</v>
      </c>
      <c r="AU766" t="s">
        <v>4037</v>
      </c>
      <c r="AV766" t="s">
        <v>4038</v>
      </c>
      <c r="AY766" t="s">
        <v>40</v>
      </c>
      <c r="AZ766">
        <v>0</v>
      </c>
      <c r="BA766">
        <v>0</v>
      </c>
      <c r="BI766" s="5">
        <v>44048.176388888889</v>
      </c>
      <c r="BJ766" s="5">
        <v>44048.176388888889</v>
      </c>
      <c r="BK766" t="s">
        <v>778</v>
      </c>
      <c r="BL766" t="s">
        <v>778</v>
      </c>
      <c r="BN766" t="s">
        <v>37</v>
      </c>
    </row>
    <row r="767" spans="1:66" x14ac:dyDescent="0.2">
      <c r="A767">
        <v>3693324</v>
      </c>
      <c r="B767">
        <v>21883</v>
      </c>
      <c r="C767">
        <v>523988</v>
      </c>
      <c r="D767">
        <v>52895</v>
      </c>
      <c r="E767">
        <v>100</v>
      </c>
      <c r="F767" t="s">
        <v>37</v>
      </c>
      <c r="G767">
        <v>1</v>
      </c>
      <c r="H767" t="s">
        <v>37</v>
      </c>
      <c r="I767" t="s">
        <v>37</v>
      </c>
      <c r="J767" t="s">
        <v>775</v>
      </c>
      <c r="K767" t="s">
        <v>419</v>
      </c>
      <c r="L767" t="s">
        <v>420</v>
      </c>
      <c r="M767" t="s">
        <v>422</v>
      </c>
      <c r="N767" t="s">
        <v>4039</v>
      </c>
      <c r="O767" t="s">
        <v>4040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B767" s="5">
        <v>43661</v>
      </c>
      <c r="AC767" s="5">
        <v>43661</v>
      </c>
      <c r="AD767" s="5">
        <v>43970.333333333336</v>
      </c>
      <c r="AE767" s="5">
        <v>43970.333333333336</v>
      </c>
      <c r="AG767" s="5">
        <v>44044</v>
      </c>
      <c r="AH767" s="5">
        <v>44044</v>
      </c>
      <c r="AK767" s="5">
        <v>43678.333333333336</v>
      </c>
      <c r="AL767" s="5">
        <v>43678.333333333336</v>
      </c>
      <c r="AP767" t="s">
        <v>418</v>
      </c>
      <c r="AU767" t="s">
        <v>4041</v>
      </c>
      <c r="AV767" t="s">
        <v>4042</v>
      </c>
      <c r="AY767" t="s">
        <v>40</v>
      </c>
      <c r="AZ767">
        <v>0</v>
      </c>
      <c r="BA767">
        <v>0</v>
      </c>
      <c r="BI767" s="5">
        <v>44048.176388888889</v>
      </c>
      <c r="BJ767" s="5">
        <v>44048.176388888889</v>
      </c>
      <c r="BK767" t="s">
        <v>778</v>
      </c>
      <c r="BL767" t="s">
        <v>778</v>
      </c>
      <c r="BN767" t="s">
        <v>37</v>
      </c>
    </row>
    <row r="768" spans="1:66" x14ac:dyDescent="0.2">
      <c r="A768">
        <v>3693325</v>
      </c>
      <c r="B768">
        <v>21883</v>
      </c>
      <c r="C768">
        <v>523988</v>
      </c>
      <c r="D768">
        <v>52895</v>
      </c>
      <c r="E768">
        <v>100</v>
      </c>
      <c r="F768" t="s">
        <v>37</v>
      </c>
      <c r="G768">
        <v>1</v>
      </c>
      <c r="H768" t="s">
        <v>37</v>
      </c>
      <c r="I768" t="s">
        <v>37</v>
      </c>
      <c r="J768" t="s">
        <v>775</v>
      </c>
      <c r="K768" t="s">
        <v>423</v>
      </c>
      <c r="L768" t="s">
        <v>420</v>
      </c>
      <c r="M768" t="s">
        <v>422</v>
      </c>
      <c r="N768" t="s">
        <v>4043</v>
      </c>
      <c r="O768" t="s">
        <v>4044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B768" s="5">
        <v>43898</v>
      </c>
      <c r="AC768" s="5">
        <v>43898</v>
      </c>
      <c r="AD768" s="5">
        <v>43970.333333333336</v>
      </c>
      <c r="AE768" s="5">
        <v>43970.333333333336</v>
      </c>
      <c r="AG768" s="5">
        <v>44044</v>
      </c>
      <c r="AH768" s="5">
        <v>44044</v>
      </c>
      <c r="AK768" s="5">
        <v>43922.333333333336</v>
      </c>
      <c r="AL768" s="5">
        <v>43922.333333333336</v>
      </c>
      <c r="AP768" t="s">
        <v>418</v>
      </c>
      <c r="AU768" t="s">
        <v>4045</v>
      </c>
      <c r="AV768" t="s">
        <v>4046</v>
      </c>
      <c r="AY768" t="s">
        <v>40</v>
      </c>
      <c r="AZ768">
        <v>0</v>
      </c>
      <c r="BA768">
        <v>0</v>
      </c>
      <c r="BI768" s="5">
        <v>44048.176388888889</v>
      </c>
      <c r="BJ768" s="5">
        <v>44048.176388888889</v>
      </c>
      <c r="BK768" t="s">
        <v>778</v>
      </c>
      <c r="BL768" t="s">
        <v>778</v>
      </c>
      <c r="BN768" t="s">
        <v>37</v>
      </c>
    </row>
    <row r="769" spans="1:66" x14ac:dyDescent="0.2">
      <c r="A769">
        <v>3693326</v>
      </c>
      <c r="B769">
        <v>21883</v>
      </c>
      <c r="C769">
        <v>523988</v>
      </c>
      <c r="D769">
        <v>52895</v>
      </c>
      <c r="E769">
        <v>100</v>
      </c>
      <c r="F769" t="s">
        <v>37</v>
      </c>
      <c r="G769">
        <v>1</v>
      </c>
      <c r="H769" t="s">
        <v>37</v>
      </c>
      <c r="I769" t="s">
        <v>37</v>
      </c>
      <c r="J769" t="s">
        <v>775</v>
      </c>
      <c r="K769" t="s">
        <v>419</v>
      </c>
      <c r="L769" t="s">
        <v>420</v>
      </c>
      <c r="M769" t="s">
        <v>422</v>
      </c>
      <c r="N769" t="s">
        <v>4047</v>
      </c>
      <c r="O769" t="s">
        <v>4048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B769" s="5">
        <v>43899</v>
      </c>
      <c r="AC769" s="5">
        <v>43899</v>
      </c>
      <c r="AD769" s="5">
        <v>44273.666666666664</v>
      </c>
      <c r="AE769" s="5">
        <v>44273.666666666664</v>
      </c>
      <c r="AG769" s="5">
        <v>44044</v>
      </c>
      <c r="AH769" s="5">
        <v>44044</v>
      </c>
      <c r="AK769" s="5">
        <v>43922.333333333336</v>
      </c>
      <c r="AL769" s="5">
        <v>43922.333333333336</v>
      </c>
      <c r="AP769" t="s">
        <v>418</v>
      </c>
      <c r="AU769" t="s">
        <v>4049</v>
      </c>
      <c r="AV769" t="s">
        <v>4050</v>
      </c>
      <c r="AY769" t="s">
        <v>37</v>
      </c>
      <c r="AZ769">
        <v>0</v>
      </c>
      <c r="BA769">
        <v>0</v>
      </c>
      <c r="BI769" s="5">
        <v>44048.176388888889</v>
      </c>
      <c r="BJ769" s="5">
        <v>44048.176388888889</v>
      </c>
      <c r="BK769" t="s">
        <v>778</v>
      </c>
      <c r="BL769" t="s">
        <v>778</v>
      </c>
      <c r="BN769" t="s">
        <v>37</v>
      </c>
    </row>
    <row r="770" spans="1:66" x14ac:dyDescent="0.2">
      <c r="A770">
        <v>3693327</v>
      </c>
      <c r="B770">
        <v>21883</v>
      </c>
      <c r="C770">
        <v>523988</v>
      </c>
      <c r="D770">
        <v>52895</v>
      </c>
      <c r="E770">
        <v>0</v>
      </c>
      <c r="F770" t="s">
        <v>37</v>
      </c>
      <c r="G770">
        <v>1</v>
      </c>
      <c r="H770" t="s">
        <v>37</v>
      </c>
      <c r="I770" t="s">
        <v>37</v>
      </c>
      <c r="J770" t="s">
        <v>775</v>
      </c>
      <c r="K770" t="s">
        <v>423</v>
      </c>
      <c r="L770" t="s">
        <v>420</v>
      </c>
      <c r="M770" t="s">
        <v>417</v>
      </c>
      <c r="N770" t="s">
        <v>4051</v>
      </c>
      <c r="O770" t="s">
        <v>4052</v>
      </c>
      <c r="Q770">
        <v>776</v>
      </c>
      <c r="R770">
        <v>72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D770" s="5">
        <v>44273.666666666664</v>
      </c>
      <c r="AE770" s="5">
        <v>44273.666666666664</v>
      </c>
      <c r="AG770" s="5">
        <v>44176.666666666664</v>
      </c>
      <c r="AH770" s="5">
        <v>44176.666666666664</v>
      </c>
      <c r="AI770" s="5">
        <v>44176.666666666664</v>
      </c>
      <c r="AJ770" s="5">
        <v>44176.666666666664</v>
      </c>
      <c r="AK770" s="5">
        <v>44176.666666666664</v>
      </c>
      <c r="AL770" s="5">
        <v>44176.666666666664</v>
      </c>
      <c r="AM770" s="5">
        <v>44273.666666666664</v>
      </c>
      <c r="AN770" s="5">
        <v>44273.666666666664</v>
      </c>
      <c r="AP770" t="s">
        <v>418</v>
      </c>
      <c r="AU770" t="s">
        <v>4053</v>
      </c>
      <c r="AV770" t="s">
        <v>4054</v>
      </c>
      <c r="AY770" t="s">
        <v>37</v>
      </c>
      <c r="AZ770">
        <v>0</v>
      </c>
      <c r="BA770">
        <v>0</v>
      </c>
      <c r="BI770" s="5">
        <v>44048.176388888889</v>
      </c>
      <c r="BJ770" s="5">
        <v>44048.176388888889</v>
      </c>
      <c r="BK770" t="s">
        <v>778</v>
      </c>
      <c r="BL770" t="s">
        <v>778</v>
      </c>
      <c r="BN770" t="s">
        <v>37</v>
      </c>
    </row>
    <row r="771" spans="1:66" x14ac:dyDescent="0.2">
      <c r="A771">
        <v>3693328</v>
      </c>
      <c r="B771">
        <v>21883</v>
      </c>
      <c r="C771">
        <v>523988</v>
      </c>
      <c r="D771">
        <v>52895</v>
      </c>
      <c r="E771">
        <v>100</v>
      </c>
      <c r="F771" t="s">
        <v>37</v>
      </c>
      <c r="G771">
        <v>1</v>
      </c>
      <c r="H771" t="s">
        <v>37</v>
      </c>
      <c r="I771" t="s">
        <v>37</v>
      </c>
      <c r="J771" t="s">
        <v>775</v>
      </c>
      <c r="K771" t="s">
        <v>419</v>
      </c>
      <c r="L771" t="s">
        <v>420</v>
      </c>
      <c r="M771" t="s">
        <v>422</v>
      </c>
      <c r="N771" t="s">
        <v>4055</v>
      </c>
      <c r="O771" t="s">
        <v>4056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B771" s="5">
        <v>43254.333333333336</v>
      </c>
      <c r="AC771" s="5">
        <v>43254.333333333336</v>
      </c>
      <c r="AD771" s="5">
        <v>43970.333333333336</v>
      </c>
      <c r="AE771" s="5">
        <v>43970.333333333336</v>
      </c>
      <c r="AG771" s="5">
        <v>44044</v>
      </c>
      <c r="AH771" s="5">
        <v>44044</v>
      </c>
      <c r="AK771" s="5">
        <v>43282.333333333336</v>
      </c>
      <c r="AL771" s="5">
        <v>43282.333333333336</v>
      </c>
      <c r="AP771" t="s">
        <v>418</v>
      </c>
      <c r="AU771" t="s">
        <v>4057</v>
      </c>
      <c r="AV771" t="s">
        <v>4058</v>
      </c>
      <c r="AY771" t="s">
        <v>40</v>
      </c>
      <c r="AZ771">
        <v>0</v>
      </c>
      <c r="BA771">
        <v>0</v>
      </c>
      <c r="BI771" s="5">
        <v>44048.176388888889</v>
      </c>
      <c r="BJ771" s="5">
        <v>44048.176388888889</v>
      </c>
      <c r="BK771" t="s">
        <v>778</v>
      </c>
      <c r="BL771" t="s">
        <v>778</v>
      </c>
      <c r="BN771" t="s">
        <v>37</v>
      </c>
    </row>
    <row r="772" spans="1:66" x14ac:dyDescent="0.2">
      <c r="A772">
        <v>3693329</v>
      </c>
      <c r="B772">
        <v>21883</v>
      </c>
      <c r="C772">
        <v>523988</v>
      </c>
      <c r="D772">
        <v>52895</v>
      </c>
      <c r="E772">
        <v>100</v>
      </c>
      <c r="F772" t="s">
        <v>37</v>
      </c>
      <c r="G772">
        <v>1</v>
      </c>
      <c r="H772" t="s">
        <v>37</v>
      </c>
      <c r="I772" t="s">
        <v>37</v>
      </c>
      <c r="J772" t="s">
        <v>775</v>
      </c>
      <c r="K772" t="s">
        <v>423</v>
      </c>
      <c r="L772" t="s">
        <v>420</v>
      </c>
      <c r="M772" t="s">
        <v>422</v>
      </c>
      <c r="N772" t="s">
        <v>4059</v>
      </c>
      <c r="O772" t="s">
        <v>4060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B772" s="5">
        <v>43261.666666666664</v>
      </c>
      <c r="AC772" s="5">
        <v>43261.666666666664</v>
      </c>
      <c r="AD772" s="5">
        <v>44273.666666666664</v>
      </c>
      <c r="AE772" s="5">
        <v>44273.666666666664</v>
      </c>
      <c r="AG772" s="5">
        <v>44044</v>
      </c>
      <c r="AH772" s="5">
        <v>44044</v>
      </c>
      <c r="AK772" s="5">
        <v>43344.333333333336</v>
      </c>
      <c r="AL772" s="5">
        <v>43344.333333333336</v>
      </c>
      <c r="AP772" t="s">
        <v>418</v>
      </c>
      <c r="AU772" t="s">
        <v>4061</v>
      </c>
      <c r="AV772" t="s">
        <v>4062</v>
      </c>
      <c r="AY772" t="s">
        <v>37</v>
      </c>
      <c r="AZ772">
        <v>0</v>
      </c>
      <c r="BA772">
        <v>0</v>
      </c>
      <c r="BI772" s="5">
        <v>44048.176388888889</v>
      </c>
      <c r="BJ772" s="5">
        <v>44048.176388888889</v>
      </c>
      <c r="BK772" t="s">
        <v>778</v>
      </c>
      <c r="BL772" t="s">
        <v>778</v>
      </c>
      <c r="BN772" t="s">
        <v>37</v>
      </c>
    </row>
    <row r="773" spans="1:66" x14ac:dyDescent="0.2">
      <c r="A773">
        <v>3693330</v>
      </c>
      <c r="B773">
        <v>21883</v>
      </c>
      <c r="C773">
        <v>523988</v>
      </c>
      <c r="D773">
        <v>52895</v>
      </c>
      <c r="E773">
        <v>100</v>
      </c>
      <c r="F773" t="s">
        <v>37</v>
      </c>
      <c r="G773">
        <v>1</v>
      </c>
      <c r="H773" t="s">
        <v>37</v>
      </c>
      <c r="I773" t="s">
        <v>37</v>
      </c>
      <c r="J773" t="s">
        <v>775</v>
      </c>
      <c r="K773" t="s">
        <v>419</v>
      </c>
      <c r="L773" t="s">
        <v>420</v>
      </c>
      <c r="M773" t="s">
        <v>422</v>
      </c>
      <c r="N773" t="s">
        <v>4063</v>
      </c>
      <c r="O773" t="s">
        <v>4064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B773" s="5">
        <v>43553</v>
      </c>
      <c r="AC773" s="5">
        <v>43553</v>
      </c>
      <c r="AD773" s="5">
        <v>44273.666666666664</v>
      </c>
      <c r="AE773" s="5">
        <v>44273.666666666664</v>
      </c>
      <c r="AG773" s="5">
        <v>44044</v>
      </c>
      <c r="AH773" s="5">
        <v>44044</v>
      </c>
      <c r="AK773" s="5">
        <v>43678.333333333336</v>
      </c>
      <c r="AL773" s="5">
        <v>43678.333333333336</v>
      </c>
      <c r="AP773" t="s">
        <v>418</v>
      </c>
      <c r="AU773" t="s">
        <v>4065</v>
      </c>
      <c r="AV773" t="s">
        <v>4066</v>
      </c>
      <c r="AY773" t="s">
        <v>37</v>
      </c>
      <c r="AZ773">
        <v>0</v>
      </c>
      <c r="BA773">
        <v>0</v>
      </c>
      <c r="BI773" s="5">
        <v>44048.176388888889</v>
      </c>
      <c r="BJ773" s="5">
        <v>44048.176388888889</v>
      </c>
      <c r="BK773" t="s">
        <v>778</v>
      </c>
      <c r="BL773" t="s">
        <v>778</v>
      </c>
      <c r="BN773" t="s">
        <v>37</v>
      </c>
    </row>
    <row r="774" spans="1:66" x14ac:dyDescent="0.2">
      <c r="A774">
        <v>3693331</v>
      </c>
      <c r="B774">
        <v>21883</v>
      </c>
      <c r="C774">
        <v>523988</v>
      </c>
      <c r="D774">
        <v>52895</v>
      </c>
      <c r="E774">
        <v>0</v>
      </c>
      <c r="F774" t="s">
        <v>37</v>
      </c>
      <c r="G774">
        <v>1</v>
      </c>
      <c r="H774" t="s">
        <v>37</v>
      </c>
      <c r="I774" t="s">
        <v>37</v>
      </c>
      <c r="J774" t="s">
        <v>775</v>
      </c>
      <c r="K774" t="s">
        <v>423</v>
      </c>
      <c r="L774" t="s">
        <v>420</v>
      </c>
      <c r="M774" t="s">
        <v>417</v>
      </c>
      <c r="N774" t="s">
        <v>4067</v>
      </c>
      <c r="O774" t="s">
        <v>4068</v>
      </c>
      <c r="Q774">
        <v>1584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D774" s="5">
        <v>44273.666666666664</v>
      </c>
      <c r="AE774" s="5">
        <v>44273.666666666664</v>
      </c>
      <c r="AG774" s="5">
        <v>44075.666666666664</v>
      </c>
      <c r="AH774" s="5">
        <v>44075.666666666664</v>
      </c>
      <c r="AI774" s="5">
        <v>44075.666666666664</v>
      </c>
      <c r="AJ774" s="5">
        <v>44075.666666666664</v>
      </c>
      <c r="AK774" s="5">
        <v>44075.666666666664</v>
      </c>
      <c r="AL774" s="5">
        <v>44075.666666666664</v>
      </c>
      <c r="AM774" s="5">
        <v>44273.666666666664</v>
      </c>
      <c r="AN774" s="5">
        <v>44273.666666666664</v>
      </c>
      <c r="AP774" t="s">
        <v>418</v>
      </c>
      <c r="AU774" t="s">
        <v>4069</v>
      </c>
      <c r="AV774" t="s">
        <v>4070</v>
      </c>
      <c r="AY774" t="s">
        <v>37</v>
      </c>
      <c r="AZ774">
        <v>0</v>
      </c>
      <c r="BA774">
        <v>0</v>
      </c>
      <c r="BI774" s="5">
        <v>44048.176388888889</v>
      </c>
      <c r="BJ774" s="5">
        <v>44048.176388888889</v>
      </c>
      <c r="BK774" t="s">
        <v>778</v>
      </c>
      <c r="BL774" t="s">
        <v>778</v>
      </c>
      <c r="BN774" t="s">
        <v>37</v>
      </c>
    </row>
    <row r="775" spans="1:66" x14ac:dyDescent="0.2">
      <c r="A775">
        <v>3693332</v>
      </c>
      <c r="B775">
        <v>21883</v>
      </c>
      <c r="C775">
        <v>523988</v>
      </c>
      <c r="D775">
        <v>52895</v>
      </c>
      <c r="E775">
        <v>0</v>
      </c>
      <c r="F775" t="s">
        <v>37</v>
      </c>
      <c r="G775">
        <v>1</v>
      </c>
      <c r="H775" t="s">
        <v>37</v>
      </c>
      <c r="I775" t="s">
        <v>37</v>
      </c>
      <c r="J775" t="s">
        <v>775</v>
      </c>
      <c r="K775" t="s">
        <v>426</v>
      </c>
      <c r="L775" t="s">
        <v>226</v>
      </c>
      <c r="M775" t="s">
        <v>421</v>
      </c>
      <c r="N775" t="s">
        <v>4071</v>
      </c>
      <c r="O775" t="s">
        <v>4072</v>
      </c>
      <c r="Q775">
        <v>-536</v>
      </c>
      <c r="R775">
        <v>0</v>
      </c>
      <c r="S775">
        <v>1120</v>
      </c>
      <c r="T775">
        <v>0</v>
      </c>
      <c r="U775">
        <v>0</v>
      </c>
      <c r="V775">
        <v>0</v>
      </c>
      <c r="W775">
        <v>2008</v>
      </c>
      <c r="X775">
        <v>0</v>
      </c>
      <c r="Y775">
        <v>0</v>
      </c>
      <c r="Z775">
        <v>0</v>
      </c>
      <c r="AB775" s="5">
        <v>43898</v>
      </c>
      <c r="AD775" s="5">
        <v>43970.333333333336</v>
      </c>
      <c r="AE775" s="5">
        <v>44116.666666666664</v>
      </c>
      <c r="AG775" s="5">
        <v>44044.333333333336</v>
      </c>
      <c r="AH775" s="5">
        <v>44183.666666666664</v>
      </c>
      <c r="AI775" s="5">
        <v>44044.333333333336</v>
      </c>
      <c r="AJ775" s="5">
        <v>44183.666666666664</v>
      </c>
      <c r="AK775" s="5">
        <v>43902.333333333336</v>
      </c>
      <c r="AL775" s="5">
        <v>44152.666666666664</v>
      </c>
      <c r="AM775" s="5">
        <v>43970.333333333336</v>
      </c>
      <c r="AN775" s="5">
        <v>44116.666666666664</v>
      </c>
      <c r="AP775" t="s">
        <v>418</v>
      </c>
      <c r="AU775" t="s">
        <v>4073</v>
      </c>
      <c r="AV775" t="s">
        <v>4074</v>
      </c>
      <c r="AY775" t="s">
        <v>40</v>
      </c>
      <c r="AZ775">
        <v>0</v>
      </c>
      <c r="BA775">
        <v>0</v>
      </c>
      <c r="BI775" s="5">
        <v>44048.176388888889</v>
      </c>
      <c r="BJ775" s="5">
        <v>44048.176388888889</v>
      </c>
      <c r="BK775" t="s">
        <v>778</v>
      </c>
      <c r="BL775" t="s">
        <v>778</v>
      </c>
      <c r="BN775" t="s">
        <v>37</v>
      </c>
    </row>
    <row r="776" spans="1:66" x14ac:dyDescent="0.2">
      <c r="A776">
        <v>3693333</v>
      </c>
      <c r="B776">
        <v>21883</v>
      </c>
      <c r="C776">
        <v>523999</v>
      </c>
      <c r="D776">
        <v>52899</v>
      </c>
      <c r="E776">
        <v>100</v>
      </c>
      <c r="F776" t="s">
        <v>37</v>
      </c>
      <c r="G776">
        <v>1</v>
      </c>
      <c r="H776" t="s">
        <v>37</v>
      </c>
      <c r="I776" t="s">
        <v>37</v>
      </c>
      <c r="J776" t="s">
        <v>775</v>
      </c>
      <c r="K776" t="s">
        <v>230</v>
      </c>
      <c r="L776" t="s">
        <v>226</v>
      </c>
      <c r="M776" t="s">
        <v>422</v>
      </c>
      <c r="N776" t="s">
        <v>4075</v>
      </c>
      <c r="O776" t="s">
        <v>4076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B776" s="5">
        <v>43159</v>
      </c>
      <c r="AC776" s="5">
        <v>43159.666666666664</v>
      </c>
      <c r="AD776" s="5">
        <v>44306.666666666664</v>
      </c>
      <c r="AE776" s="5">
        <v>44306.666666666664</v>
      </c>
      <c r="AG776" s="5">
        <v>44044</v>
      </c>
      <c r="AH776" s="5">
        <v>44044</v>
      </c>
      <c r="AK776" s="5">
        <v>43193.333333333336</v>
      </c>
      <c r="AL776" s="5">
        <v>43193.333333333336</v>
      </c>
      <c r="AP776" t="s">
        <v>418</v>
      </c>
      <c r="AU776" t="s">
        <v>4077</v>
      </c>
      <c r="AV776" t="s">
        <v>4078</v>
      </c>
      <c r="AY776" t="s">
        <v>37</v>
      </c>
      <c r="AZ776">
        <v>0</v>
      </c>
      <c r="BA776">
        <v>0</v>
      </c>
      <c r="BI776" s="5">
        <v>44048.176388888889</v>
      </c>
      <c r="BJ776" s="5">
        <v>44048.176388888889</v>
      </c>
      <c r="BK776" t="s">
        <v>778</v>
      </c>
      <c r="BL776" t="s">
        <v>778</v>
      </c>
      <c r="BN776" t="s">
        <v>37</v>
      </c>
    </row>
    <row r="777" spans="1:66" x14ac:dyDescent="0.2">
      <c r="A777">
        <v>3693334</v>
      </c>
      <c r="B777">
        <v>21883</v>
      </c>
      <c r="C777">
        <v>523931</v>
      </c>
      <c r="D777">
        <v>52899</v>
      </c>
      <c r="E777">
        <v>0</v>
      </c>
      <c r="F777" t="s">
        <v>37</v>
      </c>
      <c r="G777">
        <v>1</v>
      </c>
      <c r="H777" t="s">
        <v>37</v>
      </c>
      <c r="I777" t="s">
        <v>37</v>
      </c>
      <c r="J777" t="s">
        <v>775</v>
      </c>
      <c r="K777" t="s">
        <v>230</v>
      </c>
      <c r="L777" t="s">
        <v>226</v>
      </c>
      <c r="M777" t="s">
        <v>417</v>
      </c>
      <c r="N777" t="s">
        <v>4079</v>
      </c>
      <c r="O777" t="s">
        <v>4080</v>
      </c>
      <c r="Q777">
        <v>-280</v>
      </c>
      <c r="R777">
        <v>0</v>
      </c>
      <c r="S777">
        <v>384</v>
      </c>
      <c r="T777">
        <v>0</v>
      </c>
      <c r="U777">
        <v>0</v>
      </c>
      <c r="V777">
        <v>0</v>
      </c>
      <c r="W777">
        <v>384</v>
      </c>
      <c r="X777">
        <v>0</v>
      </c>
      <c r="Y777">
        <v>0</v>
      </c>
      <c r="Z777">
        <v>0</v>
      </c>
      <c r="AD777" s="5">
        <v>43990.333333333336</v>
      </c>
      <c r="AE777" s="5">
        <v>44064.666666666664</v>
      </c>
      <c r="AG777" s="5">
        <v>44046.333333333336</v>
      </c>
      <c r="AH777" s="5">
        <v>44124.666666666664</v>
      </c>
      <c r="AI777" s="5">
        <v>44046.333333333336</v>
      </c>
      <c r="AJ777" s="5">
        <v>44124.666666666664</v>
      </c>
      <c r="AK777" s="5">
        <v>44046.333333333336</v>
      </c>
      <c r="AL777" s="5">
        <v>44124.666666666664</v>
      </c>
      <c r="AM777" s="5">
        <v>43990.333333333336</v>
      </c>
      <c r="AN777" s="5">
        <v>44064.666666666664</v>
      </c>
      <c r="AP777" t="s">
        <v>418</v>
      </c>
      <c r="AU777" t="s">
        <v>4081</v>
      </c>
      <c r="AV777" t="s">
        <v>4082</v>
      </c>
      <c r="AY777" t="s">
        <v>37</v>
      </c>
      <c r="AZ777">
        <v>0</v>
      </c>
      <c r="BA777">
        <v>0</v>
      </c>
      <c r="BI777" s="5">
        <v>44048.176388888889</v>
      </c>
      <c r="BJ777" s="5">
        <v>44048.176388888889</v>
      </c>
      <c r="BK777" t="s">
        <v>778</v>
      </c>
      <c r="BL777" t="s">
        <v>778</v>
      </c>
      <c r="BN777" t="s">
        <v>37</v>
      </c>
    </row>
    <row r="778" spans="1:66" x14ac:dyDescent="0.2">
      <c r="A778">
        <v>3693335</v>
      </c>
      <c r="B778">
        <v>21883</v>
      </c>
      <c r="C778">
        <v>523999</v>
      </c>
      <c r="D778">
        <v>52899</v>
      </c>
      <c r="E778">
        <v>100</v>
      </c>
      <c r="F778" t="s">
        <v>37</v>
      </c>
      <c r="G778">
        <v>1</v>
      </c>
      <c r="H778" t="s">
        <v>37</v>
      </c>
      <c r="I778" t="s">
        <v>37</v>
      </c>
      <c r="J778" t="s">
        <v>775</v>
      </c>
      <c r="K778" t="s">
        <v>230</v>
      </c>
      <c r="L778" t="s">
        <v>226</v>
      </c>
      <c r="M778" t="s">
        <v>422</v>
      </c>
      <c r="N778" t="s">
        <v>4083</v>
      </c>
      <c r="O778" t="s">
        <v>4084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B778" s="5">
        <v>43586</v>
      </c>
      <c r="AC778" s="5">
        <v>43586</v>
      </c>
      <c r="AD778" s="5">
        <v>44306.666666666664</v>
      </c>
      <c r="AE778" s="5">
        <v>44306.666666666664</v>
      </c>
      <c r="AG778" s="5">
        <v>44044</v>
      </c>
      <c r="AH778" s="5">
        <v>44044</v>
      </c>
      <c r="AK778" s="5">
        <v>43619.333333333336</v>
      </c>
      <c r="AL778" s="5">
        <v>43619.333333333336</v>
      </c>
      <c r="AP778" t="s">
        <v>418</v>
      </c>
      <c r="AU778" t="s">
        <v>4085</v>
      </c>
      <c r="AV778" t="s">
        <v>4086</v>
      </c>
      <c r="AY778" t="s">
        <v>37</v>
      </c>
      <c r="AZ778">
        <v>0</v>
      </c>
      <c r="BA778">
        <v>0</v>
      </c>
      <c r="BI778" s="5">
        <v>44048.176388888889</v>
      </c>
      <c r="BJ778" s="5">
        <v>44048.176388888889</v>
      </c>
      <c r="BK778" t="s">
        <v>778</v>
      </c>
      <c r="BL778" t="s">
        <v>778</v>
      </c>
      <c r="BN778" t="s">
        <v>37</v>
      </c>
    </row>
    <row r="779" spans="1:66" x14ac:dyDescent="0.2">
      <c r="A779">
        <v>3693336</v>
      </c>
      <c r="B779">
        <v>21883</v>
      </c>
      <c r="C779">
        <v>524020</v>
      </c>
      <c r="D779">
        <v>52898</v>
      </c>
      <c r="E779">
        <v>100</v>
      </c>
      <c r="F779" t="s">
        <v>37</v>
      </c>
      <c r="G779">
        <v>1</v>
      </c>
      <c r="H779" t="s">
        <v>37</v>
      </c>
      <c r="I779" t="s">
        <v>37</v>
      </c>
      <c r="J779" t="s">
        <v>775</v>
      </c>
      <c r="K779" t="s">
        <v>230</v>
      </c>
      <c r="L779" t="s">
        <v>226</v>
      </c>
      <c r="M779" t="s">
        <v>422</v>
      </c>
      <c r="N779" t="s">
        <v>4087</v>
      </c>
      <c r="O779" t="s">
        <v>4088</v>
      </c>
      <c r="S779">
        <v>0</v>
      </c>
      <c r="T779">
        <v>0</v>
      </c>
      <c r="U779">
        <v>0</v>
      </c>
      <c r="V779">
        <v>0</v>
      </c>
      <c r="W779">
        <v>16</v>
      </c>
      <c r="X779">
        <v>0</v>
      </c>
      <c r="Y779">
        <v>0</v>
      </c>
      <c r="Z779">
        <v>0</v>
      </c>
      <c r="AB779" s="5">
        <v>44028</v>
      </c>
      <c r="AC779" s="5">
        <v>44028</v>
      </c>
      <c r="AD779" s="5">
        <v>44006.333333333336</v>
      </c>
      <c r="AE779" s="5">
        <v>44006.333333333336</v>
      </c>
      <c r="AG779" s="5">
        <v>44057.666666666664</v>
      </c>
      <c r="AH779" s="5">
        <v>44057.666666666664</v>
      </c>
      <c r="AK779" s="5">
        <v>44039.333333333336</v>
      </c>
      <c r="AL779" s="5">
        <v>44042.666666666664</v>
      </c>
      <c r="AP779" t="s">
        <v>418</v>
      </c>
      <c r="AU779" t="s">
        <v>1764</v>
      </c>
      <c r="AV779" t="s">
        <v>4089</v>
      </c>
      <c r="AY779" t="s">
        <v>40</v>
      </c>
      <c r="AZ779">
        <v>0</v>
      </c>
      <c r="BA779">
        <v>0</v>
      </c>
      <c r="BI779" s="5">
        <v>44048.176388888889</v>
      </c>
      <c r="BJ779" s="5">
        <v>44048.176388888889</v>
      </c>
      <c r="BK779" t="s">
        <v>778</v>
      </c>
      <c r="BL779" t="s">
        <v>778</v>
      </c>
      <c r="BN779" t="s">
        <v>37</v>
      </c>
    </row>
    <row r="780" spans="1:66" x14ac:dyDescent="0.2">
      <c r="A780">
        <v>3693337</v>
      </c>
      <c r="B780">
        <v>21883</v>
      </c>
      <c r="C780">
        <v>524020</v>
      </c>
      <c r="D780">
        <v>52899</v>
      </c>
      <c r="E780">
        <v>0</v>
      </c>
      <c r="F780" t="s">
        <v>37</v>
      </c>
      <c r="G780">
        <v>1</v>
      </c>
      <c r="H780" t="s">
        <v>37</v>
      </c>
      <c r="I780" t="s">
        <v>37</v>
      </c>
      <c r="J780" t="s">
        <v>775</v>
      </c>
      <c r="K780" t="s">
        <v>230</v>
      </c>
      <c r="L780" t="s">
        <v>226</v>
      </c>
      <c r="M780" t="s">
        <v>417</v>
      </c>
      <c r="N780" t="s">
        <v>4090</v>
      </c>
      <c r="O780" t="s">
        <v>4091</v>
      </c>
      <c r="Q780">
        <v>-272</v>
      </c>
      <c r="R780">
        <v>0</v>
      </c>
      <c r="S780">
        <v>32</v>
      </c>
      <c r="T780">
        <v>0</v>
      </c>
      <c r="U780">
        <v>0</v>
      </c>
      <c r="V780">
        <v>0</v>
      </c>
      <c r="W780">
        <v>32</v>
      </c>
      <c r="X780">
        <v>0</v>
      </c>
      <c r="Y780">
        <v>0</v>
      </c>
      <c r="Z780">
        <v>0</v>
      </c>
      <c r="AD780" s="5">
        <v>44000.333333333336</v>
      </c>
      <c r="AE780" s="5">
        <v>44005.666666666664</v>
      </c>
      <c r="AG780" s="5">
        <v>44053.333333333336</v>
      </c>
      <c r="AH780" s="5">
        <v>44057.666666666664</v>
      </c>
      <c r="AI780" s="5">
        <v>44053.333333333336</v>
      </c>
      <c r="AJ780" s="5">
        <v>44057.666666666664</v>
      </c>
      <c r="AK780" s="5">
        <v>44053.333333333336</v>
      </c>
      <c r="AL780" s="5">
        <v>44057.666666666664</v>
      </c>
      <c r="AM780" s="5">
        <v>44000.333333333336</v>
      </c>
      <c r="AN780" s="5">
        <v>44005.666666666664</v>
      </c>
      <c r="AP780" t="s">
        <v>418</v>
      </c>
      <c r="AU780" t="s">
        <v>1768</v>
      </c>
      <c r="AV780" t="s">
        <v>4092</v>
      </c>
      <c r="AY780" t="s">
        <v>40</v>
      </c>
      <c r="AZ780">
        <v>0</v>
      </c>
      <c r="BA780">
        <v>0</v>
      </c>
      <c r="BI780" s="5">
        <v>44048.176388888889</v>
      </c>
      <c r="BJ780" s="5">
        <v>44048.176388888889</v>
      </c>
      <c r="BK780" t="s">
        <v>778</v>
      </c>
      <c r="BL780" t="s">
        <v>778</v>
      </c>
      <c r="BN780" t="s">
        <v>37</v>
      </c>
    </row>
    <row r="781" spans="1:66" x14ac:dyDescent="0.2">
      <c r="A781">
        <v>3693338</v>
      </c>
      <c r="B781">
        <v>21883</v>
      </c>
      <c r="C781">
        <v>524020</v>
      </c>
      <c r="D781">
        <v>52897</v>
      </c>
      <c r="E781">
        <v>100</v>
      </c>
      <c r="F781" t="s">
        <v>37</v>
      </c>
      <c r="G781">
        <v>1</v>
      </c>
      <c r="H781" t="s">
        <v>37</v>
      </c>
      <c r="I781" t="s">
        <v>37</v>
      </c>
      <c r="J781" t="s">
        <v>775</v>
      </c>
      <c r="K781" t="s">
        <v>230</v>
      </c>
      <c r="L781" t="s">
        <v>226</v>
      </c>
      <c r="M781" t="s">
        <v>422</v>
      </c>
      <c r="N781" t="s">
        <v>4093</v>
      </c>
      <c r="O781" t="s">
        <v>4094</v>
      </c>
      <c r="S781">
        <v>0</v>
      </c>
      <c r="T781">
        <v>0</v>
      </c>
      <c r="U781">
        <v>0</v>
      </c>
      <c r="V781">
        <v>0</v>
      </c>
      <c r="W781">
        <v>16</v>
      </c>
      <c r="X781">
        <v>0</v>
      </c>
      <c r="Y781">
        <v>0</v>
      </c>
      <c r="Z781">
        <v>0</v>
      </c>
      <c r="AB781" s="5">
        <v>44029</v>
      </c>
      <c r="AC781" s="5">
        <v>44029</v>
      </c>
      <c r="AD781" s="5">
        <v>44006.333333333336</v>
      </c>
      <c r="AE781" s="5">
        <v>44006.333333333336</v>
      </c>
      <c r="AG781" s="5">
        <v>44057.666666666664</v>
      </c>
      <c r="AH781" s="5">
        <v>44057.666666666664</v>
      </c>
      <c r="AK781" s="5">
        <v>44039.333333333336</v>
      </c>
      <c r="AL781" s="5">
        <v>44042.666666666664</v>
      </c>
      <c r="AP781" t="s">
        <v>418</v>
      </c>
      <c r="AU781" t="s">
        <v>1772</v>
      </c>
      <c r="AV781" t="s">
        <v>4095</v>
      </c>
      <c r="AY781" t="s">
        <v>40</v>
      </c>
      <c r="AZ781">
        <v>0</v>
      </c>
      <c r="BA781">
        <v>0</v>
      </c>
      <c r="BI781" s="5">
        <v>44048.176388888889</v>
      </c>
      <c r="BJ781" s="5">
        <v>44048.176388888889</v>
      </c>
      <c r="BK781" t="s">
        <v>778</v>
      </c>
      <c r="BL781" t="s">
        <v>778</v>
      </c>
      <c r="BN781" t="s">
        <v>37</v>
      </c>
    </row>
    <row r="782" spans="1:66" x14ac:dyDescent="0.2">
      <c r="A782">
        <v>3693339</v>
      </c>
      <c r="B782">
        <v>21883</v>
      </c>
      <c r="C782">
        <v>523999</v>
      </c>
      <c r="D782">
        <v>52898</v>
      </c>
      <c r="E782">
        <v>100</v>
      </c>
      <c r="F782" t="s">
        <v>37</v>
      </c>
      <c r="G782">
        <v>1</v>
      </c>
      <c r="H782" t="s">
        <v>37</v>
      </c>
      <c r="I782" t="s">
        <v>37</v>
      </c>
      <c r="J782" t="s">
        <v>775</v>
      </c>
      <c r="K782" t="s">
        <v>230</v>
      </c>
      <c r="L782" t="s">
        <v>226</v>
      </c>
      <c r="M782" t="s">
        <v>422</v>
      </c>
      <c r="N782" t="s">
        <v>4096</v>
      </c>
      <c r="O782" t="s">
        <v>4097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B782" s="5">
        <v>43677</v>
      </c>
      <c r="AC782" s="5">
        <v>43677</v>
      </c>
      <c r="AD782" s="5">
        <v>44306.666666666664</v>
      </c>
      <c r="AE782" s="5">
        <v>44306.666666666664</v>
      </c>
      <c r="AG782" s="5">
        <v>44044</v>
      </c>
      <c r="AH782" s="5">
        <v>44044</v>
      </c>
      <c r="AK782" s="5">
        <v>43678.333333333336</v>
      </c>
      <c r="AL782" s="5">
        <v>43678.333333333336</v>
      </c>
      <c r="AP782" t="s">
        <v>418</v>
      </c>
      <c r="AU782" t="s">
        <v>4098</v>
      </c>
      <c r="AV782" t="s">
        <v>4099</v>
      </c>
      <c r="AY782" t="s">
        <v>37</v>
      </c>
      <c r="AZ782">
        <v>0</v>
      </c>
      <c r="BA782">
        <v>0</v>
      </c>
      <c r="BI782" s="5">
        <v>44048.176388888889</v>
      </c>
      <c r="BJ782" s="5">
        <v>44048.176388888889</v>
      </c>
      <c r="BK782" t="s">
        <v>778</v>
      </c>
      <c r="BL782" t="s">
        <v>778</v>
      </c>
      <c r="BN782" t="s">
        <v>37</v>
      </c>
    </row>
    <row r="783" spans="1:66" x14ac:dyDescent="0.2">
      <c r="A783">
        <v>3693340</v>
      </c>
      <c r="B783">
        <v>21883</v>
      </c>
      <c r="C783">
        <v>523999</v>
      </c>
      <c r="D783">
        <v>52899</v>
      </c>
      <c r="E783">
        <v>100</v>
      </c>
      <c r="F783" t="s">
        <v>37</v>
      </c>
      <c r="G783">
        <v>1</v>
      </c>
      <c r="H783" t="s">
        <v>37</v>
      </c>
      <c r="I783" t="s">
        <v>37</v>
      </c>
      <c r="J783" t="s">
        <v>775</v>
      </c>
      <c r="K783" t="s">
        <v>230</v>
      </c>
      <c r="L783" t="s">
        <v>226</v>
      </c>
      <c r="M783" t="s">
        <v>422</v>
      </c>
      <c r="N783" t="s">
        <v>4100</v>
      </c>
      <c r="O783" t="s">
        <v>4101</v>
      </c>
      <c r="S783">
        <v>0</v>
      </c>
      <c r="T783">
        <v>0</v>
      </c>
      <c r="U783">
        <v>0</v>
      </c>
      <c r="V783">
        <v>0</v>
      </c>
      <c r="W783">
        <v>16</v>
      </c>
      <c r="X783">
        <v>0</v>
      </c>
      <c r="Y783">
        <v>0</v>
      </c>
      <c r="Z783">
        <v>0</v>
      </c>
      <c r="AB783" s="5">
        <v>43677</v>
      </c>
      <c r="AC783" s="5">
        <v>43677</v>
      </c>
      <c r="AD783" s="5">
        <v>44306.666666666664</v>
      </c>
      <c r="AE783" s="5">
        <v>44306.666666666664</v>
      </c>
      <c r="AG783" s="5">
        <v>44044</v>
      </c>
      <c r="AH783" s="5">
        <v>44044</v>
      </c>
      <c r="AK783" s="5">
        <v>43678.333333333336</v>
      </c>
      <c r="AL783" s="5">
        <v>43679.666666666664</v>
      </c>
      <c r="AP783" t="s">
        <v>418</v>
      </c>
      <c r="AU783" t="s">
        <v>4102</v>
      </c>
      <c r="AV783" t="s">
        <v>4103</v>
      </c>
      <c r="AY783" t="s">
        <v>37</v>
      </c>
      <c r="AZ783">
        <v>0</v>
      </c>
      <c r="BA783">
        <v>0</v>
      </c>
      <c r="BI783" s="5">
        <v>44048.176388888889</v>
      </c>
      <c r="BJ783" s="5">
        <v>44048.176388888889</v>
      </c>
      <c r="BK783" t="s">
        <v>778</v>
      </c>
      <c r="BL783" t="s">
        <v>778</v>
      </c>
      <c r="BN783" t="s">
        <v>37</v>
      </c>
    </row>
    <row r="784" spans="1:66" x14ac:dyDescent="0.2">
      <c r="A784">
        <v>3693341</v>
      </c>
      <c r="B784">
        <v>21883</v>
      </c>
      <c r="C784">
        <v>523999</v>
      </c>
      <c r="D784">
        <v>52897</v>
      </c>
      <c r="E784">
        <v>100</v>
      </c>
      <c r="F784" t="s">
        <v>37</v>
      </c>
      <c r="G784">
        <v>1</v>
      </c>
      <c r="H784" t="s">
        <v>37</v>
      </c>
      <c r="I784" t="s">
        <v>37</v>
      </c>
      <c r="J784" t="s">
        <v>775</v>
      </c>
      <c r="K784" t="s">
        <v>230</v>
      </c>
      <c r="L784" t="s">
        <v>226</v>
      </c>
      <c r="M784" t="s">
        <v>422</v>
      </c>
      <c r="N784" t="s">
        <v>4104</v>
      </c>
      <c r="O784" t="s">
        <v>4105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B784" s="5">
        <v>43677</v>
      </c>
      <c r="AC784" s="5">
        <v>43677</v>
      </c>
      <c r="AD784" s="5">
        <v>44306.666666666664</v>
      </c>
      <c r="AE784" s="5">
        <v>44306.666666666664</v>
      </c>
      <c r="AG784" s="5">
        <v>44044</v>
      </c>
      <c r="AH784" s="5">
        <v>44044</v>
      </c>
      <c r="AK784" s="5">
        <v>43678.333333333336</v>
      </c>
      <c r="AL784" s="5">
        <v>43678.333333333336</v>
      </c>
      <c r="AP784" t="s">
        <v>418</v>
      </c>
      <c r="AU784" t="s">
        <v>4106</v>
      </c>
      <c r="AV784" t="s">
        <v>4107</v>
      </c>
      <c r="AY784" t="s">
        <v>37</v>
      </c>
      <c r="AZ784">
        <v>0</v>
      </c>
      <c r="BA784">
        <v>0</v>
      </c>
      <c r="BI784" s="5">
        <v>44048.176388888889</v>
      </c>
      <c r="BJ784" s="5">
        <v>44048.176388888889</v>
      </c>
      <c r="BK784" t="s">
        <v>778</v>
      </c>
      <c r="BL784" t="s">
        <v>778</v>
      </c>
      <c r="BN784" t="s">
        <v>37</v>
      </c>
    </row>
    <row r="785" spans="1:66" x14ac:dyDescent="0.2">
      <c r="A785">
        <v>3693342</v>
      </c>
      <c r="B785">
        <v>21883</v>
      </c>
      <c r="C785">
        <v>524015</v>
      </c>
      <c r="D785">
        <v>52899</v>
      </c>
      <c r="E785">
        <v>0</v>
      </c>
      <c r="F785" t="s">
        <v>37</v>
      </c>
      <c r="G785">
        <v>1</v>
      </c>
      <c r="H785" t="s">
        <v>37</v>
      </c>
      <c r="I785" t="s">
        <v>37</v>
      </c>
      <c r="J785" t="s">
        <v>775</v>
      </c>
      <c r="K785" t="s">
        <v>230</v>
      </c>
      <c r="L785" t="s">
        <v>226</v>
      </c>
      <c r="M785" t="s">
        <v>417</v>
      </c>
      <c r="N785" t="s">
        <v>4108</v>
      </c>
      <c r="O785" t="s">
        <v>4109</v>
      </c>
      <c r="Q785">
        <v>-136</v>
      </c>
      <c r="R785">
        <v>0</v>
      </c>
      <c r="S785">
        <v>16</v>
      </c>
      <c r="T785">
        <v>0</v>
      </c>
      <c r="U785">
        <v>0</v>
      </c>
      <c r="V785">
        <v>0</v>
      </c>
      <c r="W785">
        <v>16</v>
      </c>
      <c r="X785">
        <v>0</v>
      </c>
      <c r="Y785">
        <v>0</v>
      </c>
      <c r="Z785">
        <v>0</v>
      </c>
      <c r="AD785" s="5">
        <v>44082.333333333336</v>
      </c>
      <c r="AE785" s="5">
        <v>44083.666666666664</v>
      </c>
      <c r="AG785" s="5">
        <v>44110.333333333336</v>
      </c>
      <c r="AH785" s="5">
        <v>44111.666666666664</v>
      </c>
      <c r="AI785" s="5">
        <v>44110.333333333336</v>
      </c>
      <c r="AJ785" s="5">
        <v>44111.666666666664</v>
      </c>
      <c r="AK785" s="5">
        <v>44110.333333333336</v>
      </c>
      <c r="AL785" s="5">
        <v>44111.666666666664</v>
      </c>
      <c r="AM785" s="5">
        <v>44082.333333333336</v>
      </c>
      <c r="AN785" s="5">
        <v>44083.666666666664</v>
      </c>
      <c r="AP785" t="s">
        <v>418</v>
      </c>
      <c r="AU785" t="s">
        <v>4110</v>
      </c>
      <c r="AV785" t="s">
        <v>4111</v>
      </c>
      <c r="AY785" t="s">
        <v>37</v>
      </c>
      <c r="AZ785">
        <v>0</v>
      </c>
      <c r="BA785">
        <v>0</v>
      </c>
      <c r="BI785" s="5">
        <v>44048.176388888889</v>
      </c>
      <c r="BJ785" s="5">
        <v>44048.176388888889</v>
      </c>
      <c r="BK785" t="s">
        <v>778</v>
      </c>
      <c r="BL785" t="s">
        <v>778</v>
      </c>
      <c r="BN785" t="s">
        <v>37</v>
      </c>
    </row>
    <row r="786" spans="1:66" x14ac:dyDescent="0.2">
      <c r="A786">
        <v>3693343</v>
      </c>
      <c r="B786">
        <v>21883</v>
      </c>
      <c r="C786">
        <v>524007</v>
      </c>
      <c r="D786">
        <v>52899</v>
      </c>
      <c r="E786">
        <v>100</v>
      </c>
      <c r="F786" t="s">
        <v>37</v>
      </c>
      <c r="G786">
        <v>1</v>
      </c>
      <c r="H786" t="s">
        <v>37</v>
      </c>
      <c r="I786" t="s">
        <v>37</v>
      </c>
      <c r="J786" t="s">
        <v>775</v>
      </c>
      <c r="K786" t="s">
        <v>230</v>
      </c>
      <c r="L786" t="s">
        <v>226</v>
      </c>
      <c r="M786" t="s">
        <v>422</v>
      </c>
      <c r="N786" t="s">
        <v>4112</v>
      </c>
      <c r="O786" t="s">
        <v>4113</v>
      </c>
      <c r="S786">
        <v>0</v>
      </c>
      <c r="T786">
        <v>0</v>
      </c>
      <c r="U786">
        <v>0</v>
      </c>
      <c r="V786">
        <v>0</v>
      </c>
      <c r="W786">
        <v>8</v>
      </c>
      <c r="X786">
        <v>0</v>
      </c>
      <c r="Y786">
        <v>0</v>
      </c>
      <c r="Z786">
        <v>0</v>
      </c>
      <c r="AB786" s="5">
        <v>43732</v>
      </c>
      <c r="AC786" s="5">
        <v>43732</v>
      </c>
      <c r="AD786" s="5">
        <v>43970.333333333336</v>
      </c>
      <c r="AE786" s="5">
        <v>43970.333333333336</v>
      </c>
      <c r="AG786" s="5">
        <v>44044</v>
      </c>
      <c r="AH786" s="5">
        <v>44044</v>
      </c>
      <c r="AK786" s="5">
        <v>43739.333333333336</v>
      </c>
      <c r="AL786" s="5">
        <v>43739.666666666664</v>
      </c>
      <c r="AP786" t="s">
        <v>418</v>
      </c>
      <c r="AU786" t="s">
        <v>4114</v>
      </c>
      <c r="AV786" t="s">
        <v>4115</v>
      </c>
      <c r="AY786" t="s">
        <v>40</v>
      </c>
      <c r="AZ786">
        <v>0</v>
      </c>
      <c r="BA786">
        <v>0</v>
      </c>
      <c r="BI786" s="5">
        <v>44048.176388888889</v>
      </c>
      <c r="BJ786" s="5">
        <v>44048.176388888889</v>
      </c>
      <c r="BK786" t="s">
        <v>778</v>
      </c>
      <c r="BL786" t="s">
        <v>778</v>
      </c>
      <c r="BN786" t="s">
        <v>37</v>
      </c>
    </row>
    <row r="787" spans="1:66" x14ac:dyDescent="0.2">
      <c r="A787">
        <v>3693344</v>
      </c>
      <c r="B787">
        <v>21883</v>
      </c>
      <c r="C787">
        <v>524015</v>
      </c>
      <c r="D787">
        <v>52897</v>
      </c>
      <c r="E787">
        <v>0</v>
      </c>
      <c r="F787" t="s">
        <v>37</v>
      </c>
      <c r="G787">
        <v>1</v>
      </c>
      <c r="H787" t="s">
        <v>37</v>
      </c>
      <c r="I787" t="s">
        <v>37</v>
      </c>
      <c r="J787" t="s">
        <v>775</v>
      </c>
      <c r="K787" t="s">
        <v>230</v>
      </c>
      <c r="L787" t="s">
        <v>226</v>
      </c>
      <c r="M787" t="s">
        <v>417</v>
      </c>
      <c r="N787" t="s">
        <v>4116</v>
      </c>
      <c r="O787" t="s">
        <v>4117</v>
      </c>
      <c r="Q787">
        <v>-112</v>
      </c>
      <c r="R787">
        <v>0</v>
      </c>
      <c r="S787">
        <v>8</v>
      </c>
      <c r="T787">
        <v>0</v>
      </c>
      <c r="U787">
        <v>0</v>
      </c>
      <c r="V787">
        <v>0</v>
      </c>
      <c r="W787">
        <v>8</v>
      </c>
      <c r="X787">
        <v>0</v>
      </c>
      <c r="Y787">
        <v>0</v>
      </c>
      <c r="Z787">
        <v>0</v>
      </c>
      <c r="AD787" s="5">
        <v>44084.333333333336</v>
      </c>
      <c r="AE787" s="5">
        <v>44084.666666666664</v>
      </c>
      <c r="AG787" s="5">
        <v>44112.333333333336</v>
      </c>
      <c r="AH787" s="5">
        <v>44112.666666666664</v>
      </c>
      <c r="AI787" s="5">
        <v>44112.333333333336</v>
      </c>
      <c r="AJ787" s="5">
        <v>44112.666666666664</v>
      </c>
      <c r="AK787" s="5">
        <v>44112.333333333336</v>
      </c>
      <c r="AL787" s="5">
        <v>44112.666666666664</v>
      </c>
      <c r="AM787" s="5">
        <v>44084.333333333336</v>
      </c>
      <c r="AN787" s="5">
        <v>44084.666666666664</v>
      </c>
      <c r="AP787" t="s">
        <v>418</v>
      </c>
      <c r="AU787" t="s">
        <v>4118</v>
      </c>
      <c r="AV787" t="s">
        <v>4119</v>
      </c>
      <c r="AY787" t="s">
        <v>37</v>
      </c>
      <c r="AZ787">
        <v>0</v>
      </c>
      <c r="BA787">
        <v>0</v>
      </c>
      <c r="BI787" s="5">
        <v>44048.176388888889</v>
      </c>
      <c r="BJ787" s="5">
        <v>44048.176388888889</v>
      </c>
      <c r="BK787" t="s">
        <v>778</v>
      </c>
      <c r="BL787" t="s">
        <v>778</v>
      </c>
      <c r="BN787" t="s">
        <v>37</v>
      </c>
    </row>
    <row r="788" spans="1:66" x14ac:dyDescent="0.2">
      <c r="A788">
        <v>3693345</v>
      </c>
      <c r="B788">
        <v>21883</v>
      </c>
      <c r="C788">
        <v>523999</v>
      </c>
      <c r="D788">
        <v>52899</v>
      </c>
      <c r="E788">
        <v>100</v>
      </c>
      <c r="F788" t="s">
        <v>37</v>
      </c>
      <c r="G788">
        <v>1</v>
      </c>
      <c r="H788" t="s">
        <v>37</v>
      </c>
      <c r="I788" t="s">
        <v>37</v>
      </c>
      <c r="J788" t="s">
        <v>775</v>
      </c>
      <c r="K788" t="s">
        <v>230</v>
      </c>
      <c r="L788" t="s">
        <v>226</v>
      </c>
      <c r="M788" t="s">
        <v>422</v>
      </c>
      <c r="N788" t="s">
        <v>4120</v>
      </c>
      <c r="O788" t="s">
        <v>4121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B788" s="5">
        <v>43496</v>
      </c>
      <c r="AC788" s="5">
        <v>43496</v>
      </c>
      <c r="AD788" s="5">
        <v>44306.666666666664</v>
      </c>
      <c r="AE788" s="5">
        <v>44306.666666666664</v>
      </c>
      <c r="AG788" s="5">
        <v>44044</v>
      </c>
      <c r="AH788" s="5">
        <v>44044</v>
      </c>
      <c r="AK788" s="5">
        <v>43497.333333333336</v>
      </c>
      <c r="AL788" s="5">
        <v>43497.333333333336</v>
      </c>
      <c r="AP788" t="s">
        <v>418</v>
      </c>
      <c r="AU788" t="s">
        <v>4122</v>
      </c>
      <c r="AV788" t="s">
        <v>4123</v>
      </c>
      <c r="AY788" t="s">
        <v>37</v>
      </c>
      <c r="AZ788">
        <v>0</v>
      </c>
      <c r="BA788">
        <v>0</v>
      </c>
      <c r="BI788" s="5">
        <v>44048.176388888889</v>
      </c>
      <c r="BJ788" s="5">
        <v>44048.176388888889</v>
      </c>
      <c r="BK788" t="s">
        <v>778</v>
      </c>
      <c r="BL788" t="s">
        <v>778</v>
      </c>
      <c r="BN788" t="s">
        <v>37</v>
      </c>
    </row>
    <row r="789" spans="1:66" x14ac:dyDescent="0.2">
      <c r="A789">
        <v>3693346</v>
      </c>
      <c r="B789">
        <v>21883</v>
      </c>
      <c r="C789">
        <v>523999</v>
      </c>
      <c r="D789">
        <v>52899</v>
      </c>
      <c r="E789">
        <v>100</v>
      </c>
      <c r="F789" t="s">
        <v>37</v>
      </c>
      <c r="G789">
        <v>1</v>
      </c>
      <c r="H789" t="s">
        <v>37</v>
      </c>
      <c r="I789" t="s">
        <v>37</v>
      </c>
      <c r="J789" t="s">
        <v>775</v>
      </c>
      <c r="K789" t="s">
        <v>230</v>
      </c>
      <c r="L789" t="s">
        <v>226</v>
      </c>
      <c r="M789" t="s">
        <v>422</v>
      </c>
      <c r="N789" t="s">
        <v>4124</v>
      </c>
      <c r="O789" t="s">
        <v>4125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B789" s="5">
        <v>43496</v>
      </c>
      <c r="AC789" s="5">
        <v>43496</v>
      </c>
      <c r="AD789" s="5">
        <v>44306.666666666664</v>
      </c>
      <c r="AE789" s="5">
        <v>44306.666666666664</v>
      </c>
      <c r="AG789" s="5">
        <v>44044</v>
      </c>
      <c r="AH789" s="5">
        <v>44044</v>
      </c>
      <c r="AK789" s="5">
        <v>43497.333333333336</v>
      </c>
      <c r="AL789" s="5">
        <v>43497.333333333336</v>
      </c>
      <c r="AP789" t="s">
        <v>418</v>
      </c>
      <c r="AU789" t="s">
        <v>4126</v>
      </c>
      <c r="AV789" t="s">
        <v>4127</v>
      </c>
      <c r="AY789" t="s">
        <v>37</v>
      </c>
      <c r="AZ789">
        <v>0</v>
      </c>
      <c r="BA789">
        <v>0</v>
      </c>
      <c r="BI789" s="5">
        <v>44048.176388888889</v>
      </c>
      <c r="BJ789" s="5">
        <v>44048.176388888889</v>
      </c>
      <c r="BK789" t="s">
        <v>778</v>
      </c>
      <c r="BL789" t="s">
        <v>778</v>
      </c>
      <c r="BN789" t="s">
        <v>37</v>
      </c>
    </row>
    <row r="790" spans="1:66" x14ac:dyDescent="0.2">
      <c r="A790">
        <v>3693347</v>
      </c>
      <c r="B790">
        <v>21883</v>
      </c>
      <c r="C790">
        <v>523999</v>
      </c>
      <c r="D790">
        <v>52899</v>
      </c>
      <c r="E790">
        <v>100</v>
      </c>
      <c r="F790" t="s">
        <v>37</v>
      </c>
      <c r="G790">
        <v>1</v>
      </c>
      <c r="H790" t="s">
        <v>37</v>
      </c>
      <c r="I790" t="s">
        <v>37</v>
      </c>
      <c r="J790" t="s">
        <v>775</v>
      </c>
      <c r="K790" t="s">
        <v>230</v>
      </c>
      <c r="L790" t="s">
        <v>226</v>
      </c>
      <c r="M790" t="s">
        <v>422</v>
      </c>
      <c r="N790" t="s">
        <v>4128</v>
      </c>
      <c r="O790" t="s">
        <v>4129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B790" s="5">
        <v>43497</v>
      </c>
      <c r="AC790" s="5">
        <v>43497</v>
      </c>
      <c r="AD790" s="5">
        <v>44306.666666666664</v>
      </c>
      <c r="AE790" s="5">
        <v>44306.666666666664</v>
      </c>
      <c r="AG790" s="5">
        <v>44044</v>
      </c>
      <c r="AH790" s="5">
        <v>44044</v>
      </c>
      <c r="AK790" s="5">
        <v>43497.333333333336</v>
      </c>
      <c r="AL790" s="5">
        <v>43497.333333333336</v>
      </c>
      <c r="AP790" t="s">
        <v>418</v>
      </c>
      <c r="AU790" t="s">
        <v>4130</v>
      </c>
      <c r="AV790" t="s">
        <v>4131</v>
      </c>
      <c r="AY790" t="s">
        <v>37</v>
      </c>
      <c r="AZ790">
        <v>0</v>
      </c>
      <c r="BA790">
        <v>0</v>
      </c>
      <c r="BI790" s="5">
        <v>44048.176388888889</v>
      </c>
      <c r="BJ790" s="5">
        <v>44048.176388888889</v>
      </c>
      <c r="BK790" t="s">
        <v>778</v>
      </c>
      <c r="BL790" t="s">
        <v>778</v>
      </c>
      <c r="BN790" t="s">
        <v>37</v>
      </c>
    </row>
    <row r="791" spans="1:66" x14ac:dyDescent="0.2">
      <c r="A791">
        <v>3693348</v>
      </c>
      <c r="B791">
        <v>21883</v>
      </c>
      <c r="C791">
        <v>523894</v>
      </c>
      <c r="D791">
        <v>52899</v>
      </c>
      <c r="E791">
        <v>100</v>
      </c>
      <c r="F791" t="s">
        <v>37</v>
      </c>
      <c r="G791">
        <v>1</v>
      </c>
      <c r="H791" t="s">
        <v>37</v>
      </c>
      <c r="I791" t="s">
        <v>37</v>
      </c>
      <c r="J791" t="s">
        <v>775</v>
      </c>
      <c r="K791" t="s">
        <v>230</v>
      </c>
      <c r="L791" t="s">
        <v>226</v>
      </c>
      <c r="M791" t="s">
        <v>422</v>
      </c>
      <c r="N791" t="s">
        <v>4132</v>
      </c>
      <c r="O791" t="s">
        <v>4133</v>
      </c>
      <c r="S791">
        <v>0</v>
      </c>
      <c r="T791">
        <v>0</v>
      </c>
      <c r="U791">
        <v>0</v>
      </c>
      <c r="V791">
        <v>0</v>
      </c>
      <c r="W791">
        <v>16</v>
      </c>
      <c r="X791">
        <v>0</v>
      </c>
      <c r="Y791">
        <v>0</v>
      </c>
      <c r="Z791">
        <v>0</v>
      </c>
      <c r="AB791" s="5">
        <v>43336</v>
      </c>
      <c r="AC791" s="5">
        <v>43336.666666666664</v>
      </c>
      <c r="AD791" s="5">
        <v>43970.333333333336</v>
      </c>
      <c r="AE791" s="5">
        <v>43970.333333333336</v>
      </c>
      <c r="AG791" s="5">
        <v>44044</v>
      </c>
      <c r="AH791" s="5">
        <v>44044</v>
      </c>
      <c r="AK791" s="5">
        <v>43347.333333333336</v>
      </c>
      <c r="AL791" s="5">
        <v>43348.666666666664</v>
      </c>
      <c r="AP791" t="s">
        <v>418</v>
      </c>
      <c r="AU791" t="s">
        <v>4134</v>
      </c>
      <c r="AV791" t="s">
        <v>4135</v>
      </c>
      <c r="AY791" t="s">
        <v>40</v>
      </c>
      <c r="AZ791">
        <v>0</v>
      </c>
      <c r="BA791">
        <v>0</v>
      </c>
      <c r="BI791" s="5">
        <v>44048.176388888889</v>
      </c>
      <c r="BJ791" s="5">
        <v>44048.176388888889</v>
      </c>
      <c r="BK791" t="s">
        <v>778</v>
      </c>
      <c r="BL791" t="s">
        <v>778</v>
      </c>
      <c r="BN791" t="s">
        <v>37</v>
      </c>
    </row>
    <row r="792" spans="1:66" x14ac:dyDescent="0.2">
      <c r="A792">
        <v>3693349</v>
      </c>
      <c r="B792">
        <v>21883</v>
      </c>
      <c r="C792">
        <v>523894</v>
      </c>
      <c r="D792">
        <v>52899</v>
      </c>
      <c r="E792">
        <v>100</v>
      </c>
      <c r="F792" t="s">
        <v>37</v>
      </c>
      <c r="G792">
        <v>1</v>
      </c>
      <c r="H792" t="s">
        <v>37</v>
      </c>
      <c r="I792" t="s">
        <v>37</v>
      </c>
      <c r="J792" t="s">
        <v>775</v>
      </c>
      <c r="K792" t="s">
        <v>230</v>
      </c>
      <c r="L792" t="s">
        <v>226</v>
      </c>
      <c r="M792" t="s">
        <v>422</v>
      </c>
      <c r="N792" t="s">
        <v>4136</v>
      </c>
      <c r="O792" t="s">
        <v>4137</v>
      </c>
      <c r="S792">
        <v>0</v>
      </c>
      <c r="T792">
        <v>16</v>
      </c>
      <c r="U792">
        <v>0</v>
      </c>
      <c r="V792">
        <v>16</v>
      </c>
      <c r="W792">
        <v>16</v>
      </c>
      <c r="X792">
        <v>0</v>
      </c>
      <c r="Y792">
        <v>0</v>
      </c>
      <c r="Z792">
        <v>0</v>
      </c>
      <c r="AB792" s="5">
        <v>43328.333333333336</v>
      </c>
      <c r="AC792" s="5">
        <v>43329.666666666664</v>
      </c>
      <c r="AD792" s="5">
        <v>43970.333333333336</v>
      </c>
      <c r="AE792" s="5">
        <v>43970.333333333336</v>
      </c>
      <c r="AG792" s="5">
        <v>44044</v>
      </c>
      <c r="AH792" s="5">
        <v>44044</v>
      </c>
      <c r="AK792" s="5">
        <v>43349.333333333336</v>
      </c>
      <c r="AL792" s="5">
        <v>43350.666666666664</v>
      </c>
      <c r="AP792" t="s">
        <v>418</v>
      </c>
      <c r="AU792" t="s">
        <v>4138</v>
      </c>
      <c r="AV792" t="s">
        <v>4139</v>
      </c>
      <c r="AY792" t="s">
        <v>40</v>
      </c>
      <c r="AZ792">
        <v>16</v>
      </c>
      <c r="BA792">
        <v>0</v>
      </c>
      <c r="BI792" s="5">
        <v>44048.176388888889</v>
      </c>
      <c r="BJ792" s="5">
        <v>44048.176388888889</v>
      </c>
      <c r="BK792" t="s">
        <v>778</v>
      </c>
      <c r="BL792" t="s">
        <v>778</v>
      </c>
      <c r="BN792" t="s">
        <v>37</v>
      </c>
    </row>
    <row r="793" spans="1:66" x14ac:dyDescent="0.2">
      <c r="A793">
        <v>3693350</v>
      </c>
      <c r="B793">
        <v>21883</v>
      </c>
      <c r="C793">
        <v>523894</v>
      </c>
      <c r="D793">
        <v>52899</v>
      </c>
      <c r="E793">
        <v>100</v>
      </c>
      <c r="F793" t="s">
        <v>37</v>
      </c>
      <c r="G793">
        <v>1</v>
      </c>
      <c r="H793" t="s">
        <v>37</v>
      </c>
      <c r="I793" t="s">
        <v>37</v>
      </c>
      <c r="J793" t="s">
        <v>775</v>
      </c>
      <c r="K793" t="s">
        <v>230</v>
      </c>
      <c r="L793" t="s">
        <v>226</v>
      </c>
      <c r="M793" t="s">
        <v>422</v>
      </c>
      <c r="N793" t="s">
        <v>4140</v>
      </c>
      <c r="O793" t="s">
        <v>4141</v>
      </c>
      <c r="S793">
        <v>0</v>
      </c>
      <c r="T793">
        <v>8</v>
      </c>
      <c r="U793">
        <v>0</v>
      </c>
      <c r="V793">
        <v>8</v>
      </c>
      <c r="W793">
        <v>8</v>
      </c>
      <c r="X793">
        <v>0</v>
      </c>
      <c r="Y793">
        <v>0</v>
      </c>
      <c r="Z793">
        <v>0</v>
      </c>
      <c r="AB793" s="5">
        <v>43339</v>
      </c>
      <c r="AC793" s="5">
        <v>43339.666666666664</v>
      </c>
      <c r="AD793" s="5">
        <v>43970.333333333336</v>
      </c>
      <c r="AE793" s="5">
        <v>43970.333333333336</v>
      </c>
      <c r="AG793" s="5">
        <v>44044</v>
      </c>
      <c r="AH793" s="5">
        <v>44044</v>
      </c>
      <c r="AK793" s="5">
        <v>43361.333333333336</v>
      </c>
      <c r="AL793" s="5">
        <v>43361.666666666664</v>
      </c>
      <c r="AP793" t="s">
        <v>418</v>
      </c>
      <c r="AU793" t="s">
        <v>4142</v>
      </c>
      <c r="AV793" t="s">
        <v>4143</v>
      </c>
      <c r="AY793" t="s">
        <v>40</v>
      </c>
      <c r="AZ793">
        <v>8</v>
      </c>
      <c r="BA793">
        <v>0</v>
      </c>
      <c r="BI793" s="5">
        <v>44048.176388888889</v>
      </c>
      <c r="BJ793" s="5">
        <v>44048.176388888889</v>
      </c>
      <c r="BK793" t="s">
        <v>778</v>
      </c>
      <c r="BL793" t="s">
        <v>778</v>
      </c>
      <c r="BN793" t="s">
        <v>37</v>
      </c>
    </row>
    <row r="794" spans="1:66" x14ac:dyDescent="0.2">
      <c r="A794">
        <v>3693351</v>
      </c>
      <c r="B794">
        <v>21883</v>
      </c>
      <c r="C794">
        <v>523894</v>
      </c>
      <c r="D794">
        <v>52899</v>
      </c>
      <c r="E794">
        <v>100</v>
      </c>
      <c r="F794" t="s">
        <v>37</v>
      </c>
      <c r="G794">
        <v>1</v>
      </c>
      <c r="H794" t="s">
        <v>37</v>
      </c>
      <c r="I794" t="s">
        <v>37</v>
      </c>
      <c r="J794" t="s">
        <v>775</v>
      </c>
      <c r="K794" t="s">
        <v>230</v>
      </c>
      <c r="L794" t="s">
        <v>226</v>
      </c>
      <c r="M794" t="s">
        <v>422</v>
      </c>
      <c r="N794" t="s">
        <v>4144</v>
      </c>
      <c r="O794" t="s">
        <v>4145</v>
      </c>
      <c r="S794">
        <v>0</v>
      </c>
      <c r="T794">
        <v>0</v>
      </c>
      <c r="U794">
        <v>0</v>
      </c>
      <c r="V794">
        <v>0</v>
      </c>
      <c r="W794">
        <v>8</v>
      </c>
      <c r="X794">
        <v>0</v>
      </c>
      <c r="Y794">
        <v>0</v>
      </c>
      <c r="Z794">
        <v>0</v>
      </c>
      <c r="AB794" s="5">
        <v>43350.333333333336</v>
      </c>
      <c r="AC794" s="5">
        <v>43350.666666666664</v>
      </c>
      <c r="AD794" s="5">
        <v>43970.333333333336</v>
      </c>
      <c r="AE794" s="5">
        <v>43970.333333333336</v>
      </c>
      <c r="AG794" s="5">
        <v>44044</v>
      </c>
      <c r="AH794" s="5">
        <v>44044</v>
      </c>
      <c r="AK794" s="5">
        <v>43347.333333333336</v>
      </c>
      <c r="AL794" s="5">
        <v>43347.666666666664</v>
      </c>
      <c r="AP794" t="s">
        <v>418</v>
      </c>
      <c r="AU794" t="s">
        <v>4146</v>
      </c>
      <c r="AV794" t="s">
        <v>4147</v>
      </c>
      <c r="AY794" t="s">
        <v>40</v>
      </c>
      <c r="AZ794">
        <v>0</v>
      </c>
      <c r="BA794">
        <v>0</v>
      </c>
      <c r="BI794" s="5">
        <v>44048.176388888889</v>
      </c>
      <c r="BJ794" s="5">
        <v>44048.176388888889</v>
      </c>
      <c r="BK794" t="s">
        <v>778</v>
      </c>
      <c r="BL794" t="s">
        <v>778</v>
      </c>
      <c r="BN794" t="s">
        <v>37</v>
      </c>
    </row>
    <row r="795" spans="1:66" x14ac:dyDescent="0.2">
      <c r="A795">
        <v>3693352</v>
      </c>
      <c r="B795">
        <v>21883</v>
      </c>
      <c r="C795">
        <v>523894</v>
      </c>
      <c r="D795">
        <v>52899</v>
      </c>
      <c r="E795">
        <v>100</v>
      </c>
      <c r="F795" t="s">
        <v>37</v>
      </c>
      <c r="G795">
        <v>1</v>
      </c>
      <c r="H795" t="s">
        <v>37</v>
      </c>
      <c r="I795" t="s">
        <v>37</v>
      </c>
      <c r="J795" t="s">
        <v>775</v>
      </c>
      <c r="K795" t="s">
        <v>230</v>
      </c>
      <c r="L795" t="s">
        <v>226</v>
      </c>
      <c r="M795" t="s">
        <v>422</v>
      </c>
      <c r="N795" t="s">
        <v>4148</v>
      </c>
      <c r="O795" t="s">
        <v>4149</v>
      </c>
      <c r="S795">
        <v>0</v>
      </c>
      <c r="T795">
        <v>0</v>
      </c>
      <c r="U795">
        <v>0</v>
      </c>
      <c r="V795">
        <v>0</v>
      </c>
      <c r="W795">
        <v>16</v>
      </c>
      <c r="X795">
        <v>0</v>
      </c>
      <c r="Y795">
        <v>0</v>
      </c>
      <c r="Z795">
        <v>0</v>
      </c>
      <c r="AB795" s="5">
        <v>43361.333333333336</v>
      </c>
      <c r="AC795" s="5">
        <v>43363.666666666664</v>
      </c>
      <c r="AD795" s="5">
        <v>43970.333333333336</v>
      </c>
      <c r="AE795" s="5">
        <v>43970.333333333336</v>
      </c>
      <c r="AG795" s="5">
        <v>44044</v>
      </c>
      <c r="AH795" s="5">
        <v>44044</v>
      </c>
      <c r="AK795" s="5">
        <v>43350.333333333336</v>
      </c>
      <c r="AL795" s="5">
        <v>43353.666666666664</v>
      </c>
      <c r="AP795" t="s">
        <v>418</v>
      </c>
      <c r="AU795" t="s">
        <v>4150</v>
      </c>
      <c r="AV795" t="s">
        <v>4151</v>
      </c>
      <c r="AY795" t="s">
        <v>40</v>
      </c>
      <c r="AZ795">
        <v>0</v>
      </c>
      <c r="BA795">
        <v>0</v>
      </c>
      <c r="BI795" s="5">
        <v>44048.176388888889</v>
      </c>
      <c r="BJ795" s="5">
        <v>44048.176388888889</v>
      </c>
      <c r="BK795" t="s">
        <v>778</v>
      </c>
      <c r="BL795" t="s">
        <v>778</v>
      </c>
      <c r="BN795" t="s">
        <v>37</v>
      </c>
    </row>
    <row r="796" spans="1:66" x14ac:dyDescent="0.2">
      <c r="A796">
        <v>3693353</v>
      </c>
      <c r="B796">
        <v>21883</v>
      </c>
      <c r="C796">
        <v>523893</v>
      </c>
      <c r="D796">
        <v>52899</v>
      </c>
      <c r="E796">
        <v>100</v>
      </c>
      <c r="F796" t="s">
        <v>37</v>
      </c>
      <c r="G796">
        <v>1</v>
      </c>
      <c r="H796" t="s">
        <v>37</v>
      </c>
      <c r="I796" t="s">
        <v>37</v>
      </c>
      <c r="J796" t="s">
        <v>775</v>
      </c>
      <c r="K796" t="s">
        <v>230</v>
      </c>
      <c r="L796" t="s">
        <v>226</v>
      </c>
      <c r="M796" t="s">
        <v>422</v>
      </c>
      <c r="N796" t="s">
        <v>4152</v>
      </c>
      <c r="O796" t="s">
        <v>4153</v>
      </c>
      <c r="S796">
        <v>0</v>
      </c>
      <c r="T796">
        <v>16</v>
      </c>
      <c r="U796">
        <v>0</v>
      </c>
      <c r="V796">
        <v>16</v>
      </c>
      <c r="W796">
        <v>16</v>
      </c>
      <c r="X796">
        <v>0</v>
      </c>
      <c r="Y796">
        <v>0</v>
      </c>
      <c r="Z796">
        <v>0</v>
      </c>
      <c r="AB796" s="5">
        <v>43403</v>
      </c>
      <c r="AC796" s="5">
        <v>43403</v>
      </c>
      <c r="AD796" s="5">
        <v>43970.333333333336</v>
      </c>
      <c r="AE796" s="5">
        <v>43970.333333333336</v>
      </c>
      <c r="AG796" s="5">
        <v>44044</v>
      </c>
      <c r="AH796" s="5">
        <v>44044</v>
      </c>
      <c r="AK796" s="5">
        <v>43406.333333333336</v>
      </c>
      <c r="AL796" s="5">
        <v>43409.666666666664</v>
      </c>
      <c r="AP796" t="s">
        <v>418</v>
      </c>
      <c r="AU796" t="s">
        <v>4154</v>
      </c>
      <c r="AV796" t="s">
        <v>4155</v>
      </c>
      <c r="AY796" t="s">
        <v>40</v>
      </c>
      <c r="AZ796">
        <v>16</v>
      </c>
      <c r="BA796">
        <v>0</v>
      </c>
      <c r="BI796" s="5">
        <v>44048.176388888889</v>
      </c>
      <c r="BJ796" s="5">
        <v>44048.176388888889</v>
      </c>
      <c r="BK796" t="s">
        <v>778</v>
      </c>
      <c r="BL796" t="s">
        <v>778</v>
      </c>
      <c r="BN796" t="s">
        <v>37</v>
      </c>
    </row>
    <row r="797" spans="1:66" x14ac:dyDescent="0.2">
      <c r="A797">
        <v>3693354</v>
      </c>
      <c r="B797">
        <v>21883</v>
      </c>
      <c r="C797">
        <v>523893</v>
      </c>
      <c r="D797">
        <v>52899</v>
      </c>
      <c r="E797">
        <v>100</v>
      </c>
      <c r="F797" t="s">
        <v>37</v>
      </c>
      <c r="G797">
        <v>1</v>
      </c>
      <c r="H797" t="s">
        <v>37</v>
      </c>
      <c r="I797" t="s">
        <v>37</v>
      </c>
      <c r="J797" t="s">
        <v>775</v>
      </c>
      <c r="K797" t="s">
        <v>230</v>
      </c>
      <c r="L797" t="s">
        <v>226</v>
      </c>
      <c r="M797" t="s">
        <v>422</v>
      </c>
      <c r="N797" t="s">
        <v>4156</v>
      </c>
      <c r="O797" t="s">
        <v>4157</v>
      </c>
      <c r="S797">
        <v>0</v>
      </c>
      <c r="T797">
        <v>0</v>
      </c>
      <c r="U797">
        <v>0</v>
      </c>
      <c r="V797">
        <v>0</v>
      </c>
      <c r="W797">
        <v>16</v>
      </c>
      <c r="X797">
        <v>0</v>
      </c>
      <c r="Y797">
        <v>0</v>
      </c>
      <c r="Z797">
        <v>0</v>
      </c>
      <c r="AB797" s="5">
        <v>43409</v>
      </c>
      <c r="AC797" s="5">
        <v>43409</v>
      </c>
      <c r="AD797" s="5">
        <v>43970.333333333336</v>
      </c>
      <c r="AE797" s="5">
        <v>43970.333333333336</v>
      </c>
      <c r="AG797" s="5">
        <v>44044</v>
      </c>
      <c r="AH797" s="5">
        <v>44044</v>
      </c>
      <c r="AK797" s="5">
        <v>43467.333333333336</v>
      </c>
      <c r="AL797" s="5">
        <v>43468.666666666664</v>
      </c>
      <c r="AP797" t="s">
        <v>418</v>
      </c>
      <c r="AU797" t="s">
        <v>4158</v>
      </c>
      <c r="AV797" t="s">
        <v>4159</v>
      </c>
      <c r="AY797" t="s">
        <v>40</v>
      </c>
      <c r="AZ797">
        <v>0</v>
      </c>
      <c r="BA797">
        <v>0</v>
      </c>
      <c r="BI797" s="5">
        <v>44048.176388888889</v>
      </c>
      <c r="BJ797" s="5">
        <v>44048.176388888889</v>
      </c>
      <c r="BK797" t="s">
        <v>778</v>
      </c>
      <c r="BL797" t="s">
        <v>778</v>
      </c>
      <c r="BN797" t="s">
        <v>37</v>
      </c>
    </row>
    <row r="798" spans="1:66" x14ac:dyDescent="0.2">
      <c r="A798">
        <v>3693355</v>
      </c>
      <c r="B798">
        <v>21883</v>
      </c>
      <c r="C798">
        <v>523893</v>
      </c>
      <c r="D798">
        <v>52899</v>
      </c>
      <c r="E798">
        <v>100</v>
      </c>
      <c r="F798" t="s">
        <v>37</v>
      </c>
      <c r="G798">
        <v>1</v>
      </c>
      <c r="H798" t="s">
        <v>37</v>
      </c>
      <c r="I798" t="s">
        <v>37</v>
      </c>
      <c r="J798" t="s">
        <v>775</v>
      </c>
      <c r="K798" t="s">
        <v>230</v>
      </c>
      <c r="L798" t="s">
        <v>226</v>
      </c>
      <c r="M798" t="s">
        <v>422</v>
      </c>
      <c r="N798" t="s">
        <v>4160</v>
      </c>
      <c r="O798" t="s">
        <v>4161</v>
      </c>
      <c r="S798">
        <v>0</v>
      </c>
      <c r="T798">
        <v>8</v>
      </c>
      <c r="U798">
        <v>0</v>
      </c>
      <c r="V798">
        <v>8</v>
      </c>
      <c r="W798">
        <v>8</v>
      </c>
      <c r="X798">
        <v>0</v>
      </c>
      <c r="Y798">
        <v>0</v>
      </c>
      <c r="Z798">
        <v>0</v>
      </c>
      <c r="AB798" s="5">
        <v>43410</v>
      </c>
      <c r="AC798" s="5">
        <v>43410</v>
      </c>
      <c r="AD798" s="5">
        <v>43970.333333333336</v>
      </c>
      <c r="AE798" s="5">
        <v>43970.333333333336</v>
      </c>
      <c r="AG798" s="5">
        <v>44044</v>
      </c>
      <c r="AH798" s="5">
        <v>44044</v>
      </c>
      <c r="AK798" s="5">
        <v>43467.333333333336</v>
      </c>
      <c r="AL798" s="5">
        <v>43467.666666666664</v>
      </c>
      <c r="AP798" t="s">
        <v>418</v>
      </c>
      <c r="AU798" t="s">
        <v>4162</v>
      </c>
      <c r="AV798" t="s">
        <v>4163</v>
      </c>
      <c r="AY798" t="s">
        <v>40</v>
      </c>
      <c r="AZ798">
        <v>8</v>
      </c>
      <c r="BA798">
        <v>0</v>
      </c>
      <c r="BI798" s="5">
        <v>44048.176388888889</v>
      </c>
      <c r="BJ798" s="5">
        <v>44048.176388888889</v>
      </c>
      <c r="BK798" t="s">
        <v>778</v>
      </c>
      <c r="BL798" t="s">
        <v>778</v>
      </c>
      <c r="BN798" t="s">
        <v>37</v>
      </c>
    </row>
    <row r="799" spans="1:66" x14ac:dyDescent="0.2">
      <c r="A799">
        <v>3693356</v>
      </c>
      <c r="B799">
        <v>21883</v>
      </c>
      <c r="C799">
        <v>523920</v>
      </c>
      <c r="D799">
        <v>52899</v>
      </c>
      <c r="E799">
        <v>100</v>
      </c>
      <c r="F799" t="s">
        <v>37</v>
      </c>
      <c r="G799">
        <v>1</v>
      </c>
      <c r="H799" t="s">
        <v>37</v>
      </c>
      <c r="I799" t="s">
        <v>37</v>
      </c>
      <c r="J799" t="s">
        <v>775</v>
      </c>
      <c r="K799" t="s">
        <v>230</v>
      </c>
      <c r="L799" t="s">
        <v>226</v>
      </c>
      <c r="M799" t="s">
        <v>422</v>
      </c>
      <c r="N799" t="s">
        <v>4164</v>
      </c>
      <c r="O799" t="s">
        <v>4165</v>
      </c>
      <c r="S799">
        <v>0</v>
      </c>
      <c r="T799">
        <v>0</v>
      </c>
      <c r="U799">
        <v>0</v>
      </c>
      <c r="V799">
        <v>0</v>
      </c>
      <c r="W799">
        <v>80</v>
      </c>
      <c r="X799">
        <v>0</v>
      </c>
      <c r="Y799">
        <v>0</v>
      </c>
      <c r="Z799">
        <v>0</v>
      </c>
      <c r="AB799" s="5">
        <v>43249.333333333336</v>
      </c>
      <c r="AC799" s="5">
        <v>43269.666666666664</v>
      </c>
      <c r="AD799" s="5">
        <v>43970.333333333336</v>
      </c>
      <c r="AE799" s="5">
        <v>43970.333333333336</v>
      </c>
      <c r="AG799" s="5">
        <v>44044</v>
      </c>
      <c r="AH799" s="5">
        <v>44044</v>
      </c>
      <c r="AK799" s="5">
        <v>43237.333333333336</v>
      </c>
      <c r="AL799" s="5">
        <v>43251.666666666664</v>
      </c>
      <c r="AP799" t="s">
        <v>418</v>
      </c>
      <c r="AU799" t="s">
        <v>4166</v>
      </c>
      <c r="AV799" t="s">
        <v>4167</v>
      </c>
      <c r="AY799" t="s">
        <v>40</v>
      </c>
      <c r="AZ799">
        <v>0</v>
      </c>
      <c r="BA799">
        <v>0</v>
      </c>
      <c r="BI799" s="5">
        <v>44048.176388888889</v>
      </c>
      <c r="BJ799" s="5">
        <v>44048.176388888889</v>
      </c>
      <c r="BK799" t="s">
        <v>778</v>
      </c>
      <c r="BL799" t="s">
        <v>778</v>
      </c>
      <c r="BN799" t="s">
        <v>37</v>
      </c>
    </row>
    <row r="800" spans="1:66" x14ac:dyDescent="0.2">
      <c r="A800">
        <v>3693357</v>
      </c>
      <c r="B800">
        <v>21883</v>
      </c>
      <c r="C800">
        <v>523920</v>
      </c>
      <c r="D800">
        <v>52899</v>
      </c>
      <c r="E800">
        <v>100</v>
      </c>
      <c r="F800" t="s">
        <v>37</v>
      </c>
      <c r="G800">
        <v>1</v>
      </c>
      <c r="H800" t="s">
        <v>37</v>
      </c>
      <c r="I800" t="s">
        <v>37</v>
      </c>
      <c r="J800" t="s">
        <v>775</v>
      </c>
      <c r="K800" t="s">
        <v>230</v>
      </c>
      <c r="L800" t="s">
        <v>226</v>
      </c>
      <c r="M800" t="s">
        <v>422</v>
      </c>
      <c r="N800" t="s">
        <v>4168</v>
      </c>
      <c r="O800" t="s">
        <v>4169</v>
      </c>
      <c r="S800">
        <v>0</v>
      </c>
      <c r="T800">
        <v>0</v>
      </c>
      <c r="U800">
        <v>0</v>
      </c>
      <c r="V800">
        <v>0</v>
      </c>
      <c r="W800">
        <v>40</v>
      </c>
      <c r="X800">
        <v>0</v>
      </c>
      <c r="Y800">
        <v>0</v>
      </c>
      <c r="Z800">
        <v>0</v>
      </c>
      <c r="AB800" s="5">
        <v>43566</v>
      </c>
      <c r="AC800" s="5">
        <v>43588</v>
      </c>
      <c r="AD800" s="5">
        <v>43970.333333333336</v>
      </c>
      <c r="AE800" s="5">
        <v>43970.333333333336</v>
      </c>
      <c r="AG800" s="5">
        <v>44044</v>
      </c>
      <c r="AH800" s="5">
        <v>44044</v>
      </c>
      <c r="AK800" s="5">
        <v>43616.333333333336</v>
      </c>
      <c r="AL800" s="5">
        <v>43623.666666666664</v>
      </c>
      <c r="AP800" t="s">
        <v>418</v>
      </c>
      <c r="AU800" t="e" cm="1">
        <f t="array" ref="AU800">+Wn/jF0jD0idXZJTrODwXA</f>
        <v>#NAME?</v>
      </c>
      <c r="AV800" t="s">
        <v>4170</v>
      </c>
      <c r="AY800" t="s">
        <v>40</v>
      </c>
      <c r="AZ800">
        <v>0</v>
      </c>
      <c r="BA800">
        <v>0</v>
      </c>
      <c r="BI800" s="5">
        <v>44048.176388888889</v>
      </c>
      <c r="BJ800" s="5">
        <v>44048.176388888889</v>
      </c>
      <c r="BK800" t="s">
        <v>778</v>
      </c>
      <c r="BL800" t="s">
        <v>778</v>
      </c>
      <c r="BN800" t="s">
        <v>37</v>
      </c>
    </row>
    <row r="801" spans="1:66" x14ac:dyDescent="0.2">
      <c r="A801">
        <v>3693358</v>
      </c>
      <c r="B801">
        <v>21883</v>
      </c>
      <c r="C801">
        <v>523893</v>
      </c>
      <c r="D801">
        <v>52899</v>
      </c>
      <c r="E801">
        <v>100</v>
      </c>
      <c r="F801" t="s">
        <v>37</v>
      </c>
      <c r="G801">
        <v>1</v>
      </c>
      <c r="H801" t="s">
        <v>37</v>
      </c>
      <c r="I801" t="s">
        <v>37</v>
      </c>
      <c r="J801" t="s">
        <v>775</v>
      </c>
      <c r="K801" t="s">
        <v>230</v>
      </c>
      <c r="L801" t="s">
        <v>226</v>
      </c>
      <c r="M801" t="s">
        <v>422</v>
      </c>
      <c r="N801" t="s">
        <v>4171</v>
      </c>
      <c r="O801" t="s">
        <v>4172</v>
      </c>
      <c r="S801">
        <v>0</v>
      </c>
      <c r="T801">
        <v>8</v>
      </c>
      <c r="U801">
        <v>0</v>
      </c>
      <c r="V801">
        <v>8</v>
      </c>
      <c r="W801">
        <v>8</v>
      </c>
      <c r="X801">
        <v>0</v>
      </c>
      <c r="Y801">
        <v>0</v>
      </c>
      <c r="Z801">
        <v>0</v>
      </c>
      <c r="AB801" s="5">
        <v>43423</v>
      </c>
      <c r="AC801" s="5">
        <v>43423</v>
      </c>
      <c r="AD801" s="5">
        <v>43970.333333333336</v>
      </c>
      <c r="AE801" s="5">
        <v>43970.333333333336</v>
      </c>
      <c r="AG801" s="5">
        <v>44044</v>
      </c>
      <c r="AH801" s="5">
        <v>44044</v>
      </c>
      <c r="AK801" s="5">
        <v>43467.333333333336</v>
      </c>
      <c r="AL801" s="5">
        <v>43467.666666666664</v>
      </c>
      <c r="AP801" t="s">
        <v>418</v>
      </c>
      <c r="AU801" t="s">
        <v>4173</v>
      </c>
      <c r="AV801" t="s">
        <v>4174</v>
      </c>
      <c r="AY801" t="s">
        <v>40</v>
      </c>
      <c r="AZ801">
        <v>8</v>
      </c>
      <c r="BA801">
        <v>0</v>
      </c>
      <c r="BI801" s="5">
        <v>44048.176388888889</v>
      </c>
      <c r="BJ801" s="5">
        <v>44048.176388888889</v>
      </c>
      <c r="BK801" t="s">
        <v>778</v>
      </c>
      <c r="BL801" t="s">
        <v>778</v>
      </c>
      <c r="BN801" t="s">
        <v>37</v>
      </c>
    </row>
    <row r="802" spans="1:66" x14ac:dyDescent="0.2">
      <c r="A802">
        <v>3693359</v>
      </c>
      <c r="B802">
        <v>21883</v>
      </c>
      <c r="C802">
        <v>523893</v>
      </c>
      <c r="D802">
        <v>52899</v>
      </c>
      <c r="E802">
        <v>100</v>
      </c>
      <c r="F802" t="s">
        <v>37</v>
      </c>
      <c r="G802">
        <v>1</v>
      </c>
      <c r="H802" t="s">
        <v>37</v>
      </c>
      <c r="I802" t="s">
        <v>37</v>
      </c>
      <c r="J802" t="s">
        <v>775</v>
      </c>
      <c r="K802" t="s">
        <v>230</v>
      </c>
      <c r="L802" t="s">
        <v>226</v>
      </c>
      <c r="M802" t="s">
        <v>422</v>
      </c>
      <c r="N802" t="s">
        <v>4175</v>
      </c>
      <c r="O802" t="s">
        <v>4176</v>
      </c>
      <c r="S802">
        <v>0</v>
      </c>
      <c r="T802">
        <v>16</v>
      </c>
      <c r="U802">
        <v>0</v>
      </c>
      <c r="V802">
        <v>16</v>
      </c>
      <c r="W802">
        <v>16</v>
      </c>
      <c r="X802">
        <v>0</v>
      </c>
      <c r="Y802">
        <v>0</v>
      </c>
      <c r="Z802">
        <v>0</v>
      </c>
      <c r="AB802" s="5">
        <v>43430</v>
      </c>
      <c r="AC802" s="5">
        <v>43430</v>
      </c>
      <c r="AD802" s="5">
        <v>43970.333333333336</v>
      </c>
      <c r="AE802" s="5">
        <v>43970.333333333336</v>
      </c>
      <c r="AG802" s="5">
        <v>44044</v>
      </c>
      <c r="AH802" s="5">
        <v>44044</v>
      </c>
      <c r="AK802" s="5">
        <v>43467.333333333336</v>
      </c>
      <c r="AL802" s="5">
        <v>43468.666666666664</v>
      </c>
      <c r="AP802" t="s">
        <v>418</v>
      </c>
      <c r="AU802" t="s">
        <v>4177</v>
      </c>
      <c r="AV802" t="s">
        <v>4178</v>
      </c>
      <c r="AY802" t="s">
        <v>40</v>
      </c>
      <c r="AZ802">
        <v>16</v>
      </c>
      <c r="BA802">
        <v>0</v>
      </c>
      <c r="BI802" s="5">
        <v>44048.176388888889</v>
      </c>
      <c r="BJ802" s="5">
        <v>44048.176388888889</v>
      </c>
      <c r="BK802" t="s">
        <v>778</v>
      </c>
      <c r="BL802" t="s">
        <v>778</v>
      </c>
      <c r="BN802" t="s">
        <v>37</v>
      </c>
    </row>
    <row r="803" spans="1:66" x14ac:dyDescent="0.2">
      <c r="A803">
        <v>3693360</v>
      </c>
      <c r="B803">
        <v>21883</v>
      </c>
      <c r="C803">
        <v>523892</v>
      </c>
      <c r="D803">
        <v>52899</v>
      </c>
      <c r="E803">
        <v>100</v>
      </c>
      <c r="F803" t="s">
        <v>37</v>
      </c>
      <c r="G803">
        <v>1</v>
      </c>
      <c r="H803" t="s">
        <v>37</v>
      </c>
      <c r="I803" t="s">
        <v>37</v>
      </c>
      <c r="J803" t="s">
        <v>775</v>
      </c>
      <c r="K803" t="s">
        <v>230</v>
      </c>
      <c r="L803" t="s">
        <v>226</v>
      </c>
      <c r="M803" t="s">
        <v>422</v>
      </c>
      <c r="N803" t="s">
        <v>4179</v>
      </c>
      <c r="O803" t="s">
        <v>4180</v>
      </c>
      <c r="S803">
        <v>0</v>
      </c>
      <c r="T803">
        <v>0</v>
      </c>
      <c r="U803">
        <v>0</v>
      </c>
      <c r="V803">
        <v>8</v>
      </c>
      <c r="W803">
        <v>8</v>
      </c>
      <c r="X803">
        <v>0</v>
      </c>
      <c r="Y803">
        <v>0</v>
      </c>
      <c r="Z803">
        <v>0</v>
      </c>
      <c r="AB803" s="5">
        <v>43291</v>
      </c>
      <c r="AC803" s="5">
        <v>43291.666666666664</v>
      </c>
      <c r="AD803" s="5">
        <v>43970.333333333336</v>
      </c>
      <c r="AE803" s="5">
        <v>43970.333333333336</v>
      </c>
      <c r="AG803" s="5">
        <v>44044</v>
      </c>
      <c r="AH803" s="5">
        <v>44044</v>
      </c>
      <c r="AK803" s="5">
        <v>43300.333333333336</v>
      </c>
      <c r="AL803" s="5">
        <v>43300.666666666664</v>
      </c>
      <c r="AP803" t="s">
        <v>418</v>
      </c>
      <c r="AU803" t="s">
        <v>4181</v>
      </c>
      <c r="AV803" t="s">
        <v>4182</v>
      </c>
      <c r="AY803" t="s">
        <v>40</v>
      </c>
      <c r="AZ803">
        <v>0</v>
      </c>
      <c r="BA803">
        <v>0</v>
      </c>
      <c r="BI803" s="5">
        <v>44048.176388888889</v>
      </c>
      <c r="BJ803" s="5">
        <v>44048.176388888889</v>
      </c>
      <c r="BK803" t="s">
        <v>778</v>
      </c>
      <c r="BL803" t="s">
        <v>778</v>
      </c>
      <c r="BN803" t="s">
        <v>37</v>
      </c>
    </row>
    <row r="804" spans="1:66" x14ac:dyDescent="0.2">
      <c r="A804">
        <v>3693361</v>
      </c>
      <c r="B804">
        <v>21883</v>
      </c>
      <c r="C804">
        <v>523892</v>
      </c>
      <c r="D804">
        <v>52899</v>
      </c>
      <c r="E804">
        <v>100</v>
      </c>
      <c r="F804" t="s">
        <v>37</v>
      </c>
      <c r="G804">
        <v>1</v>
      </c>
      <c r="H804" t="s">
        <v>37</v>
      </c>
      <c r="I804" t="s">
        <v>37</v>
      </c>
      <c r="J804" t="s">
        <v>775</v>
      </c>
      <c r="K804" t="s">
        <v>230</v>
      </c>
      <c r="L804" t="s">
        <v>226</v>
      </c>
      <c r="M804" t="s">
        <v>422</v>
      </c>
      <c r="N804" t="s">
        <v>4183</v>
      </c>
      <c r="O804" t="s">
        <v>4184</v>
      </c>
      <c r="S804">
        <v>0</v>
      </c>
      <c r="T804">
        <v>0</v>
      </c>
      <c r="U804">
        <v>0</v>
      </c>
      <c r="V804">
        <v>8</v>
      </c>
      <c r="W804">
        <v>8</v>
      </c>
      <c r="X804">
        <v>0</v>
      </c>
      <c r="Y804">
        <v>0</v>
      </c>
      <c r="Z804">
        <v>0</v>
      </c>
      <c r="AB804" s="5">
        <v>43291.333333333336</v>
      </c>
      <c r="AC804" s="5">
        <v>43292.666666666664</v>
      </c>
      <c r="AD804" s="5">
        <v>43970.333333333336</v>
      </c>
      <c r="AE804" s="5">
        <v>43970.333333333336</v>
      </c>
      <c r="AG804" s="5">
        <v>44044</v>
      </c>
      <c r="AH804" s="5">
        <v>44044</v>
      </c>
      <c r="AK804" s="5">
        <v>43301.333333333336</v>
      </c>
      <c r="AL804" s="5">
        <v>43301.666666666664</v>
      </c>
      <c r="AP804" t="s">
        <v>418</v>
      </c>
      <c r="AU804" t="s">
        <v>4185</v>
      </c>
      <c r="AV804" t="s">
        <v>4186</v>
      </c>
      <c r="AY804" t="s">
        <v>40</v>
      </c>
      <c r="AZ804">
        <v>0</v>
      </c>
      <c r="BA804">
        <v>0</v>
      </c>
      <c r="BI804" s="5">
        <v>44048.176388888889</v>
      </c>
      <c r="BJ804" s="5">
        <v>44048.176388888889</v>
      </c>
      <c r="BK804" t="s">
        <v>778</v>
      </c>
      <c r="BL804" t="s">
        <v>778</v>
      </c>
      <c r="BN804" t="s">
        <v>37</v>
      </c>
    </row>
    <row r="805" spans="1:66" x14ac:dyDescent="0.2">
      <c r="A805">
        <v>3693362</v>
      </c>
      <c r="B805">
        <v>21883</v>
      </c>
      <c r="C805">
        <v>523892</v>
      </c>
      <c r="D805">
        <v>52899</v>
      </c>
      <c r="E805">
        <v>100</v>
      </c>
      <c r="F805" t="s">
        <v>37</v>
      </c>
      <c r="G805">
        <v>1</v>
      </c>
      <c r="H805" t="s">
        <v>37</v>
      </c>
      <c r="I805" t="s">
        <v>37</v>
      </c>
      <c r="J805" t="s">
        <v>775</v>
      </c>
      <c r="K805" t="s">
        <v>230</v>
      </c>
      <c r="L805" t="s">
        <v>226</v>
      </c>
      <c r="M805" t="s">
        <v>422</v>
      </c>
      <c r="N805" t="s">
        <v>4187</v>
      </c>
      <c r="O805" t="s">
        <v>4188</v>
      </c>
      <c r="S805">
        <v>0</v>
      </c>
      <c r="T805">
        <v>0</v>
      </c>
      <c r="U805">
        <v>0</v>
      </c>
      <c r="V805">
        <v>16</v>
      </c>
      <c r="W805">
        <v>16</v>
      </c>
      <c r="X805">
        <v>0</v>
      </c>
      <c r="Y805">
        <v>0</v>
      </c>
      <c r="Z805">
        <v>0</v>
      </c>
      <c r="AB805" s="5">
        <v>43290.333333333336</v>
      </c>
      <c r="AC805" s="5">
        <v>43292.666666666664</v>
      </c>
      <c r="AD805" s="5">
        <v>43970.333333333336</v>
      </c>
      <c r="AE805" s="5">
        <v>43970.333333333336</v>
      </c>
      <c r="AG805" s="5">
        <v>44044</v>
      </c>
      <c r="AH805" s="5">
        <v>44044</v>
      </c>
      <c r="AK805" s="5">
        <v>43321.333333333336</v>
      </c>
      <c r="AL805" s="5">
        <v>43322.666666666664</v>
      </c>
      <c r="AP805" t="s">
        <v>418</v>
      </c>
      <c r="AU805" t="s">
        <v>4189</v>
      </c>
      <c r="AV805" t="s">
        <v>4190</v>
      </c>
      <c r="AY805" t="s">
        <v>40</v>
      </c>
      <c r="AZ805">
        <v>0</v>
      </c>
      <c r="BA805">
        <v>0</v>
      </c>
      <c r="BI805" s="5">
        <v>44048.176388888889</v>
      </c>
      <c r="BJ805" s="5">
        <v>44048.176388888889</v>
      </c>
      <c r="BK805" t="s">
        <v>778</v>
      </c>
      <c r="BL805" t="s">
        <v>778</v>
      </c>
      <c r="BN805" t="s">
        <v>37</v>
      </c>
    </row>
    <row r="806" spans="1:66" x14ac:dyDescent="0.2">
      <c r="A806">
        <v>3693363</v>
      </c>
      <c r="B806">
        <v>21883</v>
      </c>
      <c r="C806">
        <v>523892</v>
      </c>
      <c r="D806">
        <v>52899</v>
      </c>
      <c r="E806">
        <v>100</v>
      </c>
      <c r="F806" t="s">
        <v>37</v>
      </c>
      <c r="G806">
        <v>1</v>
      </c>
      <c r="H806" t="s">
        <v>37</v>
      </c>
      <c r="I806" t="s">
        <v>37</v>
      </c>
      <c r="J806" t="s">
        <v>775</v>
      </c>
      <c r="K806" t="s">
        <v>230</v>
      </c>
      <c r="L806" t="s">
        <v>226</v>
      </c>
      <c r="M806" t="s">
        <v>422</v>
      </c>
      <c r="N806" t="s">
        <v>4191</v>
      </c>
      <c r="O806" t="s">
        <v>4192</v>
      </c>
      <c r="S806">
        <v>0</v>
      </c>
      <c r="T806">
        <v>16</v>
      </c>
      <c r="U806">
        <v>0</v>
      </c>
      <c r="V806">
        <v>16</v>
      </c>
      <c r="W806">
        <v>8</v>
      </c>
      <c r="X806">
        <v>0</v>
      </c>
      <c r="Y806">
        <v>0</v>
      </c>
      <c r="Z806">
        <v>0</v>
      </c>
      <c r="AB806" s="5">
        <v>43392</v>
      </c>
      <c r="AC806" s="5">
        <v>43395</v>
      </c>
      <c r="AD806" s="5">
        <v>43970.333333333336</v>
      </c>
      <c r="AE806" s="5">
        <v>43970.333333333336</v>
      </c>
      <c r="AG806" s="5">
        <v>44044</v>
      </c>
      <c r="AH806" s="5">
        <v>44044</v>
      </c>
      <c r="AK806" s="5">
        <v>43406.333333333336</v>
      </c>
      <c r="AL806" s="5">
        <v>43406.666666666664</v>
      </c>
      <c r="AP806" t="s">
        <v>418</v>
      </c>
      <c r="AU806" t="s">
        <v>4193</v>
      </c>
      <c r="AV806" t="s">
        <v>4194</v>
      </c>
      <c r="AY806" t="s">
        <v>40</v>
      </c>
      <c r="AZ806">
        <v>16</v>
      </c>
      <c r="BA806">
        <v>0</v>
      </c>
      <c r="BI806" s="5">
        <v>44048.176388888889</v>
      </c>
      <c r="BJ806" s="5">
        <v>44048.176388888889</v>
      </c>
      <c r="BK806" t="s">
        <v>778</v>
      </c>
      <c r="BL806" t="s">
        <v>778</v>
      </c>
      <c r="BN806" t="s">
        <v>37</v>
      </c>
    </row>
    <row r="807" spans="1:66" x14ac:dyDescent="0.2">
      <c r="A807">
        <v>3693364</v>
      </c>
      <c r="B807">
        <v>21883</v>
      </c>
      <c r="C807">
        <v>523892</v>
      </c>
      <c r="D807">
        <v>52899</v>
      </c>
      <c r="E807">
        <v>100</v>
      </c>
      <c r="F807" t="s">
        <v>37</v>
      </c>
      <c r="G807">
        <v>1</v>
      </c>
      <c r="H807" t="s">
        <v>37</v>
      </c>
      <c r="I807" t="s">
        <v>37</v>
      </c>
      <c r="J807" t="s">
        <v>775</v>
      </c>
      <c r="K807" t="s">
        <v>230</v>
      </c>
      <c r="L807" t="s">
        <v>226</v>
      </c>
      <c r="M807" t="s">
        <v>422</v>
      </c>
      <c r="N807" t="s">
        <v>4195</v>
      </c>
      <c r="O807" t="s">
        <v>4196</v>
      </c>
      <c r="S807">
        <v>0</v>
      </c>
      <c r="T807">
        <v>16</v>
      </c>
      <c r="U807">
        <v>0</v>
      </c>
      <c r="V807">
        <v>16</v>
      </c>
      <c r="W807">
        <v>8</v>
      </c>
      <c r="X807">
        <v>0</v>
      </c>
      <c r="Y807">
        <v>0</v>
      </c>
      <c r="Z807">
        <v>0</v>
      </c>
      <c r="AB807" s="5">
        <v>43396</v>
      </c>
      <c r="AC807" s="5">
        <v>43397</v>
      </c>
      <c r="AD807" s="5">
        <v>43970.333333333336</v>
      </c>
      <c r="AE807" s="5">
        <v>43970.333333333336</v>
      </c>
      <c r="AG807" s="5">
        <v>44044</v>
      </c>
      <c r="AH807" s="5">
        <v>44044</v>
      </c>
      <c r="AK807" s="5">
        <v>43406.333333333336</v>
      </c>
      <c r="AL807" s="5">
        <v>43406.666666666664</v>
      </c>
      <c r="AP807" t="s">
        <v>418</v>
      </c>
      <c r="AU807" t="s">
        <v>4197</v>
      </c>
      <c r="AV807" t="s">
        <v>4198</v>
      </c>
      <c r="AY807" t="s">
        <v>40</v>
      </c>
      <c r="AZ807">
        <v>16</v>
      </c>
      <c r="BA807">
        <v>0</v>
      </c>
      <c r="BI807" s="5">
        <v>44048.176388888889</v>
      </c>
      <c r="BJ807" s="5">
        <v>44048.176388888889</v>
      </c>
      <c r="BK807" t="s">
        <v>778</v>
      </c>
      <c r="BL807" t="s">
        <v>778</v>
      </c>
      <c r="BN807" t="s">
        <v>37</v>
      </c>
    </row>
    <row r="808" spans="1:66" x14ac:dyDescent="0.2">
      <c r="A808">
        <v>3693365</v>
      </c>
      <c r="B808">
        <v>21883</v>
      </c>
      <c r="C808">
        <v>523892</v>
      </c>
      <c r="D808">
        <v>52899</v>
      </c>
      <c r="E808">
        <v>100</v>
      </c>
      <c r="F808" t="s">
        <v>37</v>
      </c>
      <c r="G808">
        <v>1</v>
      </c>
      <c r="H808" t="s">
        <v>37</v>
      </c>
      <c r="I808" t="s">
        <v>37</v>
      </c>
      <c r="J808" t="s">
        <v>775</v>
      </c>
      <c r="K808" t="s">
        <v>230</v>
      </c>
      <c r="L808" t="s">
        <v>226</v>
      </c>
      <c r="M808" t="s">
        <v>422</v>
      </c>
      <c r="N808" t="s">
        <v>4199</v>
      </c>
      <c r="O808" t="s">
        <v>4200</v>
      </c>
      <c r="S808">
        <v>0</v>
      </c>
      <c r="T808">
        <v>8</v>
      </c>
      <c r="U808">
        <v>0</v>
      </c>
      <c r="V808">
        <v>8</v>
      </c>
      <c r="W808">
        <v>8</v>
      </c>
      <c r="X808">
        <v>0</v>
      </c>
      <c r="Y808">
        <v>0</v>
      </c>
      <c r="Z808">
        <v>0</v>
      </c>
      <c r="AB808" s="5">
        <v>43404</v>
      </c>
      <c r="AC808" s="5">
        <v>43404</v>
      </c>
      <c r="AD808" s="5">
        <v>43970.333333333336</v>
      </c>
      <c r="AE808" s="5">
        <v>43970.333333333336</v>
      </c>
      <c r="AG808" s="5">
        <v>44044</v>
      </c>
      <c r="AH808" s="5">
        <v>44044</v>
      </c>
      <c r="AK808" s="5">
        <v>43409.333333333336</v>
      </c>
      <c r="AL808" s="5">
        <v>43409.666666666664</v>
      </c>
      <c r="AP808" t="s">
        <v>418</v>
      </c>
      <c r="AU808" t="s">
        <v>4201</v>
      </c>
      <c r="AV808" t="s">
        <v>4202</v>
      </c>
      <c r="AY808" t="s">
        <v>40</v>
      </c>
      <c r="AZ808">
        <v>8</v>
      </c>
      <c r="BA808">
        <v>0</v>
      </c>
      <c r="BI808" s="5">
        <v>44048.176388888889</v>
      </c>
      <c r="BJ808" s="5">
        <v>44048.176388888889</v>
      </c>
      <c r="BK808" t="s">
        <v>778</v>
      </c>
      <c r="BL808" t="s">
        <v>778</v>
      </c>
      <c r="BN808" t="s">
        <v>37</v>
      </c>
    </row>
    <row r="809" spans="1:66" x14ac:dyDescent="0.2">
      <c r="A809">
        <v>3693366</v>
      </c>
      <c r="B809">
        <v>21883</v>
      </c>
      <c r="C809">
        <v>523892</v>
      </c>
      <c r="D809">
        <v>52899</v>
      </c>
      <c r="E809">
        <v>100</v>
      </c>
      <c r="F809" t="s">
        <v>37</v>
      </c>
      <c r="G809">
        <v>1</v>
      </c>
      <c r="H809" t="s">
        <v>37</v>
      </c>
      <c r="I809" t="s">
        <v>37</v>
      </c>
      <c r="J809" t="s">
        <v>775</v>
      </c>
      <c r="K809" t="s">
        <v>230</v>
      </c>
      <c r="L809" t="s">
        <v>226</v>
      </c>
      <c r="M809" t="s">
        <v>422</v>
      </c>
      <c r="N809" t="s">
        <v>4203</v>
      </c>
      <c r="O809" t="s">
        <v>4204</v>
      </c>
      <c r="S809">
        <v>0</v>
      </c>
      <c r="T809">
        <v>8</v>
      </c>
      <c r="U809">
        <v>0</v>
      </c>
      <c r="V809">
        <v>8</v>
      </c>
      <c r="W809">
        <v>8</v>
      </c>
      <c r="X809">
        <v>0</v>
      </c>
      <c r="Y809">
        <v>0</v>
      </c>
      <c r="Z809">
        <v>0</v>
      </c>
      <c r="AB809" s="5">
        <v>43404</v>
      </c>
      <c r="AC809" s="5">
        <v>43404</v>
      </c>
      <c r="AD809" s="5">
        <v>43970.333333333336</v>
      </c>
      <c r="AE809" s="5">
        <v>43970.333333333336</v>
      </c>
      <c r="AG809" s="5">
        <v>44044</v>
      </c>
      <c r="AH809" s="5">
        <v>44044</v>
      </c>
      <c r="AK809" s="5">
        <v>43406.333333333336</v>
      </c>
      <c r="AL809" s="5">
        <v>43406.666666666664</v>
      </c>
      <c r="AP809" t="s">
        <v>418</v>
      </c>
      <c r="AU809" t="s">
        <v>4205</v>
      </c>
      <c r="AV809" t="s">
        <v>4206</v>
      </c>
      <c r="AY809" t="s">
        <v>40</v>
      </c>
      <c r="AZ809">
        <v>8</v>
      </c>
      <c r="BA809">
        <v>0</v>
      </c>
      <c r="BI809" s="5">
        <v>44048.176388888889</v>
      </c>
      <c r="BJ809" s="5">
        <v>44048.176388888889</v>
      </c>
      <c r="BK809" t="s">
        <v>778</v>
      </c>
      <c r="BL809" t="s">
        <v>778</v>
      </c>
      <c r="BN809" t="s">
        <v>37</v>
      </c>
    </row>
    <row r="810" spans="1:66" x14ac:dyDescent="0.2">
      <c r="A810">
        <v>3693367</v>
      </c>
      <c r="B810">
        <v>21883</v>
      </c>
      <c r="C810">
        <v>523891</v>
      </c>
      <c r="D810">
        <v>52899</v>
      </c>
      <c r="E810">
        <v>100</v>
      </c>
      <c r="F810" t="s">
        <v>37</v>
      </c>
      <c r="G810">
        <v>1</v>
      </c>
      <c r="H810" t="s">
        <v>37</v>
      </c>
      <c r="I810" t="s">
        <v>37</v>
      </c>
      <c r="J810" t="s">
        <v>775</v>
      </c>
      <c r="K810" t="s">
        <v>230</v>
      </c>
      <c r="L810" t="s">
        <v>226</v>
      </c>
      <c r="M810" t="s">
        <v>422</v>
      </c>
      <c r="N810" t="s">
        <v>4207</v>
      </c>
      <c r="O810" t="s">
        <v>4208</v>
      </c>
      <c r="S810">
        <v>0</v>
      </c>
      <c r="T810">
        <v>0</v>
      </c>
      <c r="U810">
        <v>0</v>
      </c>
      <c r="V810">
        <v>8</v>
      </c>
      <c r="W810">
        <v>8</v>
      </c>
      <c r="X810">
        <v>0</v>
      </c>
      <c r="Y810">
        <v>0</v>
      </c>
      <c r="Z810">
        <v>0</v>
      </c>
      <c r="AB810" s="5">
        <v>43280.333333333336</v>
      </c>
      <c r="AC810" s="5">
        <v>43283.666666666664</v>
      </c>
      <c r="AD810" s="5">
        <v>43970.333333333336</v>
      </c>
      <c r="AE810" s="5">
        <v>43970.333333333336</v>
      </c>
      <c r="AG810" s="5">
        <v>44044</v>
      </c>
      <c r="AH810" s="5">
        <v>44044</v>
      </c>
      <c r="AK810" s="5">
        <v>43283.333333333336</v>
      </c>
      <c r="AL810" s="5">
        <v>43283.666666666664</v>
      </c>
      <c r="AP810" t="s">
        <v>418</v>
      </c>
      <c r="AU810" t="s">
        <v>4209</v>
      </c>
      <c r="AV810" t="s">
        <v>4210</v>
      </c>
      <c r="AY810" t="s">
        <v>40</v>
      </c>
      <c r="AZ810">
        <v>0</v>
      </c>
      <c r="BA810">
        <v>0</v>
      </c>
      <c r="BI810" s="5">
        <v>44048.176388888889</v>
      </c>
      <c r="BJ810" s="5">
        <v>44048.176388888889</v>
      </c>
      <c r="BK810" t="s">
        <v>778</v>
      </c>
      <c r="BL810" t="s">
        <v>778</v>
      </c>
      <c r="BN810" t="s">
        <v>37</v>
      </c>
    </row>
    <row r="811" spans="1:66" x14ac:dyDescent="0.2">
      <c r="A811">
        <v>3693368</v>
      </c>
      <c r="B811">
        <v>21883</v>
      </c>
      <c r="C811">
        <v>523891</v>
      </c>
      <c r="D811">
        <v>52899</v>
      </c>
      <c r="E811">
        <v>100</v>
      </c>
      <c r="F811" t="s">
        <v>37</v>
      </c>
      <c r="G811">
        <v>1</v>
      </c>
      <c r="H811" t="s">
        <v>37</v>
      </c>
      <c r="I811" t="s">
        <v>37</v>
      </c>
      <c r="J811" t="s">
        <v>775</v>
      </c>
      <c r="K811" t="s">
        <v>230</v>
      </c>
      <c r="L811" t="s">
        <v>226</v>
      </c>
      <c r="M811" t="s">
        <v>422</v>
      </c>
      <c r="N811" t="s">
        <v>4211</v>
      </c>
      <c r="O811" t="s">
        <v>4212</v>
      </c>
      <c r="S811">
        <v>0</v>
      </c>
      <c r="T811">
        <v>0</v>
      </c>
      <c r="U811">
        <v>0</v>
      </c>
      <c r="V811">
        <v>8</v>
      </c>
      <c r="W811">
        <v>8</v>
      </c>
      <c r="X811">
        <v>0</v>
      </c>
      <c r="Y811">
        <v>0</v>
      </c>
      <c r="Z811">
        <v>0</v>
      </c>
      <c r="AB811" s="5">
        <v>43280.333333333336</v>
      </c>
      <c r="AC811" s="5">
        <v>43283.666666666664</v>
      </c>
      <c r="AD811" s="5">
        <v>43970.333333333336</v>
      </c>
      <c r="AE811" s="5">
        <v>43970.333333333336</v>
      </c>
      <c r="AG811" s="5">
        <v>44044</v>
      </c>
      <c r="AH811" s="5">
        <v>44044</v>
      </c>
      <c r="AK811" s="5">
        <v>43284.333333333336</v>
      </c>
      <c r="AL811" s="5">
        <v>43284.666666666664</v>
      </c>
      <c r="AP811" t="s">
        <v>418</v>
      </c>
      <c r="AU811" t="s">
        <v>4213</v>
      </c>
      <c r="AV811" t="s">
        <v>4214</v>
      </c>
      <c r="AY811" t="s">
        <v>40</v>
      </c>
      <c r="AZ811">
        <v>0</v>
      </c>
      <c r="BA811">
        <v>0</v>
      </c>
      <c r="BI811" s="5">
        <v>44048.176388888889</v>
      </c>
      <c r="BJ811" s="5">
        <v>44048.176388888889</v>
      </c>
      <c r="BK811" t="s">
        <v>778</v>
      </c>
      <c r="BL811" t="s">
        <v>778</v>
      </c>
      <c r="BN811" t="s">
        <v>37</v>
      </c>
    </row>
    <row r="812" spans="1:66" x14ac:dyDescent="0.2">
      <c r="A812">
        <v>3693369</v>
      </c>
      <c r="B812">
        <v>21883</v>
      </c>
      <c r="C812">
        <v>523891</v>
      </c>
      <c r="D812">
        <v>52899</v>
      </c>
      <c r="E812">
        <v>100</v>
      </c>
      <c r="F812" t="s">
        <v>37</v>
      </c>
      <c r="G812">
        <v>1</v>
      </c>
      <c r="H812" t="s">
        <v>37</v>
      </c>
      <c r="I812" t="s">
        <v>37</v>
      </c>
      <c r="J812" t="s">
        <v>775</v>
      </c>
      <c r="K812" t="s">
        <v>230</v>
      </c>
      <c r="L812" t="s">
        <v>226</v>
      </c>
      <c r="M812" t="s">
        <v>422</v>
      </c>
      <c r="N812" t="s">
        <v>4215</v>
      </c>
      <c r="O812" t="s">
        <v>4216</v>
      </c>
      <c r="S812">
        <v>0</v>
      </c>
      <c r="T812">
        <v>0</v>
      </c>
      <c r="U812">
        <v>0</v>
      </c>
      <c r="V812">
        <v>16</v>
      </c>
      <c r="W812">
        <v>16</v>
      </c>
      <c r="X812">
        <v>0</v>
      </c>
      <c r="Y812">
        <v>0</v>
      </c>
      <c r="Z812">
        <v>0</v>
      </c>
      <c r="AB812" s="5">
        <v>43293.333333333336</v>
      </c>
      <c r="AC812" s="5">
        <v>43295.666666666664</v>
      </c>
      <c r="AD812" s="5">
        <v>43970.333333333336</v>
      </c>
      <c r="AE812" s="5">
        <v>43970.333333333336</v>
      </c>
      <c r="AG812" s="5">
        <v>44044</v>
      </c>
      <c r="AH812" s="5">
        <v>44044</v>
      </c>
      <c r="AK812" s="5">
        <v>43313.333333333336</v>
      </c>
      <c r="AL812" s="5">
        <v>43314.666666666664</v>
      </c>
      <c r="AP812" t="s">
        <v>418</v>
      </c>
      <c r="AU812" t="s">
        <v>4217</v>
      </c>
      <c r="AV812" t="s">
        <v>4218</v>
      </c>
      <c r="AY812" t="s">
        <v>40</v>
      </c>
      <c r="AZ812">
        <v>0</v>
      </c>
      <c r="BA812">
        <v>0</v>
      </c>
      <c r="BI812" s="5">
        <v>44048.176388888889</v>
      </c>
      <c r="BJ812" s="5">
        <v>44048.176388888889</v>
      </c>
      <c r="BK812" t="s">
        <v>778</v>
      </c>
      <c r="BL812" t="s">
        <v>778</v>
      </c>
      <c r="BN812" t="s">
        <v>37</v>
      </c>
    </row>
    <row r="813" spans="1:66" x14ac:dyDescent="0.2">
      <c r="A813">
        <v>3693370</v>
      </c>
      <c r="B813">
        <v>21883</v>
      </c>
      <c r="C813">
        <v>523891</v>
      </c>
      <c r="D813">
        <v>52899</v>
      </c>
      <c r="E813">
        <v>100</v>
      </c>
      <c r="F813" t="s">
        <v>37</v>
      </c>
      <c r="G813">
        <v>1</v>
      </c>
      <c r="H813" t="s">
        <v>37</v>
      </c>
      <c r="I813" t="s">
        <v>37</v>
      </c>
      <c r="J813" t="s">
        <v>775</v>
      </c>
      <c r="K813" t="s">
        <v>230</v>
      </c>
      <c r="L813" t="s">
        <v>226</v>
      </c>
      <c r="M813" t="s">
        <v>422</v>
      </c>
      <c r="N813" t="s">
        <v>4219</v>
      </c>
      <c r="O813" t="s">
        <v>4220</v>
      </c>
      <c r="S813">
        <v>0</v>
      </c>
      <c r="T813">
        <v>16</v>
      </c>
      <c r="U813">
        <v>0</v>
      </c>
      <c r="V813">
        <v>16</v>
      </c>
      <c r="W813">
        <v>8</v>
      </c>
      <c r="X813">
        <v>0</v>
      </c>
      <c r="Y813">
        <v>0</v>
      </c>
      <c r="Z813">
        <v>0</v>
      </c>
      <c r="AB813" s="5">
        <v>43335.333333333336</v>
      </c>
      <c r="AC813" s="5">
        <v>43339.666666666664</v>
      </c>
      <c r="AD813" s="5">
        <v>43970.333333333336</v>
      </c>
      <c r="AE813" s="5">
        <v>43970.333333333336</v>
      </c>
      <c r="AG813" s="5">
        <v>44044</v>
      </c>
      <c r="AH813" s="5">
        <v>44044</v>
      </c>
      <c r="AK813" s="5">
        <v>43347.333333333336</v>
      </c>
      <c r="AL813" s="5">
        <v>43347.666666666664</v>
      </c>
      <c r="AP813" t="s">
        <v>418</v>
      </c>
      <c r="AU813" t="s">
        <v>4221</v>
      </c>
      <c r="AV813" t="s">
        <v>4222</v>
      </c>
      <c r="AY813" t="s">
        <v>40</v>
      </c>
      <c r="AZ813">
        <v>16</v>
      </c>
      <c r="BA813">
        <v>0</v>
      </c>
      <c r="BI813" s="5">
        <v>44048.176388888889</v>
      </c>
      <c r="BJ813" s="5">
        <v>44048.176388888889</v>
      </c>
      <c r="BK813" t="s">
        <v>778</v>
      </c>
      <c r="BL813" t="s">
        <v>778</v>
      </c>
      <c r="BN813" t="s">
        <v>37</v>
      </c>
    </row>
    <row r="814" spans="1:66" x14ac:dyDescent="0.2">
      <c r="A814">
        <v>3693371</v>
      </c>
      <c r="B814">
        <v>21883</v>
      </c>
      <c r="C814">
        <v>523891</v>
      </c>
      <c r="D814">
        <v>52899</v>
      </c>
      <c r="E814">
        <v>100</v>
      </c>
      <c r="F814" t="s">
        <v>37</v>
      </c>
      <c r="G814">
        <v>1</v>
      </c>
      <c r="H814" t="s">
        <v>37</v>
      </c>
      <c r="I814" t="s">
        <v>37</v>
      </c>
      <c r="J814" t="s">
        <v>775</v>
      </c>
      <c r="K814" t="s">
        <v>230</v>
      </c>
      <c r="L814" t="s">
        <v>226</v>
      </c>
      <c r="M814" t="s">
        <v>422</v>
      </c>
      <c r="N814" t="s">
        <v>4223</v>
      </c>
      <c r="O814" t="s">
        <v>4224</v>
      </c>
      <c r="S814">
        <v>0</v>
      </c>
      <c r="T814">
        <v>0</v>
      </c>
      <c r="U814">
        <v>0</v>
      </c>
      <c r="V814">
        <v>0</v>
      </c>
      <c r="W814">
        <v>8</v>
      </c>
      <c r="X814">
        <v>0</v>
      </c>
      <c r="Y814">
        <v>0</v>
      </c>
      <c r="Z814">
        <v>0</v>
      </c>
      <c r="AB814" s="5">
        <v>43353.333333333336</v>
      </c>
      <c r="AC814" s="5">
        <v>43353.666666666664</v>
      </c>
      <c r="AD814" s="5">
        <v>43970.333333333336</v>
      </c>
      <c r="AE814" s="5">
        <v>43970.333333333336</v>
      </c>
      <c r="AG814" s="5">
        <v>44044</v>
      </c>
      <c r="AH814" s="5">
        <v>44044</v>
      </c>
      <c r="AK814" s="5">
        <v>43355.333333333336</v>
      </c>
      <c r="AL814" s="5">
        <v>43355.666666666664</v>
      </c>
      <c r="AP814" t="s">
        <v>418</v>
      </c>
      <c r="AU814" t="s">
        <v>4225</v>
      </c>
      <c r="AV814" t="s">
        <v>4226</v>
      </c>
      <c r="AY814" t="s">
        <v>40</v>
      </c>
      <c r="AZ814">
        <v>0</v>
      </c>
      <c r="BA814">
        <v>0</v>
      </c>
      <c r="BI814" s="5">
        <v>44048.176388888889</v>
      </c>
      <c r="BJ814" s="5">
        <v>44048.176388888889</v>
      </c>
      <c r="BK814" t="s">
        <v>778</v>
      </c>
      <c r="BL814" t="s">
        <v>778</v>
      </c>
      <c r="BN814" t="s">
        <v>37</v>
      </c>
    </row>
    <row r="815" spans="1:66" x14ac:dyDescent="0.2">
      <c r="A815">
        <v>3693372</v>
      </c>
      <c r="B815">
        <v>21883</v>
      </c>
      <c r="C815">
        <v>523891</v>
      </c>
      <c r="D815">
        <v>52899</v>
      </c>
      <c r="E815">
        <v>100</v>
      </c>
      <c r="F815" t="s">
        <v>37</v>
      </c>
      <c r="G815">
        <v>1</v>
      </c>
      <c r="H815" t="s">
        <v>37</v>
      </c>
      <c r="I815" t="s">
        <v>37</v>
      </c>
      <c r="J815" t="s">
        <v>775</v>
      </c>
      <c r="K815" t="s">
        <v>230</v>
      </c>
      <c r="L815" t="s">
        <v>226</v>
      </c>
      <c r="M815" t="s">
        <v>422</v>
      </c>
      <c r="N815" t="s">
        <v>4227</v>
      </c>
      <c r="O815" t="s">
        <v>4228</v>
      </c>
      <c r="S815">
        <v>0</v>
      </c>
      <c r="T815">
        <v>0</v>
      </c>
      <c r="U815">
        <v>0</v>
      </c>
      <c r="V815">
        <v>0</v>
      </c>
      <c r="W815">
        <v>8</v>
      </c>
      <c r="X815">
        <v>0</v>
      </c>
      <c r="Y815">
        <v>0</v>
      </c>
      <c r="Z815">
        <v>0</v>
      </c>
      <c r="AB815" s="5">
        <v>43353.333333333336</v>
      </c>
      <c r="AC815" s="5">
        <v>43353.666666666664</v>
      </c>
      <c r="AD815" s="5">
        <v>43970.333333333336</v>
      </c>
      <c r="AE815" s="5">
        <v>43970.333333333336</v>
      </c>
      <c r="AG815" s="5">
        <v>44044</v>
      </c>
      <c r="AH815" s="5">
        <v>44044</v>
      </c>
      <c r="AK815" s="5">
        <v>43354.333333333336</v>
      </c>
      <c r="AL815" s="5">
        <v>43354.666666666664</v>
      </c>
      <c r="AP815" t="s">
        <v>418</v>
      </c>
      <c r="AU815" t="s">
        <v>4229</v>
      </c>
      <c r="AV815" t="s">
        <v>4230</v>
      </c>
      <c r="AY815" t="s">
        <v>40</v>
      </c>
      <c r="AZ815">
        <v>0</v>
      </c>
      <c r="BA815">
        <v>0</v>
      </c>
      <c r="BI815" s="5">
        <v>44048.176388888889</v>
      </c>
      <c r="BJ815" s="5">
        <v>44048.176388888889</v>
      </c>
      <c r="BK815" t="s">
        <v>778</v>
      </c>
      <c r="BL815" t="s">
        <v>778</v>
      </c>
      <c r="BN815" t="s">
        <v>37</v>
      </c>
    </row>
    <row r="816" spans="1:66" x14ac:dyDescent="0.2">
      <c r="A816">
        <v>3693373</v>
      </c>
      <c r="B816">
        <v>21883</v>
      </c>
      <c r="C816">
        <v>523890</v>
      </c>
      <c r="D816">
        <v>52899</v>
      </c>
      <c r="E816">
        <v>100</v>
      </c>
      <c r="F816" t="s">
        <v>37</v>
      </c>
      <c r="G816">
        <v>1</v>
      </c>
      <c r="H816" t="s">
        <v>37</v>
      </c>
      <c r="I816" t="s">
        <v>37</v>
      </c>
      <c r="J816" t="s">
        <v>775</v>
      </c>
      <c r="K816" t="s">
        <v>230</v>
      </c>
      <c r="L816" t="s">
        <v>226</v>
      </c>
      <c r="M816" t="s">
        <v>422</v>
      </c>
      <c r="N816" t="s">
        <v>4231</v>
      </c>
      <c r="O816" t="s">
        <v>4232</v>
      </c>
      <c r="S816">
        <v>0</v>
      </c>
      <c r="T816">
        <v>0</v>
      </c>
      <c r="U816">
        <v>0</v>
      </c>
      <c r="V816">
        <v>8</v>
      </c>
      <c r="W816">
        <v>8</v>
      </c>
      <c r="X816">
        <v>0</v>
      </c>
      <c r="Y816">
        <v>0</v>
      </c>
      <c r="Z816">
        <v>0</v>
      </c>
      <c r="AB816" s="5">
        <v>43292.333333333336</v>
      </c>
      <c r="AC816" s="5">
        <v>43293.666666666664</v>
      </c>
      <c r="AD816" s="5">
        <v>43970.333333333336</v>
      </c>
      <c r="AE816" s="5">
        <v>43970.333333333336</v>
      </c>
      <c r="AG816" s="5">
        <v>44044</v>
      </c>
      <c r="AH816" s="5">
        <v>44044</v>
      </c>
      <c r="AK816" s="5">
        <v>43292.333333333336</v>
      </c>
      <c r="AL816" s="5">
        <v>43292.666666666664</v>
      </c>
      <c r="AP816" t="s">
        <v>418</v>
      </c>
      <c r="AU816" t="s">
        <v>4233</v>
      </c>
      <c r="AV816" t="s">
        <v>4234</v>
      </c>
      <c r="AY816" t="s">
        <v>40</v>
      </c>
      <c r="AZ816">
        <v>0</v>
      </c>
      <c r="BA816">
        <v>0</v>
      </c>
      <c r="BI816" s="5">
        <v>44048.176388888889</v>
      </c>
      <c r="BJ816" s="5">
        <v>44048.176388888889</v>
      </c>
      <c r="BK816" t="s">
        <v>778</v>
      </c>
      <c r="BL816" t="s">
        <v>778</v>
      </c>
      <c r="BN816" t="s">
        <v>37</v>
      </c>
    </row>
    <row r="817" spans="1:66" x14ac:dyDescent="0.2">
      <c r="A817">
        <v>3693374</v>
      </c>
      <c r="B817">
        <v>21883</v>
      </c>
      <c r="C817">
        <v>523890</v>
      </c>
      <c r="D817">
        <v>52899</v>
      </c>
      <c r="E817">
        <v>100</v>
      </c>
      <c r="F817" t="s">
        <v>37</v>
      </c>
      <c r="G817">
        <v>1</v>
      </c>
      <c r="H817" t="s">
        <v>37</v>
      </c>
      <c r="I817" t="s">
        <v>37</v>
      </c>
      <c r="J817" t="s">
        <v>775</v>
      </c>
      <c r="K817" t="s">
        <v>230</v>
      </c>
      <c r="L817" t="s">
        <v>226</v>
      </c>
      <c r="M817" t="s">
        <v>422</v>
      </c>
      <c r="N817" t="s">
        <v>4235</v>
      </c>
      <c r="O817" t="s">
        <v>4236</v>
      </c>
      <c r="S817">
        <v>0</v>
      </c>
      <c r="T817">
        <v>0</v>
      </c>
      <c r="U817">
        <v>0</v>
      </c>
      <c r="V817">
        <v>8</v>
      </c>
      <c r="W817">
        <v>8</v>
      </c>
      <c r="X817">
        <v>0</v>
      </c>
      <c r="Y817">
        <v>0</v>
      </c>
      <c r="Z817">
        <v>0</v>
      </c>
      <c r="AB817" s="5">
        <v>43291.333333333336</v>
      </c>
      <c r="AC817" s="5">
        <v>43292.666666666664</v>
      </c>
      <c r="AD817" s="5">
        <v>43970.333333333336</v>
      </c>
      <c r="AE817" s="5">
        <v>43970.333333333336</v>
      </c>
      <c r="AG817" s="5">
        <v>44044</v>
      </c>
      <c r="AH817" s="5">
        <v>44044</v>
      </c>
      <c r="AK817" s="5">
        <v>43293.333333333336</v>
      </c>
      <c r="AL817" s="5">
        <v>43293.666666666664</v>
      </c>
      <c r="AP817" t="s">
        <v>418</v>
      </c>
      <c r="AU817" t="s">
        <v>4237</v>
      </c>
      <c r="AV817" t="s">
        <v>4238</v>
      </c>
      <c r="AY817" t="s">
        <v>40</v>
      </c>
      <c r="AZ817">
        <v>0</v>
      </c>
      <c r="BA817">
        <v>0</v>
      </c>
      <c r="BI817" s="5">
        <v>44048.176388888889</v>
      </c>
      <c r="BJ817" s="5">
        <v>44048.176388888889</v>
      </c>
      <c r="BK817" t="s">
        <v>778</v>
      </c>
      <c r="BL817" t="s">
        <v>778</v>
      </c>
      <c r="BN817" t="s">
        <v>37</v>
      </c>
    </row>
    <row r="818" spans="1:66" x14ac:dyDescent="0.2">
      <c r="A818">
        <v>3693375</v>
      </c>
      <c r="B818">
        <v>21883</v>
      </c>
      <c r="C818">
        <v>523890</v>
      </c>
      <c r="D818">
        <v>52899</v>
      </c>
      <c r="E818">
        <v>100</v>
      </c>
      <c r="F818" t="s">
        <v>37</v>
      </c>
      <c r="G818">
        <v>1</v>
      </c>
      <c r="H818" t="s">
        <v>37</v>
      </c>
      <c r="I818" t="s">
        <v>37</v>
      </c>
      <c r="J818" t="s">
        <v>775</v>
      </c>
      <c r="K818" t="s">
        <v>230</v>
      </c>
      <c r="L818" t="s">
        <v>226</v>
      </c>
      <c r="M818" t="s">
        <v>422</v>
      </c>
      <c r="N818" t="s">
        <v>4239</v>
      </c>
      <c r="O818" t="s">
        <v>4240</v>
      </c>
      <c r="S818">
        <v>0</v>
      </c>
      <c r="T818">
        <v>0</v>
      </c>
      <c r="U818">
        <v>0</v>
      </c>
      <c r="V818">
        <v>16</v>
      </c>
      <c r="W818">
        <v>16</v>
      </c>
      <c r="X818">
        <v>0</v>
      </c>
      <c r="Y818">
        <v>0</v>
      </c>
      <c r="Z818">
        <v>0</v>
      </c>
      <c r="AB818" s="5">
        <v>43301</v>
      </c>
      <c r="AC818" s="5">
        <v>43301.666666666664</v>
      </c>
      <c r="AD818" s="5">
        <v>43970.333333333336</v>
      </c>
      <c r="AE818" s="5">
        <v>43970.333333333336</v>
      </c>
      <c r="AG818" s="5">
        <v>44044</v>
      </c>
      <c r="AH818" s="5">
        <v>44044</v>
      </c>
      <c r="AK818" s="5">
        <v>43313.333333333336</v>
      </c>
      <c r="AL818" s="5">
        <v>43314.666666666664</v>
      </c>
      <c r="AP818" t="s">
        <v>418</v>
      </c>
      <c r="AU818" t="s">
        <v>4241</v>
      </c>
      <c r="AV818" t="s">
        <v>4242</v>
      </c>
      <c r="AY818" t="s">
        <v>40</v>
      </c>
      <c r="AZ818">
        <v>0</v>
      </c>
      <c r="BA818">
        <v>0</v>
      </c>
      <c r="BI818" s="5">
        <v>44048.176388888889</v>
      </c>
      <c r="BJ818" s="5">
        <v>44048.176388888889</v>
      </c>
      <c r="BK818" t="s">
        <v>778</v>
      </c>
      <c r="BL818" t="s">
        <v>778</v>
      </c>
      <c r="BN818" t="s">
        <v>37</v>
      </c>
    </row>
    <row r="819" spans="1:66" x14ac:dyDescent="0.2">
      <c r="A819">
        <v>3693376</v>
      </c>
      <c r="B819">
        <v>21883</v>
      </c>
      <c r="C819">
        <v>523890</v>
      </c>
      <c r="D819">
        <v>52899</v>
      </c>
      <c r="E819">
        <v>100</v>
      </c>
      <c r="F819" t="s">
        <v>37</v>
      </c>
      <c r="G819">
        <v>1</v>
      </c>
      <c r="H819" t="s">
        <v>37</v>
      </c>
      <c r="I819" t="s">
        <v>37</v>
      </c>
      <c r="J819" t="s">
        <v>775</v>
      </c>
      <c r="K819" t="s">
        <v>230</v>
      </c>
      <c r="L819" t="s">
        <v>226</v>
      </c>
      <c r="M819" t="s">
        <v>422</v>
      </c>
      <c r="N819" t="s">
        <v>4243</v>
      </c>
      <c r="O819" t="s">
        <v>4244</v>
      </c>
      <c r="S819">
        <v>0</v>
      </c>
      <c r="T819">
        <v>0</v>
      </c>
      <c r="U819">
        <v>0</v>
      </c>
      <c r="V819">
        <v>0</v>
      </c>
      <c r="W819">
        <v>8</v>
      </c>
      <c r="X819">
        <v>0</v>
      </c>
      <c r="Y819">
        <v>0</v>
      </c>
      <c r="Z819">
        <v>0</v>
      </c>
      <c r="AB819" s="5">
        <v>43369.333333333336</v>
      </c>
      <c r="AC819" s="5">
        <v>43369.666666666664</v>
      </c>
      <c r="AD819" s="5">
        <v>43970.333333333336</v>
      </c>
      <c r="AE819" s="5">
        <v>43970.333333333336</v>
      </c>
      <c r="AG819" s="5">
        <v>44044</v>
      </c>
      <c r="AH819" s="5">
        <v>44044</v>
      </c>
      <c r="AK819" s="5">
        <v>43355.333333333336</v>
      </c>
      <c r="AL819" s="5">
        <v>43355.666666666664</v>
      </c>
      <c r="AP819" t="s">
        <v>418</v>
      </c>
      <c r="AU819" t="s">
        <v>4245</v>
      </c>
      <c r="AV819" t="s">
        <v>4246</v>
      </c>
      <c r="AY819" t="s">
        <v>40</v>
      </c>
      <c r="AZ819">
        <v>0</v>
      </c>
      <c r="BA819">
        <v>0</v>
      </c>
      <c r="BI819" s="5">
        <v>44048.176388888889</v>
      </c>
      <c r="BJ819" s="5">
        <v>44048.176388888889</v>
      </c>
      <c r="BK819" t="s">
        <v>778</v>
      </c>
      <c r="BL819" t="s">
        <v>778</v>
      </c>
      <c r="BN819" t="s">
        <v>37</v>
      </c>
    </row>
    <row r="820" spans="1:66" x14ac:dyDescent="0.2">
      <c r="A820">
        <v>3693377</v>
      </c>
      <c r="B820">
        <v>21883</v>
      </c>
      <c r="C820">
        <v>523890</v>
      </c>
      <c r="D820">
        <v>52899</v>
      </c>
      <c r="E820">
        <v>100</v>
      </c>
      <c r="F820" t="s">
        <v>37</v>
      </c>
      <c r="G820">
        <v>1</v>
      </c>
      <c r="H820" t="s">
        <v>37</v>
      </c>
      <c r="I820" t="s">
        <v>37</v>
      </c>
      <c r="J820" t="s">
        <v>775</v>
      </c>
      <c r="K820" t="s">
        <v>230</v>
      </c>
      <c r="L820" t="s">
        <v>226</v>
      </c>
      <c r="M820" t="s">
        <v>422</v>
      </c>
      <c r="N820" t="s">
        <v>4247</v>
      </c>
      <c r="O820" t="s">
        <v>4248</v>
      </c>
      <c r="S820">
        <v>0</v>
      </c>
      <c r="T820">
        <v>8</v>
      </c>
      <c r="U820">
        <v>0</v>
      </c>
      <c r="V820">
        <v>8</v>
      </c>
      <c r="W820">
        <v>8</v>
      </c>
      <c r="X820">
        <v>0</v>
      </c>
      <c r="Y820">
        <v>0</v>
      </c>
      <c r="Z820">
        <v>0</v>
      </c>
      <c r="AB820" s="5">
        <v>43374</v>
      </c>
      <c r="AC820" s="5">
        <v>43377</v>
      </c>
      <c r="AD820" s="5">
        <v>43970.333333333336</v>
      </c>
      <c r="AE820" s="5">
        <v>43970.333333333336</v>
      </c>
      <c r="AG820" s="5">
        <v>44044</v>
      </c>
      <c r="AH820" s="5">
        <v>44044</v>
      </c>
      <c r="AK820" s="5">
        <v>43375.333333333336</v>
      </c>
      <c r="AL820" s="5">
        <v>43375.666666666664</v>
      </c>
      <c r="AP820" t="s">
        <v>418</v>
      </c>
      <c r="AU820" t="s">
        <v>4249</v>
      </c>
      <c r="AV820" t="s">
        <v>4250</v>
      </c>
      <c r="AY820" t="s">
        <v>40</v>
      </c>
      <c r="AZ820">
        <v>8</v>
      </c>
      <c r="BA820">
        <v>0</v>
      </c>
      <c r="BI820" s="5">
        <v>44048.176388888889</v>
      </c>
      <c r="BJ820" s="5">
        <v>44048.176388888889</v>
      </c>
      <c r="BK820" t="s">
        <v>778</v>
      </c>
      <c r="BL820" t="s">
        <v>778</v>
      </c>
      <c r="BN820" t="s">
        <v>37</v>
      </c>
    </row>
    <row r="821" spans="1:66" x14ac:dyDescent="0.2">
      <c r="A821">
        <v>3693378</v>
      </c>
      <c r="B821">
        <v>21883</v>
      </c>
      <c r="C821">
        <v>523890</v>
      </c>
      <c r="D821">
        <v>52899</v>
      </c>
      <c r="E821">
        <v>100</v>
      </c>
      <c r="F821" t="s">
        <v>37</v>
      </c>
      <c r="G821">
        <v>1</v>
      </c>
      <c r="H821" t="s">
        <v>37</v>
      </c>
      <c r="I821" t="s">
        <v>37</v>
      </c>
      <c r="J821" t="s">
        <v>775</v>
      </c>
      <c r="K821" t="s">
        <v>230</v>
      </c>
      <c r="L821" t="s">
        <v>226</v>
      </c>
      <c r="M821" t="s">
        <v>422</v>
      </c>
      <c r="N821" t="s">
        <v>4251</v>
      </c>
      <c r="O821" t="s">
        <v>4252</v>
      </c>
      <c r="S821">
        <v>0</v>
      </c>
      <c r="T821">
        <v>8</v>
      </c>
      <c r="U821">
        <v>0</v>
      </c>
      <c r="V821">
        <v>8</v>
      </c>
      <c r="W821">
        <v>8</v>
      </c>
      <c r="X821">
        <v>0</v>
      </c>
      <c r="Y821">
        <v>0</v>
      </c>
      <c r="Z821">
        <v>0</v>
      </c>
      <c r="AB821" s="5">
        <v>43383</v>
      </c>
      <c r="AC821" s="5">
        <v>43383</v>
      </c>
      <c r="AD821" s="5">
        <v>43970.333333333336</v>
      </c>
      <c r="AE821" s="5">
        <v>43970.333333333336</v>
      </c>
      <c r="AG821" s="5">
        <v>44044</v>
      </c>
      <c r="AH821" s="5">
        <v>44044</v>
      </c>
      <c r="AK821" s="5">
        <v>43374.333333333336</v>
      </c>
      <c r="AL821" s="5">
        <v>43374.666666666664</v>
      </c>
      <c r="AP821" t="s">
        <v>418</v>
      </c>
      <c r="AU821" t="s">
        <v>4253</v>
      </c>
      <c r="AV821" t="s">
        <v>4254</v>
      </c>
      <c r="AY821" t="s">
        <v>40</v>
      </c>
      <c r="AZ821">
        <v>8</v>
      </c>
      <c r="BA821">
        <v>0</v>
      </c>
      <c r="BI821" s="5">
        <v>44048.176388888889</v>
      </c>
      <c r="BJ821" s="5">
        <v>44048.176388888889</v>
      </c>
      <c r="BK821" t="s">
        <v>778</v>
      </c>
      <c r="BL821" t="s">
        <v>778</v>
      </c>
      <c r="BN821" t="s">
        <v>37</v>
      </c>
    </row>
    <row r="822" spans="1:66" x14ac:dyDescent="0.2">
      <c r="A822">
        <v>3693379</v>
      </c>
      <c r="B822">
        <v>21883</v>
      </c>
      <c r="C822">
        <v>523889</v>
      </c>
      <c r="D822">
        <v>52899</v>
      </c>
      <c r="E822">
        <v>100</v>
      </c>
      <c r="F822" t="s">
        <v>37</v>
      </c>
      <c r="G822">
        <v>1</v>
      </c>
      <c r="H822" t="s">
        <v>37</v>
      </c>
      <c r="I822" t="s">
        <v>37</v>
      </c>
      <c r="J822" t="s">
        <v>775</v>
      </c>
      <c r="K822" t="s">
        <v>230</v>
      </c>
      <c r="L822" t="s">
        <v>226</v>
      </c>
      <c r="M822" t="s">
        <v>422</v>
      </c>
      <c r="N822" t="s">
        <v>4255</v>
      </c>
      <c r="O822" t="s">
        <v>4256</v>
      </c>
      <c r="S822">
        <v>0</v>
      </c>
      <c r="T822">
        <v>0</v>
      </c>
      <c r="U822">
        <v>0</v>
      </c>
      <c r="V822">
        <v>8</v>
      </c>
      <c r="W822">
        <v>8</v>
      </c>
      <c r="X822">
        <v>0</v>
      </c>
      <c r="Y822">
        <v>0</v>
      </c>
      <c r="Z822">
        <v>0</v>
      </c>
      <c r="AB822" s="5">
        <v>43304</v>
      </c>
      <c r="AC822" s="5">
        <v>43304.666666666664</v>
      </c>
      <c r="AD822" s="5">
        <v>43970.333333333336</v>
      </c>
      <c r="AE822" s="5">
        <v>43970.333333333336</v>
      </c>
      <c r="AG822" s="5">
        <v>44044</v>
      </c>
      <c r="AH822" s="5">
        <v>44044</v>
      </c>
      <c r="AK822" s="5">
        <v>43312.333333333336</v>
      </c>
      <c r="AL822" s="5">
        <v>43312.666666666664</v>
      </c>
      <c r="AP822" t="s">
        <v>418</v>
      </c>
      <c r="AU822" t="s">
        <v>4257</v>
      </c>
      <c r="AV822" t="s">
        <v>4258</v>
      </c>
      <c r="AY822" t="s">
        <v>40</v>
      </c>
      <c r="AZ822">
        <v>0</v>
      </c>
      <c r="BA822">
        <v>0</v>
      </c>
      <c r="BI822" s="5">
        <v>44048.176388888889</v>
      </c>
      <c r="BJ822" s="5">
        <v>44048.176388888889</v>
      </c>
      <c r="BK822" t="s">
        <v>778</v>
      </c>
      <c r="BL822" t="s">
        <v>778</v>
      </c>
      <c r="BN822" t="s">
        <v>37</v>
      </c>
    </row>
    <row r="823" spans="1:66" x14ac:dyDescent="0.2">
      <c r="A823">
        <v>3693380</v>
      </c>
      <c r="B823">
        <v>21883</v>
      </c>
      <c r="C823">
        <v>523889</v>
      </c>
      <c r="D823">
        <v>52899</v>
      </c>
      <c r="E823">
        <v>100</v>
      </c>
      <c r="F823" t="s">
        <v>37</v>
      </c>
      <c r="G823">
        <v>1</v>
      </c>
      <c r="H823" t="s">
        <v>37</v>
      </c>
      <c r="I823" t="s">
        <v>37</v>
      </c>
      <c r="J823" t="s">
        <v>775</v>
      </c>
      <c r="K823" t="s">
        <v>230</v>
      </c>
      <c r="L823" t="s">
        <v>226</v>
      </c>
      <c r="M823" t="s">
        <v>422</v>
      </c>
      <c r="N823" t="s">
        <v>4259</v>
      </c>
      <c r="O823" t="s">
        <v>4260</v>
      </c>
      <c r="S823">
        <v>0</v>
      </c>
      <c r="T823">
        <v>0</v>
      </c>
      <c r="U823">
        <v>0</v>
      </c>
      <c r="V823">
        <v>8</v>
      </c>
      <c r="W823">
        <v>8</v>
      </c>
      <c r="X823">
        <v>0</v>
      </c>
      <c r="Y823">
        <v>0</v>
      </c>
      <c r="Z823">
        <v>0</v>
      </c>
      <c r="AB823" s="5">
        <v>43304.333333333336</v>
      </c>
      <c r="AC823" s="5">
        <v>43305.666666666664</v>
      </c>
      <c r="AD823" s="5">
        <v>43970.333333333336</v>
      </c>
      <c r="AE823" s="5">
        <v>43970.333333333336</v>
      </c>
      <c r="AG823" s="5">
        <v>44044</v>
      </c>
      <c r="AH823" s="5">
        <v>44044</v>
      </c>
      <c r="AK823" s="5">
        <v>43313.333333333336</v>
      </c>
      <c r="AL823" s="5">
        <v>43313.666666666664</v>
      </c>
      <c r="AP823" t="s">
        <v>418</v>
      </c>
      <c r="AU823" t="s">
        <v>4261</v>
      </c>
      <c r="AV823" t="s">
        <v>4262</v>
      </c>
      <c r="AY823" t="s">
        <v>40</v>
      </c>
      <c r="AZ823">
        <v>0</v>
      </c>
      <c r="BA823">
        <v>0</v>
      </c>
      <c r="BI823" s="5">
        <v>44048.176388888889</v>
      </c>
      <c r="BJ823" s="5">
        <v>44048.176388888889</v>
      </c>
      <c r="BK823" t="s">
        <v>778</v>
      </c>
      <c r="BL823" t="s">
        <v>778</v>
      </c>
      <c r="BN823" t="s">
        <v>37</v>
      </c>
    </row>
    <row r="824" spans="1:66" x14ac:dyDescent="0.2">
      <c r="A824">
        <v>3693381</v>
      </c>
      <c r="B824">
        <v>21883</v>
      </c>
      <c r="C824">
        <v>523889</v>
      </c>
      <c r="D824">
        <v>52899</v>
      </c>
      <c r="E824">
        <v>100</v>
      </c>
      <c r="F824" t="s">
        <v>37</v>
      </c>
      <c r="G824">
        <v>1</v>
      </c>
      <c r="H824" t="s">
        <v>37</v>
      </c>
      <c r="I824" t="s">
        <v>37</v>
      </c>
      <c r="J824" t="s">
        <v>775</v>
      </c>
      <c r="K824" t="s">
        <v>230</v>
      </c>
      <c r="L824" t="s">
        <v>226</v>
      </c>
      <c r="M824" t="s">
        <v>422</v>
      </c>
      <c r="N824" t="s">
        <v>4263</v>
      </c>
      <c r="O824" t="s">
        <v>4264</v>
      </c>
      <c r="S824">
        <v>0</v>
      </c>
      <c r="T824">
        <v>0</v>
      </c>
      <c r="U824">
        <v>0</v>
      </c>
      <c r="V824">
        <v>0</v>
      </c>
      <c r="W824">
        <v>16</v>
      </c>
      <c r="X824">
        <v>0</v>
      </c>
      <c r="Y824">
        <v>0</v>
      </c>
      <c r="Z824">
        <v>0</v>
      </c>
      <c r="AB824" s="5">
        <v>43327.333333333336</v>
      </c>
      <c r="AC824" s="5">
        <v>43327.666666666664</v>
      </c>
      <c r="AD824" s="5">
        <v>43970.333333333336</v>
      </c>
      <c r="AE824" s="5">
        <v>43970.333333333336</v>
      </c>
      <c r="AG824" s="5">
        <v>44044</v>
      </c>
      <c r="AH824" s="5">
        <v>44044</v>
      </c>
      <c r="AK824" s="5">
        <v>43350.333333333336</v>
      </c>
      <c r="AL824" s="5">
        <v>43353.666666666664</v>
      </c>
      <c r="AP824" t="s">
        <v>418</v>
      </c>
      <c r="AU824" t="s">
        <v>4265</v>
      </c>
      <c r="AV824" t="s">
        <v>4266</v>
      </c>
      <c r="AY824" t="s">
        <v>40</v>
      </c>
      <c r="AZ824">
        <v>0</v>
      </c>
      <c r="BA824">
        <v>0</v>
      </c>
      <c r="BI824" s="5">
        <v>44048.176388888889</v>
      </c>
      <c r="BJ824" s="5">
        <v>44048.176388888889</v>
      </c>
      <c r="BK824" t="s">
        <v>778</v>
      </c>
      <c r="BL824" t="s">
        <v>778</v>
      </c>
      <c r="BN824" t="s">
        <v>37</v>
      </c>
    </row>
    <row r="825" spans="1:66" x14ac:dyDescent="0.2">
      <c r="A825">
        <v>3693382</v>
      </c>
      <c r="B825">
        <v>21883</v>
      </c>
      <c r="C825">
        <v>523889</v>
      </c>
      <c r="D825">
        <v>52899</v>
      </c>
      <c r="E825">
        <v>100</v>
      </c>
      <c r="F825" t="s">
        <v>37</v>
      </c>
      <c r="G825">
        <v>1</v>
      </c>
      <c r="H825" t="s">
        <v>37</v>
      </c>
      <c r="I825" t="s">
        <v>37</v>
      </c>
      <c r="J825" t="s">
        <v>775</v>
      </c>
      <c r="K825" t="s">
        <v>230</v>
      </c>
      <c r="L825" t="s">
        <v>226</v>
      </c>
      <c r="M825" t="s">
        <v>422</v>
      </c>
      <c r="N825" t="s">
        <v>4267</v>
      </c>
      <c r="O825" t="s">
        <v>4268</v>
      </c>
      <c r="S825">
        <v>0</v>
      </c>
      <c r="T825">
        <v>16</v>
      </c>
      <c r="U825">
        <v>0</v>
      </c>
      <c r="V825">
        <v>16</v>
      </c>
      <c r="W825">
        <v>8</v>
      </c>
      <c r="X825">
        <v>0</v>
      </c>
      <c r="Y825">
        <v>0</v>
      </c>
      <c r="Z825">
        <v>0</v>
      </c>
      <c r="AB825" s="5">
        <v>43371.333333333336</v>
      </c>
      <c r="AC825" s="5">
        <v>43374</v>
      </c>
      <c r="AD825" s="5">
        <v>43970.333333333336</v>
      </c>
      <c r="AE825" s="5">
        <v>43970.333333333336</v>
      </c>
      <c r="AG825" s="5">
        <v>44044</v>
      </c>
      <c r="AH825" s="5">
        <v>44044</v>
      </c>
      <c r="AK825" s="5">
        <v>43361.333333333336</v>
      </c>
      <c r="AL825" s="5">
        <v>43361.666666666664</v>
      </c>
      <c r="AP825" t="s">
        <v>418</v>
      </c>
      <c r="AU825" t="s">
        <v>4269</v>
      </c>
      <c r="AV825" t="s">
        <v>4270</v>
      </c>
      <c r="AY825" t="s">
        <v>40</v>
      </c>
      <c r="AZ825">
        <v>16</v>
      </c>
      <c r="BA825">
        <v>0</v>
      </c>
      <c r="BI825" s="5">
        <v>44048.176388888889</v>
      </c>
      <c r="BJ825" s="5">
        <v>44048.176388888889</v>
      </c>
      <c r="BK825" t="s">
        <v>778</v>
      </c>
      <c r="BL825" t="s">
        <v>778</v>
      </c>
      <c r="BN825" t="s">
        <v>37</v>
      </c>
    </row>
    <row r="826" spans="1:66" x14ac:dyDescent="0.2">
      <c r="A826">
        <v>3693383</v>
      </c>
      <c r="B826">
        <v>21883</v>
      </c>
      <c r="C826">
        <v>523889</v>
      </c>
      <c r="D826">
        <v>52899</v>
      </c>
      <c r="E826">
        <v>100</v>
      </c>
      <c r="F826" t="s">
        <v>37</v>
      </c>
      <c r="G826">
        <v>1</v>
      </c>
      <c r="H826" t="s">
        <v>37</v>
      </c>
      <c r="I826" t="s">
        <v>37</v>
      </c>
      <c r="J826" t="s">
        <v>775</v>
      </c>
      <c r="K826" t="s">
        <v>230</v>
      </c>
      <c r="L826" t="s">
        <v>226</v>
      </c>
      <c r="M826" t="s">
        <v>422</v>
      </c>
      <c r="N826" t="s">
        <v>4271</v>
      </c>
      <c r="O826" t="s">
        <v>4272</v>
      </c>
      <c r="S826">
        <v>0</v>
      </c>
      <c r="T826">
        <v>8</v>
      </c>
      <c r="U826">
        <v>0</v>
      </c>
      <c r="V826">
        <v>8</v>
      </c>
      <c r="W826">
        <v>8</v>
      </c>
      <c r="X826">
        <v>0</v>
      </c>
      <c r="Y826">
        <v>0</v>
      </c>
      <c r="Z826">
        <v>0</v>
      </c>
      <c r="AB826" s="5">
        <v>43403</v>
      </c>
      <c r="AC826" s="5">
        <v>43404</v>
      </c>
      <c r="AD826" s="5">
        <v>43970.333333333336</v>
      </c>
      <c r="AE826" s="5">
        <v>43970.333333333336</v>
      </c>
      <c r="AG826" s="5">
        <v>44044</v>
      </c>
      <c r="AH826" s="5">
        <v>44044</v>
      </c>
      <c r="AK826" s="5">
        <v>43406.333333333336</v>
      </c>
      <c r="AL826" s="5">
        <v>43406.666666666664</v>
      </c>
      <c r="AP826" t="s">
        <v>418</v>
      </c>
      <c r="AU826" t="s">
        <v>4273</v>
      </c>
      <c r="AV826" t="s">
        <v>4274</v>
      </c>
      <c r="AY826" t="s">
        <v>40</v>
      </c>
      <c r="AZ826">
        <v>8</v>
      </c>
      <c r="BA826">
        <v>0</v>
      </c>
      <c r="BI826" s="5">
        <v>44048.176388888889</v>
      </c>
      <c r="BJ826" s="5">
        <v>44048.176388888889</v>
      </c>
      <c r="BK826" t="s">
        <v>778</v>
      </c>
      <c r="BL826" t="s">
        <v>778</v>
      </c>
      <c r="BN826" t="s">
        <v>37</v>
      </c>
    </row>
    <row r="827" spans="1:66" x14ac:dyDescent="0.2">
      <c r="A827">
        <v>3693384</v>
      </c>
      <c r="B827">
        <v>21883</v>
      </c>
      <c r="C827">
        <v>523889</v>
      </c>
      <c r="D827">
        <v>52899</v>
      </c>
      <c r="E827">
        <v>100</v>
      </c>
      <c r="F827" t="s">
        <v>37</v>
      </c>
      <c r="G827">
        <v>1</v>
      </c>
      <c r="H827" t="s">
        <v>37</v>
      </c>
      <c r="I827" t="s">
        <v>37</v>
      </c>
      <c r="J827" t="s">
        <v>775</v>
      </c>
      <c r="K827" t="s">
        <v>230</v>
      </c>
      <c r="L827" t="s">
        <v>226</v>
      </c>
      <c r="M827" t="s">
        <v>422</v>
      </c>
      <c r="N827" t="s">
        <v>4275</v>
      </c>
      <c r="O827" t="s">
        <v>4276</v>
      </c>
      <c r="S827">
        <v>0</v>
      </c>
      <c r="T827">
        <v>4</v>
      </c>
      <c r="U827">
        <v>0</v>
      </c>
      <c r="V827">
        <v>4</v>
      </c>
      <c r="W827">
        <v>8</v>
      </c>
      <c r="X827">
        <v>0</v>
      </c>
      <c r="Y827">
        <v>0</v>
      </c>
      <c r="Z827">
        <v>0</v>
      </c>
      <c r="AB827" s="5">
        <v>43381</v>
      </c>
      <c r="AC827" s="5">
        <v>43381</v>
      </c>
      <c r="AD827" s="5">
        <v>43970.333333333336</v>
      </c>
      <c r="AE827" s="5">
        <v>43970.333333333336</v>
      </c>
      <c r="AG827" s="5">
        <v>44044</v>
      </c>
      <c r="AH827" s="5">
        <v>44044</v>
      </c>
      <c r="AK827" s="5">
        <v>43382.333333333336</v>
      </c>
      <c r="AL827" s="5">
        <v>43382.666666666664</v>
      </c>
      <c r="AP827" t="s">
        <v>418</v>
      </c>
      <c r="AU827" t="s">
        <v>4277</v>
      </c>
      <c r="AV827" t="s">
        <v>4278</v>
      </c>
      <c r="AY827" t="s">
        <v>40</v>
      </c>
      <c r="AZ827">
        <v>4</v>
      </c>
      <c r="BA827">
        <v>0</v>
      </c>
      <c r="BI827" s="5">
        <v>44048.176388888889</v>
      </c>
      <c r="BJ827" s="5">
        <v>44048.176388888889</v>
      </c>
      <c r="BK827" t="s">
        <v>778</v>
      </c>
      <c r="BL827" t="s">
        <v>778</v>
      </c>
      <c r="BN827" t="s">
        <v>37</v>
      </c>
    </row>
    <row r="828" spans="1:66" x14ac:dyDescent="0.2">
      <c r="A828">
        <v>3693385</v>
      </c>
      <c r="B828">
        <v>21883</v>
      </c>
      <c r="C828">
        <v>523884</v>
      </c>
      <c r="D828">
        <v>52899</v>
      </c>
      <c r="E828">
        <v>100</v>
      </c>
      <c r="F828" t="s">
        <v>37</v>
      </c>
      <c r="G828">
        <v>1</v>
      </c>
      <c r="H828" t="s">
        <v>37</v>
      </c>
      <c r="I828" t="s">
        <v>37</v>
      </c>
      <c r="J828" t="s">
        <v>775</v>
      </c>
      <c r="K828" t="s">
        <v>230</v>
      </c>
      <c r="L828" t="s">
        <v>226</v>
      </c>
      <c r="M828" t="s">
        <v>422</v>
      </c>
      <c r="N828" t="s">
        <v>4279</v>
      </c>
      <c r="O828" t="s">
        <v>4280</v>
      </c>
      <c r="S828">
        <v>0</v>
      </c>
      <c r="T828">
        <v>0</v>
      </c>
      <c r="U828">
        <v>0</v>
      </c>
      <c r="V828">
        <v>0</v>
      </c>
      <c r="W828">
        <v>8</v>
      </c>
      <c r="X828">
        <v>0</v>
      </c>
      <c r="Y828">
        <v>0</v>
      </c>
      <c r="Z828">
        <v>0</v>
      </c>
      <c r="AB828" s="5">
        <v>43446</v>
      </c>
      <c r="AC828" s="5">
        <v>43446</v>
      </c>
      <c r="AD828" s="5">
        <v>43970.333333333336</v>
      </c>
      <c r="AE828" s="5">
        <v>43970.333333333336</v>
      </c>
      <c r="AG828" s="5">
        <v>44044</v>
      </c>
      <c r="AH828" s="5">
        <v>44044</v>
      </c>
      <c r="AK828" s="5">
        <v>43497.333333333336</v>
      </c>
      <c r="AL828" s="5">
        <v>43497.666666666664</v>
      </c>
      <c r="AP828" t="s">
        <v>418</v>
      </c>
      <c r="AU828" t="s">
        <v>4281</v>
      </c>
      <c r="AV828" t="s">
        <v>4282</v>
      </c>
      <c r="AY828" t="s">
        <v>40</v>
      </c>
      <c r="AZ828">
        <v>0</v>
      </c>
      <c r="BA828">
        <v>0</v>
      </c>
      <c r="BI828" s="5">
        <v>44048.176388888889</v>
      </c>
      <c r="BJ828" s="5">
        <v>44048.176388888889</v>
      </c>
      <c r="BK828" t="s">
        <v>778</v>
      </c>
      <c r="BL828" t="s">
        <v>778</v>
      </c>
      <c r="BN828" t="s">
        <v>37</v>
      </c>
    </row>
    <row r="829" spans="1:66" x14ac:dyDescent="0.2">
      <c r="A829">
        <v>3693386</v>
      </c>
      <c r="B829">
        <v>21883</v>
      </c>
      <c r="C829">
        <v>523883</v>
      </c>
      <c r="D829">
        <v>52899</v>
      </c>
      <c r="E829">
        <v>100</v>
      </c>
      <c r="F829" t="s">
        <v>37</v>
      </c>
      <c r="G829">
        <v>1</v>
      </c>
      <c r="H829" t="s">
        <v>37</v>
      </c>
      <c r="I829" t="s">
        <v>37</v>
      </c>
      <c r="J829" t="s">
        <v>775</v>
      </c>
      <c r="K829" t="s">
        <v>230</v>
      </c>
      <c r="L829" t="s">
        <v>226</v>
      </c>
      <c r="M829" t="s">
        <v>422</v>
      </c>
      <c r="N829" t="s">
        <v>4283</v>
      </c>
      <c r="O829" t="s">
        <v>4284</v>
      </c>
      <c r="S829">
        <v>0</v>
      </c>
      <c r="T829">
        <v>0</v>
      </c>
      <c r="U829">
        <v>0</v>
      </c>
      <c r="V829">
        <v>0</v>
      </c>
      <c r="W829">
        <v>8</v>
      </c>
      <c r="X829">
        <v>0</v>
      </c>
      <c r="Y829">
        <v>0</v>
      </c>
      <c r="Z829">
        <v>0</v>
      </c>
      <c r="AB829" s="5">
        <v>43440</v>
      </c>
      <c r="AC829" s="5">
        <v>43440</v>
      </c>
      <c r="AD829" s="5">
        <v>43970.333333333336</v>
      </c>
      <c r="AE829" s="5">
        <v>43970.333333333336</v>
      </c>
      <c r="AG829" s="5">
        <v>44044</v>
      </c>
      <c r="AH829" s="5">
        <v>44044</v>
      </c>
      <c r="AK829" s="5">
        <v>43467.333333333336</v>
      </c>
      <c r="AL829" s="5">
        <v>43467.666666666664</v>
      </c>
      <c r="AP829" t="s">
        <v>418</v>
      </c>
      <c r="AU829" t="s">
        <v>4285</v>
      </c>
      <c r="AV829" t="s">
        <v>4286</v>
      </c>
      <c r="AY829" t="s">
        <v>40</v>
      </c>
      <c r="AZ829">
        <v>0</v>
      </c>
      <c r="BA829">
        <v>0</v>
      </c>
      <c r="BI829" s="5">
        <v>44048.176388888889</v>
      </c>
      <c r="BJ829" s="5">
        <v>44048.176388888889</v>
      </c>
      <c r="BK829" t="s">
        <v>778</v>
      </c>
      <c r="BL829" t="s">
        <v>778</v>
      </c>
      <c r="BN829" t="s">
        <v>37</v>
      </c>
    </row>
    <row r="830" spans="1:66" x14ac:dyDescent="0.2">
      <c r="A830">
        <v>3693387</v>
      </c>
      <c r="B830">
        <v>21883</v>
      </c>
      <c r="C830">
        <v>523882</v>
      </c>
      <c r="D830">
        <v>52899</v>
      </c>
      <c r="E830">
        <v>100</v>
      </c>
      <c r="F830" t="s">
        <v>37</v>
      </c>
      <c r="G830">
        <v>1</v>
      </c>
      <c r="H830" t="s">
        <v>37</v>
      </c>
      <c r="I830" t="s">
        <v>37</v>
      </c>
      <c r="J830" t="s">
        <v>775</v>
      </c>
      <c r="K830" t="s">
        <v>230</v>
      </c>
      <c r="L830" t="s">
        <v>226</v>
      </c>
      <c r="M830" t="s">
        <v>422</v>
      </c>
      <c r="N830" t="s">
        <v>4287</v>
      </c>
      <c r="O830" t="s">
        <v>4288</v>
      </c>
      <c r="S830">
        <v>0</v>
      </c>
      <c r="T830">
        <v>0</v>
      </c>
      <c r="U830">
        <v>0</v>
      </c>
      <c r="V830">
        <v>0</v>
      </c>
      <c r="W830">
        <v>8</v>
      </c>
      <c r="X830">
        <v>0</v>
      </c>
      <c r="Y830">
        <v>0</v>
      </c>
      <c r="Z830">
        <v>0</v>
      </c>
      <c r="AB830" s="5">
        <v>43438</v>
      </c>
      <c r="AC830" s="5">
        <v>43438</v>
      </c>
      <c r="AD830" s="5">
        <v>43970.333333333336</v>
      </c>
      <c r="AE830" s="5">
        <v>43970.333333333336</v>
      </c>
      <c r="AG830" s="5">
        <v>44044</v>
      </c>
      <c r="AH830" s="5">
        <v>44044</v>
      </c>
      <c r="AK830" s="5">
        <v>43467.333333333336</v>
      </c>
      <c r="AL830" s="5">
        <v>43467.666666666664</v>
      </c>
      <c r="AP830" t="s">
        <v>418</v>
      </c>
      <c r="AU830" t="s">
        <v>4289</v>
      </c>
      <c r="AV830" t="s">
        <v>4290</v>
      </c>
      <c r="AY830" t="s">
        <v>40</v>
      </c>
      <c r="AZ830">
        <v>0</v>
      </c>
      <c r="BA830">
        <v>0</v>
      </c>
      <c r="BI830" s="5">
        <v>44048.176388888889</v>
      </c>
      <c r="BJ830" s="5">
        <v>44048.176388888889</v>
      </c>
      <c r="BK830" t="s">
        <v>778</v>
      </c>
      <c r="BL830" t="s">
        <v>778</v>
      </c>
      <c r="BN830" t="s">
        <v>37</v>
      </c>
    </row>
    <row r="831" spans="1:66" x14ac:dyDescent="0.2">
      <c r="A831">
        <v>3693388</v>
      </c>
      <c r="B831">
        <v>21883</v>
      </c>
      <c r="C831">
        <v>523881</v>
      </c>
      <c r="D831">
        <v>52899</v>
      </c>
      <c r="E831">
        <v>100</v>
      </c>
      <c r="F831" t="s">
        <v>37</v>
      </c>
      <c r="G831">
        <v>1</v>
      </c>
      <c r="H831" t="s">
        <v>37</v>
      </c>
      <c r="I831" t="s">
        <v>37</v>
      </c>
      <c r="J831" t="s">
        <v>775</v>
      </c>
      <c r="K831" t="s">
        <v>230</v>
      </c>
      <c r="L831" t="s">
        <v>226</v>
      </c>
      <c r="M831" t="s">
        <v>422</v>
      </c>
      <c r="N831" t="s">
        <v>4291</v>
      </c>
      <c r="O831" t="s">
        <v>4292</v>
      </c>
      <c r="S831">
        <v>0</v>
      </c>
      <c r="T831">
        <v>0</v>
      </c>
      <c r="U831">
        <v>0</v>
      </c>
      <c r="V831">
        <v>0</v>
      </c>
      <c r="W831">
        <v>8</v>
      </c>
      <c r="X831">
        <v>0</v>
      </c>
      <c r="Y831">
        <v>0</v>
      </c>
      <c r="Z831">
        <v>0</v>
      </c>
      <c r="AB831" s="5">
        <v>43424</v>
      </c>
      <c r="AC831" s="5">
        <v>43424</v>
      </c>
      <c r="AD831" s="5">
        <v>43970.333333333336</v>
      </c>
      <c r="AE831" s="5">
        <v>43970.333333333336</v>
      </c>
      <c r="AG831" s="5">
        <v>44044</v>
      </c>
      <c r="AH831" s="5">
        <v>44044</v>
      </c>
      <c r="AK831" s="5">
        <v>43467.333333333336</v>
      </c>
      <c r="AL831" s="5">
        <v>43467.666666666664</v>
      </c>
      <c r="AP831" t="s">
        <v>418</v>
      </c>
      <c r="AU831" t="s">
        <v>4293</v>
      </c>
      <c r="AV831" t="s">
        <v>4294</v>
      </c>
      <c r="AY831" t="s">
        <v>40</v>
      </c>
      <c r="AZ831">
        <v>0</v>
      </c>
      <c r="BA831">
        <v>0</v>
      </c>
      <c r="BI831" s="5">
        <v>44048.176388888889</v>
      </c>
      <c r="BJ831" s="5">
        <v>44048.176388888889</v>
      </c>
      <c r="BK831" t="s">
        <v>778</v>
      </c>
      <c r="BL831" t="s">
        <v>778</v>
      </c>
      <c r="BN831" t="s">
        <v>37</v>
      </c>
    </row>
    <row r="832" spans="1:66" x14ac:dyDescent="0.2">
      <c r="A832">
        <v>3693389</v>
      </c>
      <c r="B832">
        <v>21883</v>
      </c>
      <c r="C832">
        <v>523888</v>
      </c>
      <c r="D832">
        <v>52899</v>
      </c>
      <c r="E832">
        <v>100</v>
      </c>
      <c r="F832" t="s">
        <v>37</v>
      </c>
      <c r="G832">
        <v>1</v>
      </c>
      <c r="H832" t="s">
        <v>37</v>
      </c>
      <c r="I832" t="s">
        <v>37</v>
      </c>
      <c r="J832" t="s">
        <v>775</v>
      </c>
      <c r="K832" t="s">
        <v>230</v>
      </c>
      <c r="L832" t="s">
        <v>226</v>
      </c>
      <c r="M832" t="s">
        <v>422</v>
      </c>
      <c r="N832" t="s">
        <v>4295</v>
      </c>
      <c r="O832" t="s">
        <v>4296</v>
      </c>
      <c r="S832">
        <v>0</v>
      </c>
      <c r="T832">
        <v>0</v>
      </c>
      <c r="U832">
        <v>0</v>
      </c>
      <c r="V832">
        <v>0</v>
      </c>
      <c r="W832">
        <v>40</v>
      </c>
      <c r="X832">
        <v>0</v>
      </c>
      <c r="Y832">
        <v>0</v>
      </c>
      <c r="Z832">
        <v>0</v>
      </c>
      <c r="AB832" s="5">
        <v>43276.333333333336</v>
      </c>
      <c r="AC832" s="5">
        <v>43278.666666666664</v>
      </c>
      <c r="AD832" s="5">
        <v>43970.333333333336</v>
      </c>
      <c r="AE832" s="5">
        <v>43970.333333333336</v>
      </c>
      <c r="AG832" s="5">
        <v>44044</v>
      </c>
      <c r="AH832" s="5">
        <v>44044</v>
      </c>
      <c r="AK832" s="5">
        <v>43283.333333333336</v>
      </c>
      <c r="AL832" s="5">
        <v>43290.666666666664</v>
      </c>
      <c r="AP832" t="s">
        <v>418</v>
      </c>
      <c r="AU832" t="s">
        <v>4297</v>
      </c>
      <c r="AV832" t="s">
        <v>4298</v>
      </c>
      <c r="AY832" t="s">
        <v>40</v>
      </c>
      <c r="AZ832">
        <v>0</v>
      </c>
      <c r="BA832">
        <v>0</v>
      </c>
      <c r="BI832" s="5">
        <v>44048.176388888889</v>
      </c>
      <c r="BJ832" s="5">
        <v>44048.176388888889</v>
      </c>
      <c r="BK832" t="s">
        <v>778</v>
      </c>
      <c r="BL832" t="s">
        <v>778</v>
      </c>
      <c r="BN832" t="s">
        <v>37</v>
      </c>
    </row>
    <row r="833" spans="1:66" x14ac:dyDescent="0.2">
      <c r="A833">
        <v>3693390</v>
      </c>
      <c r="B833">
        <v>21883</v>
      </c>
      <c r="C833">
        <v>523888</v>
      </c>
      <c r="D833">
        <v>52899</v>
      </c>
      <c r="E833">
        <v>100</v>
      </c>
      <c r="F833" t="s">
        <v>37</v>
      </c>
      <c r="G833">
        <v>1</v>
      </c>
      <c r="H833" t="s">
        <v>37</v>
      </c>
      <c r="I833" t="s">
        <v>37</v>
      </c>
      <c r="J833" t="s">
        <v>775</v>
      </c>
      <c r="K833" t="s">
        <v>230</v>
      </c>
      <c r="L833" t="s">
        <v>226</v>
      </c>
      <c r="M833" t="s">
        <v>422</v>
      </c>
      <c r="N833" t="s">
        <v>4299</v>
      </c>
      <c r="O833" t="s">
        <v>4300</v>
      </c>
      <c r="S833">
        <v>0</v>
      </c>
      <c r="T833">
        <v>16</v>
      </c>
      <c r="U833">
        <v>0</v>
      </c>
      <c r="V833">
        <v>16</v>
      </c>
      <c r="W833">
        <v>16</v>
      </c>
      <c r="X833">
        <v>0</v>
      </c>
      <c r="Y833">
        <v>0</v>
      </c>
      <c r="Z833">
        <v>0</v>
      </c>
      <c r="AB833" s="5">
        <v>43329</v>
      </c>
      <c r="AC833" s="5">
        <v>43329.666666666664</v>
      </c>
      <c r="AD833" s="5">
        <v>43970.333333333336</v>
      </c>
      <c r="AE833" s="5">
        <v>43970.333333333336</v>
      </c>
      <c r="AG833" s="5">
        <v>44044</v>
      </c>
      <c r="AH833" s="5">
        <v>44044</v>
      </c>
      <c r="AK833" s="5">
        <v>43322.333333333336</v>
      </c>
      <c r="AL833" s="5">
        <v>43325.666666666664</v>
      </c>
      <c r="AP833" t="s">
        <v>418</v>
      </c>
      <c r="AU833" t="s">
        <v>4301</v>
      </c>
      <c r="AV833" t="s">
        <v>4302</v>
      </c>
      <c r="AY833" t="s">
        <v>40</v>
      </c>
      <c r="AZ833">
        <v>16</v>
      </c>
      <c r="BA833">
        <v>0</v>
      </c>
      <c r="BI833" s="5">
        <v>44048.176388888889</v>
      </c>
      <c r="BJ833" s="5">
        <v>44048.176388888889</v>
      </c>
      <c r="BK833" t="s">
        <v>778</v>
      </c>
      <c r="BL833" t="s">
        <v>778</v>
      </c>
      <c r="BN833" t="s">
        <v>37</v>
      </c>
    </row>
    <row r="834" spans="1:66" x14ac:dyDescent="0.2">
      <c r="A834">
        <v>3693391</v>
      </c>
      <c r="B834">
        <v>21883</v>
      </c>
      <c r="C834">
        <v>523888</v>
      </c>
      <c r="D834">
        <v>52895</v>
      </c>
      <c r="E834">
        <v>100</v>
      </c>
      <c r="F834" t="s">
        <v>37</v>
      </c>
      <c r="G834">
        <v>1</v>
      </c>
      <c r="H834" t="s">
        <v>37</v>
      </c>
      <c r="I834" t="s">
        <v>37</v>
      </c>
      <c r="J834" t="s">
        <v>775</v>
      </c>
      <c r="K834" t="s">
        <v>230</v>
      </c>
      <c r="L834" t="s">
        <v>226</v>
      </c>
      <c r="M834" t="s">
        <v>422</v>
      </c>
      <c r="N834" t="s">
        <v>4303</v>
      </c>
      <c r="O834" t="s">
        <v>4304</v>
      </c>
      <c r="S834">
        <v>0</v>
      </c>
      <c r="T834">
        <v>0</v>
      </c>
      <c r="U834">
        <v>0</v>
      </c>
      <c r="V834">
        <v>0</v>
      </c>
      <c r="W834">
        <v>80</v>
      </c>
      <c r="X834">
        <v>0</v>
      </c>
      <c r="Y834">
        <v>0</v>
      </c>
      <c r="Z834">
        <v>0</v>
      </c>
      <c r="AB834" s="5">
        <v>43294.333333333336</v>
      </c>
      <c r="AC834" s="5">
        <v>43304.666666666664</v>
      </c>
      <c r="AD834" s="5">
        <v>43970.333333333336</v>
      </c>
      <c r="AE834" s="5">
        <v>43970.333333333336</v>
      </c>
      <c r="AG834" s="5">
        <v>44044</v>
      </c>
      <c r="AH834" s="5">
        <v>44044</v>
      </c>
      <c r="AK834" s="5">
        <v>43294.333333333336</v>
      </c>
      <c r="AL834" s="5">
        <v>43303.666666666664</v>
      </c>
      <c r="AP834" t="s">
        <v>418</v>
      </c>
      <c r="AU834" t="s">
        <v>4305</v>
      </c>
      <c r="AV834" t="s">
        <v>4306</v>
      </c>
      <c r="AY834" t="s">
        <v>40</v>
      </c>
      <c r="AZ834">
        <v>0</v>
      </c>
      <c r="BA834">
        <v>0</v>
      </c>
      <c r="BI834" s="5">
        <v>44048.176388888889</v>
      </c>
      <c r="BJ834" s="5">
        <v>44048.176388888889</v>
      </c>
      <c r="BK834" t="s">
        <v>778</v>
      </c>
      <c r="BL834" t="s">
        <v>778</v>
      </c>
      <c r="BN834" t="s">
        <v>37</v>
      </c>
    </row>
    <row r="835" spans="1:66" x14ac:dyDescent="0.2">
      <c r="A835">
        <v>3693392</v>
      </c>
      <c r="B835">
        <v>21883</v>
      </c>
      <c r="C835">
        <v>523888</v>
      </c>
      <c r="D835">
        <v>52899</v>
      </c>
      <c r="E835">
        <v>100</v>
      </c>
      <c r="F835" t="s">
        <v>37</v>
      </c>
      <c r="G835">
        <v>1</v>
      </c>
      <c r="H835" t="s">
        <v>37</v>
      </c>
      <c r="I835" t="s">
        <v>37</v>
      </c>
      <c r="J835" t="s">
        <v>775</v>
      </c>
      <c r="K835" t="s">
        <v>230</v>
      </c>
      <c r="L835" t="s">
        <v>226</v>
      </c>
      <c r="M835" t="s">
        <v>422</v>
      </c>
      <c r="N835" t="s">
        <v>4307</v>
      </c>
      <c r="O835" t="s">
        <v>4308</v>
      </c>
      <c r="S835">
        <v>0</v>
      </c>
      <c r="T835">
        <v>0</v>
      </c>
      <c r="U835">
        <v>0</v>
      </c>
      <c r="V835">
        <v>0</v>
      </c>
      <c r="W835">
        <v>8</v>
      </c>
      <c r="X835">
        <v>0</v>
      </c>
      <c r="Y835">
        <v>0</v>
      </c>
      <c r="Z835">
        <v>0</v>
      </c>
      <c r="AB835" s="5">
        <v>43360.333333333336</v>
      </c>
      <c r="AC835" s="5">
        <v>43360.666666666664</v>
      </c>
      <c r="AD835" s="5">
        <v>43970.333333333336</v>
      </c>
      <c r="AE835" s="5">
        <v>43970.333333333336</v>
      </c>
      <c r="AG835" s="5">
        <v>44044</v>
      </c>
      <c r="AH835" s="5">
        <v>44044</v>
      </c>
      <c r="AK835" s="5">
        <v>43347.333333333336</v>
      </c>
      <c r="AL835" s="5">
        <v>43347.666666666664</v>
      </c>
      <c r="AP835" t="s">
        <v>418</v>
      </c>
      <c r="AU835" t="s">
        <v>4309</v>
      </c>
      <c r="AV835" t="s">
        <v>4310</v>
      </c>
      <c r="AY835" t="s">
        <v>40</v>
      </c>
      <c r="AZ835">
        <v>0</v>
      </c>
      <c r="BA835">
        <v>0</v>
      </c>
      <c r="BI835" s="5">
        <v>44048.176388888889</v>
      </c>
      <c r="BJ835" s="5">
        <v>44048.176388888889</v>
      </c>
      <c r="BK835" t="s">
        <v>778</v>
      </c>
      <c r="BL835" t="s">
        <v>778</v>
      </c>
      <c r="BN835" t="s">
        <v>37</v>
      </c>
    </row>
    <row r="836" spans="1:66" x14ac:dyDescent="0.2">
      <c r="A836">
        <v>3693393</v>
      </c>
      <c r="B836">
        <v>21883</v>
      </c>
      <c r="C836">
        <v>523888</v>
      </c>
      <c r="D836">
        <v>52899</v>
      </c>
      <c r="E836">
        <v>100</v>
      </c>
      <c r="F836" t="s">
        <v>37</v>
      </c>
      <c r="G836">
        <v>1</v>
      </c>
      <c r="H836" t="s">
        <v>37</v>
      </c>
      <c r="I836" t="s">
        <v>37</v>
      </c>
      <c r="J836" t="s">
        <v>775</v>
      </c>
      <c r="K836" t="s">
        <v>230</v>
      </c>
      <c r="L836" t="s">
        <v>226</v>
      </c>
      <c r="M836" t="s">
        <v>422</v>
      </c>
      <c r="N836" t="s">
        <v>4311</v>
      </c>
      <c r="O836" t="s">
        <v>4312</v>
      </c>
      <c r="S836">
        <v>0</v>
      </c>
      <c r="T836">
        <v>8</v>
      </c>
      <c r="U836">
        <v>0</v>
      </c>
      <c r="V836">
        <v>8</v>
      </c>
      <c r="W836">
        <v>8</v>
      </c>
      <c r="X836">
        <v>0</v>
      </c>
      <c r="Y836">
        <v>0</v>
      </c>
      <c r="Z836">
        <v>0</v>
      </c>
      <c r="AB836" s="5">
        <v>43328</v>
      </c>
      <c r="AC836" s="5">
        <v>43328.666666666664</v>
      </c>
      <c r="AD836" s="5">
        <v>43970.333333333336</v>
      </c>
      <c r="AE836" s="5">
        <v>43970.333333333336</v>
      </c>
      <c r="AG836" s="5">
        <v>44044</v>
      </c>
      <c r="AH836" s="5">
        <v>44044</v>
      </c>
      <c r="AK836" s="5">
        <v>43321.333333333336</v>
      </c>
      <c r="AL836" s="5">
        <v>43321.666666666664</v>
      </c>
      <c r="AP836" t="s">
        <v>418</v>
      </c>
      <c r="AU836" t="s">
        <v>4313</v>
      </c>
      <c r="AV836" t="s">
        <v>4314</v>
      </c>
      <c r="AY836" t="s">
        <v>40</v>
      </c>
      <c r="AZ836">
        <v>8</v>
      </c>
      <c r="BA836">
        <v>0</v>
      </c>
      <c r="BI836" s="5">
        <v>44048.176388888889</v>
      </c>
      <c r="BJ836" s="5">
        <v>44048.176388888889</v>
      </c>
      <c r="BK836" t="s">
        <v>778</v>
      </c>
      <c r="BL836" t="s">
        <v>778</v>
      </c>
      <c r="BN836" t="s">
        <v>37</v>
      </c>
    </row>
    <row r="837" spans="1:66" x14ac:dyDescent="0.2">
      <c r="A837">
        <v>3693394</v>
      </c>
      <c r="B837">
        <v>21883</v>
      </c>
      <c r="C837">
        <v>523887</v>
      </c>
      <c r="D837">
        <v>52899</v>
      </c>
      <c r="E837">
        <v>100</v>
      </c>
      <c r="F837" t="s">
        <v>37</v>
      </c>
      <c r="G837">
        <v>1</v>
      </c>
      <c r="H837" t="s">
        <v>37</v>
      </c>
      <c r="I837" t="s">
        <v>37</v>
      </c>
      <c r="J837" t="s">
        <v>775</v>
      </c>
      <c r="K837" t="s">
        <v>230</v>
      </c>
      <c r="L837" t="s">
        <v>226</v>
      </c>
      <c r="M837" t="s">
        <v>422</v>
      </c>
      <c r="N837" t="s">
        <v>4315</v>
      </c>
      <c r="O837" t="s">
        <v>4316</v>
      </c>
      <c r="S837">
        <v>0</v>
      </c>
      <c r="T837">
        <v>0</v>
      </c>
      <c r="U837">
        <v>0</v>
      </c>
      <c r="V837">
        <v>0</v>
      </c>
      <c r="W837">
        <v>8</v>
      </c>
      <c r="X837">
        <v>0</v>
      </c>
      <c r="Y837">
        <v>0</v>
      </c>
      <c r="Z837">
        <v>0</v>
      </c>
      <c r="AB837" s="5">
        <v>43298.333333333336</v>
      </c>
      <c r="AC837" s="5">
        <v>43300.666666666664</v>
      </c>
      <c r="AD837" s="5">
        <v>43970.333333333336</v>
      </c>
      <c r="AE837" s="5">
        <v>43970.333333333336</v>
      </c>
      <c r="AG837" s="5">
        <v>44044</v>
      </c>
      <c r="AH837" s="5">
        <v>44044</v>
      </c>
      <c r="AK837" s="5">
        <v>43301.333333333336</v>
      </c>
      <c r="AL837" s="5">
        <v>43301.666666666664</v>
      </c>
      <c r="AP837" t="s">
        <v>418</v>
      </c>
      <c r="AU837" t="s">
        <v>4317</v>
      </c>
      <c r="AV837" t="s">
        <v>4318</v>
      </c>
      <c r="AY837" t="s">
        <v>40</v>
      </c>
      <c r="AZ837">
        <v>0</v>
      </c>
      <c r="BA837">
        <v>0</v>
      </c>
      <c r="BI837" s="5">
        <v>44048.176388888889</v>
      </c>
      <c r="BJ837" s="5">
        <v>44048.176388888889</v>
      </c>
      <c r="BK837" t="s">
        <v>778</v>
      </c>
      <c r="BL837" t="s">
        <v>778</v>
      </c>
      <c r="BN837" t="s">
        <v>37</v>
      </c>
    </row>
    <row r="838" spans="1:66" x14ac:dyDescent="0.2">
      <c r="A838">
        <v>3693395</v>
      </c>
      <c r="B838">
        <v>21883</v>
      </c>
      <c r="C838">
        <v>523887</v>
      </c>
      <c r="D838">
        <v>52895</v>
      </c>
      <c r="E838">
        <v>100</v>
      </c>
      <c r="F838" t="s">
        <v>37</v>
      </c>
      <c r="G838">
        <v>1</v>
      </c>
      <c r="H838" t="s">
        <v>37</v>
      </c>
      <c r="I838" t="s">
        <v>37</v>
      </c>
      <c r="J838" t="s">
        <v>775</v>
      </c>
      <c r="K838" t="s">
        <v>230</v>
      </c>
      <c r="L838" t="s">
        <v>226</v>
      </c>
      <c r="M838" t="s">
        <v>422</v>
      </c>
      <c r="N838" t="s">
        <v>4319</v>
      </c>
      <c r="O838" t="s">
        <v>4320</v>
      </c>
      <c r="S838">
        <v>0</v>
      </c>
      <c r="T838">
        <v>0</v>
      </c>
      <c r="U838">
        <v>0</v>
      </c>
      <c r="V838">
        <v>0</v>
      </c>
      <c r="W838">
        <v>80</v>
      </c>
      <c r="X838">
        <v>0</v>
      </c>
      <c r="Y838">
        <v>0</v>
      </c>
      <c r="Z838">
        <v>0</v>
      </c>
      <c r="AB838" s="5">
        <v>43332.333333333336</v>
      </c>
      <c r="AC838" s="5">
        <v>43348.666666666664</v>
      </c>
      <c r="AD838" s="5">
        <v>43970.333333333336</v>
      </c>
      <c r="AE838" s="5">
        <v>43970.333333333336</v>
      </c>
      <c r="AG838" s="5">
        <v>44044</v>
      </c>
      <c r="AH838" s="5">
        <v>44044</v>
      </c>
      <c r="AK838" s="5">
        <v>43344.333333333336</v>
      </c>
      <c r="AL838" s="5">
        <v>43353.666666666664</v>
      </c>
      <c r="AP838" t="s">
        <v>418</v>
      </c>
      <c r="AU838" t="s">
        <v>4321</v>
      </c>
      <c r="AV838" t="s">
        <v>4322</v>
      </c>
      <c r="AY838" t="s">
        <v>40</v>
      </c>
      <c r="AZ838">
        <v>0</v>
      </c>
      <c r="BA838">
        <v>0</v>
      </c>
      <c r="BI838" s="5">
        <v>44048.176388888889</v>
      </c>
      <c r="BJ838" s="5">
        <v>44048.176388888889</v>
      </c>
      <c r="BK838" t="s">
        <v>778</v>
      </c>
      <c r="BL838" t="s">
        <v>778</v>
      </c>
      <c r="BN838" t="s">
        <v>37</v>
      </c>
    </row>
    <row r="839" spans="1:66" x14ac:dyDescent="0.2">
      <c r="A839">
        <v>3693396</v>
      </c>
      <c r="B839">
        <v>21883</v>
      </c>
      <c r="C839">
        <v>523887</v>
      </c>
      <c r="D839">
        <v>52899</v>
      </c>
      <c r="E839">
        <v>100</v>
      </c>
      <c r="F839" t="s">
        <v>37</v>
      </c>
      <c r="G839">
        <v>1</v>
      </c>
      <c r="H839" t="s">
        <v>37</v>
      </c>
      <c r="I839" t="s">
        <v>37</v>
      </c>
      <c r="J839" t="s">
        <v>775</v>
      </c>
      <c r="K839" t="s">
        <v>230</v>
      </c>
      <c r="L839" t="s">
        <v>226</v>
      </c>
      <c r="M839" t="s">
        <v>422</v>
      </c>
      <c r="N839" t="s">
        <v>4323</v>
      </c>
      <c r="O839" t="s">
        <v>4324</v>
      </c>
      <c r="S839">
        <v>0</v>
      </c>
      <c r="T839">
        <v>8</v>
      </c>
      <c r="U839">
        <v>0</v>
      </c>
      <c r="V839">
        <v>8</v>
      </c>
      <c r="W839">
        <v>8</v>
      </c>
      <c r="X839">
        <v>0</v>
      </c>
      <c r="Y839">
        <v>0</v>
      </c>
      <c r="Z839">
        <v>0</v>
      </c>
      <c r="AB839" s="5">
        <v>43376</v>
      </c>
      <c r="AC839" s="5">
        <v>43376</v>
      </c>
      <c r="AD839" s="5">
        <v>43970.333333333336</v>
      </c>
      <c r="AE839" s="5">
        <v>43970.333333333336</v>
      </c>
      <c r="AG839" s="5">
        <v>44044</v>
      </c>
      <c r="AH839" s="5">
        <v>44044</v>
      </c>
      <c r="AK839" s="5">
        <v>43374.333333333336</v>
      </c>
      <c r="AL839" s="5">
        <v>43374.666666666664</v>
      </c>
      <c r="AP839" t="s">
        <v>418</v>
      </c>
      <c r="AU839" t="s">
        <v>4325</v>
      </c>
      <c r="AV839" t="s">
        <v>4326</v>
      </c>
      <c r="AY839" t="s">
        <v>40</v>
      </c>
      <c r="AZ839">
        <v>8</v>
      </c>
      <c r="BA839">
        <v>0</v>
      </c>
      <c r="BI839" s="5">
        <v>44048.176388888889</v>
      </c>
      <c r="BJ839" s="5">
        <v>44048.176388888889</v>
      </c>
      <c r="BK839" t="s">
        <v>778</v>
      </c>
      <c r="BL839" t="s">
        <v>778</v>
      </c>
      <c r="BN839" t="s">
        <v>37</v>
      </c>
    </row>
    <row r="840" spans="1:66" x14ac:dyDescent="0.2">
      <c r="A840">
        <v>3693397</v>
      </c>
      <c r="B840">
        <v>21883</v>
      </c>
      <c r="C840">
        <v>523887</v>
      </c>
      <c r="D840">
        <v>52899</v>
      </c>
      <c r="E840">
        <v>100</v>
      </c>
      <c r="F840" t="s">
        <v>37</v>
      </c>
      <c r="G840">
        <v>1</v>
      </c>
      <c r="H840" t="s">
        <v>37</v>
      </c>
      <c r="I840" t="s">
        <v>37</v>
      </c>
      <c r="J840" t="s">
        <v>775</v>
      </c>
      <c r="K840" t="s">
        <v>230</v>
      </c>
      <c r="L840" t="s">
        <v>226</v>
      </c>
      <c r="M840" t="s">
        <v>422</v>
      </c>
      <c r="N840" t="s">
        <v>4327</v>
      </c>
      <c r="O840" t="s">
        <v>4328</v>
      </c>
      <c r="S840">
        <v>0</v>
      </c>
      <c r="T840">
        <v>16</v>
      </c>
      <c r="U840">
        <v>0</v>
      </c>
      <c r="V840">
        <v>16</v>
      </c>
      <c r="W840">
        <v>16</v>
      </c>
      <c r="X840">
        <v>0</v>
      </c>
      <c r="Y840">
        <v>0</v>
      </c>
      <c r="Z840">
        <v>0</v>
      </c>
      <c r="AB840" s="5">
        <v>43407</v>
      </c>
      <c r="AC840" s="5">
        <v>43408</v>
      </c>
      <c r="AD840" s="5">
        <v>43970.333333333336</v>
      </c>
      <c r="AE840" s="5">
        <v>43970.333333333336</v>
      </c>
      <c r="AG840" s="5">
        <v>44044</v>
      </c>
      <c r="AH840" s="5">
        <v>44044</v>
      </c>
      <c r="AK840" s="5">
        <v>43437.333333333336</v>
      </c>
      <c r="AL840" s="5">
        <v>43438.666666666664</v>
      </c>
      <c r="AP840" t="s">
        <v>418</v>
      </c>
      <c r="AU840" t="s">
        <v>4329</v>
      </c>
      <c r="AV840" t="s">
        <v>4330</v>
      </c>
      <c r="AY840" t="s">
        <v>40</v>
      </c>
      <c r="AZ840">
        <v>16</v>
      </c>
      <c r="BA840">
        <v>0</v>
      </c>
      <c r="BI840" s="5">
        <v>44048.176388888889</v>
      </c>
      <c r="BJ840" s="5">
        <v>44048.176388888889</v>
      </c>
      <c r="BK840" t="s">
        <v>778</v>
      </c>
      <c r="BL840" t="s">
        <v>778</v>
      </c>
      <c r="BN840" t="s">
        <v>37</v>
      </c>
    </row>
    <row r="841" spans="1:66" x14ac:dyDescent="0.2">
      <c r="A841">
        <v>3693398</v>
      </c>
      <c r="B841">
        <v>21883</v>
      </c>
      <c r="C841">
        <v>523887</v>
      </c>
      <c r="D841">
        <v>52899</v>
      </c>
      <c r="E841">
        <v>100</v>
      </c>
      <c r="F841" t="s">
        <v>37</v>
      </c>
      <c r="G841">
        <v>1</v>
      </c>
      <c r="H841" t="s">
        <v>37</v>
      </c>
      <c r="I841" t="s">
        <v>37</v>
      </c>
      <c r="J841" t="s">
        <v>775</v>
      </c>
      <c r="K841" t="s">
        <v>230</v>
      </c>
      <c r="L841" t="s">
        <v>226</v>
      </c>
      <c r="M841" t="s">
        <v>422</v>
      </c>
      <c r="N841" t="s">
        <v>4331</v>
      </c>
      <c r="O841" t="s">
        <v>4332</v>
      </c>
      <c r="S841">
        <v>0</v>
      </c>
      <c r="T841">
        <v>8</v>
      </c>
      <c r="U841">
        <v>0</v>
      </c>
      <c r="V841">
        <v>8</v>
      </c>
      <c r="W841">
        <v>8</v>
      </c>
      <c r="X841">
        <v>0</v>
      </c>
      <c r="Y841">
        <v>0</v>
      </c>
      <c r="Z841">
        <v>0</v>
      </c>
      <c r="AB841" s="5">
        <v>43413</v>
      </c>
      <c r="AC841" s="5">
        <v>43413</v>
      </c>
      <c r="AD841" s="5">
        <v>43970.333333333336</v>
      </c>
      <c r="AE841" s="5">
        <v>43970.333333333336</v>
      </c>
      <c r="AG841" s="5">
        <v>44044</v>
      </c>
      <c r="AH841" s="5">
        <v>44044</v>
      </c>
      <c r="AK841" s="5">
        <v>43437.333333333336</v>
      </c>
      <c r="AL841" s="5">
        <v>43437.666666666664</v>
      </c>
      <c r="AP841" t="s">
        <v>418</v>
      </c>
      <c r="AU841" t="s">
        <v>4333</v>
      </c>
      <c r="AV841" t="s">
        <v>4334</v>
      </c>
      <c r="AY841" t="s">
        <v>40</v>
      </c>
      <c r="AZ841">
        <v>8</v>
      </c>
      <c r="BA841">
        <v>0</v>
      </c>
      <c r="BI841" s="5">
        <v>44048.176388888889</v>
      </c>
      <c r="BJ841" s="5">
        <v>44048.176388888889</v>
      </c>
      <c r="BK841" t="s">
        <v>778</v>
      </c>
      <c r="BL841" t="s">
        <v>778</v>
      </c>
      <c r="BN841" t="s">
        <v>37</v>
      </c>
    </row>
    <row r="842" spans="1:66" x14ac:dyDescent="0.2">
      <c r="A842">
        <v>3693399</v>
      </c>
      <c r="B842">
        <v>21883</v>
      </c>
      <c r="C842">
        <v>523886</v>
      </c>
      <c r="D842">
        <v>52899</v>
      </c>
      <c r="E842">
        <v>100</v>
      </c>
      <c r="F842" t="s">
        <v>37</v>
      </c>
      <c r="G842">
        <v>1</v>
      </c>
      <c r="H842" t="s">
        <v>37</v>
      </c>
      <c r="I842" t="s">
        <v>37</v>
      </c>
      <c r="J842" t="s">
        <v>775</v>
      </c>
      <c r="K842" t="s">
        <v>230</v>
      </c>
      <c r="L842" t="s">
        <v>226</v>
      </c>
      <c r="M842" t="s">
        <v>422</v>
      </c>
      <c r="N842" t="s">
        <v>4335</v>
      </c>
      <c r="O842" t="s">
        <v>4336</v>
      </c>
      <c r="S842">
        <v>0</v>
      </c>
      <c r="T842">
        <v>0</v>
      </c>
      <c r="U842">
        <v>0</v>
      </c>
      <c r="V842">
        <v>0</v>
      </c>
      <c r="W842">
        <v>8</v>
      </c>
      <c r="X842">
        <v>0</v>
      </c>
      <c r="Y842">
        <v>0</v>
      </c>
      <c r="Z842">
        <v>0</v>
      </c>
      <c r="AB842" s="5">
        <v>43347.333333333336</v>
      </c>
      <c r="AC842" s="5">
        <v>43348.666666666664</v>
      </c>
      <c r="AD842" s="5">
        <v>43970.333333333336</v>
      </c>
      <c r="AE842" s="5">
        <v>43970.333333333336</v>
      </c>
      <c r="AG842" s="5">
        <v>44044</v>
      </c>
      <c r="AH842" s="5">
        <v>44044</v>
      </c>
      <c r="AK842" s="5">
        <v>43347.333333333336</v>
      </c>
      <c r="AL842" s="5">
        <v>43347.666666666664</v>
      </c>
      <c r="AP842" t="s">
        <v>418</v>
      </c>
      <c r="AU842" t="s">
        <v>4337</v>
      </c>
      <c r="AV842" t="s">
        <v>4338</v>
      </c>
      <c r="AY842" t="s">
        <v>40</v>
      </c>
      <c r="AZ842">
        <v>0</v>
      </c>
      <c r="BA842">
        <v>0</v>
      </c>
      <c r="BI842" s="5">
        <v>44048.176388888889</v>
      </c>
      <c r="BJ842" s="5">
        <v>44048.176388888889</v>
      </c>
      <c r="BK842" t="s">
        <v>778</v>
      </c>
      <c r="BL842" t="s">
        <v>778</v>
      </c>
      <c r="BN842" t="s">
        <v>37</v>
      </c>
    </row>
    <row r="843" spans="1:66" x14ac:dyDescent="0.2">
      <c r="A843">
        <v>3693400</v>
      </c>
      <c r="B843">
        <v>21883</v>
      </c>
      <c r="C843">
        <v>523886</v>
      </c>
      <c r="D843">
        <v>52895</v>
      </c>
      <c r="E843">
        <v>100</v>
      </c>
      <c r="F843" t="s">
        <v>37</v>
      </c>
      <c r="G843">
        <v>1</v>
      </c>
      <c r="H843" t="s">
        <v>37</v>
      </c>
      <c r="I843" t="s">
        <v>37</v>
      </c>
      <c r="J843" t="s">
        <v>775</v>
      </c>
      <c r="K843" t="s">
        <v>230</v>
      </c>
      <c r="L843" t="s">
        <v>226</v>
      </c>
      <c r="M843" t="s">
        <v>422</v>
      </c>
      <c r="N843" t="s">
        <v>4339</v>
      </c>
      <c r="O843" t="s">
        <v>4340</v>
      </c>
      <c r="S843">
        <v>0</v>
      </c>
      <c r="T843">
        <v>0</v>
      </c>
      <c r="U843">
        <v>0</v>
      </c>
      <c r="V843">
        <v>0</v>
      </c>
      <c r="W843">
        <v>80</v>
      </c>
      <c r="X843">
        <v>0</v>
      </c>
      <c r="Y843">
        <v>0</v>
      </c>
      <c r="Z843">
        <v>0</v>
      </c>
      <c r="AB843" s="5">
        <v>43369.333333333336</v>
      </c>
      <c r="AC843" s="5">
        <v>43369.666666666664</v>
      </c>
      <c r="AD843" s="5">
        <v>43970.333333333336</v>
      </c>
      <c r="AE843" s="5">
        <v>43970.333333333336</v>
      </c>
      <c r="AG843" s="5">
        <v>44044</v>
      </c>
      <c r="AH843" s="5">
        <v>44044</v>
      </c>
      <c r="AK843" s="5">
        <v>43364.333333333336</v>
      </c>
      <c r="AL843" s="5">
        <v>43373.666666666664</v>
      </c>
      <c r="AP843" t="s">
        <v>418</v>
      </c>
      <c r="AU843" t="s">
        <v>4341</v>
      </c>
      <c r="AV843" t="s">
        <v>4342</v>
      </c>
      <c r="AY843" t="s">
        <v>40</v>
      </c>
      <c r="AZ843">
        <v>0</v>
      </c>
      <c r="BA843">
        <v>0</v>
      </c>
      <c r="BI843" s="5">
        <v>44048.176388888889</v>
      </c>
      <c r="BJ843" s="5">
        <v>44048.176388888889</v>
      </c>
      <c r="BK843" t="s">
        <v>778</v>
      </c>
      <c r="BL843" t="s">
        <v>778</v>
      </c>
      <c r="BN843" t="s">
        <v>37</v>
      </c>
    </row>
    <row r="844" spans="1:66" x14ac:dyDescent="0.2">
      <c r="A844">
        <v>3693401</v>
      </c>
      <c r="B844">
        <v>21883</v>
      </c>
      <c r="C844">
        <v>523886</v>
      </c>
      <c r="D844">
        <v>52899</v>
      </c>
      <c r="E844">
        <v>100</v>
      </c>
      <c r="F844" t="s">
        <v>37</v>
      </c>
      <c r="G844">
        <v>1</v>
      </c>
      <c r="H844" t="s">
        <v>37</v>
      </c>
      <c r="I844" t="s">
        <v>37</v>
      </c>
      <c r="J844" t="s">
        <v>775</v>
      </c>
      <c r="K844" t="s">
        <v>230</v>
      </c>
      <c r="L844" t="s">
        <v>226</v>
      </c>
      <c r="M844" t="s">
        <v>422</v>
      </c>
      <c r="N844" t="s">
        <v>4343</v>
      </c>
      <c r="O844" t="s">
        <v>4344</v>
      </c>
      <c r="S844">
        <v>0</v>
      </c>
      <c r="T844">
        <v>8</v>
      </c>
      <c r="U844">
        <v>0</v>
      </c>
      <c r="V844">
        <v>8</v>
      </c>
      <c r="W844">
        <v>8</v>
      </c>
      <c r="X844">
        <v>0</v>
      </c>
      <c r="Y844">
        <v>0</v>
      </c>
      <c r="Z844">
        <v>0</v>
      </c>
      <c r="AB844" s="5">
        <v>43381</v>
      </c>
      <c r="AC844" s="5">
        <v>43381</v>
      </c>
      <c r="AD844" s="5">
        <v>43970.333333333336</v>
      </c>
      <c r="AE844" s="5">
        <v>43970.333333333336</v>
      </c>
      <c r="AG844" s="5">
        <v>44044</v>
      </c>
      <c r="AH844" s="5">
        <v>44044</v>
      </c>
      <c r="AK844" s="5">
        <v>43397.333333333336</v>
      </c>
      <c r="AL844" s="5">
        <v>43397.666666666664</v>
      </c>
      <c r="AP844" t="s">
        <v>418</v>
      </c>
      <c r="AU844" t="s">
        <v>4345</v>
      </c>
      <c r="AV844" t="s">
        <v>4346</v>
      </c>
      <c r="AY844" t="s">
        <v>40</v>
      </c>
      <c r="AZ844">
        <v>8</v>
      </c>
      <c r="BA844">
        <v>0</v>
      </c>
      <c r="BI844" s="5">
        <v>44048.176388888889</v>
      </c>
      <c r="BJ844" s="5">
        <v>44048.176388888889</v>
      </c>
      <c r="BK844" t="s">
        <v>778</v>
      </c>
      <c r="BL844" t="s">
        <v>778</v>
      </c>
      <c r="BN844" t="s">
        <v>37</v>
      </c>
    </row>
    <row r="845" spans="1:66" x14ac:dyDescent="0.2">
      <c r="A845">
        <v>3693402</v>
      </c>
      <c r="B845">
        <v>21883</v>
      </c>
      <c r="C845">
        <v>523886</v>
      </c>
      <c r="D845">
        <v>52899</v>
      </c>
      <c r="E845">
        <v>100</v>
      </c>
      <c r="F845" t="s">
        <v>37</v>
      </c>
      <c r="G845">
        <v>1</v>
      </c>
      <c r="H845" t="s">
        <v>37</v>
      </c>
      <c r="I845" t="s">
        <v>37</v>
      </c>
      <c r="J845" t="s">
        <v>775</v>
      </c>
      <c r="K845" t="s">
        <v>230</v>
      </c>
      <c r="L845" t="s">
        <v>226</v>
      </c>
      <c r="M845" t="s">
        <v>422</v>
      </c>
      <c r="N845" t="s">
        <v>4347</v>
      </c>
      <c r="O845" t="s">
        <v>4348</v>
      </c>
      <c r="S845">
        <v>0</v>
      </c>
      <c r="T845">
        <v>16</v>
      </c>
      <c r="U845">
        <v>0</v>
      </c>
      <c r="V845">
        <v>16</v>
      </c>
      <c r="W845">
        <v>16</v>
      </c>
      <c r="X845">
        <v>0</v>
      </c>
      <c r="Y845">
        <v>0</v>
      </c>
      <c r="Z845">
        <v>0</v>
      </c>
      <c r="AB845" s="5">
        <v>43382</v>
      </c>
      <c r="AC845" s="5">
        <v>43382</v>
      </c>
      <c r="AD845" s="5">
        <v>43970.333333333336</v>
      </c>
      <c r="AE845" s="5">
        <v>43970.333333333336</v>
      </c>
      <c r="AG845" s="5">
        <v>44044</v>
      </c>
      <c r="AH845" s="5">
        <v>44044</v>
      </c>
      <c r="AK845" s="5">
        <v>43397.333333333336</v>
      </c>
      <c r="AL845" s="5">
        <v>43398.666666666664</v>
      </c>
      <c r="AP845" t="s">
        <v>418</v>
      </c>
      <c r="AU845" t="s">
        <v>4349</v>
      </c>
      <c r="AV845" t="s">
        <v>4350</v>
      </c>
      <c r="AY845" t="s">
        <v>40</v>
      </c>
      <c r="AZ845">
        <v>16</v>
      </c>
      <c r="BA845">
        <v>0</v>
      </c>
      <c r="BI845" s="5">
        <v>44048.176388888889</v>
      </c>
      <c r="BJ845" s="5">
        <v>44048.176388888889</v>
      </c>
      <c r="BK845" t="s">
        <v>778</v>
      </c>
      <c r="BL845" t="s">
        <v>778</v>
      </c>
      <c r="BN845" t="s">
        <v>37</v>
      </c>
    </row>
    <row r="846" spans="1:66" x14ac:dyDescent="0.2">
      <c r="A846">
        <v>3693403</v>
      </c>
      <c r="B846">
        <v>21883</v>
      </c>
      <c r="C846">
        <v>523886</v>
      </c>
      <c r="D846">
        <v>52899</v>
      </c>
      <c r="E846">
        <v>100</v>
      </c>
      <c r="F846" t="s">
        <v>37</v>
      </c>
      <c r="G846">
        <v>1</v>
      </c>
      <c r="H846" t="s">
        <v>37</v>
      </c>
      <c r="I846" t="s">
        <v>37</v>
      </c>
      <c r="J846" t="s">
        <v>775</v>
      </c>
      <c r="K846" t="s">
        <v>230</v>
      </c>
      <c r="L846" t="s">
        <v>226</v>
      </c>
      <c r="M846" t="s">
        <v>422</v>
      </c>
      <c r="N846" t="s">
        <v>4351</v>
      </c>
      <c r="O846" t="s">
        <v>4352</v>
      </c>
      <c r="S846">
        <v>0</v>
      </c>
      <c r="T846">
        <v>8</v>
      </c>
      <c r="U846">
        <v>0</v>
      </c>
      <c r="V846">
        <v>8</v>
      </c>
      <c r="W846">
        <v>8</v>
      </c>
      <c r="X846">
        <v>0</v>
      </c>
      <c r="Y846">
        <v>0</v>
      </c>
      <c r="Z846">
        <v>0</v>
      </c>
      <c r="AB846" s="5">
        <v>43404</v>
      </c>
      <c r="AC846" s="5">
        <v>43404</v>
      </c>
      <c r="AD846" s="5">
        <v>43970.333333333336</v>
      </c>
      <c r="AE846" s="5">
        <v>43970.333333333336</v>
      </c>
      <c r="AG846" s="5">
        <v>44044</v>
      </c>
      <c r="AH846" s="5">
        <v>44044</v>
      </c>
      <c r="AK846" s="5">
        <v>43418.333333333336</v>
      </c>
      <c r="AL846" s="5">
        <v>43418.666666666664</v>
      </c>
      <c r="AP846" t="s">
        <v>418</v>
      </c>
      <c r="AU846" t="s">
        <v>4353</v>
      </c>
      <c r="AV846" t="s">
        <v>4354</v>
      </c>
      <c r="AY846" t="s">
        <v>40</v>
      </c>
      <c r="AZ846">
        <v>8</v>
      </c>
      <c r="BA846">
        <v>0</v>
      </c>
      <c r="BI846" s="5">
        <v>44048.176388888889</v>
      </c>
      <c r="BJ846" s="5">
        <v>44048.176388888889</v>
      </c>
      <c r="BK846" t="s">
        <v>778</v>
      </c>
      <c r="BL846" t="s">
        <v>778</v>
      </c>
      <c r="BN846" t="s">
        <v>37</v>
      </c>
    </row>
    <row r="847" spans="1:66" x14ac:dyDescent="0.2">
      <c r="A847">
        <v>3693404</v>
      </c>
      <c r="B847">
        <v>21883</v>
      </c>
      <c r="C847">
        <v>523880</v>
      </c>
      <c r="D847">
        <v>52899</v>
      </c>
      <c r="E847">
        <v>100</v>
      </c>
      <c r="F847" t="s">
        <v>37</v>
      </c>
      <c r="G847">
        <v>1</v>
      </c>
      <c r="H847" t="s">
        <v>37</v>
      </c>
      <c r="I847" t="s">
        <v>37</v>
      </c>
      <c r="J847" t="s">
        <v>775</v>
      </c>
      <c r="K847" t="s">
        <v>230</v>
      </c>
      <c r="L847" t="s">
        <v>226</v>
      </c>
      <c r="M847" t="s">
        <v>422</v>
      </c>
      <c r="N847" t="s">
        <v>4355</v>
      </c>
      <c r="O847" t="s">
        <v>4356</v>
      </c>
      <c r="S847">
        <v>0</v>
      </c>
      <c r="T847">
        <v>0</v>
      </c>
      <c r="U847">
        <v>0</v>
      </c>
      <c r="V847">
        <v>0</v>
      </c>
      <c r="W847">
        <v>8</v>
      </c>
      <c r="X847">
        <v>0</v>
      </c>
      <c r="Y847">
        <v>0</v>
      </c>
      <c r="Z847">
        <v>0</v>
      </c>
      <c r="AB847" s="5">
        <v>43412</v>
      </c>
      <c r="AC847" s="5">
        <v>43412</v>
      </c>
      <c r="AD847" s="5">
        <v>43970.333333333336</v>
      </c>
      <c r="AE847" s="5">
        <v>43970.333333333336</v>
      </c>
      <c r="AG847" s="5">
        <v>44044</v>
      </c>
      <c r="AH847" s="5">
        <v>44044</v>
      </c>
      <c r="AK847" s="5">
        <v>43437.333333333336</v>
      </c>
      <c r="AL847" s="5">
        <v>43437.666666666664</v>
      </c>
      <c r="AP847" t="s">
        <v>418</v>
      </c>
      <c r="AU847" t="s">
        <v>4357</v>
      </c>
      <c r="AV847" t="s">
        <v>4358</v>
      </c>
      <c r="AY847" t="s">
        <v>40</v>
      </c>
      <c r="AZ847">
        <v>0</v>
      </c>
      <c r="BA847">
        <v>0</v>
      </c>
      <c r="BI847" s="5">
        <v>44048.176388888889</v>
      </c>
      <c r="BJ847" s="5">
        <v>44048.176388888889</v>
      </c>
      <c r="BK847" t="s">
        <v>778</v>
      </c>
      <c r="BL847" t="s">
        <v>778</v>
      </c>
      <c r="BN847" t="s">
        <v>37</v>
      </c>
    </row>
    <row r="848" spans="1:66" x14ac:dyDescent="0.2">
      <c r="A848">
        <v>3693405</v>
      </c>
      <c r="B848">
        <v>21883</v>
      </c>
      <c r="C848">
        <v>523879</v>
      </c>
      <c r="D848">
        <v>52899</v>
      </c>
      <c r="E848">
        <v>100</v>
      </c>
      <c r="F848" t="s">
        <v>37</v>
      </c>
      <c r="G848">
        <v>1</v>
      </c>
      <c r="H848" t="s">
        <v>37</v>
      </c>
      <c r="I848" t="s">
        <v>37</v>
      </c>
      <c r="J848" t="s">
        <v>775</v>
      </c>
      <c r="K848" t="s">
        <v>230</v>
      </c>
      <c r="L848" t="s">
        <v>226</v>
      </c>
      <c r="M848" t="s">
        <v>422</v>
      </c>
      <c r="N848" t="s">
        <v>4359</v>
      </c>
      <c r="O848" t="s">
        <v>4360</v>
      </c>
      <c r="S848">
        <v>0</v>
      </c>
      <c r="T848">
        <v>0</v>
      </c>
      <c r="U848">
        <v>0</v>
      </c>
      <c r="V848">
        <v>0</v>
      </c>
      <c r="W848">
        <v>8</v>
      </c>
      <c r="X848">
        <v>0</v>
      </c>
      <c r="Y848">
        <v>0</v>
      </c>
      <c r="Z848">
        <v>0</v>
      </c>
      <c r="AB848" s="5">
        <v>43412</v>
      </c>
      <c r="AC848" s="5">
        <v>43412</v>
      </c>
      <c r="AD848" s="5">
        <v>43970.333333333336</v>
      </c>
      <c r="AE848" s="5">
        <v>43970.333333333336</v>
      </c>
      <c r="AG848" s="5">
        <v>44044</v>
      </c>
      <c r="AH848" s="5">
        <v>44044</v>
      </c>
      <c r="AK848" s="5">
        <v>43437.333333333336</v>
      </c>
      <c r="AL848" s="5">
        <v>43437.666666666664</v>
      </c>
      <c r="AP848" t="s">
        <v>418</v>
      </c>
      <c r="AU848" t="s">
        <v>4361</v>
      </c>
      <c r="AV848" t="s">
        <v>4362</v>
      </c>
      <c r="AY848" t="s">
        <v>40</v>
      </c>
      <c r="AZ848">
        <v>0</v>
      </c>
      <c r="BA848">
        <v>0</v>
      </c>
      <c r="BI848" s="5">
        <v>44048.176388888889</v>
      </c>
      <c r="BJ848" s="5">
        <v>44048.176388888889</v>
      </c>
      <c r="BK848" t="s">
        <v>778</v>
      </c>
      <c r="BL848" t="s">
        <v>778</v>
      </c>
      <c r="BN848" t="s">
        <v>37</v>
      </c>
    </row>
    <row r="849" spans="1:66" x14ac:dyDescent="0.2">
      <c r="A849">
        <v>3693406</v>
      </c>
      <c r="B849">
        <v>21883</v>
      </c>
      <c r="C849">
        <v>523878</v>
      </c>
      <c r="D849">
        <v>52899</v>
      </c>
      <c r="E849">
        <v>100</v>
      </c>
      <c r="F849" t="s">
        <v>37</v>
      </c>
      <c r="G849">
        <v>1</v>
      </c>
      <c r="H849" t="s">
        <v>37</v>
      </c>
      <c r="I849" t="s">
        <v>37</v>
      </c>
      <c r="J849" t="s">
        <v>775</v>
      </c>
      <c r="K849" t="s">
        <v>230</v>
      </c>
      <c r="L849" t="s">
        <v>226</v>
      </c>
      <c r="M849" t="s">
        <v>422</v>
      </c>
      <c r="N849" t="s">
        <v>4363</v>
      </c>
      <c r="O849" t="s">
        <v>4364</v>
      </c>
      <c r="S849">
        <v>0</v>
      </c>
      <c r="T849">
        <v>0</v>
      </c>
      <c r="U849">
        <v>0</v>
      </c>
      <c r="V849">
        <v>0</v>
      </c>
      <c r="W849">
        <v>8</v>
      </c>
      <c r="X849">
        <v>0</v>
      </c>
      <c r="Y849">
        <v>0</v>
      </c>
      <c r="Z849">
        <v>0</v>
      </c>
      <c r="AB849" s="5">
        <v>43412</v>
      </c>
      <c r="AC849" s="5">
        <v>43412</v>
      </c>
      <c r="AD849" s="5">
        <v>43970.333333333336</v>
      </c>
      <c r="AE849" s="5">
        <v>43970.333333333336</v>
      </c>
      <c r="AG849" s="5">
        <v>44044</v>
      </c>
      <c r="AH849" s="5">
        <v>44044</v>
      </c>
      <c r="AK849" s="5">
        <v>43437.333333333336</v>
      </c>
      <c r="AL849" s="5">
        <v>43437.666666666664</v>
      </c>
      <c r="AP849" t="s">
        <v>418</v>
      </c>
      <c r="AU849" t="s">
        <v>4365</v>
      </c>
      <c r="AV849" t="s">
        <v>4366</v>
      </c>
      <c r="AY849" t="s">
        <v>40</v>
      </c>
      <c r="AZ849">
        <v>0</v>
      </c>
      <c r="BA849">
        <v>0</v>
      </c>
      <c r="BI849" s="5">
        <v>44048.176388888889</v>
      </c>
      <c r="BJ849" s="5">
        <v>44048.176388888889</v>
      </c>
      <c r="BK849" t="s">
        <v>778</v>
      </c>
      <c r="BL849" t="s">
        <v>778</v>
      </c>
      <c r="BN849" t="s">
        <v>37</v>
      </c>
    </row>
    <row r="850" spans="1:66" x14ac:dyDescent="0.2">
      <c r="A850">
        <v>3693407</v>
      </c>
      <c r="B850">
        <v>21883</v>
      </c>
      <c r="C850">
        <v>523885</v>
      </c>
      <c r="D850">
        <v>52899</v>
      </c>
      <c r="E850">
        <v>100</v>
      </c>
      <c r="F850" t="s">
        <v>37</v>
      </c>
      <c r="G850">
        <v>1</v>
      </c>
      <c r="H850" t="s">
        <v>37</v>
      </c>
      <c r="I850" t="s">
        <v>37</v>
      </c>
      <c r="J850" t="s">
        <v>775</v>
      </c>
      <c r="K850" t="s">
        <v>230</v>
      </c>
      <c r="L850" t="s">
        <v>226</v>
      </c>
      <c r="M850" t="s">
        <v>422</v>
      </c>
      <c r="N850" t="s">
        <v>4367</v>
      </c>
      <c r="O850" t="s">
        <v>4368</v>
      </c>
      <c r="S850">
        <v>0</v>
      </c>
      <c r="T850">
        <v>16</v>
      </c>
      <c r="U850">
        <v>0</v>
      </c>
      <c r="V850">
        <v>16</v>
      </c>
      <c r="W850">
        <v>16</v>
      </c>
      <c r="X850">
        <v>0</v>
      </c>
      <c r="Y850">
        <v>0</v>
      </c>
      <c r="Z850">
        <v>0</v>
      </c>
      <c r="AB850" s="5">
        <v>43472</v>
      </c>
      <c r="AC850" s="5">
        <v>43473</v>
      </c>
      <c r="AD850" s="5">
        <v>43970.333333333336</v>
      </c>
      <c r="AE850" s="5">
        <v>43970.333333333336</v>
      </c>
      <c r="AG850" s="5">
        <v>44044</v>
      </c>
      <c r="AH850" s="5">
        <v>44044</v>
      </c>
      <c r="AK850" s="5">
        <v>43497.333333333336</v>
      </c>
      <c r="AL850" s="5">
        <v>43500.666666666664</v>
      </c>
      <c r="AP850" t="s">
        <v>418</v>
      </c>
      <c r="AU850" t="s">
        <v>4369</v>
      </c>
      <c r="AV850" t="s">
        <v>4370</v>
      </c>
      <c r="AY850" t="s">
        <v>40</v>
      </c>
      <c r="AZ850">
        <v>16</v>
      </c>
      <c r="BA850">
        <v>0</v>
      </c>
      <c r="BI850" s="5">
        <v>44048.176388888889</v>
      </c>
      <c r="BJ850" s="5">
        <v>44048.176388888889</v>
      </c>
      <c r="BK850" t="s">
        <v>778</v>
      </c>
      <c r="BL850" t="s">
        <v>778</v>
      </c>
      <c r="BN850" t="s">
        <v>37</v>
      </c>
    </row>
    <row r="851" spans="1:66" x14ac:dyDescent="0.2">
      <c r="A851">
        <v>3693408</v>
      </c>
      <c r="B851">
        <v>21883</v>
      </c>
      <c r="C851">
        <v>523885</v>
      </c>
      <c r="D851">
        <v>52899</v>
      </c>
      <c r="E851">
        <v>100</v>
      </c>
      <c r="F851" t="s">
        <v>37</v>
      </c>
      <c r="G851">
        <v>1</v>
      </c>
      <c r="H851" t="s">
        <v>37</v>
      </c>
      <c r="I851" t="s">
        <v>37</v>
      </c>
      <c r="J851" t="s">
        <v>775</v>
      </c>
      <c r="K851" t="s">
        <v>230</v>
      </c>
      <c r="L851" t="s">
        <v>226</v>
      </c>
      <c r="M851" t="s">
        <v>422</v>
      </c>
      <c r="N851" t="s">
        <v>4371</v>
      </c>
      <c r="O851" t="s">
        <v>4372</v>
      </c>
      <c r="S851">
        <v>0</v>
      </c>
      <c r="T851">
        <v>16</v>
      </c>
      <c r="U851">
        <v>0</v>
      </c>
      <c r="V851">
        <v>16</v>
      </c>
      <c r="W851">
        <v>16</v>
      </c>
      <c r="X851">
        <v>0</v>
      </c>
      <c r="Y851">
        <v>0</v>
      </c>
      <c r="Z851">
        <v>0</v>
      </c>
      <c r="AB851" s="5">
        <v>43516</v>
      </c>
      <c r="AC851" s="5">
        <v>43518</v>
      </c>
      <c r="AD851" s="5">
        <v>43970.333333333336</v>
      </c>
      <c r="AE851" s="5">
        <v>43970.333333333336</v>
      </c>
      <c r="AG851" s="5">
        <v>44044</v>
      </c>
      <c r="AH851" s="5">
        <v>44044</v>
      </c>
      <c r="AK851" s="5">
        <v>43528.333333333336</v>
      </c>
      <c r="AL851" s="5">
        <v>43529.666666666664</v>
      </c>
      <c r="AP851" t="s">
        <v>418</v>
      </c>
      <c r="AU851" t="s">
        <v>4373</v>
      </c>
      <c r="AV851" t="s">
        <v>4374</v>
      </c>
      <c r="AY851" t="s">
        <v>40</v>
      </c>
      <c r="AZ851">
        <v>16</v>
      </c>
      <c r="BA851">
        <v>0</v>
      </c>
      <c r="BI851" s="5">
        <v>44048.176388888889</v>
      </c>
      <c r="BJ851" s="5">
        <v>44048.176388888889</v>
      </c>
      <c r="BK851" t="s">
        <v>778</v>
      </c>
      <c r="BL851" t="s">
        <v>778</v>
      </c>
      <c r="BN851" t="s">
        <v>37</v>
      </c>
    </row>
    <row r="852" spans="1:66" x14ac:dyDescent="0.2">
      <c r="A852">
        <v>3693409</v>
      </c>
      <c r="B852">
        <v>21883</v>
      </c>
      <c r="C852">
        <v>523885</v>
      </c>
      <c r="D852">
        <v>52899</v>
      </c>
      <c r="E852">
        <v>100</v>
      </c>
      <c r="F852" t="s">
        <v>37</v>
      </c>
      <c r="G852">
        <v>1</v>
      </c>
      <c r="H852" t="s">
        <v>37</v>
      </c>
      <c r="I852" t="s">
        <v>37</v>
      </c>
      <c r="J852" t="s">
        <v>775</v>
      </c>
      <c r="K852" t="s">
        <v>230</v>
      </c>
      <c r="L852" t="s">
        <v>226</v>
      </c>
      <c r="M852" t="s">
        <v>422</v>
      </c>
      <c r="N852" t="s">
        <v>4375</v>
      </c>
      <c r="O852" t="s">
        <v>4376</v>
      </c>
      <c r="S852">
        <v>0</v>
      </c>
      <c r="T852">
        <v>24</v>
      </c>
      <c r="U852">
        <v>0</v>
      </c>
      <c r="V852">
        <v>24</v>
      </c>
      <c r="W852">
        <v>24</v>
      </c>
      <c r="X852">
        <v>0</v>
      </c>
      <c r="Y852">
        <v>0</v>
      </c>
      <c r="Z852">
        <v>0</v>
      </c>
      <c r="AB852" s="5">
        <v>43552</v>
      </c>
      <c r="AC852" s="5">
        <v>43552</v>
      </c>
      <c r="AD852" s="5">
        <v>43970.333333333336</v>
      </c>
      <c r="AE852" s="5">
        <v>43970.333333333336</v>
      </c>
      <c r="AG852" s="5">
        <v>44044</v>
      </c>
      <c r="AH852" s="5">
        <v>44044</v>
      </c>
      <c r="AK852" s="5">
        <v>43556.333333333336</v>
      </c>
      <c r="AL852" s="5">
        <v>43558.666666666664</v>
      </c>
      <c r="AP852" t="s">
        <v>418</v>
      </c>
      <c r="AU852" t="s">
        <v>4377</v>
      </c>
      <c r="AV852" t="s">
        <v>4378</v>
      </c>
      <c r="AY852" t="s">
        <v>40</v>
      </c>
      <c r="AZ852">
        <v>24</v>
      </c>
      <c r="BA852">
        <v>0</v>
      </c>
      <c r="BI852" s="5">
        <v>44048.176388888889</v>
      </c>
      <c r="BJ852" s="5">
        <v>44048.176388888889</v>
      </c>
      <c r="BK852" t="s">
        <v>778</v>
      </c>
      <c r="BL852" t="s">
        <v>778</v>
      </c>
      <c r="BN852" t="s">
        <v>37</v>
      </c>
    </row>
    <row r="853" spans="1:66" x14ac:dyDescent="0.2">
      <c r="A853">
        <v>3693410</v>
      </c>
      <c r="B853">
        <v>21883</v>
      </c>
      <c r="C853">
        <v>523885</v>
      </c>
      <c r="D853">
        <v>52899</v>
      </c>
      <c r="E853">
        <v>100</v>
      </c>
      <c r="F853" t="s">
        <v>37</v>
      </c>
      <c r="G853">
        <v>1</v>
      </c>
      <c r="H853" t="s">
        <v>37</v>
      </c>
      <c r="I853" t="s">
        <v>37</v>
      </c>
      <c r="J853" t="s">
        <v>775</v>
      </c>
      <c r="K853" t="s">
        <v>230</v>
      </c>
      <c r="L853" t="s">
        <v>226</v>
      </c>
      <c r="M853" t="s">
        <v>422</v>
      </c>
      <c r="N853" t="s">
        <v>4379</v>
      </c>
      <c r="O853" t="s">
        <v>4380</v>
      </c>
      <c r="S853">
        <v>0</v>
      </c>
      <c r="T853">
        <v>16</v>
      </c>
      <c r="U853">
        <v>0</v>
      </c>
      <c r="V853">
        <v>16</v>
      </c>
      <c r="W853">
        <v>16</v>
      </c>
      <c r="X853">
        <v>0</v>
      </c>
      <c r="Y853">
        <v>0</v>
      </c>
      <c r="Z853">
        <v>0</v>
      </c>
      <c r="AB853" s="5">
        <v>43546</v>
      </c>
      <c r="AC853" s="5">
        <v>43546</v>
      </c>
      <c r="AD853" s="5">
        <v>43970.333333333336</v>
      </c>
      <c r="AE853" s="5">
        <v>43970.333333333336</v>
      </c>
      <c r="AG853" s="5">
        <v>44044</v>
      </c>
      <c r="AH853" s="5">
        <v>44044</v>
      </c>
      <c r="AK853" s="5">
        <v>43557.333333333336</v>
      </c>
      <c r="AL853" s="5">
        <v>43558.666666666664</v>
      </c>
      <c r="AP853" t="s">
        <v>418</v>
      </c>
      <c r="AU853" t="s">
        <v>4381</v>
      </c>
      <c r="AV853" t="s">
        <v>4382</v>
      </c>
      <c r="AY853" t="s">
        <v>40</v>
      </c>
      <c r="AZ853">
        <v>16</v>
      </c>
      <c r="BA853">
        <v>0</v>
      </c>
      <c r="BI853" s="5">
        <v>44048.176388888889</v>
      </c>
      <c r="BJ853" s="5">
        <v>44048.176388888889</v>
      </c>
      <c r="BK853" t="s">
        <v>778</v>
      </c>
      <c r="BL853" t="s">
        <v>778</v>
      </c>
      <c r="BN853" t="s">
        <v>37</v>
      </c>
    </row>
    <row r="854" spans="1:66" x14ac:dyDescent="0.2">
      <c r="A854">
        <v>3693411</v>
      </c>
      <c r="B854">
        <v>21883</v>
      </c>
      <c r="C854">
        <v>523885</v>
      </c>
      <c r="D854">
        <v>52899</v>
      </c>
      <c r="E854">
        <v>100</v>
      </c>
      <c r="F854" t="s">
        <v>37</v>
      </c>
      <c r="G854">
        <v>1</v>
      </c>
      <c r="H854" t="s">
        <v>37</v>
      </c>
      <c r="I854" t="s">
        <v>37</v>
      </c>
      <c r="J854" t="s">
        <v>775</v>
      </c>
      <c r="K854" t="s">
        <v>230</v>
      </c>
      <c r="L854" t="s">
        <v>226</v>
      </c>
      <c r="M854" t="s">
        <v>422</v>
      </c>
      <c r="N854" t="s">
        <v>4383</v>
      </c>
      <c r="O854" t="s">
        <v>4384</v>
      </c>
      <c r="S854">
        <v>0</v>
      </c>
      <c r="T854">
        <v>16</v>
      </c>
      <c r="U854">
        <v>0</v>
      </c>
      <c r="V854">
        <v>16</v>
      </c>
      <c r="W854">
        <v>16</v>
      </c>
      <c r="X854">
        <v>0</v>
      </c>
      <c r="Y854">
        <v>0</v>
      </c>
      <c r="Z854">
        <v>0</v>
      </c>
      <c r="AB854" s="5">
        <v>43549</v>
      </c>
      <c r="AC854" s="5">
        <v>43549</v>
      </c>
      <c r="AD854" s="5">
        <v>43970.333333333336</v>
      </c>
      <c r="AE854" s="5">
        <v>43970.333333333336</v>
      </c>
      <c r="AG854" s="5">
        <v>44044</v>
      </c>
      <c r="AH854" s="5">
        <v>44044</v>
      </c>
      <c r="AK854" s="5">
        <v>43557.333333333336</v>
      </c>
      <c r="AL854" s="5">
        <v>43558.666666666664</v>
      </c>
      <c r="AP854" t="s">
        <v>418</v>
      </c>
      <c r="AU854" t="s">
        <v>4385</v>
      </c>
      <c r="AV854" t="s">
        <v>4386</v>
      </c>
      <c r="AY854" t="s">
        <v>40</v>
      </c>
      <c r="AZ854">
        <v>16</v>
      </c>
      <c r="BA854">
        <v>0</v>
      </c>
      <c r="BI854" s="5">
        <v>44048.176388888889</v>
      </c>
      <c r="BJ854" s="5">
        <v>44048.176388888889</v>
      </c>
      <c r="BK854" t="s">
        <v>778</v>
      </c>
      <c r="BL854" t="s">
        <v>778</v>
      </c>
      <c r="BN854" t="s">
        <v>37</v>
      </c>
    </row>
    <row r="855" spans="1:66" x14ac:dyDescent="0.2">
      <c r="A855">
        <v>3693412</v>
      </c>
      <c r="B855">
        <v>21883</v>
      </c>
      <c r="C855">
        <v>523885</v>
      </c>
      <c r="D855">
        <v>52899</v>
      </c>
      <c r="E855">
        <v>100</v>
      </c>
      <c r="F855" t="s">
        <v>37</v>
      </c>
      <c r="G855">
        <v>1</v>
      </c>
      <c r="H855" t="s">
        <v>37</v>
      </c>
      <c r="I855" t="s">
        <v>37</v>
      </c>
      <c r="J855" t="s">
        <v>775</v>
      </c>
      <c r="K855" t="s">
        <v>230</v>
      </c>
      <c r="L855" t="s">
        <v>226</v>
      </c>
      <c r="M855" t="s">
        <v>422</v>
      </c>
      <c r="N855" t="s">
        <v>4387</v>
      </c>
      <c r="O855" t="s">
        <v>4388</v>
      </c>
      <c r="S855">
        <v>0</v>
      </c>
      <c r="T855">
        <v>8</v>
      </c>
      <c r="U855">
        <v>0</v>
      </c>
      <c r="V855">
        <v>8</v>
      </c>
      <c r="W855">
        <v>8</v>
      </c>
      <c r="X855">
        <v>0</v>
      </c>
      <c r="Y855">
        <v>0</v>
      </c>
      <c r="Z855">
        <v>0</v>
      </c>
      <c r="AB855" s="5">
        <v>43601</v>
      </c>
      <c r="AC855" s="5">
        <v>43601</v>
      </c>
      <c r="AD855" s="5">
        <v>43970.333333333336</v>
      </c>
      <c r="AE855" s="5">
        <v>43970.333333333336</v>
      </c>
      <c r="AG855" s="5">
        <v>44044</v>
      </c>
      <c r="AH855" s="5">
        <v>44044</v>
      </c>
      <c r="AK855" s="5">
        <v>43619.333333333336</v>
      </c>
      <c r="AL855" s="5">
        <v>43619.666666666664</v>
      </c>
      <c r="AP855" t="s">
        <v>418</v>
      </c>
      <c r="AU855" t="s">
        <v>4389</v>
      </c>
      <c r="AV855" t="s">
        <v>4390</v>
      </c>
      <c r="AY855" t="s">
        <v>40</v>
      </c>
      <c r="AZ855">
        <v>0</v>
      </c>
      <c r="BA855">
        <v>0</v>
      </c>
      <c r="BI855" s="5">
        <v>44048.176388888889</v>
      </c>
      <c r="BJ855" s="5">
        <v>44048.176388888889</v>
      </c>
      <c r="BK855" t="s">
        <v>778</v>
      </c>
      <c r="BL855" t="s">
        <v>778</v>
      </c>
      <c r="BN855" t="s">
        <v>37</v>
      </c>
    </row>
    <row r="856" spans="1:66" x14ac:dyDescent="0.2">
      <c r="A856">
        <v>3693413</v>
      </c>
      <c r="B856">
        <v>21883</v>
      </c>
      <c r="C856">
        <v>523885</v>
      </c>
      <c r="D856">
        <v>52899</v>
      </c>
      <c r="E856">
        <v>100</v>
      </c>
      <c r="F856" t="s">
        <v>37</v>
      </c>
      <c r="G856">
        <v>1</v>
      </c>
      <c r="H856" t="s">
        <v>37</v>
      </c>
      <c r="I856" t="s">
        <v>37</v>
      </c>
      <c r="J856" t="s">
        <v>775</v>
      </c>
      <c r="K856" t="s">
        <v>230</v>
      </c>
      <c r="L856" t="s">
        <v>226</v>
      </c>
      <c r="M856" t="s">
        <v>422</v>
      </c>
      <c r="N856" t="s">
        <v>4391</v>
      </c>
      <c r="O856" t="s">
        <v>4392</v>
      </c>
      <c r="S856">
        <v>0</v>
      </c>
      <c r="T856">
        <v>16</v>
      </c>
      <c r="U856">
        <v>0</v>
      </c>
      <c r="V856">
        <v>16</v>
      </c>
      <c r="W856">
        <v>16</v>
      </c>
      <c r="X856">
        <v>0</v>
      </c>
      <c r="Y856">
        <v>0</v>
      </c>
      <c r="Z856">
        <v>0</v>
      </c>
      <c r="AB856" s="5">
        <v>43585</v>
      </c>
      <c r="AC856" s="5">
        <v>43586</v>
      </c>
      <c r="AD856" s="5">
        <v>43970.333333333336</v>
      </c>
      <c r="AE856" s="5">
        <v>43970.333333333336</v>
      </c>
      <c r="AG856" s="5">
        <v>44044</v>
      </c>
      <c r="AH856" s="5">
        <v>44044</v>
      </c>
      <c r="AK856" s="5">
        <v>43591.333333333336</v>
      </c>
      <c r="AL856" s="5">
        <v>43592.666666666664</v>
      </c>
      <c r="AP856" t="s">
        <v>418</v>
      </c>
      <c r="AU856" t="s">
        <v>4393</v>
      </c>
      <c r="AV856" t="e" cm="1">
        <f t="array" ref="AV856">+rJ5vaUvYUupxS22KLFz8Q</f>
        <v>#NAME?</v>
      </c>
      <c r="AY856" t="s">
        <v>40</v>
      </c>
      <c r="AZ856">
        <v>0</v>
      </c>
      <c r="BA856">
        <v>0</v>
      </c>
      <c r="BI856" s="5">
        <v>44048.176388888889</v>
      </c>
      <c r="BJ856" s="5">
        <v>44048.176388888889</v>
      </c>
      <c r="BK856" t="s">
        <v>778</v>
      </c>
      <c r="BL856" t="s">
        <v>778</v>
      </c>
      <c r="BN856" t="s">
        <v>37</v>
      </c>
    </row>
    <row r="857" spans="1:66" x14ac:dyDescent="0.2">
      <c r="A857">
        <v>3693414</v>
      </c>
      <c r="B857">
        <v>21883</v>
      </c>
      <c r="C857">
        <v>523884</v>
      </c>
      <c r="D857">
        <v>52899</v>
      </c>
      <c r="E857">
        <v>100</v>
      </c>
      <c r="F857" t="s">
        <v>37</v>
      </c>
      <c r="G857">
        <v>1</v>
      </c>
      <c r="H857" t="s">
        <v>37</v>
      </c>
      <c r="I857" t="s">
        <v>37</v>
      </c>
      <c r="J857" t="s">
        <v>775</v>
      </c>
      <c r="K857" t="s">
        <v>230</v>
      </c>
      <c r="L857" t="s">
        <v>226</v>
      </c>
      <c r="M857" t="s">
        <v>422</v>
      </c>
      <c r="N857" t="s">
        <v>4394</v>
      </c>
      <c r="O857" t="s">
        <v>4395</v>
      </c>
      <c r="S857">
        <v>0</v>
      </c>
      <c r="T857">
        <v>16</v>
      </c>
      <c r="U857">
        <v>0</v>
      </c>
      <c r="V857">
        <v>16</v>
      </c>
      <c r="W857">
        <v>16</v>
      </c>
      <c r="X857">
        <v>0</v>
      </c>
      <c r="Y857">
        <v>0</v>
      </c>
      <c r="Z857">
        <v>0</v>
      </c>
      <c r="AB857" s="5">
        <v>43473</v>
      </c>
      <c r="AC857" s="5">
        <v>43474</v>
      </c>
      <c r="AD857" s="5">
        <v>43970.333333333336</v>
      </c>
      <c r="AE857" s="5">
        <v>43970.333333333336</v>
      </c>
      <c r="AG857" s="5">
        <v>44044</v>
      </c>
      <c r="AH857" s="5">
        <v>44044</v>
      </c>
      <c r="AK857" s="5">
        <v>43502.333333333336</v>
      </c>
      <c r="AL857" s="5">
        <v>43503.666666666664</v>
      </c>
      <c r="AP857" t="s">
        <v>418</v>
      </c>
      <c r="AU857" t="s">
        <v>4396</v>
      </c>
      <c r="AV857" t="s">
        <v>4397</v>
      </c>
      <c r="AY857" t="s">
        <v>40</v>
      </c>
      <c r="AZ857">
        <v>16</v>
      </c>
      <c r="BA857">
        <v>0</v>
      </c>
      <c r="BI857" s="5">
        <v>44048.176388888889</v>
      </c>
      <c r="BJ857" s="5">
        <v>44048.176388888889</v>
      </c>
      <c r="BK857" t="s">
        <v>778</v>
      </c>
      <c r="BL857" t="s">
        <v>778</v>
      </c>
      <c r="BN857" t="s">
        <v>37</v>
      </c>
    </row>
    <row r="858" spans="1:66" x14ac:dyDescent="0.2">
      <c r="A858">
        <v>3693415</v>
      </c>
      <c r="B858">
        <v>21883</v>
      </c>
      <c r="C858">
        <v>523884</v>
      </c>
      <c r="D858">
        <v>52899</v>
      </c>
      <c r="E858">
        <v>100</v>
      </c>
      <c r="F858" t="s">
        <v>37</v>
      </c>
      <c r="G858">
        <v>1</v>
      </c>
      <c r="H858" t="s">
        <v>37</v>
      </c>
      <c r="I858" t="s">
        <v>37</v>
      </c>
      <c r="J858" t="s">
        <v>775</v>
      </c>
      <c r="K858" t="s">
        <v>230</v>
      </c>
      <c r="L858" t="s">
        <v>226</v>
      </c>
      <c r="M858" t="s">
        <v>422</v>
      </c>
      <c r="N858" t="s">
        <v>4398</v>
      </c>
      <c r="O858" t="s">
        <v>4399</v>
      </c>
      <c r="S858">
        <v>0</v>
      </c>
      <c r="T858">
        <v>16</v>
      </c>
      <c r="U858">
        <v>0</v>
      </c>
      <c r="V858">
        <v>16</v>
      </c>
      <c r="W858">
        <v>16</v>
      </c>
      <c r="X858">
        <v>0</v>
      </c>
      <c r="Y858">
        <v>0</v>
      </c>
      <c r="Z858">
        <v>0</v>
      </c>
      <c r="AB858" s="5">
        <v>43514</v>
      </c>
      <c r="AC858" s="5">
        <v>43517</v>
      </c>
      <c r="AD858" s="5">
        <v>43970.333333333336</v>
      </c>
      <c r="AE858" s="5">
        <v>43970.333333333336</v>
      </c>
      <c r="AG858" s="5">
        <v>44044</v>
      </c>
      <c r="AH858" s="5">
        <v>44044</v>
      </c>
      <c r="AK858" s="5">
        <v>43528.333333333336</v>
      </c>
      <c r="AL858" s="5">
        <v>43529.666666666664</v>
      </c>
      <c r="AP858" t="s">
        <v>418</v>
      </c>
      <c r="AU858" t="s">
        <v>4400</v>
      </c>
      <c r="AV858" t="s">
        <v>4401</v>
      </c>
      <c r="AY858" t="s">
        <v>40</v>
      </c>
      <c r="AZ858">
        <v>16</v>
      </c>
      <c r="BA858">
        <v>0</v>
      </c>
      <c r="BI858" s="5">
        <v>44048.176388888889</v>
      </c>
      <c r="BJ858" s="5">
        <v>44048.176388888889</v>
      </c>
      <c r="BK858" t="s">
        <v>778</v>
      </c>
      <c r="BL858" t="s">
        <v>778</v>
      </c>
      <c r="BN858" t="s">
        <v>37</v>
      </c>
    </row>
    <row r="859" spans="1:66" x14ac:dyDescent="0.2">
      <c r="A859">
        <v>3693416</v>
      </c>
      <c r="B859">
        <v>21883</v>
      </c>
      <c r="C859">
        <v>523884</v>
      </c>
      <c r="D859">
        <v>52899</v>
      </c>
      <c r="E859">
        <v>100</v>
      </c>
      <c r="F859" t="s">
        <v>37</v>
      </c>
      <c r="G859">
        <v>1</v>
      </c>
      <c r="H859" t="s">
        <v>37</v>
      </c>
      <c r="I859" t="s">
        <v>37</v>
      </c>
      <c r="J859" t="s">
        <v>775</v>
      </c>
      <c r="K859" t="s">
        <v>230</v>
      </c>
      <c r="L859" t="s">
        <v>226</v>
      </c>
      <c r="M859" t="s">
        <v>422</v>
      </c>
      <c r="N859" t="s">
        <v>4402</v>
      </c>
      <c r="O859" t="s">
        <v>4403</v>
      </c>
      <c r="S859">
        <v>0</v>
      </c>
      <c r="T859">
        <v>24</v>
      </c>
      <c r="U859">
        <v>0</v>
      </c>
      <c r="V859">
        <v>24</v>
      </c>
      <c r="W859">
        <v>24</v>
      </c>
      <c r="X859">
        <v>0</v>
      </c>
      <c r="Y859">
        <v>0</v>
      </c>
      <c r="Z859">
        <v>0</v>
      </c>
      <c r="AB859" s="5">
        <v>43552</v>
      </c>
      <c r="AC859" s="5">
        <v>43552</v>
      </c>
      <c r="AD859" s="5">
        <v>43970.333333333336</v>
      </c>
      <c r="AE859" s="5">
        <v>43970.333333333336</v>
      </c>
      <c r="AG859" s="5">
        <v>44044</v>
      </c>
      <c r="AH859" s="5">
        <v>44044</v>
      </c>
      <c r="AK859" s="5">
        <v>43556.333333333336</v>
      </c>
      <c r="AL859" s="5">
        <v>43558.666666666664</v>
      </c>
      <c r="AP859" t="s">
        <v>418</v>
      </c>
      <c r="AU859" t="s">
        <v>4404</v>
      </c>
      <c r="AV859" t="s">
        <v>4405</v>
      </c>
      <c r="AY859" t="s">
        <v>40</v>
      </c>
      <c r="AZ859">
        <v>24</v>
      </c>
      <c r="BA859">
        <v>0</v>
      </c>
      <c r="BI859" s="5">
        <v>44048.176388888889</v>
      </c>
      <c r="BJ859" s="5">
        <v>44048.176388888889</v>
      </c>
      <c r="BK859" t="s">
        <v>778</v>
      </c>
      <c r="BL859" t="s">
        <v>778</v>
      </c>
      <c r="BN859" t="s">
        <v>37</v>
      </c>
    </row>
    <row r="860" spans="1:66" x14ac:dyDescent="0.2">
      <c r="A860">
        <v>3693417</v>
      </c>
      <c r="B860">
        <v>21883</v>
      </c>
      <c r="C860">
        <v>523884</v>
      </c>
      <c r="D860">
        <v>52899</v>
      </c>
      <c r="E860">
        <v>100</v>
      </c>
      <c r="F860" t="s">
        <v>37</v>
      </c>
      <c r="G860">
        <v>1</v>
      </c>
      <c r="H860" t="s">
        <v>37</v>
      </c>
      <c r="I860" t="s">
        <v>37</v>
      </c>
      <c r="J860" t="s">
        <v>775</v>
      </c>
      <c r="K860" t="s">
        <v>230</v>
      </c>
      <c r="L860" t="s">
        <v>226</v>
      </c>
      <c r="M860" t="s">
        <v>422</v>
      </c>
      <c r="N860" t="s">
        <v>4406</v>
      </c>
      <c r="O860" t="s">
        <v>4407</v>
      </c>
      <c r="S860">
        <v>0</v>
      </c>
      <c r="T860">
        <v>16</v>
      </c>
      <c r="U860">
        <v>0</v>
      </c>
      <c r="V860">
        <v>16</v>
      </c>
      <c r="W860">
        <v>16</v>
      </c>
      <c r="X860">
        <v>0</v>
      </c>
      <c r="Y860">
        <v>0</v>
      </c>
      <c r="Z860">
        <v>0</v>
      </c>
      <c r="AB860" s="5">
        <v>43536</v>
      </c>
      <c r="AC860" s="5">
        <v>43536</v>
      </c>
      <c r="AD860" s="5">
        <v>43970.333333333336</v>
      </c>
      <c r="AE860" s="5">
        <v>43970.333333333336</v>
      </c>
      <c r="AG860" s="5">
        <v>44044</v>
      </c>
      <c r="AH860" s="5">
        <v>44044</v>
      </c>
      <c r="AK860" s="5">
        <v>43559.333333333336</v>
      </c>
      <c r="AL860" s="5">
        <v>43560.666666666664</v>
      </c>
      <c r="AP860" t="s">
        <v>418</v>
      </c>
      <c r="AU860" t="s">
        <v>4408</v>
      </c>
      <c r="AV860" t="s">
        <v>4409</v>
      </c>
      <c r="AY860" t="s">
        <v>40</v>
      </c>
      <c r="AZ860">
        <v>16</v>
      </c>
      <c r="BA860">
        <v>0</v>
      </c>
      <c r="BI860" s="5">
        <v>44048.176388888889</v>
      </c>
      <c r="BJ860" s="5">
        <v>44048.176388888889</v>
      </c>
      <c r="BK860" t="s">
        <v>778</v>
      </c>
      <c r="BL860" t="s">
        <v>778</v>
      </c>
      <c r="BN860" t="s">
        <v>37</v>
      </c>
    </row>
    <row r="861" spans="1:66" x14ac:dyDescent="0.2">
      <c r="A861">
        <v>3693418</v>
      </c>
      <c r="B861">
        <v>21883</v>
      </c>
      <c r="C861">
        <v>523884</v>
      </c>
      <c r="D861">
        <v>52899</v>
      </c>
      <c r="E861">
        <v>100</v>
      </c>
      <c r="F861" t="s">
        <v>37</v>
      </c>
      <c r="G861">
        <v>1</v>
      </c>
      <c r="H861" t="s">
        <v>37</v>
      </c>
      <c r="I861" t="s">
        <v>37</v>
      </c>
      <c r="J861" t="s">
        <v>775</v>
      </c>
      <c r="K861" t="s">
        <v>230</v>
      </c>
      <c r="L861" t="s">
        <v>226</v>
      </c>
      <c r="M861" t="s">
        <v>422</v>
      </c>
      <c r="N861" t="s">
        <v>4410</v>
      </c>
      <c r="O861" t="s">
        <v>4411</v>
      </c>
      <c r="S861">
        <v>0</v>
      </c>
      <c r="T861">
        <v>16</v>
      </c>
      <c r="U861">
        <v>0</v>
      </c>
      <c r="V861">
        <v>16</v>
      </c>
      <c r="W861">
        <v>16</v>
      </c>
      <c r="X861">
        <v>0</v>
      </c>
      <c r="Y861">
        <v>0</v>
      </c>
      <c r="Z861">
        <v>0</v>
      </c>
      <c r="AB861" s="5">
        <v>43536</v>
      </c>
      <c r="AC861" s="5">
        <v>43536</v>
      </c>
      <c r="AD861" s="5">
        <v>43970.333333333336</v>
      </c>
      <c r="AE861" s="5">
        <v>43970.333333333336</v>
      </c>
      <c r="AG861" s="5">
        <v>44044</v>
      </c>
      <c r="AH861" s="5">
        <v>44044</v>
      </c>
      <c r="AK861" s="5">
        <v>43559.333333333336</v>
      </c>
      <c r="AL861" s="5">
        <v>43560.666666666664</v>
      </c>
      <c r="AP861" t="s">
        <v>418</v>
      </c>
      <c r="AU861" t="s">
        <v>4412</v>
      </c>
      <c r="AV861" t="e" cm="1">
        <f t="array" ref="AV861">+qJqithkBUqhcSPnPW429Q</f>
        <v>#NAME?</v>
      </c>
      <c r="AY861" t="s">
        <v>40</v>
      </c>
      <c r="AZ861">
        <v>16</v>
      </c>
      <c r="BA861">
        <v>0</v>
      </c>
      <c r="BI861" s="5">
        <v>44048.176388888889</v>
      </c>
      <c r="BJ861" s="5">
        <v>44048.176388888889</v>
      </c>
      <c r="BK861" t="s">
        <v>778</v>
      </c>
      <c r="BL861" t="s">
        <v>778</v>
      </c>
      <c r="BN861" t="s">
        <v>37</v>
      </c>
    </row>
    <row r="862" spans="1:66" x14ac:dyDescent="0.2">
      <c r="A862">
        <v>3693419</v>
      </c>
      <c r="B862">
        <v>21883</v>
      </c>
      <c r="C862">
        <v>523884</v>
      </c>
      <c r="D862">
        <v>52899</v>
      </c>
      <c r="E862">
        <v>100</v>
      </c>
      <c r="F862" t="s">
        <v>37</v>
      </c>
      <c r="G862">
        <v>1</v>
      </c>
      <c r="H862" t="s">
        <v>37</v>
      </c>
      <c r="I862" t="s">
        <v>37</v>
      </c>
      <c r="J862" t="s">
        <v>775</v>
      </c>
      <c r="K862" t="s">
        <v>230</v>
      </c>
      <c r="L862" t="s">
        <v>226</v>
      </c>
      <c r="M862" t="s">
        <v>422</v>
      </c>
      <c r="N862" t="s">
        <v>4413</v>
      </c>
      <c r="O862" t="s">
        <v>4414</v>
      </c>
      <c r="S862">
        <v>0</v>
      </c>
      <c r="T862">
        <v>8</v>
      </c>
      <c r="U862">
        <v>0</v>
      </c>
      <c r="V862">
        <v>8</v>
      </c>
      <c r="W862">
        <v>8</v>
      </c>
      <c r="X862">
        <v>0</v>
      </c>
      <c r="Y862">
        <v>0</v>
      </c>
      <c r="Z862">
        <v>0</v>
      </c>
      <c r="AB862" s="5">
        <v>43601</v>
      </c>
      <c r="AC862" s="5">
        <v>43601</v>
      </c>
      <c r="AD862" s="5">
        <v>43970.333333333336</v>
      </c>
      <c r="AE862" s="5">
        <v>43970.333333333336</v>
      </c>
      <c r="AG862" s="5">
        <v>44044</v>
      </c>
      <c r="AH862" s="5">
        <v>44044</v>
      </c>
      <c r="AK862" s="5">
        <v>43619.333333333336</v>
      </c>
      <c r="AL862" s="5">
        <v>43619.666666666664</v>
      </c>
      <c r="AP862" t="s">
        <v>418</v>
      </c>
      <c r="AU862" t="s">
        <v>4415</v>
      </c>
      <c r="AV862" t="s">
        <v>4416</v>
      </c>
      <c r="AY862" t="s">
        <v>40</v>
      </c>
      <c r="AZ862">
        <v>0</v>
      </c>
      <c r="BA862">
        <v>0</v>
      </c>
      <c r="BI862" s="5">
        <v>44048.176388888889</v>
      </c>
      <c r="BJ862" s="5">
        <v>44048.176388888889</v>
      </c>
      <c r="BK862" t="s">
        <v>778</v>
      </c>
      <c r="BL862" t="s">
        <v>778</v>
      </c>
      <c r="BN862" t="s">
        <v>37</v>
      </c>
    </row>
    <row r="863" spans="1:66" x14ac:dyDescent="0.2">
      <c r="A863">
        <v>3693420</v>
      </c>
      <c r="B863">
        <v>21883</v>
      </c>
      <c r="C863">
        <v>523884</v>
      </c>
      <c r="D863">
        <v>52899</v>
      </c>
      <c r="E863">
        <v>100</v>
      </c>
      <c r="F863" t="s">
        <v>37</v>
      </c>
      <c r="G863">
        <v>1</v>
      </c>
      <c r="H863" t="s">
        <v>37</v>
      </c>
      <c r="I863" t="s">
        <v>37</v>
      </c>
      <c r="J863" t="s">
        <v>775</v>
      </c>
      <c r="K863" t="s">
        <v>230</v>
      </c>
      <c r="L863" t="s">
        <v>226</v>
      </c>
      <c r="M863" t="s">
        <v>422</v>
      </c>
      <c r="N863" t="s">
        <v>4417</v>
      </c>
      <c r="O863" t="s">
        <v>4418</v>
      </c>
      <c r="S863">
        <v>0</v>
      </c>
      <c r="T863">
        <v>16</v>
      </c>
      <c r="U863">
        <v>0</v>
      </c>
      <c r="V863">
        <v>16</v>
      </c>
      <c r="W863">
        <v>16</v>
      </c>
      <c r="X863">
        <v>0</v>
      </c>
      <c r="Y863">
        <v>0</v>
      </c>
      <c r="Z863">
        <v>0</v>
      </c>
      <c r="AB863" s="5">
        <v>43588</v>
      </c>
      <c r="AC863" s="5">
        <v>43588</v>
      </c>
      <c r="AD863" s="5">
        <v>43970.333333333336</v>
      </c>
      <c r="AE863" s="5">
        <v>43970.333333333336</v>
      </c>
      <c r="AG863" s="5">
        <v>44044</v>
      </c>
      <c r="AH863" s="5">
        <v>44044</v>
      </c>
      <c r="AK863" s="5">
        <v>43621.333333333336</v>
      </c>
      <c r="AL863" s="5">
        <v>43622.666666666664</v>
      </c>
      <c r="AP863" t="s">
        <v>418</v>
      </c>
      <c r="AU863" t="s">
        <v>4419</v>
      </c>
      <c r="AV863" t="s">
        <v>4420</v>
      </c>
      <c r="AY863" t="s">
        <v>40</v>
      </c>
      <c r="AZ863">
        <v>0</v>
      </c>
      <c r="BA863">
        <v>0</v>
      </c>
      <c r="BI863" s="5">
        <v>44048.176388888889</v>
      </c>
      <c r="BJ863" s="5">
        <v>44048.176388888889</v>
      </c>
      <c r="BK863" t="s">
        <v>778</v>
      </c>
      <c r="BL863" t="s">
        <v>778</v>
      </c>
      <c r="BN863" t="s">
        <v>37</v>
      </c>
    </row>
    <row r="864" spans="1:66" x14ac:dyDescent="0.2">
      <c r="A864">
        <v>3693421</v>
      </c>
      <c r="B864">
        <v>21883</v>
      </c>
      <c r="C864">
        <v>523883</v>
      </c>
      <c r="D864">
        <v>52899</v>
      </c>
      <c r="E864">
        <v>100</v>
      </c>
      <c r="F864" t="s">
        <v>37</v>
      </c>
      <c r="G864">
        <v>1</v>
      </c>
      <c r="H864" t="s">
        <v>37</v>
      </c>
      <c r="I864" t="s">
        <v>37</v>
      </c>
      <c r="J864" t="s">
        <v>775</v>
      </c>
      <c r="K864" t="s">
        <v>230</v>
      </c>
      <c r="L864" t="s">
        <v>226</v>
      </c>
      <c r="M864" t="s">
        <v>422</v>
      </c>
      <c r="N864" t="s">
        <v>4421</v>
      </c>
      <c r="O864" t="s">
        <v>4422</v>
      </c>
      <c r="S864">
        <v>0</v>
      </c>
      <c r="T864">
        <v>16</v>
      </c>
      <c r="U864">
        <v>0</v>
      </c>
      <c r="V864">
        <v>16</v>
      </c>
      <c r="W864">
        <v>16</v>
      </c>
      <c r="X864">
        <v>0</v>
      </c>
      <c r="Y864">
        <v>0</v>
      </c>
      <c r="Z864">
        <v>0</v>
      </c>
      <c r="AB864" s="5">
        <v>43475</v>
      </c>
      <c r="AC864" s="5">
        <v>43476</v>
      </c>
      <c r="AD864" s="5">
        <v>43970.333333333336</v>
      </c>
      <c r="AE864" s="5">
        <v>43970.333333333336</v>
      </c>
      <c r="AG864" s="5">
        <v>44044</v>
      </c>
      <c r="AH864" s="5">
        <v>44044</v>
      </c>
      <c r="AK864" s="5">
        <v>43508.333333333336</v>
      </c>
      <c r="AL864" s="5">
        <v>43509.666666666664</v>
      </c>
      <c r="AP864" t="s">
        <v>418</v>
      </c>
      <c r="AU864" t="s">
        <v>4423</v>
      </c>
      <c r="AV864" t="s">
        <v>4424</v>
      </c>
      <c r="AY864" t="s">
        <v>40</v>
      </c>
      <c r="AZ864">
        <v>16</v>
      </c>
      <c r="BA864">
        <v>0</v>
      </c>
      <c r="BI864" s="5">
        <v>44048.176388888889</v>
      </c>
      <c r="BJ864" s="5">
        <v>44048.176388888889</v>
      </c>
      <c r="BK864" t="s">
        <v>778</v>
      </c>
      <c r="BL864" t="s">
        <v>778</v>
      </c>
      <c r="BN864" t="s">
        <v>37</v>
      </c>
    </row>
    <row r="865" spans="1:66" x14ac:dyDescent="0.2">
      <c r="A865">
        <v>3693422</v>
      </c>
      <c r="B865">
        <v>21883</v>
      </c>
      <c r="C865">
        <v>523883</v>
      </c>
      <c r="D865">
        <v>52899</v>
      </c>
      <c r="E865">
        <v>100</v>
      </c>
      <c r="F865" t="s">
        <v>37</v>
      </c>
      <c r="G865">
        <v>1</v>
      </c>
      <c r="H865" t="s">
        <v>37</v>
      </c>
      <c r="I865" t="s">
        <v>37</v>
      </c>
      <c r="J865" t="s">
        <v>775</v>
      </c>
      <c r="K865" t="s">
        <v>230</v>
      </c>
      <c r="L865" t="s">
        <v>226</v>
      </c>
      <c r="M865" t="s">
        <v>422</v>
      </c>
      <c r="N865" t="s">
        <v>4425</v>
      </c>
      <c r="O865" t="s">
        <v>4426</v>
      </c>
      <c r="S865">
        <v>0</v>
      </c>
      <c r="T865">
        <v>16</v>
      </c>
      <c r="U865">
        <v>0</v>
      </c>
      <c r="V865">
        <v>16</v>
      </c>
      <c r="W865">
        <v>16</v>
      </c>
      <c r="X865">
        <v>0</v>
      </c>
      <c r="Y865">
        <v>0</v>
      </c>
      <c r="Z865">
        <v>0</v>
      </c>
      <c r="AB865" s="5">
        <v>43502</v>
      </c>
      <c r="AC865" s="5">
        <v>43503</v>
      </c>
      <c r="AD865" s="5">
        <v>43970.333333333336</v>
      </c>
      <c r="AE865" s="5">
        <v>43970.333333333336</v>
      </c>
      <c r="AG865" s="5">
        <v>44044</v>
      </c>
      <c r="AH865" s="5">
        <v>44044</v>
      </c>
      <c r="AK865" s="5">
        <v>43528.333333333336</v>
      </c>
      <c r="AL865" s="5">
        <v>43529.666666666664</v>
      </c>
      <c r="AP865" t="s">
        <v>418</v>
      </c>
      <c r="AU865" t="s">
        <v>4427</v>
      </c>
      <c r="AV865" t="s">
        <v>4428</v>
      </c>
      <c r="AY865" t="s">
        <v>40</v>
      </c>
      <c r="AZ865">
        <v>16</v>
      </c>
      <c r="BA865">
        <v>0</v>
      </c>
      <c r="BI865" s="5">
        <v>44048.176388888889</v>
      </c>
      <c r="BJ865" s="5">
        <v>44048.176388888889</v>
      </c>
      <c r="BK865" t="s">
        <v>778</v>
      </c>
      <c r="BL865" t="s">
        <v>778</v>
      </c>
      <c r="BN865" t="s">
        <v>37</v>
      </c>
    </row>
    <row r="866" spans="1:66" x14ac:dyDescent="0.2">
      <c r="A866">
        <v>3693423</v>
      </c>
      <c r="B866">
        <v>21883</v>
      </c>
      <c r="C866">
        <v>523883</v>
      </c>
      <c r="D866">
        <v>52899</v>
      </c>
      <c r="E866">
        <v>100</v>
      </c>
      <c r="F866" t="s">
        <v>37</v>
      </c>
      <c r="G866">
        <v>1</v>
      </c>
      <c r="H866" t="s">
        <v>37</v>
      </c>
      <c r="I866" t="s">
        <v>37</v>
      </c>
      <c r="J866" t="s">
        <v>775</v>
      </c>
      <c r="K866" t="s">
        <v>230</v>
      </c>
      <c r="L866" t="s">
        <v>226</v>
      </c>
      <c r="M866" t="s">
        <v>422</v>
      </c>
      <c r="N866" t="s">
        <v>4429</v>
      </c>
      <c r="O866" t="s">
        <v>4430</v>
      </c>
      <c r="S866">
        <v>0</v>
      </c>
      <c r="T866">
        <v>24</v>
      </c>
      <c r="U866">
        <v>0</v>
      </c>
      <c r="V866">
        <v>24</v>
      </c>
      <c r="W866">
        <v>24</v>
      </c>
      <c r="X866">
        <v>0</v>
      </c>
      <c r="Y866">
        <v>0</v>
      </c>
      <c r="Z866">
        <v>0</v>
      </c>
      <c r="AB866" s="5">
        <v>43539</v>
      </c>
      <c r="AC866" s="5">
        <v>43543</v>
      </c>
      <c r="AD866" s="5">
        <v>43970.333333333336</v>
      </c>
      <c r="AE866" s="5">
        <v>43970.333333333336</v>
      </c>
      <c r="AG866" s="5">
        <v>44044</v>
      </c>
      <c r="AH866" s="5">
        <v>44044</v>
      </c>
      <c r="AK866" s="5">
        <v>43556.333333333336</v>
      </c>
      <c r="AL866" s="5">
        <v>43558.666666666664</v>
      </c>
      <c r="AP866" t="s">
        <v>418</v>
      </c>
      <c r="AU866" t="s">
        <v>4431</v>
      </c>
      <c r="AV866" t="s">
        <v>4432</v>
      </c>
      <c r="AY866" t="s">
        <v>40</v>
      </c>
      <c r="AZ866">
        <v>24</v>
      </c>
      <c r="BA866">
        <v>0</v>
      </c>
      <c r="BI866" s="5">
        <v>44048.176388888889</v>
      </c>
      <c r="BJ866" s="5">
        <v>44048.176388888889</v>
      </c>
      <c r="BK866" t="s">
        <v>778</v>
      </c>
      <c r="BL866" t="s">
        <v>778</v>
      </c>
      <c r="BN866" t="s">
        <v>37</v>
      </c>
    </row>
    <row r="867" spans="1:66" x14ac:dyDescent="0.2">
      <c r="A867">
        <v>3693424</v>
      </c>
      <c r="B867">
        <v>21883</v>
      </c>
      <c r="C867">
        <v>523883</v>
      </c>
      <c r="D867">
        <v>52899</v>
      </c>
      <c r="E867">
        <v>100</v>
      </c>
      <c r="F867" t="s">
        <v>37</v>
      </c>
      <c r="G867">
        <v>1</v>
      </c>
      <c r="H867" t="s">
        <v>37</v>
      </c>
      <c r="I867" t="s">
        <v>37</v>
      </c>
      <c r="J867" t="s">
        <v>775</v>
      </c>
      <c r="K867" t="s">
        <v>230</v>
      </c>
      <c r="L867" t="s">
        <v>226</v>
      </c>
      <c r="M867" t="s">
        <v>422</v>
      </c>
      <c r="N867" t="s">
        <v>4433</v>
      </c>
      <c r="O867" t="s">
        <v>4434</v>
      </c>
      <c r="S867">
        <v>0</v>
      </c>
      <c r="T867">
        <v>16</v>
      </c>
      <c r="U867">
        <v>0</v>
      </c>
      <c r="V867">
        <v>16</v>
      </c>
      <c r="W867">
        <v>16</v>
      </c>
      <c r="X867">
        <v>0</v>
      </c>
      <c r="Y867">
        <v>0</v>
      </c>
      <c r="Z867">
        <v>0</v>
      </c>
      <c r="AB867" s="5">
        <v>43525</v>
      </c>
      <c r="AC867" s="5">
        <v>43525</v>
      </c>
      <c r="AD867" s="5">
        <v>43970.333333333336</v>
      </c>
      <c r="AE867" s="5">
        <v>43970.333333333336</v>
      </c>
      <c r="AG867" s="5">
        <v>44044</v>
      </c>
      <c r="AH867" s="5">
        <v>44044</v>
      </c>
      <c r="AK867" s="5">
        <v>43556.333333333336</v>
      </c>
      <c r="AL867" s="5">
        <v>43557.666666666664</v>
      </c>
      <c r="AP867" t="s">
        <v>418</v>
      </c>
      <c r="AU867" t="s">
        <v>4435</v>
      </c>
      <c r="AV867" t="s">
        <v>4436</v>
      </c>
      <c r="AY867" t="s">
        <v>40</v>
      </c>
      <c r="AZ867">
        <v>16</v>
      </c>
      <c r="BA867">
        <v>0</v>
      </c>
      <c r="BI867" s="5">
        <v>44048.176388888889</v>
      </c>
      <c r="BJ867" s="5">
        <v>44048.176388888889</v>
      </c>
      <c r="BK867" t="s">
        <v>778</v>
      </c>
      <c r="BL867" t="s">
        <v>778</v>
      </c>
      <c r="BN867" t="s">
        <v>37</v>
      </c>
    </row>
    <row r="868" spans="1:66" x14ac:dyDescent="0.2">
      <c r="A868">
        <v>3693425</v>
      </c>
      <c r="B868">
        <v>21883</v>
      </c>
      <c r="C868">
        <v>523883</v>
      </c>
      <c r="D868">
        <v>52899</v>
      </c>
      <c r="E868">
        <v>100</v>
      </c>
      <c r="F868" t="s">
        <v>37</v>
      </c>
      <c r="G868">
        <v>1</v>
      </c>
      <c r="H868" t="s">
        <v>37</v>
      </c>
      <c r="I868" t="s">
        <v>37</v>
      </c>
      <c r="J868" t="s">
        <v>775</v>
      </c>
      <c r="K868" t="s">
        <v>230</v>
      </c>
      <c r="L868" t="s">
        <v>226</v>
      </c>
      <c r="M868" t="s">
        <v>422</v>
      </c>
      <c r="N868" t="s">
        <v>4437</v>
      </c>
      <c r="O868" t="s">
        <v>4438</v>
      </c>
      <c r="S868">
        <v>0</v>
      </c>
      <c r="T868">
        <v>16</v>
      </c>
      <c r="U868">
        <v>0</v>
      </c>
      <c r="V868">
        <v>16</v>
      </c>
      <c r="W868">
        <v>16</v>
      </c>
      <c r="X868">
        <v>0</v>
      </c>
      <c r="Y868">
        <v>0</v>
      </c>
      <c r="Z868">
        <v>0</v>
      </c>
      <c r="AB868" s="5">
        <v>43525</v>
      </c>
      <c r="AC868" s="5">
        <v>43525</v>
      </c>
      <c r="AD868" s="5">
        <v>43970.333333333336</v>
      </c>
      <c r="AE868" s="5">
        <v>43970.333333333336</v>
      </c>
      <c r="AG868" s="5">
        <v>44044</v>
      </c>
      <c r="AH868" s="5">
        <v>44044</v>
      </c>
      <c r="AK868" s="5">
        <v>43556.333333333336</v>
      </c>
      <c r="AL868" s="5">
        <v>43557.666666666664</v>
      </c>
      <c r="AP868" t="s">
        <v>418</v>
      </c>
      <c r="AU868" t="s">
        <v>4439</v>
      </c>
      <c r="AV868" t="s">
        <v>4440</v>
      </c>
      <c r="AY868" t="s">
        <v>40</v>
      </c>
      <c r="AZ868">
        <v>16</v>
      </c>
      <c r="BA868">
        <v>0</v>
      </c>
      <c r="BI868" s="5">
        <v>44048.176388888889</v>
      </c>
      <c r="BJ868" s="5">
        <v>44048.176388888889</v>
      </c>
      <c r="BK868" t="s">
        <v>778</v>
      </c>
      <c r="BL868" t="s">
        <v>778</v>
      </c>
      <c r="BN868" t="s">
        <v>37</v>
      </c>
    </row>
    <row r="869" spans="1:66" x14ac:dyDescent="0.2">
      <c r="A869">
        <v>3693426</v>
      </c>
      <c r="B869">
        <v>21883</v>
      </c>
      <c r="C869">
        <v>523883</v>
      </c>
      <c r="D869">
        <v>52899</v>
      </c>
      <c r="E869">
        <v>100</v>
      </c>
      <c r="F869" t="s">
        <v>37</v>
      </c>
      <c r="G869">
        <v>1</v>
      </c>
      <c r="H869" t="s">
        <v>37</v>
      </c>
      <c r="I869" t="s">
        <v>37</v>
      </c>
      <c r="J869" t="s">
        <v>775</v>
      </c>
      <c r="K869" t="s">
        <v>230</v>
      </c>
      <c r="L869" t="s">
        <v>226</v>
      </c>
      <c r="M869" t="s">
        <v>422</v>
      </c>
      <c r="N869" t="s">
        <v>4441</v>
      </c>
      <c r="O869" t="s">
        <v>4442</v>
      </c>
      <c r="S869">
        <v>0</v>
      </c>
      <c r="T869">
        <v>8</v>
      </c>
      <c r="U869">
        <v>0</v>
      </c>
      <c r="V869">
        <v>8</v>
      </c>
      <c r="W869">
        <v>8</v>
      </c>
      <c r="X869">
        <v>0</v>
      </c>
      <c r="Y869">
        <v>0</v>
      </c>
      <c r="Z869">
        <v>0</v>
      </c>
      <c r="AB869" s="5">
        <v>43601</v>
      </c>
      <c r="AC869" s="5">
        <v>43601</v>
      </c>
      <c r="AD869" s="5">
        <v>43970.333333333336</v>
      </c>
      <c r="AE869" s="5">
        <v>43970.333333333336</v>
      </c>
      <c r="AG869" s="5">
        <v>44044</v>
      </c>
      <c r="AH869" s="5">
        <v>44044</v>
      </c>
      <c r="AK869" s="5">
        <v>43619.333333333336</v>
      </c>
      <c r="AL869" s="5">
        <v>43619.666666666664</v>
      </c>
      <c r="AP869" t="s">
        <v>418</v>
      </c>
      <c r="AU869" t="s">
        <v>4443</v>
      </c>
      <c r="AV869" t="s">
        <v>4444</v>
      </c>
      <c r="AY869" t="s">
        <v>40</v>
      </c>
      <c r="AZ869">
        <v>0</v>
      </c>
      <c r="BA869">
        <v>0</v>
      </c>
      <c r="BI869" s="5">
        <v>44048.176388888889</v>
      </c>
      <c r="BJ869" s="5">
        <v>44048.176388888889</v>
      </c>
      <c r="BK869" t="s">
        <v>778</v>
      </c>
      <c r="BL869" t="s">
        <v>778</v>
      </c>
      <c r="BN869" t="s">
        <v>37</v>
      </c>
    </row>
    <row r="870" spans="1:66" x14ac:dyDescent="0.2">
      <c r="A870">
        <v>3693427</v>
      </c>
      <c r="B870">
        <v>21883</v>
      </c>
      <c r="C870">
        <v>523883</v>
      </c>
      <c r="D870">
        <v>52899</v>
      </c>
      <c r="E870">
        <v>100</v>
      </c>
      <c r="F870" t="s">
        <v>37</v>
      </c>
      <c r="G870">
        <v>1</v>
      </c>
      <c r="H870" t="s">
        <v>37</v>
      </c>
      <c r="I870" t="s">
        <v>37</v>
      </c>
      <c r="J870" t="s">
        <v>775</v>
      </c>
      <c r="K870" t="s">
        <v>230</v>
      </c>
      <c r="L870" t="s">
        <v>226</v>
      </c>
      <c r="M870" t="s">
        <v>422</v>
      </c>
      <c r="N870" t="s">
        <v>4445</v>
      </c>
      <c r="O870" t="s">
        <v>4446</v>
      </c>
      <c r="S870">
        <v>0</v>
      </c>
      <c r="T870">
        <v>16</v>
      </c>
      <c r="U870">
        <v>0</v>
      </c>
      <c r="V870">
        <v>16</v>
      </c>
      <c r="W870">
        <v>16</v>
      </c>
      <c r="X870">
        <v>0</v>
      </c>
      <c r="Y870">
        <v>0</v>
      </c>
      <c r="Z870">
        <v>0</v>
      </c>
      <c r="AB870" s="5">
        <v>43578</v>
      </c>
      <c r="AC870" s="5">
        <v>43579</v>
      </c>
      <c r="AD870" s="5">
        <v>43970.333333333336</v>
      </c>
      <c r="AE870" s="5">
        <v>43970.333333333336</v>
      </c>
      <c r="AG870" s="5">
        <v>44044</v>
      </c>
      <c r="AH870" s="5">
        <v>44044</v>
      </c>
      <c r="AK870" s="5">
        <v>43621.333333333336</v>
      </c>
      <c r="AL870" s="5">
        <v>43622.666666666664</v>
      </c>
      <c r="AP870" t="s">
        <v>418</v>
      </c>
      <c r="AU870" t="s">
        <v>4447</v>
      </c>
      <c r="AV870" t="s">
        <v>4448</v>
      </c>
      <c r="AY870" t="s">
        <v>40</v>
      </c>
      <c r="AZ870">
        <v>0</v>
      </c>
      <c r="BA870">
        <v>0</v>
      </c>
      <c r="BI870" s="5">
        <v>44048.176388888889</v>
      </c>
      <c r="BJ870" s="5">
        <v>44048.176388888889</v>
      </c>
      <c r="BK870" t="s">
        <v>778</v>
      </c>
      <c r="BL870" t="s">
        <v>778</v>
      </c>
      <c r="BN870" t="s">
        <v>37</v>
      </c>
    </row>
    <row r="871" spans="1:66" x14ac:dyDescent="0.2">
      <c r="A871">
        <v>3693428</v>
      </c>
      <c r="B871">
        <v>21883</v>
      </c>
      <c r="C871">
        <v>523882</v>
      </c>
      <c r="D871">
        <v>52899</v>
      </c>
      <c r="E871">
        <v>100</v>
      </c>
      <c r="F871" t="s">
        <v>37</v>
      </c>
      <c r="G871">
        <v>1</v>
      </c>
      <c r="H871" t="s">
        <v>37</v>
      </c>
      <c r="I871" t="s">
        <v>37</v>
      </c>
      <c r="J871" t="s">
        <v>775</v>
      </c>
      <c r="K871" t="s">
        <v>230</v>
      </c>
      <c r="L871" t="s">
        <v>226</v>
      </c>
      <c r="M871" t="s">
        <v>422</v>
      </c>
      <c r="N871" t="s">
        <v>4449</v>
      </c>
      <c r="O871" t="s">
        <v>4450</v>
      </c>
      <c r="S871">
        <v>0</v>
      </c>
      <c r="T871">
        <v>16</v>
      </c>
      <c r="U871">
        <v>0</v>
      </c>
      <c r="V871">
        <v>16</v>
      </c>
      <c r="W871">
        <v>16</v>
      </c>
      <c r="X871">
        <v>0</v>
      </c>
      <c r="Y871">
        <v>0</v>
      </c>
      <c r="Z871">
        <v>0</v>
      </c>
      <c r="AB871" s="5">
        <v>43474</v>
      </c>
      <c r="AC871" s="5">
        <v>43476</v>
      </c>
      <c r="AD871" s="5">
        <v>43970.333333333336</v>
      </c>
      <c r="AE871" s="5">
        <v>43970.333333333336</v>
      </c>
      <c r="AG871" s="5">
        <v>44044</v>
      </c>
      <c r="AH871" s="5">
        <v>44044</v>
      </c>
      <c r="AK871" s="5">
        <v>43500.333333333336</v>
      </c>
      <c r="AL871" s="5">
        <v>43501.666666666664</v>
      </c>
      <c r="AP871" t="s">
        <v>418</v>
      </c>
      <c r="AU871" t="s">
        <v>4451</v>
      </c>
      <c r="AV871" t="e" cm="1">
        <f t="array" ref="AV871">+cGx6aTlrkmSIE202DTGDQ</f>
        <v>#NAME?</v>
      </c>
      <c r="AY871" t="s">
        <v>40</v>
      </c>
      <c r="AZ871">
        <v>16</v>
      </c>
      <c r="BA871">
        <v>0</v>
      </c>
      <c r="BI871" s="5">
        <v>44048.176388888889</v>
      </c>
      <c r="BJ871" s="5">
        <v>44048.176388888889</v>
      </c>
      <c r="BK871" t="s">
        <v>778</v>
      </c>
      <c r="BL871" t="s">
        <v>778</v>
      </c>
      <c r="BN871" t="s">
        <v>37</v>
      </c>
    </row>
    <row r="872" spans="1:66" x14ac:dyDescent="0.2">
      <c r="A872">
        <v>3693429</v>
      </c>
      <c r="B872">
        <v>21883</v>
      </c>
      <c r="C872">
        <v>523882</v>
      </c>
      <c r="D872">
        <v>52899</v>
      </c>
      <c r="E872">
        <v>100</v>
      </c>
      <c r="F872" t="s">
        <v>37</v>
      </c>
      <c r="G872">
        <v>1</v>
      </c>
      <c r="H872" t="s">
        <v>37</v>
      </c>
      <c r="I872" t="s">
        <v>37</v>
      </c>
      <c r="J872" t="s">
        <v>775</v>
      </c>
      <c r="K872" t="s">
        <v>230</v>
      </c>
      <c r="L872" t="s">
        <v>226</v>
      </c>
      <c r="M872" t="s">
        <v>422</v>
      </c>
      <c r="N872" t="s">
        <v>4452</v>
      </c>
      <c r="O872" t="s">
        <v>4453</v>
      </c>
      <c r="S872">
        <v>0</v>
      </c>
      <c r="T872">
        <v>16</v>
      </c>
      <c r="U872">
        <v>0</v>
      </c>
      <c r="V872">
        <v>16</v>
      </c>
      <c r="W872">
        <v>16</v>
      </c>
      <c r="X872">
        <v>0</v>
      </c>
      <c r="Y872">
        <v>0</v>
      </c>
      <c r="Z872">
        <v>0</v>
      </c>
      <c r="AB872" s="5">
        <v>43500</v>
      </c>
      <c r="AC872" s="5">
        <v>43501</v>
      </c>
      <c r="AD872" s="5">
        <v>43970.333333333336</v>
      </c>
      <c r="AE872" s="5">
        <v>43970.333333333336</v>
      </c>
      <c r="AG872" s="5">
        <v>44044</v>
      </c>
      <c r="AH872" s="5">
        <v>44044</v>
      </c>
      <c r="AK872" s="5">
        <v>43528.333333333336</v>
      </c>
      <c r="AL872" s="5">
        <v>43529.666666666664</v>
      </c>
      <c r="AP872" t="s">
        <v>418</v>
      </c>
      <c r="AU872" t="s">
        <v>4454</v>
      </c>
      <c r="AV872" t="s">
        <v>4455</v>
      </c>
      <c r="AY872" t="s">
        <v>40</v>
      </c>
      <c r="AZ872">
        <v>16</v>
      </c>
      <c r="BA872">
        <v>0</v>
      </c>
      <c r="BI872" s="5">
        <v>44048.176388888889</v>
      </c>
      <c r="BJ872" s="5">
        <v>44048.176388888889</v>
      </c>
      <c r="BK872" t="s">
        <v>778</v>
      </c>
      <c r="BL872" t="s">
        <v>778</v>
      </c>
      <c r="BN872" t="s">
        <v>37</v>
      </c>
    </row>
    <row r="873" spans="1:66" x14ac:dyDescent="0.2">
      <c r="A873">
        <v>3693430</v>
      </c>
      <c r="B873">
        <v>21883</v>
      </c>
      <c r="C873">
        <v>523882</v>
      </c>
      <c r="D873">
        <v>52899</v>
      </c>
      <c r="E873">
        <v>100</v>
      </c>
      <c r="F873" t="s">
        <v>37</v>
      </c>
      <c r="G873">
        <v>1</v>
      </c>
      <c r="H873" t="s">
        <v>37</v>
      </c>
      <c r="I873" t="s">
        <v>37</v>
      </c>
      <c r="J873" t="s">
        <v>775</v>
      </c>
      <c r="K873" t="s">
        <v>230</v>
      </c>
      <c r="L873" t="s">
        <v>226</v>
      </c>
      <c r="M873" t="s">
        <v>422</v>
      </c>
      <c r="N873" t="s">
        <v>4456</v>
      </c>
      <c r="O873" t="s">
        <v>4457</v>
      </c>
      <c r="S873">
        <v>0</v>
      </c>
      <c r="T873">
        <v>24</v>
      </c>
      <c r="U873">
        <v>0</v>
      </c>
      <c r="V873">
        <v>24</v>
      </c>
      <c r="W873">
        <v>24</v>
      </c>
      <c r="X873">
        <v>0</v>
      </c>
      <c r="Y873">
        <v>0</v>
      </c>
      <c r="Z873">
        <v>0</v>
      </c>
      <c r="AB873" s="5">
        <v>43537</v>
      </c>
      <c r="AC873" s="5">
        <v>43539</v>
      </c>
      <c r="AD873" s="5">
        <v>43970.333333333336</v>
      </c>
      <c r="AE873" s="5">
        <v>43970.333333333336</v>
      </c>
      <c r="AG873" s="5">
        <v>44044</v>
      </c>
      <c r="AH873" s="5">
        <v>44044</v>
      </c>
      <c r="AK873" s="5">
        <v>43556.333333333336</v>
      </c>
      <c r="AL873" s="5">
        <v>43558.666666666664</v>
      </c>
      <c r="AP873" t="s">
        <v>418</v>
      </c>
      <c r="AU873" t="s">
        <v>4458</v>
      </c>
      <c r="AV873" t="s">
        <v>4459</v>
      </c>
      <c r="AY873" t="s">
        <v>40</v>
      </c>
      <c r="AZ873">
        <v>24</v>
      </c>
      <c r="BA873">
        <v>0</v>
      </c>
      <c r="BI873" s="5">
        <v>44048.176388888889</v>
      </c>
      <c r="BJ873" s="5">
        <v>44048.176388888889</v>
      </c>
      <c r="BK873" t="s">
        <v>778</v>
      </c>
      <c r="BL873" t="s">
        <v>778</v>
      </c>
      <c r="BN873" t="s">
        <v>37</v>
      </c>
    </row>
    <row r="874" spans="1:66" x14ac:dyDescent="0.2">
      <c r="A874">
        <v>3693431</v>
      </c>
      <c r="B874">
        <v>21883</v>
      </c>
      <c r="C874">
        <v>523882</v>
      </c>
      <c r="D874">
        <v>52899</v>
      </c>
      <c r="E874">
        <v>100</v>
      </c>
      <c r="F874" t="s">
        <v>37</v>
      </c>
      <c r="G874">
        <v>1</v>
      </c>
      <c r="H874" t="s">
        <v>37</v>
      </c>
      <c r="I874" t="s">
        <v>37</v>
      </c>
      <c r="J874" t="s">
        <v>775</v>
      </c>
      <c r="K874" t="s">
        <v>230</v>
      </c>
      <c r="L874" t="s">
        <v>226</v>
      </c>
      <c r="M874" t="s">
        <v>422</v>
      </c>
      <c r="N874" t="s">
        <v>4460</v>
      </c>
      <c r="O874" t="s">
        <v>4461</v>
      </c>
      <c r="S874">
        <v>0</v>
      </c>
      <c r="T874">
        <v>16</v>
      </c>
      <c r="U874">
        <v>0</v>
      </c>
      <c r="V874">
        <v>16</v>
      </c>
      <c r="W874">
        <v>16</v>
      </c>
      <c r="X874">
        <v>0</v>
      </c>
      <c r="Y874">
        <v>0</v>
      </c>
      <c r="Z874">
        <v>0</v>
      </c>
      <c r="AB874" s="5">
        <v>43522</v>
      </c>
      <c r="AC874" s="5">
        <v>43522</v>
      </c>
      <c r="AD874" s="5">
        <v>43970.333333333336</v>
      </c>
      <c r="AE874" s="5">
        <v>43970.333333333336</v>
      </c>
      <c r="AG874" s="5">
        <v>44044</v>
      </c>
      <c r="AH874" s="5">
        <v>44044</v>
      </c>
      <c r="AK874" s="5">
        <v>43530.333333333336</v>
      </c>
      <c r="AL874" s="5">
        <v>43532.666666666664</v>
      </c>
      <c r="AP874" t="s">
        <v>418</v>
      </c>
      <c r="AU874" t="s">
        <v>4462</v>
      </c>
      <c r="AV874" t="s">
        <v>4463</v>
      </c>
      <c r="AY874" t="s">
        <v>40</v>
      </c>
      <c r="AZ874">
        <v>16</v>
      </c>
      <c r="BA874">
        <v>0</v>
      </c>
      <c r="BI874" s="5">
        <v>44048.176388888889</v>
      </c>
      <c r="BJ874" s="5">
        <v>44048.176388888889</v>
      </c>
      <c r="BK874" t="s">
        <v>778</v>
      </c>
      <c r="BL874" t="s">
        <v>778</v>
      </c>
      <c r="BN874" t="s">
        <v>37</v>
      </c>
    </row>
    <row r="875" spans="1:66" x14ac:dyDescent="0.2">
      <c r="A875">
        <v>3693432</v>
      </c>
      <c r="B875">
        <v>21883</v>
      </c>
      <c r="C875">
        <v>523882</v>
      </c>
      <c r="D875">
        <v>52899</v>
      </c>
      <c r="E875">
        <v>100</v>
      </c>
      <c r="F875" t="s">
        <v>37</v>
      </c>
      <c r="G875">
        <v>1</v>
      </c>
      <c r="H875" t="s">
        <v>37</v>
      </c>
      <c r="I875" t="s">
        <v>37</v>
      </c>
      <c r="J875" t="s">
        <v>775</v>
      </c>
      <c r="K875" t="s">
        <v>230</v>
      </c>
      <c r="L875" t="s">
        <v>226</v>
      </c>
      <c r="M875" t="s">
        <v>422</v>
      </c>
      <c r="N875" t="s">
        <v>4464</v>
      </c>
      <c r="O875" t="s">
        <v>4465</v>
      </c>
      <c r="S875">
        <v>0</v>
      </c>
      <c r="T875">
        <v>16</v>
      </c>
      <c r="U875">
        <v>0</v>
      </c>
      <c r="V875">
        <v>16</v>
      </c>
      <c r="W875">
        <v>16</v>
      </c>
      <c r="X875">
        <v>0</v>
      </c>
      <c r="Y875">
        <v>0</v>
      </c>
      <c r="Z875">
        <v>0</v>
      </c>
      <c r="AB875" s="5">
        <v>43522</v>
      </c>
      <c r="AC875" s="5">
        <v>43522</v>
      </c>
      <c r="AD875" s="5">
        <v>43970.333333333336</v>
      </c>
      <c r="AE875" s="5">
        <v>43970.333333333336</v>
      </c>
      <c r="AG875" s="5">
        <v>44044</v>
      </c>
      <c r="AH875" s="5">
        <v>44044</v>
      </c>
      <c r="AK875" s="5">
        <v>43530.333333333336</v>
      </c>
      <c r="AL875" s="5">
        <v>43532.666666666664</v>
      </c>
      <c r="AP875" t="s">
        <v>418</v>
      </c>
      <c r="AU875" t="s">
        <v>4466</v>
      </c>
      <c r="AV875" t="s">
        <v>4467</v>
      </c>
      <c r="AY875" t="s">
        <v>40</v>
      </c>
      <c r="AZ875">
        <v>16</v>
      </c>
      <c r="BA875">
        <v>0</v>
      </c>
      <c r="BI875" s="5">
        <v>44048.176388888889</v>
      </c>
      <c r="BJ875" s="5">
        <v>44048.176388888889</v>
      </c>
      <c r="BK875" t="s">
        <v>778</v>
      </c>
      <c r="BL875" t="s">
        <v>778</v>
      </c>
      <c r="BN875" t="s">
        <v>37</v>
      </c>
    </row>
    <row r="876" spans="1:66" x14ac:dyDescent="0.2">
      <c r="A876">
        <v>3693433</v>
      </c>
      <c r="B876">
        <v>21883</v>
      </c>
      <c r="C876">
        <v>523882</v>
      </c>
      <c r="D876">
        <v>52899</v>
      </c>
      <c r="E876">
        <v>100</v>
      </c>
      <c r="F876" t="s">
        <v>37</v>
      </c>
      <c r="G876">
        <v>1</v>
      </c>
      <c r="H876" t="s">
        <v>37</v>
      </c>
      <c r="I876" t="s">
        <v>37</v>
      </c>
      <c r="J876" t="s">
        <v>775</v>
      </c>
      <c r="K876" t="s">
        <v>230</v>
      </c>
      <c r="L876" t="s">
        <v>226</v>
      </c>
      <c r="M876" t="s">
        <v>422</v>
      </c>
      <c r="N876" t="s">
        <v>4468</v>
      </c>
      <c r="O876" t="s">
        <v>4469</v>
      </c>
      <c r="S876">
        <v>0</v>
      </c>
      <c r="T876">
        <v>8</v>
      </c>
      <c r="U876">
        <v>0</v>
      </c>
      <c r="V876">
        <v>8</v>
      </c>
      <c r="W876">
        <v>8</v>
      </c>
      <c r="X876">
        <v>0</v>
      </c>
      <c r="Y876">
        <v>0</v>
      </c>
      <c r="Z876">
        <v>0</v>
      </c>
      <c r="AB876" s="5">
        <v>43601</v>
      </c>
      <c r="AC876" s="5">
        <v>43601</v>
      </c>
      <c r="AD876" s="5">
        <v>43970.333333333336</v>
      </c>
      <c r="AE876" s="5">
        <v>43970.333333333336</v>
      </c>
      <c r="AG876" s="5">
        <v>44044</v>
      </c>
      <c r="AH876" s="5">
        <v>44044</v>
      </c>
      <c r="AK876" s="5">
        <v>43619.333333333336</v>
      </c>
      <c r="AL876" s="5">
        <v>43619.666666666664</v>
      </c>
      <c r="AP876" t="s">
        <v>418</v>
      </c>
      <c r="AU876" t="s">
        <v>4470</v>
      </c>
      <c r="AV876" t="s">
        <v>4471</v>
      </c>
      <c r="AY876" t="s">
        <v>40</v>
      </c>
      <c r="AZ876">
        <v>0</v>
      </c>
      <c r="BA876">
        <v>0</v>
      </c>
      <c r="BI876" s="5">
        <v>44048.176388888889</v>
      </c>
      <c r="BJ876" s="5">
        <v>44048.176388888889</v>
      </c>
      <c r="BK876" t="s">
        <v>778</v>
      </c>
      <c r="BL876" t="s">
        <v>778</v>
      </c>
      <c r="BN876" t="s">
        <v>37</v>
      </c>
    </row>
    <row r="877" spans="1:66" x14ac:dyDescent="0.2">
      <c r="A877">
        <v>3693434</v>
      </c>
      <c r="B877">
        <v>21883</v>
      </c>
      <c r="C877">
        <v>523882</v>
      </c>
      <c r="D877">
        <v>52899</v>
      </c>
      <c r="E877">
        <v>100</v>
      </c>
      <c r="F877" t="s">
        <v>37</v>
      </c>
      <c r="G877">
        <v>1</v>
      </c>
      <c r="H877" t="s">
        <v>37</v>
      </c>
      <c r="I877" t="s">
        <v>37</v>
      </c>
      <c r="J877" t="s">
        <v>775</v>
      </c>
      <c r="K877" t="s">
        <v>230</v>
      </c>
      <c r="L877" t="s">
        <v>226</v>
      </c>
      <c r="M877" t="s">
        <v>422</v>
      </c>
      <c r="N877" t="s">
        <v>4472</v>
      </c>
      <c r="O877" t="s">
        <v>4473</v>
      </c>
      <c r="S877">
        <v>0</v>
      </c>
      <c r="T877">
        <v>16</v>
      </c>
      <c r="U877">
        <v>0</v>
      </c>
      <c r="V877">
        <v>16</v>
      </c>
      <c r="W877">
        <v>16</v>
      </c>
      <c r="X877">
        <v>0</v>
      </c>
      <c r="Y877">
        <v>0</v>
      </c>
      <c r="Z877">
        <v>0</v>
      </c>
      <c r="AB877" s="5">
        <v>43585</v>
      </c>
      <c r="AC877" s="5">
        <v>43585</v>
      </c>
      <c r="AD877" s="5">
        <v>43970.333333333336</v>
      </c>
      <c r="AE877" s="5">
        <v>43970.333333333336</v>
      </c>
      <c r="AG877" s="5">
        <v>44044</v>
      </c>
      <c r="AH877" s="5">
        <v>44044</v>
      </c>
      <c r="AK877" s="5">
        <v>43621.333333333336</v>
      </c>
      <c r="AL877" s="5">
        <v>43622.666666666664</v>
      </c>
      <c r="AP877" t="s">
        <v>418</v>
      </c>
      <c r="AU877" t="s">
        <v>4474</v>
      </c>
      <c r="AV877" t="s">
        <v>4475</v>
      </c>
      <c r="AY877" t="s">
        <v>40</v>
      </c>
      <c r="AZ877">
        <v>0</v>
      </c>
      <c r="BA877">
        <v>0</v>
      </c>
      <c r="BI877" s="5">
        <v>44048.176388888889</v>
      </c>
      <c r="BJ877" s="5">
        <v>44048.176388888889</v>
      </c>
      <c r="BK877" t="s">
        <v>778</v>
      </c>
      <c r="BL877" t="s">
        <v>778</v>
      </c>
      <c r="BN877" t="s">
        <v>37</v>
      </c>
    </row>
    <row r="878" spans="1:66" x14ac:dyDescent="0.2">
      <c r="A878">
        <v>3693435</v>
      </c>
      <c r="B878">
        <v>21883</v>
      </c>
      <c r="C878">
        <v>523881</v>
      </c>
      <c r="D878">
        <v>52899</v>
      </c>
      <c r="E878">
        <v>100</v>
      </c>
      <c r="F878" t="s">
        <v>37</v>
      </c>
      <c r="G878">
        <v>1</v>
      </c>
      <c r="H878" t="s">
        <v>37</v>
      </c>
      <c r="I878" t="s">
        <v>37</v>
      </c>
      <c r="J878" t="s">
        <v>775</v>
      </c>
      <c r="K878" t="s">
        <v>230</v>
      </c>
      <c r="L878" t="s">
        <v>226</v>
      </c>
      <c r="M878" t="s">
        <v>422</v>
      </c>
      <c r="N878" t="s">
        <v>4476</v>
      </c>
      <c r="O878" t="s">
        <v>4477</v>
      </c>
      <c r="S878">
        <v>0</v>
      </c>
      <c r="T878">
        <v>16</v>
      </c>
      <c r="U878">
        <v>0</v>
      </c>
      <c r="V878">
        <v>16</v>
      </c>
      <c r="W878">
        <v>16</v>
      </c>
      <c r="X878">
        <v>0</v>
      </c>
      <c r="Y878">
        <v>0</v>
      </c>
      <c r="Z878">
        <v>0</v>
      </c>
      <c r="AB878" s="5">
        <v>43475</v>
      </c>
      <c r="AC878" s="5">
        <v>43476</v>
      </c>
      <c r="AD878" s="5">
        <v>43970.333333333336</v>
      </c>
      <c r="AE878" s="5">
        <v>43970.333333333336</v>
      </c>
      <c r="AG878" s="5">
        <v>44044</v>
      </c>
      <c r="AH878" s="5">
        <v>44044</v>
      </c>
      <c r="AK878" s="5">
        <v>43500.333333333336</v>
      </c>
      <c r="AL878" s="5">
        <v>43501.666666666664</v>
      </c>
      <c r="AP878" t="s">
        <v>418</v>
      </c>
      <c r="AU878" t="s">
        <v>4478</v>
      </c>
      <c r="AV878" t="s">
        <v>4479</v>
      </c>
      <c r="AY878" t="s">
        <v>40</v>
      </c>
      <c r="AZ878">
        <v>16</v>
      </c>
      <c r="BA878">
        <v>0</v>
      </c>
      <c r="BI878" s="5">
        <v>44048.176388888889</v>
      </c>
      <c r="BJ878" s="5">
        <v>44048.176388888889</v>
      </c>
      <c r="BK878" t="s">
        <v>778</v>
      </c>
      <c r="BL878" t="s">
        <v>778</v>
      </c>
      <c r="BN878" t="s">
        <v>37</v>
      </c>
    </row>
    <row r="879" spans="1:66" x14ac:dyDescent="0.2">
      <c r="A879">
        <v>3693436</v>
      </c>
      <c r="B879">
        <v>21883</v>
      </c>
      <c r="C879">
        <v>523881</v>
      </c>
      <c r="D879">
        <v>52899</v>
      </c>
      <c r="E879">
        <v>100</v>
      </c>
      <c r="F879" t="s">
        <v>37</v>
      </c>
      <c r="G879">
        <v>1</v>
      </c>
      <c r="H879" t="s">
        <v>37</v>
      </c>
      <c r="I879" t="s">
        <v>37</v>
      </c>
      <c r="J879" t="s">
        <v>775</v>
      </c>
      <c r="K879" t="s">
        <v>230</v>
      </c>
      <c r="L879" t="s">
        <v>226</v>
      </c>
      <c r="M879" t="s">
        <v>422</v>
      </c>
      <c r="N879" t="s">
        <v>4480</v>
      </c>
      <c r="O879" t="s">
        <v>4481</v>
      </c>
      <c r="S879">
        <v>0</v>
      </c>
      <c r="T879">
        <v>16</v>
      </c>
      <c r="U879">
        <v>0</v>
      </c>
      <c r="V879">
        <v>16</v>
      </c>
      <c r="W879">
        <v>16</v>
      </c>
      <c r="X879">
        <v>0</v>
      </c>
      <c r="Y879">
        <v>0</v>
      </c>
      <c r="Z879">
        <v>0</v>
      </c>
      <c r="AB879" s="5">
        <v>43490</v>
      </c>
      <c r="AC879" s="5">
        <v>43497</v>
      </c>
      <c r="AD879" s="5">
        <v>43970.333333333336</v>
      </c>
      <c r="AE879" s="5">
        <v>43970.333333333336</v>
      </c>
      <c r="AG879" s="5">
        <v>44044</v>
      </c>
      <c r="AH879" s="5">
        <v>44044</v>
      </c>
      <c r="AK879" s="5">
        <v>43500.333333333336</v>
      </c>
      <c r="AL879" s="5">
        <v>43501.666666666664</v>
      </c>
      <c r="AP879" t="s">
        <v>418</v>
      </c>
      <c r="AU879" t="s">
        <v>4482</v>
      </c>
      <c r="AV879" t="s">
        <v>4483</v>
      </c>
      <c r="AY879" t="s">
        <v>40</v>
      </c>
      <c r="AZ879">
        <v>16</v>
      </c>
      <c r="BA879">
        <v>0</v>
      </c>
      <c r="BI879" s="5">
        <v>44048.176388888889</v>
      </c>
      <c r="BJ879" s="5">
        <v>44048.176388888889</v>
      </c>
      <c r="BK879" t="s">
        <v>778</v>
      </c>
      <c r="BL879" t="s">
        <v>778</v>
      </c>
      <c r="BN879" t="s">
        <v>37</v>
      </c>
    </row>
    <row r="880" spans="1:66" x14ac:dyDescent="0.2">
      <c r="A880">
        <v>3693437</v>
      </c>
      <c r="B880">
        <v>21883</v>
      </c>
      <c r="C880">
        <v>523881</v>
      </c>
      <c r="D880">
        <v>52899</v>
      </c>
      <c r="E880">
        <v>100</v>
      </c>
      <c r="F880" t="s">
        <v>37</v>
      </c>
      <c r="G880">
        <v>1</v>
      </c>
      <c r="H880" t="s">
        <v>37</v>
      </c>
      <c r="I880" t="s">
        <v>37</v>
      </c>
      <c r="J880" t="s">
        <v>775</v>
      </c>
      <c r="K880" t="s">
        <v>230</v>
      </c>
      <c r="L880" t="s">
        <v>226</v>
      </c>
      <c r="M880" t="s">
        <v>422</v>
      </c>
      <c r="N880" t="s">
        <v>4484</v>
      </c>
      <c r="O880" t="s">
        <v>4485</v>
      </c>
      <c r="S880">
        <v>0</v>
      </c>
      <c r="T880">
        <v>24</v>
      </c>
      <c r="U880">
        <v>0</v>
      </c>
      <c r="V880">
        <v>24</v>
      </c>
      <c r="W880">
        <v>24</v>
      </c>
      <c r="X880">
        <v>0</v>
      </c>
      <c r="Y880">
        <v>0</v>
      </c>
      <c r="Z880">
        <v>0</v>
      </c>
      <c r="AB880" s="5">
        <v>43500</v>
      </c>
      <c r="AC880" s="5">
        <v>43502</v>
      </c>
      <c r="AD880" s="5">
        <v>43970.333333333336</v>
      </c>
      <c r="AE880" s="5">
        <v>43970.333333333336</v>
      </c>
      <c r="AG880" s="5">
        <v>44044</v>
      </c>
      <c r="AH880" s="5">
        <v>44044</v>
      </c>
      <c r="AK880" s="5">
        <v>43528.333333333336</v>
      </c>
      <c r="AL880" s="5">
        <v>43530.666666666664</v>
      </c>
      <c r="AP880" t="s">
        <v>418</v>
      </c>
      <c r="AU880" t="s">
        <v>4486</v>
      </c>
      <c r="AV880" t="s">
        <v>4487</v>
      </c>
      <c r="AY880" t="s">
        <v>40</v>
      </c>
      <c r="AZ880">
        <v>24</v>
      </c>
      <c r="BA880">
        <v>0</v>
      </c>
      <c r="BI880" s="5">
        <v>44048.176388888889</v>
      </c>
      <c r="BJ880" s="5">
        <v>44048.176388888889</v>
      </c>
      <c r="BK880" t="s">
        <v>778</v>
      </c>
      <c r="BL880" t="s">
        <v>778</v>
      </c>
      <c r="BN880" t="s">
        <v>37</v>
      </c>
    </row>
    <row r="881" spans="1:66" x14ac:dyDescent="0.2">
      <c r="A881">
        <v>3693438</v>
      </c>
      <c r="B881">
        <v>21883</v>
      </c>
      <c r="C881">
        <v>523881</v>
      </c>
      <c r="D881">
        <v>52899</v>
      </c>
      <c r="E881">
        <v>100</v>
      </c>
      <c r="F881" t="s">
        <v>37</v>
      </c>
      <c r="G881">
        <v>1</v>
      </c>
      <c r="H881" t="s">
        <v>37</v>
      </c>
      <c r="I881" t="s">
        <v>37</v>
      </c>
      <c r="J881" t="s">
        <v>775</v>
      </c>
      <c r="K881" t="s">
        <v>230</v>
      </c>
      <c r="L881" t="s">
        <v>226</v>
      </c>
      <c r="M881" t="s">
        <v>422</v>
      </c>
      <c r="N881" t="s">
        <v>4488</v>
      </c>
      <c r="O881" t="s">
        <v>4489</v>
      </c>
      <c r="S881">
        <v>0</v>
      </c>
      <c r="T881">
        <v>16</v>
      </c>
      <c r="U881">
        <v>0</v>
      </c>
      <c r="V881">
        <v>16</v>
      </c>
      <c r="W881">
        <v>16</v>
      </c>
      <c r="X881">
        <v>0</v>
      </c>
      <c r="Y881">
        <v>0</v>
      </c>
      <c r="Z881">
        <v>0</v>
      </c>
      <c r="AB881" s="5">
        <v>43518</v>
      </c>
      <c r="AC881" s="5">
        <v>43518</v>
      </c>
      <c r="AD881" s="5">
        <v>43970.333333333336</v>
      </c>
      <c r="AE881" s="5">
        <v>43970.333333333336</v>
      </c>
      <c r="AG881" s="5">
        <v>44044</v>
      </c>
      <c r="AH881" s="5">
        <v>44044</v>
      </c>
      <c r="AK881" s="5">
        <v>43528.333333333336</v>
      </c>
      <c r="AL881" s="5">
        <v>43529.666666666664</v>
      </c>
      <c r="AP881" t="s">
        <v>418</v>
      </c>
      <c r="AU881" t="s">
        <v>4490</v>
      </c>
      <c r="AV881" t="s">
        <v>4491</v>
      </c>
      <c r="AY881" t="s">
        <v>40</v>
      </c>
      <c r="AZ881">
        <v>16</v>
      </c>
      <c r="BA881">
        <v>0</v>
      </c>
      <c r="BI881" s="5">
        <v>44048.176388888889</v>
      </c>
      <c r="BJ881" s="5">
        <v>44048.176388888889</v>
      </c>
      <c r="BK881" t="s">
        <v>778</v>
      </c>
      <c r="BL881" t="s">
        <v>778</v>
      </c>
      <c r="BN881" t="s">
        <v>37</v>
      </c>
    </row>
    <row r="882" spans="1:66" x14ac:dyDescent="0.2">
      <c r="A882">
        <v>3693439</v>
      </c>
      <c r="B882">
        <v>21883</v>
      </c>
      <c r="C882">
        <v>523881</v>
      </c>
      <c r="D882">
        <v>52899</v>
      </c>
      <c r="E882">
        <v>100</v>
      </c>
      <c r="F882" t="s">
        <v>37</v>
      </c>
      <c r="G882">
        <v>1</v>
      </c>
      <c r="H882" t="s">
        <v>37</v>
      </c>
      <c r="I882" t="s">
        <v>37</v>
      </c>
      <c r="J882" t="s">
        <v>775</v>
      </c>
      <c r="K882" t="s">
        <v>230</v>
      </c>
      <c r="L882" t="s">
        <v>226</v>
      </c>
      <c r="M882" t="s">
        <v>422</v>
      </c>
      <c r="N882" t="s">
        <v>4492</v>
      </c>
      <c r="O882" t="s">
        <v>4493</v>
      </c>
      <c r="S882">
        <v>0</v>
      </c>
      <c r="T882">
        <v>16</v>
      </c>
      <c r="U882">
        <v>0</v>
      </c>
      <c r="V882">
        <v>16</v>
      </c>
      <c r="W882">
        <v>16</v>
      </c>
      <c r="X882">
        <v>0</v>
      </c>
      <c r="Y882">
        <v>0</v>
      </c>
      <c r="Z882">
        <v>0</v>
      </c>
      <c r="AB882" s="5">
        <v>43518</v>
      </c>
      <c r="AC882" s="5">
        <v>43518</v>
      </c>
      <c r="AD882" s="5">
        <v>43970.333333333336</v>
      </c>
      <c r="AE882" s="5">
        <v>43970.333333333336</v>
      </c>
      <c r="AG882" s="5">
        <v>44044</v>
      </c>
      <c r="AH882" s="5">
        <v>44044</v>
      </c>
      <c r="AK882" s="5">
        <v>43528.333333333336</v>
      </c>
      <c r="AL882" s="5">
        <v>43529.666666666664</v>
      </c>
      <c r="AP882" t="s">
        <v>418</v>
      </c>
      <c r="AU882" t="s">
        <v>4494</v>
      </c>
      <c r="AV882" t="s">
        <v>4495</v>
      </c>
      <c r="AY882" t="s">
        <v>40</v>
      </c>
      <c r="AZ882">
        <v>16</v>
      </c>
      <c r="BA882">
        <v>0</v>
      </c>
      <c r="BI882" s="5">
        <v>44048.176388888889</v>
      </c>
      <c r="BJ882" s="5">
        <v>44048.176388888889</v>
      </c>
      <c r="BK882" t="s">
        <v>778</v>
      </c>
      <c r="BL882" t="s">
        <v>778</v>
      </c>
      <c r="BN882" t="s">
        <v>37</v>
      </c>
    </row>
    <row r="883" spans="1:66" x14ac:dyDescent="0.2">
      <c r="A883">
        <v>3693440</v>
      </c>
      <c r="B883">
        <v>21883</v>
      </c>
      <c r="C883">
        <v>523881</v>
      </c>
      <c r="D883">
        <v>52899</v>
      </c>
      <c r="E883">
        <v>100</v>
      </c>
      <c r="F883" t="s">
        <v>37</v>
      </c>
      <c r="G883">
        <v>1</v>
      </c>
      <c r="H883" t="s">
        <v>37</v>
      </c>
      <c r="I883" t="s">
        <v>37</v>
      </c>
      <c r="J883" t="s">
        <v>775</v>
      </c>
      <c r="K883" t="s">
        <v>230</v>
      </c>
      <c r="L883" t="s">
        <v>226</v>
      </c>
      <c r="M883" t="s">
        <v>422</v>
      </c>
      <c r="N883" t="s">
        <v>4496</v>
      </c>
      <c r="O883" t="s">
        <v>4497</v>
      </c>
      <c r="S883">
        <v>0</v>
      </c>
      <c r="T883">
        <v>8</v>
      </c>
      <c r="U883">
        <v>0</v>
      </c>
      <c r="V883">
        <v>8</v>
      </c>
      <c r="W883">
        <v>8</v>
      </c>
      <c r="X883">
        <v>0</v>
      </c>
      <c r="Y883">
        <v>0</v>
      </c>
      <c r="Z883">
        <v>0</v>
      </c>
      <c r="AB883" s="5">
        <v>43600</v>
      </c>
      <c r="AC883" s="5">
        <v>43600</v>
      </c>
      <c r="AD883" s="5">
        <v>43970.333333333336</v>
      </c>
      <c r="AE883" s="5">
        <v>43970.333333333336</v>
      </c>
      <c r="AG883" s="5">
        <v>44044</v>
      </c>
      <c r="AH883" s="5">
        <v>44044</v>
      </c>
      <c r="AK883" s="5">
        <v>43619.333333333336</v>
      </c>
      <c r="AL883" s="5">
        <v>43619.666666666664</v>
      </c>
      <c r="AP883" t="s">
        <v>418</v>
      </c>
      <c r="AU883" t="s">
        <v>4498</v>
      </c>
      <c r="AV883" t="s">
        <v>4499</v>
      </c>
      <c r="AY883" t="s">
        <v>40</v>
      </c>
      <c r="AZ883">
        <v>0</v>
      </c>
      <c r="BA883">
        <v>0</v>
      </c>
      <c r="BI883" s="5">
        <v>44048.176388888889</v>
      </c>
      <c r="BJ883" s="5">
        <v>44048.176388888889</v>
      </c>
      <c r="BK883" t="s">
        <v>778</v>
      </c>
      <c r="BL883" t="s">
        <v>778</v>
      </c>
      <c r="BN883" t="s">
        <v>37</v>
      </c>
    </row>
    <row r="884" spans="1:66" x14ac:dyDescent="0.2">
      <c r="A884">
        <v>3693441</v>
      </c>
      <c r="B884">
        <v>21883</v>
      </c>
      <c r="C884">
        <v>523881</v>
      </c>
      <c r="D884">
        <v>52899</v>
      </c>
      <c r="E884">
        <v>100</v>
      </c>
      <c r="F884" t="s">
        <v>37</v>
      </c>
      <c r="G884">
        <v>1</v>
      </c>
      <c r="H884" t="s">
        <v>37</v>
      </c>
      <c r="I884" t="s">
        <v>37</v>
      </c>
      <c r="J884" t="s">
        <v>775</v>
      </c>
      <c r="K884" t="s">
        <v>230</v>
      </c>
      <c r="L884" t="s">
        <v>226</v>
      </c>
      <c r="M884" t="s">
        <v>422</v>
      </c>
      <c r="N884" t="s">
        <v>4500</v>
      </c>
      <c r="O884" t="s">
        <v>4501</v>
      </c>
      <c r="S884">
        <v>0</v>
      </c>
      <c r="T884">
        <v>16</v>
      </c>
      <c r="U884">
        <v>0</v>
      </c>
      <c r="V884">
        <v>16</v>
      </c>
      <c r="W884">
        <v>16</v>
      </c>
      <c r="X884">
        <v>0</v>
      </c>
      <c r="Y884">
        <v>0</v>
      </c>
      <c r="Z884">
        <v>0</v>
      </c>
      <c r="AB884" s="5">
        <v>43567</v>
      </c>
      <c r="AC884" s="5">
        <v>43567</v>
      </c>
      <c r="AD884" s="5">
        <v>43970.333333333336</v>
      </c>
      <c r="AE884" s="5">
        <v>43970.333333333336</v>
      </c>
      <c r="AG884" s="5">
        <v>44044</v>
      </c>
      <c r="AH884" s="5">
        <v>44044</v>
      </c>
      <c r="AK884" s="5">
        <v>43587.333333333336</v>
      </c>
      <c r="AL884" s="5">
        <v>43588.666666666664</v>
      </c>
      <c r="AP884" t="s">
        <v>418</v>
      </c>
      <c r="AU884" t="s">
        <v>4502</v>
      </c>
      <c r="AV884" t="s">
        <v>4503</v>
      </c>
      <c r="AY884" t="s">
        <v>40</v>
      </c>
      <c r="AZ884">
        <v>16</v>
      </c>
      <c r="BA884">
        <v>0</v>
      </c>
      <c r="BI884" s="5">
        <v>44048.176388888889</v>
      </c>
      <c r="BJ884" s="5">
        <v>44048.176388888889</v>
      </c>
      <c r="BK884" t="s">
        <v>778</v>
      </c>
      <c r="BL884" t="s">
        <v>778</v>
      </c>
      <c r="BN884" t="s">
        <v>37</v>
      </c>
    </row>
    <row r="885" spans="1:66" x14ac:dyDescent="0.2">
      <c r="A885">
        <v>3693442</v>
      </c>
      <c r="B885">
        <v>21883</v>
      </c>
      <c r="C885">
        <v>523880</v>
      </c>
      <c r="D885">
        <v>52899</v>
      </c>
      <c r="E885">
        <v>100</v>
      </c>
      <c r="F885" t="s">
        <v>37</v>
      </c>
      <c r="G885">
        <v>1</v>
      </c>
      <c r="H885" t="s">
        <v>37</v>
      </c>
      <c r="I885" t="s">
        <v>37</v>
      </c>
      <c r="J885" t="s">
        <v>775</v>
      </c>
      <c r="K885" t="s">
        <v>230</v>
      </c>
      <c r="L885" t="s">
        <v>226</v>
      </c>
      <c r="M885" t="s">
        <v>422</v>
      </c>
      <c r="N885" t="s">
        <v>4504</v>
      </c>
      <c r="O885" t="s">
        <v>4505</v>
      </c>
      <c r="S885">
        <v>0</v>
      </c>
      <c r="T885">
        <v>8</v>
      </c>
      <c r="U885">
        <v>0</v>
      </c>
      <c r="V885">
        <v>8</v>
      </c>
      <c r="W885">
        <v>8</v>
      </c>
      <c r="X885">
        <v>0</v>
      </c>
      <c r="Y885">
        <v>0</v>
      </c>
      <c r="Z885">
        <v>0</v>
      </c>
      <c r="AB885" s="5">
        <v>43598</v>
      </c>
      <c r="AC885" s="5">
        <v>43600</v>
      </c>
      <c r="AD885" s="5">
        <v>43970.333333333336</v>
      </c>
      <c r="AE885" s="5">
        <v>43970.333333333336</v>
      </c>
      <c r="AG885" s="5">
        <v>44044</v>
      </c>
      <c r="AH885" s="5">
        <v>44044</v>
      </c>
      <c r="AK885" s="5">
        <v>43619.333333333336</v>
      </c>
      <c r="AL885" s="5">
        <v>43619.666666666664</v>
      </c>
      <c r="AP885" t="s">
        <v>418</v>
      </c>
      <c r="AU885" t="s">
        <v>4506</v>
      </c>
      <c r="AV885" t="s">
        <v>4507</v>
      </c>
      <c r="AY885" t="s">
        <v>40</v>
      </c>
      <c r="AZ885">
        <v>0</v>
      </c>
      <c r="BA885">
        <v>0</v>
      </c>
      <c r="BI885" s="5">
        <v>44048.176388888889</v>
      </c>
      <c r="BJ885" s="5">
        <v>44048.176388888889</v>
      </c>
      <c r="BK885" t="s">
        <v>778</v>
      </c>
      <c r="BL885" t="s">
        <v>778</v>
      </c>
      <c r="BN885" t="s">
        <v>37</v>
      </c>
    </row>
    <row r="886" spans="1:66" x14ac:dyDescent="0.2">
      <c r="A886">
        <v>3693443</v>
      </c>
      <c r="B886">
        <v>21883</v>
      </c>
      <c r="C886">
        <v>523880</v>
      </c>
      <c r="D886">
        <v>52899</v>
      </c>
      <c r="E886">
        <v>100</v>
      </c>
      <c r="F886" t="s">
        <v>37</v>
      </c>
      <c r="G886">
        <v>1</v>
      </c>
      <c r="H886" t="s">
        <v>37</v>
      </c>
      <c r="I886" t="s">
        <v>37</v>
      </c>
      <c r="J886" t="s">
        <v>775</v>
      </c>
      <c r="K886" t="s">
        <v>230</v>
      </c>
      <c r="L886" t="s">
        <v>226</v>
      </c>
      <c r="M886" t="s">
        <v>422</v>
      </c>
      <c r="N886" t="s">
        <v>4508</v>
      </c>
      <c r="O886" t="s">
        <v>4509</v>
      </c>
      <c r="S886">
        <v>0</v>
      </c>
      <c r="T886">
        <v>16</v>
      </c>
      <c r="U886">
        <v>0</v>
      </c>
      <c r="V886">
        <v>16</v>
      </c>
      <c r="W886">
        <v>16</v>
      </c>
      <c r="X886">
        <v>0</v>
      </c>
      <c r="Y886">
        <v>0</v>
      </c>
      <c r="Z886">
        <v>0</v>
      </c>
      <c r="AB886" s="5">
        <v>43567</v>
      </c>
      <c r="AC886" s="5">
        <v>43567</v>
      </c>
      <c r="AD886" s="5">
        <v>43970.333333333336</v>
      </c>
      <c r="AE886" s="5">
        <v>43970.333333333336</v>
      </c>
      <c r="AG886" s="5">
        <v>44044</v>
      </c>
      <c r="AH886" s="5">
        <v>44044</v>
      </c>
      <c r="AK886" s="5">
        <v>43587.333333333336</v>
      </c>
      <c r="AL886" s="5">
        <v>43588.666666666664</v>
      </c>
      <c r="AP886" t="s">
        <v>418</v>
      </c>
      <c r="AU886" t="s">
        <v>4510</v>
      </c>
      <c r="AV886" t="s">
        <v>4511</v>
      </c>
      <c r="AY886" t="s">
        <v>40</v>
      </c>
      <c r="AZ886">
        <v>16</v>
      </c>
      <c r="BA886">
        <v>0</v>
      </c>
      <c r="BI886" s="5">
        <v>44048.176388888889</v>
      </c>
      <c r="BJ886" s="5">
        <v>44048.176388888889</v>
      </c>
      <c r="BK886" t="s">
        <v>778</v>
      </c>
      <c r="BL886" t="s">
        <v>778</v>
      </c>
      <c r="BN886" t="s">
        <v>37</v>
      </c>
    </row>
    <row r="887" spans="1:66" x14ac:dyDescent="0.2">
      <c r="A887">
        <v>3693444</v>
      </c>
      <c r="B887">
        <v>21883</v>
      </c>
      <c r="C887">
        <v>523880</v>
      </c>
      <c r="D887">
        <v>52899</v>
      </c>
      <c r="E887">
        <v>100</v>
      </c>
      <c r="F887" t="s">
        <v>37</v>
      </c>
      <c r="G887">
        <v>1</v>
      </c>
      <c r="H887" t="s">
        <v>37</v>
      </c>
      <c r="I887" t="s">
        <v>37</v>
      </c>
      <c r="J887" t="s">
        <v>775</v>
      </c>
      <c r="K887" t="s">
        <v>230</v>
      </c>
      <c r="L887" t="s">
        <v>226</v>
      </c>
      <c r="M887" t="s">
        <v>422</v>
      </c>
      <c r="N887" t="s">
        <v>4512</v>
      </c>
      <c r="O887" t="s">
        <v>4513</v>
      </c>
      <c r="S887">
        <v>0</v>
      </c>
      <c r="T887">
        <v>16</v>
      </c>
      <c r="U887">
        <v>0</v>
      </c>
      <c r="V887">
        <v>16</v>
      </c>
      <c r="W887">
        <v>16</v>
      </c>
      <c r="X887">
        <v>0</v>
      </c>
      <c r="Y887">
        <v>0</v>
      </c>
      <c r="Z887">
        <v>0</v>
      </c>
      <c r="AB887" s="5">
        <v>43473</v>
      </c>
      <c r="AC887" s="5">
        <v>43475</v>
      </c>
      <c r="AD887" s="5">
        <v>43970.333333333336</v>
      </c>
      <c r="AE887" s="5">
        <v>43970.333333333336</v>
      </c>
      <c r="AG887" s="5">
        <v>44044</v>
      </c>
      <c r="AH887" s="5">
        <v>44044</v>
      </c>
      <c r="AK887" s="5">
        <v>43500.333333333336</v>
      </c>
      <c r="AL887" s="5">
        <v>43501.666666666664</v>
      </c>
      <c r="AP887" t="s">
        <v>418</v>
      </c>
      <c r="AU887" t="s">
        <v>4514</v>
      </c>
      <c r="AV887" t="s">
        <v>4515</v>
      </c>
      <c r="AY887" t="s">
        <v>40</v>
      </c>
      <c r="AZ887">
        <v>16</v>
      </c>
      <c r="BA887">
        <v>0</v>
      </c>
      <c r="BI887" s="5">
        <v>44048.176388888889</v>
      </c>
      <c r="BJ887" s="5">
        <v>44048.176388888889</v>
      </c>
      <c r="BK887" t="s">
        <v>778</v>
      </c>
      <c r="BL887" t="s">
        <v>778</v>
      </c>
      <c r="BN887" t="s">
        <v>37</v>
      </c>
    </row>
    <row r="888" spans="1:66" x14ac:dyDescent="0.2">
      <c r="A888">
        <v>3693445</v>
      </c>
      <c r="B888">
        <v>21883</v>
      </c>
      <c r="C888">
        <v>523880</v>
      </c>
      <c r="D888">
        <v>52899</v>
      </c>
      <c r="E888">
        <v>100</v>
      </c>
      <c r="F888" t="s">
        <v>37</v>
      </c>
      <c r="G888">
        <v>1</v>
      </c>
      <c r="H888" t="s">
        <v>37</v>
      </c>
      <c r="I888" t="s">
        <v>37</v>
      </c>
      <c r="J888" t="s">
        <v>775</v>
      </c>
      <c r="K888" t="s">
        <v>230</v>
      </c>
      <c r="L888" t="s">
        <v>226</v>
      </c>
      <c r="M888" t="s">
        <v>422</v>
      </c>
      <c r="N888" t="s">
        <v>4516</v>
      </c>
      <c r="O888" t="s">
        <v>4517</v>
      </c>
      <c r="S888">
        <v>0</v>
      </c>
      <c r="T888">
        <v>16</v>
      </c>
      <c r="U888">
        <v>0</v>
      </c>
      <c r="V888">
        <v>16</v>
      </c>
      <c r="W888">
        <v>16</v>
      </c>
      <c r="X888">
        <v>0</v>
      </c>
      <c r="Y888">
        <v>0</v>
      </c>
      <c r="Z888">
        <v>0</v>
      </c>
      <c r="AB888" s="5">
        <v>43490</v>
      </c>
      <c r="AC888" s="5">
        <v>43500</v>
      </c>
      <c r="AD888" s="5">
        <v>43970.333333333336</v>
      </c>
      <c r="AE888" s="5">
        <v>43970.333333333336</v>
      </c>
      <c r="AG888" s="5">
        <v>44044</v>
      </c>
      <c r="AH888" s="5">
        <v>44044</v>
      </c>
      <c r="AK888" s="5">
        <v>43500.333333333336</v>
      </c>
      <c r="AL888" s="5">
        <v>43501.666666666664</v>
      </c>
      <c r="AP888" t="s">
        <v>418</v>
      </c>
      <c r="AU888" t="s">
        <v>4518</v>
      </c>
      <c r="AV888" t="s">
        <v>4519</v>
      </c>
      <c r="AY888" t="s">
        <v>40</v>
      </c>
      <c r="AZ888">
        <v>16</v>
      </c>
      <c r="BA888">
        <v>0</v>
      </c>
      <c r="BI888" s="5">
        <v>44048.176388888889</v>
      </c>
      <c r="BJ888" s="5">
        <v>44048.176388888889</v>
      </c>
      <c r="BK888" t="s">
        <v>778</v>
      </c>
      <c r="BL888" t="s">
        <v>778</v>
      </c>
      <c r="BN888" t="s">
        <v>37</v>
      </c>
    </row>
    <row r="889" spans="1:66" x14ac:dyDescent="0.2">
      <c r="A889">
        <v>3693446</v>
      </c>
      <c r="B889">
        <v>21883</v>
      </c>
      <c r="C889">
        <v>523880</v>
      </c>
      <c r="D889">
        <v>52899</v>
      </c>
      <c r="E889">
        <v>100</v>
      </c>
      <c r="F889" t="s">
        <v>37</v>
      </c>
      <c r="G889">
        <v>1</v>
      </c>
      <c r="H889" t="s">
        <v>37</v>
      </c>
      <c r="I889" t="s">
        <v>37</v>
      </c>
      <c r="J889" t="s">
        <v>775</v>
      </c>
      <c r="K889" t="s">
        <v>230</v>
      </c>
      <c r="L889" t="s">
        <v>226</v>
      </c>
      <c r="M889" t="s">
        <v>422</v>
      </c>
      <c r="N889" t="s">
        <v>4520</v>
      </c>
      <c r="O889" t="s">
        <v>4521</v>
      </c>
      <c r="S889">
        <v>0</v>
      </c>
      <c r="T889">
        <v>24</v>
      </c>
      <c r="U889">
        <v>0</v>
      </c>
      <c r="V889">
        <v>24</v>
      </c>
      <c r="W889">
        <v>24</v>
      </c>
      <c r="X889">
        <v>0</v>
      </c>
      <c r="Y889">
        <v>0</v>
      </c>
      <c r="Z889">
        <v>0</v>
      </c>
      <c r="AB889" s="5">
        <v>43501</v>
      </c>
      <c r="AC889" s="5">
        <v>43504</v>
      </c>
      <c r="AD889" s="5">
        <v>43970.333333333336</v>
      </c>
      <c r="AE889" s="5">
        <v>43970.333333333336</v>
      </c>
      <c r="AG889" s="5">
        <v>44044</v>
      </c>
      <c r="AH889" s="5">
        <v>44044</v>
      </c>
      <c r="AK889" s="5">
        <v>43528.333333333336</v>
      </c>
      <c r="AL889" s="5">
        <v>43530.666666666664</v>
      </c>
      <c r="AP889" t="s">
        <v>418</v>
      </c>
      <c r="AU889" t="s">
        <v>4522</v>
      </c>
      <c r="AV889" t="s">
        <v>4523</v>
      </c>
      <c r="AY889" t="s">
        <v>40</v>
      </c>
      <c r="AZ889">
        <v>24</v>
      </c>
      <c r="BA889">
        <v>0</v>
      </c>
      <c r="BI889" s="5">
        <v>44048.176388888889</v>
      </c>
      <c r="BJ889" s="5">
        <v>44048.176388888889</v>
      </c>
      <c r="BK889" t="s">
        <v>778</v>
      </c>
      <c r="BL889" t="s">
        <v>778</v>
      </c>
      <c r="BN889" t="s">
        <v>37</v>
      </c>
    </row>
    <row r="890" spans="1:66" x14ac:dyDescent="0.2">
      <c r="A890">
        <v>3693447</v>
      </c>
      <c r="B890">
        <v>21883</v>
      </c>
      <c r="C890">
        <v>523880</v>
      </c>
      <c r="D890">
        <v>52899</v>
      </c>
      <c r="E890">
        <v>100</v>
      </c>
      <c r="F890" t="s">
        <v>37</v>
      </c>
      <c r="G890">
        <v>1</v>
      </c>
      <c r="H890" t="s">
        <v>37</v>
      </c>
      <c r="I890" t="s">
        <v>37</v>
      </c>
      <c r="J890" t="s">
        <v>775</v>
      </c>
      <c r="K890" t="s">
        <v>230</v>
      </c>
      <c r="L890" t="s">
        <v>226</v>
      </c>
      <c r="M890" t="s">
        <v>422</v>
      </c>
      <c r="N890" t="s">
        <v>4524</v>
      </c>
      <c r="O890" t="s">
        <v>4525</v>
      </c>
      <c r="S890">
        <v>0</v>
      </c>
      <c r="T890">
        <v>16</v>
      </c>
      <c r="U890">
        <v>0</v>
      </c>
      <c r="V890">
        <v>16</v>
      </c>
      <c r="W890">
        <v>16</v>
      </c>
      <c r="X890">
        <v>0</v>
      </c>
      <c r="Y890">
        <v>0</v>
      </c>
      <c r="Z890">
        <v>0</v>
      </c>
      <c r="AB890" s="5">
        <v>43529</v>
      </c>
      <c r="AC890" s="5">
        <v>43529</v>
      </c>
      <c r="AD890" s="5">
        <v>43970.333333333336</v>
      </c>
      <c r="AE890" s="5">
        <v>43970.333333333336</v>
      </c>
      <c r="AG890" s="5">
        <v>44044</v>
      </c>
      <c r="AH890" s="5">
        <v>44044</v>
      </c>
      <c r="AK890" s="5">
        <v>43556.333333333336</v>
      </c>
      <c r="AL890" s="5">
        <v>43557.666666666664</v>
      </c>
      <c r="AP890" t="s">
        <v>418</v>
      </c>
      <c r="AU890" t="s">
        <v>4526</v>
      </c>
      <c r="AV890" t="s">
        <v>4527</v>
      </c>
      <c r="AY890" t="s">
        <v>40</v>
      </c>
      <c r="AZ890">
        <v>16</v>
      </c>
      <c r="BA890">
        <v>0</v>
      </c>
      <c r="BI890" s="5">
        <v>44048.176388888889</v>
      </c>
      <c r="BJ890" s="5">
        <v>44048.176388888889</v>
      </c>
      <c r="BK890" t="s">
        <v>778</v>
      </c>
      <c r="BL890" t="s">
        <v>778</v>
      </c>
      <c r="BN890" t="s">
        <v>37</v>
      </c>
    </row>
    <row r="891" spans="1:66" x14ac:dyDescent="0.2">
      <c r="A891">
        <v>3693448</v>
      </c>
      <c r="B891">
        <v>21883</v>
      </c>
      <c r="C891">
        <v>523880</v>
      </c>
      <c r="D891">
        <v>52899</v>
      </c>
      <c r="E891">
        <v>100</v>
      </c>
      <c r="F891" t="s">
        <v>37</v>
      </c>
      <c r="G891">
        <v>1</v>
      </c>
      <c r="H891" t="s">
        <v>37</v>
      </c>
      <c r="I891" t="s">
        <v>37</v>
      </c>
      <c r="J891" t="s">
        <v>775</v>
      </c>
      <c r="K891" t="s">
        <v>230</v>
      </c>
      <c r="L891" t="s">
        <v>226</v>
      </c>
      <c r="M891" t="s">
        <v>422</v>
      </c>
      <c r="N891" t="s">
        <v>4528</v>
      </c>
      <c r="O891" t="s">
        <v>4529</v>
      </c>
      <c r="S891">
        <v>0</v>
      </c>
      <c r="T891">
        <v>16</v>
      </c>
      <c r="U891">
        <v>0</v>
      </c>
      <c r="V891">
        <v>16</v>
      </c>
      <c r="W891">
        <v>16</v>
      </c>
      <c r="X891">
        <v>0</v>
      </c>
      <c r="Y891">
        <v>0</v>
      </c>
      <c r="Z891">
        <v>0</v>
      </c>
      <c r="AB891" s="5">
        <v>43530</v>
      </c>
      <c r="AC891" s="5">
        <v>43530</v>
      </c>
      <c r="AD891" s="5">
        <v>43970.333333333336</v>
      </c>
      <c r="AE891" s="5">
        <v>43970.333333333336</v>
      </c>
      <c r="AG891" s="5">
        <v>44044</v>
      </c>
      <c r="AH891" s="5">
        <v>44044</v>
      </c>
      <c r="AK891" s="5">
        <v>43556.333333333336</v>
      </c>
      <c r="AL891" s="5">
        <v>43557.666666666664</v>
      </c>
      <c r="AP891" t="s">
        <v>418</v>
      </c>
      <c r="AU891" t="s">
        <v>4530</v>
      </c>
      <c r="AV891" t="s">
        <v>4531</v>
      </c>
      <c r="AY891" t="s">
        <v>40</v>
      </c>
      <c r="AZ891">
        <v>16</v>
      </c>
      <c r="BA891">
        <v>0</v>
      </c>
      <c r="BI891" s="5">
        <v>44048.176388888889</v>
      </c>
      <c r="BJ891" s="5">
        <v>44048.176388888889</v>
      </c>
      <c r="BK891" t="s">
        <v>778</v>
      </c>
      <c r="BL891" t="s">
        <v>778</v>
      </c>
      <c r="BN891" t="s">
        <v>37</v>
      </c>
    </row>
    <row r="892" spans="1:66" x14ac:dyDescent="0.2">
      <c r="A892">
        <v>3693449</v>
      </c>
      <c r="B892">
        <v>21883</v>
      </c>
      <c r="C892">
        <v>523879</v>
      </c>
      <c r="D892">
        <v>52899</v>
      </c>
      <c r="E892">
        <v>100</v>
      </c>
      <c r="F892" t="s">
        <v>37</v>
      </c>
      <c r="G892">
        <v>1</v>
      </c>
      <c r="H892" t="s">
        <v>37</v>
      </c>
      <c r="I892" t="s">
        <v>37</v>
      </c>
      <c r="J892" t="s">
        <v>775</v>
      </c>
      <c r="K892" t="s">
        <v>230</v>
      </c>
      <c r="L892" t="s">
        <v>226</v>
      </c>
      <c r="M892" t="s">
        <v>422</v>
      </c>
      <c r="N892" t="s">
        <v>4532</v>
      </c>
      <c r="O892" t="s">
        <v>4533</v>
      </c>
      <c r="S892">
        <v>0</v>
      </c>
      <c r="T892">
        <v>8</v>
      </c>
      <c r="U892">
        <v>0</v>
      </c>
      <c r="V892">
        <v>8</v>
      </c>
      <c r="W892">
        <v>8</v>
      </c>
      <c r="X892">
        <v>0</v>
      </c>
      <c r="Y892">
        <v>0</v>
      </c>
      <c r="Z892">
        <v>0</v>
      </c>
      <c r="AB892" s="5">
        <v>43598</v>
      </c>
      <c r="AC892" s="5">
        <v>43598</v>
      </c>
      <c r="AD892" s="5">
        <v>43970.333333333336</v>
      </c>
      <c r="AE892" s="5">
        <v>43970.333333333336</v>
      </c>
      <c r="AG892" s="5">
        <v>44044</v>
      </c>
      <c r="AH892" s="5">
        <v>44044</v>
      </c>
      <c r="AK892" s="5">
        <v>43619.333333333336</v>
      </c>
      <c r="AL892" s="5">
        <v>43619.666666666664</v>
      </c>
      <c r="AP892" t="s">
        <v>418</v>
      </c>
      <c r="AU892" t="s">
        <v>4534</v>
      </c>
      <c r="AV892" t="s">
        <v>4535</v>
      </c>
      <c r="AY892" t="s">
        <v>40</v>
      </c>
      <c r="AZ892">
        <v>0</v>
      </c>
      <c r="BA892">
        <v>0</v>
      </c>
      <c r="BI892" s="5">
        <v>44048.176388888889</v>
      </c>
      <c r="BJ892" s="5">
        <v>44048.176388888889</v>
      </c>
      <c r="BK892" t="s">
        <v>778</v>
      </c>
      <c r="BL892" t="s">
        <v>778</v>
      </c>
      <c r="BN892" t="s">
        <v>37</v>
      </c>
    </row>
    <row r="893" spans="1:66" x14ac:dyDescent="0.2">
      <c r="A893">
        <v>3693450</v>
      </c>
      <c r="B893">
        <v>21883</v>
      </c>
      <c r="C893">
        <v>523879</v>
      </c>
      <c r="D893">
        <v>52899</v>
      </c>
      <c r="E893">
        <v>100</v>
      </c>
      <c r="F893" t="s">
        <v>37</v>
      </c>
      <c r="G893">
        <v>1</v>
      </c>
      <c r="H893" t="s">
        <v>37</v>
      </c>
      <c r="I893" t="s">
        <v>37</v>
      </c>
      <c r="J893" t="s">
        <v>775</v>
      </c>
      <c r="K893" t="s">
        <v>230</v>
      </c>
      <c r="L893" t="s">
        <v>226</v>
      </c>
      <c r="M893" t="s">
        <v>422</v>
      </c>
      <c r="N893" t="s">
        <v>4536</v>
      </c>
      <c r="O893" t="s">
        <v>4537</v>
      </c>
      <c r="S893">
        <v>0</v>
      </c>
      <c r="T893">
        <v>16</v>
      </c>
      <c r="U893">
        <v>0</v>
      </c>
      <c r="V893">
        <v>16</v>
      </c>
      <c r="W893">
        <v>16</v>
      </c>
      <c r="X893">
        <v>0</v>
      </c>
      <c r="Y893">
        <v>0</v>
      </c>
      <c r="Z893">
        <v>0</v>
      </c>
      <c r="AB893" s="5">
        <v>43566</v>
      </c>
      <c r="AC893" s="5">
        <v>43566</v>
      </c>
      <c r="AD893" s="5">
        <v>43970.333333333336</v>
      </c>
      <c r="AE893" s="5">
        <v>43970.333333333336</v>
      </c>
      <c r="AG893" s="5">
        <v>44044</v>
      </c>
      <c r="AH893" s="5">
        <v>44044</v>
      </c>
      <c r="AK893" s="5">
        <v>43587.333333333336</v>
      </c>
      <c r="AL893" s="5">
        <v>43588.666666666664</v>
      </c>
      <c r="AP893" t="s">
        <v>418</v>
      </c>
      <c r="AU893" t="s">
        <v>4538</v>
      </c>
      <c r="AV893" t="s">
        <v>4539</v>
      </c>
      <c r="AY893" t="s">
        <v>40</v>
      </c>
      <c r="AZ893">
        <v>16</v>
      </c>
      <c r="BA893">
        <v>0</v>
      </c>
      <c r="BI893" s="5">
        <v>44048.176388888889</v>
      </c>
      <c r="BJ893" s="5">
        <v>44048.176388888889</v>
      </c>
      <c r="BK893" t="s">
        <v>778</v>
      </c>
      <c r="BL893" t="s">
        <v>778</v>
      </c>
      <c r="BN893" t="s">
        <v>37</v>
      </c>
    </row>
    <row r="894" spans="1:66" x14ac:dyDescent="0.2">
      <c r="A894">
        <v>3693451</v>
      </c>
      <c r="B894">
        <v>21883</v>
      </c>
      <c r="C894">
        <v>523879</v>
      </c>
      <c r="D894">
        <v>52899</v>
      </c>
      <c r="E894">
        <v>100</v>
      </c>
      <c r="F894" t="s">
        <v>37</v>
      </c>
      <c r="G894">
        <v>1</v>
      </c>
      <c r="H894" t="s">
        <v>37</v>
      </c>
      <c r="I894" t="s">
        <v>37</v>
      </c>
      <c r="J894" t="s">
        <v>775</v>
      </c>
      <c r="K894" t="s">
        <v>230</v>
      </c>
      <c r="L894" t="s">
        <v>226</v>
      </c>
      <c r="M894" t="s">
        <v>422</v>
      </c>
      <c r="N894" t="s">
        <v>4540</v>
      </c>
      <c r="O894" t="s">
        <v>4541</v>
      </c>
      <c r="S894">
        <v>0</v>
      </c>
      <c r="T894">
        <v>16</v>
      </c>
      <c r="U894">
        <v>0</v>
      </c>
      <c r="V894">
        <v>16</v>
      </c>
      <c r="W894">
        <v>16</v>
      </c>
      <c r="X894">
        <v>0</v>
      </c>
      <c r="Y894">
        <v>0</v>
      </c>
      <c r="Z894">
        <v>0</v>
      </c>
      <c r="AB894" s="5">
        <v>43507</v>
      </c>
      <c r="AC894" s="5">
        <v>43507</v>
      </c>
      <c r="AD894" s="5">
        <v>43970.333333333336</v>
      </c>
      <c r="AE894" s="5">
        <v>43970.333333333336</v>
      </c>
      <c r="AG894" s="5">
        <v>44044</v>
      </c>
      <c r="AH894" s="5">
        <v>44044</v>
      </c>
      <c r="AK894" s="5">
        <v>43528.333333333336</v>
      </c>
      <c r="AL894" s="5">
        <v>43529.666666666664</v>
      </c>
      <c r="AP894" t="s">
        <v>418</v>
      </c>
      <c r="AU894" t="s">
        <v>4542</v>
      </c>
      <c r="AV894" t="s">
        <v>4543</v>
      </c>
      <c r="AY894" t="s">
        <v>40</v>
      </c>
      <c r="AZ894">
        <v>16</v>
      </c>
      <c r="BA894">
        <v>0</v>
      </c>
      <c r="BI894" s="5">
        <v>44048.176388888889</v>
      </c>
      <c r="BJ894" s="5">
        <v>44048.176388888889</v>
      </c>
      <c r="BK894" t="s">
        <v>778</v>
      </c>
      <c r="BL894" t="s">
        <v>778</v>
      </c>
      <c r="BN894" t="s">
        <v>37</v>
      </c>
    </row>
    <row r="895" spans="1:66" x14ac:dyDescent="0.2">
      <c r="A895">
        <v>3693452</v>
      </c>
      <c r="B895">
        <v>21883</v>
      </c>
      <c r="C895">
        <v>523879</v>
      </c>
      <c r="D895">
        <v>52899</v>
      </c>
      <c r="E895">
        <v>100</v>
      </c>
      <c r="F895" t="s">
        <v>37</v>
      </c>
      <c r="G895">
        <v>1</v>
      </c>
      <c r="H895" t="s">
        <v>37</v>
      </c>
      <c r="I895" t="s">
        <v>37</v>
      </c>
      <c r="J895" t="s">
        <v>775</v>
      </c>
      <c r="K895" t="s">
        <v>230</v>
      </c>
      <c r="L895" t="s">
        <v>226</v>
      </c>
      <c r="M895" t="s">
        <v>422</v>
      </c>
      <c r="N895" t="s">
        <v>4544</v>
      </c>
      <c r="O895" t="s">
        <v>4545</v>
      </c>
      <c r="S895">
        <v>0</v>
      </c>
      <c r="T895">
        <v>16</v>
      </c>
      <c r="U895">
        <v>0</v>
      </c>
      <c r="V895">
        <v>16</v>
      </c>
      <c r="W895">
        <v>16</v>
      </c>
      <c r="X895">
        <v>0</v>
      </c>
      <c r="Y895">
        <v>0</v>
      </c>
      <c r="Z895">
        <v>0</v>
      </c>
      <c r="AB895" s="5">
        <v>43508</v>
      </c>
      <c r="AC895" s="5">
        <v>43508</v>
      </c>
      <c r="AD895" s="5">
        <v>43970.333333333336</v>
      </c>
      <c r="AE895" s="5">
        <v>43970.333333333336</v>
      </c>
      <c r="AG895" s="5">
        <v>44044</v>
      </c>
      <c r="AH895" s="5">
        <v>44044</v>
      </c>
      <c r="AK895" s="5">
        <v>43530.333333333336</v>
      </c>
      <c r="AL895" s="5">
        <v>43532.666666666664</v>
      </c>
      <c r="AP895" t="s">
        <v>418</v>
      </c>
      <c r="AU895" t="s">
        <v>4546</v>
      </c>
      <c r="AV895" t="s">
        <v>4547</v>
      </c>
      <c r="AY895" t="s">
        <v>40</v>
      </c>
      <c r="AZ895">
        <v>16</v>
      </c>
      <c r="BA895">
        <v>0</v>
      </c>
      <c r="BI895" s="5">
        <v>44048.176388888889</v>
      </c>
      <c r="BJ895" s="5">
        <v>44048.176388888889</v>
      </c>
      <c r="BK895" t="s">
        <v>778</v>
      </c>
      <c r="BL895" t="s">
        <v>778</v>
      </c>
      <c r="BN895" t="s">
        <v>37</v>
      </c>
    </row>
    <row r="896" spans="1:66" x14ac:dyDescent="0.2">
      <c r="A896">
        <v>3693453</v>
      </c>
      <c r="B896">
        <v>21883</v>
      </c>
      <c r="C896">
        <v>523879</v>
      </c>
      <c r="D896">
        <v>52899</v>
      </c>
      <c r="E896">
        <v>100</v>
      </c>
      <c r="F896" t="s">
        <v>37</v>
      </c>
      <c r="G896">
        <v>1</v>
      </c>
      <c r="H896" t="s">
        <v>37</v>
      </c>
      <c r="I896" t="s">
        <v>37</v>
      </c>
      <c r="J896" t="s">
        <v>775</v>
      </c>
      <c r="K896" t="s">
        <v>230</v>
      </c>
      <c r="L896" t="s">
        <v>226</v>
      </c>
      <c r="M896" t="s">
        <v>422</v>
      </c>
      <c r="N896" t="s">
        <v>4548</v>
      </c>
      <c r="O896" t="s">
        <v>4549</v>
      </c>
      <c r="S896">
        <v>0</v>
      </c>
      <c r="T896">
        <v>16</v>
      </c>
      <c r="U896">
        <v>0</v>
      </c>
      <c r="V896">
        <v>16</v>
      </c>
      <c r="W896">
        <v>16</v>
      </c>
      <c r="X896">
        <v>0</v>
      </c>
      <c r="Y896">
        <v>0</v>
      </c>
      <c r="Z896">
        <v>0</v>
      </c>
      <c r="AB896" s="5">
        <v>43472</v>
      </c>
      <c r="AC896" s="5">
        <v>43473</v>
      </c>
      <c r="AD896" s="5">
        <v>43970.333333333336</v>
      </c>
      <c r="AE896" s="5">
        <v>43970.333333333336</v>
      </c>
      <c r="AG896" s="5">
        <v>44044</v>
      </c>
      <c r="AH896" s="5">
        <v>44044</v>
      </c>
      <c r="AK896" s="5">
        <v>43500.333333333336</v>
      </c>
      <c r="AL896" s="5">
        <v>43501.666666666664</v>
      </c>
      <c r="AP896" t="s">
        <v>418</v>
      </c>
      <c r="AU896" t="s">
        <v>4550</v>
      </c>
      <c r="AV896" t="s">
        <v>4551</v>
      </c>
      <c r="AY896" t="s">
        <v>40</v>
      </c>
      <c r="AZ896">
        <v>16</v>
      </c>
      <c r="BA896">
        <v>0</v>
      </c>
      <c r="BI896" s="5">
        <v>44048.176388888889</v>
      </c>
      <c r="BJ896" s="5">
        <v>44048.176388888889</v>
      </c>
      <c r="BK896" t="s">
        <v>778</v>
      </c>
      <c r="BL896" t="s">
        <v>778</v>
      </c>
      <c r="BN896" t="s">
        <v>37</v>
      </c>
    </row>
    <row r="897" spans="1:66" x14ac:dyDescent="0.2">
      <c r="A897">
        <v>3693454</v>
      </c>
      <c r="B897">
        <v>21883</v>
      </c>
      <c r="C897">
        <v>523879</v>
      </c>
      <c r="D897">
        <v>52899</v>
      </c>
      <c r="E897">
        <v>100</v>
      </c>
      <c r="F897" t="s">
        <v>37</v>
      </c>
      <c r="G897">
        <v>1</v>
      </c>
      <c r="H897" t="s">
        <v>37</v>
      </c>
      <c r="I897" t="s">
        <v>37</v>
      </c>
      <c r="J897" t="s">
        <v>775</v>
      </c>
      <c r="K897" t="s">
        <v>230</v>
      </c>
      <c r="L897" t="s">
        <v>226</v>
      </c>
      <c r="M897" t="s">
        <v>422</v>
      </c>
      <c r="N897" t="s">
        <v>4552</v>
      </c>
      <c r="O897" t="s">
        <v>4553</v>
      </c>
      <c r="S897">
        <v>0</v>
      </c>
      <c r="T897">
        <v>16</v>
      </c>
      <c r="U897">
        <v>0</v>
      </c>
      <c r="V897">
        <v>16</v>
      </c>
      <c r="W897">
        <v>16</v>
      </c>
      <c r="X897">
        <v>0</v>
      </c>
      <c r="Y897">
        <v>0</v>
      </c>
      <c r="Z897">
        <v>0</v>
      </c>
      <c r="AB897" s="5">
        <v>43487</v>
      </c>
      <c r="AC897" s="5">
        <v>43503</v>
      </c>
      <c r="AD897" s="5">
        <v>43970.333333333336</v>
      </c>
      <c r="AE897" s="5">
        <v>43970.333333333336</v>
      </c>
      <c r="AG897" s="5">
        <v>44044</v>
      </c>
      <c r="AH897" s="5">
        <v>44044</v>
      </c>
      <c r="AK897" s="5">
        <v>43500.333333333336</v>
      </c>
      <c r="AL897" s="5">
        <v>43501.666666666664</v>
      </c>
      <c r="AP897" t="s">
        <v>418</v>
      </c>
      <c r="AU897" t="s">
        <v>4554</v>
      </c>
      <c r="AV897" t="s">
        <v>4555</v>
      </c>
      <c r="AY897" t="s">
        <v>40</v>
      </c>
      <c r="AZ897">
        <v>16</v>
      </c>
      <c r="BA897">
        <v>0</v>
      </c>
      <c r="BI897" s="5">
        <v>44048.176388888889</v>
      </c>
      <c r="BJ897" s="5">
        <v>44048.176388888889</v>
      </c>
      <c r="BK897" t="s">
        <v>778</v>
      </c>
      <c r="BL897" t="s">
        <v>778</v>
      </c>
      <c r="BN897" t="s">
        <v>37</v>
      </c>
    </row>
    <row r="898" spans="1:66" x14ac:dyDescent="0.2">
      <c r="A898">
        <v>3693455</v>
      </c>
      <c r="B898">
        <v>21883</v>
      </c>
      <c r="C898">
        <v>523879</v>
      </c>
      <c r="D898">
        <v>52899</v>
      </c>
      <c r="E898">
        <v>100</v>
      </c>
      <c r="F898" t="s">
        <v>37</v>
      </c>
      <c r="G898">
        <v>1</v>
      </c>
      <c r="H898" t="s">
        <v>37</v>
      </c>
      <c r="I898" t="s">
        <v>37</v>
      </c>
      <c r="J898" t="s">
        <v>775</v>
      </c>
      <c r="K898" t="s">
        <v>230</v>
      </c>
      <c r="L898" t="s">
        <v>226</v>
      </c>
      <c r="M898" t="s">
        <v>422</v>
      </c>
      <c r="N898" t="s">
        <v>4556</v>
      </c>
      <c r="O898" t="s">
        <v>4557</v>
      </c>
      <c r="S898">
        <v>0</v>
      </c>
      <c r="T898">
        <v>24</v>
      </c>
      <c r="U898">
        <v>0</v>
      </c>
      <c r="V898">
        <v>24</v>
      </c>
      <c r="W898">
        <v>24</v>
      </c>
      <c r="X898">
        <v>0</v>
      </c>
      <c r="Y898">
        <v>0</v>
      </c>
      <c r="Z898">
        <v>0</v>
      </c>
      <c r="AB898" s="5">
        <v>43480</v>
      </c>
      <c r="AC898" s="5">
        <v>43503</v>
      </c>
      <c r="AD898" s="5">
        <v>43970.333333333336</v>
      </c>
      <c r="AE898" s="5">
        <v>43970.333333333336</v>
      </c>
      <c r="AG898" s="5">
        <v>44044</v>
      </c>
      <c r="AH898" s="5">
        <v>44044</v>
      </c>
      <c r="AK898" s="5">
        <v>43502.333333333336</v>
      </c>
      <c r="AL898" s="5">
        <v>43504.666666666664</v>
      </c>
      <c r="AP898" t="s">
        <v>418</v>
      </c>
      <c r="AU898" t="s">
        <v>4558</v>
      </c>
      <c r="AV898" t="s">
        <v>4559</v>
      </c>
      <c r="AY898" t="s">
        <v>40</v>
      </c>
      <c r="AZ898">
        <v>24</v>
      </c>
      <c r="BA898">
        <v>0</v>
      </c>
      <c r="BI898" s="5">
        <v>44048.176388888889</v>
      </c>
      <c r="BJ898" s="5">
        <v>44048.176388888889</v>
      </c>
      <c r="BK898" t="s">
        <v>778</v>
      </c>
      <c r="BL898" t="s">
        <v>778</v>
      </c>
      <c r="BN898" t="s">
        <v>37</v>
      </c>
    </row>
    <row r="899" spans="1:66" x14ac:dyDescent="0.2">
      <c r="A899">
        <v>3693456</v>
      </c>
      <c r="B899">
        <v>21883</v>
      </c>
      <c r="C899">
        <v>523878</v>
      </c>
      <c r="D899">
        <v>52899</v>
      </c>
      <c r="E899">
        <v>100</v>
      </c>
      <c r="F899" t="s">
        <v>37</v>
      </c>
      <c r="G899">
        <v>1</v>
      </c>
      <c r="H899" t="s">
        <v>37</v>
      </c>
      <c r="I899" t="s">
        <v>37</v>
      </c>
      <c r="J899" t="s">
        <v>775</v>
      </c>
      <c r="K899" t="s">
        <v>230</v>
      </c>
      <c r="L899" t="s">
        <v>226</v>
      </c>
      <c r="M899" t="s">
        <v>422</v>
      </c>
      <c r="N899" t="s">
        <v>4560</v>
      </c>
      <c r="O899" t="s">
        <v>4561</v>
      </c>
      <c r="S899">
        <v>0</v>
      </c>
      <c r="T899">
        <v>8</v>
      </c>
      <c r="U899">
        <v>0</v>
      </c>
      <c r="V899">
        <v>8</v>
      </c>
      <c r="W899">
        <v>8</v>
      </c>
      <c r="X899">
        <v>0</v>
      </c>
      <c r="Y899">
        <v>0</v>
      </c>
      <c r="Z899">
        <v>0</v>
      </c>
      <c r="AB899" s="5">
        <v>43600</v>
      </c>
      <c r="AC899" s="5">
        <v>43609</v>
      </c>
      <c r="AD899" s="5">
        <v>43970.333333333336</v>
      </c>
      <c r="AE899" s="5">
        <v>43970.333333333336</v>
      </c>
      <c r="AG899" s="5">
        <v>44044</v>
      </c>
      <c r="AH899" s="5">
        <v>44044</v>
      </c>
      <c r="AK899" s="5">
        <v>43619.333333333336</v>
      </c>
      <c r="AL899" s="5">
        <v>43619.666666666664</v>
      </c>
      <c r="AP899" t="s">
        <v>418</v>
      </c>
      <c r="AU899" t="s">
        <v>4562</v>
      </c>
      <c r="AV899" t="s">
        <v>4563</v>
      </c>
      <c r="AY899" t="s">
        <v>40</v>
      </c>
      <c r="AZ899">
        <v>0</v>
      </c>
      <c r="BA899">
        <v>0</v>
      </c>
      <c r="BI899" s="5">
        <v>44048.176388888889</v>
      </c>
      <c r="BJ899" s="5">
        <v>44048.176388888889</v>
      </c>
      <c r="BK899" t="s">
        <v>778</v>
      </c>
      <c r="BL899" t="s">
        <v>778</v>
      </c>
      <c r="BN899" t="s">
        <v>37</v>
      </c>
    </row>
    <row r="900" spans="1:66" x14ac:dyDescent="0.2">
      <c r="A900">
        <v>3693457</v>
      </c>
      <c r="B900">
        <v>21883</v>
      </c>
      <c r="C900">
        <v>523878</v>
      </c>
      <c r="D900">
        <v>52899</v>
      </c>
      <c r="E900">
        <v>100</v>
      </c>
      <c r="F900" t="s">
        <v>37</v>
      </c>
      <c r="G900">
        <v>1</v>
      </c>
      <c r="H900" t="s">
        <v>37</v>
      </c>
      <c r="I900" t="s">
        <v>37</v>
      </c>
      <c r="J900" t="s">
        <v>775</v>
      </c>
      <c r="K900" t="s">
        <v>230</v>
      </c>
      <c r="L900" t="s">
        <v>226</v>
      </c>
      <c r="M900" t="s">
        <v>422</v>
      </c>
      <c r="N900" t="s">
        <v>4564</v>
      </c>
      <c r="O900" t="s">
        <v>4565</v>
      </c>
      <c r="S900">
        <v>0</v>
      </c>
      <c r="T900">
        <v>16</v>
      </c>
      <c r="U900">
        <v>0</v>
      </c>
      <c r="V900">
        <v>16</v>
      </c>
      <c r="W900">
        <v>16</v>
      </c>
      <c r="X900">
        <v>0</v>
      </c>
      <c r="Y900">
        <v>0</v>
      </c>
      <c r="Z900">
        <v>0</v>
      </c>
      <c r="AB900" s="5">
        <v>43566</v>
      </c>
      <c r="AC900" s="5">
        <v>43566</v>
      </c>
      <c r="AD900" s="5">
        <v>43970.333333333336</v>
      </c>
      <c r="AE900" s="5">
        <v>43970.333333333336</v>
      </c>
      <c r="AG900" s="5">
        <v>44044</v>
      </c>
      <c r="AH900" s="5">
        <v>44044</v>
      </c>
      <c r="AK900" s="5">
        <v>43586.333333333336</v>
      </c>
      <c r="AL900" s="5">
        <v>43587.666666666664</v>
      </c>
      <c r="AP900" t="s">
        <v>418</v>
      </c>
      <c r="AU900" t="s">
        <v>4566</v>
      </c>
      <c r="AV900" t="s">
        <v>4567</v>
      </c>
      <c r="AY900" t="s">
        <v>40</v>
      </c>
      <c r="AZ900">
        <v>16</v>
      </c>
      <c r="BA900">
        <v>0</v>
      </c>
      <c r="BI900" s="5">
        <v>44048.176388888889</v>
      </c>
      <c r="BJ900" s="5">
        <v>44048.176388888889</v>
      </c>
      <c r="BK900" t="s">
        <v>778</v>
      </c>
      <c r="BL900" t="s">
        <v>778</v>
      </c>
      <c r="BN900" t="s">
        <v>37</v>
      </c>
    </row>
    <row r="901" spans="1:66" x14ac:dyDescent="0.2">
      <c r="A901">
        <v>3693458</v>
      </c>
      <c r="B901">
        <v>21883</v>
      </c>
      <c r="C901">
        <v>523878</v>
      </c>
      <c r="D901">
        <v>52899</v>
      </c>
      <c r="E901">
        <v>100</v>
      </c>
      <c r="F901" t="s">
        <v>37</v>
      </c>
      <c r="G901">
        <v>1</v>
      </c>
      <c r="H901" t="s">
        <v>37</v>
      </c>
      <c r="I901" t="s">
        <v>37</v>
      </c>
      <c r="J901" t="s">
        <v>775</v>
      </c>
      <c r="K901" t="s">
        <v>230</v>
      </c>
      <c r="L901" t="s">
        <v>226</v>
      </c>
      <c r="M901" t="s">
        <v>422</v>
      </c>
      <c r="N901" t="s">
        <v>4568</v>
      </c>
      <c r="O901" t="s">
        <v>4569</v>
      </c>
      <c r="S901">
        <v>0</v>
      </c>
      <c r="T901">
        <v>16</v>
      </c>
      <c r="U901">
        <v>0</v>
      </c>
      <c r="V901">
        <v>16</v>
      </c>
      <c r="W901">
        <v>16</v>
      </c>
      <c r="X901">
        <v>0</v>
      </c>
      <c r="Y901">
        <v>0</v>
      </c>
      <c r="Z901">
        <v>0</v>
      </c>
      <c r="AB901" s="5">
        <v>43470</v>
      </c>
      <c r="AC901" s="5">
        <v>43470</v>
      </c>
      <c r="AD901" s="5">
        <v>43970.333333333336</v>
      </c>
      <c r="AE901" s="5">
        <v>43970.333333333336</v>
      </c>
      <c r="AG901" s="5">
        <v>44044</v>
      </c>
      <c r="AH901" s="5">
        <v>44044</v>
      </c>
      <c r="AK901" s="5">
        <v>43468.333333333336</v>
      </c>
      <c r="AL901" s="5">
        <v>43469.666666666664</v>
      </c>
      <c r="AP901" t="s">
        <v>418</v>
      </c>
      <c r="AU901" t="s">
        <v>4570</v>
      </c>
      <c r="AV901" t="s">
        <v>4571</v>
      </c>
      <c r="AY901" t="s">
        <v>40</v>
      </c>
      <c r="AZ901">
        <v>16</v>
      </c>
      <c r="BA901">
        <v>0</v>
      </c>
      <c r="BI901" s="5">
        <v>44048.176388888889</v>
      </c>
      <c r="BJ901" s="5">
        <v>44048.176388888889</v>
      </c>
      <c r="BK901" t="s">
        <v>778</v>
      </c>
      <c r="BL901" t="s">
        <v>778</v>
      </c>
      <c r="BN901" t="s">
        <v>37</v>
      </c>
    </row>
    <row r="902" spans="1:66" x14ac:dyDescent="0.2">
      <c r="A902">
        <v>3693459</v>
      </c>
      <c r="B902">
        <v>21883</v>
      </c>
      <c r="C902">
        <v>523878</v>
      </c>
      <c r="D902">
        <v>52899</v>
      </c>
      <c r="E902">
        <v>100</v>
      </c>
      <c r="F902" t="s">
        <v>37</v>
      </c>
      <c r="G902">
        <v>1</v>
      </c>
      <c r="H902" t="s">
        <v>37</v>
      </c>
      <c r="I902" t="s">
        <v>37</v>
      </c>
      <c r="J902" t="s">
        <v>775</v>
      </c>
      <c r="K902" t="s">
        <v>230</v>
      </c>
      <c r="L902" t="s">
        <v>226</v>
      </c>
      <c r="M902" t="s">
        <v>422</v>
      </c>
      <c r="N902" t="s">
        <v>4572</v>
      </c>
      <c r="O902" t="s">
        <v>4573</v>
      </c>
      <c r="S902">
        <v>0</v>
      </c>
      <c r="T902">
        <v>16</v>
      </c>
      <c r="U902">
        <v>0</v>
      </c>
      <c r="V902">
        <v>16</v>
      </c>
      <c r="W902">
        <v>16</v>
      </c>
      <c r="X902">
        <v>0</v>
      </c>
      <c r="Y902">
        <v>0</v>
      </c>
      <c r="Z902">
        <v>0</v>
      </c>
      <c r="AB902" s="5">
        <v>43483</v>
      </c>
      <c r="AC902" s="5">
        <v>43497</v>
      </c>
      <c r="AD902" s="5">
        <v>43970.333333333336</v>
      </c>
      <c r="AE902" s="5">
        <v>43970.333333333336</v>
      </c>
      <c r="AG902" s="5">
        <v>44044</v>
      </c>
      <c r="AH902" s="5">
        <v>44044</v>
      </c>
      <c r="AK902" s="5">
        <v>43468.333333333336</v>
      </c>
      <c r="AL902" s="5">
        <v>43469.666666666664</v>
      </c>
      <c r="AP902" t="s">
        <v>418</v>
      </c>
      <c r="AU902" t="s">
        <v>4574</v>
      </c>
      <c r="AV902" t="s">
        <v>4575</v>
      </c>
      <c r="AY902" t="s">
        <v>40</v>
      </c>
      <c r="AZ902">
        <v>16</v>
      </c>
      <c r="BA902">
        <v>0</v>
      </c>
      <c r="BI902" s="5">
        <v>44048.176388888889</v>
      </c>
      <c r="BJ902" s="5">
        <v>44048.176388888889</v>
      </c>
      <c r="BK902" t="s">
        <v>778</v>
      </c>
      <c r="BL902" t="s">
        <v>778</v>
      </c>
      <c r="BN902" t="s">
        <v>37</v>
      </c>
    </row>
    <row r="903" spans="1:66" x14ac:dyDescent="0.2">
      <c r="A903">
        <v>3693460</v>
      </c>
      <c r="B903">
        <v>21883</v>
      </c>
      <c r="C903">
        <v>523878</v>
      </c>
      <c r="D903">
        <v>52899</v>
      </c>
      <c r="E903">
        <v>100</v>
      </c>
      <c r="F903" t="s">
        <v>37</v>
      </c>
      <c r="G903">
        <v>1</v>
      </c>
      <c r="H903" t="s">
        <v>37</v>
      </c>
      <c r="I903" t="s">
        <v>37</v>
      </c>
      <c r="J903" t="s">
        <v>775</v>
      </c>
      <c r="K903" t="s">
        <v>230</v>
      </c>
      <c r="L903" t="s">
        <v>226</v>
      </c>
      <c r="M903" t="s">
        <v>422</v>
      </c>
      <c r="N903" t="s">
        <v>4576</v>
      </c>
      <c r="O903" t="s">
        <v>4577</v>
      </c>
      <c r="S903">
        <v>0</v>
      </c>
      <c r="T903">
        <v>24</v>
      </c>
      <c r="U903">
        <v>0</v>
      </c>
      <c r="V903">
        <v>24</v>
      </c>
      <c r="W903">
        <v>24</v>
      </c>
      <c r="X903">
        <v>0</v>
      </c>
      <c r="Y903">
        <v>0</v>
      </c>
      <c r="Z903">
        <v>0</v>
      </c>
      <c r="AB903" s="5">
        <v>43475</v>
      </c>
      <c r="AC903" s="5">
        <v>43497</v>
      </c>
      <c r="AD903" s="5">
        <v>43970.333333333336</v>
      </c>
      <c r="AE903" s="5">
        <v>43970.333333333336</v>
      </c>
      <c r="AG903" s="5">
        <v>44044</v>
      </c>
      <c r="AH903" s="5">
        <v>44044</v>
      </c>
      <c r="AK903" s="5">
        <v>43472.333333333336</v>
      </c>
      <c r="AL903" s="5">
        <v>43474.666666666664</v>
      </c>
      <c r="AP903" t="s">
        <v>418</v>
      </c>
      <c r="AU903" t="s">
        <v>4578</v>
      </c>
      <c r="AV903" t="s">
        <v>4579</v>
      </c>
      <c r="AY903" t="s">
        <v>40</v>
      </c>
      <c r="AZ903">
        <v>24</v>
      </c>
      <c r="BA903">
        <v>0</v>
      </c>
      <c r="BI903" s="5">
        <v>44048.176388888889</v>
      </c>
      <c r="BJ903" s="5">
        <v>44048.176388888889</v>
      </c>
      <c r="BK903" t="s">
        <v>778</v>
      </c>
      <c r="BL903" t="s">
        <v>778</v>
      </c>
      <c r="BN903" t="s">
        <v>37</v>
      </c>
    </row>
    <row r="904" spans="1:66" x14ac:dyDescent="0.2">
      <c r="A904">
        <v>3693461</v>
      </c>
      <c r="B904">
        <v>21883</v>
      </c>
      <c r="C904">
        <v>523878</v>
      </c>
      <c r="D904">
        <v>52899</v>
      </c>
      <c r="E904">
        <v>100</v>
      </c>
      <c r="F904" t="s">
        <v>37</v>
      </c>
      <c r="G904">
        <v>1</v>
      </c>
      <c r="H904" t="s">
        <v>37</v>
      </c>
      <c r="I904" t="s">
        <v>37</v>
      </c>
      <c r="J904" t="s">
        <v>775</v>
      </c>
      <c r="K904" t="s">
        <v>230</v>
      </c>
      <c r="L904" t="s">
        <v>226</v>
      </c>
      <c r="M904" t="s">
        <v>422</v>
      </c>
      <c r="N904" t="s">
        <v>4580</v>
      </c>
      <c r="O904" t="s">
        <v>4581</v>
      </c>
      <c r="S904">
        <v>0</v>
      </c>
      <c r="T904">
        <v>16</v>
      </c>
      <c r="U904">
        <v>0</v>
      </c>
      <c r="V904">
        <v>16</v>
      </c>
      <c r="W904">
        <v>16</v>
      </c>
      <c r="X904">
        <v>0</v>
      </c>
      <c r="Y904">
        <v>0</v>
      </c>
      <c r="Z904">
        <v>0</v>
      </c>
      <c r="AB904" s="5">
        <v>43501</v>
      </c>
      <c r="AC904" s="5">
        <v>43502</v>
      </c>
      <c r="AD904" s="5">
        <v>43970.333333333336</v>
      </c>
      <c r="AE904" s="5">
        <v>43970.333333333336</v>
      </c>
      <c r="AG904" s="5">
        <v>44044</v>
      </c>
      <c r="AH904" s="5">
        <v>44044</v>
      </c>
      <c r="AK904" s="5">
        <v>43530.333333333336</v>
      </c>
      <c r="AL904" s="5">
        <v>43532.666666666664</v>
      </c>
      <c r="AP904" t="s">
        <v>418</v>
      </c>
      <c r="AU904" t="s">
        <v>4582</v>
      </c>
      <c r="AV904" t="s">
        <v>4583</v>
      </c>
      <c r="AY904" t="s">
        <v>40</v>
      </c>
      <c r="AZ904">
        <v>16</v>
      </c>
      <c r="BA904">
        <v>0</v>
      </c>
      <c r="BI904" s="5">
        <v>44048.176388888889</v>
      </c>
      <c r="BJ904" s="5">
        <v>44048.176388888889</v>
      </c>
      <c r="BK904" t="s">
        <v>778</v>
      </c>
      <c r="BL904" t="s">
        <v>778</v>
      </c>
      <c r="BN904" t="s">
        <v>37</v>
      </c>
    </row>
    <row r="905" spans="1:66" x14ac:dyDescent="0.2">
      <c r="A905">
        <v>3693462</v>
      </c>
      <c r="B905">
        <v>21883</v>
      </c>
      <c r="C905">
        <v>523878</v>
      </c>
      <c r="D905">
        <v>52899</v>
      </c>
      <c r="E905">
        <v>100</v>
      </c>
      <c r="F905" t="s">
        <v>37</v>
      </c>
      <c r="G905">
        <v>1</v>
      </c>
      <c r="H905" t="s">
        <v>37</v>
      </c>
      <c r="I905" t="s">
        <v>37</v>
      </c>
      <c r="J905" t="s">
        <v>775</v>
      </c>
      <c r="K905" t="s">
        <v>230</v>
      </c>
      <c r="L905" t="s">
        <v>226</v>
      </c>
      <c r="M905" t="s">
        <v>422</v>
      </c>
      <c r="N905" t="s">
        <v>4584</v>
      </c>
      <c r="O905" t="s">
        <v>4585</v>
      </c>
      <c r="S905">
        <v>0</v>
      </c>
      <c r="T905">
        <v>16</v>
      </c>
      <c r="U905">
        <v>0</v>
      </c>
      <c r="V905">
        <v>16</v>
      </c>
      <c r="W905">
        <v>16</v>
      </c>
      <c r="X905">
        <v>0</v>
      </c>
      <c r="Y905">
        <v>0</v>
      </c>
      <c r="Z905">
        <v>0</v>
      </c>
      <c r="AB905" s="5">
        <v>43503</v>
      </c>
      <c r="AC905" s="5">
        <v>43503</v>
      </c>
      <c r="AD905" s="5">
        <v>43970.333333333336</v>
      </c>
      <c r="AE905" s="5">
        <v>43970.333333333336</v>
      </c>
      <c r="AG905" s="5">
        <v>44044</v>
      </c>
      <c r="AH905" s="5">
        <v>44044</v>
      </c>
      <c r="AK905" s="5">
        <v>43535.333333333336</v>
      </c>
      <c r="AL905" s="5">
        <v>43536.666666666664</v>
      </c>
      <c r="AP905" t="s">
        <v>418</v>
      </c>
      <c r="AU905" t="s">
        <v>4586</v>
      </c>
      <c r="AV905" t="s">
        <v>4587</v>
      </c>
      <c r="AY905" t="s">
        <v>40</v>
      </c>
      <c r="AZ905">
        <v>16</v>
      </c>
      <c r="BA905">
        <v>0</v>
      </c>
      <c r="BI905" s="5">
        <v>44048.176388888889</v>
      </c>
      <c r="BJ905" s="5">
        <v>44048.176388888889</v>
      </c>
      <c r="BK905" t="s">
        <v>778</v>
      </c>
      <c r="BL905" t="s">
        <v>778</v>
      </c>
      <c r="BN905" t="s">
        <v>37</v>
      </c>
    </row>
    <row r="906" spans="1:66" x14ac:dyDescent="0.2">
      <c r="A906">
        <v>3693463</v>
      </c>
      <c r="B906">
        <v>21883</v>
      </c>
      <c r="C906">
        <v>523838</v>
      </c>
      <c r="D906">
        <v>52899</v>
      </c>
      <c r="E906">
        <v>100</v>
      </c>
      <c r="F906" t="s">
        <v>37</v>
      </c>
      <c r="G906">
        <v>1</v>
      </c>
      <c r="H906" t="s">
        <v>37</v>
      </c>
      <c r="I906" t="s">
        <v>37</v>
      </c>
      <c r="J906" t="s">
        <v>775</v>
      </c>
      <c r="K906" t="s">
        <v>230</v>
      </c>
      <c r="L906" t="s">
        <v>226</v>
      </c>
      <c r="M906" t="s">
        <v>422</v>
      </c>
      <c r="N906" t="s">
        <v>4588</v>
      </c>
      <c r="O906" t="s">
        <v>4589</v>
      </c>
      <c r="S906">
        <v>0</v>
      </c>
      <c r="T906">
        <v>20</v>
      </c>
      <c r="U906">
        <v>0</v>
      </c>
      <c r="V906">
        <v>20</v>
      </c>
      <c r="W906">
        <v>40</v>
      </c>
      <c r="X906">
        <v>0</v>
      </c>
      <c r="Y906">
        <v>0</v>
      </c>
      <c r="Z906">
        <v>0</v>
      </c>
      <c r="AB906" s="5">
        <v>43605</v>
      </c>
      <c r="AC906" s="5">
        <v>43609</v>
      </c>
      <c r="AD906" s="5">
        <v>43970.333333333336</v>
      </c>
      <c r="AE906" s="5">
        <v>43970.333333333336</v>
      </c>
      <c r="AG906" s="5">
        <v>44044</v>
      </c>
      <c r="AH906" s="5">
        <v>44044</v>
      </c>
      <c r="AK906" s="5">
        <v>43586.333333333336</v>
      </c>
      <c r="AL906" s="5">
        <v>43592.666666666664</v>
      </c>
      <c r="AP906" t="s">
        <v>418</v>
      </c>
      <c r="AU906" t="s">
        <v>4590</v>
      </c>
      <c r="AV906" t="s">
        <v>4591</v>
      </c>
      <c r="AY906" t="s">
        <v>40</v>
      </c>
      <c r="AZ906">
        <v>0</v>
      </c>
      <c r="BA906">
        <v>0</v>
      </c>
      <c r="BI906" s="5">
        <v>44048.176388888889</v>
      </c>
      <c r="BJ906" s="5">
        <v>44048.176388888889</v>
      </c>
      <c r="BK906" t="s">
        <v>778</v>
      </c>
      <c r="BL906" t="s">
        <v>778</v>
      </c>
      <c r="BN906" t="s">
        <v>37</v>
      </c>
    </row>
    <row r="907" spans="1:66" x14ac:dyDescent="0.2">
      <c r="A907">
        <v>3693464</v>
      </c>
      <c r="B907">
        <v>21883</v>
      </c>
      <c r="C907">
        <v>523838</v>
      </c>
      <c r="D907">
        <v>52899</v>
      </c>
      <c r="E907">
        <v>100</v>
      </c>
      <c r="F907" t="s">
        <v>37</v>
      </c>
      <c r="G907">
        <v>1</v>
      </c>
      <c r="H907" t="s">
        <v>37</v>
      </c>
      <c r="I907" t="s">
        <v>37</v>
      </c>
      <c r="J907" t="s">
        <v>775</v>
      </c>
      <c r="K907" t="s">
        <v>230</v>
      </c>
      <c r="L907" t="s">
        <v>226</v>
      </c>
      <c r="M907" t="s">
        <v>422</v>
      </c>
      <c r="N907" t="s">
        <v>4592</v>
      </c>
      <c r="O907" t="s">
        <v>4593</v>
      </c>
      <c r="S907">
        <v>0</v>
      </c>
      <c r="T907">
        <v>20</v>
      </c>
      <c r="U907">
        <v>0</v>
      </c>
      <c r="V907">
        <v>20</v>
      </c>
      <c r="W907">
        <v>40</v>
      </c>
      <c r="X907">
        <v>0</v>
      </c>
      <c r="Y907">
        <v>0</v>
      </c>
      <c r="Z907">
        <v>0</v>
      </c>
      <c r="AB907" s="5">
        <v>43605</v>
      </c>
      <c r="AC907" s="5">
        <v>43609</v>
      </c>
      <c r="AD907" s="5">
        <v>43970.333333333336</v>
      </c>
      <c r="AE907" s="5">
        <v>43970.333333333336</v>
      </c>
      <c r="AG907" s="5">
        <v>44044</v>
      </c>
      <c r="AH907" s="5">
        <v>44044</v>
      </c>
      <c r="AK907" s="5">
        <v>43586.333333333336</v>
      </c>
      <c r="AL907" s="5">
        <v>43592.666666666664</v>
      </c>
      <c r="AP907" t="s">
        <v>418</v>
      </c>
      <c r="AU907" t="s">
        <v>4594</v>
      </c>
      <c r="AV907" t="s">
        <v>4595</v>
      </c>
      <c r="AY907" t="s">
        <v>40</v>
      </c>
      <c r="AZ907">
        <v>0</v>
      </c>
      <c r="BA907">
        <v>0</v>
      </c>
      <c r="BI907" s="5">
        <v>44048.176388888889</v>
      </c>
      <c r="BJ907" s="5">
        <v>44048.176388888889</v>
      </c>
      <c r="BK907" t="s">
        <v>778</v>
      </c>
      <c r="BL907" t="s">
        <v>778</v>
      </c>
      <c r="BN907" t="s">
        <v>37</v>
      </c>
    </row>
    <row r="908" spans="1:66" x14ac:dyDescent="0.2">
      <c r="A908">
        <v>3693465</v>
      </c>
      <c r="B908">
        <v>21883</v>
      </c>
      <c r="C908">
        <v>523838</v>
      </c>
      <c r="D908">
        <v>52899</v>
      </c>
      <c r="E908">
        <v>100</v>
      </c>
      <c r="F908" t="s">
        <v>37</v>
      </c>
      <c r="G908">
        <v>1</v>
      </c>
      <c r="H908" t="s">
        <v>37</v>
      </c>
      <c r="I908" t="s">
        <v>37</v>
      </c>
      <c r="J908" t="s">
        <v>775</v>
      </c>
      <c r="K908" t="s">
        <v>230</v>
      </c>
      <c r="L908" t="s">
        <v>226</v>
      </c>
      <c r="M908" t="s">
        <v>422</v>
      </c>
      <c r="N908" t="s">
        <v>4596</v>
      </c>
      <c r="O908" t="s">
        <v>4597</v>
      </c>
      <c r="S908">
        <v>0</v>
      </c>
      <c r="T908">
        <v>20</v>
      </c>
      <c r="U908">
        <v>0</v>
      </c>
      <c r="V908">
        <v>20</v>
      </c>
      <c r="W908">
        <v>40</v>
      </c>
      <c r="X908">
        <v>0</v>
      </c>
      <c r="Y908">
        <v>0</v>
      </c>
      <c r="Z908">
        <v>0</v>
      </c>
      <c r="AB908" s="5">
        <v>43605</v>
      </c>
      <c r="AC908" s="5">
        <v>43609</v>
      </c>
      <c r="AD908" s="5">
        <v>43970.333333333336</v>
      </c>
      <c r="AE908" s="5">
        <v>43970.333333333336</v>
      </c>
      <c r="AG908" s="5">
        <v>44044</v>
      </c>
      <c r="AH908" s="5">
        <v>44044</v>
      </c>
      <c r="AK908" s="5">
        <v>43586.333333333336</v>
      </c>
      <c r="AL908" s="5">
        <v>43592.666666666664</v>
      </c>
      <c r="AP908" t="s">
        <v>418</v>
      </c>
      <c r="AU908" t="s">
        <v>4598</v>
      </c>
      <c r="AV908" t="s">
        <v>4599</v>
      </c>
      <c r="AY908" t="s">
        <v>40</v>
      </c>
      <c r="AZ908">
        <v>0</v>
      </c>
      <c r="BA908">
        <v>0</v>
      </c>
      <c r="BI908" s="5">
        <v>44048.176388888889</v>
      </c>
      <c r="BJ908" s="5">
        <v>44048.176388888889</v>
      </c>
      <c r="BK908" t="s">
        <v>778</v>
      </c>
      <c r="BL908" t="s">
        <v>778</v>
      </c>
      <c r="BN908" t="s">
        <v>37</v>
      </c>
    </row>
    <row r="909" spans="1:66" x14ac:dyDescent="0.2">
      <c r="A909">
        <v>3693466</v>
      </c>
      <c r="B909">
        <v>21883</v>
      </c>
      <c r="C909">
        <v>523838</v>
      </c>
      <c r="D909">
        <v>52899</v>
      </c>
      <c r="E909">
        <v>100</v>
      </c>
      <c r="F909" t="s">
        <v>37</v>
      </c>
      <c r="G909">
        <v>1</v>
      </c>
      <c r="H909" t="s">
        <v>37</v>
      </c>
      <c r="I909" t="s">
        <v>37</v>
      </c>
      <c r="J909" t="s">
        <v>775</v>
      </c>
      <c r="K909" t="s">
        <v>230</v>
      </c>
      <c r="L909" t="s">
        <v>226</v>
      </c>
      <c r="M909" t="s">
        <v>422</v>
      </c>
      <c r="N909" t="s">
        <v>4600</v>
      </c>
      <c r="O909" t="s">
        <v>4601</v>
      </c>
      <c r="S909">
        <v>0</v>
      </c>
      <c r="T909">
        <v>20</v>
      </c>
      <c r="U909">
        <v>0</v>
      </c>
      <c r="V909">
        <v>20</v>
      </c>
      <c r="W909">
        <v>40</v>
      </c>
      <c r="X909">
        <v>0</v>
      </c>
      <c r="Y909">
        <v>0</v>
      </c>
      <c r="Z909">
        <v>0</v>
      </c>
      <c r="AB909" s="5">
        <v>43605</v>
      </c>
      <c r="AC909" s="5">
        <v>43609</v>
      </c>
      <c r="AD909" s="5">
        <v>43970.333333333336</v>
      </c>
      <c r="AE909" s="5">
        <v>43970.333333333336</v>
      </c>
      <c r="AG909" s="5">
        <v>44044</v>
      </c>
      <c r="AH909" s="5">
        <v>44044</v>
      </c>
      <c r="AK909" s="5">
        <v>43586.333333333336</v>
      </c>
      <c r="AL909" s="5">
        <v>43592.666666666664</v>
      </c>
      <c r="AP909" t="s">
        <v>418</v>
      </c>
      <c r="AU909" t="s">
        <v>4602</v>
      </c>
      <c r="AV909" t="s">
        <v>4603</v>
      </c>
      <c r="AY909" t="s">
        <v>40</v>
      </c>
      <c r="AZ909">
        <v>0</v>
      </c>
      <c r="BA909">
        <v>0</v>
      </c>
      <c r="BI909" s="5">
        <v>44048.176388888889</v>
      </c>
      <c r="BJ909" s="5">
        <v>44048.176388888889</v>
      </c>
      <c r="BK909" t="s">
        <v>778</v>
      </c>
      <c r="BL909" t="s">
        <v>778</v>
      </c>
      <c r="BN909" t="s">
        <v>37</v>
      </c>
    </row>
    <row r="910" spans="1:66" x14ac:dyDescent="0.2">
      <c r="A910">
        <v>3693467</v>
      </c>
      <c r="B910">
        <v>21883</v>
      </c>
      <c r="C910">
        <v>523876</v>
      </c>
      <c r="D910">
        <v>52899</v>
      </c>
      <c r="E910">
        <v>100</v>
      </c>
      <c r="F910" t="s">
        <v>37</v>
      </c>
      <c r="G910">
        <v>1</v>
      </c>
      <c r="H910" t="s">
        <v>37</v>
      </c>
      <c r="I910" t="s">
        <v>37</v>
      </c>
      <c r="J910" t="s">
        <v>775</v>
      </c>
      <c r="K910" t="s">
        <v>230</v>
      </c>
      <c r="L910" t="s">
        <v>226</v>
      </c>
      <c r="M910" t="s">
        <v>422</v>
      </c>
      <c r="N910" t="s">
        <v>4604</v>
      </c>
      <c r="O910" t="s">
        <v>2513</v>
      </c>
      <c r="S910">
        <v>0</v>
      </c>
      <c r="T910">
        <v>16</v>
      </c>
      <c r="U910">
        <v>0</v>
      </c>
      <c r="V910">
        <v>16</v>
      </c>
      <c r="W910">
        <v>16</v>
      </c>
      <c r="X910">
        <v>0</v>
      </c>
      <c r="Y910">
        <v>0</v>
      </c>
      <c r="Z910">
        <v>0</v>
      </c>
      <c r="AB910" s="5">
        <v>43703</v>
      </c>
      <c r="AC910" s="5">
        <v>43704</v>
      </c>
      <c r="AD910" s="5">
        <v>43970.333333333336</v>
      </c>
      <c r="AE910" s="5">
        <v>43970.333333333336</v>
      </c>
      <c r="AG910" s="5">
        <v>44044</v>
      </c>
      <c r="AH910" s="5">
        <v>44044</v>
      </c>
      <c r="AK910" s="5">
        <v>43703.333333333336</v>
      </c>
      <c r="AL910" s="5">
        <v>43704.666666666664</v>
      </c>
      <c r="AP910" t="s">
        <v>418</v>
      </c>
      <c r="AU910" t="s">
        <v>4605</v>
      </c>
      <c r="AV910" t="s">
        <v>4606</v>
      </c>
      <c r="AY910" t="s">
        <v>40</v>
      </c>
      <c r="AZ910">
        <v>0</v>
      </c>
      <c r="BA910">
        <v>0</v>
      </c>
      <c r="BI910" s="5">
        <v>44048.176388888889</v>
      </c>
      <c r="BJ910" s="5">
        <v>44048.176388888889</v>
      </c>
      <c r="BK910" t="s">
        <v>778</v>
      </c>
      <c r="BL910" t="s">
        <v>778</v>
      </c>
      <c r="BN910" t="s">
        <v>37</v>
      </c>
    </row>
    <row r="911" spans="1:66" x14ac:dyDescent="0.2">
      <c r="A911">
        <v>3693468</v>
      </c>
      <c r="B911">
        <v>21883</v>
      </c>
      <c r="C911">
        <v>523876</v>
      </c>
      <c r="D911">
        <v>52899</v>
      </c>
      <c r="E911">
        <v>100</v>
      </c>
      <c r="F911" t="s">
        <v>37</v>
      </c>
      <c r="G911">
        <v>1</v>
      </c>
      <c r="H911" t="s">
        <v>37</v>
      </c>
      <c r="I911" t="s">
        <v>37</v>
      </c>
      <c r="J911" t="s">
        <v>775</v>
      </c>
      <c r="K911" t="s">
        <v>230</v>
      </c>
      <c r="L911" t="s">
        <v>226</v>
      </c>
      <c r="M911" t="s">
        <v>422</v>
      </c>
      <c r="N911" t="s">
        <v>4607</v>
      </c>
      <c r="O911" t="s">
        <v>2517</v>
      </c>
      <c r="S911">
        <v>0</v>
      </c>
      <c r="T911">
        <v>8</v>
      </c>
      <c r="U911">
        <v>0</v>
      </c>
      <c r="V911">
        <v>8</v>
      </c>
      <c r="W911">
        <v>8</v>
      </c>
      <c r="X911">
        <v>0</v>
      </c>
      <c r="Y911">
        <v>0</v>
      </c>
      <c r="Z911">
        <v>0</v>
      </c>
      <c r="AB911" s="5">
        <v>43706</v>
      </c>
      <c r="AC911" s="5">
        <v>43706</v>
      </c>
      <c r="AD911" s="5">
        <v>43970.333333333336</v>
      </c>
      <c r="AE911" s="5">
        <v>43970.333333333336</v>
      </c>
      <c r="AG911" s="5">
        <v>44044</v>
      </c>
      <c r="AH911" s="5">
        <v>44044</v>
      </c>
      <c r="AK911" s="5">
        <v>43711.333333333336</v>
      </c>
      <c r="AL911" s="5">
        <v>43711.666666666664</v>
      </c>
      <c r="AP911" t="s">
        <v>418</v>
      </c>
      <c r="AU911" t="s">
        <v>4608</v>
      </c>
      <c r="AV911" t="s">
        <v>4609</v>
      </c>
      <c r="AY911" t="s">
        <v>40</v>
      </c>
      <c r="AZ911">
        <v>0</v>
      </c>
      <c r="BA911">
        <v>0</v>
      </c>
      <c r="BI911" s="5">
        <v>44048.176388888889</v>
      </c>
      <c r="BJ911" s="5">
        <v>44048.176388888889</v>
      </c>
      <c r="BK911" t="s">
        <v>778</v>
      </c>
      <c r="BL911" t="s">
        <v>778</v>
      </c>
      <c r="BN911" t="s">
        <v>37</v>
      </c>
    </row>
    <row r="912" spans="1:66" x14ac:dyDescent="0.2">
      <c r="A912">
        <v>3693469</v>
      </c>
      <c r="B912">
        <v>21883</v>
      </c>
      <c r="C912">
        <v>523876</v>
      </c>
      <c r="D912">
        <v>52899</v>
      </c>
      <c r="E912">
        <v>100</v>
      </c>
      <c r="F912" t="s">
        <v>37</v>
      </c>
      <c r="G912">
        <v>1</v>
      </c>
      <c r="H912" t="s">
        <v>37</v>
      </c>
      <c r="I912" t="s">
        <v>37</v>
      </c>
      <c r="J912" t="s">
        <v>775</v>
      </c>
      <c r="K912" t="s">
        <v>230</v>
      </c>
      <c r="L912" t="s">
        <v>226</v>
      </c>
      <c r="M912" t="s">
        <v>422</v>
      </c>
      <c r="N912" t="s">
        <v>4610</v>
      </c>
      <c r="O912" t="s">
        <v>2521</v>
      </c>
      <c r="S912">
        <v>0</v>
      </c>
      <c r="T912">
        <v>0</v>
      </c>
      <c r="U912">
        <v>0</v>
      </c>
      <c r="V912">
        <v>0</v>
      </c>
      <c r="W912">
        <v>8</v>
      </c>
      <c r="X912">
        <v>0</v>
      </c>
      <c r="Y912">
        <v>0</v>
      </c>
      <c r="Z912">
        <v>0</v>
      </c>
      <c r="AB912" s="5">
        <v>43713</v>
      </c>
      <c r="AC912" s="5">
        <v>43718</v>
      </c>
      <c r="AD912" s="5">
        <v>43970.333333333336</v>
      </c>
      <c r="AE912" s="5">
        <v>43970.333333333336</v>
      </c>
      <c r="AG912" s="5">
        <v>44044</v>
      </c>
      <c r="AH912" s="5">
        <v>44044</v>
      </c>
      <c r="AK912" s="5">
        <v>43739.333333333336</v>
      </c>
      <c r="AL912" s="5">
        <v>43739.666666666664</v>
      </c>
      <c r="AP912" t="s">
        <v>418</v>
      </c>
      <c r="AU912" t="s">
        <v>4611</v>
      </c>
      <c r="AV912" t="s">
        <v>4612</v>
      </c>
      <c r="AY912" t="s">
        <v>40</v>
      </c>
      <c r="AZ912">
        <v>0</v>
      </c>
      <c r="BA912">
        <v>0</v>
      </c>
      <c r="BI912" s="5">
        <v>44048.176388888889</v>
      </c>
      <c r="BJ912" s="5">
        <v>44048.176388888889</v>
      </c>
      <c r="BK912" t="s">
        <v>778</v>
      </c>
      <c r="BL912" t="s">
        <v>778</v>
      </c>
      <c r="BN912" t="s">
        <v>37</v>
      </c>
    </row>
    <row r="913" spans="1:66" x14ac:dyDescent="0.2">
      <c r="A913">
        <v>3693470</v>
      </c>
      <c r="B913">
        <v>21883</v>
      </c>
      <c r="C913">
        <v>523876</v>
      </c>
      <c r="D913">
        <v>52895</v>
      </c>
      <c r="E913">
        <v>100</v>
      </c>
      <c r="F913" t="s">
        <v>37</v>
      </c>
      <c r="G913">
        <v>1</v>
      </c>
      <c r="H913" t="s">
        <v>37</v>
      </c>
      <c r="I913" t="s">
        <v>37</v>
      </c>
      <c r="J913" t="s">
        <v>775</v>
      </c>
      <c r="K913" t="s">
        <v>230</v>
      </c>
      <c r="L913" t="s">
        <v>226</v>
      </c>
      <c r="M913" t="s">
        <v>422</v>
      </c>
      <c r="N913" t="s">
        <v>4613</v>
      </c>
      <c r="O913" t="s">
        <v>2525</v>
      </c>
      <c r="S913">
        <v>0</v>
      </c>
      <c r="T913">
        <v>0</v>
      </c>
      <c r="U913">
        <v>0</v>
      </c>
      <c r="V913">
        <v>0</v>
      </c>
      <c r="W913">
        <v>24</v>
      </c>
      <c r="X913">
        <v>0</v>
      </c>
      <c r="Y913">
        <v>0</v>
      </c>
      <c r="Z913">
        <v>0</v>
      </c>
      <c r="AB913" s="5">
        <v>43725</v>
      </c>
      <c r="AC913" s="5">
        <v>43728</v>
      </c>
      <c r="AD913" s="5">
        <v>43970.333333333336</v>
      </c>
      <c r="AE913" s="5">
        <v>43970.333333333336</v>
      </c>
      <c r="AG913" s="5">
        <v>44044</v>
      </c>
      <c r="AH913" s="5">
        <v>44044</v>
      </c>
      <c r="AK913" s="5">
        <v>43741.333333333336</v>
      </c>
      <c r="AL913" s="5">
        <v>43743.666666666664</v>
      </c>
      <c r="AP913" t="s">
        <v>418</v>
      </c>
      <c r="AU913" t="s">
        <v>4614</v>
      </c>
      <c r="AV913" t="s">
        <v>4615</v>
      </c>
      <c r="AY913" t="s">
        <v>40</v>
      </c>
      <c r="AZ913">
        <v>0</v>
      </c>
      <c r="BA913">
        <v>0</v>
      </c>
      <c r="BI913" s="5">
        <v>44048.176388888889</v>
      </c>
      <c r="BJ913" s="5">
        <v>44048.176388888889</v>
      </c>
      <c r="BK913" t="s">
        <v>778</v>
      </c>
      <c r="BL913" t="s">
        <v>778</v>
      </c>
      <c r="BN913" t="s">
        <v>37</v>
      </c>
    </row>
    <row r="914" spans="1:66" x14ac:dyDescent="0.2">
      <c r="A914">
        <v>3693471</v>
      </c>
      <c r="B914">
        <v>21883</v>
      </c>
      <c r="C914">
        <v>523876</v>
      </c>
      <c r="D914">
        <v>52899</v>
      </c>
      <c r="E914">
        <v>100</v>
      </c>
      <c r="F914" t="s">
        <v>37</v>
      </c>
      <c r="G914">
        <v>1</v>
      </c>
      <c r="H914" t="s">
        <v>37</v>
      </c>
      <c r="I914" t="s">
        <v>37</v>
      </c>
      <c r="J914" t="s">
        <v>775</v>
      </c>
      <c r="K914" t="s">
        <v>230</v>
      </c>
      <c r="L914" t="s">
        <v>226</v>
      </c>
      <c r="M914" t="s">
        <v>422</v>
      </c>
      <c r="N914" t="s">
        <v>4616</v>
      </c>
      <c r="O914" t="s">
        <v>2529</v>
      </c>
      <c r="S914">
        <v>0</v>
      </c>
      <c r="T914">
        <v>0</v>
      </c>
      <c r="U914">
        <v>0</v>
      </c>
      <c r="V914">
        <v>0</v>
      </c>
      <c r="W914">
        <v>16</v>
      </c>
      <c r="X914">
        <v>0</v>
      </c>
      <c r="Y914">
        <v>0</v>
      </c>
      <c r="Z914">
        <v>0</v>
      </c>
      <c r="AB914" s="5">
        <v>43721</v>
      </c>
      <c r="AC914" s="5">
        <v>43724</v>
      </c>
      <c r="AD914" s="5">
        <v>43970.333333333336</v>
      </c>
      <c r="AE914" s="5">
        <v>43970.333333333336</v>
      </c>
      <c r="AG914" s="5">
        <v>44044</v>
      </c>
      <c r="AH914" s="5">
        <v>44044</v>
      </c>
      <c r="AK914" s="5">
        <v>43741.333333333336</v>
      </c>
      <c r="AL914" s="5">
        <v>43742.666666666664</v>
      </c>
      <c r="AP914" t="s">
        <v>418</v>
      </c>
      <c r="AU914" t="s">
        <v>4617</v>
      </c>
      <c r="AV914" t="s">
        <v>4618</v>
      </c>
      <c r="AY914" t="s">
        <v>40</v>
      </c>
      <c r="AZ914">
        <v>0</v>
      </c>
      <c r="BA914">
        <v>0</v>
      </c>
      <c r="BI914" s="5">
        <v>44048.176388888889</v>
      </c>
      <c r="BJ914" s="5">
        <v>44048.176388888889</v>
      </c>
      <c r="BK914" t="s">
        <v>778</v>
      </c>
      <c r="BL914" t="s">
        <v>778</v>
      </c>
      <c r="BN914" t="s">
        <v>37</v>
      </c>
    </row>
    <row r="915" spans="1:66" x14ac:dyDescent="0.2">
      <c r="A915">
        <v>3693472</v>
      </c>
      <c r="B915">
        <v>21883</v>
      </c>
      <c r="C915">
        <v>523876</v>
      </c>
      <c r="D915">
        <v>52899</v>
      </c>
      <c r="E915">
        <v>100</v>
      </c>
      <c r="F915" t="s">
        <v>37</v>
      </c>
      <c r="G915">
        <v>1</v>
      </c>
      <c r="H915" t="s">
        <v>37</v>
      </c>
      <c r="I915" t="s">
        <v>37</v>
      </c>
      <c r="J915" t="s">
        <v>775</v>
      </c>
      <c r="K915" t="s">
        <v>230</v>
      </c>
      <c r="L915" t="s">
        <v>226</v>
      </c>
      <c r="M915" t="s">
        <v>422</v>
      </c>
      <c r="N915" t="s">
        <v>4619</v>
      </c>
      <c r="O915" t="s">
        <v>3280</v>
      </c>
      <c r="S915">
        <v>0</v>
      </c>
      <c r="T915">
        <v>0</v>
      </c>
      <c r="U915">
        <v>0</v>
      </c>
      <c r="V915">
        <v>0</v>
      </c>
      <c r="W915">
        <v>8</v>
      </c>
      <c r="X915">
        <v>0</v>
      </c>
      <c r="Y915">
        <v>0</v>
      </c>
      <c r="Z915">
        <v>0</v>
      </c>
      <c r="AB915" s="5">
        <v>43718</v>
      </c>
      <c r="AC915" s="5">
        <v>43718</v>
      </c>
      <c r="AD915" s="5">
        <v>43970.333333333336</v>
      </c>
      <c r="AE915" s="5">
        <v>43970.333333333336</v>
      </c>
      <c r="AG915" s="5">
        <v>44044</v>
      </c>
      <c r="AH915" s="5">
        <v>44044</v>
      </c>
      <c r="AK915" s="5">
        <v>43739.333333333336</v>
      </c>
      <c r="AL915" s="5">
        <v>43739.666666666664</v>
      </c>
      <c r="AP915" t="s">
        <v>418</v>
      </c>
      <c r="AU915" t="s">
        <v>4620</v>
      </c>
      <c r="AV915" t="s">
        <v>4621</v>
      </c>
      <c r="AY915" t="s">
        <v>40</v>
      </c>
      <c r="AZ915">
        <v>0</v>
      </c>
      <c r="BA915">
        <v>0</v>
      </c>
      <c r="BI915" s="5">
        <v>44048.176388888889</v>
      </c>
      <c r="BJ915" s="5">
        <v>44048.176388888889</v>
      </c>
      <c r="BK915" t="s">
        <v>778</v>
      </c>
      <c r="BL915" t="s">
        <v>778</v>
      </c>
      <c r="BN915" t="s">
        <v>37</v>
      </c>
    </row>
    <row r="916" spans="1:66" x14ac:dyDescent="0.2">
      <c r="A916">
        <v>3693473</v>
      </c>
      <c r="B916">
        <v>21883</v>
      </c>
      <c r="C916">
        <v>523876</v>
      </c>
      <c r="D916">
        <v>52899</v>
      </c>
      <c r="E916">
        <v>100</v>
      </c>
      <c r="F916" t="s">
        <v>37</v>
      </c>
      <c r="G916">
        <v>1</v>
      </c>
      <c r="H916" t="s">
        <v>37</v>
      </c>
      <c r="I916" t="s">
        <v>37</v>
      </c>
      <c r="J916" t="s">
        <v>775</v>
      </c>
      <c r="K916" t="s">
        <v>230</v>
      </c>
      <c r="L916" t="s">
        <v>226</v>
      </c>
      <c r="M916" t="s">
        <v>422</v>
      </c>
      <c r="N916" t="s">
        <v>4622</v>
      </c>
      <c r="O916" t="s">
        <v>3284</v>
      </c>
      <c r="S916">
        <v>0</v>
      </c>
      <c r="T916">
        <v>0</v>
      </c>
      <c r="U916">
        <v>0</v>
      </c>
      <c r="V916">
        <v>0</v>
      </c>
      <c r="W916">
        <v>8</v>
      </c>
      <c r="X916">
        <v>0</v>
      </c>
      <c r="Y916">
        <v>0</v>
      </c>
      <c r="Z916">
        <v>0</v>
      </c>
      <c r="AB916" s="5">
        <v>43719</v>
      </c>
      <c r="AC916" s="5">
        <v>43719</v>
      </c>
      <c r="AD916" s="5">
        <v>43970.333333333336</v>
      </c>
      <c r="AE916" s="5">
        <v>43970.333333333336</v>
      </c>
      <c r="AG916" s="5">
        <v>44044</v>
      </c>
      <c r="AH916" s="5">
        <v>44044</v>
      </c>
      <c r="AK916" s="5">
        <v>43741.333333333336</v>
      </c>
      <c r="AL916" s="5">
        <v>43741.666666666664</v>
      </c>
      <c r="AP916" t="s">
        <v>418</v>
      </c>
      <c r="AU916" t="s">
        <v>4623</v>
      </c>
      <c r="AV916" t="s">
        <v>4624</v>
      </c>
      <c r="AY916" t="s">
        <v>40</v>
      </c>
      <c r="AZ916">
        <v>0</v>
      </c>
      <c r="BA916">
        <v>0</v>
      </c>
      <c r="BI916" s="5">
        <v>44048.176388888889</v>
      </c>
      <c r="BJ916" s="5">
        <v>44048.176388888889</v>
      </c>
      <c r="BK916" t="s">
        <v>778</v>
      </c>
      <c r="BL916" t="s">
        <v>778</v>
      </c>
      <c r="BN916" t="s">
        <v>37</v>
      </c>
    </row>
    <row r="917" spans="1:66" x14ac:dyDescent="0.2">
      <c r="A917">
        <v>3693474</v>
      </c>
      <c r="B917">
        <v>21883</v>
      </c>
      <c r="C917">
        <v>523876</v>
      </c>
      <c r="D917">
        <v>52895</v>
      </c>
      <c r="E917">
        <v>100</v>
      </c>
      <c r="F917" t="s">
        <v>37</v>
      </c>
      <c r="G917">
        <v>1</v>
      </c>
      <c r="H917" t="s">
        <v>37</v>
      </c>
      <c r="I917" t="s">
        <v>37</v>
      </c>
      <c r="J917" t="s">
        <v>775</v>
      </c>
      <c r="K917" t="s">
        <v>230</v>
      </c>
      <c r="L917" t="s">
        <v>226</v>
      </c>
      <c r="M917" t="s">
        <v>422</v>
      </c>
      <c r="N917" t="s">
        <v>4625</v>
      </c>
      <c r="O917" t="s">
        <v>3288</v>
      </c>
      <c r="S917">
        <v>0</v>
      </c>
      <c r="T917">
        <v>0</v>
      </c>
      <c r="U917">
        <v>0</v>
      </c>
      <c r="V917">
        <v>0</v>
      </c>
      <c r="W917">
        <v>24</v>
      </c>
      <c r="X917">
        <v>0</v>
      </c>
      <c r="Y917">
        <v>0</v>
      </c>
      <c r="Z917">
        <v>0</v>
      </c>
      <c r="AB917" s="5">
        <v>43719</v>
      </c>
      <c r="AC917" s="5">
        <v>43721</v>
      </c>
      <c r="AD917" s="5">
        <v>43970.333333333336</v>
      </c>
      <c r="AE917" s="5">
        <v>43970.333333333336</v>
      </c>
      <c r="AG917" s="5">
        <v>44044</v>
      </c>
      <c r="AH917" s="5">
        <v>44044</v>
      </c>
      <c r="AK917" s="5">
        <v>43741.333333333336</v>
      </c>
      <c r="AL917" s="5">
        <v>43743.666666666664</v>
      </c>
      <c r="AP917" t="s">
        <v>418</v>
      </c>
      <c r="AU917" t="s">
        <v>4626</v>
      </c>
      <c r="AV917" t="s">
        <v>4627</v>
      </c>
      <c r="AY917" t="s">
        <v>40</v>
      </c>
      <c r="AZ917">
        <v>0</v>
      </c>
      <c r="BA917">
        <v>0</v>
      </c>
      <c r="BI917" s="5">
        <v>44048.176388888889</v>
      </c>
      <c r="BJ917" s="5">
        <v>44048.176388888889</v>
      </c>
      <c r="BK917" t="s">
        <v>778</v>
      </c>
      <c r="BL917" t="s">
        <v>778</v>
      </c>
      <c r="BN917" t="s">
        <v>37</v>
      </c>
    </row>
    <row r="918" spans="1:66" x14ac:dyDescent="0.2">
      <c r="A918">
        <v>3693475</v>
      </c>
      <c r="B918">
        <v>21883</v>
      </c>
      <c r="C918">
        <v>523876</v>
      </c>
      <c r="D918">
        <v>52899</v>
      </c>
      <c r="E918">
        <v>100</v>
      </c>
      <c r="F918" t="s">
        <v>37</v>
      </c>
      <c r="G918">
        <v>1</v>
      </c>
      <c r="H918" t="s">
        <v>37</v>
      </c>
      <c r="I918" t="s">
        <v>37</v>
      </c>
      <c r="J918" t="s">
        <v>775</v>
      </c>
      <c r="K918" t="s">
        <v>230</v>
      </c>
      <c r="L918" t="s">
        <v>226</v>
      </c>
      <c r="M918" t="s">
        <v>422</v>
      </c>
      <c r="N918" t="s">
        <v>4628</v>
      </c>
      <c r="O918" t="s">
        <v>3291</v>
      </c>
      <c r="S918">
        <v>0</v>
      </c>
      <c r="T918">
        <v>0</v>
      </c>
      <c r="U918">
        <v>0</v>
      </c>
      <c r="V918">
        <v>0</v>
      </c>
      <c r="W918">
        <v>8</v>
      </c>
      <c r="X918">
        <v>0</v>
      </c>
      <c r="Y918">
        <v>0</v>
      </c>
      <c r="Z918">
        <v>0</v>
      </c>
      <c r="AB918" s="5">
        <v>43725</v>
      </c>
      <c r="AC918" s="5">
        <v>43725</v>
      </c>
      <c r="AD918" s="5">
        <v>43970.333333333336</v>
      </c>
      <c r="AE918" s="5">
        <v>43970.333333333336</v>
      </c>
      <c r="AG918" s="5">
        <v>44044</v>
      </c>
      <c r="AH918" s="5">
        <v>44044</v>
      </c>
      <c r="AK918" s="5">
        <v>43741.333333333336</v>
      </c>
      <c r="AL918" s="5">
        <v>43741.666666666664</v>
      </c>
      <c r="AP918" t="s">
        <v>418</v>
      </c>
      <c r="AU918" t="s">
        <v>4629</v>
      </c>
      <c r="AV918" t="s">
        <v>4630</v>
      </c>
      <c r="AY918" t="s">
        <v>40</v>
      </c>
      <c r="AZ918">
        <v>0</v>
      </c>
      <c r="BA918">
        <v>0</v>
      </c>
      <c r="BI918" s="5">
        <v>44048.176388888889</v>
      </c>
      <c r="BJ918" s="5">
        <v>44048.176388888889</v>
      </c>
      <c r="BK918" t="s">
        <v>778</v>
      </c>
      <c r="BL918" t="s">
        <v>778</v>
      </c>
      <c r="BN918" t="s">
        <v>37</v>
      </c>
    </row>
    <row r="919" spans="1:66" x14ac:dyDescent="0.2">
      <c r="A919">
        <v>3693476</v>
      </c>
      <c r="B919">
        <v>21883</v>
      </c>
      <c r="C919">
        <v>523876</v>
      </c>
      <c r="D919">
        <v>52899</v>
      </c>
      <c r="E919">
        <v>100</v>
      </c>
      <c r="F919" t="s">
        <v>37</v>
      </c>
      <c r="G919">
        <v>1</v>
      </c>
      <c r="H919" t="s">
        <v>37</v>
      </c>
      <c r="I919" t="s">
        <v>37</v>
      </c>
      <c r="J919" t="s">
        <v>775</v>
      </c>
      <c r="K919" t="s">
        <v>230</v>
      </c>
      <c r="L919" t="s">
        <v>226</v>
      </c>
      <c r="M919" t="s">
        <v>422</v>
      </c>
      <c r="N919" t="s">
        <v>4631</v>
      </c>
      <c r="O919" t="s">
        <v>3768</v>
      </c>
      <c r="S919">
        <v>0</v>
      </c>
      <c r="T919">
        <v>0</v>
      </c>
      <c r="U919">
        <v>0</v>
      </c>
      <c r="V919">
        <v>0</v>
      </c>
      <c r="W919">
        <v>16</v>
      </c>
      <c r="X919">
        <v>0</v>
      </c>
      <c r="Y919">
        <v>0</v>
      </c>
      <c r="Z919">
        <v>0</v>
      </c>
      <c r="AB919" s="5">
        <v>43727</v>
      </c>
      <c r="AC919" s="5">
        <v>43728</v>
      </c>
      <c r="AD919" s="5">
        <v>43970.333333333336</v>
      </c>
      <c r="AE919" s="5">
        <v>43970.333333333336</v>
      </c>
      <c r="AG919" s="5">
        <v>44044</v>
      </c>
      <c r="AH919" s="5">
        <v>44044</v>
      </c>
      <c r="AK919" s="5">
        <v>43741.333333333336</v>
      </c>
      <c r="AL919" s="5">
        <v>43742.666666666664</v>
      </c>
      <c r="AP919" t="s">
        <v>418</v>
      </c>
      <c r="AU919" t="s">
        <v>4632</v>
      </c>
      <c r="AV919" t="s">
        <v>4633</v>
      </c>
      <c r="AY919" t="s">
        <v>40</v>
      </c>
      <c r="AZ919">
        <v>0</v>
      </c>
      <c r="BA919">
        <v>0</v>
      </c>
      <c r="BI919" s="5">
        <v>44048.176388888889</v>
      </c>
      <c r="BJ919" s="5">
        <v>44048.176388888889</v>
      </c>
      <c r="BK919" t="s">
        <v>778</v>
      </c>
      <c r="BL919" t="s">
        <v>778</v>
      </c>
      <c r="BN919" t="s">
        <v>37</v>
      </c>
    </row>
    <row r="920" spans="1:66" x14ac:dyDescent="0.2">
      <c r="A920">
        <v>3693477</v>
      </c>
      <c r="B920">
        <v>21883</v>
      </c>
      <c r="C920">
        <v>523876</v>
      </c>
      <c r="D920">
        <v>52899</v>
      </c>
      <c r="E920">
        <v>100</v>
      </c>
      <c r="F920" t="s">
        <v>37</v>
      </c>
      <c r="G920">
        <v>1</v>
      </c>
      <c r="H920" t="s">
        <v>37</v>
      </c>
      <c r="I920" t="s">
        <v>37</v>
      </c>
      <c r="J920" t="s">
        <v>775</v>
      </c>
      <c r="K920" t="s">
        <v>230</v>
      </c>
      <c r="L920" t="s">
        <v>226</v>
      </c>
      <c r="M920" t="s">
        <v>422</v>
      </c>
      <c r="N920" t="s">
        <v>4634</v>
      </c>
      <c r="O920" t="s">
        <v>3772</v>
      </c>
      <c r="S920">
        <v>0</v>
      </c>
      <c r="T920">
        <v>0</v>
      </c>
      <c r="U920">
        <v>0</v>
      </c>
      <c r="V920">
        <v>0</v>
      </c>
      <c r="W920">
        <v>16</v>
      </c>
      <c r="X920">
        <v>0</v>
      </c>
      <c r="Y920">
        <v>0</v>
      </c>
      <c r="Z920">
        <v>0</v>
      </c>
      <c r="AB920" s="5">
        <v>43754</v>
      </c>
      <c r="AC920" s="5">
        <v>43754</v>
      </c>
      <c r="AD920" s="5">
        <v>43970.333333333336</v>
      </c>
      <c r="AE920" s="5">
        <v>43970.333333333336</v>
      </c>
      <c r="AG920" s="5">
        <v>44044</v>
      </c>
      <c r="AH920" s="5">
        <v>44044</v>
      </c>
      <c r="AK920" s="5">
        <v>43770.333333333336</v>
      </c>
      <c r="AL920" s="5">
        <v>43773.666666666664</v>
      </c>
      <c r="AP920" t="s">
        <v>418</v>
      </c>
      <c r="AU920" t="s">
        <v>4635</v>
      </c>
      <c r="AV920" t="s">
        <v>4636</v>
      </c>
      <c r="AY920" t="s">
        <v>40</v>
      </c>
      <c r="AZ920">
        <v>0</v>
      </c>
      <c r="BA920">
        <v>0</v>
      </c>
      <c r="BI920" s="5">
        <v>44048.176388888889</v>
      </c>
      <c r="BJ920" s="5">
        <v>44048.176388888889</v>
      </c>
      <c r="BK920" t="s">
        <v>778</v>
      </c>
      <c r="BL920" t="s">
        <v>778</v>
      </c>
      <c r="BN920" t="s">
        <v>37</v>
      </c>
    </row>
    <row r="921" spans="1:66" x14ac:dyDescent="0.2">
      <c r="A921">
        <v>3693478</v>
      </c>
      <c r="B921">
        <v>21883</v>
      </c>
      <c r="C921">
        <v>523999</v>
      </c>
      <c r="D921">
        <v>52899</v>
      </c>
      <c r="E921">
        <v>100</v>
      </c>
      <c r="F921" t="s">
        <v>37</v>
      </c>
      <c r="G921">
        <v>1</v>
      </c>
      <c r="H921" t="s">
        <v>37</v>
      </c>
      <c r="I921" t="s">
        <v>37</v>
      </c>
      <c r="J921" t="s">
        <v>775</v>
      </c>
      <c r="K921" t="s">
        <v>230</v>
      </c>
      <c r="L921" t="s">
        <v>226</v>
      </c>
      <c r="M921" t="s">
        <v>422</v>
      </c>
      <c r="N921" t="s">
        <v>4637</v>
      </c>
      <c r="O921" t="s">
        <v>4638</v>
      </c>
      <c r="S921">
        <v>0</v>
      </c>
      <c r="T921">
        <v>24</v>
      </c>
      <c r="U921">
        <v>0</v>
      </c>
      <c r="V921">
        <v>24</v>
      </c>
      <c r="W921">
        <v>24</v>
      </c>
      <c r="X921">
        <v>0</v>
      </c>
      <c r="Y921">
        <v>0</v>
      </c>
      <c r="Z921">
        <v>0</v>
      </c>
      <c r="AB921" s="5">
        <v>43830</v>
      </c>
      <c r="AC921" s="5">
        <v>43830</v>
      </c>
      <c r="AD921" s="5">
        <v>44306.666666666664</v>
      </c>
      <c r="AE921" s="5">
        <v>44306.666666666664</v>
      </c>
      <c r="AG921" s="5">
        <v>44044</v>
      </c>
      <c r="AH921" s="5">
        <v>44044</v>
      </c>
      <c r="AK921" s="5">
        <v>43832.333333333336</v>
      </c>
      <c r="AL921" s="5">
        <v>43836.666666666664</v>
      </c>
      <c r="AP921" t="s">
        <v>418</v>
      </c>
      <c r="AU921" t="s">
        <v>4639</v>
      </c>
      <c r="AV921" t="s">
        <v>4640</v>
      </c>
      <c r="AY921" t="s">
        <v>37</v>
      </c>
      <c r="AZ921">
        <v>0</v>
      </c>
      <c r="BA921">
        <v>0</v>
      </c>
      <c r="BI921" s="5">
        <v>44048.176388888889</v>
      </c>
      <c r="BJ921" s="5">
        <v>44048.176388888889</v>
      </c>
      <c r="BK921" t="s">
        <v>778</v>
      </c>
      <c r="BL921" t="s">
        <v>778</v>
      </c>
      <c r="BN921" t="s">
        <v>37</v>
      </c>
    </row>
    <row r="922" spans="1:66" x14ac:dyDescent="0.2">
      <c r="A922">
        <v>3693479</v>
      </c>
      <c r="B922">
        <v>21883</v>
      </c>
      <c r="C922">
        <v>523876</v>
      </c>
      <c r="D922">
        <v>52899</v>
      </c>
      <c r="E922">
        <v>100</v>
      </c>
      <c r="F922" t="s">
        <v>37</v>
      </c>
      <c r="G922">
        <v>1</v>
      </c>
      <c r="H922" t="s">
        <v>37</v>
      </c>
      <c r="I922" t="s">
        <v>37</v>
      </c>
      <c r="J922" t="s">
        <v>775</v>
      </c>
      <c r="K922" t="s">
        <v>230</v>
      </c>
      <c r="L922" t="s">
        <v>226</v>
      </c>
      <c r="M922" t="s">
        <v>422</v>
      </c>
      <c r="N922" t="s">
        <v>4641</v>
      </c>
      <c r="O922" t="s">
        <v>4642</v>
      </c>
      <c r="S922">
        <v>0</v>
      </c>
      <c r="T922">
        <v>0</v>
      </c>
      <c r="U922">
        <v>0</v>
      </c>
      <c r="V922">
        <v>0</v>
      </c>
      <c r="W922">
        <v>16</v>
      </c>
      <c r="X922">
        <v>0</v>
      </c>
      <c r="Y922">
        <v>0</v>
      </c>
      <c r="Z922">
        <v>0</v>
      </c>
      <c r="AB922" s="5">
        <v>43777</v>
      </c>
      <c r="AC922" s="5">
        <v>43780</v>
      </c>
      <c r="AD922" s="5">
        <v>43970.333333333336</v>
      </c>
      <c r="AE922" s="5">
        <v>43970.333333333336</v>
      </c>
      <c r="AG922" s="5">
        <v>44044</v>
      </c>
      <c r="AH922" s="5">
        <v>44044</v>
      </c>
      <c r="AK922" s="5">
        <v>43802.333333333336</v>
      </c>
      <c r="AL922" s="5">
        <v>43803.666666666664</v>
      </c>
      <c r="AP922" t="s">
        <v>418</v>
      </c>
      <c r="AU922" t="s">
        <v>4643</v>
      </c>
      <c r="AV922" t="s">
        <v>4644</v>
      </c>
      <c r="AY922" t="s">
        <v>40</v>
      </c>
      <c r="AZ922">
        <v>0</v>
      </c>
      <c r="BA922">
        <v>0</v>
      </c>
      <c r="BI922" s="5">
        <v>44048.176388888889</v>
      </c>
      <c r="BJ922" s="5">
        <v>44048.176388888889</v>
      </c>
      <c r="BK922" t="s">
        <v>778</v>
      </c>
      <c r="BL922" t="s">
        <v>778</v>
      </c>
      <c r="BN922" t="s">
        <v>37</v>
      </c>
    </row>
    <row r="923" spans="1:66" x14ac:dyDescent="0.2">
      <c r="A923">
        <v>3693480</v>
      </c>
      <c r="B923">
        <v>21883</v>
      </c>
      <c r="C923">
        <v>523876</v>
      </c>
      <c r="D923">
        <v>52899</v>
      </c>
      <c r="E923">
        <v>100</v>
      </c>
      <c r="F923" t="s">
        <v>37</v>
      </c>
      <c r="G923">
        <v>1</v>
      </c>
      <c r="H923" t="s">
        <v>37</v>
      </c>
      <c r="I923" t="s">
        <v>37</v>
      </c>
      <c r="J923" t="s">
        <v>775</v>
      </c>
      <c r="K923" t="s">
        <v>230</v>
      </c>
      <c r="L923" t="s">
        <v>226</v>
      </c>
      <c r="M923" t="s">
        <v>422</v>
      </c>
      <c r="N923" t="s">
        <v>4645</v>
      </c>
      <c r="O923" t="s">
        <v>4133</v>
      </c>
      <c r="S923">
        <v>0</v>
      </c>
      <c r="T923">
        <v>0</v>
      </c>
      <c r="U923">
        <v>0</v>
      </c>
      <c r="V923">
        <v>0</v>
      </c>
      <c r="W923">
        <v>16</v>
      </c>
      <c r="X923">
        <v>0</v>
      </c>
      <c r="Y923">
        <v>0</v>
      </c>
      <c r="Z923">
        <v>0</v>
      </c>
      <c r="AB923" s="5">
        <v>43704</v>
      </c>
      <c r="AC923" s="5">
        <v>43704</v>
      </c>
      <c r="AD923" s="5">
        <v>43970.333333333336</v>
      </c>
      <c r="AE923" s="5">
        <v>43970.333333333336</v>
      </c>
      <c r="AG923" s="5">
        <v>44044</v>
      </c>
      <c r="AH923" s="5">
        <v>44044</v>
      </c>
      <c r="AK923" s="5">
        <v>43711.333333333336</v>
      </c>
      <c r="AL923" s="5">
        <v>43712.666666666664</v>
      </c>
      <c r="AP923" t="s">
        <v>418</v>
      </c>
      <c r="AU923" t="s">
        <v>4646</v>
      </c>
      <c r="AV923" t="s">
        <v>4647</v>
      </c>
      <c r="AY923" t="s">
        <v>40</v>
      </c>
      <c r="AZ923">
        <v>0</v>
      </c>
      <c r="BA923">
        <v>0</v>
      </c>
      <c r="BI923" s="5">
        <v>44048.176388888889</v>
      </c>
      <c r="BJ923" s="5">
        <v>44048.176388888889</v>
      </c>
      <c r="BK923" t="s">
        <v>778</v>
      </c>
      <c r="BL923" t="s">
        <v>778</v>
      </c>
      <c r="BN923" t="s">
        <v>37</v>
      </c>
    </row>
    <row r="924" spans="1:66" x14ac:dyDescent="0.2">
      <c r="A924">
        <v>3693481</v>
      </c>
      <c r="B924">
        <v>21883</v>
      </c>
      <c r="C924">
        <v>523876</v>
      </c>
      <c r="D924">
        <v>52899</v>
      </c>
      <c r="E924">
        <v>100</v>
      </c>
      <c r="F924" t="s">
        <v>37</v>
      </c>
      <c r="G924">
        <v>1</v>
      </c>
      <c r="H924" t="s">
        <v>37</v>
      </c>
      <c r="I924" t="s">
        <v>37</v>
      </c>
      <c r="J924" t="s">
        <v>775</v>
      </c>
      <c r="K924" t="s">
        <v>230</v>
      </c>
      <c r="L924" t="s">
        <v>226</v>
      </c>
      <c r="M924" t="s">
        <v>422</v>
      </c>
      <c r="N924" t="s">
        <v>4648</v>
      </c>
      <c r="O924" t="s">
        <v>4137</v>
      </c>
      <c r="S924">
        <v>0</v>
      </c>
      <c r="T924">
        <v>16</v>
      </c>
      <c r="U924">
        <v>0</v>
      </c>
      <c r="V924">
        <v>16</v>
      </c>
      <c r="W924">
        <v>16</v>
      </c>
      <c r="X924">
        <v>0</v>
      </c>
      <c r="Y924">
        <v>0</v>
      </c>
      <c r="Z924">
        <v>0</v>
      </c>
      <c r="AB924" s="5">
        <v>43678</v>
      </c>
      <c r="AC924" s="5">
        <v>43679</v>
      </c>
      <c r="AD924" s="5">
        <v>43970.333333333336</v>
      </c>
      <c r="AE924" s="5">
        <v>43970.333333333336</v>
      </c>
      <c r="AG924" s="5">
        <v>44044</v>
      </c>
      <c r="AH924" s="5">
        <v>44044</v>
      </c>
      <c r="AK924" s="5">
        <v>43705.333333333336</v>
      </c>
      <c r="AL924" s="5">
        <v>43707.666666666664</v>
      </c>
      <c r="AP924" t="s">
        <v>418</v>
      </c>
      <c r="AU924" t="s">
        <v>4649</v>
      </c>
      <c r="AV924" t="s">
        <v>4650</v>
      </c>
      <c r="AY924" t="s">
        <v>40</v>
      </c>
      <c r="AZ924">
        <v>0</v>
      </c>
      <c r="BA924">
        <v>0</v>
      </c>
      <c r="BI924" s="5">
        <v>44048.176388888889</v>
      </c>
      <c r="BJ924" s="5">
        <v>44048.176388888889</v>
      </c>
      <c r="BK924" t="s">
        <v>778</v>
      </c>
      <c r="BL924" t="s">
        <v>778</v>
      </c>
      <c r="BN924" t="s">
        <v>37</v>
      </c>
    </row>
    <row r="925" spans="1:66" x14ac:dyDescent="0.2">
      <c r="A925">
        <v>3693482</v>
      </c>
      <c r="B925">
        <v>21883</v>
      </c>
      <c r="C925">
        <v>523876</v>
      </c>
      <c r="D925">
        <v>52899</v>
      </c>
      <c r="E925">
        <v>100</v>
      </c>
      <c r="F925" t="s">
        <v>37</v>
      </c>
      <c r="G925">
        <v>1</v>
      </c>
      <c r="H925" t="s">
        <v>37</v>
      </c>
      <c r="I925" t="s">
        <v>37</v>
      </c>
      <c r="J925" t="s">
        <v>775</v>
      </c>
      <c r="K925" t="s">
        <v>230</v>
      </c>
      <c r="L925" t="s">
        <v>226</v>
      </c>
      <c r="M925" t="s">
        <v>422</v>
      </c>
      <c r="N925" t="s">
        <v>4651</v>
      </c>
      <c r="O925" t="s">
        <v>4141</v>
      </c>
      <c r="S925">
        <v>0</v>
      </c>
      <c r="T925">
        <v>8</v>
      </c>
      <c r="U925">
        <v>0</v>
      </c>
      <c r="V925">
        <v>8</v>
      </c>
      <c r="W925">
        <v>8</v>
      </c>
      <c r="X925">
        <v>0</v>
      </c>
      <c r="Y925">
        <v>0</v>
      </c>
      <c r="Z925">
        <v>0</v>
      </c>
      <c r="AB925" s="5">
        <v>43705</v>
      </c>
      <c r="AC925" s="5">
        <v>43705</v>
      </c>
      <c r="AD925" s="5">
        <v>43970.333333333336</v>
      </c>
      <c r="AE925" s="5">
        <v>43970.333333333336</v>
      </c>
      <c r="AG925" s="5">
        <v>44044</v>
      </c>
      <c r="AH925" s="5">
        <v>44044</v>
      </c>
      <c r="AK925" s="5">
        <v>43711.333333333336</v>
      </c>
      <c r="AL925" s="5">
        <v>43711.666666666664</v>
      </c>
      <c r="AP925" t="s">
        <v>418</v>
      </c>
      <c r="AU925" t="s">
        <v>4652</v>
      </c>
      <c r="AV925" t="s">
        <v>4653</v>
      </c>
      <c r="AY925" t="s">
        <v>40</v>
      </c>
      <c r="AZ925">
        <v>0</v>
      </c>
      <c r="BA925">
        <v>0</v>
      </c>
      <c r="BI925" s="5">
        <v>44048.176388888889</v>
      </c>
      <c r="BJ925" s="5">
        <v>44048.176388888889</v>
      </c>
      <c r="BK925" t="s">
        <v>778</v>
      </c>
      <c r="BL925" t="s">
        <v>778</v>
      </c>
      <c r="BN925" t="s">
        <v>37</v>
      </c>
    </row>
    <row r="926" spans="1:66" x14ac:dyDescent="0.2">
      <c r="A926">
        <v>3693483</v>
      </c>
      <c r="B926">
        <v>21883</v>
      </c>
      <c r="C926">
        <v>523876</v>
      </c>
      <c r="D926">
        <v>52899</v>
      </c>
      <c r="E926">
        <v>100</v>
      </c>
      <c r="F926" t="s">
        <v>37</v>
      </c>
      <c r="G926">
        <v>1</v>
      </c>
      <c r="H926" t="s">
        <v>37</v>
      </c>
      <c r="I926" t="s">
        <v>37</v>
      </c>
      <c r="J926" t="s">
        <v>775</v>
      </c>
      <c r="K926" t="s">
        <v>230</v>
      </c>
      <c r="L926" t="s">
        <v>226</v>
      </c>
      <c r="M926" t="s">
        <v>422</v>
      </c>
      <c r="N926" t="s">
        <v>4654</v>
      </c>
      <c r="O926" t="s">
        <v>4145</v>
      </c>
      <c r="S926">
        <v>0</v>
      </c>
      <c r="T926">
        <v>0</v>
      </c>
      <c r="U926">
        <v>0</v>
      </c>
      <c r="V926">
        <v>0</v>
      </c>
      <c r="W926">
        <v>8</v>
      </c>
      <c r="X926">
        <v>0</v>
      </c>
      <c r="Y926">
        <v>0</v>
      </c>
      <c r="Z926">
        <v>0</v>
      </c>
      <c r="AB926" s="5">
        <v>43707</v>
      </c>
      <c r="AC926" s="5">
        <v>43707</v>
      </c>
      <c r="AD926" s="5">
        <v>43970.333333333336</v>
      </c>
      <c r="AE926" s="5">
        <v>43970.333333333336</v>
      </c>
      <c r="AG926" s="5">
        <v>44044</v>
      </c>
      <c r="AH926" s="5">
        <v>44044</v>
      </c>
      <c r="AK926" s="5">
        <v>43711.333333333336</v>
      </c>
      <c r="AL926" s="5">
        <v>43711.666666666664</v>
      </c>
      <c r="AP926" t="s">
        <v>418</v>
      </c>
      <c r="AU926" t="s">
        <v>4655</v>
      </c>
      <c r="AV926" t="s">
        <v>4656</v>
      </c>
      <c r="AY926" t="s">
        <v>40</v>
      </c>
      <c r="AZ926">
        <v>0</v>
      </c>
      <c r="BA926">
        <v>0</v>
      </c>
      <c r="BI926" s="5">
        <v>44048.176388888889</v>
      </c>
      <c r="BJ926" s="5">
        <v>44048.176388888889</v>
      </c>
      <c r="BK926" t="s">
        <v>778</v>
      </c>
      <c r="BL926" t="s">
        <v>778</v>
      </c>
      <c r="BN926" t="s">
        <v>37</v>
      </c>
    </row>
    <row r="927" spans="1:66" x14ac:dyDescent="0.2">
      <c r="A927">
        <v>3693484</v>
      </c>
      <c r="B927">
        <v>21883</v>
      </c>
      <c r="C927">
        <v>523876</v>
      </c>
      <c r="D927">
        <v>52899</v>
      </c>
      <c r="E927">
        <v>100</v>
      </c>
      <c r="F927" t="s">
        <v>37</v>
      </c>
      <c r="G927">
        <v>1</v>
      </c>
      <c r="H927" t="s">
        <v>37</v>
      </c>
      <c r="I927" t="s">
        <v>37</v>
      </c>
      <c r="J927" t="s">
        <v>775</v>
      </c>
      <c r="K927" t="s">
        <v>230</v>
      </c>
      <c r="L927" t="s">
        <v>226</v>
      </c>
      <c r="M927" t="s">
        <v>422</v>
      </c>
      <c r="N927" t="s">
        <v>4657</v>
      </c>
      <c r="O927" t="s">
        <v>4149</v>
      </c>
      <c r="S927">
        <v>0</v>
      </c>
      <c r="T927">
        <v>0</v>
      </c>
      <c r="U927">
        <v>0</v>
      </c>
      <c r="V927">
        <v>0</v>
      </c>
      <c r="W927">
        <v>16</v>
      </c>
      <c r="X927">
        <v>0</v>
      </c>
      <c r="Y927">
        <v>0</v>
      </c>
      <c r="Z927">
        <v>0</v>
      </c>
      <c r="AB927" s="5">
        <v>43718</v>
      </c>
      <c r="AC927" s="5">
        <v>43719</v>
      </c>
      <c r="AD927" s="5">
        <v>43970.333333333336</v>
      </c>
      <c r="AE927" s="5">
        <v>43970.333333333336</v>
      </c>
      <c r="AG927" s="5">
        <v>44044</v>
      </c>
      <c r="AH927" s="5">
        <v>44044</v>
      </c>
      <c r="AK927" s="5">
        <v>43739.333333333336</v>
      </c>
      <c r="AL927" s="5">
        <v>43740.666666666664</v>
      </c>
      <c r="AP927" t="s">
        <v>418</v>
      </c>
      <c r="AU927" t="s">
        <v>4658</v>
      </c>
      <c r="AV927" t="s">
        <v>4659</v>
      </c>
      <c r="AY927" t="s">
        <v>40</v>
      </c>
      <c r="AZ927">
        <v>0</v>
      </c>
      <c r="BA927">
        <v>0</v>
      </c>
      <c r="BI927" s="5">
        <v>44048.176388888889</v>
      </c>
      <c r="BJ927" s="5">
        <v>44048.176388888889</v>
      </c>
      <c r="BK927" t="s">
        <v>778</v>
      </c>
      <c r="BL927" t="s">
        <v>778</v>
      </c>
      <c r="BN927" t="s">
        <v>37</v>
      </c>
    </row>
    <row r="928" spans="1:66" x14ac:dyDescent="0.2">
      <c r="A928">
        <v>3693485</v>
      </c>
      <c r="B928">
        <v>21883</v>
      </c>
      <c r="C928">
        <v>523875</v>
      </c>
      <c r="D928">
        <v>52899</v>
      </c>
      <c r="E928">
        <v>100</v>
      </c>
      <c r="F928" t="s">
        <v>37</v>
      </c>
      <c r="G928">
        <v>1</v>
      </c>
      <c r="H928" t="s">
        <v>37</v>
      </c>
      <c r="I928" t="s">
        <v>37</v>
      </c>
      <c r="J928" t="s">
        <v>775</v>
      </c>
      <c r="K928" t="s">
        <v>230</v>
      </c>
      <c r="L928" t="s">
        <v>226</v>
      </c>
      <c r="M928" t="s">
        <v>422</v>
      </c>
      <c r="N928" t="s">
        <v>4660</v>
      </c>
      <c r="O928" t="s">
        <v>2386</v>
      </c>
      <c r="S928">
        <v>0</v>
      </c>
      <c r="T928">
        <v>16</v>
      </c>
      <c r="U928">
        <v>0</v>
      </c>
      <c r="V928">
        <v>16</v>
      </c>
      <c r="W928">
        <v>16</v>
      </c>
      <c r="X928">
        <v>0</v>
      </c>
      <c r="Y928">
        <v>0</v>
      </c>
      <c r="Z928">
        <v>0</v>
      </c>
      <c r="AB928" s="5">
        <v>43691</v>
      </c>
      <c r="AC928" s="5">
        <v>43692</v>
      </c>
      <c r="AD928" s="5">
        <v>43970.333333333336</v>
      </c>
      <c r="AE928" s="5">
        <v>43970.333333333336</v>
      </c>
      <c r="AG928" s="5">
        <v>44044</v>
      </c>
      <c r="AH928" s="5">
        <v>44044</v>
      </c>
      <c r="AK928" s="5">
        <v>43703.333333333336</v>
      </c>
      <c r="AL928" s="5">
        <v>43704.666666666664</v>
      </c>
      <c r="AP928" t="s">
        <v>418</v>
      </c>
      <c r="AU928" t="s">
        <v>4661</v>
      </c>
      <c r="AV928" t="s">
        <v>4662</v>
      </c>
      <c r="AY928" t="s">
        <v>40</v>
      </c>
      <c r="AZ928">
        <v>0</v>
      </c>
      <c r="BA928">
        <v>0</v>
      </c>
      <c r="BI928" s="5">
        <v>44048.176388888889</v>
      </c>
      <c r="BJ928" s="5">
        <v>44048.176388888889</v>
      </c>
      <c r="BK928" t="s">
        <v>778</v>
      </c>
      <c r="BL928" t="s">
        <v>778</v>
      </c>
      <c r="BN928" t="s">
        <v>37</v>
      </c>
    </row>
    <row r="929" spans="1:66" x14ac:dyDescent="0.2">
      <c r="A929">
        <v>3693486</v>
      </c>
      <c r="B929">
        <v>21883</v>
      </c>
      <c r="C929">
        <v>523875</v>
      </c>
      <c r="D929">
        <v>52899</v>
      </c>
      <c r="E929">
        <v>100</v>
      </c>
      <c r="F929" t="s">
        <v>37</v>
      </c>
      <c r="G929">
        <v>1</v>
      </c>
      <c r="H929" t="s">
        <v>37</v>
      </c>
      <c r="I929" t="s">
        <v>37</v>
      </c>
      <c r="J929" t="s">
        <v>775</v>
      </c>
      <c r="K929" t="s">
        <v>230</v>
      </c>
      <c r="L929" t="s">
        <v>226</v>
      </c>
      <c r="M929" t="s">
        <v>422</v>
      </c>
      <c r="N929" t="s">
        <v>4663</v>
      </c>
      <c r="O929" t="s">
        <v>2390</v>
      </c>
      <c r="S929">
        <v>0</v>
      </c>
      <c r="T929">
        <v>8</v>
      </c>
      <c r="U929">
        <v>0</v>
      </c>
      <c r="V929">
        <v>8</v>
      </c>
      <c r="W929">
        <v>8</v>
      </c>
      <c r="X929">
        <v>0</v>
      </c>
      <c r="Y929">
        <v>0</v>
      </c>
      <c r="Z929">
        <v>0</v>
      </c>
      <c r="AB929" s="5">
        <v>43700</v>
      </c>
      <c r="AC929" s="5">
        <v>43701</v>
      </c>
      <c r="AD929" s="5">
        <v>43970.333333333336</v>
      </c>
      <c r="AE929" s="5">
        <v>43970.333333333336</v>
      </c>
      <c r="AG929" s="5">
        <v>44044</v>
      </c>
      <c r="AH929" s="5">
        <v>44044</v>
      </c>
      <c r="AK929" s="5">
        <v>43703.333333333336</v>
      </c>
      <c r="AL929" s="5">
        <v>43703.666666666664</v>
      </c>
      <c r="AP929" t="s">
        <v>418</v>
      </c>
      <c r="AU929" t="s">
        <v>4664</v>
      </c>
      <c r="AV929" t="s">
        <v>4665</v>
      </c>
      <c r="AY929" t="s">
        <v>40</v>
      </c>
      <c r="AZ929">
        <v>0</v>
      </c>
      <c r="BA929">
        <v>0</v>
      </c>
      <c r="BI929" s="5">
        <v>44048.176388888889</v>
      </c>
      <c r="BJ929" s="5">
        <v>44048.176388888889</v>
      </c>
      <c r="BK929" t="s">
        <v>778</v>
      </c>
      <c r="BL929" t="s">
        <v>778</v>
      </c>
      <c r="BN929" t="s">
        <v>37</v>
      </c>
    </row>
    <row r="930" spans="1:66" x14ac:dyDescent="0.2">
      <c r="A930">
        <v>3693487</v>
      </c>
      <c r="B930">
        <v>21883</v>
      </c>
      <c r="C930">
        <v>523875</v>
      </c>
      <c r="D930">
        <v>52899</v>
      </c>
      <c r="E930">
        <v>100</v>
      </c>
      <c r="F930" t="s">
        <v>37</v>
      </c>
      <c r="G930">
        <v>1</v>
      </c>
      <c r="H930" t="s">
        <v>37</v>
      </c>
      <c r="I930" t="s">
        <v>37</v>
      </c>
      <c r="J930" t="s">
        <v>775</v>
      </c>
      <c r="K930" t="s">
        <v>230</v>
      </c>
      <c r="L930" t="s">
        <v>226</v>
      </c>
      <c r="M930" t="s">
        <v>422</v>
      </c>
      <c r="N930" t="s">
        <v>4666</v>
      </c>
      <c r="O930" t="s">
        <v>2394</v>
      </c>
      <c r="S930">
        <v>0</v>
      </c>
      <c r="T930">
        <v>0</v>
      </c>
      <c r="U930">
        <v>0</v>
      </c>
      <c r="V930">
        <v>0</v>
      </c>
      <c r="W930">
        <v>8</v>
      </c>
      <c r="X930">
        <v>0</v>
      </c>
      <c r="Y930">
        <v>0</v>
      </c>
      <c r="Z930">
        <v>0</v>
      </c>
      <c r="AB930" s="5">
        <v>43705</v>
      </c>
      <c r="AC930" s="5">
        <v>43706</v>
      </c>
      <c r="AD930" s="5">
        <v>43970.333333333336</v>
      </c>
      <c r="AE930" s="5">
        <v>43970.333333333336</v>
      </c>
      <c r="AG930" s="5">
        <v>44044</v>
      </c>
      <c r="AH930" s="5">
        <v>44044</v>
      </c>
      <c r="AK930" s="5">
        <v>43711.333333333336</v>
      </c>
      <c r="AL930" s="5">
        <v>43711.666666666664</v>
      </c>
      <c r="AP930" t="s">
        <v>418</v>
      </c>
      <c r="AU930" t="s">
        <v>4667</v>
      </c>
      <c r="AV930" t="s">
        <v>4668</v>
      </c>
      <c r="AY930" t="s">
        <v>40</v>
      </c>
      <c r="AZ930">
        <v>0</v>
      </c>
      <c r="BA930">
        <v>0</v>
      </c>
      <c r="BI930" s="5">
        <v>44048.176388888889</v>
      </c>
      <c r="BJ930" s="5">
        <v>44048.176388888889</v>
      </c>
      <c r="BK930" t="s">
        <v>778</v>
      </c>
      <c r="BL930" t="s">
        <v>778</v>
      </c>
      <c r="BN930" t="s">
        <v>37</v>
      </c>
    </row>
    <row r="931" spans="1:66" x14ac:dyDescent="0.2">
      <c r="A931">
        <v>3693488</v>
      </c>
      <c r="B931">
        <v>21883</v>
      </c>
      <c r="C931">
        <v>523875</v>
      </c>
      <c r="D931">
        <v>52895</v>
      </c>
      <c r="E931">
        <v>100</v>
      </c>
      <c r="F931" t="s">
        <v>37</v>
      </c>
      <c r="G931">
        <v>1</v>
      </c>
      <c r="H931" t="s">
        <v>37</v>
      </c>
      <c r="I931" t="s">
        <v>37</v>
      </c>
      <c r="J931" t="s">
        <v>775</v>
      </c>
      <c r="K931" t="s">
        <v>230</v>
      </c>
      <c r="L931" t="s">
        <v>226</v>
      </c>
      <c r="M931" t="s">
        <v>422</v>
      </c>
      <c r="N931" t="s">
        <v>4669</v>
      </c>
      <c r="O931" t="s">
        <v>2398</v>
      </c>
      <c r="S931">
        <v>0</v>
      </c>
      <c r="T931">
        <v>0</v>
      </c>
      <c r="U931">
        <v>0</v>
      </c>
      <c r="V931">
        <v>0</v>
      </c>
      <c r="W931">
        <v>24</v>
      </c>
      <c r="X931">
        <v>0</v>
      </c>
      <c r="Y931">
        <v>0</v>
      </c>
      <c r="Z931">
        <v>0</v>
      </c>
      <c r="AB931" s="5">
        <v>43720</v>
      </c>
      <c r="AC931" s="5">
        <v>43723</v>
      </c>
      <c r="AD931" s="5">
        <v>43970.333333333336</v>
      </c>
      <c r="AE931" s="5">
        <v>43970.333333333336</v>
      </c>
      <c r="AG931" s="5">
        <v>44044</v>
      </c>
      <c r="AH931" s="5">
        <v>44044</v>
      </c>
      <c r="AK931" s="5">
        <v>43731.333333333336</v>
      </c>
      <c r="AL931" s="5">
        <v>43733.666666666664</v>
      </c>
      <c r="AP931" t="s">
        <v>418</v>
      </c>
      <c r="AU931" t="s">
        <v>4670</v>
      </c>
      <c r="AV931" t="s">
        <v>4671</v>
      </c>
      <c r="AY931" t="s">
        <v>40</v>
      </c>
      <c r="AZ931">
        <v>0</v>
      </c>
      <c r="BA931">
        <v>0</v>
      </c>
      <c r="BI931" s="5">
        <v>44048.176388888889</v>
      </c>
      <c r="BJ931" s="5">
        <v>44048.176388888889</v>
      </c>
      <c r="BK931" t="s">
        <v>778</v>
      </c>
      <c r="BL931" t="s">
        <v>778</v>
      </c>
      <c r="BN931" t="s">
        <v>37</v>
      </c>
    </row>
    <row r="932" spans="1:66" x14ac:dyDescent="0.2">
      <c r="A932">
        <v>3693489</v>
      </c>
      <c r="B932">
        <v>21883</v>
      </c>
      <c r="C932">
        <v>523875</v>
      </c>
      <c r="D932">
        <v>52899</v>
      </c>
      <c r="E932">
        <v>100</v>
      </c>
      <c r="F932" t="s">
        <v>37</v>
      </c>
      <c r="G932">
        <v>1</v>
      </c>
      <c r="H932" t="s">
        <v>37</v>
      </c>
      <c r="I932" t="s">
        <v>37</v>
      </c>
      <c r="J932" t="s">
        <v>775</v>
      </c>
      <c r="K932" t="s">
        <v>230</v>
      </c>
      <c r="L932" t="s">
        <v>226</v>
      </c>
      <c r="M932" t="s">
        <v>422</v>
      </c>
      <c r="N932" t="s">
        <v>4672</v>
      </c>
      <c r="O932" t="s">
        <v>2402</v>
      </c>
      <c r="S932">
        <v>0</v>
      </c>
      <c r="T932">
        <v>0</v>
      </c>
      <c r="U932">
        <v>0</v>
      </c>
      <c r="V932">
        <v>0</v>
      </c>
      <c r="W932">
        <v>16</v>
      </c>
      <c r="X932">
        <v>0</v>
      </c>
      <c r="Y932">
        <v>0</v>
      </c>
      <c r="Z932">
        <v>0</v>
      </c>
      <c r="AB932" s="5">
        <v>43718</v>
      </c>
      <c r="AC932" s="5">
        <v>43719</v>
      </c>
      <c r="AD932" s="5">
        <v>43970.333333333336</v>
      </c>
      <c r="AE932" s="5">
        <v>43970.333333333336</v>
      </c>
      <c r="AG932" s="5">
        <v>44044</v>
      </c>
      <c r="AH932" s="5">
        <v>44044</v>
      </c>
      <c r="AK932" s="5">
        <v>43731.333333333336</v>
      </c>
      <c r="AL932" s="5">
        <v>43732.666666666664</v>
      </c>
      <c r="AP932" t="s">
        <v>418</v>
      </c>
      <c r="AU932" t="s">
        <v>4673</v>
      </c>
      <c r="AV932" t="s">
        <v>4674</v>
      </c>
      <c r="AY932" t="s">
        <v>40</v>
      </c>
      <c r="AZ932">
        <v>0</v>
      </c>
      <c r="BA932">
        <v>0</v>
      </c>
      <c r="BI932" s="5">
        <v>44048.176388888889</v>
      </c>
      <c r="BJ932" s="5">
        <v>44048.176388888889</v>
      </c>
      <c r="BK932" t="s">
        <v>778</v>
      </c>
      <c r="BL932" t="s">
        <v>778</v>
      </c>
      <c r="BN932" t="s">
        <v>37</v>
      </c>
    </row>
    <row r="933" spans="1:66" x14ac:dyDescent="0.2">
      <c r="A933">
        <v>3693490</v>
      </c>
      <c r="B933">
        <v>21883</v>
      </c>
      <c r="C933">
        <v>523875</v>
      </c>
      <c r="D933">
        <v>52899</v>
      </c>
      <c r="E933">
        <v>100</v>
      </c>
      <c r="F933" t="s">
        <v>37</v>
      </c>
      <c r="G933">
        <v>1</v>
      </c>
      <c r="H933" t="s">
        <v>37</v>
      </c>
      <c r="I933" t="s">
        <v>37</v>
      </c>
      <c r="J933" t="s">
        <v>775</v>
      </c>
      <c r="K933" t="s">
        <v>230</v>
      </c>
      <c r="L933" t="s">
        <v>226</v>
      </c>
      <c r="M933" t="s">
        <v>422</v>
      </c>
      <c r="N933" t="s">
        <v>4675</v>
      </c>
      <c r="O933" t="s">
        <v>3295</v>
      </c>
      <c r="S933">
        <v>0</v>
      </c>
      <c r="T933">
        <v>0</v>
      </c>
      <c r="U933">
        <v>0</v>
      </c>
      <c r="V933">
        <v>0</v>
      </c>
      <c r="W933">
        <v>8</v>
      </c>
      <c r="X933">
        <v>0</v>
      </c>
      <c r="Y933">
        <v>0</v>
      </c>
      <c r="Z933">
        <v>0</v>
      </c>
      <c r="AB933" s="5">
        <v>43705</v>
      </c>
      <c r="AC933" s="5">
        <v>43706</v>
      </c>
      <c r="AD933" s="5">
        <v>43970.333333333336</v>
      </c>
      <c r="AE933" s="5">
        <v>43970.333333333336</v>
      </c>
      <c r="AG933" s="5">
        <v>44044</v>
      </c>
      <c r="AH933" s="5">
        <v>44044</v>
      </c>
      <c r="AK933" s="5">
        <v>43712.333333333336</v>
      </c>
      <c r="AL933" s="5">
        <v>43712.666666666664</v>
      </c>
      <c r="AP933" t="s">
        <v>418</v>
      </c>
      <c r="AU933" t="s">
        <v>4676</v>
      </c>
      <c r="AV933" t="s">
        <v>4677</v>
      </c>
      <c r="AY933" t="s">
        <v>40</v>
      </c>
      <c r="AZ933">
        <v>0</v>
      </c>
      <c r="BA933">
        <v>0</v>
      </c>
      <c r="BI933" s="5">
        <v>44048.176388888889</v>
      </c>
      <c r="BJ933" s="5">
        <v>44048.176388888889</v>
      </c>
      <c r="BK933" t="s">
        <v>778</v>
      </c>
      <c r="BL933" t="s">
        <v>778</v>
      </c>
      <c r="BN933" t="s">
        <v>37</v>
      </c>
    </row>
    <row r="934" spans="1:66" x14ac:dyDescent="0.2">
      <c r="A934">
        <v>3693491</v>
      </c>
      <c r="B934">
        <v>21883</v>
      </c>
      <c r="C934">
        <v>523875</v>
      </c>
      <c r="D934">
        <v>52899</v>
      </c>
      <c r="E934">
        <v>100</v>
      </c>
      <c r="F934" t="s">
        <v>37</v>
      </c>
      <c r="G934">
        <v>1</v>
      </c>
      <c r="H934" t="s">
        <v>37</v>
      </c>
      <c r="I934" t="s">
        <v>37</v>
      </c>
      <c r="J934" t="s">
        <v>775</v>
      </c>
      <c r="K934" t="s">
        <v>230</v>
      </c>
      <c r="L934" t="s">
        <v>226</v>
      </c>
      <c r="M934" t="s">
        <v>422</v>
      </c>
      <c r="N934" t="s">
        <v>4678</v>
      </c>
      <c r="O934" t="s">
        <v>3299</v>
      </c>
      <c r="S934">
        <v>0</v>
      </c>
      <c r="T934">
        <v>0</v>
      </c>
      <c r="U934">
        <v>0</v>
      </c>
      <c r="V934">
        <v>0</v>
      </c>
      <c r="W934">
        <v>8</v>
      </c>
      <c r="X934">
        <v>0</v>
      </c>
      <c r="Y934">
        <v>0</v>
      </c>
      <c r="Z934">
        <v>0</v>
      </c>
      <c r="AB934" s="5">
        <v>43713</v>
      </c>
      <c r="AC934" s="5">
        <v>43713</v>
      </c>
      <c r="AD934" s="5">
        <v>43970.333333333336</v>
      </c>
      <c r="AE934" s="5">
        <v>43970.333333333336</v>
      </c>
      <c r="AG934" s="5">
        <v>44044</v>
      </c>
      <c r="AH934" s="5">
        <v>44044</v>
      </c>
      <c r="AK934" s="5">
        <v>43731.333333333336</v>
      </c>
      <c r="AL934" s="5">
        <v>43731.666666666664</v>
      </c>
      <c r="AP934" t="s">
        <v>418</v>
      </c>
      <c r="AU934" t="s">
        <v>4679</v>
      </c>
      <c r="AV934" t="s">
        <v>4680</v>
      </c>
      <c r="AY934" t="s">
        <v>40</v>
      </c>
      <c r="AZ934">
        <v>0</v>
      </c>
      <c r="BA934">
        <v>0</v>
      </c>
      <c r="BI934" s="5">
        <v>44048.176388888889</v>
      </c>
      <c r="BJ934" s="5">
        <v>44048.176388888889</v>
      </c>
      <c r="BK934" t="s">
        <v>778</v>
      </c>
      <c r="BL934" t="s">
        <v>778</v>
      </c>
      <c r="BN934" t="s">
        <v>37</v>
      </c>
    </row>
    <row r="935" spans="1:66" x14ac:dyDescent="0.2">
      <c r="A935">
        <v>3693492</v>
      </c>
      <c r="B935">
        <v>21883</v>
      </c>
      <c r="C935">
        <v>523875</v>
      </c>
      <c r="D935">
        <v>52895</v>
      </c>
      <c r="E935">
        <v>100</v>
      </c>
      <c r="F935" t="s">
        <v>37</v>
      </c>
      <c r="G935">
        <v>1</v>
      </c>
      <c r="H935" t="s">
        <v>37</v>
      </c>
      <c r="I935" t="s">
        <v>37</v>
      </c>
      <c r="J935" t="s">
        <v>775</v>
      </c>
      <c r="K935" t="s">
        <v>230</v>
      </c>
      <c r="L935" t="s">
        <v>226</v>
      </c>
      <c r="M935" t="s">
        <v>422</v>
      </c>
      <c r="N935" t="s">
        <v>4681</v>
      </c>
      <c r="O935" t="s">
        <v>3303</v>
      </c>
      <c r="S935">
        <v>0</v>
      </c>
      <c r="T935">
        <v>0</v>
      </c>
      <c r="U935">
        <v>0</v>
      </c>
      <c r="V935">
        <v>0</v>
      </c>
      <c r="W935">
        <v>24</v>
      </c>
      <c r="X935">
        <v>0</v>
      </c>
      <c r="Y935">
        <v>0</v>
      </c>
      <c r="Z935">
        <v>0</v>
      </c>
      <c r="AB935" s="5">
        <v>43713</v>
      </c>
      <c r="AC935" s="5">
        <v>43715</v>
      </c>
      <c r="AD935" s="5">
        <v>43970.333333333336</v>
      </c>
      <c r="AE935" s="5">
        <v>43970.333333333336</v>
      </c>
      <c r="AG935" s="5">
        <v>44044</v>
      </c>
      <c r="AH935" s="5">
        <v>44044</v>
      </c>
      <c r="AK935" s="5">
        <v>43731.333333333336</v>
      </c>
      <c r="AL935" s="5">
        <v>43733.666666666664</v>
      </c>
      <c r="AP935" t="s">
        <v>418</v>
      </c>
      <c r="AU935" t="s">
        <v>4682</v>
      </c>
      <c r="AV935" t="s">
        <v>4683</v>
      </c>
      <c r="AY935" t="s">
        <v>40</v>
      </c>
      <c r="AZ935">
        <v>0</v>
      </c>
      <c r="BA935">
        <v>0</v>
      </c>
      <c r="BI935" s="5">
        <v>44048.176388888889</v>
      </c>
      <c r="BJ935" s="5">
        <v>44048.176388888889</v>
      </c>
      <c r="BK935" t="s">
        <v>778</v>
      </c>
      <c r="BL935" t="s">
        <v>778</v>
      </c>
      <c r="BN935" t="s">
        <v>37</v>
      </c>
    </row>
    <row r="936" spans="1:66" x14ac:dyDescent="0.2">
      <c r="A936">
        <v>3693493</v>
      </c>
      <c r="B936">
        <v>21883</v>
      </c>
      <c r="C936">
        <v>523875</v>
      </c>
      <c r="D936">
        <v>52899</v>
      </c>
      <c r="E936">
        <v>100</v>
      </c>
      <c r="F936" t="s">
        <v>37</v>
      </c>
      <c r="G936">
        <v>1</v>
      </c>
      <c r="H936" t="s">
        <v>37</v>
      </c>
      <c r="I936" t="s">
        <v>37</v>
      </c>
      <c r="J936" t="s">
        <v>775</v>
      </c>
      <c r="K936" t="s">
        <v>230</v>
      </c>
      <c r="L936" t="s">
        <v>226</v>
      </c>
      <c r="M936" t="s">
        <v>422</v>
      </c>
      <c r="N936" t="s">
        <v>4684</v>
      </c>
      <c r="O936" t="s">
        <v>3307</v>
      </c>
      <c r="S936">
        <v>0</v>
      </c>
      <c r="T936">
        <v>0</v>
      </c>
      <c r="U936">
        <v>0</v>
      </c>
      <c r="V936">
        <v>0</v>
      </c>
      <c r="W936">
        <v>8</v>
      </c>
      <c r="X936">
        <v>0</v>
      </c>
      <c r="Y936">
        <v>0</v>
      </c>
      <c r="Z936">
        <v>0</v>
      </c>
      <c r="AB936" s="5">
        <v>43720</v>
      </c>
      <c r="AC936" s="5">
        <v>43720</v>
      </c>
      <c r="AD936" s="5">
        <v>43970.333333333336</v>
      </c>
      <c r="AE936" s="5">
        <v>43970.333333333336</v>
      </c>
      <c r="AG936" s="5">
        <v>44044</v>
      </c>
      <c r="AH936" s="5">
        <v>44044</v>
      </c>
      <c r="AK936" s="5">
        <v>43731.333333333336</v>
      </c>
      <c r="AL936" s="5">
        <v>43731.666666666664</v>
      </c>
      <c r="AP936" t="s">
        <v>418</v>
      </c>
      <c r="AU936" t="s">
        <v>4685</v>
      </c>
      <c r="AV936" t="s">
        <v>4686</v>
      </c>
      <c r="AY936" t="s">
        <v>40</v>
      </c>
      <c r="AZ936">
        <v>0</v>
      </c>
      <c r="BA936">
        <v>0</v>
      </c>
      <c r="BI936" s="5">
        <v>44048.176388888889</v>
      </c>
      <c r="BJ936" s="5">
        <v>44048.176388888889</v>
      </c>
      <c r="BK936" t="s">
        <v>778</v>
      </c>
      <c r="BL936" t="s">
        <v>778</v>
      </c>
      <c r="BN936" t="s">
        <v>37</v>
      </c>
    </row>
    <row r="937" spans="1:66" x14ac:dyDescent="0.2">
      <c r="A937">
        <v>3693494</v>
      </c>
      <c r="B937">
        <v>21883</v>
      </c>
      <c r="C937">
        <v>523875</v>
      </c>
      <c r="D937">
        <v>52899</v>
      </c>
      <c r="E937">
        <v>100</v>
      </c>
      <c r="F937" t="s">
        <v>37</v>
      </c>
      <c r="G937">
        <v>1</v>
      </c>
      <c r="H937" t="s">
        <v>37</v>
      </c>
      <c r="I937" t="s">
        <v>37</v>
      </c>
      <c r="J937" t="s">
        <v>775</v>
      </c>
      <c r="K937" t="s">
        <v>230</v>
      </c>
      <c r="L937" t="s">
        <v>226</v>
      </c>
      <c r="M937" t="s">
        <v>422</v>
      </c>
      <c r="N937" t="s">
        <v>4687</v>
      </c>
      <c r="O937" t="s">
        <v>3780</v>
      </c>
      <c r="S937">
        <v>0</v>
      </c>
      <c r="T937">
        <v>0</v>
      </c>
      <c r="U937">
        <v>0</v>
      </c>
      <c r="V937">
        <v>0</v>
      </c>
      <c r="W937">
        <v>16</v>
      </c>
      <c r="X937">
        <v>0</v>
      </c>
      <c r="Y937">
        <v>0</v>
      </c>
      <c r="Z937">
        <v>0</v>
      </c>
      <c r="AB937" s="5">
        <v>43724</v>
      </c>
      <c r="AC937" s="5">
        <v>43725</v>
      </c>
      <c r="AD937" s="5">
        <v>43970.333333333336</v>
      </c>
      <c r="AE937" s="5">
        <v>43970.333333333336</v>
      </c>
      <c r="AG937" s="5">
        <v>44044</v>
      </c>
      <c r="AH937" s="5">
        <v>44044</v>
      </c>
      <c r="AK937" s="5">
        <v>43731.333333333336</v>
      </c>
      <c r="AL937" s="5">
        <v>43732.666666666664</v>
      </c>
      <c r="AP937" t="s">
        <v>418</v>
      </c>
      <c r="AU937" t="s">
        <v>4688</v>
      </c>
      <c r="AV937" t="s">
        <v>4689</v>
      </c>
      <c r="AY937" t="s">
        <v>40</v>
      </c>
      <c r="AZ937">
        <v>0</v>
      </c>
      <c r="BA937">
        <v>0</v>
      </c>
      <c r="BI937" s="5">
        <v>44048.176388888889</v>
      </c>
      <c r="BJ937" s="5">
        <v>44048.176388888889</v>
      </c>
      <c r="BK937" t="s">
        <v>778</v>
      </c>
      <c r="BL937" t="s">
        <v>778</v>
      </c>
      <c r="BN937" t="s">
        <v>37</v>
      </c>
    </row>
    <row r="938" spans="1:66" x14ac:dyDescent="0.2">
      <c r="A938">
        <v>3693495</v>
      </c>
      <c r="B938">
        <v>21883</v>
      </c>
      <c r="C938">
        <v>523875</v>
      </c>
      <c r="D938">
        <v>52899</v>
      </c>
      <c r="E938">
        <v>100</v>
      </c>
      <c r="F938" t="s">
        <v>37</v>
      </c>
      <c r="G938">
        <v>1</v>
      </c>
      <c r="H938" t="s">
        <v>37</v>
      </c>
      <c r="I938" t="s">
        <v>37</v>
      </c>
      <c r="J938" t="s">
        <v>775</v>
      </c>
      <c r="K938" t="s">
        <v>230</v>
      </c>
      <c r="L938" t="s">
        <v>226</v>
      </c>
      <c r="M938" t="s">
        <v>422</v>
      </c>
      <c r="N938" t="s">
        <v>4690</v>
      </c>
      <c r="O938" t="s">
        <v>3784</v>
      </c>
      <c r="S938">
        <v>0</v>
      </c>
      <c r="T938">
        <v>0</v>
      </c>
      <c r="U938">
        <v>0</v>
      </c>
      <c r="V938">
        <v>0</v>
      </c>
      <c r="W938">
        <v>16</v>
      </c>
      <c r="X938">
        <v>0</v>
      </c>
      <c r="Y938">
        <v>0</v>
      </c>
      <c r="Z938">
        <v>0</v>
      </c>
      <c r="AB938" s="5">
        <v>43726</v>
      </c>
      <c r="AC938" s="5">
        <v>43726</v>
      </c>
      <c r="AD938" s="5">
        <v>43970.333333333336</v>
      </c>
      <c r="AE938" s="5">
        <v>43970.333333333336</v>
      </c>
      <c r="AG938" s="5">
        <v>44044</v>
      </c>
      <c r="AH938" s="5">
        <v>44044</v>
      </c>
      <c r="AK938" s="5">
        <v>43731.333333333336</v>
      </c>
      <c r="AL938" s="5">
        <v>43732.666666666664</v>
      </c>
      <c r="AP938" t="s">
        <v>418</v>
      </c>
      <c r="AU938" t="s">
        <v>4691</v>
      </c>
      <c r="AV938" t="s">
        <v>4692</v>
      </c>
      <c r="AY938" t="s">
        <v>40</v>
      </c>
      <c r="AZ938">
        <v>0</v>
      </c>
      <c r="BA938">
        <v>0</v>
      </c>
      <c r="BI938" s="5">
        <v>44048.176388888889</v>
      </c>
      <c r="BJ938" s="5">
        <v>44048.176388888889</v>
      </c>
      <c r="BK938" t="s">
        <v>778</v>
      </c>
      <c r="BL938" t="s">
        <v>778</v>
      </c>
      <c r="BN938" t="s">
        <v>37</v>
      </c>
    </row>
    <row r="939" spans="1:66" x14ac:dyDescent="0.2">
      <c r="A939">
        <v>3693496</v>
      </c>
      <c r="B939">
        <v>21883</v>
      </c>
      <c r="C939">
        <v>523875</v>
      </c>
      <c r="D939">
        <v>52899</v>
      </c>
      <c r="E939">
        <v>100</v>
      </c>
      <c r="F939" t="s">
        <v>37</v>
      </c>
      <c r="G939">
        <v>1</v>
      </c>
      <c r="H939" t="s">
        <v>37</v>
      </c>
      <c r="I939" t="s">
        <v>37</v>
      </c>
      <c r="J939" t="s">
        <v>775</v>
      </c>
      <c r="K939" t="s">
        <v>230</v>
      </c>
      <c r="L939" t="s">
        <v>226</v>
      </c>
      <c r="M939" t="s">
        <v>422</v>
      </c>
      <c r="N939" t="s">
        <v>4693</v>
      </c>
      <c r="O939" t="s">
        <v>4694</v>
      </c>
      <c r="S939">
        <v>0</v>
      </c>
      <c r="T939">
        <v>0</v>
      </c>
      <c r="U939">
        <v>0</v>
      </c>
      <c r="V939">
        <v>0</v>
      </c>
      <c r="W939">
        <v>16</v>
      </c>
      <c r="X939">
        <v>0</v>
      </c>
      <c r="Y939">
        <v>0</v>
      </c>
      <c r="Z939">
        <v>0</v>
      </c>
      <c r="AB939" s="5">
        <v>43738</v>
      </c>
      <c r="AC939" s="5">
        <v>43739</v>
      </c>
      <c r="AD939" s="5">
        <v>43970.333333333336</v>
      </c>
      <c r="AE939" s="5">
        <v>43970.333333333336</v>
      </c>
      <c r="AG939" s="5">
        <v>44044</v>
      </c>
      <c r="AH939" s="5">
        <v>44044</v>
      </c>
      <c r="AK939" s="5">
        <v>43770.333333333336</v>
      </c>
      <c r="AL939" s="5">
        <v>43773.666666666664</v>
      </c>
      <c r="AP939" t="s">
        <v>418</v>
      </c>
      <c r="AU939" t="s">
        <v>4695</v>
      </c>
      <c r="AV939" t="s">
        <v>4696</v>
      </c>
      <c r="AY939" t="s">
        <v>40</v>
      </c>
      <c r="AZ939">
        <v>0</v>
      </c>
      <c r="BA939">
        <v>0</v>
      </c>
      <c r="BI939" s="5">
        <v>44048.176388888889</v>
      </c>
      <c r="BJ939" s="5">
        <v>44048.176388888889</v>
      </c>
      <c r="BK939" t="s">
        <v>778</v>
      </c>
      <c r="BL939" t="s">
        <v>778</v>
      </c>
      <c r="BN939" t="s">
        <v>37</v>
      </c>
    </row>
    <row r="940" spans="1:66" x14ac:dyDescent="0.2">
      <c r="A940">
        <v>3693497</v>
      </c>
      <c r="B940">
        <v>21883</v>
      </c>
      <c r="C940">
        <v>523999</v>
      </c>
      <c r="D940">
        <v>52899</v>
      </c>
      <c r="E940">
        <v>100</v>
      </c>
      <c r="F940" t="s">
        <v>37</v>
      </c>
      <c r="G940">
        <v>1</v>
      </c>
      <c r="H940" t="s">
        <v>37</v>
      </c>
      <c r="I940" t="s">
        <v>37</v>
      </c>
      <c r="J940" t="s">
        <v>775</v>
      </c>
      <c r="K940" t="s">
        <v>230</v>
      </c>
      <c r="L940" t="s">
        <v>226</v>
      </c>
      <c r="M940" t="s">
        <v>422</v>
      </c>
      <c r="N940" t="s">
        <v>4697</v>
      </c>
      <c r="O940" t="s">
        <v>4698</v>
      </c>
      <c r="S940">
        <v>0</v>
      </c>
      <c r="T940">
        <v>24</v>
      </c>
      <c r="U940">
        <v>0</v>
      </c>
      <c r="V940">
        <v>24</v>
      </c>
      <c r="W940">
        <v>24</v>
      </c>
      <c r="X940">
        <v>0</v>
      </c>
      <c r="Y940">
        <v>0</v>
      </c>
      <c r="Z940">
        <v>0</v>
      </c>
      <c r="AB940" s="5">
        <v>43830</v>
      </c>
      <c r="AC940" s="5">
        <v>43830</v>
      </c>
      <c r="AD940" s="5">
        <v>44306.666666666664</v>
      </c>
      <c r="AE940" s="5">
        <v>44306.666666666664</v>
      </c>
      <c r="AG940" s="5">
        <v>44044</v>
      </c>
      <c r="AH940" s="5">
        <v>44044</v>
      </c>
      <c r="AK940" s="5">
        <v>43832.333333333336</v>
      </c>
      <c r="AL940" s="5">
        <v>43836.666666666664</v>
      </c>
      <c r="AP940" t="s">
        <v>418</v>
      </c>
      <c r="AU940" t="s">
        <v>4699</v>
      </c>
      <c r="AV940" t="s">
        <v>4700</v>
      </c>
      <c r="AY940" t="s">
        <v>37</v>
      </c>
      <c r="AZ940">
        <v>0</v>
      </c>
      <c r="BA940">
        <v>0</v>
      </c>
      <c r="BI940" s="5">
        <v>44048.176388888889</v>
      </c>
      <c r="BJ940" s="5">
        <v>44048.176388888889</v>
      </c>
      <c r="BK940" t="s">
        <v>778</v>
      </c>
      <c r="BL940" t="s">
        <v>778</v>
      </c>
      <c r="BN940" t="s">
        <v>37</v>
      </c>
    </row>
    <row r="941" spans="1:66" x14ac:dyDescent="0.2">
      <c r="A941">
        <v>3693498</v>
      </c>
      <c r="B941">
        <v>21883</v>
      </c>
      <c r="C941">
        <v>523875</v>
      </c>
      <c r="D941">
        <v>52899</v>
      </c>
      <c r="E941">
        <v>100</v>
      </c>
      <c r="F941" t="s">
        <v>37</v>
      </c>
      <c r="G941">
        <v>1</v>
      </c>
      <c r="H941" t="s">
        <v>37</v>
      </c>
      <c r="I941" t="s">
        <v>37</v>
      </c>
      <c r="J941" t="s">
        <v>775</v>
      </c>
      <c r="K941" t="s">
        <v>230</v>
      </c>
      <c r="L941" t="s">
        <v>226</v>
      </c>
      <c r="M941" t="s">
        <v>422</v>
      </c>
      <c r="N941" t="s">
        <v>4701</v>
      </c>
      <c r="O941" t="s">
        <v>4702</v>
      </c>
      <c r="S941">
        <v>0</v>
      </c>
      <c r="T941">
        <v>16</v>
      </c>
      <c r="U941">
        <v>0</v>
      </c>
      <c r="V941">
        <v>16</v>
      </c>
      <c r="W941">
        <v>16</v>
      </c>
      <c r="X941">
        <v>0</v>
      </c>
      <c r="Y941">
        <v>0</v>
      </c>
      <c r="Z941">
        <v>0</v>
      </c>
      <c r="AB941" s="5">
        <v>43740</v>
      </c>
      <c r="AC941" s="5">
        <v>43742</v>
      </c>
      <c r="AD941" s="5">
        <v>43970.333333333336</v>
      </c>
      <c r="AE941" s="5">
        <v>43970.333333333336</v>
      </c>
      <c r="AG941" s="5">
        <v>44044</v>
      </c>
      <c r="AH941" s="5">
        <v>44044</v>
      </c>
      <c r="AK941" s="5">
        <v>43770.333333333336</v>
      </c>
      <c r="AL941" s="5">
        <v>43773.666666666664</v>
      </c>
      <c r="AP941" t="s">
        <v>418</v>
      </c>
      <c r="AU941" t="s">
        <v>4703</v>
      </c>
      <c r="AV941" t="s">
        <v>4704</v>
      </c>
      <c r="AY941" t="s">
        <v>40</v>
      </c>
      <c r="AZ941">
        <v>0</v>
      </c>
      <c r="BA941">
        <v>0</v>
      </c>
      <c r="BI941" s="5">
        <v>44048.176388888889</v>
      </c>
      <c r="BJ941" s="5">
        <v>44048.176388888889</v>
      </c>
      <c r="BK941" t="s">
        <v>778</v>
      </c>
      <c r="BL941" t="s">
        <v>778</v>
      </c>
      <c r="BN941" t="s">
        <v>37</v>
      </c>
    </row>
    <row r="942" spans="1:66" x14ac:dyDescent="0.2">
      <c r="A942">
        <v>3693499</v>
      </c>
      <c r="B942">
        <v>21883</v>
      </c>
      <c r="C942">
        <v>523875</v>
      </c>
      <c r="D942">
        <v>52899</v>
      </c>
      <c r="E942">
        <v>100</v>
      </c>
      <c r="F942" t="s">
        <v>37</v>
      </c>
      <c r="G942">
        <v>1</v>
      </c>
      <c r="H942" t="s">
        <v>37</v>
      </c>
      <c r="I942" t="s">
        <v>37</v>
      </c>
      <c r="J942" t="s">
        <v>775</v>
      </c>
      <c r="K942" t="s">
        <v>230</v>
      </c>
      <c r="L942" t="s">
        <v>226</v>
      </c>
      <c r="M942" t="s">
        <v>422</v>
      </c>
      <c r="N942" t="s">
        <v>4705</v>
      </c>
      <c r="O942" t="s">
        <v>4157</v>
      </c>
      <c r="S942">
        <v>0</v>
      </c>
      <c r="T942">
        <v>0</v>
      </c>
      <c r="U942">
        <v>0</v>
      </c>
      <c r="V942">
        <v>0</v>
      </c>
      <c r="W942">
        <v>24</v>
      </c>
      <c r="X942">
        <v>0</v>
      </c>
      <c r="Y942">
        <v>0</v>
      </c>
      <c r="Z942">
        <v>0</v>
      </c>
      <c r="AB942" s="5">
        <v>43696</v>
      </c>
      <c r="AC942" s="5">
        <v>43696</v>
      </c>
      <c r="AD942" s="5">
        <v>43970.333333333336</v>
      </c>
      <c r="AE942" s="5">
        <v>43970.333333333336</v>
      </c>
      <c r="AG942" s="5">
        <v>44044</v>
      </c>
      <c r="AH942" s="5">
        <v>44044</v>
      </c>
      <c r="AK942" s="5">
        <v>43711.333333333336</v>
      </c>
      <c r="AL942" s="5">
        <v>43713.666666666664</v>
      </c>
      <c r="AP942" t="s">
        <v>418</v>
      </c>
      <c r="AU942" t="s">
        <v>4706</v>
      </c>
      <c r="AV942" t="s">
        <v>4707</v>
      </c>
      <c r="AY942" t="s">
        <v>40</v>
      </c>
      <c r="AZ942">
        <v>0</v>
      </c>
      <c r="BA942">
        <v>0</v>
      </c>
      <c r="BI942" s="5">
        <v>44048.176388888889</v>
      </c>
      <c r="BJ942" s="5">
        <v>44048.176388888889</v>
      </c>
      <c r="BK942" t="s">
        <v>778</v>
      </c>
      <c r="BL942" t="s">
        <v>778</v>
      </c>
      <c r="BN942" t="s">
        <v>37</v>
      </c>
    </row>
    <row r="943" spans="1:66" x14ac:dyDescent="0.2">
      <c r="A943">
        <v>3693500</v>
      </c>
      <c r="B943">
        <v>21883</v>
      </c>
      <c r="C943">
        <v>523875</v>
      </c>
      <c r="D943">
        <v>52899</v>
      </c>
      <c r="E943">
        <v>100</v>
      </c>
      <c r="F943" t="s">
        <v>37</v>
      </c>
      <c r="G943">
        <v>1</v>
      </c>
      <c r="H943" t="s">
        <v>37</v>
      </c>
      <c r="I943" t="s">
        <v>37</v>
      </c>
      <c r="J943" t="s">
        <v>775</v>
      </c>
      <c r="K943" t="s">
        <v>230</v>
      </c>
      <c r="L943" t="s">
        <v>226</v>
      </c>
      <c r="M943" t="s">
        <v>422</v>
      </c>
      <c r="N943" t="s">
        <v>4708</v>
      </c>
      <c r="O943" t="s">
        <v>4161</v>
      </c>
      <c r="S943">
        <v>0</v>
      </c>
      <c r="T943">
        <v>8</v>
      </c>
      <c r="U943">
        <v>0</v>
      </c>
      <c r="V943">
        <v>8</v>
      </c>
      <c r="W943">
        <v>8</v>
      </c>
      <c r="X943">
        <v>0</v>
      </c>
      <c r="Y943">
        <v>0</v>
      </c>
      <c r="Z943">
        <v>0</v>
      </c>
      <c r="AB943" s="5">
        <v>43699</v>
      </c>
      <c r="AC943" s="5">
        <v>43699</v>
      </c>
      <c r="AD943" s="5">
        <v>43970.333333333336</v>
      </c>
      <c r="AE943" s="5">
        <v>43970.333333333336</v>
      </c>
      <c r="AG943" s="5">
        <v>44044</v>
      </c>
      <c r="AH943" s="5">
        <v>44044</v>
      </c>
      <c r="AK943" s="5">
        <v>43703.333333333336</v>
      </c>
      <c r="AL943" s="5">
        <v>43703.666666666664</v>
      </c>
      <c r="AP943" t="s">
        <v>418</v>
      </c>
      <c r="AU943" t="s">
        <v>4709</v>
      </c>
      <c r="AV943" t="e" cm="1">
        <f t="array" ref="AV943">+pXg5hLk8EG5e5wQ7ATa6w</f>
        <v>#NAME?</v>
      </c>
      <c r="AY943" t="s">
        <v>40</v>
      </c>
      <c r="AZ943">
        <v>0</v>
      </c>
      <c r="BA943">
        <v>0</v>
      </c>
      <c r="BI943" s="5">
        <v>44048.176388888889</v>
      </c>
      <c r="BJ943" s="5">
        <v>44048.176388888889</v>
      </c>
      <c r="BK943" t="s">
        <v>778</v>
      </c>
      <c r="BL943" t="s">
        <v>778</v>
      </c>
      <c r="BN943" t="s">
        <v>37</v>
      </c>
    </row>
    <row r="944" spans="1:66" x14ac:dyDescent="0.2">
      <c r="A944">
        <v>3693501</v>
      </c>
      <c r="B944">
        <v>21883</v>
      </c>
      <c r="C944">
        <v>523875</v>
      </c>
      <c r="D944">
        <v>52899</v>
      </c>
      <c r="E944">
        <v>100</v>
      </c>
      <c r="F944" t="s">
        <v>37</v>
      </c>
      <c r="G944">
        <v>1</v>
      </c>
      <c r="H944" t="s">
        <v>37</v>
      </c>
      <c r="I944" t="s">
        <v>37</v>
      </c>
      <c r="J944" t="s">
        <v>775</v>
      </c>
      <c r="K944" t="s">
        <v>230</v>
      </c>
      <c r="L944" t="s">
        <v>226</v>
      </c>
      <c r="M944" t="s">
        <v>422</v>
      </c>
      <c r="N944" t="s">
        <v>4710</v>
      </c>
      <c r="O944" t="s">
        <v>4172</v>
      </c>
      <c r="S944">
        <v>0</v>
      </c>
      <c r="T944">
        <v>0</v>
      </c>
      <c r="U944">
        <v>0</v>
      </c>
      <c r="V944">
        <v>0</v>
      </c>
      <c r="W944">
        <v>8</v>
      </c>
      <c r="X944">
        <v>0</v>
      </c>
      <c r="Y944">
        <v>0</v>
      </c>
      <c r="Z944">
        <v>0</v>
      </c>
      <c r="AB944" s="5">
        <v>43705</v>
      </c>
      <c r="AC944" s="5">
        <v>43705</v>
      </c>
      <c r="AD944" s="5">
        <v>43970.333333333336</v>
      </c>
      <c r="AE944" s="5">
        <v>43970.333333333336</v>
      </c>
      <c r="AG944" s="5">
        <v>44044</v>
      </c>
      <c r="AH944" s="5">
        <v>44044</v>
      </c>
      <c r="AK944" s="5">
        <v>43711.333333333336</v>
      </c>
      <c r="AL944" s="5">
        <v>43711.666666666664</v>
      </c>
      <c r="AP944" t="s">
        <v>418</v>
      </c>
      <c r="AU944" t="s">
        <v>4711</v>
      </c>
      <c r="AV944" t="s">
        <v>4712</v>
      </c>
      <c r="AY944" t="s">
        <v>40</v>
      </c>
      <c r="AZ944">
        <v>0</v>
      </c>
      <c r="BA944">
        <v>0</v>
      </c>
      <c r="BI944" s="5">
        <v>44048.176388888889</v>
      </c>
      <c r="BJ944" s="5">
        <v>44048.176388888889</v>
      </c>
      <c r="BK944" t="s">
        <v>778</v>
      </c>
      <c r="BL944" t="s">
        <v>778</v>
      </c>
      <c r="BN944" t="s">
        <v>37</v>
      </c>
    </row>
    <row r="945" spans="1:66" x14ac:dyDescent="0.2">
      <c r="A945">
        <v>3693502</v>
      </c>
      <c r="B945">
        <v>21883</v>
      </c>
      <c r="C945">
        <v>523875</v>
      </c>
      <c r="D945">
        <v>52899</v>
      </c>
      <c r="E945">
        <v>100</v>
      </c>
      <c r="F945" t="s">
        <v>37</v>
      </c>
      <c r="G945">
        <v>1</v>
      </c>
      <c r="H945" t="s">
        <v>37</v>
      </c>
      <c r="I945" t="s">
        <v>37</v>
      </c>
      <c r="J945" t="s">
        <v>775</v>
      </c>
      <c r="K945" t="s">
        <v>230</v>
      </c>
      <c r="L945" t="s">
        <v>226</v>
      </c>
      <c r="M945" t="s">
        <v>422</v>
      </c>
      <c r="N945" t="s">
        <v>4713</v>
      </c>
      <c r="O945" t="s">
        <v>4176</v>
      </c>
      <c r="S945">
        <v>0</v>
      </c>
      <c r="T945">
        <v>0</v>
      </c>
      <c r="U945">
        <v>0</v>
      </c>
      <c r="V945">
        <v>0</v>
      </c>
      <c r="W945">
        <v>16</v>
      </c>
      <c r="X945">
        <v>0</v>
      </c>
      <c r="Y945">
        <v>0</v>
      </c>
      <c r="Z945">
        <v>0</v>
      </c>
      <c r="AB945" s="5">
        <v>43707</v>
      </c>
      <c r="AC945" s="5">
        <v>43712</v>
      </c>
      <c r="AD945" s="5">
        <v>43970.333333333336</v>
      </c>
      <c r="AE945" s="5">
        <v>43970.333333333336</v>
      </c>
      <c r="AG945" s="5">
        <v>44044</v>
      </c>
      <c r="AH945" s="5">
        <v>44044</v>
      </c>
      <c r="AK945" s="5">
        <v>43731.333333333336</v>
      </c>
      <c r="AL945" s="5">
        <v>43732.666666666664</v>
      </c>
      <c r="AP945" t="s">
        <v>418</v>
      </c>
      <c r="AU945" t="s">
        <v>4714</v>
      </c>
      <c r="AV945" t="e" cm="1">
        <f t="array" ref="AV945">+TVwG69Z9UCnzM4cL8K49w</f>
        <v>#NAME?</v>
      </c>
      <c r="AY945" t="s">
        <v>40</v>
      </c>
      <c r="AZ945">
        <v>0</v>
      </c>
      <c r="BA945">
        <v>0</v>
      </c>
      <c r="BI945" s="5">
        <v>44048.176388888889</v>
      </c>
      <c r="BJ945" s="5">
        <v>44048.176388888889</v>
      </c>
      <c r="BK945" t="s">
        <v>778</v>
      </c>
      <c r="BL945" t="s">
        <v>778</v>
      </c>
      <c r="BN945" t="s">
        <v>37</v>
      </c>
    </row>
    <row r="946" spans="1:66" x14ac:dyDescent="0.2">
      <c r="A946">
        <v>3693503</v>
      </c>
      <c r="B946">
        <v>21883</v>
      </c>
      <c r="C946">
        <v>523874</v>
      </c>
      <c r="D946">
        <v>52899</v>
      </c>
      <c r="E946">
        <v>100</v>
      </c>
      <c r="F946" t="s">
        <v>37</v>
      </c>
      <c r="G946">
        <v>1</v>
      </c>
      <c r="H946" t="s">
        <v>37</v>
      </c>
      <c r="I946" t="s">
        <v>37</v>
      </c>
      <c r="J946" t="s">
        <v>775</v>
      </c>
      <c r="K946" t="s">
        <v>230</v>
      </c>
      <c r="L946" t="s">
        <v>226</v>
      </c>
      <c r="M946" t="s">
        <v>422</v>
      </c>
      <c r="N946" t="s">
        <v>4715</v>
      </c>
      <c r="O946" t="s">
        <v>2406</v>
      </c>
      <c r="S946">
        <v>0</v>
      </c>
      <c r="T946">
        <v>32</v>
      </c>
      <c r="U946">
        <v>0</v>
      </c>
      <c r="V946">
        <v>32</v>
      </c>
      <c r="W946">
        <v>32</v>
      </c>
      <c r="X946">
        <v>0</v>
      </c>
      <c r="Y946">
        <v>0</v>
      </c>
      <c r="Z946">
        <v>0</v>
      </c>
      <c r="AB946" s="5">
        <v>43717</v>
      </c>
      <c r="AC946" s="5">
        <v>43719</v>
      </c>
      <c r="AD946" s="5">
        <v>43970.333333333336</v>
      </c>
      <c r="AE946" s="5">
        <v>43970.333333333336</v>
      </c>
      <c r="AG946" s="5">
        <v>44044</v>
      </c>
      <c r="AH946" s="5">
        <v>44044</v>
      </c>
      <c r="AK946" s="5">
        <v>43741.333333333336</v>
      </c>
      <c r="AL946" s="5">
        <v>43746.666666666664</v>
      </c>
      <c r="AP946" t="s">
        <v>418</v>
      </c>
      <c r="AU946" t="s">
        <v>4716</v>
      </c>
      <c r="AV946" t="s">
        <v>4717</v>
      </c>
      <c r="AY946" t="s">
        <v>40</v>
      </c>
      <c r="AZ946">
        <v>0</v>
      </c>
      <c r="BA946">
        <v>0</v>
      </c>
      <c r="BI946" s="5">
        <v>44048.176388888889</v>
      </c>
      <c r="BJ946" s="5">
        <v>44048.176388888889</v>
      </c>
      <c r="BK946" t="s">
        <v>778</v>
      </c>
      <c r="BL946" t="s">
        <v>778</v>
      </c>
      <c r="BN946" t="s">
        <v>37</v>
      </c>
    </row>
    <row r="947" spans="1:66" x14ac:dyDescent="0.2">
      <c r="A947">
        <v>3693504</v>
      </c>
      <c r="B947">
        <v>21883</v>
      </c>
      <c r="C947">
        <v>523874</v>
      </c>
      <c r="D947">
        <v>52895</v>
      </c>
      <c r="E947">
        <v>100</v>
      </c>
      <c r="F947" t="s">
        <v>37</v>
      </c>
      <c r="G947">
        <v>1</v>
      </c>
      <c r="H947" t="s">
        <v>37</v>
      </c>
      <c r="I947" t="s">
        <v>37</v>
      </c>
      <c r="J947" t="s">
        <v>775</v>
      </c>
      <c r="K947" t="s">
        <v>230</v>
      </c>
      <c r="L947" t="s">
        <v>226</v>
      </c>
      <c r="M947" t="s">
        <v>422</v>
      </c>
      <c r="N947" t="s">
        <v>4718</v>
      </c>
      <c r="O947" t="s">
        <v>2410</v>
      </c>
      <c r="S947">
        <v>0</v>
      </c>
      <c r="T947">
        <v>0</v>
      </c>
      <c r="U947">
        <v>0</v>
      </c>
      <c r="V947">
        <v>0</v>
      </c>
      <c r="W947">
        <v>24</v>
      </c>
      <c r="X947">
        <v>0</v>
      </c>
      <c r="Y947">
        <v>0</v>
      </c>
      <c r="Z947">
        <v>0</v>
      </c>
      <c r="AB947" s="5">
        <v>43735</v>
      </c>
      <c r="AC947" s="5">
        <v>43738</v>
      </c>
      <c r="AD947" s="5">
        <v>43970.333333333336</v>
      </c>
      <c r="AE947" s="5">
        <v>43970.333333333336</v>
      </c>
      <c r="AG947" s="5">
        <v>44044</v>
      </c>
      <c r="AH947" s="5">
        <v>44044</v>
      </c>
      <c r="AK947" s="5">
        <v>43739.333333333336</v>
      </c>
      <c r="AL947" s="5">
        <v>43741.666666666664</v>
      </c>
      <c r="AP947" t="s">
        <v>418</v>
      </c>
      <c r="AU947" t="s">
        <v>4719</v>
      </c>
      <c r="AV947" t="s">
        <v>4720</v>
      </c>
      <c r="AY947" t="s">
        <v>40</v>
      </c>
      <c r="AZ947">
        <v>0</v>
      </c>
      <c r="BA947">
        <v>0</v>
      </c>
      <c r="BI947" s="5">
        <v>44048.176388888889</v>
      </c>
      <c r="BJ947" s="5">
        <v>44048.176388888889</v>
      </c>
      <c r="BK947" t="s">
        <v>778</v>
      </c>
      <c r="BL947" t="s">
        <v>778</v>
      </c>
      <c r="BN947" t="s">
        <v>37</v>
      </c>
    </row>
    <row r="948" spans="1:66" x14ac:dyDescent="0.2">
      <c r="A948">
        <v>3693505</v>
      </c>
      <c r="B948">
        <v>21883</v>
      </c>
      <c r="C948">
        <v>523874</v>
      </c>
      <c r="D948">
        <v>52899</v>
      </c>
      <c r="E948">
        <v>100</v>
      </c>
      <c r="F948" t="s">
        <v>37</v>
      </c>
      <c r="G948">
        <v>1</v>
      </c>
      <c r="H948" t="s">
        <v>37</v>
      </c>
      <c r="I948" t="s">
        <v>37</v>
      </c>
      <c r="J948" t="s">
        <v>775</v>
      </c>
      <c r="K948" t="s">
        <v>230</v>
      </c>
      <c r="L948" t="s">
        <v>226</v>
      </c>
      <c r="M948" t="s">
        <v>422</v>
      </c>
      <c r="N948" t="s">
        <v>4721</v>
      </c>
      <c r="O948" t="s">
        <v>2414</v>
      </c>
      <c r="S948">
        <v>0</v>
      </c>
      <c r="T948">
        <v>8</v>
      </c>
      <c r="U948">
        <v>0</v>
      </c>
      <c r="V948">
        <v>8</v>
      </c>
      <c r="W948">
        <v>8</v>
      </c>
      <c r="X948">
        <v>0</v>
      </c>
      <c r="Y948">
        <v>0</v>
      </c>
      <c r="Z948">
        <v>0</v>
      </c>
      <c r="AB948" s="5">
        <v>43731</v>
      </c>
      <c r="AC948" s="5">
        <v>43733</v>
      </c>
      <c r="AD948" s="5">
        <v>43970.333333333336</v>
      </c>
      <c r="AE948" s="5">
        <v>43970.333333333336</v>
      </c>
      <c r="AG948" s="5">
        <v>44044</v>
      </c>
      <c r="AH948" s="5">
        <v>44044</v>
      </c>
      <c r="AK948" s="5">
        <v>43739.333333333336</v>
      </c>
      <c r="AL948" s="5">
        <v>43739.666666666664</v>
      </c>
      <c r="AP948" t="s">
        <v>418</v>
      </c>
      <c r="AU948" t="s">
        <v>4722</v>
      </c>
      <c r="AV948" t="s">
        <v>4723</v>
      </c>
      <c r="AY948" t="s">
        <v>40</v>
      </c>
      <c r="AZ948">
        <v>0</v>
      </c>
      <c r="BA948">
        <v>0</v>
      </c>
      <c r="BI948" s="5">
        <v>44048.176388888889</v>
      </c>
      <c r="BJ948" s="5">
        <v>44048.176388888889</v>
      </c>
      <c r="BK948" t="s">
        <v>778</v>
      </c>
      <c r="BL948" t="s">
        <v>778</v>
      </c>
      <c r="BN948" t="s">
        <v>37</v>
      </c>
    </row>
    <row r="949" spans="1:66" x14ac:dyDescent="0.2">
      <c r="A949">
        <v>3693506</v>
      </c>
      <c r="B949">
        <v>21883</v>
      </c>
      <c r="C949">
        <v>523874</v>
      </c>
      <c r="D949">
        <v>52899</v>
      </c>
      <c r="E949">
        <v>100</v>
      </c>
      <c r="F949" t="s">
        <v>37</v>
      </c>
      <c r="G949">
        <v>1</v>
      </c>
      <c r="H949" t="s">
        <v>37</v>
      </c>
      <c r="I949" t="s">
        <v>37</v>
      </c>
      <c r="J949" t="s">
        <v>775</v>
      </c>
      <c r="K949" t="s">
        <v>230</v>
      </c>
      <c r="L949" t="s">
        <v>226</v>
      </c>
      <c r="M949" t="s">
        <v>422</v>
      </c>
      <c r="N949" t="s">
        <v>4724</v>
      </c>
      <c r="O949" t="s">
        <v>3311</v>
      </c>
      <c r="S949">
        <v>0</v>
      </c>
      <c r="T949">
        <v>0</v>
      </c>
      <c r="U949">
        <v>0</v>
      </c>
      <c r="V949">
        <v>0</v>
      </c>
      <c r="W949">
        <v>8</v>
      </c>
      <c r="X949">
        <v>0</v>
      </c>
      <c r="Y949">
        <v>0</v>
      </c>
      <c r="Z949">
        <v>0</v>
      </c>
      <c r="AB949" s="5">
        <v>43732</v>
      </c>
      <c r="AC949" s="5">
        <v>43733</v>
      </c>
      <c r="AD949" s="5">
        <v>43970.333333333336</v>
      </c>
      <c r="AE949" s="5">
        <v>43970.333333333336</v>
      </c>
      <c r="AG949" s="5">
        <v>44044</v>
      </c>
      <c r="AH949" s="5">
        <v>44044</v>
      </c>
      <c r="AK949" s="5">
        <v>43739.333333333336</v>
      </c>
      <c r="AL949" s="5">
        <v>43739.666666666664</v>
      </c>
      <c r="AP949" t="s">
        <v>418</v>
      </c>
      <c r="AU949" t="s">
        <v>4725</v>
      </c>
      <c r="AV949" t="s">
        <v>4726</v>
      </c>
      <c r="AY949" t="s">
        <v>40</v>
      </c>
      <c r="AZ949">
        <v>0</v>
      </c>
      <c r="BA949">
        <v>0</v>
      </c>
      <c r="BI949" s="5">
        <v>44048.176388888889</v>
      </c>
      <c r="BJ949" s="5">
        <v>44048.176388888889</v>
      </c>
      <c r="BK949" t="s">
        <v>778</v>
      </c>
      <c r="BL949" t="s">
        <v>778</v>
      </c>
      <c r="BN949" t="s">
        <v>37</v>
      </c>
    </row>
    <row r="950" spans="1:66" x14ac:dyDescent="0.2">
      <c r="A950">
        <v>3693507</v>
      </c>
      <c r="B950">
        <v>21883</v>
      </c>
      <c r="C950">
        <v>523874</v>
      </c>
      <c r="D950">
        <v>52899</v>
      </c>
      <c r="E950">
        <v>100</v>
      </c>
      <c r="F950" t="s">
        <v>37</v>
      </c>
      <c r="G950">
        <v>1</v>
      </c>
      <c r="H950" t="s">
        <v>37</v>
      </c>
      <c r="I950" t="s">
        <v>37</v>
      </c>
      <c r="J950" t="s">
        <v>775</v>
      </c>
      <c r="K950" t="s">
        <v>230</v>
      </c>
      <c r="L950" t="s">
        <v>226</v>
      </c>
      <c r="M950" t="s">
        <v>422</v>
      </c>
      <c r="N950" t="s">
        <v>4727</v>
      </c>
      <c r="O950" t="s">
        <v>3315</v>
      </c>
      <c r="S950">
        <v>0</v>
      </c>
      <c r="T950">
        <v>8</v>
      </c>
      <c r="U950">
        <v>0</v>
      </c>
      <c r="V950">
        <v>8</v>
      </c>
      <c r="W950">
        <v>8</v>
      </c>
      <c r="X950">
        <v>0</v>
      </c>
      <c r="Y950">
        <v>0</v>
      </c>
      <c r="Z950">
        <v>0</v>
      </c>
      <c r="AB950" s="5">
        <v>43734</v>
      </c>
      <c r="AC950" s="5">
        <v>43734</v>
      </c>
      <c r="AD950" s="5">
        <v>43970.333333333336</v>
      </c>
      <c r="AE950" s="5">
        <v>43970.333333333336</v>
      </c>
      <c r="AG950" s="5">
        <v>44044</v>
      </c>
      <c r="AH950" s="5">
        <v>44044</v>
      </c>
      <c r="AK950" s="5">
        <v>43739.333333333336</v>
      </c>
      <c r="AL950" s="5">
        <v>43739.666666666664</v>
      </c>
      <c r="AP950" t="s">
        <v>418</v>
      </c>
      <c r="AU950" t="s">
        <v>4728</v>
      </c>
      <c r="AV950" t="s">
        <v>4729</v>
      </c>
      <c r="AY950" t="s">
        <v>40</v>
      </c>
      <c r="AZ950">
        <v>0</v>
      </c>
      <c r="BA950">
        <v>0</v>
      </c>
      <c r="BI950" s="5">
        <v>44048.176388888889</v>
      </c>
      <c r="BJ950" s="5">
        <v>44048.176388888889</v>
      </c>
      <c r="BK950" t="s">
        <v>778</v>
      </c>
      <c r="BL950" t="s">
        <v>778</v>
      </c>
      <c r="BN950" t="s">
        <v>37</v>
      </c>
    </row>
    <row r="951" spans="1:66" x14ac:dyDescent="0.2">
      <c r="A951">
        <v>3693508</v>
      </c>
      <c r="B951">
        <v>21883</v>
      </c>
      <c r="C951">
        <v>523874</v>
      </c>
      <c r="D951">
        <v>52899</v>
      </c>
      <c r="E951">
        <v>100</v>
      </c>
      <c r="F951" t="s">
        <v>37</v>
      </c>
      <c r="G951">
        <v>1</v>
      </c>
      <c r="H951" t="s">
        <v>37</v>
      </c>
      <c r="I951" t="s">
        <v>37</v>
      </c>
      <c r="J951" t="s">
        <v>775</v>
      </c>
      <c r="K951" t="s">
        <v>230</v>
      </c>
      <c r="L951" t="s">
        <v>226</v>
      </c>
      <c r="M951" t="s">
        <v>422</v>
      </c>
      <c r="N951" t="s">
        <v>4730</v>
      </c>
      <c r="O951" t="s">
        <v>4731</v>
      </c>
      <c r="S951">
        <v>0</v>
      </c>
      <c r="T951">
        <v>8</v>
      </c>
      <c r="U951">
        <v>0</v>
      </c>
      <c r="V951">
        <v>8</v>
      </c>
      <c r="W951">
        <v>8</v>
      </c>
      <c r="X951">
        <v>0</v>
      </c>
      <c r="Y951">
        <v>0</v>
      </c>
      <c r="Z951">
        <v>0</v>
      </c>
      <c r="AB951" s="5">
        <v>43714</v>
      </c>
      <c r="AC951" s="5">
        <v>43714</v>
      </c>
      <c r="AD951" s="5">
        <v>43970.333333333336</v>
      </c>
      <c r="AE951" s="5">
        <v>43970.333333333336</v>
      </c>
      <c r="AG951" s="5">
        <v>44044</v>
      </c>
      <c r="AH951" s="5">
        <v>44044</v>
      </c>
      <c r="AK951" s="5">
        <v>43741.333333333336</v>
      </c>
      <c r="AL951" s="5">
        <v>43741.666666666664</v>
      </c>
      <c r="AP951" t="s">
        <v>418</v>
      </c>
      <c r="AU951" t="s">
        <v>4732</v>
      </c>
      <c r="AV951" t="s">
        <v>4733</v>
      </c>
      <c r="AY951" t="s">
        <v>40</v>
      </c>
      <c r="AZ951">
        <v>0</v>
      </c>
      <c r="BA951">
        <v>0</v>
      </c>
      <c r="BI951" s="5">
        <v>44048.176388888889</v>
      </c>
      <c r="BJ951" s="5">
        <v>44048.176388888889</v>
      </c>
      <c r="BK951" t="s">
        <v>778</v>
      </c>
      <c r="BL951" t="s">
        <v>778</v>
      </c>
      <c r="BN951" t="s">
        <v>37</v>
      </c>
    </row>
    <row r="952" spans="1:66" x14ac:dyDescent="0.2">
      <c r="A952">
        <v>3693509</v>
      </c>
      <c r="B952">
        <v>21883</v>
      </c>
      <c r="C952">
        <v>523874</v>
      </c>
      <c r="D952">
        <v>52899</v>
      </c>
      <c r="E952">
        <v>100</v>
      </c>
      <c r="F952" t="s">
        <v>37</v>
      </c>
      <c r="G952">
        <v>1</v>
      </c>
      <c r="H952" t="s">
        <v>37</v>
      </c>
      <c r="I952" t="s">
        <v>37</v>
      </c>
      <c r="J952" t="s">
        <v>775</v>
      </c>
      <c r="K952" t="s">
        <v>230</v>
      </c>
      <c r="L952" t="s">
        <v>226</v>
      </c>
      <c r="M952" t="s">
        <v>422</v>
      </c>
      <c r="N952" t="s">
        <v>4734</v>
      </c>
      <c r="O952" t="s">
        <v>4735</v>
      </c>
      <c r="S952">
        <v>0</v>
      </c>
      <c r="T952">
        <v>8</v>
      </c>
      <c r="U952">
        <v>0</v>
      </c>
      <c r="V952">
        <v>8</v>
      </c>
      <c r="W952">
        <v>8</v>
      </c>
      <c r="X952">
        <v>0</v>
      </c>
      <c r="Y952">
        <v>0</v>
      </c>
      <c r="Z952">
        <v>0</v>
      </c>
      <c r="AB952" s="5">
        <v>43717</v>
      </c>
      <c r="AC952" s="5">
        <v>43717</v>
      </c>
      <c r="AD952" s="5">
        <v>43970.333333333336</v>
      </c>
      <c r="AE952" s="5">
        <v>43970.333333333336</v>
      </c>
      <c r="AG952" s="5">
        <v>44044</v>
      </c>
      <c r="AH952" s="5">
        <v>44044</v>
      </c>
      <c r="AK952" s="5">
        <v>43741.333333333336</v>
      </c>
      <c r="AL952" s="5">
        <v>43741.666666666664</v>
      </c>
      <c r="AP952" t="s">
        <v>418</v>
      </c>
      <c r="AU952" t="s">
        <v>4736</v>
      </c>
      <c r="AV952" t="s">
        <v>4737</v>
      </c>
      <c r="AY952" t="s">
        <v>40</v>
      </c>
      <c r="AZ952">
        <v>0</v>
      </c>
      <c r="BA952">
        <v>0</v>
      </c>
      <c r="BI952" s="5">
        <v>44048.176388888889</v>
      </c>
      <c r="BJ952" s="5">
        <v>44048.176388888889</v>
      </c>
      <c r="BK952" t="s">
        <v>778</v>
      </c>
      <c r="BL952" t="s">
        <v>778</v>
      </c>
      <c r="BN952" t="s">
        <v>37</v>
      </c>
    </row>
    <row r="953" spans="1:66" x14ac:dyDescent="0.2">
      <c r="A953">
        <v>3693510</v>
      </c>
      <c r="B953">
        <v>21883</v>
      </c>
      <c r="C953">
        <v>523874</v>
      </c>
      <c r="D953">
        <v>52899</v>
      </c>
      <c r="E953">
        <v>100</v>
      </c>
      <c r="F953" t="s">
        <v>37</v>
      </c>
      <c r="G953">
        <v>1</v>
      </c>
      <c r="H953" t="s">
        <v>37</v>
      </c>
      <c r="I953" t="s">
        <v>37</v>
      </c>
      <c r="J953" t="s">
        <v>775</v>
      </c>
      <c r="K953" t="s">
        <v>230</v>
      </c>
      <c r="L953" t="s">
        <v>226</v>
      </c>
      <c r="M953" t="s">
        <v>422</v>
      </c>
      <c r="N953" t="s">
        <v>4738</v>
      </c>
      <c r="O953" t="s">
        <v>4739</v>
      </c>
      <c r="S953">
        <v>0</v>
      </c>
      <c r="T953">
        <v>16</v>
      </c>
      <c r="U953">
        <v>0</v>
      </c>
      <c r="V953">
        <v>16</v>
      </c>
      <c r="W953">
        <v>16</v>
      </c>
      <c r="X953">
        <v>0</v>
      </c>
      <c r="Y953">
        <v>0</v>
      </c>
      <c r="Z953">
        <v>0</v>
      </c>
      <c r="AB953" s="5">
        <v>43719</v>
      </c>
      <c r="AC953" s="5">
        <v>43720</v>
      </c>
      <c r="AD953" s="5">
        <v>43970.333333333336</v>
      </c>
      <c r="AE953" s="5">
        <v>43970.333333333336</v>
      </c>
      <c r="AG953" s="5">
        <v>44044</v>
      </c>
      <c r="AH953" s="5">
        <v>44044</v>
      </c>
      <c r="AK953" s="5">
        <v>43741.333333333336</v>
      </c>
      <c r="AL953" s="5">
        <v>43742.666666666664</v>
      </c>
      <c r="AP953" t="s">
        <v>418</v>
      </c>
      <c r="AU953" t="s">
        <v>4740</v>
      </c>
      <c r="AV953" t="s">
        <v>4741</v>
      </c>
      <c r="AY953" t="s">
        <v>40</v>
      </c>
      <c r="AZ953">
        <v>0</v>
      </c>
      <c r="BA953">
        <v>0</v>
      </c>
      <c r="BI953" s="5">
        <v>44048.176388888889</v>
      </c>
      <c r="BJ953" s="5">
        <v>44048.176388888889</v>
      </c>
      <c r="BK953" t="s">
        <v>778</v>
      </c>
      <c r="BL953" t="s">
        <v>778</v>
      </c>
      <c r="BN953" t="s">
        <v>37</v>
      </c>
    </row>
    <row r="954" spans="1:66" x14ac:dyDescent="0.2">
      <c r="A954">
        <v>3693511</v>
      </c>
      <c r="B954">
        <v>21883</v>
      </c>
      <c r="C954">
        <v>523874</v>
      </c>
      <c r="D954">
        <v>52899</v>
      </c>
      <c r="E954">
        <v>100</v>
      </c>
      <c r="F954" t="s">
        <v>37</v>
      </c>
      <c r="G954">
        <v>1</v>
      </c>
      <c r="H954" t="s">
        <v>37</v>
      </c>
      <c r="I954" t="s">
        <v>37</v>
      </c>
      <c r="J954" t="s">
        <v>775</v>
      </c>
      <c r="K954" t="s">
        <v>230</v>
      </c>
      <c r="L954" t="s">
        <v>226</v>
      </c>
      <c r="M954" t="s">
        <v>422</v>
      </c>
      <c r="N954" t="s">
        <v>4742</v>
      </c>
      <c r="O954" t="s">
        <v>4192</v>
      </c>
      <c r="S954">
        <v>0</v>
      </c>
      <c r="T954">
        <v>16</v>
      </c>
      <c r="U954">
        <v>0</v>
      </c>
      <c r="V954">
        <v>16</v>
      </c>
      <c r="W954">
        <v>16</v>
      </c>
      <c r="X954">
        <v>0</v>
      </c>
      <c r="Y954">
        <v>0</v>
      </c>
      <c r="Z954">
        <v>0</v>
      </c>
      <c r="AB954" s="5">
        <v>43724</v>
      </c>
      <c r="AC954" s="5">
        <v>43729</v>
      </c>
      <c r="AD954" s="5">
        <v>43970.333333333336</v>
      </c>
      <c r="AE954" s="5">
        <v>43970.333333333336</v>
      </c>
      <c r="AG954" s="5">
        <v>44044</v>
      </c>
      <c r="AH954" s="5">
        <v>44044</v>
      </c>
      <c r="AK954" s="5">
        <v>43739.333333333336</v>
      </c>
      <c r="AL954" s="5">
        <v>43740.666666666664</v>
      </c>
      <c r="AP954" t="s">
        <v>418</v>
      </c>
      <c r="AU954" t="s">
        <v>4743</v>
      </c>
      <c r="AV954" t="s">
        <v>4744</v>
      </c>
      <c r="AY954" t="s">
        <v>40</v>
      </c>
      <c r="AZ954">
        <v>0</v>
      </c>
      <c r="BA954">
        <v>0</v>
      </c>
      <c r="BI954" s="5">
        <v>44048.176388888889</v>
      </c>
      <c r="BJ954" s="5">
        <v>44048.176388888889</v>
      </c>
      <c r="BK954" t="s">
        <v>778</v>
      </c>
      <c r="BL954" t="s">
        <v>778</v>
      </c>
      <c r="BN954" t="s">
        <v>37</v>
      </c>
    </row>
    <row r="955" spans="1:66" x14ac:dyDescent="0.2">
      <c r="A955">
        <v>3693512</v>
      </c>
      <c r="B955">
        <v>21883</v>
      </c>
      <c r="C955">
        <v>523874</v>
      </c>
      <c r="D955">
        <v>52899</v>
      </c>
      <c r="E955">
        <v>100</v>
      </c>
      <c r="F955" t="s">
        <v>37</v>
      </c>
      <c r="G955">
        <v>1</v>
      </c>
      <c r="H955" t="s">
        <v>37</v>
      </c>
      <c r="I955" t="s">
        <v>37</v>
      </c>
      <c r="J955" t="s">
        <v>775</v>
      </c>
      <c r="K955" t="s">
        <v>230</v>
      </c>
      <c r="L955" t="s">
        <v>226</v>
      </c>
      <c r="M955" t="s">
        <v>422</v>
      </c>
      <c r="N955" t="s">
        <v>4745</v>
      </c>
      <c r="O955" t="s">
        <v>4196</v>
      </c>
      <c r="S955">
        <v>0</v>
      </c>
      <c r="T955">
        <v>16</v>
      </c>
      <c r="U955">
        <v>0</v>
      </c>
      <c r="V955">
        <v>16</v>
      </c>
      <c r="W955">
        <v>16</v>
      </c>
      <c r="X955">
        <v>0</v>
      </c>
      <c r="Y955">
        <v>0</v>
      </c>
      <c r="Z955">
        <v>0</v>
      </c>
      <c r="AB955" s="5">
        <v>43733</v>
      </c>
      <c r="AC955" s="5">
        <v>43734</v>
      </c>
      <c r="AD955" s="5">
        <v>43970.333333333336</v>
      </c>
      <c r="AE955" s="5">
        <v>43970.333333333336</v>
      </c>
      <c r="AG955" s="5">
        <v>44044</v>
      </c>
      <c r="AH955" s="5">
        <v>44044</v>
      </c>
      <c r="AK955" s="5">
        <v>43739.333333333336</v>
      </c>
      <c r="AL955" s="5">
        <v>43740.666666666664</v>
      </c>
      <c r="AP955" t="s">
        <v>418</v>
      </c>
      <c r="AU955" t="s">
        <v>4746</v>
      </c>
      <c r="AV955" t="s">
        <v>4747</v>
      </c>
      <c r="AY955" t="s">
        <v>40</v>
      </c>
      <c r="AZ955">
        <v>0</v>
      </c>
      <c r="BA955">
        <v>0</v>
      </c>
      <c r="BI955" s="5">
        <v>44048.176388888889</v>
      </c>
      <c r="BJ955" s="5">
        <v>44048.176388888889</v>
      </c>
      <c r="BK955" t="s">
        <v>778</v>
      </c>
      <c r="BL955" t="s">
        <v>778</v>
      </c>
      <c r="BN955" t="s">
        <v>37</v>
      </c>
    </row>
    <row r="956" spans="1:66" x14ac:dyDescent="0.2">
      <c r="A956">
        <v>3693513</v>
      </c>
      <c r="B956">
        <v>21883</v>
      </c>
      <c r="C956">
        <v>523874</v>
      </c>
      <c r="D956">
        <v>52899</v>
      </c>
      <c r="E956">
        <v>100</v>
      </c>
      <c r="F956" t="s">
        <v>37</v>
      </c>
      <c r="G956">
        <v>1</v>
      </c>
      <c r="H956" t="s">
        <v>37</v>
      </c>
      <c r="I956" t="s">
        <v>37</v>
      </c>
      <c r="J956" t="s">
        <v>775</v>
      </c>
      <c r="K956" t="s">
        <v>230</v>
      </c>
      <c r="L956" t="s">
        <v>226</v>
      </c>
      <c r="M956" t="s">
        <v>422</v>
      </c>
      <c r="N956" t="s">
        <v>4748</v>
      </c>
      <c r="O956" t="s">
        <v>4200</v>
      </c>
      <c r="S956">
        <v>0</v>
      </c>
      <c r="T956">
        <v>16</v>
      </c>
      <c r="U956">
        <v>0</v>
      </c>
      <c r="V956">
        <v>16</v>
      </c>
      <c r="W956">
        <v>16</v>
      </c>
      <c r="X956">
        <v>0</v>
      </c>
      <c r="Y956">
        <v>0</v>
      </c>
      <c r="Z956">
        <v>0</v>
      </c>
      <c r="AB956" s="5">
        <v>43742</v>
      </c>
      <c r="AC956" s="5">
        <v>43742</v>
      </c>
      <c r="AD956" s="5">
        <v>43970.333333333336</v>
      </c>
      <c r="AE956" s="5">
        <v>43970.333333333336</v>
      </c>
      <c r="AG956" s="5">
        <v>44044</v>
      </c>
      <c r="AH956" s="5">
        <v>44044</v>
      </c>
      <c r="AK956" s="5">
        <v>43770.333333333336</v>
      </c>
      <c r="AL956" s="5">
        <v>43773.666666666664</v>
      </c>
      <c r="AP956" t="s">
        <v>418</v>
      </c>
      <c r="AU956" t="s">
        <v>4749</v>
      </c>
      <c r="AV956" t="s">
        <v>4750</v>
      </c>
      <c r="AY956" t="s">
        <v>40</v>
      </c>
      <c r="AZ956">
        <v>0</v>
      </c>
      <c r="BA956">
        <v>0</v>
      </c>
      <c r="BI956" s="5">
        <v>44048.176388888889</v>
      </c>
      <c r="BJ956" s="5">
        <v>44048.176388888889</v>
      </c>
      <c r="BK956" t="s">
        <v>778</v>
      </c>
      <c r="BL956" t="s">
        <v>778</v>
      </c>
      <c r="BN956" t="s">
        <v>37</v>
      </c>
    </row>
    <row r="957" spans="1:66" x14ac:dyDescent="0.2">
      <c r="A957">
        <v>3693514</v>
      </c>
      <c r="B957">
        <v>21883</v>
      </c>
      <c r="C957">
        <v>523874</v>
      </c>
      <c r="D957">
        <v>52899</v>
      </c>
      <c r="E957">
        <v>100</v>
      </c>
      <c r="F957" t="s">
        <v>37</v>
      </c>
      <c r="G957">
        <v>1</v>
      </c>
      <c r="H957" t="s">
        <v>37</v>
      </c>
      <c r="I957" t="s">
        <v>37</v>
      </c>
      <c r="J957" t="s">
        <v>775</v>
      </c>
      <c r="K957" t="s">
        <v>230</v>
      </c>
      <c r="L957" t="s">
        <v>226</v>
      </c>
      <c r="M957" t="s">
        <v>422</v>
      </c>
      <c r="N957" t="s">
        <v>4751</v>
      </c>
      <c r="O957" t="s">
        <v>4204</v>
      </c>
      <c r="S957">
        <v>0</v>
      </c>
      <c r="T957">
        <v>8</v>
      </c>
      <c r="U957">
        <v>0</v>
      </c>
      <c r="V957">
        <v>8</v>
      </c>
      <c r="W957">
        <v>8</v>
      </c>
      <c r="X957">
        <v>0</v>
      </c>
      <c r="Y957">
        <v>0</v>
      </c>
      <c r="Z957">
        <v>0</v>
      </c>
      <c r="AB957" s="5">
        <v>43741</v>
      </c>
      <c r="AC957" s="5">
        <v>43741</v>
      </c>
      <c r="AD957" s="5">
        <v>43970.333333333336</v>
      </c>
      <c r="AE957" s="5">
        <v>43970.333333333336</v>
      </c>
      <c r="AG957" s="5">
        <v>44044</v>
      </c>
      <c r="AH957" s="5">
        <v>44044</v>
      </c>
      <c r="AK957" s="5">
        <v>43770.333333333336</v>
      </c>
      <c r="AL957" s="5">
        <v>43770.666666666664</v>
      </c>
      <c r="AP957" t="s">
        <v>418</v>
      </c>
      <c r="AU957" t="s">
        <v>4752</v>
      </c>
      <c r="AV957" t="s">
        <v>4753</v>
      </c>
      <c r="AY957" t="s">
        <v>40</v>
      </c>
      <c r="AZ957">
        <v>0</v>
      </c>
      <c r="BA957">
        <v>0</v>
      </c>
      <c r="BI957" s="5">
        <v>44048.176388888889</v>
      </c>
      <c r="BJ957" s="5">
        <v>44048.176388888889</v>
      </c>
      <c r="BK957" t="s">
        <v>778</v>
      </c>
      <c r="BL957" t="s">
        <v>778</v>
      </c>
      <c r="BN957" t="s">
        <v>37</v>
      </c>
    </row>
    <row r="958" spans="1:66" x14ac:dyDescent="0.2">
      <c r="A958">
        <v>3693515</v>
      </c>
      <c r="B958">
        <v>21883</v>
      </c>
      <c r="C958">
        <v>523873</v>
      </c>
      <c r="D958">
        <v>52899</v>
      </c>
      <c r="E958">
        <v>100</v>
      </c>
      <c r="F958" t="s">
        <v>37</v>
      </c>
      <c r="G958">
        <v>1</v>
      </c>
      <c r="H958" t="s">
        <v>37</v>
      </c>
      <c r="I958" t="s">
        <v>37</v>
      </c>
      <c r="J958" t="s">
        <v>775</v>
      </c>
      <c r="K958" t="s">
        <v>230</v>
      </c>
      <c r="L958" t="s">
        <v>226</v>
      </c>
      <c r="M958" t="s">
        <v>422</v>
      </c>
      <c r="N958" t="s">
        <v>4754</v>
      </c>
      <c r="O958" t="s">
        <v>2418</v>
      </c>
      <c r="S958">
        <v>0</v>
      </c>
      <c r="T958">
        <v>32</v>
      </c>
      <c r="U958">
        <v>0</v>
      </c>
      <c r="V958">
        <v>32</v>
      </c>
      <c r="W958">
        <v>32</v>
      </c>
      <c r="X958">
        <v>0</v>
      </c>
      <c r="Y958">
        <v>0</v>
      </c>
      <c r="Z958">
        <v>0</v>
      </c>
      <c r="AB958" s="5">
        <v>43712</v>
      </c>
      <c r="AC958" s="5">
        <v>43713</v>
      </c>
      <c r="AD958" s="5">
        <v>43970.333333333336</v>
      </c>
      <c r="AE958" s="5">
        <v>43970.333333333336</v>
      </c>
      <c r="AG958" s="5">
        <v>44044</v>
      </c>
      <c r="AH958" s="5">
        <v>44044</v>
      </c>
      <c r="AK958" s="5">
        <v>43731.333333333336</v>
      </c>
      <c r="AL958" s="5">
        <v>43734.666666666664</v>
      </c>
      <c r="AP958" t="s">
        <v>418</v>
      </c>
      <c r="AU958" t="s">
        <v>4755</v>
      </c>
      <c r="AV958" t="s">
        <v>4756</v>
      </c>
      <c r="AY958" t="s">
        <v>40</v>
      </c>
      <c r="AZ958">
        <v>0</v>
      </c>
      <c r="BA958">
        <v>0</v>
      </c>
      <c r="BI958" s="5">
        <v>44048.176388888889</v>
      </c>
      <c r="BJ958" s="5">
        <v>44048.176388888889</v>
      </c>
      <c r="BK958" t="s">
        <v>778</v>
      </c>
      <c r="BL958" t="s">
        <v>778</v>
      </c>
      <c r="BN958" t="s">
        <v>37</v>
      </c>
    </row>
    <row r="959" spans="1:66" x14ac:dyDescent="0.2">
      <c r="A959">
        <v>3693516</v>
      </c>
      <c r="B959">
        <v>21883</v>
      </c>
      <c r="C959">
        <v>523873</v>
      </c>
      <c r="D959">
        <v>52895</v>
      </c>
      <c r="E959">
        <v>100</v>
      </c>
      <c r="F959" t="s">
        <v>37</v>
      </c>
      <c r="G959">
        <v>1</v>
      </c>
      <c r="H959" t="s">
        <v>37</v>
      </c>
      <c r="I959" t="s">
        <v>37</v>
      </c>
      <c r="J959" t="s">
        <v>775</v>
      </c>
      <c r="K959" t="s">
        <v>230</v>
      </c>
      <c r="L959" t="s">
        <v>226</v>
      </c>
      <c r="M959" t="s">
        <v>422</v>
      </c>
      <c r="N959" t="s">
        <v>4757</v>
      </c>
      <c r="O959" t="s">
        <v>2422</v>
      </c>
      <c r="S959">
        <v>0</v>
      </c>
      <c r="T959">
        <v>0</v>
      </c>
      <c r="U959">
        <v>0</v>
      </c>
      <c r="V959">
        <v>0</v>
      </c>
      <c r="W959">
        <v>24</v>
      </c>
      <c r="X959">
        <v>0</v>
      </c>
      <c r="Y959">
        <v>0</v>
      </c>
      <c r="Z959">
        <v>0</v>
      </c>
      <c r="AB959" s="5">
        <v>43745</v>
      </c>
      <c r="AC959" s="5">
        <v>43749</v>
      </c>
      <c r="AD959" s="5">
        <v>43970.333333333336</v>
      </c>
      <c r="AE959" s="5">
        <v>43970.333333333336</v>
      </c>
      <c r="AG959" s="5">
        <v>44044</v>
      </c>
      <c r="AH959" s="5">
        <v>44044</v>
      </c>
      <c r="AK959" s="5">
        <v>43770.333333333336</v>
      </c>
      <c r="AL959" s="5">
        <v>43772.666666666664</v>
      </c>
      <c r="AP959" t="s">
        <v>418</v>
      </c>
      <c r="AU959" t="s">
        <v>4758</v>
      </c>
      <c r="AV959" t="s">
        <v>4759</v>
      </c>
      <c r="AY959" t="s">
        <v>40</v>
      </c>
      <c r="AZ959">
        <v>0</v>
      </c>
      <c r="BA959">
        <v>0</v>
      </c>
      <c r="BI959" s="5">
        <v>44048.176388888889</v>
      </c>
      <c r="BJ959" s="5">
        <v>44048.176388888889</v>
      </c>
      <c r="BK959" t="s">
        <v>778</v>
      </c>
      <c r="BL959" t="s">
        <v>778</v>
      </c>
      <c r="BN959" t="s">
        <v>37</v>
      </c>
    </row>
    <row r="960" spans="1:66" x14ac:dyDescent="0.2">
      <c r="A960">
        <v>3693517</v>
      </c>
      <c r="B960">
        <v>21883</v>
      </c>
      <c r="C960">
        <v>523873</v>
      </c>
      <c r="D960">
        <v>52899</v>
      </c>
      <c r="E960">
        <v>100</v>
      </c>
      <c r="F960" t="s">
        <v>37</v>
      </c>
      <c r="G960">
        <v>1</v>
      </c>
      <c r="H960" t="s">
        <v>37</v>
      </c>
      <c r="I960" t="s">
        <v>37</v>
      </c>
      <c r="J960" t="s">
        <v>775</v>
      </c>
      <c r="K960" t="s">
        <v>230</v>
      </c>
      <c r="L960" t="s">
        <v>226</v>
      </c>
      <c r="M960" t="s">
        <v>422</v>
      </c>
      <c r="N960" t="s">
        <v>4760</v>
      </c>
      <c r="O960" t="s">
        <v>2426</v>
      </c>
      <c r="S960">
        <v>0</v>
      </c>
      <c r="T960">
        <v>8</v>
      </c>
      <c r="U960">
        <v>0</v>
      </c>
      <c r="V960">
        <v>8</v>
      </c>
      <c r="W960">
        <v>8</v>
      </c>
      <c r="X960">
        <v>0</v>
      </c>
      <c r="Y960">
        <v>0</v>
      </c>
      <c r="Z960">
        <v>0</v>
      </c>
      <c r="AB960" s="5">
        <v>43740</v>
      </c>
      <c r="AC960" s="5">
        <v>43740</v>
      </c>
      <c r="AD960" s="5">
        <v>43970.333333333336</v>
      </c>
      <c r="AE960" s="5">
        <v>43970.333333333336</v>
      </c>
      <c r="AG960" s="5">
        <v>44044</v>
      </c>
      <c r="AH960" s="5">
        <v>44044</v>
      </c>
      <c r="AK960" s="5">
        <v>43770.333333333336</v>
      </c>
      <c r="AL960" s="5">
        <v>43770.666666666664</v>
      </c>
      <c r="AP960" t="s">
        <v>418</v>
      </c>
      <c r="AU960" t="s">
        <v>4761</v>
      </c>
      <c r="AV960" t="s">
        <v>4762</v>
      </c>
      <c r="AY960" t="s">
        <v>40</v>
      </c>
      <c r="AZ960">
        <v>0</v>
      </c>
      <c r="BA960">
        <v>0</v>
      </c>
      <c r="BI960" s="5">
        <v>44048.176388888889</v>
      </c>
      <c r="BJ960" s="5">
        <v>44048.176388888889</v>
      </c>
      <c r="BK960" t="s">
        <v>778</v>
      </c>
      <c r="BL960" t="s">
        <v>778</v>
      </c>
      <c r="BN960" t="s">
        <v>37</v>
      </c>
    </row>
    <row r="961" spans="1:66" x14ac:dyDescent="0.2">
      <c r="A961">
        <v>3693518</v>
      </c>
      <c r="B961">
        <v>21883</v>
      </c>
      <c r="C961">
        <v>523873</v>
      </c>
      <c r="D961">
        <v>52899</v>
      </c>
      <c r="E961">
        <v>100</v>
      </c>
      <c r="F961" t="s">
        <v>37</v>
      </c>
      <c r="G961">
        <v>1</v>
      </c>
      <c r="H961" t="s">
        <v>37</v>
      </c>
      <c r="I961" t="s">
        <v>37</v>
      </c>
      <c r="J961" t="s">
        <v>775</v>
      </c>
      <c r="K961" t="s">
        <v>230</v>
      </c>
      <c r="L961" t="s">
        <v>226</v>
      </c>
      <c r="M961" t="s">
        <v>422</v>
      </c>
      <c r="N961" t="s">
        <v>4763</v>
      </c>
      <c r="O961" t="s">
        <v>3319</v>
      </c>
      <c r="S961">
        <v>0</v>
      </c>
      <c r="T961">
        <v>0</v>
      </c>
      <c r="U961">
        <v>0</v>
      </c>
      <c r="V961">
        <v>0</v>
      </c>
      <c r="W961">
        <v>8</v>
      </c>
      <c r="X961">
        <v>0</v>
      </c>
      <c r="Y961">
        <v>0</v>
      </c>
      <c r="Z961">
        <v>0</v>
      </c>
      <c r="AB961" s="5">
        <v>43740</v>
      </c>
      <c r="AC961" s="5">
        <v>43740</v>
      </c>
      <c r="AD961" s="5">
        <v>43970.333333333336</v>
      </c>
      <c r="AE961" s="5">
        <v>43970.333333333336</v>
      </c>
      <c r="AG961" s="5">
        <v>44044</v>
      </c>
      <c r="AH961" s="5">
        <v>44044</v>
      </c>
      <c r="AK961" s="5">
        <v>43773.333333333336</v>
      </c>
      <c r="AL961" s="5">
        <v>43773.666666666664</v>
      </c>
      <c r="AP961" t="s">
        <v>418</v>
      </c>
      <c r="AU961" t="s">
        <v>4764</v>
      </c>
      <c r="AV961" t="s">
        <v>4765</v>
      </c>
      <c r="AY961" t="s">
        <v>40</v>
      </c>
      <c r="AZ961">
        <v>0</v>
      </c>
      <c r="BA961">
        <v>0</v>
      </c>
      <c r="BI961" s="5">
        <v>44048.176388888889</v>
      </c>
      <c r="BJ961" s="5">
        <v>44048.176388888889</v>
      </c>
      <c r="BK961" t="s">
        <v>778</v>
      </c>
      <c r="BL961" t="s">
        <v>778</v>
      </c>
      <c r="BN961" t="s">
        <v>37</v>
      </c>
    </row>
    <row r="962" spans="1:66" x14ac:dyDescent="0.2">
      <c r="A962">
        <v>3693519</v>
      </c>
      <c r="B962">
        <v>21883</v>
      </c>
      <c r="C962">
        <v>523873</v>
      </c>
      <c r="D962">
        <v>52899</v>
      </c>
      <c r="E962">
        <v>100</v>
      </c>
      <c r="F962" t="s">
        <v>37</v>
      </c>
      <c r="G962">
        <v>1</v>
      </c>
      <c r="H962" t="s">
        <v>37</v>
      </c>
      <c r="I962" t="s">
        <v>37</v>
      </c>
      <c r="J962" t="s">
        <v>775</v>
      </c>
      <c r="K962" t="s">
        <v>230</v>
      </c>
      <c r="L962" t="s">
        <v>226</v>
      </c>
      <c r="M962" t="s">
        <v>422</v>
      </c>
      <c r="N962" t="s">
        <v>4766</v>
      </c>
      <c r="O962" t="s">
        <v>3323</v>
      </c>
      <c r="S962">
        <v>0</v>
      </c>
      <c r="T962">
        <v>8</v>
      </c>
      <c r="U962">
        <v>0</v>
      </c>
      <c r="V962">
        <v>8</v>
      </c>
      <c r="W962">
        <v>8</v>
      </c>
      <c r="X962">
        <v>0</v>
      </c>
      <c r="Y962">
        <v>0</v>
      </c>
      <c r="Z962">
        <v>0</v>
      </c>
      <c r="AB962" s="5">
        <v>43745</v>
      </c>
      <c r="AC962" s="5">
        <v>43745</v>
      </c>
      <c r="AD962" s="5">
        <v>43970.333333333336</v>
      </c>
      <c r="AE962" s="5">
        <v>43970.333333333336</v>
      </c>
      <c r="AG962" s="5">
        <v>44044</v>
      </c>
      <c r="AH962" s="5">
        <v>44044</v>
      </c>
      <c r="AK962" s="5">
        <v>43770.333333333336</v>
      </c>
      <c r="AL962" s="5">
        <v>43770.666666666664</v>
      </c>
      <c r="AP962" t="s">
        <v>418</v>
      </c>
      <c r="AU962" t="s">
        <v>4767</v>
      </c>
      <c r="AV962" t="s">
        <v>4768</v>
      </c>
      <c r="AY962" t="s">
        <v>40</v>
      </c>
      <c r="AZ962">
        <v>0</v>
      </c>
      <c r="BA962">
        <v>0</v>
      </c>
      <c r="BI962" s="5">
        <v>44048.176388888889</v>
      </c>
      <c r="BJ962" s="5">
        <v>44048.176388888889</v>
      </c>
      <c r="BK962" t="s">
        <v>778</v>
      </c>
      <c r="BL962" t="s">
        <v>778</v>
      </c>
      <c r="BN962" t="s">
        <v>37</v>
      </c>
    </row>
    <row r="963" spans="1:66" x14ac:dyDescent="0.2">
      <c r="A963">
        <v>3693520</v>
      </c>
      <c r="B963">
        <v>21883</v>
      </c>
      <c r="C963">
        <v>523873</v>
      </c>
      <c r="D963">
        <v>52899</v>
      </c>
      <c r="E963">
        <v>100</v>
      </c>
      <c r="F963" t="s">
        <v>37</v>
      </c>
      <c r="G963">
        <v>1</v>
      </c>
      <c r="H963" t="s">
        <v>37</v>
      </c>
      <c r="I963" t="s">
        <v>37</v>
      </c>
      <c r="J963" t="s">
        <v>775</v>
      </c>
      <c r="K963" t="s">
        <v>230</v>
      </c>
      <c r="L963" t="s">
        <v>226</v>
      </c>
      <c r="M963" t="s">
        <v>422</v>
      </c>
      <c r="N963" t="s">
        <v>4769</v>
      </c>
      <c r="O963" t="s">
        <v>4770</v>
      </c>
      <c r="S963">
        <v>0</v>
      </c>
      <c r="T963">
        <v>8</v>
      </c>
      <c r="U963">
        <v>0</v>
      </c>
      <c r="V963">
        <v>8</v>
      </c>
      <c r="W963">
        <v>8</v>
      </c>
      <c r="X963">
        <v>0</v>
      </c>
      <c r="Y963">
        <v>0</v>
      </c>
      <c r="Z963">
        <v>0</v>
      </c>
      <c r="AB963" s="5">
        <v>43705</v>
      </c>
      <c r="AC963" s="5">
        <v>43705</v>
      </c>
      <c r="AD963" s="5">
        <v>43970.333333333336</v>
      </c>
      <c r="AE963" s="5">
        <v>43970.333333333336</v>
      </c>
      <c r="AG963" s="5">
        <v>44044</v>
      </c>
      <c r="AH963" s="5">
        <v>44044</v>
      </c>
      <c r="AK963" s="5">
        <v>43731.333333333336</v>
      </c>
      <c r="AL963" s="5">
        <v>43731.666666666664</v>
      </c>
      <c r="AP963" t="s">
        <v>418</v>
      </c>
      <c r="AU963" t="s">
        <v>4771</v>
      </c>
      <c r="AV963" t="s">
        <v>4772</v>
      </c>
      <c r="AY963" t="s">
        <v>40</v>
      </c>
      <c r="AZ963">
        <v>0</v>
      </c>
      <c r="BA963">
        <v>0</v>
      </c>
      <c r="BI963" s="5">
        <v>44048.176388888889</v>
      </c>
      <c r="BJ963" s="5">
        <v>44048.176388888889</v>
      </c>
      <c r="BK963" t="s">
        <v>778</v>
      </c>
      <c r="BL963" t="s">
        <v>778</v>
      </c>
      <c r="BN963" t="s">
        <v>37</v>
      </c>
    </row>
    <row r="964" spans="1:66" x14ac:dyDescent="0.2">
      <c r="A964">
        <v>3693521</v>
      </c>
      <c r="B964">
        <v>21883</v>
      </c>
      <c r="C964">
        <v>523873</v>
      </c>
      <c r="D964">
        <v>52899</v>
      </c>
      <c r="E964">
        <v>100</v>
      </c>
      <c r="F964" t="s">
        <v>37</v>
      </c>
      <c r="G964">
        <v>1</v>
      </c>
      <c r="H964" t="s">
        <v>37</v>
      </c>
      <c r="I964" t="s">
        <v>37</v>
      </c>
      <c r="J964" t="s">
        <v>775</v>
      </c>
      <c r="K964" t="s">
        <v>230</v>
      </c>
      <c r="L964" t="s">
        <v>226</v>
      </c>
      <c r="M964" t="s">
        <v>422</v>
      </c>
      <c r="N964" t="s">
        <v>4773</v>
      </c>
      <c r="O964" t="s">
        <v>4774</v>
      </c>
      <c r="S964">
        <v>0</v>
      </c>
      <c r="T964">
        <v>8</v>
      </c>
      <c r="U964">
        <v>0</v>
      </c>
      <c r="V964">
        <v>8</v>
      </c>
      <c r="W964">
        <v>8</v>
      </c>
      <c r="X964">
        <v>0</v>
      </c>
      <c r="Y964">
        <v>0</v>
      </c>
      <c r="Z964">
        <v>0</v>
      </c>
      <c r="AB964" s="5">
        <v>43705</v>
      </c>
      <c r="AC964" s="5">
        <v>43706</v>
      </c>
      <c r="AD964" s="5">
        <v>43970.333333333336</v>
      </c>
      <c r="AE964" s="5">
        <v>43970.333333333336</v>
      </c>
      <c r="AG964" s="5">
        <v>44044</v>
      </c>
      <c r="AH964" s="5">
        <v>44044</v>
      </c>
      <c r="AK964" s="5">
        <v>43731.333333333336</v>
      </c>
      <c r="AL964" s="5">
        <v>43731.666666666664</v>
      </c>
      <c r="AP964" t="s">
        <v>418</v>
      </c>
      <c r="AU964" t="s">
        <v>4775</v>
      </c>
      <c r="AV964" t="s">
        <v>4776</v>
      </c>
      <c r="AY964" t="s">
        <v>40</v>
      </c>
      <c r="AZ964">
        <v>0</v>
      </c>
      <c r="BA964">
        <v>0</v>
      </c>
      <c r="BI964" s="5">
        <v>44048.176388888889</v>
      </c>
      <c r="BJ964" s="5">
        <v>44048.176388888889</v>
      </c>
      <c r="BK964" t="s">
        <v>778</v>
      </c>
      <c r="BL964" t="s">
        <v>778</v>
      </c>
      <c r="BN964" t="s">
        <v>37</v>
      </c>
    </row>
    <row r="965" spans="1:66" x14ac:dyDescent="0.2">
      <c r="A965">
        <v>3693522</v>
      </c>
      <c r="B965">
        <v>21883</v>
      </c>
      <c r="C965">
        <v>523873</v>
      </c>
      <c r="D965">
        <v>52899</v>
      </c>
      <c r="E965">
        <v>100</v>
      </c>
      <c r="F965" t="s">
        <v>37</v>
      </c>
      <c r="G965">
        <v>1</v>
      </c>
      <c r="H965" t="s">
        <v>37</v>
      </c>
      <c r="I965" t="s">
        <v>37</v>
      </c>
      <c r="J965" t="s">
        <v>775</v>
      </c>
      <c r="K965" t="s">
        <v>230</v>
      </c>
      <c r="L965" t="s">
        <v>226</v>
      </c>
      <c r="M965" t="s">
        <v>422</v>
      </c>
      <c r="N965" t="s">
        <v>4777</v>
      </c>
      <c r="O965" t="s">
        <v>4778</v>
      </c>
      <c r="S965">
        <v>0</v>
      </c>
      <c r="T965">
        <v>16</v>
      </c>
      <c r="U965">
        <v>0</v>
      </c>
      <c r="V965">
        <v>16</v>
      </c>
      <c r="W965">
        <v>16</v>
      </c>
      <c r="X965">
        <v>0</v>
      </c>
      <c r="Y965">
        <v>0</v>
      </c>
      <c r="Z965">
        <v>0</v>
      </c>
      <c r="AB965" s="5">
        <v>43714</v>
      </c>
      <c r="AC965" s="5">
        <v>43715</v>
      </c>
      <c r="AD965" s="5">
        <v>43970.333333333336</v>
      </c>
      <c r="AE965" s="5">
        <v>43970.333333333336</v>
      </c>
      <c r="AG965" s="5">
        <v>44044</v>
      </c>
      <c r="AH965" s="5">
        <v>44044</v>
      </c>
      <c r="AK965" s="5">
        <v>43731.333333333336</v>
      </c>
      <c r="AL965" s="5">
        <v>43732.666666666664</v>
      </c>
      <c r="AP965" t="s">
        <v>418</v>
      </c>
      <c r="AU965" t="s">
        <v>4779</v>
      </c>
      <c r="AV965" t="s">
        <v>4780</v>
      </c>
      <c r="AY965" t="s">
        <v>40</v>
      </c>
      <c r="AZ965">
        <v>0</v>
      </c>
      <c r="BA965">
        <v>0</v>
      </c>
      <c r="BI965" s="5">
        <v>44048.176388888889</v>
      </c>
      <c r="BJ965" s="5">
        <v>44048.176388888889</v>
      </c>
      <c r="BK965" t="s">
        <v>778</v>
      </c>
      <c r="BL965" t="s">
        <v>778</v>
      </c>
      <c r="BN965" t="s">
        <v>37</v>
      </c>
    </row>
    <row r="966" spans="1:66" x14ac:dyDescent="0.2">
      <c r="A966">
        <v>3693523</v>
      </c>
      <c r="B966">
        <v>21883</v>
      </c>
      <c r="C966">
        <v>523873</v>
      </c>
      <c r="D966">
        <v>52899</v>
      </c>
      <c r="E966">
        <v>100</v>
      </c>
      <c r="F966" t="s">
        <v>37</v>
      </c>
      <c r="G966">
        <v>1</v>
      </c>
      <c r="H966" t="s">
        <v>37</v>
      </c>
      <c r="I966" t="s">
        <v>37</v>
      </c>
      <c r="J966" t="s">
        <v>775</v>
      </c>
      <c r="K966" t="s">
        <v>230</v>
      </c>
      <c r="L966" t="s">
        <v>226</v>
      </c>
      <c r="M966" t="s">
        <v>422</v>
      </c>
      <c r="N966" t="s">
        <v>4781</v>
      </c>
      <c r="O966" t="s">
        <v>4220</v>
      </c>
      <c r="S966">
        <v>0</v>
      </c>
      <c r="T966">
        <v>16</v>
      </c>
      <c r="U966">
        <v>0</v>
      </c>
      <c r="V966">
        <v>16</v>
      </c>
      <c r="W966">
        <v>16</v>
      </c>
      <c r="X966">
        <v>0</v>
      </c>
      <c r="Y966">
        <v>0</v>
      </c>
      <c r="Z966">
        <v>0</v>
      </c>
      <c r="AB966" s="5">
        <v>43738</v>
      </c>
      <c r="AC966" s="5">
        <v>43740</v>
      </c>
      <c r="AD966" s="5">
        <v>43970.333333333336</v>
      </c>
      <c r="AE966" s="5">
        <v>43970.333333333336</v>
      </c>
      <c r="AG966" s="5">
        <v>44044</v>
      </c>
      <c r="AH966" s="5">
        <v>44044</v>
      </c>
      <c r="AK966" s="5">
        <v>43739.333333333336</v>
      </c>
      <c r="AL966" s="5">
        <v>43740.666666666664</v>
      </c>
      <c r="AP966" t="s">
        <v>418</v>
      </c>
      <c r="AU966" t="s">
        <v>4782</v>
      </c>
      <c r="AV966" t="s">
        <v>4783</v>
      </c>
      <c r="AY966" t="s">
        <v>40</v>
      </c>
      <c r="AZ966">
        <v>0</v>
      </c>
      <c r="BA966">
        <v>0</v>
      </c>
      <c r="BI966" s="5">
        <v>44048.176388888889</v>
      </c>
      <c r="BJ966" s="5">
        <v>44048.176388888889</v>
      </c>
      <c r="BK966" t="s">
        <v>778</v>
      </c>
      <c r="BL966" t="s">
        <v>778</v>
      </c>
      <c r="BN966" t="s">
        <v>37</v>
      </c>
    </row>
    <row r="967" spans="1:66" x14ac:dyDescent="0.2">
      <c r="A967">
        <v>3693524</v>
      </c>
      <c r="B967">
        <v>21883</v>
      </c>
      <c r="C967">
        <v>523873</v>
      </c>
      <c r="D967">
        <v>52899</v>
      </c>
      <c r="E967">
        <v>100</v>
      </c>
      <c r="F967" t="s">
        <v>37</v>
      </c>
      <c r="G967">
        <v>1</v>
      </c>
      <c r="H967" t="s">
        <v>37</v>
      </c>
      <c r="I967" t="s">
        <v>37</v>
      </c>
      <c r="J967" t="s">
        <v>775</v>
      </c>
      <c r="K967" t="s">
        <v>230</v>
      </c>
      <c r="L967" t="s">
        <v>226</v>
      </c>
      <c r="M967" t="s">
        <v>422</v>
      </c>
      <c r="N967" t="s">
        <v>4784</v>
      </c>
      <c r="O967" t="s">
        <v>4224</v>
      </c>
      <c r="S967">
        <v>0</v>
      </c>
      <c r="T967">
        <v>16</v>
      </c>
      <c r="U967">
        <v>0</v>
      </c>
      <c r="V967">
        <v>16</v>
      </c>
      <c r="W967">
        <v>16</v>
      </c>
      <c r="X967">
        <v>0</v>
      </c>
      <c r="Y967">
        <v>0</v>
      </c>
      <c r="Z967">
        <v>0</v>
      </c>
      <c r="AB967" s="5">
        <v>43752</v>
      </c>
      <c r="AC967" s="5">
        <v>43752</v>
      </c>
      <c r="AD967" s="5">
        <v>43970.333333333336</v>
      </c>
      <c r="AE967" s="5">
        <v>43970.333333333336</v>
      </c>
      <c r="AG967" s="5">
        <v>44044</v>
      </c>
      <c r="AH967" s="5">
        <v>44044</v>
      </c>
      <c r="AK967" s="5">
        <v>43770.333333333336</v>
      </c>
      <c r="AL967" s="5">
        <v>43773.666666666664</v>
      </c>
      <c r="AP967" t="s">
        <v>418</v>
      </c>
      <c r="AU967" t="s">
        <v>4785</v>
      </c>
      <c r="AV967" t="s">
        <v>4786</v>
      </c>
      <c r="AY967" t="s">
        <v>40</v>
      </c>
      <c r="AZ967">
        <v>0</v>
      </c>
      <c r="BA967">
        <v>0</v>
      </c>
      <c r="BI967" s="5">
        <v>44048.176388888889</v>
      </c>
      <c r="BJ967" s="5">
        <v>44048.176388888889</v>
      </c>
      <c r="BK967" t="s">
        <v>778</v>
      </c>
      <c r="BL967" t="s">
        <v>778</v>
      </c>
      <c r="BN967" t="s">
        <v>37</v>
      </c>
    </row>
    <row r="968" spans="1:66" x14ac:dyDescent="0.2">
      <c r="A968">
        <v>3693525</v>
      </c>
      <c r="B968">
        <v>21883</v>
      </c>
      <c r="C968">
        <v>523873</v>
      </c>
      <c r="D968">
        <v>52899</v>
      </c>
      <c r="E968">
        <v>100</v>
      </c>
      <c r="F968" t="s">
        <v>37</v>
      </c>
      <c r="G968">
        <v>1</v>
      </c>
      <c r="H968" t="s">
        <v>37</v>
      </c>
      <c r="I968" t="s">
        <v>37</v>
      </c>
      <c r="J968" t="s">
        <v>775</v>
      </c>
      <c r="K968" t="s">
        <v>230</v>
      </c>
      <c r="L968" t="s">
        <v>226</v>
      </c>
      <c r="M968" t="s">
        <v>422</v>
      </c>
      <c r="N968" t="s">
        <v>4787</v>
      </c>
      <c r="O968" t="s">
        <v>4228</v>
      </c>
      <c r="S968">
        <v>0</v>
      </c>
      <c r="T968">
        <v>8</v>
      </c>
      <c r="U968">
        <v>0</v>
      </c>
      <c r="V968">
        <v>8</v>
      </c>
      <c r="W968">
        <v>8</v>
      </c>
      <c r="X968">
        <v>0</v>
      </c>
      <c r="Y968">
        <v>0</v>
      </c>
      <c r="Z968">
        <v>0</v>
      </c>
      <c r="AB968" s="5">
        <v>43750</v>
      </c>
      <c r="AC968" s="5">
        <v>43752</v>
      </c>
      <c r="AD968" s="5">
        <v>43970.333333333336</v>
      </c>
      <c r="AE968" s="5">
        <v>43970.333333333336</v>
      </c>
      <c r="AG968" s="5">
        <v>44044</v>
      </c>
      <c r="AH968" s="5">
        <v>44044</v>
      </c>
      <c r="AK968" s="5">
        <v>43770.333333333336</v>
      </c>
      <c r="AL968" s="5">
        <v>43770.666666666664</v>
      </c>
      <c r="AP968" t="s">
        <v>418</v>
      </c>
      <c r="AU968" t="s">
        <v>4788</v>
      </c>
      <c r="AV968" t="s">
        <v>4789</v>
      </c>
      <c r="AY968" t="s">
        <v>40</v>
      </c>
      <c r="AZ968">
        <v>0</v>
      </c>
      <c r="BA968">
        <v>0</v>
      </c>
      <c r="BI968" s="5">
        <v>44048.176388888889</v>
      </c>
      <c r="BJ968" s="5">
        <v>44048.176388888889</v>
      </c>
      <c r="BK968" t="s">
        <v>778</v>
      </c>
      <c r="BL968" t="s">
        <v>778</v>
      </c>
      <c r="BN968" t="s">
        <v>37</v>
      </c>
    </row>
    <row r="969" spans="1:66" x14ac:dyDescent="0.2">
      <c r="A969">
        <v>3693526</v>
      </c>
      <c r="B969">
        <v>21883</v>
      </c>
      <c r="C969">
        <v>523872</v>
      </c>
      <c r="D969">
        <v>52899</v>
      </c>
      <c r="E969">
        <v>100</v>
      </c>
      <c r="F969" t="s">
        <v>37</v>
      </c>
      <c r="G969">
        <v>1</v>
      </c>
      <c r="H969" t="s">
        <v>37</v>
      </c>
      <c r="I969" t="s">
        <v>37</v>
      </c>
      <c r="J969" t="s">
        <v>775</v>
      </c>
      <c r="K969" t="s">
        <v>230</v>
      </c>
      <c r="L969" t="s">
        <v>226</v>
      </c>
      <c r="M969" t="s">
        <v>422</v>
      </c>
      <c r="N969" t="s">
        <v>4790</v>
      </c>
      <c r="O969" t="s">
        <v>2430</v>
      </c>
      <c r="S969">
        <v>0</v>
      </c>
      <c r="T969">
        <v>32</v>
      </c>
      <c r="U969">
        <v>0</v>
      </c>
      <c r="V969">
        <v>32</v>
      </c>
      <c r="W969">
        <v>32</v>
      </c>
      <c r="X969">
        <v>0</v>
      </c>
      <c r="Y969">
        <v>0</v>
      </c>
      <c r="Z969">
        <v>0</v>
      </c>
      <c r="AB969" s="5">
        <v>43720</v>
      </c>
      <c r="AC969" s="5">
        <v>43732</v>
      </c>
      <c r="AD969" s="5">
        <v>43970.333333333336</v>
      </c>
      <c r="AE969" s="5">
        <v>43970.333333333336</v>
      </c>
      <c r="AG969" s="5">
        <v>44044</v>
      </c>
      <c r="AH969" s="5">
        <v>44044</v>
      </c>
      <c r="AK969" s="5">
        <v>43738.333333333336</v>
      </c>
      <c r="AL969" s="5">
        <v>43741.666666666664</v>
      </c>
      <c r="AP969" t="s">
        <v>418</v>
      </c>
      <c r="AU969" t="s">
        <v>4791</v>
      </c>
      <c r="AV969" t="e" cm="1">
        <f t="array" ref="AV969">+OIDTueL1kSidURcdqEcdA</f>
        <v>#NAME?</v>
      </c>
      <c r="AY969" t="s">
        <v>40</v>
      </c>
      <c r="AZ969">
        <v>0</v>
      </c>
      <c r="BA969">
        <v>0</v>
      </c>
      <c r="BI969" s="5">
        <v>44048.176388888889</v>
      </c>
      <c r="BJ969" s="5">
        <v>44048.176388888889</v>
      </c>
      <c r="BK969" t="s">
        <v>778</v>
      </c>
      <c r="BL969" t="s">
        <v>778</v>
      </c>
      <c r="BN969" t="s">
        <v>37</v>
      </c>
    </row>
    <row r="970" spans="1:66" x14ac:dyDescent="0.2">
      <c r="A970">
        <v>3693527</v>
      </c>
      <c r="B970">
        <v>21883</v>
      </c>
      <c r="C970">
        <v>523872</v>
      </c>
      <c r="D970">
        <v>52895</v>
      </c>
      <c r="E970">
        <v>100</v>
      </c>
      <c r="F970" t="s">
        <v>37</v>
      </c>
      <c r="G970">
        <v>1</v>
      </c>
      <c r="H970" t="s">
        <v>37</v>
      </c>
      <c r="I970" t="s">
        <v>37</v>
      </c>
      <c r="J970" t="s">
        <v>775</v>
      </c>
      <c r="K970" t="s">
        <v>230</v>
      </c>
      <c r="L970" t="s">
        <v>226</v>
      </c>
      <c r="M970" t="s">
        <v>422</v>
      </c>
      <c r="N970" t="s">
        <v>4792</v>
      </c>
      <c r="O970" t="s">
        <v>2434</v>
      </c>
      <c r="S970">
        <v>0</v>
      </c>
      <c r="T970">
        <v>0</v>
      </c>
      <c r="U970">
        <v>0</v>
      </c>
      <c r="V970">
        <v>0</v>
      </c>
      <c r="W970">
        <v>24</v>
      </c>
      <c r="X970">
        <v>0</v>
      </c>
      <c r="Y970">
        <v>0</v>
      </c>
      <c r="Z970">
        <v>0</v>
      </c>
      <c r="AB970" s="5">
        <v>43752</v>
      </c>
      <c r="AC970" s="5">
        <v>43759</v>
      </c>
      <c r="AD970" s="5">
        <v>43970.333333333336</v>
      </c>
      <c r="AE970" s="5">
        <v>43970.333333333336</v>
      </c>
      <c r="AG970" s="5">
        <v>44044</v>
      </c>
      <c r="AH970" s="5">
        <v>44044</v>
      </c>
      <c r="AK970" s="5">
        <v>43770.333333333336</v>
      </c>
      <c r="AL970" s="5">
        <v>43772.666666666664</v>
      </c>
      <c r="AP970" t="s">
        <v>418</v>
      </c>
      <c r="AU970" t="s">
        <v>4793</v>
      </c>
      <c r="AV970" t="s">
        <v>4794</v>
      </c>
      <c r="AY970" t="s">
        <v>40</v>
      </c>
      <c r="AZ970">
        <v>0</v>
      </c>
      <c r="BA970">
        <v>0</v>
      </c>
      <c r="BI970" s="5">
        <v>44048.176388888889</v>
      </c>
      <c r="BJ970" s="5">
        <v>44048.176388888889</v>
      </c>
      <c r="BK970" t="s">
        <v>778</v>
      </c>
      <c r="BL970" t="s">
        <v>778</v>
      </c>
      <c r="BN970" t="s">
        <v>37</v>
      </c>
    </row>
    <row r="971" spans="1:66" x14ac:dyDescent="0.2">
      <c r="A971">
        <v>3693528</v>
      </c>
      <c r="B971">
        <v>21883</v>
      </c>
      <c r="C971">
        <v>523872</v>
      </c>
      <c r="D971">
        <v>52899</v>
      </c>
      <c r="E971">
        <v>100</v>
      </c>
      <c r="F971" t="s">
        <v>37</v>
      </c>
      <c r="G971">
        <v>1</v>
      </c>
      <c r="H971" t="s">
        <v>37</v>
      </c>
      <c r="I971" t="s">
        <v>37</v>
      </c>
      <c r="J971" t="s">
        <v>775</v>
      </c>
      <c r="K971" t="s">
        <v>230</v>
      </c>
      <c r="L971" t="s">
        <v>226</v>
      </c>
      <c r="M971" t="s">
        <v>422</v>
      </c>
      <c r="N971" t="s">
        <v>4795</v>
      </c>
      <c r="O971" t="s">
        <v>2438</v>
      </c>
      <c r="S971">
        <v>0</v>
      </c>
      <c r="T971">
        <v>8</v>
      </c>
      <c r="U971">
        <v>0</v>
      </c>
      <c r="V971">
        <v>8</v>
      </c>
      <c r="W971">
        <v>8</v>
      </c>
      <c r="X971">
        <v>0</v>
      </c>
      <c r="Y971">
        <v>0</v>
      </c>
      <c r="Z971">
        <v>0</v>
      </c>
      <c r="AB971" s="5">
        <v>43748</v>
      </c>
      <c r="AC971" s="5">
        <v>43749</v>
      </c>
      <c r="AD971" s="5">
        <v>43970.333333333336</v>
      </c>
      <c r="AE971" s="5">
        <v>43970.333333333336</v>
      </c>
      <c r="AG971" s="5">
        <v>44044</v>
      </c>
      <c r="AH971" s="5">
        <v>44044</v>
      </c>
      <c r="AK971" s="5">
        <v>43770.333333333336</v>
      </c>
      <c r="AL971" s="5">
        <v>43770.666666666664</v>
      </c>
      <c r="AP971" t="s">
        <v>418</v>
      </c>
      <c r="AU971" t="s">
        <v>4796</v>
      </c>
      <c r="AV971" t="s">
        <v>4797</v>
      </c>
      <c r="AY971" t="s">
        <v>40</v>
      </c>
      <c r="AZ971">
        <v>0</v>
      </c>
      <c r="BA971">
        <v>0</v>
      </c>
      <c r="BI971" s="5">
        <v>44048.176388888889</v>
      </c>
      <c r="BJ971" s="5">
        <v>44048.176388888889</v>
      </c>
      <c r="BK971" t="s">
        <v>778</v>
      </c>
      <c r="BL971" t="s">
        <v>778</v>
      </c>
      <c r="BN971" t="s">
        <v>37</v>
      </c>
    </row>
    <row r="972" spans="1:66" x14ac:dyDescent="0.2">
      <c r="A972">
        <v>3693529</v>
      </c>
      <c r="B972">
        <v>21883</v>
      </c>
      <c r="C972">
        <v>523872</v>
      </c>
      <c r="D972">
        <v>52899</v>
      </c>
      <c r="E972">
        <v>100</v>
      </c>
      <c r="F972" t="s">
        <v>37</v>
      </c>
      <c r="G972">
        <v>1</v>
      </c>
      <c r="H972" t="s">
        <v>37</v>
      </c>
      <c r="I972" t="s">
        <v>37</v>
      </c>
      <c r="J972" t="s">
        <v>775</v>
      </c>
      <c r="K972" t="s">
        <v>230</v>
      </c>
      <c r="L972" t="s">
        <v>226</v>
      </c>
      <c r="M972" t="s">
        <v>422</v>
      </c>
      <c r="N972" t="s">
        <v>4798</v>
      </c>
      <c r="O972" t="s">
        <v>3327</v>
      </c>
      <c r="S972">
        <v>0</v>
      </c>
      <c r="T972">
        <v>0</v>
      </c>
      <c r="U972">
        <v>0</v>
      </c>
      <c r="V972">
        <v>0</v>
      </c>
      <c r="W972">
        <v>8</v>
      </c>
      <c r="X972">
        <v>0</v>
      </c>
      <c r="Y972">
        <v>0</v>
      </c>
      <c r="Z972">
        <v>0</v>
      </c>
      <c r="AB972" s="5">
        <v>43748</v>
      </c>
      <c r="AC972" s="5">
        <v>43748</v>
      </c>
      <c r="AD972" s="5">
        <v>43970.333333333336</v>
      </c>
      <c r="AE972" s="5">
        <v>43970.333333333336</v>
      </c>
      <c r="AG972" s="5">
        <v>44044</v>
      </c>
      <c r="AH972" s="5">
        <v>44044</v>
      </c>
      <c r="AK972" s="5">
        <v>43770.333333333336</v>
      </c>
      <c r="AL972" s="5">
        <v>43770.666666666664</v>
      </c>
      <c r="AP972" t="s">
        <v>418</v>
      </c>
      <c r="AU972" t="s">
        <v>4799</v>
      </c>
      <c r="AV972" t="s">
        <v>4800</v>
      </c>
      <c r="AY972" t="s">
        <v>40</v>
      </c>
      <c r="AZ972">
        <v>0</v>
      </c>
      <c r="BA972">
        <v>0</v>
      </c>
      <c r="BI972" s="5">
        <v>44048.176388888889</v>
      </c>
      <c r="BJ972" s="5">
        <v>44048.176388888889</v>
      </c>
      <c r="BK972" t="s">
        <v>778</v>
      </c>
      <c r="BL972" t="s">
        <v>778</v>
      </c>
      <c r="BN972" t="s">
        <v>37</v>
      </c>
    </row>
    <row r="973" spans="1:66" x14ac:dyDescent="0.2">
      <c r="A973">
        <v>3693530</v>
      </c>
      <c r="B973">
        <v>21883</v>
      </c>
      <c r="C973">
        <v>523872</v>
      </c>
      <c r="D973">
        <v>52899</v>
      </c>
      <c r="E973">
        <v>100</v>
      </c>
      <c r="F973" t="s">
        <v>37</v>
      </c>
      <c r="G973">
        <v>1</v>
      </c>
      <c r="H973" t="s">
        <v>37</v>
      </c>
      <c r="I973" t="s">
        <v>37</v>
      </c>
      <c r="J973" t="s">
        <v>775</v>
      </c>
      <c r="K973" t="s">
        <v>230</v>
      </c>
      <c r="L973" t="s">
        <v>226</v>
      </c>
      <c r="M973" t="s">
        <v>422</v>
      </c>
      <c r="N973" t="s">
        <v>4801</v>
      </c>
      <c r="O973" t="s">
        <v>3331</v>
      </c>
      <c r="S973">
        <v>0</v>
      </c>
      <c r="T973">
        <v>8</v>
      </c>
      <c r="U973">
        <v>0</v>
      </c>
      <c r="V973">
        <v>8</v>
      </c>
      <c r="W973">
        <v>8</v>
      </c>
      <c r="X973">
        <v>0</v>
      </c>
      <c r="Y973">
        <v>0</v>
      </c>
      <c r="Z973">
        <v>0</v>
      </c>
      <c r="AB973" s="5">
        <v>43752</v>
      </c>
      <c r="AC973" s="5">
        <v>43752</v>
      </c>
      <c r="AD973" s="5">
        <v>43970.333333333336</v>
      </c>
      <c r="AE973" s="5">
        <v>43970.333333333336</v>
      </c>
      <c r="AG973" s="5">
        <v>44044</v>
      </c>
      <c r="AH973" s="5">
        <v>44044</v>
      </c>
      <c r="AK973" s="5">
        <v>43770.333333333336</v>
      </c>
      <c r="AL973" s="5">
        <v>43770.666666666664</v>
      </c>
      <c r="AP973" t="s">
        <v>418</v>
      </c>
      <c r="AU973" t="s">
        <v>4802</v>
      </c>
      <c r="AV973" t="s">
        <v>4803</v>
      </c>
      <c r="AY973" t="s">
        <v>40</v>
      </c>
      <c r="AZ973">
        <v>0</v>
      </c>
      <c r="BA973">
        <v>0</v>
      </c>
      <c r="BI973" s="5">
        <v>44048.176388888889</v>
      </c>
      <c r="BJ973" s="5">
        <v>44048.176388888889</v>
      </c>
      <c r="BK973" t="s">
        <v>778</v>
      </c>
      <c r="BL973" t="s">
        <v>778</v>
      </c>
      <c r="BN973" t="s">
        <v>37</v>
      </c>
    </row>
    <row r="974" spans="1:66" x14ac:dyDescent="0.2">
      <c r="A974">
        <v>3693531</v>
      </c>
      <c r="B974">
        <v>21883</v>
      </c>
      <c r="C974">
        <v>523872</v>
      </c>
      <c r="D974">
        <v>52899</v>
      </c>
      <c r="E974">
        <v>100</v>
      </c>
      <c r="F974" t="s">
        <v>37</v>
      </c>
      <c r="G974">
        <v>1</v>
      </c>
      <c r="H974" t="s">
        <v>37</v>
      </c>
      <c r="I974" t="s">
        <v>37</v>
      </c>
      <c r="J974" t="s">
        <v>775</v>
      </c>
      <c r="K974" t="s">
        <v>230</v>
      </c>
      <c r="L974" t="s">
        <v>226</v>
      </c>
      <c r="M974" t="s">
        <v>422</v>
      </c>
      <c r="N974" t="s">
        <v>4804</v>
      </c>
      <c r="O974" t="s">
        <v>4805</v>
      </c>
      <c r="S974">
        <v>0</v>
      </c>
      <c r="T974">
        <v>8</v>
      </c>
      <c r="U974">
        <v>0</v>
      </c>
      <c r="V974">
        <v>8</v>
      </c>
      <c r="W974">
        <v>8</v>
      </c>
      <c r="X974">
        <v>0</v>
      </c>
      <c r="Y974">
        <v>0</v>
      </c>
      <c r="Z974">
        <v>0</v>
      </c>
      <c r="AB974" s="5">
        <v>43720</v>
      </c>
      <c r="AC974" s="5">
        <v>43720</v>
      </c>
      <c r="AD974" s="5">
        <v>43970.333333333336</v>
      </c>
      <c r="AE974" s="5">
        <v>43970.333333333336</v>
      </c>
      <c r="AG974" s="5">
        <v>44044</v>
      </c>
      <c r="AH974" s="5">
        <v>44044</v>
      </c>
      <c r="AK974" s="5">
        <v>43741.333333333336</v>
      </c>
      <c r="AL974" s="5">
        <v>43741.666666666664</v>
      </c>
      <c r="AP974" t="s">
        <v>418</v>
      </c>
      <c r="AU974" t="s">
        <v>4806</v>
      </c>
      <c r="AV974" t="s">
        <v>4807</v>
      </c>
      <c r="AY974" t="s">
        <v>40</v>
      </c>
      <c r="AZ974">
        <v>0</v>
      </c>
      <c r="BA974">
        <v>0</v>
      </c>
      <c r="BI974" s="5">
        <v>44048.176388888889</v>
      </c>
      <c r="BJ974" s="5">
        <v>44048.176388888889</v>
      </c>
      <c r="BK974" t="s">
        <v>778</v>
      </c>
      <c r="BL974" t="s">
        <v>778</v>
      </c>
      <c r="BN974" t="s">
        <v>37</v>
      </c>
    </row>
    <row r="975" spans="1:66" x14ac:dyDescent="0.2">
      <c r="A975">
        <v>3693532</v>
      </c>
      <c r="B975">
        <v>21883</v>
      </c>
      <c r="C975">
        <v>523872</v>
      </c>
      <c r="D975">
        <v>52899</v>
      </c>
      <c r="E975">
        <v>100</v>
      </c>
      <c r="F975" t="s">
        <v>37</v>
      </c>
      <c r="G975">
        <v>1</v>
      </c>
      <c r="H975" t="s">
        <v>37</v>
      </c>
      <c r="I975" t="s">
        <v>37</v>
      </c>
      <c r="J975" t="s">
        <v>775</v>
      </c>
      <c r="K975" t="s">
        <v>230</v>
      </c>
      <c r="L975" t="s">
        <v>226</v>
      </c>
      <c r="M975" t="s">
        <v>422</v>
      </c>
      <c r="N975" t="s">
        <v>4808</v>
      </c>
      <c r="O975" t="s">
        <v>4809</v>
      </c>
      <c r="S975">
        <v>0</v>
      </c>
      <c r="T975">
        <v>8</v>
      </c>
      <c r="U975">
        <v>0</v>
      </c>
      <c r="V975">
        <v>8</v>
      </c>
      <c r="W975">
        <v>8</v>
      </c>
      <c r="X975">
        <v>0</v>
      </c>
      <c r="Y975">
        <v>0</v>
      </c>
      <c r="Z975">
        <v>0</v>
      </c>
      <c r="AB975" s="5">
        <v>43720</v>
      </c>
      <c r="AC975" s="5">
        <v>43720</v>
      </c>
      <c r="AD975" s="5">
        <v>43970.333333333336</v>
      </c>
      <c r="AE975" s="5">
        <v>43970.333333333336</v>
      </c>
      <c r="AG975" s="5">
        <v>44044</v>
      </c>
      <c r="AH975" s="5">
        <v>44044</v>
      </c>
      <c r="AK975" s="5">
        <v>43741.333333333336</v>
      </c>
      <c r="AL975" s="5">
        <v>43741.666666666664</v>
      </c>
      <c r="AP975" t="s">
        <v>418</v>
      </c>
      <c r="AU975" t="s">
        <v>4810</v>
      </c>
      <c r="AV975" t="s">
        <v>4811</v>
      </c>
      <c r="AY975" t="s">
        <v>40</v>
      </c>
      <c r="AZ975">
        <v>0</v>
      </c>
      <c r="BA975">
        <v>0</v>
      </c>
      <c r="BI975" s="5">
        <v>44048.176388888889</v>
      </c>
      <c r="BJ975" s="5">
        <v>44048.176388888889</v>
      </c>
      <c r="BK975" t="s">
        <v>778</v>
      </c>
      <c r="BL975" t="s">
        <v>778</v>
      </c>
      <c r="BN975" t="s">
        <v>37</v>
      </c>
    </row>
    <row r="976" spans="1:66" x14ac:dyDescent="0.2">
      <c r="A976">
        <v>3693533</v>
      </c>
      <c r="B976">
        <v>21883</v>
      </c>
      <c r="C976">
        <v>523872</v>
      </c>
      <c r="D976">
        <v>52899</v>
      </c>
      <c r="E976">
        <v>100</v>
      </c>
      <c r="F976" t="s">
        <v>37</v>
      </c>
      <c r="G976">
        <v>1</v>
      </c>
      <c r="H976" t="s">
        <v>37</v>
      </c>
      <c r="I976" t="s">
        <v>37</v>
      </c>
      <c r="J976" t="s">
        <v>775</v>
      </c>
      <c r="K976" t="s">
        <v>230</v>
      </c>
      <c r="L976" t="s">
        <v>226</v>
      </c>
      <c r="M976" t="s">
        <v>422</v>
      </c>
      <c r="N976" t="s">
        <v>4812</v>
      </c>
      <c r="O976" t="s">
        <v>4813</v>
      </c>
      <c r="S976">
        <v>0</v>
      </c>
      <c r="T976">
        <v>16</v>
      </c>
      <c r="U976">
        <v>0</v>
      </c>
      <c r="V976">
        <v>16</v>
      </c>
      <c r="W976">
        <v>16</v>
      </c>
      <c r="X976">
        <v>0</v>
      </c>
      <c r="Y976">
        <v>0</v>
      </c>
      <c r="Z976">
        <v>0</v>
      </c>
      <c r="AB976" s="5">
        <v>43732</v>
      </c>
      <c r="AC976" s="5">
        <v>43733</v>
      </c>
      <c r="AD976" s="5">
        <v>43970.333333333336</v>
      </c>
      <c r="AE976" s="5">
        <v>43970.333333333336</v>
      </c>
      <c r="AG976" s="5">
        <v>44044</v>
      </c>
      <c r="AH976" s="5">
        <v>44044</v>
      </c>
      <c r="AK976" s="5">
        <v>43738.333333333336</v>
      </c>
      <c r="AL976" s="5">
        <v>43739.666666666664</v>
      </c>
      <c r="AP976" t="s">
        <v>418</v>
      </c>
      <c r="AU976" t="s">
        <v>4814</v>
      </c>
      <c r="AV976" t="e" cm="1">
        <f t="array" ref="AV976">+SE5gsNkpkygiqsXL31F1g</f>
        <v>#NAME?</v>
      </c>
      <c r="AY976" t="s">
        <v>40</v>
      </c>
      <c r="AZ976">
        <v>0</v>
      </c>
      <c r="BA976">
        <v>0</v>
      </c>
      <c r="BI976" s="5">
        <v>44048.176388888889</v>
      </c>
      <c r="BJ976" s="5">
        <v>44048.176388888889</v>
      </c>
      <c r="BK976" t="s">
        <v>778</v>
      </c>
      <c r="BL976" t="s">
        <v>778</v>
      </c>
      <c r="BN976" t="s">
        <v>37</v>
      </c>
    </row>
    <row r="977" spans="1:66" x14ac:dyDescent="0.2">
      <c r="A977">
        <v>3693534</v>
      </c>
      <c r="B977">
        <v>21883</v>
      </c>
      <c r="C977">
        <v>523872</v>
      </c>
      <c r="D977">
        <v>52899</v>
      </c>
      <c r="E977">
        <v>100</v>
      </c>
      <c r="F977" t="s">
        <v>37</v>
      </c>
      <c r="G977">
        <v>1</v>
      </c>
      <c r="H977" t="s">
        <v>37</v>
      </c>
      <c r="I977" t="s">
        <v>37</v>
      </c>
      <c r="J977" t="s">
        <v>775</v>
      </c>
      <c r="K977" t="s">
        <v>230</v>
      </c>
      <c r="L977" t="s">
        <v>226</v>
      </c>
      <c r="M977" t="s">
        <v>422</v>
      </c>
      <c r="N977" t="s">
        <v>4815</v>
      </c>
      <c r="O977" t="s">
        <v>4244</v>
      </c>
      <c r="S977">
        <v>0</v>
      </c>
      <c r="T977">
        <v>16</v>
      </c>
      <c r="U977">
        <v>0</v>
      </c>
      <c r="V977">
        <v>16</v>
      </c>
      <c r="W977">
        <v>16</v>
      </c>
      <c r="X977">
        <v>0</v>
      </c>
      <c r="Y977">
        <v>0</v>
      </c>
      <c r="Z977">
        <v>0</v>
      </c>
      <c r="AB977" s="5">
        <v>43746</v>
      </c>
      <c r="AC977" s="5">
        <v>43747</v>
      </c>
      <c r="AD977" s="5">
        <v>43970.333333333336</v>
      </c>
      <c r="AE977" s="5">
        <v>43970.333333333336</v>
      </c>
      <c r="AG977" s="5">
        <v>44044</v>
      </c>
      <c r="AH977" s="5">
        <v>44044</v>
      </c>
      <c r="AK977" s="5">
        <v>43770.333333333336</v>
      </c>
      <c r="AL977" s="5">
        <v>43773.666666666664</v>
      </c>
      <c r="AP977" t="s">
        <v>418</v>
      </c>
      <c r="AU977" t="s">
        <v>4816</v>
      </c>
      <c r="AV977" t="s">
        <v>4817</v>
      </c>
      <c r="AY977" t="s">
        <v>40</v>
      </c>
      <c r="AZ977">
        <v>0</v>
      </c>
      <c r="BA977">
        <v>0</v>
      </c>
      <c r="BI977" s="5">
        <v>44048.176388888889</v>
      </c>
      <c r="BJ977" s="5">
        <v>44048.176388888889</v>
      </c>
      <c r="BK977" t="s">
        <v>778</v>
      </c>
      <c r="BL977" t="s">
        <v>778</v>
      </c>
      <c r="BN977" t="s">
        <v>37</v>
      </c>
    </row>
    <row r="978" spans="1:66" x14ac:dyDescent="0.2">
      <c r="A978">
        <v>3693535</v>
      </c>
      <c r="B978">
        <v>21883</v>
      </c>
      <c r="C978">
        <v>523872</v>
      </c>
      <c r="D978">
        <v>52899</v>
      </c>
      <c r="E978">
        <v>100</v>
      </c>
      <c r="F978" t="s">
        <v>37</v>
      </c>
      <c r="G978">
        <v>1</v>
      </c>
      <c r="H978" t="s">
        <v>37</v>
      </c>
      <c r="I978" t="s">
        <v>37</v>
      </c>
      <c r="J978" t="s">
        <v>775</v>
      </c>
      <c r="K978" t="s">
        <v>230</v>
      </c>
      <c r="L978" t="s">
        <v>226</v>
      </c>
      <c r="M978" t="s">
        <v>422</v>
      </c>
      <c r="N978" t="s">
        <v>4818</v>
      </c>
      <c r="O978" t="s">
        <v>4248</v>
      </c>
      <c r="S978">
        <v>0</v>
      </c>
      <c r="T978">
        <v>16</v>
      </c>
      <c r="U978">
        <v>0</v>
      </c>
      <c r="V978">
        <v>16</v>
      </c>
      <c r="W978">
        <v>16</v>
      </c>
      <c r="X978">
        <v>0</v>
      </c>
      <c r="Y978">
        <v>0</v>
      </c>
      <c r="Z978">
        <v>0</v>
      </c>
      <c r="AB978" s="5">
        <v>43759</v>
      </c>
      <c r="AC978" s="5">
        <v>43759</v>
      </c>
      <c r="AD978" s="5">
        <v>43970.333333333336</v>
      </c>
      <c r="AE978" s="5">
        <v>43970.333333333336</v>
      </c>
      <c r="AG978" s="5">
        <v>44044</v>
      </c>
      <c r="AH978" s="5">
        <v>44044</v>
      </c>
      <c r="AK978" s="5">
        <v>43770.333333333336</v>
      </c>
      <c r="AL978" s="5">
        <v>43773.666666666664</v>
      </c>
      <c r="AP978" t="s">
        <v>418</v>
      </c>
      <c r="AU978" t="s">
        <v>4819</v>
      </c>
      <c r="AV978" t="s">
        <v>4820</v>
      </c>
      <c r="AY978" t="s">
        <v>40</v>
      </c>
      <c r="AZ978">
        <v>0</v>
      </c>
      <c r="BA978">
        <v>0</v>
      </c>
      <c r="BI978" s="5">
        <v>44048.176388888889</v>
      </c>
      <c r="BJ978" s="5">
        <v>44048.176388888889</v>
      </c>
      <c r="BK978" t="s">
        <v>778</v>
      </c>
      <c r="BL978" t="s">
        <v>778</v>
      </c>
      <c r="BN978" t="s">
        <v>37</v>
      </c>
    </row>
    <row r="979" spans="1:66" x14ac:dyDescent="0.2">
      <c r="A979">
        <v>3693536</v>
      </c>
      <c r="B979">
        <v>21883</v>
      </c>
      <c r="C979">
        <v>523872</v>
      </c>
      <c r="D979">
        <v>52899</v>
      </c>
      <c r="E979">
        <v>100</v>
      </c>
      <c r="F979" t="s">
        <v>37</v>
      </c>
      <c r="G979">
        <v>1</v>
      </c>
      <c r="H979" t="s">
        <v>37</v>
      </c>
      <c r="I979" t="s">
        <v>37</v>
      </c>
      <c r="J979" t="s">
        <v>775</v>
      </c>
      <c r="K979" t="s">
        <v>230</v>
      </c>
      <c r="L979" t="s">
        <v>226</v>
      </c>
      <c r="M979" t="s">
        <v>422</v>
      </c>
      <c r="N979" t="s">
        <v>4821</v>
      </c>
      <c r="O979" t="s">
        <v>4822</v>
      </c>
      <c r="S979">
        <v>0</v>
      </c>
      <c r="T979">
        <v>8</v>
      </c>
      <c r="U979">
        <v>0</v>
      </c>
      <c r="V979">
        <v>8</v>
      </c>
      <c r="W979">
        <v>8</v>
      </c>
      <c r="X979">
        <v>0</v>
      </c>
      <c r="Y979">
        <v>0</v>
      </c>
      <c r="Z979">
        <v>0</v>
      </c>
      <c r="AB979" s="5">
        <v>43756</v>
      </c>
      <c r="AC979" s="5">
        <v>43756</v>
      </c>
      <c r="AD979" s="5">
        <v>43970.333333333336</v>
      </c>
      <c r="AE979" s="5">
        <v>43970.333333333336</v>
      </c>
      <c r="AG979" s="5">
        <v>44044</v>
      </c>
      <c r="AH979" s="5">
        <v>44044</v>
      </c>
      <c r="AK979" s="5">
        <v>43770.333333333336</v>
      </c>
      <c r="AL979" s="5">
        <v>43770.666666666664</v>
      </c>
      <c r="AP979" t="s">
        <v>418</v>
      </c>
      <c r="AU979" t="s">
        <v>4823</v>
      </c>
      <c r="AV979" t="s">
        <v>4824</v>
      </c>
      <c r="AY979" t="s">
        <v>40</v>
      </c>
      <c r="AZ979">
        <v>0</v>
      </c>
      <c r="BA979">
        <v>0</v>
      </c>
      <c r="BI979" s="5">
        <v>44048.176388888889</v>
      </c>
      <c r="BJ979" s="5">
        <v>44048.176388888889</v>
      </c>
      <c r="BK979" t="s">
        <v>778</v>
      </c>
      <c r="BL979" t="s">
        <v>778</v>
      </c>
      <c r="BN979" t="s">
        <v>37</v>
      </c>
    </row>
    <row r="980" spans="1:66" x14ac:dyDescent="0.2">
      <c r="A980">
        <v>3693537</v>
      </c>
      <c r="B980">
        <v>21883</v>
      </c>
      <c r="C980">
        <v>523871</v>
      </c>
      <c r="D980">
        <v>52899</v>
      </c>
      <c r="E980">
        <v>100</v>
      </c>
      <c r="F980" t="s">
        <v>37</v>
      </c>
      <c r="G980">
        <v>1</v>
      </c>
      <c r="H980" t="s">
        <v>37</v>
      </c>
      <c r="I980" t="s">
        <v>37</v>
      </c>
      <c r="J980" t="s">
        <v>775</v>
      </c>
      <c r="K980" t="s">
        <v>230</v>
      </c>
      <c r="L980" t="s">
        <v>226</v>
      </c>
      <c r="M980" t="s">
        <v>422</v>
      </c>
      <c r="N980" t="s">
        <v>4825</v>
      </c>
      <c r="O980" t="s">
        <v>2442</v>
      </c>
      <c r="S980">
        <v>0</v>
      </c>
      <c r="T980">
        <v>24</v>
      </c>
      <c r="U980">
        <v>0</v>
      </c>
      <c r="V980">
        <v>24</v>
      </c>
      <c r="W980">
        <v>24</v>
      </c>
      <c r="X980">
        <v>0</v>
      </c>
      <c r="Y980">
        <v>0</v>
      </c>
      <c r="Z980">
        <v>0</v>
      </c>
      <c r="AB980" s="5">
        <v>43745</v>
      </c>
      <c r="AC980" s="5">
        <v>43746</v>
      </c>
      <c r="AD980" s="5">
        <v>43970.333333333336</v>
      </c>
      <c r="AE980" s="5">
        <v>43970.333333333336</v>
      </c>
      <c r="AG980" s="5">
        <v>44044</v>
      </c>
      <c r="AH980" s="5">
        <v>44044</v>
      </c>
      <c r="AK980" s="5">
        <v>43770.333333333336</v>
      </c>
      <c r="AL980" s="5">
        <v>43774.666666666664</v>
      </c>
      <c r="AP980" t="s">
        <v>418</v>
      </c>
      <c r="AU980" t="s">
        <v>4826</v>
      </c>
      <c r="AV980" t="s">
        <v>4827</v>
      </c>
      <c r="AY980" t="s">
        <v>40</v>
      </c>
      <c r="AZ980">
        <v>0</v>
      </c>
      <c r="BA980">
        <v>0</v>
      </c>
      <c r="BI980" s="5">
        <v>44048.176388888889</v>
      </c>
      <c r="BJ980" s="5">
        <v>44048.176388888889</v>
      </c>
      <c r="BK980" t="s">
        <v>778</v>
      </c>
      <c r="BL980" t="s">
        <v>778</v>
      </c>
      <c r="BN980" t="s">
        <v>37</v>
      </c>
    </row>
    <row r="981" spans="1:66" x14ac:dyDescent="0.2">
      <c r="A981">
        <v>3693538</v>
      </c>
      <c r="B981">
        <v>21883</v>
      </c>
      <c r="C981">
        <v>523871</v>
      </c>
      <c r="D981">
        <v>52895</v>
      </c>
      <c r="E981">
        <v>100</v>
      </c>
      <c r="F981" t="s">
        <v>37</v>
      </c>
      <c r="G981">
        <v>1</v>
      </c>
      <c r="H981" t="s">
        <v>37</v>
      </c>
      <c r="I981" t="s">
        <v>37</v>
      </c>
      <c r="J981" t="s">
        <v>775</v>
      </c>
      <c r="K981" t="s">
        <v>230</v>
      </c>
      <c r="L981" t="s">
        <v>226</v>
      </c>
      <c r="M981" t="s">
        <v>422</v>
      </c>
      <c r="N981" t="s">
        <v>4828</v>
      </c>
      <c r="O981" t="s">
        <v>2446</v>
      </c>
      <c r="S981">
        <v>0</v>
      </c>
      <c r="T981">
        <v>0</v>
      </c>
      <c r="U981">
        <v>0</v>
      </c>
      <c r="V981">
        <v>0</v>
      </c>
      <c r="W981">
        <v>24</v>
      </c>
      <c r="X981">
        <v>0</v>
      </c>
      <c r="Y981">
        <v>0</v>
      </c>
      <c r="Z981">
        <v>0</v>
      </c>
      <c r="AB981" s="5">
        <v>43764</v>
      </c>
      <c r="AC981" s="5">
        <v>43767</v>
      </c>
      <c r="AD981" s="5">
        <v>43970.333333333336</v>
      </c>
      <c r="AE981" s="5">
        <v>43970.333333333336</v>
      </c>
      <c r="AG981" s="5">
        <v>44044</v>
      </c>
      <c r="AH981" s="5">
        <v>44044</v>
      </c>
      <c r="AK981" s="5">
        <v>43770.333333333336</v>
      </c>
      <c r="AL981" s="5">
        <v>43772.666666666664</v>
      </c>
      <c r="AP981" t="s">
        <v>418</v>
      </c>
      <c r="AU981" t="s">
        <v>4829</v>
      </c>
      <c r="AV981" t="s">
        <v>4830</v>
      </c>
      <c r="AY981" t="s">
        <v>40</v>
      </c>
      <c r="AZ981">
        <v>0</v>
      </c>
      <c r="BA981">
        <v>0</v>
      </c>
      <c r="BI981" s="5">
        <v>44048.176388888889</v>
      </c>
      <c r="BJ981" s="5">
        <v>44048.176388888889</v>
      </c>
      <c r="BK981" t="s">
        <v>778</v>
      </c>
      <c r="BL981" t="s">
        <v>778</v>
      </c>
      <c r="BN981" t="s">
        <v>37</v>
      </c>
    </row>
    <row r="982" spans="1:66" x14ac:dyDescent="0.2">
      <c r="A982">
        <v>3693539</v>
      </c>
      <c r="B982">
        <v>21883</v>
      </c>
      <c r="C982">
        <v>523871</v>
      </c>
      <c r="D982">
        <v>52899</v>
      </c>
      <c r="E982">
        <v>100</v>
      </c>
      <c r="F982" t="s">
        <v>37</v>
      </c>
      <c r="G982">
        <v>1</v>
      </c>
      <c r="H982" t="s">
        <v>37</v>
      </c>
      <c r="I982" t="s">
        <v>37</v>
      </c>
      <c r="J982" t="s">
        <v>775</v>
      </c>
      <c r="K982" t="s">
        <v>230</v>
      </c>
      <c r="L982" t="s">
        <v>226</v>
      </c>
      <c r="M982" t="s">
        <v>422</v>
      </c>
      <c r="N982" t="s">
        <v>4831</v>
      </c>
      <c r="O982" t="s">
        <v>2450</v>
      </c>
      <c r="S982">
        <v>0</v>
      </c>
      <c r="T982">
        <v>8</v>
      </c>
      <c r="U982">
        <v>0</v>
      </c>
      <c r="V982">
        <v>8</v>
      </c>
      <c r="W982">
        <v>8</v>
      </c>
      <c r="X982">
        <v>0</v>
      </c>
      <c r="Y982">
        <v>0</v>
      </c>
      <c r="Z982">
        <v>0</v>
      </c>
      <c r="AB982" s="5">
        <v>43762</v>
      </c>
      <c r="AC982" s="5">
        <v>43763</v>
      </c>
      <c r="AD982" s="5">
        <v>43970.333333333336</v>
      </c>
      <c r="AE982" s="5">
        <v>43970.333333333336</v>
      </c>
      <c r="AG982" s="5">
        <v>44044</v>
      </c>
      <c r="AH982" s="5">
        <v>44044</v>
      </c>
      <c r="AK982" s="5">
        <v>43770.333333333336</v>
      </c>
      <c r="AL982" s="5">
        <v>43770.666666666664</v>
      </c>
      <c r="AP982" t="s">
        <v>418</v>
      </c>
      <c r="AU982" t="s">
        <v>4832</v>
      </c>
      <c r="AV982" t="s">
        <v>4833</v>
      </c>
      <c r="AY982" t="s">
        <v>40</v>
      </c>
      <c r="AZ982">
        <v>0</v>
      </c>
      <c r="BA982">
        <v>0</v>
      </c>
      <c r="BI982" s="5">
        <v>44048.176388888889</v>
      </c>
      <c r="BJ982" s="5">
        <v>44048.176388888889</v>
      </c>
      <c r="BK982" t="s">
        <v>778</v>
      </c>
      <c r="BL982" t="s">
        <v>778</v>
      </c>
      <c r="BN982" t="s">
        <v>37</v>
      </c>
    </row>
    <row r="983" spans="1:66" x14ac:dyDescent="0.2">
      <c r="A983">
        <v>3693540</v>
      </c>
      <c r="B983">
        <v>21883</v>
      </c>
      <c r="C983">
        <v>523871</v>
      </c>
      <c r="D983">
        <v>52899</v>
      </c>
      <c r="E983">
        <v>100</v>
      </c>
      <c r="F983" t="s">
        <v>37</v>
      </c>
      <c r="G983">
        <v>1</v>
      </c>
      <c r="H983" t="s">
        <v>37</v>
      </c>
      <c r="I983" t="s">
        <v>37</v>
      </c>
      <c r="J983" t="s">
        <v>775</v>
      </c>
      <c r="K983" t="s">
        <v>230</v>
      </c>
      <c r="L983" t="s">
        <v>226</v>
      </c>
      <c r="M983" t="s">
        <v>422</v>
      </c>
      <c r="N983" t="s">
        <v>4834</v>
      </c>
      <c r="O983" t="s">
        <v>3335</v>
      </c>
      <c r="S983">
        <v>0</v>
      </c>
      <c r="T983">
        <v>0</v>
      </c>
      <c r="U983">
        <v>0</v>
      </c>
      <c r="V983">
        <v>0</v>
      </c>
      <c r="W983">
        <v>8</v>
      </c>
      <c r="X983">
        <v>0</v>
      </c>
      <c r="Y983">
        <v>0</v>
      </c>
      <c r="Z983">
        <v>0</v>
      </c>
      <c r="AB983" s="5">
        <v>43763</v>
      </c>
      <c r="AC983" s="5">
        <v>43763</v>
      </c>
      <c r="AD983" s="5">
        <v>43970.333333333336</v>
      </c>
      <c r="AE983" s="5">
        <v>43970.333333333336</v>
      </c>
      <c r="AG983" s="5">
        <v>44044</v>
      </c>
      <c r="AH983" s="5">
        <v>44044</v>
      </c>
      <c r="AK983" s="5">
        <v>43770.333333333336</v>
      </c>
      <c r="AL983" s="5">
        <v>43770.666666666664</v>
      </c>
      <c r="AP983" t="s">
        <v>418</v>
      </c>
      <c r="AU983" t="s">
        <v>4835</v>
      </c>
      <c r="AV983" t="s">
        <v>4836</v>
      </c>
      <c r="AY983" t="s">
        <v>40</v>
      </c>
      <c r="AZ983">
        <v>0</v>
      </c>
      <c r="BA983">
        <v>0</v>
      </c>
      <c r="BI983" s="5">
        <v>44048.176388888889</v>
      </c>
      <c r="BJ983" s="5">
        <v>44048.176388888889</v>
      </c>
      <c r="BK983" t="s">
        <v>778</v>
      </c>
      <c r="BL983" t="s">
        <v>778</v>
      </c>
      <c r="BN983" t="s">
        <v>37</v>
      </c>
    </row>
    <row r="984" spans="1:66" x14ac:dyDescent="0.2">
      <c r="A984">
        <v>3693541</v>
      </c>
      <c r="B984">
        <v>21883</v>
      </c>
      <c r="C984">
        <v>523871</v>
      </c>
      <c r="D984">
        <v>52899</v>
      </c>
      <c r="E984">
        <v>100</v>
      </c>
      <c r="F984" t="s">
        <v>37</v>
      </c>
      <c r="G984">
        <v>1</v>
      </c>
      <c r="H984" t="s">
        <v>37</v>
      </c>
      <c r="I984" t="s">
        <v>37</v>
      </c>
      <c r="J984" t="s">
        <v>775</v>
      </c>
      <c r="K984" t="s">
        <v>230</v>
      </c>
      <c r="L984" t="s">
        <v>226</v>
      </c>
      <c r="M984" t="s">
        <v>422</v>
      </c>
      <c r="N984" t="s">
        <v>4837</v>
      </c>
      <c r="O984" t="s">
        <v>3339</v>
      </c>
      <c r="S984">
        <v>0</v>
      </c>
      <c r="T984">
        <v>8</v>
      </c>
      <c r="U984">
        <v>0</v>
      </c>
      <c r="V984">
        <v>8</v>
      </c>
      <c r="W984">
        <v>8</v>
      </c>
      <c r="X984">
        <v>0</v>
      </c>
      <c r="Y984">
        <v>0</v>
      </c>
      <c r="Z984">
        <v>0</v>
      </c>
      <c r="AB984" s="5">
        <v>43764</v>
      </c>
      <c r="AC984" s="5">
        <v>43764</v>
      </c>
      <c r="AD984" s="5">
        <v>43970.333333333336</v>
      </c>
      <c r="AE984" s="5">
        <v>43970.333333333336</v>
      </c>
      <c r="AG984" s="5">
        <v>44044</v>
      </c>
      <c r="AH984" s="5">
        <v>44044</v>
      </c>
      <c r="AK984" s="5">
        <v>43770.333333333336</v>
      </c>
      <c r="AL984" s="5">
        <v>43770.666666666664</v>
      </c>
      <c r="AP984" t="s">
        <v>418</v>
      </c>
      <c r="AU984" t="e" cm="1">
        <f t="array" ref="AU984">+nbZK8ZRZEyrVETj0P60dQ</f>
        <v>#NAME?</v>
      </c>
      <c r="AV984" t="s">
        <v>4838</v>
      </c>
      <c r="AY984" t="s">
        <v>40</v>
      </c>
      <c r="AZ984">
        <v>0</v>
      </c>
      <c r="BA984">
        <v>0</v>
      </c>
      <c r="BI984" s="5">
        <v>44048.176388888889</v>
      </c>
      <c r="BJ984" s="5">
        <v>44048.176388888889</v>
      </c>
      <c r="BK984" t="s">
        <v>778</v>
      </c>
      <c r="BL984" t="s">
        <v>778</v>
      </c>
      <c r="BN984" t="s">
        <v>37</v>
      </c>
    </row>
    <row r="985" spans="1:66" x14ac:dyDescent="0.2">
      <c r="A985">
        <v>3693542</v>
      </c>
      <c r="B985">
        <v>21883</v>
      </c>
      <c r="C985">
        <v>523871</v>
      </c>
      <c r="D985">
        <v>52899</v>
      </c>
      <c r="E985">
        <v>100</v>
      </c>
      <c r="F985" t="s">
        <v>37</v>
      </c>
      <c r="G985">
        <v>1</v>
      </c>
      <c r="H985" t="s">
        <v>37</v>
      </c>
      <c r="I985" t="s">
        <v>37</v>
      </c>
      <c r="J985" t="s">
        <v>775</v>
      </c>
      <c r="K985" t="s">
        <v>230</v>
      </c>
      <c r="L985" t="s">
        <v>226</v>
      </c>
      <c r="M985" t="s">
        <v>422</v>
      </c>
      <c r="N985" t="s">
        <v>4839</v>
      </c>
      <c r="O985" t="s">
        <v>4840</v>
      </c>
      <c r="S985">
        <v>0</v>
      </c>
      <c r="T985">
        <v>8</v>
      </c>
      <c r="U985">
        <v>0</v>
      </c>
      <c r="V985">
        <v>8</v>
      </c>
      <c r="W985">
        <v>8</v>
      </c>
      <c r="X985">
        <v>0</v>
      </c>
      <c r="Y985">
        <v>0</v>
      </c>
      <c r="Z985">
        <v>0</v>
      </c>
      <c r="AB985" s="5">
        <v>43733</v>
      </c>
      <c r="AC985" s="5">
        <v>43733</v>
      </c>
      <c r="AD985" s="5">
        <v>43970.333333333336</v>
      </c>
      <c r="AE985" s="5">
        <v>43970.333333333336</v>
      </c>
      <c r="AG985" s="5">
        <v>44044</v>
      </c>
      <c r="AH985" s="5">
        <v>44044</v>
      </c>
      <c r="AK985" s="5">
        <v>43739.333333333336</v>
      </c>
      <c r="AL985" s="5">
        <v>43739.666666666664</v>
      </c>
      <c r="AP985" t="s">
        <v>418</v>
      </c>
      <c r="AU985" t="s">
        <v>4841</v>
      </c>
      <c r="AV985" t="s">
        <v>4842</v>
      </c>
      <c r="AY985" t="s">
        <v>40</v>
      </c>
      <c r="AZ985">
        <v>0</v>
      </c>
      <c r="BA985">
        <v>0</v>
      </c>
      <c r="BI985" s="5">
        <v>44048.176388888889</v>
      </c>
      <c r="BJ985" s="5">
        <v>44048.176388888889</v>
      </c>
      <c r="BK985" t="s">
        <v>778</v>
      </c>
      <c r="BL985" t="s">
        <v>778</v>
      </c>
      <c r="BN985" t="s">
        <v>37</v>
      </c>
    </row>
    <row r="986" spans="1:66" x14ac:dyDescent="0.2">
      <c r="A986">
        <v>3693543</v>
      </c>
      <c r="B986">
        <v>21883</v>
      </c>
      <c r="C986">
        <v>523871</v>
      </c>
      <c r="D986">
        <v>52899</v>
      </c>
      <c r="E986">
        <v>100</v>
      </c>
      <c r="F986" t="s">
        <v>37</v>
      </c>
      <c r="G986">
        <v>1</v>
      </c>
      <c r="H986" t="s">
        <v>37</v>
      </c>
      <c r="I986" t="s">
        <v>37</v>
      </c>
      <c r="J986" t="s">
        <v>775</v>
      </c>
      <c r="K986" t="s">
        <v>230</v>
      </c>
      <c r="L986" t="s">
        <v>226</v>
      </c>
      <c r="M986" t="s">
        <v>422</v>
      </c>
      <c r="N986" t="s">
        <v>4843</v>
      </c>
      <c r="O986" t="s">
        <v>4844</v>
      </c>
      <c r="S986">
        <v>0</v>
      </c>
      <c r="T986">
        <v>8</v>
      </c>
      <c r="U986">
        <v>0</v>
      </c>
      <c r="V986">
        <v>8</v>
      </c>
      <c r="W986">
        <v>8</v>
      </c>
      <c r="X986">
        <v>0</v>
      </c>
      <c r="Y986">
        <v>0</v>
      </c>
      <c r="Z986">
        <v>0</v>
      </c>
      <c r="AB986" s="5">
        <v>43738</v>
      </c>
      <c r="AC986" s="5">
        <v>43741</v>
      </c>
      <c r="AD986" s="5">
        <v>43970.333333333336</v>
      </c>
      <c r="AE986" s="5">
        <v>43970.333333333336</v>
      </c>
      <c r="AG986" s="5">
        <v>44044</v>
      </c>
      <c r="AH986" s="5">
        <v>44044</v>
      </c>
      <c r="AK986" s="5">
        <v>43739.333333333336</v>
      </c>
      <c r="AL986" s="5">
        <v>43739.666666666664</v>
      </c>
      <c r="AP986" t="s">
        <v>418</v>
      </c>
      <c r="AU986" t="s">
        <v>4845</v>
      </c>
      <c r="AV986" t="s">
        <v>4846</v>
      </c>
      <c r="AY986" t="s">
        <v>40</v>
      </c>
      <c r="AZ986">
        <v>0</v>
      </c>
      <c r="BA986">
        <v>0</v>
      </c>
      <c r="BI986" s="5">
        <v>44048.176388888889</v>
      </c>
      <c r="BJ986" s="5">
        <v>44048.176388888889</v>
      </c>
      <c r="BK986" t="s">
        <v>778</v>
      </c>
      <c r="BL986" t="s">
        <v>778</v>
      </c>
      <c r="BN986" t="s">
        <v>37</v>
      </c>
    </row>
    <row r="987" spans="1:66" x14ac:dyDescent="0.2">
      <c r="A987">
        <v>3693544</v>
      </c>
      <c r="B987">
        <v>21883</v>
      </c>
      <c r="C987">
        <v>523871</v>
      </c>
      <c r="D987">
        <v>52899</v>
      </c>
      <c r="E987">
        <v>100</v>
      </c>
      <c r="F987" t="s">
        <v>37</v>
      </c>
      <c r="G987">
        <v>1</v>
      </c>
      <c r="H987" t="s">
        <v>37</v>
      </c>
      <c r="I987" t="s">
        <v>37</v>
      </c>
      <c r="J987" t="s">
        <v>775</v>
      </c>
      <c r="K987" t="s">
        <v>230</v>
      </c>
      <c r="L987" t="s">
        <v>226</v>
      </c>
      <c r="M987" t="s">
        <v>422</v>
      </c>
      <c r="N987" t="s">
        <v>4847</v>
      </c>
      <c r="O987" t="s">
        <v>4264</v>
      </c>
      <c r="S987">
        <v>0</v>
      </c>
      <c r="T987">
        <v>16</v>
      </c>
      <c r="U987">
        <v>0</v>
      </c>
      <c r="V987">
        <v>16</v>
      </c>
      <c r="W987">
        <v>16</v>
      </c>
      <c r="X987">
        <v>0</v>
      </c>
      <c r="Y987">
        <v>0</v>
      </c>
      <c r="Z987">
        <v>0</v>
      </c>
      <c r="AB987" s="5">
        <v>43746</v>
      </c>
      <c r="AC987" s="5">
        <v>43746</v>
      </c>
      <c r="AD987" s="5">
        <v>43970.333333333336</v>
      </c>
      <c r="AE987" s="5">
        <v>43970.333333333336</v>
      </c>
      <c r="AG987" s="5">
        <v>44044</v>
      </c>
      <c r="AH987" s="5">
        <v>44044</v>
      </c>
      <c r="AK987" s="5">
        <v>43770.333333333336</v>
      </c>
      <c r="AL987" s="5">
        <v>43773.666666666664</v>
      </c>
      <c r="AP987" t="s">
        <v>418</v>
      </c>
      <c r="AU987" t="s">
        <v>4848</v>
      </c>
      <c r="AV987" t="s">
        <v>4849</v>
      </c>
      <c r="AY987" t="s">
        <v>40</v>
      </c>
      <c r="AZ987">
        <v>0</v>
      </c>
      <c r="BA987">
        <v>0</v>
      </c>
      <c r="BI987" s="5">
        <v>44048.176388888889</v>
      </c>
      <c r="BJ987" s="5">
        <v>44048.176388888889</v>
      </c>
      <c r="BK987" t="s">
        <v>778</v>
      </c>
      <c r="BL987" t="s">
        <v>778</v>
      </c>
      <c r="BN987" t="s">
        <v>37</v>
      </c>
    </row>
    <row r="988" spans="1:66" x14ac:dyDescent="0.2">
      <c r="A988">
        <v>3693545</v>
      </c>
      <c r="B988">
        <v>21883</v>
      </c>
      <c r="C988">
        <v>523871</v>
      </c>
      <c r="D988">
        <v>52899</v>
      </c>
      <c r="E988">
        <v>100</v>
      </c>
      <c r="F988" t="s">
        <v>37</v>
      </c>
      <c r="G988">
        <v>1</v>
      </c>
      <c r="H988" t="s">
        <v>37</v>
      </c>
      <c r="I988" t="s">
        <v>37</v>
      </c>
      <c r="J988" t="s">
        <v>775</v>
      </c>
      <c r="K988" t="s">
        <v>230</v>
      </c>
      <c r="L988" t="s">
        <v>226</v>
      </c>
      <c r="M988" t="s">
        <v>422</v>
      </c>
      <c r="N988" t="s">
        <v>4850</v>
      </c>
      <c r="O988" t="s">
        <v>4268</v>
      </c>
      <c r="S988">
        <v>0</v>
      </c>
      <c r="T988">
        <v>16</v>
      </c>
      <c r="U988">
        <v>0</v>
      </c>
      <c r="V988">
        <v>16</v>
      </c>
      <c r="W988">
        <v>16</v>
      </c>
      <c r="X988">
        <v>0</v>
      </c>
      <c r="Y988">
        <v>0</v>
      </c>
      <c r="Z988">
        <v>0</v>
      </c>
      <c r="AB988" s="5">
        <v>43762</v>
      </c>
      <c r="AC988" s="5">
        <v>43763</v>
      </c>
      <c r="AD988" s="5">
        <v>43970.333333333336</v>
      </c>
      <c r="AE988" s="5">
        <v>43970.333333333336</v>
      </c>
      <c r="AG988" s="5">
        <v>44044</v>
      </c>
      <c r="AH988" s="5">
        <v>44044</v>
      </c>
      <c r="AK988" s="5">
        <v>43770.333333333336</v>
      </c>
      <c r="AL988" s="5">
        <v>43773.666666666664</v>
      </c>
      <c r="AP988" t="s">
        <v>418</v>
      </c>
      <c r="AU988" t="s">
        <v>4851</v>
      </c>
      <c r="AV988" t="s">
        <v>4852</v>
      </c>
      <c r="AY988" t="s">
        <v>40</v>
      </c>
      <c r="AZ988">
        <v>0</v>
      </c>
      <c r="BA988">
        <v>0</v>
      </c>
      <c r="BI988" s="5">
        <v>44048.176388888889</v>
      </c>
      <c r="BJ988" s="5">
        <v>44048.176388888889</v>
      </c>
      <c r="BK988" t="s">
        <v>778</v>
      </c>
      <c r="BL988" t="s">
        <v>778</v>
      </c>
      <c r="BN988" t="s">
        <v>37</v>
      </c>
    </row>
    <row r="989" spans="1:66" x14ac:dyDescent="0.2">
      <c r="A989">
        <v>3693546</v>
      </c>
      <c r="B989">
        <v>21883</v>
      </c>
      <c r="C989">
        <v>523871</v>
      </c>
      <c r="D989">
        <v>52899</v>
      </c>
      <c r="E989">
        <v>100</v>
      </c>
      <c r="F989" t="s">
        <v>37</v>
      </c>
      <c r="G989">
        <v>1</v>
      </c>
      <c r="H989" t="s">
        <v>37</v>
      </c>
      <c r="I989" t="s">
        <v>37</v>
      </c>
      <c r="J989" t="s">
        <v>775</v>
      </c>
      <c r="K989" t="s">
        <v>230</v>
      </c>
      <c r="L989" t="s">
        <v>226</v>
      </c>
      <c r="M989" t="s">
        <v>422</v>
      </c>
      <c r="N989" t="s">
        <v>4853</v>
      </c>
      <c r="O989" t="s">
        <v>4272</v>
      </c>
      <c r="S989">
        <v>0</v>
      </c>
      <c r="T989">
        <v>8</v>
      </c>
      <c r="U989">
        <v>0</v>
      </c>
      <c r="V989">
        <v>8</v>
      </c>
      <c r="W989">
        <v>8</v>
      </c>
      <c r="X989">
        <v>0</v>
      </c>
      <c r="Y989">
        <v>0</v>
      </c>
      <c r="Z989">
        <v>0</v>
      </c>
      <c r="AB989" s="5">
        <v>43767</v>
      </c>
      <c r="AC989" s="5">
        <v>43767</v>
      </c>
      <c r="AD989" s="5">
        <v>43970.333333333336</v>
      </c>
      <c r="AE989" s="5">
        <v>43970.333333333336</v>
      </c>
      <c r="AG989" s="5">
        <v>44044</v>
      </c>
      <c r="AH989" s="5">
        <v>44044</v>
      </c>
      <c r="AK989" s="5">
        <v>43770.333333333336</v>
      </c>
      <c r="AL989" s="5">
        <v>43770.666666666664</v>
      </c>
      <c r="AP989" t="s">
        <v>418</v>
      </c>
      <c r="AU989" t="s">
        <v>4854</v>
      </c>
      <c r="AV989" t="s">
        <v>4855</v>
      </c>
      <c r="AY989" t="s">
        <v>40</v>
      </c>
      <c r="AZ989">
        <v>0</v>
      </c>
      <c r="BA989">
        <v>0</v>
      </c>
      <c r="BI989" s="5">
        <v>44048.176388888889</v>
      </c>
      <c r="BJ989" s="5">
        <v>44048.176388888889</v>
      </c>
      <c r="BK989" t="s">
        <v>778</v>
      </c>
      <c r="BL989" t="s">
        <v>778</v>
      </c>
      <c r="BN989" t="s">
        <v>37</v>
      </c>
    </row>
    <row r="990" spans="1:66" x14ac:dyDescent="0.2">
      <c r="A990">
        <v>3693547</v>
      </c>
      <c r="B990">
        <v>21883</v>
      </c>
      <c r="C990">
        <v>523871</v>
      </c>
      <c r="D990">
        <v>52899</v>
      </c>
      <c r="E990">
        <v>100</v>
      </c>
      <c r="F990" t="s">
        <v>37</v>
      </c>
      <c r="G990">
        <v>1</v>
      </c>
      <c r="H990" t="s">
        <v>37</v>
      </c>
      <c r="I990" t="s">
        <v>37</v>
      </c>
      <c r="J990" t="s">
        <v>775</v>
      </c>
      <c r="K990" t="s">
        <v>230</v>
      </c>
      <c r="L990" t="s">
        <v>226</v>
      </c>
      <c r="M990" t="s">
        <v>422</v>
      </c>
      <c r="N990" t="s">
        <v>4856</v>
      </c>
      <c r="O990" t="s">
        <v>4276</v>
      </c>
      <c r="S990">
        <v>0</v>
      </c>
      <c r="T990">
        <v>16</v>
      </c>
      <c r="U990">
        <v>0</v>
      </c>
      <c r="V990">
        <v>16</v>
      </c>
      <c r="W990">
        <v>16</v>
      </c>
      <c r="X990">
        <v>0</v>
      </c>
      <c r="Y990">
        <v>0</v>
      </c>
      <c r="Z990">
        <v>0</v>
      </c>
      <c r="AB990" s="5">
        <v>43767</v>
      </c>
      <c r="AC990" s="5">
        <v>43769</v>
      </c>
      <c r="AD990" s="5">
        <v>43970.333333333336</v>
      </c>
      <c r="AE990" s="5">
        <v>43970.333333333336</v>
      </c>
      <c r="AG990" s="5">
        <v>44044</v>
      </c>
      <c r="AH990" s="5">
        <v>44044</v>
      </c>
      <c r="AK990" s="5">
        <v>43770.333333333336</v>
      </c>
      <c r="AL990" s="5">
        <v>43773.666666666664</v>
      </c>
      <c r="AP990" t="s">
        <v>418</v>
      </c>
      <c r="AU990" t="s">
        <v>4857</v>
      </c>
      <c r="AV990" t="s">
        <v>4858</v>
      </c>
      <c r="AY990" t="s">
        <v>40</v>
      </c>
      <c r="AZ990">
        <v>0</v>
      </c>
      <c r="BA990">
        <v>0</v>
      </c>
      <c r="BI990" s="5">
        <v>44048.176388888889</v>
      </c>
      <c r="BJ990" s="5">
        <v>44048.176388888889</v>
      </c>
      <c r="BK990" t="s">
        <v>778</v>
      </c>
      <c r="BL990" t="s">
        <v>778</v>
      </c>
      <c r="BN990" t="s">
        <v>37</v>
      </c>
    </row>
    <row r="991" spans="1:66" x14ac:dyDescent="0.2">
      <c r="A991">
        <v>3693548</v>
      </c>
      <c r="B991">
        <v>21883</v>
      </c>
      <c r="C991">
        <v>523870</v>
      </c>
      <c r="D991">
        <v>52899</v>
      </c>
      <c r="E991">
        <v>100</v>
      </c>
      <c r="F991" t="s">
        <v>37</v>
      </c>
      <c r="G991">
        <v>1</v>
      </c>
      <c r="H991" t="s">
        <v>37</v>
      </c>
      <c r="I991" t="s">
        <v>37</v>
      </c>
      <c r="J991" t="s">
        <v>775</v>
      </c>
      <c r="K991" t="s">
        <v>230</v>
      </c>
      <c r="L991" t="s">
        <v>226</v>
      </c>
      <c r="M991" t="s">
        <v>422</v>
      </c>
      <c r="N991" t="s">
        <v>4859</v>
      </c>
      <c r="O991" t="s">
        <v>2454</v>
      </c>
      <c r="S991">
        <v>0</v>
      </c>
      <c r="T991">
        <v>96</v>
      </c>
      <c r="U991">
        <v>0</v>
      </c>
      <c r="V991">
        <v>96</v>
      </c>
      <c r="W991">
        <v>80</v>
      </c>
      <c r="X991">
        <v>0</v>
      </c>
      <c r="Y991">
        <v>0</v>
      </c>
      <c r="Z991">
        <v>0</v>
      </c>
      <c r="AB991" s="5">
        <v>43685</v>
      </c>
      <c r="AC991" s="5">
        <v>43705</v>
      </c>
      <c r="AD991" s="5">
        <v>43970.333333333336</v>
      </c>
      <c r="AE991" s="5">
        <v>43970.333333333336</v>
      </c>
      <c r="AG991" s="5">
        <v>44044</v>
      </c>
      <c r="AH991" s="5">
        <v>44044</v>
      </c>
      <c r="AK991" s="5">
        <v>43703.333333333336</v>
      </c>
      <c r="AL991" s="5">
        <v>43718.666666666664</v>
      </c>
      <c r="AP991" t="s">
        <v>418</v>
      </c>
      <c r="AU991" t="s">
        <v>4860</v>
      </c>
      <c r="AV991" t="s">
        <v>4861</v>
      </c>
      <c r="AY991" t="s">
        <v>40</v>
      </c>
      <c r="AZ991">
        <v>0</v>
      </c>
      <c r="BA991">
        <v>0</v>
      </c>
      <c r="BI991" s="5">
        <v>44048.176388888889</v>
      </c>
      <c r="BJ991" s="5">
        <v>44048.176388888889</v>
      </c>
      <c r="BK991" t="s">
        <v>778</v>
      </c>
      <c r="BL991" t="s">
        <v>778</v>
      </c>
      <c r="BN991" t="s">
        <v>37</v>
      </c>
    </row>
    <row r="992" spans="1:66" x14ac:dyDescent="0.2">
      <c r="A992">
        <v>3693549</v>
      </c>
      <c r="B992">
        <v>21883</v>
      </c>
      <c r="C992">
        <v>523870</v>
      </c>
      <c r="D992">
        <v>52899</v>
      </c>
      <c r="E992">
        <v>100</v>
      </c>
      <c r="F992" t="s">
        <v>37</v>
      </c>
      <c r="G992">
        <v>1</v>
      </c>
      <c r="H992" t="s">
        <v>37</v>
      </c>
      <c r="I992" t="s">
        <v>37</v>
      </c>
      <c r="J992" t="s">
        <v>775</v>
      </c>
      <c r="K992" t="s">
        <v>230</v>
      </c>
      <c r="L992" t="s">
        <v>226</v>
      </c>
      <c r="M992" t="s">
        <v>422</v>
      </c>
      <c r="N992" t="s">
        <v>4862</v>
      </c>
      <c r="O992" t="s">
        <v>2458</v>
      </c>
      <c r="S992">
        <v>0</v>
      </c>
      <c r="T992">
        <v>32</v>
      </c>
      <c r="U992">
        <v>0</v>
      </c>
      <c r="V992">
        <v>32</v>
      </c>
      <c r="W992">
        <v>32</v>
      </c>
      <c r="X992">
        <v>0</v>
      </c>
      <c r="Y992">
        <v>0</v>
      </c>
      <c r="Z992">
        <v>0</v>
      </c>
      <c r="AB992" s="5">
        <v>43731</v>
      </c>
      <c r="AC992" s="5">
        <v>43733</v>
      </c>
      <c r="AD992" s="5">
        <v>43970.333333333336</v>
      </c>
      <c r="AE992" s="5">
        <v>43970.333333333336</v>
      </c>
      <c r="AG992" s="5">
        <v>44044</v>
      </c>
      <c r="AH992" s="5">
        <v>44044</v>
      </c>
      <c r="AK992" s="5">
        <v>43738.333333333336</v>
      </c>
      <c r="AL992" s="5">
        <v>43741.666666666664</v>
      </c>
      <c r="AP992" t="s">
        <v>418</v>
      </c>
      <c r="AU992" t="s">
        <v>4863</v>
      </c>
      <c r="AV992" t="s">
        <v>4864</v>
      </c>
      <c r="AY992" t="s">
        <v>40</v>
      </c>
      <c r="AZ992">
        <v>0</v>
      </c>
      <c r="BA992">
        <v>0</v>
      </c>
      <c r="BI992" s="5">
        <v>44048.176388888889</v>
      </c>
      <c r="BJ992" s="5">
        <v>44048.176388888889</v>
      </c>
      <c r="BK992" t="s">
        <v>778</v>
      </c>
      <c r="BL992" t="s">
        <v>778</v>
      </c>
      <c r="BN992" t="s">
        <v>37</v>
      </c>
    </row>
    <row r="993" spans="1:66" x14ac:dyDescent="0.2">
      <c r="A993">
        <v>3693550</v>
      </c>
      <c r="B993">
        <v>21883</v>
      </c>
      <c r="C993">
        <v>523870</v>
      </c>
      <c r="D993">
        <v>52895</v>
      </c>
      <c r="E993">
        <v>100</v>
      </c>
      <c r="F993" t="s">
        <v>37</v>
      </c>
      <c r="G993">
        <v>1</v>
      </c>
      <c r="H993" t="s">
        <v>37</v>
      </c>
      <c r="I993" t="s">
        <v>37</v>
      </c>
      <c r="J993" t="s">
        <v>775</v>
      </c>
      <c r="K993" t="s">
        <v>230</v>
      </c>
      <c r="L993" t="s">
        <v>226</v>
      </c>
      <c r="M993" t="s">
        <v>422</v>
      </c>
      <c r="N993" t="s">
        <v>4865</v>
      </c>
      <c r="O993" t="s">
        <v>4866</v>
      </c>
      <c r="S993">
        <v>0</v>
      </c>
      <c r="T993">
        <v>0</v>
      </c>
      <c r="U993">
        <v>0</v>
      </c>
      <c r="V993">
        <v>0</v>
      </c>
      <c r="W993">
        <v>24</v>
      </c>
      <c r="X993">
        <v>0</v>
      </c>
      <c r="Y993">
        <v>0</v>
      </c>
      <c r="Z993">
        <v>0</v>
      </c>
      <c r="AB993" s="5">
        <v>43755</v>
      </c>
      <c r="AC993" s="5">
        <v>43759</v>
      </c>
      <c r="AD993" s="5">
        <v>43970.333333333336</v>
      </c>
      <c r="AE993" s="5">
        <v>43970.333333333336</v>
      </c>
      <c r="AG993" s="5">
        <v>44044</v>
      </c>
      <c r="AH993" s="5">
        <v>44044</v>
      </c>
      <c r="AK993" s="5">
        <v>43770.333333333336</v>
      </c>
      <c r="AL993" s="5">
        <v>43772.666666666664</v>
      </c>
      <c r="AP993" t="s">
        <v>418</v>
      </c>
      <c r="AU993" t="s">
        <v>4867</v>
      </c>
      <c r="AV993" t="s">
        <v>4868</v>
      </c>
      <c r="AY993" t="s">
        <v>40</v>
      </c>
      <c r="AZ993">
        <v>0</v>
      </c>
      <c r="BA993">
        <v>0</v>
      </c>
      <c r="BI993" s="5">
        <v>44048.176388888889</v>
      </c>
      <c r="BJ993" s="5">
        <v>44048.176388888889</v>
      </c>
      <c r="BK993" t="s">
        <v>778</v>
      </c>
      <c r="BL993" t="s">
        <v>778</v>
      </c>
      <c r="BN993" t="s">
        <v>37</v>
      </c>
    </row>
    <row r="994" spans="1:66" x14ac:dyDescent="0.2">
      <c r="A994">
        <v>3693551</v>
      </c>
      <c r="B994">
        <v>21883</v>
      </c>
      <c r="C994">
        <v>523870</v>
      </c>
      <c r="D994">
        <v>52899</v>
      </c>
      <c r="E994">
        <v>100</v>
      </c>
      <c r="F994" t="s">
        <v>37</v>
      </c>
      <c r="G994">
        <v>1</v>
      </c>
      <c r="H994" t="s">
        <v>37</v>
      </c>
      <c r="I994" t="s">
        <v>37</v>
      </c>
      <c r="J994" t="s">
        <v>775</v>
      </c>
      <c r="K994" t="s">
        <v>230</v>
      </c>
      <c r="L994" t="s">
        <v>226</v>
      </c>
      <c r="M994" t="s">
        <v>422</v>
      </c>
      <c r="N994" t="s">
        <v>4869</v>
      </c>
      <c r="O994" t="s">
        <v>2466</v>
      </c>
      <c r="S994">
        <v>0</v>
      </c>
      <c r="T994">
        <v>16</v>
      </c>
      <c r="U994">
        <v>0</v>
      </c>
      <c r="V994">
        <v>16</v>
      </c>
      <c r="W994">
        <v>16</v>
      </c>
      <c r="X994">
        <v>0</v>
      </c>
      <c r="Y994">
        <v>0</v>
      </c>
      <c r="Z994">
        <v>0</v>
      </c>
      <c r="AB994" s="5">
        <v>43740</v>
      </c>
      <c r="AC994" s="5">
        <v>43755</v>
      </c>
      <c r="AD994" s="5">
        <v>43970.333333333336</v>
      </c>
      <c r="AE994" s="5">
        <v>43970.333333333336</v>
      </c>
      <c r="AG994" s="5">
        <v>44044</v>
      </c>
      <c r="AH994" s="5">
        <v>44044</v>
      </c>
      <c r="AK994" s="5">
        <v>43770.333333333336</v>
      </c>
      <c r="AL994" s="5">
        <v>43773.666666666664</v>
      </c>
      <c r="AP994" t="s">
        <v>418</v>
      </c>
      <c r="AU994" t="s">
        <v>4870</v>
      </c>
      <c r="AV994" t="s">
        <v>4871</v>
      </c>
      <c r="AY994" t="s">
        <v>40</v>
      </c>
      <c r="AZ994">
        <v>0</v>
      </c>
      <c r="BA994">
        <v>0</v>
      </c>
      <c r="BI994" s="5">
        <v>44048.176388888889</v>
      </c>
      <c r="BJ994" s="5">
        <v>44048.176388888889</v>
      </c>
      <c r="BK994" t="s">
        <v>778</v>
      </c>
      <c r="BL994" t="s">
        <v>778</v>
      </c>
      <c r="BN994" t="s">
        <v>37</v>
      </c>
    </row>
    <row r="995" spans="1:66" x14ac:dyDescent="0.2">
      <c r="A995">
        <v>3693552</v>
      </c>
      <c r="B995">
        <v>21883</v>
      </c>
      <c r="C995">
        <v>523870</v>
      </c>
      <c r="D995">
        <v>52895</v>
      </c>
      <c r="E995">
        <v>100</v>
      </c>
      <c r="F995" t="s">
        <v>37</v>
      </c>
      <c r="G995">
        <v>1</v>
      </c>
      <c r="H995" t="s">
        <v>37</v>
      </c>
      <c r="I995" t="s">
        <v>37</v>
      </c>
      <c r="J995" t="s">
        <v>775</v>
      </c>
      <c r="K995" t="s">
        <v>230</v>
      </c>
      <c r="L995" t="s">
        <v>226</v>
      </c>
      <c r="M995" t="s">
        <v>422</v>
      </c>
      <c r="N995" t="s">
        <v>4872</v>
      </c>
      <c r="O995" t="s">
        <v>2470</v>
      </c>
      <c r="S995">
        <v>0</v>
      </c>
      <c r="T995">
        <v>0</v>
      </c>
      <c r="U995">
        <v>0</v>
      </c>
      <c r="V995">
        <v>0</v>
      </c>
      <c r="W995">
        <v>16</v>
      </c>
      <c r="X995">
        <v>0</v>
      </c>
      <c r="Y995">
        <v>0</v>
      </c>
      <c r="Z995">
        <v>0</v>
      </c>
      <c r="AB995" s="5">
        <v>43735</v>
      </c>
      <c r="AC995" s="5">
        <v>43737</v>
      </c>
      <c r="AD995" s="5">
        <v>43970.333333333336</v>
      </c>
      <c r="AE995" s="5">
        <v>43970.333333333336</v>
      </c>
      <c r="AG995" s="5">
        <v>44044</v>
      </c>
      <c r="AH995" s="5">
        <v>44044</v>
      </c>
      <c r="AK995" s="5">
        <v>43738.333333333336</v>
      </c>
      <c r="AL995" s="5">
        <v>43739.666666666664</v>
      </c>
      <c r="AP995" t="s">
        <v>418</v>
      </c>
      <c r="AU995" t="s">
        <v>4873</v>
      </c>
      <c r="AV995" t="s">
        <v>4874</v>
      </c>
      <c r="AY995" t="s">
        <v>40</v>
      </c>
      <c r="AZ995">
        <v>0</v>
      </c>
      <c r="BA995">
        <v>0</v>
      </c>
      <c r="BI995" s="5">
        <v>44048.176388888889</v>
      </c>
      <c r="BJ995" s="5">
        <v>44048.176388888889</v>
      </c>
      <c r="BK995" t="s">
        <v>778</v>
      </c>
      <c r="BL995" t="s">
        <v>778</v>
      </c>
      <c r="BN995" t="s">
        <v>37</v>
      </c>
    </row>
    <row r="996" spans="1:66" x14ac:dyDescent="0.2">
      <c r="A996">
        <v>3693553</v>
      </c>
      <c r="B996">
        <v>21883</v>
      </c>
      <c r="C996">
        <v>523870</v>
      </c>
      <c r="D996">
        <v>52899</v>
      </c>
      <c r="E996">
        <v>100</v>
      </c>
      <c r="F996" t="s">
        <v>37</v>
      </c>
      <c r="G996">
        <v>1</v>
      </c>
      <c r="H996" t="s">
        <v>37</v>
      </c>
      <c r="I996" t="s">
        <v>37</v>
      </c>
      <c r="J996" t="s">
        <v>775</v>
      </c>
      <c r="K996" t="s">
        <v>230</v>
      </c>
      <c r="L996" t="s">
        <v>226</v>
      </c>
      <c r="M996" t="s">
        <v>422</v>
      </c>
      <c r="N996" t="s">
        <v>4875</v>
      </c>
      <c r="O996" t="s">
        <v>3375</v>
      </c>
      <c r="S996">
        <v>0</v>
      </c>
      <c r="T996">
        <v>0</v>
      </c>
      <c r="U996">
        <v>0</v>
      </c>
      <c r="V996">
        <v>0</v>
      </c>
      <c r="W996">
        <v>32</v>
      </c>
      <c r="X996">
        <v>0</v>
      </c>
      <c r="Y996">
        <v>0</v>
      </c>
      <c r="Z996">
        <v>0</v>
      </c>
      <c r="AB996" s="5">
        <v>43726</v>
      </c>
      <c r="AC996" s="5">
        <v>43727</v>
      </c>
      <c r="AD996" s="5">
        <v>43970.333333333336</v>
      </c>
      <c r="AE996" s="5">
        <v>43970.333333333336</v>
      </c>
      <c r="AG996" s="5">
        <v>44044</v>
      </c>
      <c r="AH996" s="5">
        <v>44044</v>
      </c>
      <c r="AK996" s="5">
        <v>43731.333333333336</v>
      </c>
      <c r="AL996" s="5">
        <v>43734.666666666664</v>
      </c>
      <c r="AP996" t="s">
        <v>418</v>
      </c>
      <c r="AU996" t="s">
        <v>4876</v>
      </c>
      <c r="AV996" t="s">
        <v>4877</v>
      </c>
      <c r="AY996" t="s">
        <v>40</v>
      </c>
      <c r="AZ996">
        <v>0</v>
      </c>
      <c r="BA996">
        <v>0</v>
      </c>
      <c r="BI996" s="5">
        <v>44048.176388888889</v>
      </c>
      <c r="BJ996" s="5">
        <v>44048.176388888889</v>
      </c>
      <c r="BK996" t="s">
        <v>778</v>
      </c>
      <c r="BL996" t="s">
        <v>778</v>
      </c>
      <c r="BN996" t="s">
        <v>37</v>
      </c>
    </row>
    <row r="997" spans="1:66" x14ac:dyDescent="0.2">
      <c r="A997">
        <v>3693554</v>
      </c>
      <c r="B997">
        <v>21883</v>
      </c>
      <c r="C997">
        <v>523870</v>
      </c>
      <c r="D997">
        <v>52899</v>
      </c>
      <c r="E997">
        <v>100</v>
      </c>
      <c r="F997" t="s">
        <v>37</v>
      </c>
      <c r="G997">
        <v>1</v>
      </c>
      <c r="H997" t="s">
        <v>37</v>
      </c>
      <c r="I997" t="s">
        <v>37</v>
      </c>
      <c r="J997" t="s">
        <v>775</v>
      </c>
      <c r="K997" t="s">
        <v>230</v>
      </c>
      <c r="L997" t="s">
        <v>226</v>
      </c>
      <c r="M997" t="s">
        <v>422</v>
      </c>
      <c r="N997" t="s">
        <v>4878</v>
      </c>
      <c r="O997" t="s">
        <v>3379</v>
      </c>
      <c r="S997">
        <v>0</v>
      </c>
      <c r="T997">
        <v>8</v>
      </c>
      <c r="U997">
        <v>0</v>
      </c>
      <c r="V997">
        <v>8</v>
      </c>
      <c r="W997">
        <v>8</v>
      </c>
      <c r="X997">
        <v>0</v>
      </c>
      <c r="Y997">
        <v>0</v>
      </c>
      <c r="Z997">
        <v>0</v>
      </c>
      <c r="AB997" s="5">
        <v>43734</v>
      </c>
      <c r="AC997" s="5">
        <v>43734</v>
      </c>
      <c r="AD997" s="5">
        <v>43970.333333333336</v>
      </c>
      <c r="AE997" s="5">
        <v>43970.333333333336</v>
      </c>
      <c r="AG997" s="5">
        <v>44044</v>
      </c>
      <c r="AH997" s="5">
        <v>44044</v>
      </c>
      <c r="AK997" s="5">
        <v>43738.333333333336</v>
      </c>
      <c r="AL997" s="5">
        <v>43738.666666666664</v>
      </c>
      <c r="AP997" t="s">
        <v>418</v>
      </c>
      <c r="AU997" t="s">
        <v>4879</v>
      </c>
      <c r="AV997" t="s">
        <v>4880</v>
      </c>
      <c r="AY997" t="s">
        <v>40</v>
      </c>
      <c r="AZ997">
        <v>0</v>
      </c>
      <c r="BA997">
        <v>0</v>
      </c>
      <c r="BI997" s="5">
        <v>44048.176388888889</v>
      </c>
      <c r="BJ997" s="5">
        <v>44048.176388888889</v>
      </c>
      <c r="BK997" t="s">
        <v>778</v>
      </c>
      <c r="BL997" t="s">
        <v>778</v>
      </c>
      <c r="BN997" t="s">
        <v>37</v>
      </c>
    </row>
    <row r="998" spans="1:66" x14ac:dyDescent="0.2">
      <c r="A998">
        <v>3693555</v>
      </c>
      <c r="B998">
        <v>21883</v>
      </c>
      <c r="C998">
        <v>523870</v>
      </c>
      <c r="D998">
        <v>52899</v>
      </c>
      <c r="E998">
        <v>100</v>
      </c>
      <c r="F998" t="s">
        <v>37</v>
      </c>
      <c r="G998">
        <v>1</v>
      </c>
      <c r="H998" t="s">
        <v>37</v>
      </c>
      <c r="I998" t="s">
        <v>37</v>
      </c>
      <c r="J998" t="s">
        <v>775</v>
      </c>
      <c r="K998" t="s">
        <v>230</v>
      </c>
      <c r="L998" t="s">
        <v>226</v>
      </c>
      <c r="M998" t="s">
        <v>422</v>
      </c>
      <c r="N998" t="s">
        <v>4881</v>
      </c>
      <c r="O998" t="s">
        <v>3383</v>
      </c>
      <c r="S998">
        <v>0</v>
      </c>
      <c r="T998">
        <v>0</v>
      </c>
      <c r="U998">
        <v>0</v>
      </c>
      <c r="V998">
        <v>0</v>
      </c>
      <c r="W998">
        <v>8</v>
      </c>
      <c r="X998">
        <v>0</v>
      </c>
      <c r="Y998">
        <v>0</v>
      </c>
      <c r="Z998">
        <v>0</v>
      </c>
      <c r="AB998" s="5">
        <v>43739</v>
      </c>
      <c r="AC998" s="5">
        <v>43741</v>
      </c>
      <c r="AD998" s="5">
        <v>43970.333333333336</v>
      </c>
      <c r="AE998" s="5">
        <v>43970.333333333336</v>
      </c>
      <c r="AG998" s="5">
        <v>44044</v>
      </c>
      <c r="AH998" s="5">
        <v>44044</v>
      </c>
      <c r="AK998" s="5">
        <v>43770.333333333336</v>
      </c>
      <c r="AL998" s="5">
        <v>43770.666666666664</v>
      </c>
      <c r="AP998" t="s">
        <v>418</v>
      </c>
      <c r="AU998" t="s">
        <v>4882</v>
      </c>
      <c r="AV998" t="s">
        <v>4883</v>
      </c>
      <c r="AY998" t="s">
        <v>40</v>
      </c>
      <c r="AZ998">
        <v>0</v>
      </c>
      <c r="BA998">
        <v>0</v>
      </c>
      <c r="BI998" s="5">
        <v>44048.176388888889</v>
      </c>
      <c r="BJ998" s="5">
        <v>44048.176388888889</v>
      </c>
      <c r="BK998" t="s">
        <v>778</v>
      </c>
      <c r="BL998" t="s">
        <v>778</v>
      </c>
      <c r="BN998" t="s">
        <v>37</v>
      </c>
    </row>
    <row r="999" spans="1:66" x14ac:dyDescent="0.2">
      <c r="A999">
        <v>3693556</v>
      </c>
      <c r="B999">
        <v>21883</v>
      </c>
      <c r="C999">
        <v>523870</v>
      </c>
      <c r="D999">
        <v>52899</v>
      </c>
      <c r="E999">
        <v>100</v>
      </c>
      <c r="F999" t="s">
        <v>37</v>
      </c>
      <c r="G999">
        <v>1</v>
      </c>
      <c r="H999" t="s">
        <v>37</v>
      </c>
      <c r="I999" t="s">
        <v>37</v>
      </c>
      <c r="J999" t="s">
        <v>775</v>
      </c>
      <c r="K999" t="s">
        <v>230</v>
      </c>
      <c r="L999" t="s">
        <v>226</v>
      </c>
      <c r="M999" t="s">
        <v>422</v>
      </c>
      <c r="N999" t="s">
        <v>4884</v>
      </c>
      <c r="O999" t="s">
        <v>3387</v>
      </c>
      <c r="S999">
        <v>0</v>
      </c>
      <c r="T999">
        <v>8</v>
      </c>
      <c r="U999">
        <v>0</v>
      </c>
      <c r="V999">
        <v>8</v>
      </c>
      <c r="W999">
        <v>8</v>
      </c>
      <c r="X999">
        <v>0</v>
      </c>
      <c r="Y999">
        <v>0</v>
      </c>
      <c r="Z999">
        <v>0</v>
      </c>
      <c r="AB999" s="5">
        <v>43755</v>
      </c>
      <c r="AC999" s="5">
        <v>43755</v>
      </c>
      <c r="AD999" s="5">
        <v>43970.333333333336</v>
      </c>
      <c r="AE999" s="5">
        <v>43970.333333333336</v>
      </c>
      <c r="AG999" s="5">
        <v>44044</v>
      </c>
      <c r="AH999" s="5">
        <v>44044</v>
      </c>
      <c r="AK999" s="5">
        <v>43770.333333333336</v>
      </c>
      <c r="AL999" s="5">
        <v>43770.666666666664</v>
      </c>
      <c r="AP999" t="s">
        <v>418</v>
      </c>
      <c r="AU999" t="s">
        <v>4885</v>
      </c>
      <c r="AV999" t="s">
        <v>4886</v>
      </c>
      <c r="AY999" t="s">
        <v>40</v>
      </c>
      <c r="AZ999">
        <v>0</v>
      </c>
      <c r="BA999">
        <v>0</v>
      </c>
      <c r="BI999" s="5">
        <v>44048.176388888889</v>
      </c>
      <c r="BJ999" s="5">
        <v>44048.176388888889</v>
      </c>
      <c r="BK999" t="s">
        <v>778</v>
      </c>
      <c r="BL999" t="s">
        <v>778</v>
      </c>
      <c r="BN999" t="s">
        <v>37</v>
      </c>
    </row>
    <row r="1000" spans="1:66" x14ac:dyDescent="0.2">
      <c r="A1000">
        <v>3693557</v>
      </c>
      <c r="B1000">
        <v>21883</v>
      </c>
      <c r="C1000">
        <v>523870</v>
      </c>
      <c r="D1000">
        <v>52899</v>
      </c>
      <c r="E1000">
        <v>100</v>
      </c>
      <c r="F1000" t="s">
        <v>37</v>
      </c>
      <c r="G1000">
        <v>1</v>
      </c>
      <c r="H1000" t="s">
        <v>37</v>
      </c>
      <c r="I1000" t="s">
        <v>37</v>
      </c>
      <c r="J1000" t="s">
        <v>775</v>
      </c>
      <c r="K1000" t="s">
        <v>230</v>
      </c>
      <c r="L1000" t="s">
        <v>226</v>
      </c>
      <c r="M1000" t="s">
        <v>422</v>
      </c>
      <c r="N1000" t="s">
        <v>4887</v>
      </c>
      <c r="O1000" t="s">
        <v>4296</v>
      </c>
      <c r="S1000">
        <v>0</v>
      </c>
      <c r="T1000">
        <v>0</v>
      </c>
      <c r="U1000">
        <v>0</v>
      </c>
      <c r="V1000">
        <v>0</v>
      </c>
      <c r="W1000">
        <v>24</v>
      </c>
      <c r="X1000">
        <v>0</v>
      </c>
      <c r="Y1000">
        <v>0</v>
      </c>
      <c r="Z1000">
        <v>0</v>
      </c>
      <c r="AB1000" s="5">
        <v>43683</v>
      </c>
      <c r="AC1000" s="5">
        <v>43683</v>
      </c>
      <c r="AD1000" s="5">
        <v>43970.333333333336</v>
      </c>
      <c r="AE1000" s="5">
        <v>43970.333333333336</v>
      </c>
      <c r="AG1000" s="5">
        <v>44044</v>
      </c>
      <c r="AH1000" s="5">
        <v>44044</v>
      </c>
      <c r="AK1000" s="5">
        <v>43703.333333333336</v>
      </c>
      <c r="AL1000" s="5">
        <v>43705.666666666664</v>
      </c>
      <c r="AP1000" t="s">
        <v>418</v>
      </c>
      <c r="AU1000" t="s">
        <v>4888</v>
      </c>
      <c r="AV1000" t="s">
        <v>4889</v>
      </c>
      <c r="AY1000" t="s">
        <v>40</v>
      </c>
      <c r="AZ1000">
        <v>0</v>
      </c>
      <c r="BA1000">
        <v>0</v>
      </c>
      <c r="BI1000" s="5">
        <v>44048.176388888889</v>
      </c>
      <c r="BJ1000" s="5">
        <v>44048.176388888889</v>
      </c>
      <c r="BK1000" t="s">
        <v>778</v>
      </c>
      <c r="BL1000" t="s">
        <v>778</v>
      </c>
      <c r="BN1000" t="s">
        <v>37</v>
      </c>
    </row>
    <row r="1001" spans="1:66" x14ac:dyDescent="0.2">
      <c r="A1001">
        <v>3693558</v>
      </c>
      <c r="B1001">
        <v>21883</v>
      </c>
      <c r="C1001">
        <v>523870</v>
      </c>
      <c r="D1001">
        <v>52899</v>
      </c>
      <c r="E1001">
        <v>100</v>
      </c>
      <c r="F1001" t="s">
        <v>37</v>
      </c>
      <c r="G1001">
        <v>1</v>
      </c>
      <c r="H1001" t="s">
        <v>37</v>
      </c>
      <c r="I1001" t="s">
        <v>37</v>
      </c>
      <c r="J1001" t="s">
        <v>775</v>
      </c>
      <c r="K1001" t="s">
        <v>230</v>
      </c>
      <c r="L1001" t="s">
        <v>226</v>
      </c>
      <c r="M1001" t="s">
        <v>422</v>
      </c>
      <c r="N1001" t="s">
        <v>4890</v>
      </c>
      <c r="O1001" t="s">
        <v>4300</v>
      </c>
      <c r="S1001">
        <v>0</v>
      </c>
      <c r="T1001">
        <v>16</v>
      </c>
      <c r="U1001">
        <v>0</v>
      </c>
      <c r="V1001">
        <v>16</v>
      </c>
      <c r="W1001">
        <v>16</v>
      </c>
      <c r="X1001">
        <v>0</v>
      </c>
      <c r="Y1001">
        <v>0</v>
      </c>
      <c r="Z1001">
        <v>0</v>
      </c>
      <c r="AB1001" s="5">
        <v>43740</v>
      </c>
      <c r="AC1001" s="5">
        <v>43755</v>
      </c>
      <c r="AD1001" s="5">
        <v>43970.333333333336</v>
      </c>
      <c r="AE1001" s="5">
        <v>43970.333333333336</v>
      </c>
      <c r="AG1001" s="5">
        <v>44044</v>
      </c>
      <c r="AH1001" s="5">
        <v>44044</v>
      </c>
      <c r="AK1001" s="5">
        <v>43770.333333333336</v>
      </c>
      <c r="AL1001" s="5">
        <v>43773.666666666664</v>
      </c>
      <c r="AP1001" t="s">
        <v>418</v>
      </c>
      <c r="AU1001" t="s">
        <v>4891</v>
      </c>
      <c r="AV1001" t="s">
        <v>4892</v>
      </c>
      <c r="AY1001" t="s">
        <v>40</v>
      </c>
      <c r="AZ1001">
        <v>0</v>
      </c>
      <c r="BA1001">
        <v>0</v>
      </c>
      <c r="BI1001" s="5">
        <v>44048.176388888889</v>
      </c>
      <c r="BJ1001" s="5">
        <v>44048.176388888889</v>
      </c>
      <c r="BK1001" t="s">
        <v>778</v>
      </c>
      <c r="BL1001" t="s">
        <v>778</v>
      </c>
      <c r="BN1001" t="s">
        <v>37</v>
      </c>
    </row>
    <row r="1002" spans="1:66" x14ac:dyDescent="0.2">
      <c r="A1002">
        <v>3693559</v>
      </c>
      <c r="B1002">
        <v>21883</v>
      </c>
      <c r="C1002">
        <v>523870</v>
      </c>
      <c r="D1002">
        <v>52896</v>
      </c>
      <c r="E1002">
        <v>100</v>
      </c>
      <c r="F1002" t="s">
        <v>37</v>
      </c>
      <c r="G1002">
        <v>1</v>
      </c>
      <c r="H1002" t="s">
        <v>37</v>
      </c>
      <c r="I1002" t="s">
        <v>37</v>
      </c>
      <c r="J1002" t="s">
        <v>775</v>
      </c>
      <c r="K1002" t="s">
        <v>230</v>
      </c>
      <c r="L1002" t="s">
        <v>226</v>
      </c>
      <c r="M1002" t="s">
        <v>422</v>
      </c>
      <c r="N1002" t="s">
        <v>4893</v>
      </c>
      <c r="O1002" t="s">
        <v>4304</v>
      </c>
      <c r="S1002">
        <v>0</v>
      </c>
      <c r="T1002">
        <v>0</v>
      </c>
      <c r="U1002">
        <v>0</v>
      </c>
      <c r="V1002">
        <v>0</v>
      </c>
      <c r="W1002">
        <v>80</v>
      </c>
      <c r="X1002">
        <v>0</v>
      </c>
      <c r="Y1002">
        <v>0</v>
      </c>
      <c r="Z1002">
        <v>0</v>
      </c>
      <c r="AB1002" s="5">
        <v>43699</v>
      </c>
      <c r="AC1002" s="5">
        <v>43703</v>
      </c>
      <c r="AD1002" s="5">
        <v>43970.333333333336</v>
      </c>
      <c r="AE1002" s="5">
        <v>43970.333333333336</v>
      </c>
      <c r="AG1002" s="5">
        <v>44044</v>
      </c>
      <c r="AH1002" s="5">
        <v>44044</v>
      </c>
      <c r="AK1002" s="5">
        <v>43711.333333333336</v>
      </c>
      <c r="AL1002" s="5">
        <v>43724.666666666664</v>
      </c>
      <c r="AP1002" t="s">
        <v>418</v>
      </c>
      <c r="AU1002" t="s">
        <v>4894</v>
      </c>
      <c r="AV1002" t="s">
        <v>4895</v>
      </c>
      <c r="AY1002" t="s">
        <v>40</v>
      </c>
      <c r="AZ1002">
        <v>0</v>
      </c>
      <c r="BA1002">
        <v>0</v>
      </c>
      <c r="BI1002" s="5">
        <v>44048.176388888889</v>
      </c>
      <c r="BJ1002" s="5">
        <v>44048.176388888889</v>
      </c>
      <c r="BK1002" t="s">
        <v>778</v>
      </c>
      <c r="BL1002" t="s">
        <v>778</v>
      </c>
      <c r="BN1002" t="s">
        <v>37</v>
      </c>
    </row>
    <row r="1003" spans="1:66" x14ac:dyDescent="0.2">
      <c r="A1003">
        <v>3693560</v>
      </c>
      <c r="B1003">
        <v>21883</v>
      </c>
      <c r="C1003">
        <v>523870</v>
      </c>
      <c r="D1003">
        <v>52899</v>
      </c>
      <c r="E1003">
        <v>100</v>
      </c>
      <c r="F1003" t="s">
        <v>37</v>
      </c>
      <c r="G1003">
        <v>1</v>
      </c>
      <c r="H1003" t="s">
        <v>37</v>
      </c>
      <c r="I1003" t="s">
        <v>37</v>
      </c>
      <c r="J1003" t="s">
        <v>775</v>
      </c>
      <c r="K1003" t="s">
        <v>230</v>
      </c>
      <c r="L1003" t="s">
        <v>226</v>
      </c>
      <c r="M1003" t="s">
        <v>422</v>
      </c>
      <c r="N1003" t="s">
        <v>4896</v>
      </c>
      <c r="O1003" t="s">
        <v>4897</v>
      </c>
      <c r="S1003">
        <v>0</v>
      </c>
      <c r="T1003">
        <v>8</v>
      </c>
      <c r="U1003">
        <v>0</v>
      </c>
      <c r="V1003">
        <v>8</v>
      </c>
      <c r="W1003">
        <v>8</v>
      </c>
      <c r="X1003">
        <v>0</v>
      </c>
      <c r="Y1003">
        <v>0</v>
      </c>
      <c r="Z1003">
        <v>0</v>
      </c>
      <c r="AB1003" s="5">
        <v>43764</v>
      </c>
      <c r="AC1003" s="5">
        <v>43764</v>
      </c>
      <c r="AD1003" s="5">
        <v>43970.333333333336</v>
      </c>
      <c r="AE1003" s="5">
        <v>43970.333333333336</v>
      </c>
      <c r="AG1003" s="5">
        <v>44044</v>
      </c>
      <c r="AH1003" s="5">
        <v>44044</v>
      </c>
      <c r="AK1003" s="5">
        <v>43770.333333333336</v>
      </c>
      <c r="AL1003" s="5">
        <v>43770.666666666664</v>
      </c>
      <c r="AP1003" t="s">
        <v>418</v>
      </c>
      <c r="AU1003" t="s">
        <v>4898</v>
      </c>
      <c r="AV1003" t="s">
        <v>4899</v>
      </c>
      <c r="AY1003" t="s">
        <v>40</v>
      </c>
      <c r="AZ1003">
        <v>0</v>
      </c>
      <c r="BA1003">
        <v>0</v>
      </c>
      <c r="BI1003" s="5">
        <v>44048.176388888889</v>
      </c>
      <c r="BJ1003" s="5">
        <v>44048.176388888889</v>
      </c>
      <c r="BK1003" t="s">
        <v>778</v>
      </c>
      <c r="BL1003" t="s">
        <v>778</v>
      </c>
      <c r="BN1003" t="s">
        <v>37</v>
      </c>
    </row>
    <row r="1004" spans="1:66" x14ac:dyDescent="0.2">
      <c r="A1004">
        <v>3693561</v>
      </c>
      <c r="B1004">
        <v>21883</v>
      </c>
      <c r="C1004">
        <v>523870</v>
      </c>
      <c r="D1004">
        <v>52899</v>
      </c>
      <c r="E1004">
        <v>100</v>
      </c>
      <c r="F1004" t="s">
        <v>37</v>
      </c>
      <c r="G1004">
        <v>1</v>
      </c>
      <c r="H1004" t="s">
        <v>37</v>
      </c>
      <c r="I1004" t="s">
        <v>37</v>
      </c>
      <c r="J1004" t="s">
        <v>775</v>
      </c>
      <c r="K1004" t="s">
        <v>230</v>
      </c>
      <c r="L1004" t="s">
        <v>226</v>
      </c>
      <c r="M1004" t="s">
        <v>422</v>
      </c>
      <c r="N1004" t="s">
        <v>4900</v>
      </c>
      <c r="O1004" t="s">
        <v>4312</v>
      </c>
      <c r="S1004">
        <v>0</v>
      </c>
      <c r="T1004">
        <v>8</v>
      </c>
      <c r="U1004">
        <v>0</v>
      </c>
      <c r="V1004">
        <v>8</v>
      </c>
      <c r="W1004">
        <v>8</v>
      </c>
      <c r="X1004">
        <v>0</v>
      </c>
      <c r="Y1004">
        <v>0</v>
      </c>
      <c r="Z1004">
        <v>0</v>
      </c>
      <c r="AB1004" s="5">
        <v>43738</v>
      </c>
      <c r="AC1004" s="5">
        <v>43738</v>
      </c>
      <c r="AD1004" s="5">
        <v>43970.333333333336</v>
      </c>
      <c r="AE1004" s="5">
        <v>43970.333333333336</v>
      </c>
      <c r="AG1004" s="5">
        <v>44044</v>
      </c>
      <c r="AH1004" s="5">
        <v>44044</v>
      </c>
      <c r="AK1004" s="5">
        <v>43739.333333333336</v>
      </c>
      <c r="AL1004" s="5">
        <v>43739.666666666664</v>
      </c>
      <c r="AP1004" t="s">
        <v>418</v>
      </c>
      <c r="AU1004" t="s">
        <v>4901</v>
      </c>
      <c r="AV1004" t="s">
        <v>4902</v>
      </c>
      <c r="AY1004" t="s">
        <v>40</v>
      </c>
      <c r="AZ1004">
        <v>0</v>
      </c>
      <c r="BA1004">
        <v>0</v>
      </c>
      <c r="BI1004" s="5">
        <v>44048.176388888889</v>
      </c>
      <c r="BJ1004" s="5">
        <v>44048.176388888889</v>
      </c>
      <c r="BK1004" t="s">
        <v>778</v>
      </c>
      <c r="BL1004" t="s">
        <v>778</v>
      </c>
      <c r="BN1004" t="s">
        <v>37</v>
      </c>
    </row>
    <row r="1005" spans="1:66" x14ac:dyDescent="0.2">
      <c r="A1005">
        <v>3693562</v>
      </c>
      <c r="B1005">
        <v>21883</v>
      </c>
      <c r="C1005">
        <v>523869</v>
      </c>
      <c r="D1005">
        <v>52899</v>
      </c>
      <c r="E1005">
        <v>100</v>
      </c>
      <c r="F1005" t="s">
        <v>37</v>
      </c>
      <c r="G1005">
        <v>1</v>
      </c>
      <c r="H1005" t="s">
        <v>37</v>
      </c>
      <c r="I1005" t="s">
        <v>37</v>
      </c>
      <c r="J1005" t="s">
        <v>775</v>
      </c>
      <c r="K1005" t="s">
        <v>230</v>
      </c>
      <c r="L1005" t="s">
        <v>226</v>
      </c>
      <c r="M1005" t="s">
        <v>422</v>
      </c>
      <c r="N1005" t="s">
        <v>4903</v>
      </c>
      <c r="O1005" t="s">
        <v>2474</v>
      </c>
      <c r="S1005">
        <v>0</v>
      </c>
      <c r="T1005">
        <v>64</v>
      </c>
      <c r="U1005">
        <v>0</v>
      </c>
      <c r="V1005">
        <v>64</v>
      </c>
      <c r="W1005">
        <v>128</v>
      </c>
      <c r="X1005">
        <v>0</v>
      </c>
      <c r="Y1005">
        <v>0</v>
      </c>
      <c r="Z1005">
        <v>0</v>
      </c>
      <c r="AB1005" s="5">
        <v>43724</v>
      </c>
      <c r="AC1005" s="5">
        <v>43739</v>
      </c>
      <c r="AD1005" s="5">
        <v>43970.333333333336</v>
      </c>
      <c r="AE1005" s="5">
        <v>43970.333333333336</v>
      </c>
      <c r="AG1005" s="5">
        <v>44044</v>
      </c>
      <c r="AH1005" s="5">
        <v>44044</v>
      </c>
      <c r="AK1005" s="5">
        <v>43731.333333333336</v>
      </c>
      <c r="AL1005" s="5">
        <v>43752.666666666664</v>
      </c>
      <c r="AP1005" t="s">
        <v>418</v>
      </c>
      <c r="AU1005" t="s">
        <v>4904</v>
      </c>
      <c r="AV1005" t="s">
        <v>4905</v>
      </c>
      <c r="AY1005" t="s">
        <v>40</v>
      </c>
      <c r="AZ1005">
        <v>0</v>
      </c>
      <c r="BA1005">
        <v>0</v>
      </c>
      <c r="BI1005" s="5">
        <v>44048.176388888889</v>
      </c>
      <c r="BJ1005" s="5">
        <v>44048.176388888889</v>
      </c>
      <c r="BK1005" t="s">
        <v>778</v>
      </c>
      <c r="BL1005" t="s">
        <v>778</v>
      </c>
      <c r="BN1005" t="s">
        <v>37</v>
      </c>
    </row>
    <row r="1006" spans="1:66" x14ac:dyDescent="0.2">
      <c r="A1006">
        <v>3693563</v>
      </c>
      <c r="B1006">
        <v>21883</v>
      </c>
      <c r="C1006">
        <v>523869</v>
      </c>
      <c r="D1006">
        <v>52899</v>
      </c>
      <c r="E1006">
        <v>100</v>
      </c>
      <c r="F1006" t="s">
        <v>37</v>
      </c>
      <c r="G1006">
        <v>1</v>
      </c>
      <c r="H1006" t="s">
        <v>37</v>
      </c>
      <c r="I1006" t="s">
        <v>37</v>
      </c>
      <c r="J1006" t="s">
        <v>775</v>
      </c>
      <c r="K1006" t="s">
        <v>230</v>
      </c>
      <c r="L1006" t="s">
        <v>226</v>
      </c>
      <c r="M1006" t="s">
        <v>422</v>
      </c>
      <c r="N1006" t="s">
        <v>4906</v>
      </c>
      <c r="O1006" t="s">
        <v>2478</v>
      </c>
      <c r="S1006">
        <v>0</v>
      </c>
      <c r="T1006">
        <v>16</v>
      </c>
      <c r="U1006">
        <v>0</v>
      </c>
      <c r="V1006">
        <v>16</v>
      </c>
      <c r="W1006">
        <v>16</v>
      </c>
      <c r="X1006">
        <v>0</v>
      </c>
      <c r="Y1006">
        <v>0</v>
      </c>
      <c r="Z1006">
        <v>0</v>
      </c>
      <c r="AB1006" s="5">
        <v>43776</v>
      </c>
      <c r="AC1006" s="5">
        <v>43776</v>
      </c>
      <c r="AD1006" s="5">
        <v>43970.333333333336</v>
      </c>
      <c r="AE1006" s="5">
        <v>43970.333333333336</v>
      </c>
      <c r="AG1006" s="5">
        <v>44044</v>
      </c>
      <c r="AH1006" s="5">
        <v>44044</v>
      </c>
      <c r="AK1006" s="5">
        <v>43770.333333333336</v>
      </c>
      <c r="AL1006" s="5">
        <v>43773.666666666664</v>
      </c>
      <c r="AP1006" t="s">
        <v>418</v>
      </c>
      <c r="AU1006" t="s">
        <v>4907</v>
      </c>
      <c r="AV1006" t="s">
        <v>4908</v>
      </c>
      <c r="AY1006" t="s">
        <v>40</v>
      </c>
      <c r="AZ1006">
        <v>0</v>
      </c>
      <c r="BA1006">
        <v>0</v>
      </c>
      <c r="BI1006" s="5">
        <v>44048.176388888889</v>
      </c>
      <c r="BJ1006" s="5">
        <v>44048.176388888889</v>
      </c>
      <c r="BK1006" t="s">
        <v>778</v>
      </c>
      <c r="BL1006" t="s">
        <v>778</v>
      </c>
      <c r="BN1006" t="s">
        <v>37</v>
      </c>
    </row>
    <row r="1007" spans="1:66" x14ac:dyDescent="0.2">
      <c r="A1007">
        <v>3693564</v>
      </c>
      <c r="B1007">
        <v>21883</v>
      </c>
      <c r="C1007">
        <v>523869</v>
      </c>
      <c r="D1007">
        <v>52895</v>
      </c>
      <c r="E1007">
        <v>100</v>
      </c>
      <c r="F1007" t="s">
        <v>37</v>
      </c>
      <c r="G1007">
        <v>1</v>
      </c>
      <c r="H1007" t="s">
        <v>37</v>
      </c>
      <c r="I1007" t="s">
        <v>37</v>
      </c>
      <c r="J1007" t="s">
        <v>775</v>
      </c>
      <c r="K1007" t="s">
        <v>230</v>
      </c>
      <c r="L1007" t="s">
        <v>226</v>
      </c>
      <c r="M1007" t="s">
        <v>422</v>
      </c>
      <c r="N1007" t="s">
        <v>4909</v>
      </c>
      <c r="O1007" t="s">
        <v>4910</v>
      </c>
      <c r="S1007">
        <v>0</v>
      </c>
      <c r="T1007">
        <v>0</v>
      </c>
      <c r="U1007">
        <v>0</v>
      </c>
      <c r="V1007">
        <v>0</v>
      </c>
      <c r="W1007">
        <v>24</v>
      </c>
      <c r="X1007">
        <v>0</v>
      </c>
      <c r="Y1007">
        <v>0</v>
      </c>
      <c r="Z1007">
        <v>0</v>
      </c>
      <c r="AB1007" s="5">
        <v>43783</v>
      </c>
      <c r="AC1007" s="5">
        <v>43785</v>
      </c>
      <c r="AD1007" s="5">
        <v>43970.333333333336</v>
      </c>
      <c r="AE1007" s="5">
        <v>43970.333333333336</v>
      </c>
      <c r="AG1007" s="5">
        <v>44044</v>
      </c>
      <c r="AH1007" s="5">
        <v>44044</v>
      </c>
      <c r="AK1007" s="5">
        <v>43800.333333333336</v>
      </c>
      <c r="AL1007" s="5">
        <v>43802.666666666664</v>
      </c>
      <c r="AP1007" t="s">
        <v>418</v>
      </c>
      <c r="AU1007" t="s">
        <v>4911</v>
      </c>
      <c r="AV1007" t="s">
        <v>4912</v>
      </c>
      <c r="AY1007" t="s">
        <v>40</v>
      </c>
      <c r="AZ1007">
        <v>0</v>
      </c>
      <c r="BA1007">
        <v>0</v>
      </c>
      <c r="BI1007" s="5">
        <v>44048.176388888889</v>
      </c>
      <c r="BJ1007" s="5">
        <v>44048.176388888889</v>
      </c>
      <c r="BK1007" t="s">
        <v>778</v>
      </c>
      <c r="BL1007" t="s">
        <v>778</v>
      </c>
      <c r="BN1007" t="s">
        <v>37</v>
      </c>
    </row>
    <row r="1008" spans="1:66" x14ac:dyDescent="0.2">
      <c r="A1008">
        <v>3693565</v>
      </c>
      <c r="B1008">
        <v>21883</v>
      </c>
      <c r="C1008">
        <v>523869</v>
      </c>
      <c r="D1008">
        <v>52899</v>
      </c>
      <c r="E1008">
        <v>100</v>
      </c>
      <c r="F1008" t="s">
        <v>37</v>
      </c>
      <c r="G1008">
        <v>1</v>
      </c>
      <c r="H1008" t="s">
        <v>37</v>
      </c>
      <c r="I1008" t="s">
        <v>37</v>
      </c>
      <c r="J1008" t="s">
        <v>775</v>
      </c>
      <c r="K1008" t="s">
        <v>230</v>
      </c>
      <c r="L1008" t="s">
        <v>226</v>
      </c>
      <c r="M1008" t="s">
        <v>422</v>
      </c>
      <c r="N1008" t="s">
        <v>4913</v>
      </c>
      <c r="O1008" t="s">
        <v>2486</v>
      </c>
      <c r="S1008">
        <v>0</v>
      </c>
      <c r="T1008">
        <v>16</v>
      </c>
      <c r="U1008">
        <v>0</v>
      </c>
      <c r="V1008">
        <v>16</v>
      </c>
      <c r="W1008">
        <v>16</v>
      </c>
      <c r="X1008">
        <v>0</v>
      </c>
      <c r="Y1008">
        <v>0</v>
      </c>
      <c r="Z1008">
        <v>0</v>
      </c>
      <c r="AB1008" s="5">
        <v>43782</v>
      </c>
      <c r="AC1008" s="5">
        <v>43783</v>
      </c>
      <c r="AD1008" s="5">
        <v>43970.333333333336</v>
      </c>
      <c r="AE1008" s="5">
        <v>43970.333333333336</v>
      </c>
      <c r="AG1008" s="5">
        <v>44044</v>
      </c>
      <c r="AH1008" s="5">
        <v>44044</v>
      </c>
      <c r="AK1008" s="5">
        <v>43770.333333333336</v>
      </c>
      <c r="AL1008" s="5">
        <v>43773.666666666664</v>
      </c>
      <c r="AP1008" t="s">
        <v>418</v>
      </c>
      <c r="AU1008" t="s">
        <v>4914</v>
      </c>
      <c r="AV1008" t="s">
        <v>4915</v>
      </c>
      <c r="AY1008" t="s">
        <v>40</v>
      </c>
      <c r="AZ1008">
        <v>0</v>
      </c>
      <c r="BA1008">
        <v>0</v>
      </c>
      <c r="BI1008" s="5">
        <v>44048.176388888889</v>
      </c>
      <c r="BJ1008" s="5">
        <v>44048.176388888889</v>
      </c>
      <c r="BK1008" t="s">
        <v>778</v>
      </c>
      <c r="BL1008" t="s">
        <v>778</v>
      </c>
      <c r="BN1008" t="s">
        <v>37</v>
      </c>
    </row>
    <row r="1009" spans="1:66" x14ac:dyDescent="0.2">
      <c r="A1009">
        <v>3693566</v>
      </c>
      <c r="B1009">
        <v>21883</v>
      </c>
      <c r="C1009">
        <v>523869</v>
      </c>
      <c r="D1009">
        <v>52895</v>
      </c>
      <c r="E1009">
        <v>100</v>
      </c>
      <c r="F1009" t="s">
        <v>37</v>
      </c>
      <c r="G1009">
        <v>1</v>
      </c>
      <c r="H1009" t="s">
        <v>37</v>
      </c>
      <c r="I1009" t="s">
        <v>37</v>
      </c>
      <c r="J1009" t="s">
        <v>775</v>
      </c>
      <c r="K1009" t="s">
        <v>230</v>
      </c>
      <c r="L1009" t="s">
        <v>226</v>
      </c>
      <c r="M1009" t="s">
        <v>422</v>
      </c>
      <c r="N1009" t="s">
        <v>4916</v>
      </c>
      <c r="O1009" t="s">
        <v>2489</v>
      </c>
      <c r="S1009">
        <v>0</v>
      </c>
      <c r="T1009">
        <v>0</v>
      </c>
      <c r="U1009">
        <v>0</v>
      </c>
      <c r="V1009">
        <v>0</v>
      </c>
      <c r="W1009">
        <v>16</v>
      </c>
      <c r="X1009">
        <v>0</v>
      </c>
      <c r="Y1009">
        <v>0</v>
      </c>
      <c r="Z1009">
        <v>0</v>
      </c>
      <c r="AB1009" s="5">
        <v>43780</v>
      </c>
      <c r="AC1009" s="5">
        <v>43783</v>
      </c>
      <c r="AD1009" s="5">
        <v>43970.333333333336</v>
      </c>
      <c r="AE1009" s="5">
        <v>43970.333333333336</v>
      </c>
      <c r="AG1009" s="5">
        <v>44044</v>
      </c>
      <c r="AH1009" s="5">
        <v>44044</v>
      </c>
      <c r="AK1009" s="5">
        <v>43770.333333333336</v>
      </c>
      <c r="AL1009" s="5">
        <v>43771.666666666664</v>
      </c>
      <c r="AP1009" t="s">
        <v>418</v>
      </c>
      <c r="AU1009" t="s">
        <v>4917</v>
      </c>
      <c r="AV1009" t="s">
        <v>4918</v>
      </c>
      <c r="AY1009" t="s">
        <v>40</v>
      </c>
      <c r="AZ1009">
        <v>0</v>
      </c>
      <c r="BA1009">
        <v>0</v>
      </c>
      <c r="BI1009" s="5">
        <v>44048.176388888889</v>
      </c>
      <c r="BJ1009" s="5">
        <v>44048.176388888889</v>
      </c>
      <c r="BK1009" t="s">
        <v>778</v>
      </c>
      <c r="BL1009" t="s">
        <v>778</v>
      </c>
      <c r="BN1009" t="s">
        <v>37</v>
      </c>
    </row>
    <row r="1010" spans="1:66" x14ac:dyDescent="0.2">
      <c r="A1010">
        <v>3693567</v>
      </c>
      <c r="B1010">
        <v>21883</v>
      </c>
      <c r="C1010">
        <v>523869</v>
      </c>
      <c r="D1010">
        <v>52899</v>
      </c>
      <c r="E1010">
        <v>100</v>
      </c>
      <c r="F1010" t="s">
        <v>37</v>
      </c>
      <c r="G1010">
        <v>1</v>
      </c>
      <c r="H1010" t="s">
        <v>37</v>
      </c>
      <c r="I1010" t="s">
        <v>37</v>
      </c>
      <c r="J1010" t="s">
        <v>775</v>
      </c>
      <c r="K1010" t="s">
        <v>230</v>
      </c>
      <c r="L1010" t="s">
        <v>226</v>
      </c>
      <c r="M1010" t="s">
        <v>422</v>
      </c>
      <c r="N1010" t="s">
        <v>4919</v>
      </c>
      <c r="O1010" t="s">
        <v>3359</v>
      </c>
      <c r="S1010">
        <v>0</v>
      </c>
      <c r="T1010">
        <v>0</v>
      </c>
      <c r="U1010">
        <v>0</v>
      </c>
      <c r="V1010">
        <v>0</v>
      </c>
      <c r="W1010">
        <v>16</v>
      </c>
      <c r="X1010">
        <v>0</v>
      </c>
      <c r="Y1010">
        <v>0</v>
      </c>
      <c r="Z1010">
        <v>0</v>
      </c>
      <c r="AB1010" s="5">
        <v>43775</v>
      </c>
      <c r="AC1010" s="5">
        <v>43775</v>
      </c>
      <c r="AD1010" s="5">
        <v>43970.333333333336</v>
      </c>
      <c r="AE1010" s="5">
        <v>43970.333333333336</v>
      </c>
      <c r="AG1010" s="5">
        <v>44044</v>
      </c>
      <c r="AH1010" s="5">
        <v>44044</v>
      </c>
      <c r="AK1010" s="5">
        <v>43770.333333333336</v>
      </c>
      <c r="AL1010" s="5">
        <v>43773.666666666664</v>
      </c>
      <c r="AP1010" t="s">
        <v>418</v>
      </c>
      <c r="AU1010" t="s">
        <v>4920</v>
      </c>
      <c r="AV1010" t="s">
        <v>4921</v>
      </c>
      <c r="AY1010" t="s">
        <v>40</v>
      </c>
      <c r="AZ1010">
        <v>0</v>
      </c>
      <c r="BA1010">
        <v>0</v>
      </c>
      <c r="BI1010" s="5">
        <v>44048.176388888889</v>
      </c>
      <c r="BJ1010" s="5">
        <v>44048.176388888889</v>
      </c>
      <c r="BK1010" t="s">
        <v>778</v>
      </c>
      <c r="BL1010" t="s">
        <v>778</v>
      </c>
      <c r="BN1010" t="s">
        <v>37</v>
      </c>
    </row>
    <row r="1011" spans="1:66" x14ac:dyDescent="0.2">
      <c r="A1011">
        <v>3693568</v>
      </c>
      <c r="B1011">
        <v>21883</v>
      </c>
      <c r="C1011">
        <v>523869</v>
      </c>
      <c r="D1011">
        <v>52899</v>
      </c>
      <c r="E1011">
        <v>100</v>
      </c>
      <c r="F1011" t="s">
        <v>37</v>
      </c>
      <c r="G1011">
        <v>1</v>
      </c>
      <c r="H1011" t="s">
        <v>37</v>
      </c>
      <c r="I1011" t="s">
        <v>37</v>
      </c>
      <c r="J1011" t="s">
        <v>775</v>
      </c>
      <c r="K1011" t="s">
        <v>230</v>
      </c>
      <c r="L1011" t="s">
        <v>226</v>
      </c>
      <c r="M1011" t="s">
        <v>422</v>
      </c>
      <c r="N1011" t="s">
        <v>4922</v>
      </c>
      <c r="O1011" t="s">
        <v>3363</v>
      </c>
      <c r="S1011">
        <v>0</v>
      </c>
      <c r="T1011">
        <v>8</v>
      </c>
      <c r="U1011">
        <v>0</v>
      </c>
      <c r="V1011">
        <v>8</v>
      </c>
      <c r="W1011">
        <v>8</v>
      </c>
      <c r="X1011">
        <v>0</v>
      </c>
      <c r="Y1011">
        <v>0</v>
      </c>
      <c r="Z1011">
        <v>0</v>
      </c>
      <c r="AB1011" s="5">
        <v>43777</v>
      </c>
      <c r="AC1011" s="5">
        <v>43777</v>
      </c>
      <c r="AD1011" s="5">
        <v>43970.333333333336</v>
      </c>
      <c r="AE1011" s="5">
        <v>43970.333333333336</v>
      </c>
      <c r="AG1011" s="5">
        <v>44044</v>
      </c>
      <c r="AH1011" s="5">
        <v>44044</v>
      </c>
      <c r="AK1011" s="5">
        <v>43770.333333333336</v>
      </c>
      <c r="AL1011" s="5">
        <v>43770.666666666664</v>
      </c>
      <c r="AP1011" t="s">
        <v>418</v>
      </c>
      <c r="AU1011" t="s">
        <v>4923</v>
      </c>
      <c r="AV1011" t="s">
        <v>4924</v>
      </c>
      <c r="AY1011" t="s">
        <v>40</v>
      </c>
      <c r="AZ1011">
        <v>0</v>
      </c>
      <c r="BA1011">
        <v>0</v>
      </c>
      <c r="BI1011" s="5">
        <v>44048.176388888889</v>
      </c>
      <c r="BJ1011" s="5">
        <v>44048.176388888889</v>
      </c>
      <c r="BK1011" t="s">
        <v>778</v>
      </c>
      <c r="BL1011" t="s">
        <v>778</v>
      </c>
      <c r="BN1011" t="s">
        <v>37</v>
      </c>
    </row>
    <row r="1012" spans="1:66" x14ac:dyDescent="0.2">
      <c r="A1012">
        <v>3693569</v>
      </c>
      <c r="B1012">
        <v>21883</v>
      </c>
      <c r="C1012">
        <v>523869</v>
      </c>
      <c r="D1012">
        <v>52899</v>
      </c>
      <c r="E1012">
        <v>100</v>
      </c>
      <c r="F1012" t="s">
        <v>37</v>
      </c>
      <c r="G1012">
        <v>1</v>
      </c>
      <c r="H1012" t="s">
        <v>37</v>
      </c>
      <c r="I1012" t="s">
        <v>37</v>
      </c>
      <c r="J1012" t="s">
        <v>775</v>
      </c>
      <c r="K1012" t="s">
        <v>230</v>
      </c>
      <c r="L1012" t="s">
        <v>226</v>
      </c>
      <c r="M1012" t="s">
        <v>422</v>
      </c>
      <c r="N1012" t="s">
        <v>4925</v>
      </c>
      <c r="O1012" t="s">
        <v>3367</v>
      </c>
      <c r="S1012">
        <v>0</v>
      </c>
      <c r="T1012">
        <v>0</v>
      </c>
      <c r="U1012">
        <v>0</v>
      </c>
      <c r="V1012">
        <v>0</v>
      </c>
      <c r="W1012">
        <v>8</v>
      </c>
      <c r="X1012">
        <v>0</v>
      </c>
      <c r="Y1012">
        <v>0</v>
      </c>
      <c r="Z1012">
        <v>0</v>
      </c>
      <c r="AB1012" s="5">
        <v>43782</v>
      </c>
      <c r="AC1012" s="5">
        <v>43782</v>
      </c>
      <c r="AD1012" s="5">
        <v>43970.333333333336</v>
      </c>
      <c r="AE1012" s="5">
        <v>43970.333333333336</v>
      </c>
      <c r="AG1012" s="5">
        <v>44044</v>
      </c>
      <c r="AH1012" s="5">
        <v>44044</v>
      </c>
      <c r="AK1012" s="5">
        <v>43770.333333333336</v>
      </c>
      <c r="AL1012" s="5">
        <v>43770.666666666664</v>
      </c>
      <c r="AP1012" t="s">
        <v>418</v>
      </c>
      <c r="AU1012" t="s">
        <v>4926</v>
      </c>
      <c r="AV1012" t="s">
        <v>4927</v>
      </c>
      <c r="AY1012" t="s">
        <v>40</v>
      </c>
      <c r="AZ1012">
        <v>0</v>
      </c>
      <c r="BA1012">
        <v>0</v>
      </c>
      <c r="BI1012" s="5">
        <v>44048.176388888889</v>
      </c>
      <c r="BJ1012" s="5">
        <v>44048.176388888889</v>
      </c>
      <c r="BK1012" t="s">
        <v>778</v>
      </c>
      <c r="BL1012" t="s">
        <v>778</v>
      </c>
      <c r="BN1012" t="s">
        <v>37</v>
      </c>
    </row>
    <row r="1013" spans="1:66" x14ac:dyDescent="0.2">
      <c r="A1013">
        <v>3693570</v>
      </c>
      <c r="B1013">
        <v>21883</v>
      </c>
      <c r="C1013">
        <v>523869</v>
      </c>
      <c r="D1013">
        <v>52899</v>
      </c>
      <c r="E1013">
        <v>100</v>
      </c>
      <c r="F1013" t="s">
        <v>37</v>
      </c>
      <c r="G1013">
        <v>1</v>
      </c>
      <c r="H1013" t="s">
        <v>37</v>
      </c>
      <c r="I1013" t="s">
        <v>37</v>
      </c>
      <c r="J1013" t="s">
        <v>775</v>
      </c>
      <c r="K1013" t="s">
        <v>230</v>
      </c>
      <c r="L1013" t="s">
        <v>226</v>
      </c>
      <c r="M1013" t="s">
        <v>422</v>
      </c>
      <c r="N1013" t="s">
        <v>4928</v>
      </c>
      <c r="O1013" t="s">
        <v>3371</v>
      </c>
      <c r="S1013">
        <v>0</v>
      </c>
      <c r="T1013">
        <v>8</v>
      </c>
      <c r="U1013">
        <v>0</v>
      </c>
      <c r="V1013">
        <v>8</v>
      </c>
      <c r="W1013">
        <v>8</v>
      </c>
      <c r="X1013">
        <v>0</v>
      </c>
      <c r="Y1013">
        <v>0</v>
      </c>
      <c r="Z1013">
        <v>0</v>
      </c>
      <c r="AB1013" s="5">
        <v>43783</v>
      </c>
      <c r="AC1013" s="5">
        <v>43783</v>
      </c>
      <c r="AD1013" s="5">
        <v>43970.333333333336</v>
      </c>
      <c r="AE1013" s="5">
        <v>43970.333333333336</v>
      </c>
      <c r="AG1013" s="5">
        <v>44044</v>
      </c>
      <c r="AH1013" s="5">
        <v>44044</v>
      </c>
      <c r="AK1013" s="5">
        <v>43802.333333333336</v>
      </c>
      <c r="AL1013" s="5">
        <v>43802.666666666664</v>
      </c>
      <c r="AP1013" t="s">
        <v>418</v>
      </c>
      <c r="AU1013" t="s">
        <v>4929</v>
      </c>
      <c r="AV1013" t="s">
        <v>4930</v>
      </c>
      <c r="AY1013" t="s">
        <v>40</v>
      </c>
      <c r="AZ1013">
        <v>0</v>
      </c>
      <c r="BA1013">
        <v>0</v>
      </c>
      <c r="BI1013" s="5">
        <v>44048.176388888889</v>
      </c>
      <c r="BJ1013" s="5">
        <v>44048.176388888889</v>
      </c>
      <c r="BK1013" t="s">
        <v>778</v>
      </c>
      <c r="BL1013" t="s">
        <v>778</v>
      </c>
      <c r="BN1013" t="s">
        <v>37</v>
      </c>
    </row>
    <row r="1014" spans="1:66" x14ac:dyDescent="0.2">
      <c r="A1014">
        <v>3693571</v>
      </c>
      <c r="B1014">
        <v>21883</v>
      </c>
      <c r="C1014">
        <v>523869</v>
      </c>
      <c r="D1014">
        <v>52899</v>
      </c>
      <c r="E1014">
        <v>100</v>
      </c>
      <c r="F1014" t="s">
        <v>37</v>
      </c>
      <c r="G1014">
        <v>1</v>
      </c>
      <c r="H1014" t="s">
        <v>37</v>
      </c>
      <c r="I1014" t="s">
        <v>37</v>
      </c>
      <c r="J1014" t="s">
        <v>775</v>
      </c>
      <c r="K1014" t="s">
        <v>230</v>
      </c>
      <c r="L1014" t="s">
        <v>226</v>
      </c>
      <c r="M1014" t="s">
        <v>422</v>
      </c>
      <c r="N1014" t="s">
        <v>4931</v>
      </c>
      <c r="O1014" t="s">
        <v>4316</v>
      </c>
      <c r="S1014">
        <v>0</v>
      </c>
      <c r="T1014">
        <v>0</v>
      </c>
      <c r="U1014">
        <v>0</v>
      </c>
      <c r="V1014">
        <v>0</v>
      </c>
      <c r="W1014">
        <v>40</v>
      </c>
      <c r="X1014">
        <v>0</v>
      </c>
      <c r="Y1014">
        <v>0</v>
      </c>
      <c r="Z1014">
        <v>0</v>
      </c>
      <c r="AB1014" s="5">
        <v>43699</v>
      </c>
      <c r="AC1014" s="5">
        <v>43718</v>
      </c>
      <c r="AD1014" s="5">
        <v>43970.333333333336</v>
      </c>
      <c r="AE1014" s="5">
        <v>43970.333333333336</v>
      </c>
      <c r="AG1014" s="5">
        <v>44044</v>
      </c>
      <c r="AH1014" s="5">
        <v>44044</v>
      </c>
      <c r="AK1014" s="5">
        <v>43719.333333333336</v>
      </c>
      <c r="AL1014" s="5">
        <v>43726.666666666664</v>
      </c>
      <c r="AP1014" t="s">
        <v>418</v>
      </c>
      <c r="AU1014" t="s">
        <v>4932</v>
      </c>
      <c r="AV1014" t="s">
        <v>4933</v>
      </c>
      <c r="AY1014" t="s">
        <v>40</v>
      </c>
      <c r="AZ1014">
        <v>0</v>
      </c>
      <c r="BA1014">
        <v>0</v>
      </c>
      <c r="BI1014" s="5">
        <v>44048.176388888889</v>
      </c>
      <c r="BJ1014" s="5">
        <v>44048.176388888889</v>
      </c>
      <c r="BK1014" t="s">
        <v>778</v>
      </c>
      <c r="BL1014" t="s">
        <v>778</v>
      </c>
      <c r="BN1014" t="s">
        <v>37</v>
      </c>
    </row>
    <row r="1015" spans="1:66" x14ac:dyDescent="0.2">
      <c r="A1015">
        <v>3693572</v>
      </c>
      <c r="B1015">
        <v>21883</v>
      </c>
      <c r="C1015">
        <v>523869</v>
      </c>
      <c r="D1015">
        <v>52896</v>
      </c>
      <c r="E1015">
        <v>100</v>
      </c>
      <c r="F1015" t="s">
        <v>37</v>
      </c>
      <c r="G1015">
        <v>1</v>
      </c>
      <c r="H1015" t="s">
        <v>37</v>
      </c>
      <c r="I1015" t="s">
        <v>37</v>
      </c>
      <c r="J1015" t="s">
        <v>775</v>
      </c>
      <c r="K1015" t="s">
        <v>230</v>
      </c>
      <c r="L1015" t="s">
        <v>226</v>
      </c>
      <c r="M1015" t="s">
        <v>422</v>
      </c>
      <c r="N1015" t="s">
        <v>4934</v>
      </c>
      <c r="O1015" t="s">
        <v>4320</v>
      </c>
      <c r="S1015">
        <v>0</v>
      </c>
      <c r="T1015">
        <v>0</v>
      </c>
      <c r="U1015">
        <v>0</v>
      </c>
      <c r="V1015">
        <v>0</v>
      </c>
      <c r="W1015">
        <v>80</v>
      </c>
      <c r="X1015">
        <v>0</v>
      </c>
      <c r="Y1015">
        <v>0</v>
      </c>
      <c r="Z1015">
        <v>0</v>
      </c>
      <c r="AB1015" s="5">
        <v>43741</v>
      </c>
      <c r="AC1015" s="5">
        <v>43748</v>
      </c>
      <c r="AD1015" s="5">
        <v>43970.333333333336</v>
      </c>
      <c r="AE1015" s="5">
        <v>43970.333333333336</v>
      </c>
      <c r="AG1015" s="5">
        <v>44044</v>
      </c>
      <c r="AH1015" s="5">
        <v>44044</v>
      </c>
      <c r="AK1015" s="5">
        <v>43770.333333333336</v>
      </c>
      <c r="AL1015" s="5">
        <v>43784.666666666664</v>
      </c>
      <c r="AP1015" t="s">
        <v>418</v>
      </c>
      <c r="AU1015" t="s">
        <v>4935</v>
      </c>
      <c r="AV1015" t="s">
        <v>4936</v>
      </c>
      <c r="AY1015" t="s">
        <v>40</v>
      </c>
      <c r="AZ1015">
        <v>0</v>
      </c>
      <c r="BA1015">
        <v>0</v>
      </c>
      <c r="BI1015" s="5">
        <v>44048.176388888889</v>
      </c>
      <c r="BJ1015" s="5">
        <v>44048.176388888889</v>
      </c>
      <c r="BK1015" t="s">
        <v>778</v>
      </c>
      <c r="BL1015" t="s">
        <v>778</v>
      </c>
      <c r="BN1015" t="s">
        <v>37</v>
      </c>
    </row>
    <row r="1016" spans="1:66" x14ac:dyDescent="0.2">
      <c r="A1016">
        <v>3693573</v>
      </c>
      <c r="B1016">
        <v>21883</v>
      </c>
      <c r="C1016">
        <v>523869</v>
      </c>
      <c r="D1016">
        <v>52899</v>
      </c>
      <c r="E1016">
        <v>100</v>
      </c>
      <c r="F1016" t="s">
        <v>37</v>
      </c>
      <c r="G1016">
        <v>1</v>
      </c>
      <c r="H1016" t="s">
        <v>37</v>
      </c>
      <c r="I1016" t="s">
        <v>37</v>
      </c>
      <c r="J1016" t="s">
        <v>775</v>
      </c>
      <c r="K1016" t="s">
        <v>230</v>
      </c>
      <c r="L1016" t="s">
        <v>226</v>
      </c>
      <c r="M1016" t="s">
        <v>422</v>
      </c>
      <c r="N1016" t="s">
        <v>4937</v>
      </c>
      <c r="O1016" t="s">
        <v>4324</v>
      </c>
      <c r="S1016">
        <v>0</v>
      </c>
      <c r="T1016">
        <v>8</v>
      </c>
      <c r="U1016">
        <v>0</v>
      </c>
      <c r="V1016">
        <v>8</v>
      </c>
      <c r="W1016">
        <v>8</v>
      </c>
      <c r="X1016">
        <v>0</v>
      </c>
      <c r="Y1016">
        <v>0</v>
      </c>
      <c r="Z1016">
        <v>0</v>
      </c>
      <c r="AB1016" s="5">
        <v>43781</v>
      </c>
      <c r="AC1016" s="5">
        <v>43781</v>
      </c>
      <c r="AD1016" s="5">
        <v>43970.333333333336</v>
      </c>
      <c r="AE1016" s="5">
        <v>43970.333333333336</v>
      </c>
      <c r="AG1016" s="5">
        <v>44044</v>
      </c>
      <c r="AH1016" s="5">
        <v>44044</v>
      </c>
      <c r="AK1016" s="5">
        <v>43770.333333333336</v>
      </c>
      <c r="AL1016" s="5">
        <v>43770.666666666664</v>
      </c>
      <c r="AP1016" t="s">
        <v>418</v>
      </c>
      <c r="AU1016" t="s">
        <v>4938</v>
      </c>
      <c r="AV1016" t="s">
        <v>4939</v>
      </c>
      <c r="AY1016" t="s">
        <v>40</v>
      </c>
      <c r="AZ1016">
        <v>0</v>
      </c>
      <c r="BA1016">
        <v>0</v>
      </c>
      <c r="BI1016" s="5">
        <v>44048.176388888889</v>
      </c>
      <c r="BJ1016" s="5">
        <v>44048.176388888889</v>
      </c>
      <c r="BK1016" t="s">
        <v>778</v>
      </c>
      <c r="BL1016" t="s">
        <v>778</v>
      </c>
      <c r="BN1016" t="s">
        <v>37</v>
      </c>
    </row>
    <row r="1017" spans="1:66" x14ac:dyDescent="0.2">
      <c r="A1017">
        <v>3693574</v>
      </c>
      <c r="B1017">
        <v>21883</v>
      </c>
      <c r="C1017">
        <v>523869</v>
      </c>
      <c r="D1017">
        <v>52899</v>
      </c>
      <c r="E1017">
        <v>100</v>
      </c>
      <c r="F1017" t="s">
        <v>37</v>
      </c>
      <c r="G1017">
        <v>1</v>
      </c>
      <c r="H1017" t="s">
        <v>37</v>
      </c>
      <c r="I1017" t="s">
        <v>37</v>
      </c>
      <c r="J1017" t="s">
        <v>775</v>
      </c>
      <c r="K1017" t="s">
        <v>230</v>
      </c>
      <c r="L1017" t="s">
        <v>226</v>
      </c>
      <c r="M1017" t="s">
        <v>422</v>
      </c>
      <c r="N1017" t="s">
        <v>4940</v>
      </c>
      <c r="O1017" t="s">
        <v>4328</v>
      </c>
      <c r="S1017">
        <v>0</v>
      </c>
      <c r="T1017">
        <v>16</v>
      </c>
      <c r="U1017">
        <v>0</v>
      </c>
      <c r="V1017">
        <v>16</v>
      </c>
      <c r="W1017">
        <v>16</v>
      </c>
      <c r="X1017">
        <v>0</v>
      </c>
      <c r="Y1017">
        <v>0</v>
      </c>
      <c r="Z1017">
        <v>0</v>
      </c>
      <c r="AB1017" s="5">
        <v>43781</v>
      </c>
      <c r="AC1017" s="5">
        <v>43783</v>
      </c>
      <c r="AD1017" s="5">
        <v>43970.333333333336</v>
      </c>
      <c r="AE1017" s="5">
        <v>43970.333333333336</v>
      </c>
      <c r="AG1017" s="5">
        <v>44044</v>
      </c>
      <c r="AH1017" s="5">
        <v>44044</v>
      </c>
      <c r="AK1017" s="5">
        <v>43770.333333333336</v>
      </c>
      <c r="AL1017" s="5">
        <v>43773.666666666664</v>
      </c>
      <c r="AP1017" t="s">
        <v>418</v>
      </c>
      <c r="AU1017" t="s">
        <v>4941</v>
      </c>
      <c r="AV1017" t="s">
        <v>4942</v>
      </c>
      <c r="AY1017" t="s">
        <v>40</v>
      </c>
      <c r="AZ1017">
        <v>0</v>
      </c>
      <c r="BA1017">
        <v>0</v>
      </c>
      <c r="BI1017" s="5">
        <v>44048.176388888889</v>
      </c>
      <c r="BJ1017" s="5">
        <v>44048.176388888889</v>
      </c>
      <c r="BK1017" t="s">
        <v>778</v>
      </c>
      <c r="BL1017" t="s">
        <v>778</v>
      </c>
      <c r="BN1017" t="s">
        <v>37</v>
      </c>
    </row>
    <row r="1018" spans="1:66" x14ac:dyDescent="0.2">
      <c r="A1018">
        <v>3693575</v>
      </c>
      <c r="B1018">
        <v>21883</v>
      </c>
      <c r="C1018">
        <v>523869</v>
      </c>
      <c r="D1018">
        <v>52899</v>
      </c>
      <c r="E1018">
        <v>100</v>
      </c>
      <c r="F1018" t="s">
        <v>37</v>
      </c>
      <c r="G1018">
        <v>1</v>
      </c>
      <c r="H1018" t="s">
        <v>37</v>
      </c>
      <c r="I1018" t="s">
        <v>37</v>
      </c>
      <c r="J1018" t="s">
        <v>775</v>
      </c>
      <c r="K1018" t="s">
        <v>230</v>
      </c>
      <c r="L1018" t="s">
        <v>226</v>
      </c>
      <c r="M1018" t="s">
        <v>422</v>
      </c>
      <c r="N1018" t="s">
        <v>4943</v>
      </c>
      <c r="O1018" t="s">
        <v>4332</v>
      </c>
      <c r="S1018">
        <v>0</v>
      </c>
      <c r="T1018">
        <v>8</v>
      </c>
      <c r="U1018">
        <v>0</v>
      </c>
      <c r="V1018">
        <v>8</v>
      </c>
      <c r="W1018">
        <v>8</v>
      </c>
      <c r="X1018">
        <v>0</v>
      </c>
      <c r="Y1018">
        <v>0</v>
      </c>
      <c r="Z1018">
        <v>0</v>
      </c>
      <c r="AB1018" s="5">
        <v>43785</v>
      </c>
      <c r="AC1018" s="5">
        <v>43785</v>
      </c>
      <c r="AD1018" s="5">
        <v>43970.333333333336</v>
      </c>
      <c r="AE1018" s="5">
        <v>43970.333333333336</v>
      </c>
      <c r="AG1018" s="5">
        <v>44044</v>
      </c>
      <c r="AH1018" s="5">
        <v>44044</v>
      </c>
      <c r="AK1018" s="5">
        <v>43802.333333333336</v>
      </c>
      <c r="AL1018" s="5">
        <v>43802.666666666664</v>
      </c>
      <c r="AP1018" t="s">
        <v>418</v>
      </c>
      <c r="AU1018" t="s">
        <v>4944</v>
      </c>
      <c r="AV1018" t="s">
        <v>4945</v>
      </c>
      <c r="AY1018" t="s">
        <v>40</v>
      </c>
      <c r="AZ1018">
        <v>0</v>
      </c>
      <c r="BA1018">
        <v>0</v>
      </c>
      <c r="BI1018" s="5">
        <v>44048.176388888889</v>
      </c>
      <c r="BJ1018" s="5">
        <v>44048.176388888889</v>
      </c>
      <c r="BK1018" t="s">
        <v>778</v>
      </c>
      <c r="BL1018" t="s">
        <v>778</v>
      </c>
      <c r="BN1018" t="s">
        <v>37</v>
      </c>
    </row>
    <row r="1019" spans="1:66" x14ac:dyDescent="0.2">
      <c r="A1019">
        <v>3693576</v>
      </c>
      <c r="B1019">
        <v>21883</v>
      </c>
      <c r="C1019">
        <v>523868</v>
      </c>
      <c r="D1019">
        <v>52899</v>
      </c>
      <c r="E1019">
        <v>100</v>
      </c>
      <c r="F1019" t="s">
        <v>37</v>
      </c>
      <c r="G1019">
        <v>1</v>
      </c>
      <c r="H1019" t="s">
        <v>37</v>
      </c>
      <c r="I1019" t="s">
        <v>37</v>
      </c>
      <c r="J1019" t="s">
        <v>775</v>
      </c>
      <c r="K1019" t="s">
        <v>230</v>
      </c>
      <c r="L1019" t="s">
        <v>226</v>
      </c>
      <c r="M1019" t="s">
        <v>422</v>
      </c>
      <c r="N1019" t="s">
        <v>4946</v>
      </c>
      <c r="O1019" t="s">
        <v>2493</v>
      </c>
      <c r="S1019">
        <v>0</v>
      </c>
      <c r="T1019">
        <v>64</v>
      </c>
      <c r="U1019">
        <v>0</v>
      </c>
      <c r="V1019">
        <v>64</v>
      </c>
      <c r="W1019">
        <v>80</v>
      </c>
      <c r="X1019">
        <v>0</v>
      </c>
      <c r="Y1019">
        <v>0</v>
      </c>
      <c r="Z1019">
        <v>0</v>
      </c>
      <c r="AB1019" s="5">
        <v>43740</v>
      </c>
      <c r="AC1019" s="5">
        <v>43762</v>
      </c>
      <c r="AD1019" s="5">
        <v>43970.333333333336</v>
      </c>
      <c r="AE1019" s="5">
        <v>43970.333333333336</v>
      </c>
      <c r="AG1019" s="5">
        <v>44044</v>
      </c>
      <c r="AH1019" s="5">
        <v>44044</v>
      </c>
      <c r="AK1019" s="5">
        <v>43739.333333333336</v>
      </c>
      <c r="AL1019" s="5">
        <v>43752.666666666664</v>
      </c>
      <c r="AP1019" t="s">
        <v>418</v>
      </c>
      <c r="AU1019" t="s">
        <v>4947</v>
      </c>
      <c r="AV1019" t="s">
        <v>4948</v>
      </c>
      <c r="AY1019" t="s">
        <v>40</v>
      </c>
      <c r="AZ1019">
        <v>0</v>
      </c>
      <c r="BA1019">
        <v>0</v>
      </c>
      <c r="BI1019" s="5">
        <v>44048.176388888889</v>
      </c>
      <c r="BJ1019" s="5">
        <v>44048.176388888889</v>
      </c>
      <c r="BK1019" t="s">
        <v>778</v>
      </c>
      <c r="BL1019" t="s">
        <v>778</v>
      </c>
      <c r="BN1019" t="s">
        <v>37</v>
      </c>
    </row>
    <row r="1020" spans="1:66" x14ac:dyDescent="0.2">
      <c r="A1020">
        <v>3693577</v>
      </c>
      <c r="B1020">
        <v>21883</v>
      </c>
      <c r="C1020">
        <v>523868</v>
      </c>
      <c r="D1020">
        <v>52895</v>
      </c>
      <c r="E1020">
        <v>100</v>
      </c>
      <c r="F1020" t="s">
        <v>37</v>
      </c>
      <c r="G1020">
        <v>1</v>
      </c>
      <c r="H1020" t="s">
        <v>37</v>
      </c>
      <c r="I1020" t="s">
        <v>37</v>
      </c>
      <c r="J1020" t="s">
        <v>775</v>
      </c>
      <c r="K1020" t="s">
        <v>230</v>
      </c>
      <c r="L1020" t="s">
        <v>226</v>
      </c>
      <c r="M1020" t="s">
        <v>422</v>
      </c>
      <c r="N1020" t="s">
        <v>4949</v>
      </c>
      <c r="O1020" t="s">
        <v>4950</v>
      </c>
      <c r="S1020">
        <v>0</v>
      </c>
      <c r="T1020">
        <v>0</v>
      </c>
      <c r="U1020">
        <v>0</v>
      </c>
      <c r="V1020">
        <v>0</v>
      </c>
      <c r="W1020">
        <v>24</v>
      </c>
      <c r="X1020">
        <v>0</v>
      </c>
      <c r="Y1020">
        <v>0</v>
      </c>
      <c r="Z1020">
        <v>0</v>
      </c>
      <c r="AB1020" s="5">
        <v>43780</v>
      </c>
      <c r="AC1020" s="5">
        <v>43783</v>
      </c>
      <c r="AD1020" s="5">
        <v>43970.333333333336</v>
      </c>
      <c r="AE1020" s="5">
        <v>43970.333333333336</v>
      </c>
      <c r="AG1020" s="5">
        <v>44044</v>
      </c>
      <c r="AH1020" s="5">
        <v>44044</v>
      </c>
      <c r="AK1020" s="5">
        <v>43800.333333333336</v>
      </c>
      <c r="AL1020" s="5">
        <v>43802.666666666664</v>
      </c>
      <c r="AP1020" t="s">
        <v>418</v>
      </c>
      <c r="AU1020" t="s">
        <v>4951</v>
      </c>
      <c r="AV1020" t="s">
        <v>4952</v>
      </c>
      <c r="AY1020" t="s">
        <v>40</v>
      </c>
      <c r="AZ1020">
        <v>0</v>
      </c>
      <c r="BA1020">
        <v>0</v>
      </c>
      <c r="BI1020" s="5">
        <v>44048.176388888889</v>
      </c>
      <c r="BJ1020" s="5">
        <v>44048.176388888889</v>
      </c>
      <c r="BK1020" t="s">
        <v>778</v>
      </c>
      <c r="BL1020" t="s">
        <v>778</v>
      </c>
      <c r="BN1020" t="s">
        <v>37</v>
      </c>
    </row>
    <row r="1021" spans="1:66" x14ac:dyDescent="0.2">
      <c r="A1021">
        <v>3693578</v>
      </c>
      <c r="B1021">
        <v>21883</v>
      </c>
      <c r="C1021">
        <v>523868</v>
      </c>
      <c r="D1021">
        <v>52899</v>
      </c>
      <c r="E1021">
        <v>100</v>
      </c>
      <c r="F1021" t="s">
        <v>37</v>
      </c>
      <c r="G1021">
        <v>1</v>
      </c>
      <c r="H1021" t="s">
        <v>37</v>
      </c>
      <c r="I1021" t="s">
        <v>37</v>
      </c>
      <c r="J1021" t="s">
        <v>775</v>
      </c>
      <c r="K1021" t="s">
        <v>230</v>
      </c>
      <c r="L1021" t="s">
        <v>226</v>
      </c>
      <c r="M1021" t="s">
        <v>422</v>
      </c>
      <c r="N1021" t="s">
        <v>4953</v>
      </c>
      <c r="O1021" t="s">
        <v>2501</v>
      </c>
      <c r="S1021">
        <v>0</v>
      </c>
      <c r="T1021">
        <v>16</v>
      </c>
      <c r="U1021">
        <v>0</v>
      </c>
      <c r="V1021">
        <v>16</v>
      </c>
      <c r="W1021">
        <v>16</v>
      </c>
      <c r="X1021">
        <v>0</v>
      </c>
      <c r="Y1021">
        <v>0</v>
      </c>
      <c r="Z1021">
        <v>0</v>
      </c>
      <c r="AB1021" s="5">
        <v>43770</v>
      </c>
      <c r="AC1021" s="5">
        <v>43773</v>
      </c>
      <c r="AD1021" s="5">
        <v>43970.333333333336</v>
      </c>
      <c r="AE1021" s="5">
        <v>43970.333333333336</v>
      </c>
      <c r="AG1021" s="5">
        <v>44044</v>
      </c>
      <c r="AH1021" s="5">
        <v>44044</v>
      </c>
      <c r="AK1021" s="5">
        <v>43802.333333333336</v>
      </c>
      <c r="AL1021" s="5">
        <v>43803.666666666664</v>
      </c>
      <c r="AP1021" t="s">
        <v>418</v>
      </c>
      <c r="AU1021" t="s">
        <v>4954</v>
      </c>
      <c r="AV1021" t="s">
        <v>4955</v>
      </c>
      <c r="AY1021" t="s">
        <v>40</v>
      </c>
      <c r="AZ1021">
        <v>0</v>
      </c>
      <c r="BA1021">
        <v>0</v>
      </c>
      <c r="BI1021" s="5">
        <v>44048.176388888889</v>
      </c>
      <c r="BJ1021" s="5">
        <v>44048.176388888889</v>
      </c>
      <c r="BK1021" t="s">
        <v>778</v>
      </c>
      <c r="BL1021" t="s">
        <v>778</v>
      </c>
      <c r="BN1021" t="s">
        <v>37</v>
      </c>
    </row>
    <row r="1022" spans="1:66" x14ac:dyDescent="0.2">
      <c r="A1022">
        <v>3693579</v>
      </c>
      <c r="B1022">
        <v>21883</v>
      </c>
      <c r="C1022">
        <v>523868</v>
      </c>
      <c r="D1022">
        <v>52899</v>
      </c>
      <c r="E1022">
        <v>100</v>
      </c>
      <c r="F1022" t="s">
        <v>37</v>
      </c>
      <c r="G1022">
        <v>1</v>
      </c>
      <c r="H1022" t="s">
        <v>37</v>
      </c>
      <c r="I1022" t="s">
        <v>37</v>
      </c>
      <c r="J1022" t="s">
        <v>775</v>
      </c>
      <c r="K1022" t="s">
        <v>230</v>
      </c>
      <c r="L1022" t="s">
        <v>226</v>
      </c>
      <c r="M1022" t="s">
        <v>422</v>
      </c>
      <c r="N1022" t="s">
        <v>4956</v>
      </c>
      <c r="O1022" t="s">
        <v>2505</v>
      </c>
      <c r="S1022">
        <v>0</v>
      </c>
      <c r="T1022">
        <v>16</v>
      </c>
      <c r="U1022">
        <v>0</v>
      </c>
      <c r="V1022">
        <v>16</v>
      </c>
      <c r="W1022">
        <v>16</v>
      </c>
      <c r="X1022">
        <v>0</v>
      </c>
      <c r="Y1022">
        <v>0</v>
      </c>
      <c r="Z1022">
        <v>0</v>
      </c>
      <c r="AB1022" s="5">
        <v>43777</v>
      </c>
      <c r="AC1022" s="5">
        <v>43779</v>
      </c>
      <c r="AD1022" s="5">
        <v>43970.333333333336</v>
      </c>
      <c r="AE1022" s="5">
        <v>43970.333333333336</v>
      </c>
      <c r="AG1022" s="5">
        <v>44044</v>
      </c>
      <c r="AH1022" s="5">
        <v>44044</v>
      </c>
      <c r="AK1022" s="5">
        <v>43802.333333333336</v>
      </c>
      <c r="AL1022" s="5">
        <v>43803.666666666664</v>
      </c>
      <c r="AP1022" t="s">
        <v>418</v>
      </c>
      <c r="AU1022" t="s">
        <v>4957</v>
      </c>
      <c r="AV1022" t="s">
        <v>4958</v>
      </c>
      <c r="AY1022" t="s">
        <v>40</v>
      </c>
      <c r="AZ1022">
        <v>0</v>
      </c>
      <c r="BA1022">
        <v>0</v>
      </c>
      <c r="BI1022" s="5">
        <v>44048.176388888889</v>
      </c>
      <c r="BJ1022" s="5">
        <v>44048.176388888889</v>
      </c>
      <c r="BK1022" t="s">
        <v>778</v>
      </c>
      <c r="BL1022" t="s">
        <v>778</v>
      </c>
      <c r="BN1022" t="s">
        <v>37</v>
      </c>
    </row>
    <row r="1023" spans="1:66" x14ac:dyDescent="0.2">
      <c r="A1023">
        <v>3693580</v>
      </c>
      <c r="B1023">
        <v>21883</v>
      </c>
      <c r="C1023">
        <v>523868</v>
      </c>
      <c r="D1023">
        <v>52895</v>
      </c>
      <c r="E1023">
        <v>100</v>
      </c>
      <c r="F1023" t="s">
        <v>37</v>
      </c>
      <c r="G1023">
        <v>1</v>
      </c>
      <c r="H1023" t="s">
        <v>37</v>
      </c>
      <c r="I1023" t="s">
        <v>37</v>
      </c>
      <c r="J1023" t="s">
        <v>775</v>
      </c>
      <c r="K1023" t="s">
        <v>230</v>
      </c>
      <c r="L1023" t="s">
        <v>226</v>
      </c>
      <c r="M1023" t="s">
        <v>422</v>
      </c>
      <c r="N1023" t="s">
        <v>4959</v>
      </c>
      <c r="O1023" t="s">
        <v>2509</v>
      </c>
      <c r="S1023">
        <v>0</v>
      </c>
      <c r="T1023">
        <v>0</v>
      </c>
      <c r="U1023">
        <v>0</v>
      </c>
      <c r="V1023">
        <v>0</v>
      </c>
      <c r="W1023">
        <v>16</v>
      </c>
      <c r="X1023">
        <v>0</v>
      </c>
      <c r="Y1023">
        <v>0</v>
      </c>
      <c r="Z1023">
        <v>0</v>
      </c>
      <c r="AB1023" s="5">
        <v>43774</v>
      </c>
      <c r="AC1023" s="5">
        <v>43777</v>
      </c>
      <c r="AD1023" s="5">
        <v>43970.333333333336</v>
      </c>
      <c r="AE1023" s="5">
        <v>43970.333333333336</v>
      </c>
      <c r="AG1023" s="5">
        <v>44044</v>
      </c>
      <c r="AH1023" s="5">
        <v>44044</v>
      </c>
      <c r="AK1023" s="5">
        <v>43800.333333333336</v>
      </c>
      <c r="AL1023" s="5">
        <v>43801.666666666664</v>
      </c>
      <c r="AP1023" t="s">
        <v>418</v>
      </c>
      <c r="AU1023" t="s">
        <v>4960</v>
      </c>
      <c r="AV1023" t="s">
        <v>4961</v>
      </c>
      <c r="AY1023" t="s">
        <v>40</v>
      </c>
      <c r="AZ1023">
        <v>0</v>
      </c>
      <c r="BA1023">
        <v>0</v>
      </c>
      <c r="BI1023" s="5">
        <v>44048.176388888889</v>
      </c>
      <c r="BJ1023" s="5">
        <v>44048.176388888889</v>
      </c>
      <c r="BK1023" t="s">
        <v>778</v>
      </c>
      <c r="BL1023" t="s">
        <v>778</v>
      </c>
      <c r="BN1023" t="s">
        <v>37</v>
      </c>
    </row>
    <row r="1024" spans="1:66" x14ac:dyDescent="0.2">
      <c r="A1024">
        <v>3693581</v>
      </c>
      <c r="B1024">
        <v>21883</v>
      </c>
      <c r="C1024">
        <v>523868</v>
      </c>
      <c r="D1024">
        <v>52899</v>
      </c>
      <c r="E1024">
        <v>100</v>
      </c>
      <c r="F1024" t="s">
        <v>37</v>
      </c>
      <c r="G1024">
        <v>1</v>
      </c>
      <c r="H1024" t="s">
        <v>37</v>
      </c>
      <c r="I1024" t="s">
        <v>37</v>
      </c>
      <c r="J1024" t="s">
        <v>775</v>
      </c>
      <c r="K1024" t="s">
        <v>230</v>
      </c>
      <c r="L1024" t="s">
        <v>226</v>
      </c>
      <c r="M1024" t="s">
        <v>422</v>
      </c>
      <c r="N1024" t="s">
        <v>4962</v>
      </c>
      <c r="O1024" t="s">
        <v>3343</v>
      </c>
      <c r="S1024">
        <v>0</v>
      </c>
      <c r="T1024">
        <v>0</v>
      </c>
      <c r="U1024">
        <v>0</v>
      </c>
      <c r="V1024">
        <v>0</v>
      </c>
      <c r="W1024">
        <v>16</v>
      </c>
      <c r="X1024">
        <v>0</v>
      </c>
      <c r="Y1024">
        <v>0</v>
      </c>
      <c r="Z1024">
        <v>0</v>
      </c>
      <c r="AB1024" s="5">
        <v>43770</v>
      </c>
      <c r="AC1024" s="5">
        <v>43770</v>
      </c>
      <c r="AD1024" s="5">
        <v>43970.333333333336</v>
      </c>
      <c r="AE1024" s="5">
        <v>43970.333333333336</v>
      </c>
      <c r="AG1024" s="5">
        <v>44044</v>
      </c>
      <c r="AH1024" s="5">
        <v>44044</v>
      </c>
      <c r="AK1024" s="5">
        <v>43802.333333333336</v>
      </c>
      <c r="AL1024" s="5">
        <v>43803.666666666664</v>
      </c>
      <c r="AP1024" t="s">
        <v>418</v>
      </c>
      <c r="AU1024" t="s">
        <v>4963</v>
      </c>
      <c r="AV1024" t="s">
        <v>4964</v>
      </c>
      <c r="AY1024" t="s">
        <v>40</v>
      </c>
      <c r="AZ1024">
        <v>0</v>
      </c>
      <c r="BA1024">
        <v>0</v>
      </c>
      <c r="BI1024" s="5">
        <v>44048.176388888889</v>
      </c>
      <c r="BJ1024" s="5">
        <v>44048.176388888889</v>
      </c>
      <c r="BK1024" t="s">
        <v>778</v>
      </c>
      <c r="BL1024" t="s">
        <v>778</v>
      </c>
      <c r="BN1024" t="s">
        <v>37</v>
      </c>
    </row>
    <row r="1025" spans="1:66" x14ac:dyDescent="0.2">
      <c r="A1025">
        <v>3693582</v>
      </c>
      <c r="B1025">
        <v>21883</v>
      </c>
      <c r="C1025">
        <v>523868</v>
      </c>
      <c r="D1025">
        <v>52899</v>
      </c>
      <c r="E1025">
        <v>100</v>
      </c>
      <c r="F1025" t="s">
        <v>37</v>
      </c>
      <c r="G1025">
        <v>1</v>
      </c>
      <c r="H1025" t="s">
        <v>37</v>
      </c>
      <c r="I1025" t="s">
        <v>37</v>
      </c>
      <c r="J1025" t="s">
        <v>775</v>
      </c>
      <c r="K1025" t="s">
        <v>230</v>
      </c>
      <c r="L1025" t="s">
        <v>226</v>
      </c>
      <c r="M1025" t="s">
        <v>422</v>
      </c>
      <c r="N1025" t="s">
        <v>4965</v>
      </c>
      <c r="O1025" t="s">
        <v>3347</v>
      </c>
      <c r="S1025">
        <v>0</v>
      </c>
      <c r="T1025">
        <v>8</v>
      </c>
      <c r="U1025">
        <v>0</v>
      </c>
      <c r="V1025">
        <v>8</v>
      </c>
      <c r="W1025">
        <v>8</v>
      </c>
      <c r="X1025">
        <v>0</v>
      </c>
      <c r="Y1025">
        <v>0</v>
      </c>
      <c r="Z1025">
        <v>0</v>
      </c>
      <c r="AB1025" s="5">
        <v>43774</v>
      </c>
      <c r="AC1025" s="5">
        <v>43774</v>
      </c>
      <c r="AD1025" s="5">
        <v>43970.333333333336</v>
      </c>
      <c r="AE1025" s="5">
        <v>43970.333333333336</v>
      </c>
      <c r="AG1025" s="5">
        <v>44044</v>
      </c>
      <c r="AH1025" s="5">
        <v>44044</v>
      </c>
      <c r="AK1025" s="5">
        <v>43802.333333333336</v>
      </c>
      <c r="AL1025" s="5">
        <v>43802.666666666664</v>
      </c>
      <c r="AP1025" t="s">
        <v>418</v>
      </c>
      <c r="AU1025" t="s">
        <v>4966</v>
      </c>
      <c r="AV1025" t="s">
        <v>4967</v>
      </c>
      <c r="AY1025" t="s">
        <v>40</v>
      </c>
      <c r="AZ1025">
        <v>0</v>
      </c>
      <c r="BA1025">
        <v>0</v>
      </c>
      <c r="BI1025" s="5">
        <v>44048.176388888889</v>
      </c>
      <c r="BJ1025" s="5">
        <v>44048.176388888889</v>
      </c>
      <c r="BK1025" t="s">
        <v>778</v>
      </c>
      <c r="BL1025" t="s">
        <v>778</v>
      </c>
      <c r="BN1025" t="s">
        <v>37</v>
      </c>
    </row>
    <row r="1026" spans="1:66" x14ac:dyDescent="0.2">
      <c r="A1026">
        <v>3693583</v>
      </c>
      <c r="B1026">
        <v>21883</v>
      </c>
      <c r="C1026">
        <v>523868</v>
      </c>
      <c r="D1026">
        <v>52899</v>
      </c>
      <c r="E1026">
        <v>100</v>
      </c>
      <c r="F1026" t="s">
        <v>37</v>
      </c>
      <c r="G1026">
        <v>1</v>
      </c>
      <c r="H1026" t="s">
        <v>37</v>
      </c>
      <c r="I1026" t="s">
        <v>37</v>
      </c>
      <c r="J1026" t="s">
        <v>775</v>
      </c>
      <c r="K1026" t="s">
        <v>230</v>
      </c>
      <c r="L1026" t="s">
        <v>226</v>
      </c>
      <c r="M1026" t="s">
        <v>422</v>
      </c>
      <c r="N1026" t="s">
        <v>4968</v>
      </c>
      <c r="O1026" t="s">
        <v>3351</v>
      </c>
      <c r="S1026">
        <v>0</v>
      </c>
      <c r="T1026">
        <v>0</v>
      </c>
      <c r="U1026">
        <v>0</v>
      </c>
      <c r="V1026">
        <v>0</v>
      </c>
      <c r="W1026">
        <v>8</v>
      </c>
      <c r="X1026">
        <v>0</v>
      </c>
      <c r="Y1026">
        <v>0</v>
      </c>
      <c r="Z1026">
        <v>0</v>
      </c>
      <c r="AB1026" s="5">
        <v>43778</v>
      </c>
      <c r="AC1026" s="5">
        <v>43778</v>
      </c>
      <c r="AD1026" s="5">
        <v>43970.333333333336</v>
      </c>
      <c r="AE1026" s="5">
        <v>43970.333333333336</v>
      </c>
      <c r="AG1026" s="5">
        <v>44044</v>
      </c>
      <c r="AH1026" s="5">
        <v>44044</v>
      </c>
      <c r="AK1026" s="5">
        <v>43802.333333333336</v>
      </c>
      <c r="AL1026" s="5">
        <v>43802.666666666664</v>
      </c>
      <c r="AP1026" t="s">
        <v>418</v>
      </c>
      <c r="AU1026" t="s">
        <v>4969</v>
      </c>
      <c r="AV1026" t="s">
        <v>4970</v>
      </c>
      <c r="AY1026" t="s">
        <v>40</v>
      </c>
      <c r="AZ1026">
        <v>0</v>
      </c>
      <c r="BA1026">
        <v>0</v>
      </c>
      <c r="BI1026" s="5">
        <v>44048.176388888889</v>
      </c>
      <c r="BJ1026" s="5">
        <v>44048.176388888889</v>
      </c>
      <c r="BK1026" t="s">
        <v>778</v>
      </c>
      <c r="BL1026" t="s">
        <v>778</v>
      </c>
      <c r="BN1026" t="s">
        <v>37</v>
      </c>
    </row>
    <row r="1027" spans="1:66" x14ac:dyDescent="0.2">
      <c r="A1027">
        <v>3693584</v>
      </c>
      <c r="B1027">
        <v>21883</v>
      </c>
      <c r="C1027">
        <v>523868</v>
      </c>
      <c r="D1027">
        <v>52899</v>
      </c>
      <c r="E1027">
        <v>100</v>
      </c>
      <c r="F1027" t="s">
        <v>37</v>
      </c>
      <c r="G1027">
        <v>1</v>
      </c>
      <c r="H1027" t="s">
        <v>37</v>
      </c>
      <c r="I1027" t="s">
        <v>37</v>
      </c>
      <c r="J1027" t="s">
        <v>775</v>
      </c>
      <c r="K1027" t="s">
        <v>230</v>
      </c>
      <c r="L1027" t="s">
        <v>226</v>
      </c>
      <c r="M1027" t="s">
        <v>422</v>
      </c>
      <c r="N1027" t="s">
        <v>4971</v>
      </c>
      <c r="O1027" t="s">
        <v>3355</v>
      </c>
      <c r="S1027">
        <v>0</v>
      </c>
      <c r="T1027">
        <v>8</v>
      </c>
      <c r="U1027">
        <v>0</v>
      </c>
      <c r="V1027">
        <v>8</v>
      </c>
      <c r="W1027">
        <v>8</v>
      </c>
      <c r="X1027">
        <v>0</v>
      </c>
      <c r="Y1027">
        <v>0</v>
      </c>
      <c r="Z1027">
        <v>0</v>
      </c>
      <c r="AB1027" s="5">
        <v>43780</v>
      </c>
      <c r="AC1027" s="5">
        <v>43780</v>
      </c>
      <c r="AD1027" s="5">
        <v>43970.333333333336</v>
      </c>
      <c r="AE1027" s="5">
        <v>43970.333333333336</v>
      </c>
      <c r="AG1027" s="5">
        <v>44044</v>
      </c>
      <c r="AH1027" s="5">
        <v>44044</v>
      </c>
      <c r="AK1027" s="5">
        <v>43802.333333333336</v>
      </c>
      <c r="AL1027" s="5">
        <v>43802.666666666664</v>
      </c>
      <c r="AP1027" t="s">
        <v>418</v>
      </c>
      <c r="AU1027" t="s">
        <v>4972</v>
      </c>
      <c r="AV1027" t="s">
        <v>4973</v>
      </c>
      <c r="AY1027" t="s">
        <v>40</v>
      </c>
      <c r="AZ1027">
        <v>0</v>
      </c>
      <c r="BA1027">
        <v>0</v>
      </c>
      <c r="BI1027" s="5">
        <v>44048.176388888889</v>
      </c>
      <c r="BJ1027" s="5">
        <v>44048.176388888889</v>
      </c>
      <c r="BK1027" t="s">
        <v>778</v>
      </c>
      <c r="BL1027" t="s">
        <v>778</v>
      </c>
      <c r="BN1027" t="s">
        <v>37</v>
      </c>
    </row>
    <row r="1028" spans="1:66" x14ac:dyDescent="0.2">
      <c r="A1028">
        <v>3693585</v>
      </c>
      <c r="B1028">
        <v>21883</v>
      </c>
      <c r="C1028">
        <v>523868</v>
      </c>
      <c r="D1028">
        <v>52899</v>
      </c>
      <c r="E1028">
        <v>100</v>
      </c>
      <c r="F1028" t="s">
        <v>37</v>
      </c>
      <c r="G1028">
        <v>1</v>
      </c>
      <c r="H1028" t="s">
        <v>37</v>
      </c>
      <c r="I1028" t="s">
        <v>37</v>
      </c>
      <c r="J1028" t="s">
        <v>775</v>
      </c>
      <c r="K1028" t="s">
        <v>230</v>
      </c>
      <c r="L1028" t="s">
        <v>226</v>
      </c>
      <c r="M1028" t="s">
        <v>422</v>
      </c>
      <c r="N1028" t="s">
        <v>4974</v>
      </c>
      <c r="O1028" t="s">
        <v>4336</v>
      </c>
      <c r="S1028">
        <v>0</v>
      </c>
      <c r="T1028">
        <v>0</v>
      </c>
      <c r="U1028">
        <v>0</v>
      </c>
      <c r="V1028">
        <v>0</v>
      </c>
      <c r="W1028">
        <v>40</v>
      </c>
      <c r="X1028">
        <v>0</v>
      </c>
      <c r="Y1028">
        <v>0</v>
      </c>
      <c r="Z1028">
        <v>0</v>
      </c>
      <c r="AB1028" s="5">
        <v>43734</v>
      </c>
      <c r="AC1028" s="5">
        <v>43739</v>
      </c>
      <c r="AD1028" s="5">
        <v>43970.333333333336</v>
      </c>
      <c r="AE1028" s="5">
        <v>43970.333333333336</v>
      </c>
      <c r="AG1028" s="5">
        <v>44044</v>
      </c>
      <c r="AH1028" s="5">
        <v>44044</v>
      </c>
      <c r="AK1028" s="5">
        <v>43739.333333333336</v>
      </c>
      <c r="AL1028" s="5">
        <v>43745.666666666664</v>
      </c>
      <c r="AP1028" t="s">
        <v>418</v>
      </c>
      <c r="AU1028" t="s">
        <v>4975</v>
      </c>
      <c r="AV1028" t="s">
        <v>4976</v>
      </c>
      <c r="AY1028" t="s">
        <v>40</v>
      </c>
      <c r="AZ1028">
        <v>0</v>
      </c>
      <c r="BA1028">
        <v>0</v>
      </c>
      <c r="BI1028" s="5">
        <v>44048.176388888889</v>
      </c>
      <c r="BJ1028" s="5">
        <v>44048.176388888889</v>
      </c>
      <c r="BK1028" t="s">
        <v>778</v>
      </c>
      <c r="BL1028" t="s">
        <v>778</v>
      </c>
      <c r="BN1028" t="s">
        <v>37</v>
      </c>
    </row>
    <row r="1029" spans="1:66" x14ac:dyDescent="0.2">
      <c r="A1029">
        <v>3693586</v>
      </c>
      <c r="B1029">
        <v>21883</v>
      </c>
      <c r="C1029">
        <v>523868</v>
      </c>
      <c r="D1029">
        <v>52896</v>
      </c>
      <c r="E1029">
        <v>100</v>
      </c>
      <c r="F1029" t="s">
        <v>37</v>
      </c>
      <c r="G1029">
        <v>1</v>
      </c>
      <c r="H1029" t="s">
        <v>37</v>
      </c>
      <c r="I1029" t="s">
        <v>37</v>
      </c>
      <c r="J1029" t="s">
        <v>775</v>
      </c>
      <c r="K1029" t="s">
        <v>230</v>
      </c>
      <c r="L1029" t="s">
        <v>226</v>
      </c>
      <c r="M1029" t="s">
        <v>422</v>
      </c>
      <c r="N1029" t="s">
        <v>4977</v>
      </c>
      <c r="O1029" t="s">
        <v>4340</v>
      </c>
      <c r="S1029">
        <v>0</v>
      </c>
      <c r="T1029">
        <v>0</v>
      </c>
      <c r="U1029">
        <v>0</v>
      </c>
      <c r="V1029">
        <v>0</v>
      </c>
      <c r="W1029">
        <v>80</v>
      </c>
      <c r="X1029">
        <v>0</v>
      </c>
      <c r="Y1029">
        <v>0</v>
      </c>
      <c r="Z1029">
        <v>0</v>
      </c>
      <c r="AB1029" s="5">
        <v>43761</v>
      </c>
      <c r="AC1029" s="5">
        <v>43769</v>
      </c>
      <c r="AD1029" s="5">
        <v>43970.333333333336</v>
      </c>
      <c r="AE1029" s="5">
        <v>43970.333333333336</v>
      </c>
      <c r="AG1029" s="5">
        <v>44044</v>
      </c>
      <c r="AH1029" s="5">
        <v>44044</v>
      </c>
      <c r="AK1029" s="5">
        <v>43770.333333333336</v>
      </c>
      <c r="AL1029" s="5">
        <v>43784.666666666664</v>
      </c>
      <c r="AP1029" t="s">
        <v>418</v>
      </c>
      <c r="AU1029" t="s">
        <v>4978</v>
      </c>
      <c r="AV1029" t="s">
        <v>4979</v>
      </c>
      <c r="AY1029" t="s">
        <v>40</v>
      </c>
      <c r="AZ1029">
        <v>0</v>
      </c>
      <c r="BA1029">
        <v>0</v>
      </c>
      <c r="BI1029" s="5">
        <v>44048.176388888889</v>
      </c>
      <c r="BJ1029" s="5">
        <v>44048.176388888889</v>
      </c>
      <c r="BK1029" t="s">
        <v>778</v>
      </c>
      <c r="BL1029" t="s">
        <v>778</v>
      </c>
      <c r="BN1029" t="s">
        <v>37</v>
      </c>
    </row>
    <row r="1030" spans="1:66" x14ac:dyDescent="0.2">
      <c r="A1030">
        <v>3693587</v>
      </c>
      <c r="B1030">
        <v>21883</v>
      </c>
      <c r="C1030">
        <v>523868</v>
      </c>
      <c r="D1030">
        <v>52899</v>
      </c>
      <c r="E1030">
        <v>100</v>
      </c>
      <c r="F1030" t="s">
        <v>37</v>
      </c>
      <c r="G1030">
        <v>1</v>
      </c>
      <c r="H1030" t="s">
        <v>37</v>
      </c>
      <c r="I1030" t="s">
        <v>37</v>
      </c>
      <c r="J1030" t="s">
        <v>775</v>
      </c>
      <c r="K1030" t="s">
        <v>230</v>
      </c>
      <c r="L1030" t="s">
        <v>226</v>
      </c>
      <c r="M1030" t="s">
        <v>422</v>
      </c>
      <c r="N1030" t="s">
        <v>4980</v>
      </c>
      <c r="O1030" t="s">
        <v>4344</v>
      </c>
      <c r="S1030">
        <v>0</v>
      </c>
      <c r="T1030">
        <v>8</v>
      </c>
      <c r="U1030">
        <v>0</v>
      </c>
      <c r="V1030">
        <v>8</v>
      </c>
      <c r="W1030">
        <v>8</v>
      </c>
      <c r="X1030">
        <v>0</v>
      </c>
      <c r="Y1030">
        <v>0</v>
      </c>
      <c r="Z1030">
        <v>0</v>
      </c>
      <c r="AB1030" s="5">
        <v>43776</v>
      </c>
      <c r="AC1030" s="5">
        <v>43776</v>
      </c>
      <c r="AD1030" s="5">
        <v>43970.333333333336</v>
      </c>
      <c r="AE1030" s="5">
        <v>43970.333333333336</v>
      </c>
      <c r="AG1030" s="5">
        <v>44044</v>
      </c>
      <c r="AH1030" s="5">
        <v>44044</v>
      </c>
      <c r="AK1030" s="5">
        <v>43802.333333333336</v>
      </c>
      <c r="AL1030" s="5">
        <v>43802.666666666664</v>
      </c>
      <c r="AP1030" t="s">
        <v>418</v>
      </c>
      <c r="AU1030" t="s">
        <v>4981</v>
      </c>
      <c r="AV1030" t="s">
        <v>4982</v>
      </c>
      <c r="AY1030" t="s">
        <v>40</v>
      </c>
      <c r="AZ1030">
        <v>0</v>
      </c>
      <c r="BA1030">
        <v>0</v>
      </c>
      <c r="BI1030" s="5">
        <v>44048.176388888889</v>
      </c>
      <c r="BJ1030" s="5">
        <v>44048.176388888889</v>
      </c>
      <c r="BK1030" t="s">
        <v>778</v>
      </c>
      <c r="BL1030" t="s">
        <v>778</v>
      </c>
      <c r="BN1030" t="s">
        <v>37</v>
      </c>
    </row>
    <row r="1031" spans="1:66" x14ac:dyDescent="0.2">
      <c r="A1031">
        <v>3693588</v>
      </c>
      <c r="B1031">
        <v>21883</v>
      </c>
      <c r="C1031">
        <v>523868</v>
      </c>
      <c r="D1031">
        <v>52899</v>
      </c>
      <c r="E1031">
        <v>100</v>
      </c>
      <c r="F1031" t="s">
        <v>37</v>
      </c>
      <c r="G1031">
        <v>1</v>
      </c>
      <c r="H1031" t="s">
        <v>37</v>
      </c>
      <c r="I1031" t="s">
        <v>37</v>
      </c>
      <c r="J1031" t="s">
        <v>775</v>
      </c>
      <c r="K1031" t="s">
        <v>230</v>
      </c>
      <c r="L1031" t="s">
        <v>226</v>
      </c>
      <c r="M1031" t="s">
        <v>422</v>
      </c>
      <c r="N1031" t="s">
        <v>4983</v>
      </c>
      <c r="O1031" t="s">
        <v>4348</v>
      </c>
      <c r="S1031">
        <v>0</v>
      </c>
      <c r="T1031">
        <v>16</v>
      </c>
      <c r="U1031">
        <v>0</v>
      </c>
      <c r="V1031">
        <v>16</v>
      </c>
      <c r="W1031">
        <v>16</v>
      </c>
      <c r="X1031">
        <v>0</v>
      </c>
      <c r="Y1031">
        <v>0</v>
      </c>
      <c r="Z1031">
        <v>0</v>
      </c>
      <c r="AB1031" s="5">
        <v>43775</v>
      </c>
      <c r="AC1031" s="5">
        <v>43776</v>
      </c>
      <c r="AD1031" s="5">
        <v>43970.333333333336</v>
      </c>
      <c r="AE1031" s="5">
        <v>43970.333333333336</v>
      </c>
      <c r="AG1031" s="5">
        <v>44044</v>
      </c>
      <c r="AH1031" s="5">
        <v>44044</v>
      </c>
      <c r="AK1031" s="5">
        <v>43802.333333333336</v>
      </c>
      <c r="AL1031" s="5">
        <v>43803.666666666664</v>
      </c>
      <c r="AP1031" t="s">
        <v>418</v>
      </c>
      <c r="AU1031" t="s">
        <v>4984</v>
      </c>
      <c r="AV1031" t="s">
        <v>4985</v>
      </c>
      <c r="AY1031" t="s">
        <v>40</v>
      </c>
      <c r="AZ1031">
        <v>0</v>
      </c>
      <c r="BA1031">
        <v>0</v>
      </c>
      <c r="BI1031" s="5">
        <v>44048.176388888889</v>
      </c>
      <c r="BJ1031" s="5">
        <v>44048.176388888889</v>
      </c>
      <c r="BK1031" t="s">
        <v>778</v>
      </c>
      <c r="BL1031" t="s">
        <v>778</v>
      </c>
      <c r="BN1031" t="s">
        <v>37</v>
      </c>
    </row>
    <row r="1032" spans="1:66" x14ac:dyDescent="0.2">
      <c r="A1032">
        <v>3693589</v>
      </c>
      <c r="B1032">
        <v>21883</v>
      </c>
      <c r="C1032">
        <v>523868</v>
      </c>
      <c r="D1032">
        <v>52899</v>
      </c>
      <c r="E1032">
        <v>100</v>
      </c>
      <c r="F1032" t="s">
        <v>37</v>
      </c>
      <c r="G1032">
        <v>1</v>
      </c>
      <c r="H1032" t="s">
        <v>37</v>
      </c>
      <c r="I1032" t="s">
        <v>37</v>
      </c>
      <c r="J1032" t="s">
        <v>775</v>
      </c>
      <c r="K1032" t="s">
        <v>230</v>
      </c>
      <c r="L1032" t="s">
        <v>226</v>
      </c>
      <c r="M1032" t="s">
        <v>422</v>
      </c>
      <c r="N1032" t="s">
        <v>4986</v>
      </c>
      <c r="O1032" t="s">
        <v>4352</v>
      </c>
      <c r="S1032">
        <v>0</v>
      </c>
      <c r="T1032">
        <v>8</v>
      </c>
      <c r="U1032">
        <v>0</v>
      </c>
      <c r="V1032">
        <v>8</v>
      </c>
      <c r="W1032">
        <v>8</v>
      </c>
      <c r="X1032">
        <v>0</v>
      </c>
      <c r="Y1032">
        <v>0</v>
      </c>
      <c r="Z1032">
        <v>0</v>
      </c>
      <c r="AB1032" s="5">
        <v>43783</v>
      </c>
      <c r="AC1032" s="5">
        <v>43784</v>
      </c>
      <c r="AD1032" s="5">
        <v>43970.333333333336</v>
      </c>
      <c r="AE1032" s="5">
        <v>43970.333333333336</v>
      </c>
      <c r="AG1032" s="5">
        <v>44044</v>
      </c>
      <c r="AH1032" s="5">
        <v>44044</v>
      </c>
      <c r="AK1032" s="5">
        <v>43802.333333333336</v>
      </c>
      <c r="AL1032" s="5">
        <v>43802.666666666664</v>
      </c>
      <c r="AP1032" t="s">
        <v>418</v>
      </c>
      <c r="AU1032" t="s">
        <v>4987</v>
      </c>
      <c r="AV1032" t="s">
        <v>4988</v>
      </c>
      <c r="AY1032" t="s">
        <v>40</v>
      </c>
      <c r="AZ1032">
        <v>0</v>
      </c>
      <c r="BA1032">
        <v>0</v>
      </c>
      <c r="BI1032" s="5">
        <v>44048.176388888889</v>
      </c>
      <c r="BJ1032" s="5">
        <v>44048.176388888889</v>
      </c>
      <c r="BK1032" t="s">
        <v>778</v>
      </c>
      <c r="BL1032" t="s">
        <v>778</v>
      </c>
      <c r="BN1032" t="s">
        <v>37</v>
      </c>
    </row>
    <row r="1033" spans="1:66" x14ac:dyDescent="0.2">
      <c r="A1033">
        <v>3693590</v>
      </c>
      <c r="B1033">
        <v>21883</v>
      </c>
      <c r="C1033">
        <v>523867</v>
      </c>
      <c r="D1033">
        <v>52899</v>
      </c>
      <c r="E1033">
        <v>100</v>
      </c>
      <c r="F1033" t="s">
        <v>37</v>
      </c>
      <c r="G1033">
        <v>1</v>
      </c>
      <c r="H1033" t="s">
        <v>37</v>
      </c>
      <c r="I1033" t="s">
        <v>37</v>
      </c>
      <c r="J1033" t="s">
        <v>775</v>
      </c>
      <c r="K1033" t="s">
        <v>230</v>
      </c>
      <c r="L1033" t="s">
        <v>226</v>
      </c>
      <c r="M1033" t="s">
        <v>422</v>
      </c>
      <c r="N1033" t="s">
        <v>4989</v>
      </c>
      <c r="O1033" t="s">
        <v>2533</v>
      </c>
      <c r="S1033">
        <v>0</v>
      </c>
      <c r="T1033">
        <v>8</v>
      </c>
      <c r="U1033">
        <v>0</v>
      </c>
      <c r="V1033">
        <v>8</v>
      </c>
      <c r="W1033">
        <v>16</v>
      </c>
      <c r="X1033">
        <v>0</v>
      </c>
      <c r="Y1033">
        <v>0</v>
      </c>
      <c r="Z1033">
        <v>0</v>
      </c>
      <c r="AB1033" s="5">
        <v>43748</v>
      </c>
      <c r="AC1033" s="5">
        <v>43748</v>
      </c>
      <c r="AD1033" s="5">
        <v>43970.333333333336</v>
      </c>
      <c r="AE1033" s="5">
        <v>43970.333333333336</v>
      </c>
      <c r="AG1033" s="5">
        <v>44044</v>
      </c>
      <c r="AH1033" s="5">
        <v>44044</v>
      </c>
      <c r="AK1033" s="5">
        <v>43770.333333333336</v>
      </c>
      <c r="AL1033" s="5">
        <v>43773.666666666664</v>
      </c>
      <c r="AP1033" t="s">
        <v>418</v>
      </c>
      <c r="AU1033" t="s">
        <v>4990</v>
      </c>
      <c r="AV1033" t="s">
        <v>4991</v>
      </c>
      <c r="AY1033" t="s">
        <v>40</v>
      </c>
      <c r="AZ1033">
        <v>0</v>
      </c>
      <c r="BA1033">
        <v>0</v>
      </c>
      <c r="BI1033" s="5">
        <v>44048.176388888889</v>
      </c>
      <c r="BJ1033" s="5">
        <v>44048.176388888889</v>
      </c>
      <c r="BK1033" t="s">
        <v>778</v>
      </c>
      <c r="BL1033" t="s">
        <v>778</v>
      </c>
      <c r="BN1033" t="s">
        <v>37</v>
      </c>
    </row>
    <row r="1034" spans="1:66" x14ac:dyDescent="0.2">
      <c r="A1034">
        <v>3693591</v>
      </c>
      <c r="B1034">
        <v>21883</v>
      </c>
      <c r="C1034">
        <v>523867</v>
      </c>
      <c r="D1034">
        <v>52899</v>
      </c>
      <c r="E1034">
        <v>100</v>
      </c>
      <c r="F1034" t="s">
        <v>37</v>
      </c>
      <c r="G1034">
        <v>1</v>
      </c>
      <c r="H1034" t="s">
        <v>37</v>
      </c>
      <c r="I1034" t="s">
        <v>37</v>
      </c>
      <c r="J1034" t="s">
        <v>775</v>
      </c>
      <c r="K1034" t="s">
        <v>230</v>
      </c>
      <c r="L1034" t="s">
        <v>226</v>
      </c>
      <c r="M1034" t="s">
        <v>422</v>
      </c>
      <c r="N1034" t="s">
        <v>4992</v>
      </c>
      <c r="O1034" t="s">
        <v>2537</v>
      </c>
      <c r="S1034">
        <v>0</v>
      </c>
      <c r="T1034">
        <v>16</v>
      </c>
      <c r="U1034">
        <v>0</v>
      </c>
      <c r="V1034">
        <v>16</v>
      </c>
      <c r="W1034">
        <v>16</v>
      </c>
      <c r="X1034">
        <v>0</v>
      </c>
      <c r="Y1034">
        <v>0</v>
      </c>
      <c r="Z1034">
        <v>0</v>
      </c>
      <c r="AB1034" s="5">
        <v>43755</v>
      </c>
      <c r="AC1034" s="5">
        <v>43763</v>
      </c>
      <c r="AD1034" s="5">
        <v>43970.333333333336</v>
      </c>
      <c r="AE1034" s="5">
        <v>43970.333333333336</v>
      </c>
      <c r="AG1034" s="5">
        <v>44044</v>
      </c>
      <c r="AH1034" s="5">
        <v>44044</v>
      </c>
      <c r="AK1034" s="5">
        <v>43770.333333333336</v>
      </c>
      <c r="AL1034" s="5">
        <v>43773.666666666664</v>
      </c>
      <c r="AP1034" t="s">
        <v>418</v>
      </c>
      <c r="AU1034" t="s">
        <v>4993</v>
      </c>
      <c r="AV1034" t="s">
        <v>4994</v>
      </c>
      <c r="AY1034" t="s">
        <v>40</v>
      </c>
      <c r="AZ1034">
        <v>0</v>
      </c>
      <c r="BA1034">
        <v>0</v>
      </c>
      <c r="BI1034" s="5">
        <v>44048.176388888889</v>
      </c>
      <c r="BJ1034" s="5">
        <v>44048.176388888889</v>
      </c>
      <c r="BK1034" t="s">
        <v>778</v>
      </c>
      <c r="BL1034" t="s">
        <v>778</v>
      </c>
      <c r="BN1034" t="s">
        <v>37</v>
      </c>
    </row>
    <row r="1035" spans="1:66" x14ac:dyDescent="0.2">
      <c r="A1035">
        <v>3693592</v>
      </c>
      <c r="B1035">
        <v>21883</v>
      </c>
      <c r="C1035">
        <v>523867</v>
      </c>
      <c r="D1035">
        <v>52899</v>
      </c>
      <c r="E1035">
        <v>100</v>
      </c>
      <c r="F1035" t="s">
        <v>37</v>
      </c>
      <c r="G1035">
        <v>1</v>
      </c>
      <c r="H1035" t="s">
        <v>37</v>
      </c>
      <c r="I1035" t="s">
        <v>37</v>
      </c>
      <c r="J1035" t="s">
        <v>775</v>
      </c>
      <c r="K1035" t="s">
        <v>230</v>
      </c>
      <c r="L1035" t="s">
        <v>226</v>
      </c>
      <c r="M1035" t="s">
        <v>422</v>
      </c>
      <c r="N1035" t="s">
        <v>4995</v>
      </c>
      <c r="O1035" t="s">
        <v>2541</v>
      </c>
      <c r="S1035">
        <v>0</v>
      </c>
      <c r="T1035">
        <v>0</v>
      </c>
      <c r="U1035">
        <v>0</v>
      </c>
      <c r="V1035">
        <v>0</v>
      </c>
      <c r="W1035">
        <v>24</v>
      </c>
      <c r="X1035">
        <v>0</v>
      </c>
      <c r="Y1035">
        <v>0</v>
      </c>
      <c r="Z1035">
        <v>0</v>
      </c>
      <c r="AB1035" s="5">
        <v>43756</v>
      </c>
      <c r="AC1035" s="5">
        <v>43756</v>
      </c>
      <c r="AD1035" s="5">
        <v>43970.333333333336</v>
      </c>
      <c r="AE1035" s="5">
        <v>43970.333333333336</v>
      </c>
      <c r="AG1035" s="5">
        <v>44044</v>
      </c>
      <c r="AH1035" s="5">
        <v>44044</v>
      </c>
      <c r="AK1035" s="5">
        <v>43770.333333333336</v>
      </c>
      <c r="AL1035" s="5">
        <v>43774.666666666664</v>
      </c>
      <c r="AP1035" t="s">
        <v>418</v>
      </c>
      <c r="AU1035" t="s">
        <v>4996</v>
      </c>
      <c r="AV1035" t="s">
        <v>4997</v>
      </c>
      <c r="AY1035" t="s">
        <v>40</v>
      </c>
      <c r="AZ1035">
        <v>0</v>
      </c>
      <c r="BA1035">
        <v>0</v>
      </c>
      <c r="BI1035" s="5">
        <v>44048.176388888889</v>
      </c>
      <c r="BJ1035" s="5">
        <v>44048.176388888889</v>
      </c>
      <c r="BK1035" t="s">
        <v>778</v>
      </c>
      <c r="BL1035" t="s">
        <v>778</v>
      </c>
      <c r="BN1035" t="s">
        <v>37</v>
      </c>
    </row>
    <row r="1036" spans="1:66" x14ac:dyDescent="0.2">
      <c r="A1036">
        <v>3693593</v>
      </c>
      <c r="B1036">
        <v>21883</v>
      </c>
      <c r="C1036">
        <v>523867</v>
      </c>
      <c r="D1036">
        <v>52899</v>
      </c>
      <c r="E1036">
        <v>100</v>
      </c>
      <c r="F1036" t="s">
        <v>37</v>
      </c>
      <c r="G1036">
        <v>1</v>
      </c>
      <c r="H1036" t="s">
        <v>37</v>
      </c>
      <c r="I1036" t="s">
        <v>37</v>
      </c>
      <c r="J1036" t="s">
        <v>775</v>
      </c>
      <c r="K1036" t="s">
        <v>230</v>
      </c>
      <c r="L1036" t="s">
        <v>226</v>
      </c>
      <c r="M1036" t="s">
        <v>422</v>
      </c>
      <c r="N1036" t="s">
        <v>4998</v>
      </c>
      <c r="O1036" t="s">
        <v>2545</v>
      </c>
      <c r="S1036">
        <v>0</v>
      </c>
      <c r="T1036">
        <v>0</v>
      </c>
      <c r="U1036">
        <v>0</v>
      </c>
      <c r="V1036">
        <v>0</v>
      </c>
      <c r="W1036">
        <v>24</v>
      </c>
      <c r="X1036">
        <v>0</v>
      </c>
      <c r="Y1036">
        <v>0</v>
      </c>
      <c r="Z1036">
        <v>0</v>
      </c>
      <c r="AB1036" s="5">
        <v>43763</v>
      </c>
      <c r="AC1036" s="5">
        <v>43766</v>
      </c>
      <c r="AD1036" s="5">
        <v>43970.333333333336</v>
      </c>
      <c r="AE1036" s="5">
        <v>43970.333333333336</v>
      </c>
      <c r="AG1036" s="5">
        <v>44044</v>
      </c>
      <c r="AH1036" s="5">
        <v>44044</v>
      </c>
      <c r="AK1036" s="5">
        <v>43802.333333333336</v>
      </c>
      <c r="AL1036" s="5">
        <v>43804.666666666664</v>
      </c>
      <c r="AP1036" t="s">
        <v>418</v>
      </c>
      <c r="AU1036" t="s">
        <v>4999</v>
      </c>
      <c r="AV1036" t="s">
        <v>5000</v>
      </c>
      <c r="AY1036" t="s">
        <v>40</v>
      </c>
      <c r="AZ1036">
        <v>0</v>
      </c>
      <c r="BA1036">
        <v>0</v>
      </c>
      <c r="BI1036" s="5">
        <v>44048.176388888889</v>
      </c>
      <c r="BJ1036" s="5">
        <v>44048.176388888889</v>
      </c>
      <c r="BK1036" t="s">
        <v>778</v>
      </c>
      <c r="BL1036" t="s">
        <v>778</v>
      </c>
      <c r="BN1036" t="s">
        <v>37</v>
      </c>
    </row>
    <row r="1037" spans="1:66" x14ac:dyDescent="0.2">
      <c r="A1037">
        <v>3693594</v>
      </c>
      <c r="B1037">
        <v>21883</v>
      </c>
      <c r="C1037">
        <v>523867</v>
      </c>
      <c r="D1037">
        <v>52899</v>
      </c>
      <c r="E1037">
        <v>100</v>
      </c>
      <c r="F1037" t="s">
        <v>37</v>
      </c>
      <c r="G1037">
        <v>1</v>
      </c>
      <c r="H1037" t="s">
        <v>37</v>
      </c>
      <c r="I1037" t="s">
        <v>37</v>
      </c>
      <c r="J1037" t="s">
        <v>775</v>
      </c>
      <c r="K1037" t="s">
        <v>230</v>
      </c>
      <c r="L1037" t="s">
        <v>226</v>
      </c>
      <c r="M1037" t="s">
        <v>422</v>
      </c>
      <c r="N1037" t="s">
        <v>5001</v>
      </c>
      <c r="O1037" t="s">
        <v>5002</v>
      </c>
      <c r="S1037">
        <v>0</v>
      </c>
      <c r="T1037">
        <v>8</v>
      </c>
      <c r="U1037">
        <v>0</v>
      </c>
      <c r="V1037">
        <v>8</v>
      </c>
      <c r="W1037">
        <v>8</v>
      </c>
      <c r="X1037">
        <v>0</v>
      </c>
      <c r="Y1037">
        <v>0</v>
      </c>
      <c r="Z1037">
        <v>0</v>
      </c>
      <c r="AB1037" s="5">
        <v>43802</v>
      </c>
      <c r="AC1037" s="5">
        <v>43802</v>
      </c>
      <c r="AD1037" s="5">
        <v>43970.333333333336</v>
      </c>
      <c r="AE1037" s="5">
        <v>43970.333333333336</v>
      </c>
      <c r="AG1037" s="5">
        <v>44044</v>
      </c>
      <c r="AH1037" s="5">
        <v>44044</v>
      </c>
      <c r="AK1037" s="5">
        <v>43832.333333333336</v>
      </c>
      <c r="AL1037" s="5">
        <v>43832.666666666664</v>
      </c>
      <c r="AP1037" t="s">
        <v>418</v>
      </c>
      <c r="AU1037" t="s">
        <v>5003</v>
      </c>
      <c r="AV1037" t="s">
        <v>5004</v>
      </c>
      <c r="AY1037" t="s">
        <v>40</v>
      </c>
      <c r="AZ1037">
        <v>0</v>
      </c>
      <c r="BA1037">
        <v>0</v>
      </c>
      <c r="BI1037" s="5">
        <v>44048.176388888889</v>
      </c>
      <c r="BJ1037" s="5">
        <v>44048.176388888889</v>
      </c>
      <c r="BK1037" t="s">
        <v>778</v>
      </c>
      <c r="BL1037" t="s">
        <v>778</v>
      </c>
      <c r="BN1037" t="s">
        <v>37</v>
      </c>
    </row>
    <row r="1038" spans="1:66" x14ac:dyDescent="0.2">
      <c r="A1038">
        <v>3693595</v>
      </c>
      <c r="B1038">
        <v>21883</v>
      </c>
      <c r="C1038">
        <v>523867</v>
      </c>
      <c r="D1038">
        <v>52895</v>
      </c>
      <c r="E1038">
        <v>100</v>
      </c>
      <c r="F1038" t="s">
        <v>37</v>
      </c>
      <c r="G1038">
        <v>1</v>
      </c>
      <c r="H1038" t="s">
        <v>37</v>
      </c>
      <c r="I1038" t="s">
        <v>37</v>
      </c>
      <c r="J1038" t="s">
        <v>775</v>
      </c>
      <c r="K1038" t="s">
        <v>230</v>
      </c>
      <c r="L1038" t="s">
        <v>226</v>
      </c>
      <c r="M1038" t="s">
        <v>422</v>
      </c>
      <c r="N1038" t="s">
        <v>5005</v>
      </c>
      <c r="O1038" t="s">
        <v>2553</v>
      </c>
      <c r="S1038">
        <v>0</v>
      </c>
      <c r="T1038">
        <v>0</v>
      </c>
      <c r="U1038">
        <v>0</v>
      </c>
      <c r="V1038">
        <v>0</v>
      </c>
      <c r="W1038">
        <v>56</v>
      </c>
      <c r="X1038">
        <v>0</v>
      </c>
      <c r="Y1038">
        <v>0</v>
      </c>
      <c r="Z1038">
        <v>0</v>
      </c>
      <c r="AB1038" s="5">
        <v>43802</v>
      </c>
      <c r="AC1038" s="5">
        <v>43809</v>
      </c>
      <c r="AD1038" s="5">
        <v>43970.333333333336</v>
      </c>
      <c r="AE1038" s="5">
        <v>43970.333333333336</v>
      </c>
      <c r="AG1038" s="5">
        <v>44044</v>
      </c>
      <c r="AH1038" s="5">
        <v>44044</v>
      </c>
      <c r="AK1038" s="5">
        <v>43831.333333333336</v>
      </c>
      <c r="AL1038" s="5">
        <v>43837.666666666664</v>
      </c>
      <c r="AP1038" t="s">
        <v>418</v>
      </c>
      <c r="AU1038" t="s">
        <v>5006</v>
      </c>
      <c r="AV1038" t="s">
        <v>5007</v>
      </c>
      <c r="AY1038" t="s">
        <v>40</v>
      </c>
      <c r="AZ1038">
        <v>0</v>
      </c>
      <c r="BA1038">
        <v>0</v>
      </c>
      <c r="BI1038" s="5">
        <v>44048.176388888889</v>
      </c>
      <c r="BJ1038" s="5">
        <v>44048.176388888889</v>
      </c>
      <c r="BK1038" t="s">
        <v>778</v>
      </c>
      <c r="BL1038" t="s">
        <v>778</v>
      </c>
      <c r="BN1038" t="s">
        <v>37</v>
      </c>
    </row>
    <row r="1039" spans="1:66" x14ac:dyDescent="0.2">
      <c r="A1039">
        <v>3693596</v>
      </c>
      <c r="B1039">
        <v>21883</v>
      </c>
      <c r="C1039">
        <v>523867</v>
      </c>
      <c r="D1039">
        <v>52899</v>
      </c>
      <c r="E1039">
        <v>100</v>
      </c>
      <c r="F1039" t="s">
        <v>37</v>
      </c>
      <c r="G1039">
        <v>1</v>
      </c>
      <c r="H1039" t="s">
        <v>37</v>
      </c>
      <c r="I1039" t="s">
        <v>37</v>
      </c>
      <c r="J1039" t="s">
        <v>775</v>
      </c>
      <c r="K1039" t="s">
        <v>230</v>
      </c>
      <c r="L1039" t="s">
        <v>226</v>
      </c>
      <c r="M1039" t="s">
        <v>422</v>
      </c>
      <c r="N1039" t="s">
        <v>5008</v>
      </c>
      <c r="O1039" t="s">
        <v>3760</v>
      </c>
      <c r="S1039">
        <v>0</v>
      </c>
      <c r="T1039">
        <v>0</v>
      </c>
      <c r="U1039">
        <v>0</v>
      </c>
      <c r="V1039">
        <v>0</v>
      </c>
      <c r="W1039">
        <v>8</v>
      </c>
      <c r="X1039">
        <v>0</v>
      </c>
      <c r="Y1039">
        <v>0</v>
      </c>
      <c r="Z1039">
        <v>0</v>
      </c>
      <c r="AB1039" s="5">
        <v>43746</v>
      </c>
      <c r="AC1039" s="5">
        <v>43746</v>
      </c>
      <c r="AD1039" s="5">
        <v>43970.333333333336</v>
      </c>
      <c r="AE1039" s="5">
        <v>43970.333333333336</v>
      </c>
      <c r="AG1039" s="5">
        <v>44044</v>
      </c>
      <c r="AH1039" s="5">
        <v>44044</v>
      </c>
      <c r="AK1039" s="5">
        <v>43770.333333333336</v>
      </c>
      <c r="AL1039" s="5">
        <v>43770.666666666664</v>
      </c>
      <c r="AP1039" t="s">
        <v>418</v>
      </c>
      <c r="AU1039" t="s">
        <v>5009</v>
      </c>
      <c r="AV1039" t="s">
        <v>5010</v>
      </c>
      <c r="AY1039" t="s">
        <v>40</v>
      </c>
      <c r="AZ1039">
        <v>0</v>
      </c>
      <c r="BA1039">
        <v>0</v>
      </c>
      <c r="BI1039" s="5">
        <v>44048.176388888889</v>
      </c>
      <c r="BJ1039" s="5">
        <v>44048.176388888889</v>
      </c>
      <c r="BK1039" t="s">
        <v>778</v>
      </c>
      <c r="BL1039" t="s">
        <v>778</v>
      </c>
      <c r="BN1039" t="s">
        <v>37</v>
      </c>
    </row>
    <row r="1040" spans="1:66" x14ac:dyDescent="0.2">
      <c r="A1040">
        <v>3693597</v>
      </c>
      <c r="B1040">
        <v>21883</v>
      </c>
      <c r="C1040">
        <v>523867</v>
      </c>
      <c r="D1040">
        <v>52899</v>
      </c>
      <c r="E1040">
        <v>100</v>
      </c>
      <c r="F1040" t="s">
        <v>37</v>
      </c>
      <c r="G1040">
        <v>1</v>
      </c>
      <c r="H1040" t="s">
        <v>37</v>
      </c>
      <c r="I1040" t="s">
        <v>37</v>
      </c>
      <c r="J1040" t="s">
        <v>775</v>
      </c>
      <c r="K1040" t="s">
        <v>230</v>
      </c>
      <c r="L1040" t="s">
        <v>226</v>
      </c>
      <c r="M1040" t="s">
        <v>422</v>
      </c>
      <c r="N1040" t="s">
        <v>5011</v>
      </c>
      <c r="O1040" t="s">
        <v>3788</v>
      </c>
      <c r="S1040">
        <v>0</v>
      </c>
      <c r="T1040">
        <v>0</v>
      </c>
      <c r="U1040">
        <v>0</v>
      </c>
      <c r="V1040">
        <v>0</v>
      </c>
      <c r="W1040">
        <v>8</v>
      </c>
      <c r="X1040">
        <v>0</v>
      </c>
      <c r="Y1040">
        <v>0</v>
      </c>
      <c r="Z1040">
        <v>0</v>
      </c>
      <c r="AB1040" s="5">
        <v>43746</v>
      </c>
      <c r="AC1040" s="5">
        <v>43746</v>
      </c>
      <c r="AD1040" s="5">
        <v>43970.333333333336</v>
      </c>
      <c r="AE1040" s="5">
        <v>43970.333333333336</v>
      </c>
      <c r="AG1040" s="5">
        <v>44044</v>
      </c>
      <c r="AH1040" s="5">
        <v>44044</v>
      </c>
      <c r="AK1040" s="5">
        <v>43770.333333333336</v>
      </c>
      <c r="AL1040" s="5">
        <v>43770.666666666664</v>
      </c>
      <c r="AP1040" t="s">
        <v>418</v>
      </c>
      <c r="AU1040" t="s">
        <v>5012</v>
      </c>
      <c r="AV1040" t="s">
        <v>5013</v>
      </c>
      <c r="AY1040" t="s">
        <v>40</v>
      </c>
      <c r="AZ1040">
        <v>0</v>
      </c>
      <c r="BA1040">
        <v>0</v>
      </c>
      <c r="BI1040" s="5">
        <v>44048.176388888889</v>
      </c>
      <c r="BJ1040" s="5">
        <v>44048.176388888889</v>
      </c>
      <c r="BK1040" t="s">
        <v>778</v>
      </c>
      <c r="BL1040" t="s">
        <v>778</v>
      </c>
      <c r="BN1040" t="s">
        <v>37</v>
      </c>
    </row>
    <row r="1041" spans="1:66" x14ac:dyDescent="0.2">
      <c r="A1041">
        <v>3693598</v>
      </c>
      <c r="B1041">
        <v>21883</v>
      </c>
      <c r="C1041">
        <v>523867</v>
      </c>
      <c r="D1041">
        <v>52899</v>
      </c>
      <c r="E1041">
        <v>100</v>
      </c>
      <c r="F1041" t="s">
        <v>37</v>
      </c>
      <c r="G1041">
        <v>1</v>
      </c>
      <c r="H1041" t="s">
        <v>37</v>
      </c>
      <c r="I1041" t="s">
        <v>37</v>
      </c>
      <c r="J1041" t="s">
        <v>775</v>
      </c>
      <c r="K1041" t="s">
        <v>230</v>
      </c>
      <c r="L1041" t="s">
        <v>226</v>
      </c>
      <c r="M1041" t="s">
        <v>422</v>
      </c>
      <c r="N1041" t="s">
        <v>5014</v>
      </c>
      <c r="O1041" t="s">
        <v>4368</v>
      </c>
      <c r="S1041">
        <v>0</v>
      </c>
      <c r="T1041">
        <v>16</v>
      </c>
      <c r="U1041">
        <v>0</v>
      </c>
      <c r="V1041">
        <v>16</v>
      </c>
      <c r="W1041">
        <v>16</v>
      </c>
      <c r="X1041">
        <v>0</v>
      </c>
      <c r="Y1041">
        <v>0</v>
      </c>
      <c r="Z1041">
        <v>0</v>
      </c>
      <c r="AB1041" s="5">
        <v>43755</v>
      </c>
      <c r="AC1041" s="5">
        <v>43763</v>
      </c>
      <c r="AD1041" s="5">
        <v>43970.333333333336</v>
      </c>
      <c r="AE1041" s="5">
        <v>43970.333333333336</v>
      </c>
      <c r="AG1041" s="5">
        <v>44044</v>
      </c>
      <c r="AH1041" s="5">
        <v>44044</v>
      </c>
      <c r="AK1041" s="5">
        <v>43770.333333333336</v>
      </c>
      <c r="AL1041" s="5">
        <v>43773.666666666664</v>
      </c>
      <c r="AP1041" t="s">
        <v>418</v>
      </c>
      <c r="AU1041" t="s">
        <v>5015</v>
      </c>
      <c r="AV1041" t="s">
        <v>5016</v>
      </c>
      <c r="AY1041" t="s">
        <v>40</v>
      </c>
      <c r="AZ1041">
        <v>0</v>
      </c>
      <c r="BA1041">
        <v>0</v>
      </c>
      <c r="BI1041" s="5">
        <v>44048.176388888889</v>
      </c>
      <c r="BJ1041" s="5">
        <v>44048.176388888889</v>
      </c>
      <c r="BK1041" t="s">
        <v>778</v>
      </c>
      <c r="BL1041" t="s">
        <v>778</v>
      </c>
      <c r="BN1041" t="s">
        <v>37</v>
      </c>
    </row>
    <row r="1042" spans="1:66" x14ac:dyDescent="0.2">
      <c r="A1042">
        <v>3693599</v>
      </c>
      <c r="B1042">
        <v>21883</v>
      </c>
      <c r="C1042">
        <v>523867</v>
      </c>
      <c r="D1042">
        <v>52899</v>
      </c>
      <c r="E1042">
        <v>100</v>
      </c>
      <c r="F1042" t="s">
        <v>37</v>
      </c>
      <c r="G1042">
        <v>1</v>
      </c>
      <c r="H1042" t="s">
        <v>37</v>
      </c>
      <c r="I1042" t="s">
        <v>37</v>
      </c>
      <c r="J1042" t="s">
        <v>775</v>
      </c>
      <c r="K1042" t="s">
        <v>230</v>
      </c>
      <c r="L1042" t="s">
        <v>226</v>
      </c>
      <c r="M1042" t="s">
        <v>422</v>
      </c>
      <c r="N1042" t="s">
        <v>5017</v>
      </c>
      <c r="O1042" t="s">
        <v>4372</v>
      </c>
      <c r="S1042">
        <v>0</v>
      </c>
      <c r="T1042">
        <v>16</v>
      </c>
      <c r="U1042">
        <v>0</v>
      </c>
      <c r="V1042">
        <v>16</v>
      </c>
      <c r="W1042">
        <v>16</v>
      </c>
      <c r="X1042">
        <v>0</v>
      </c>
      <c r="Y1042">
        <v>0</v>
      </c>
      <c r="Z1042">
        <v>0</v>
      </c>
      <c r="AB1042" s="5">
        <v>43777</v>
      </c>
      <c r="AC1042" s="5">
        <v>43795</v>
      </c>
      <c r="AD1042" s="5">
        <v>43970.333333333336</v>
      </c>
      <c r="AE1042" s="5">
        <v>43970.333333333336</v>
      </c>
      <c r="AG1042" s="5">
        <v>44044</v>
      </c>
      <c r="AH1042" s="5">
        <v>44044</v>
      </c>
      <c r="AK1042" s="5">
        <v>43802.333333333336</v>
      </c>
      <c r="AL1042" s="5">
        <v>43803.666666666664</v>
      </c>
      <c r="AP1042" t="s">
        <v>418</v>
      </c>
      <c r="AU1042" t="s">
        <v>5018</v>
      </c>
      <c r="AV1042" t="s">
        <v>5019</v>
      </c>
      <c r="AY1042" t="s">
        <v>40</v>
      </c>
      <c r="AZ1042">
        <v>0</v>
      </c>
      <c r="BA1042">
        <v>0</v>
      </c>
      <c r="BI1042" s="5">
        <v>44048.176388888889</v>
      </c>
      <c r="BJ1042" s="5">
        <v>44048.176388888889</v>
      </c>
      <c r="BK1042" t="s">
        <v>778</v>
      </c>
      <c r="BL1042" t="s">
        <v>778</v>
      </c>
      <c r="BN1042" t="s">
        <v>37</v>
      </c>
    </row>
    <row r="1043" spans="1:66" x14ac:dyDescent="0.2">
      <c r="A1043">
        <v>3693600</v>
      </c>
      <c r="B1043">
        <v>21883</v>
      </c>
      <c r="C1043">
        <v>523867</v>
      </c>
      <c r="D1043">
        <v>52899</v>
      </c>
      <c r="E1043">
        <v>100</v>
      </c>
      <c r="F1043" t="s">
        <v>37</v>
      </c>
      <c r="G1043">
        <v>1</v>
      </c>
      <c r="H1043" t="s">
        <v>37</v>
      </c>
      <c r="I1043" t="s">
        <v>37</v>
      </c>
      <c r="J1043" t="s">
        <v>775</v>
      </c>
      <c r="K1043" t="s">
        <v>230</v>
      </c>
      <c r="L1043" t="s">
        <v>226</v>
      </c>
      <c r="M1043" t="s">
        <v>422</v>
      </c>
      <c r="N1043" t="s">
        <v>5020</v>
      </c>
      <c r="O1043" t="s">
        <v>4376</v>
      </c>
      <c r="S1043">
        <v>0</v>
      </c>
      <c r="T1043">
        <v>24</v>
      </c>
      <c r="U1043">
        <v>0</v>
      </c>
      <c r="V1043">
        <v>24</v>
      </c>
      <c r="W1043">
        <v>24</v>
      </c>
      <c r="X1043">
        <v>0</v>
      </c>
      <c r="Y1043">
        <v>0</v>
      </c>
      <c r="Z1043">
        <v>0</v>
      </c>
      <c r="AB1043" s="5">
        <v>43760</v>
      </c>
      <c r="AC1043" s="5">
        <v>43762</v>
      </c>
      <c r="AD1043" s="5">
        <v>43970.333333333336</v>
      </c>
      <c r="AE1043" s="5">
        <v>43970.333333333336</v>
      </c>
      <c r="AG1043" s="5">
        <v>44044</v>
      </c>
      <c r="AH1043" s="5">
        <v>44044</v>
      </c>
      <c r="AK1043" s="5">
        <v>43802.333333333336</v>
      </c>
      <c r="AL1043" s="5">
        <v>43804.666666666664</v>
      </c>
      <c r="AP1043" t="s">
        <v>418</v>
      </c>
      <c r="AU1043" t="s">
        <v>5021</v>
      </c>
      <c r="AV1043" t="s">
        <v>5022</v>
      </c>
      <c r="AY1043" t="s">
        <v>40</v>
      </c>
      <c r="AZ1043">
        <v>0</v>
      </c>
      <c r="BA1043">
        <v>0</v>
      </c>
      <c r="BI1043" s="5">
        <v>44048.176388888889</v>
      </c>
      <c r="BJ1043" s="5">
        <v>44048.176388888889</v>
      </c>
      <c r="BK1043" t="s">
        <v>778</v>
      </c>
      <c r="BL1043" t="s">
        <v>778</v>
      </c>
      <c r="BN1043" t="s">
        <v>37</v>
      </c>
    </row>
    <row r="1044" spans="1:66" x14ac:dyDescent="0.2">
      <c r="A1044">
        <v>3693601</v>
      </c>
      <c r="B1044">
        <v>21883</v>
      </c>
      <c r="C1044">
        <v>523867</v>
      </c>
      <c r="D1044">
        <v>52899</v>
      </c>
      <c r="E1044">
        <v>100</v>
      </c>
      <c r="F1044" t="s">
        <v>37</v>
      </c>
      <c r="G1044">
        <v>1</v>
      </c>
      <c r="H1044" t="s">
        <v>37</v>
      </c>
      <c r="I1044" t="s">
        <v>37</v>
      </c>
      <c r="J1044" t="s">
        <v>775</v>
      </c>
      <c r="K1044" t="s">
        <v>230</v>
      </c>
      <c r="L1044" t="s">
        <v>226</v>
      </c>
      <c r="M1044" t="s">
        <v>422</v>
      </c>
      <c r="N1044" t="s">
        <v>5023</v>
      </c>
      <c r="O1044" t="s">
        <v>4380</v>
      </c>
      <c r="S1044">
        <v>0</v>
      </c>
      <c r="T1044">
        <v>16</v>
      </c>
      <c r="U1044">
        <v>0</v>
      </c>
      <c r="V1044">
        <v>16</v>
      </c>
      <c r="W1044">
        <v>16</v>
      </c>
      <c r="X1044">
        <v>0</v>
      </c>
      <c r="Y1044">
        <v>0</v>
      </c>
      <c r="Z1044">
        <v>0</v>
      </c>
      <c r="AB1044" s="5">
        <v>43791</v>
      </c>
      <c r="AC1044" s="5">
        <v>43795</v>
      </c>
      <c r="AD1044" s="5">
        <v>43970.333333333336</v>
      </c>
      <c r="AE1044" s="5">
        <v>43970.333333333336</v>
      </c>
      <c r="AG1044" s="5">
        <v>44044</v>
      </c>
      <c r="AH1044" s="5">
        <v>44044</v>
      </c>
      <c r="AK1044" s="5">
        <v>43802.333333333336</v>
      </c>
      <c r="AL1044" s="5">
        <v>43803.666666666664</v>
      </c>
      <c r="AP1044" t="s">
        <v>418</v>
      </c>
      <c r="AU1044" t="s">
        <v>5024</v>
      </c>
      <c r="AV1044" t="s">
        <v>5025</v>
      </c>
      <c r="AY1044" t="s">
        <v>40</v>
      </c>
      <c r="AZ1044">
        <v>0</v>
      </c>
      <c r="BA1044">
        <v>0</v>
      </c>
      <c r="BI1044" s="5">
        <v>44048.176388888889</v>
      </c>
      <c r="BJ1044" s="5">
        <v>44048.176388888889</v>
      </c>
      <c r="BK1044" t="s">
        <v>778</v>
      </c>
      <c r="BL1044" t="s">
        <v>778</v>
      </c>
      <c r="BN1044" t="s">
        <v>37</v>
      </c>
    </row>
    <row r="1045" spans="1:66" x14ac:dyDescent="0.2">
      <c r="A1045">
        <v>3693602</v>
      </c>
      <c r="B1045">
        <v>21883</v>
      </c>
      <c r="C1045">
        <v>523867</v>
      </c>
      <c r="D1045">
        <v>52899</v>
      </c>
      <c r="E1045">
        <v>100</v>
      </c>
      <c r="F1045" t="s">
        <v>37</v>
      </c>
      <c r="G1045">
        <v>1</v>
      </c>
      <c r="H1045" t="s">
        <v>37</v>
      </c>
      <c r="I1045" t="s">
        <v>37</v>
      </c>
      <c r="J1045" t="s">
        <v>775</v>
      </c>
      <c r="K1045" t="s">
        <v>230</v>
      </c>
      <c r="L1045" t="s">
        <v>226</v>
      </c>
      <c r="M1045" t="s">
        <v>422</v>
      </c>
      <c r="N1045" t="s">
        <v>5026</v>
      </c>
      <c r="O1045" t="s">
        <v>4384</v>
      </c>
      <c r="S1045">
        <v>0</v>
      </c>
      <c r="T1045">
        <v>24</v>
      </c>
      <c r="U1045">
        <v>0</v>
      </c>
      <c r="V1045">
        <v>24</v>
      </c>
      <c r="W1045">
        <v>24</v>
      </c>
      <c r="X1045">
        <v>0</v>
      </c>
      <c r="Y1045">
        <v>0</v>
      </c>
      <c r="Z1045">
        <v>0</v>
      </c>
      <c r="AB1045" s="5">
        <v>43796</v>
      </c>
      <c r="AC1045" s="5">
        <v>43796</v>
      </c>
      <c r="AD1045" s="5">
        <v>43970.333333333336</v>
      </c>
      <c r="AE1045" s="5">
        <v>43970.333333333336</v>
      </c>
      <c r="AG1045" s="5">
        <v>44044</v>
      </c>
      <c r="AH1045" s="5">
        <v>44044</v>
      </c>
      <c r="AK1045" s="5">
        <v>43802.333333333336</v>
      </c>
      <c r="AL1045" s="5">
        <v>43804.666666666664</v>
      </c>
      <c r="AP1045" t="s">
        <v>418</v>
      </c>
      <c r="AU1045" t="s">
        <v>5027</v>
      </c>
      <c r="AV1045" t="s">
        <v>5028</v>
      </c>
      <c r="AY1045" t="s">
        <v>40</v>
      </c>
      <c r="AZ1045">
        <v>0</v>
      </c>
      <c r="BA1045">
        <v>0</v>
      </c>
      <c r="BI1045" s="5">
        <v>44048.176388888889</v>
      </c>
      <c r="BJ1045" s="5">
        <v>44048.176388888889</v>
      </c>
      <c r="BK1045" t="s">
        <v>778</v>
      </c>
      <c r="BL1045" t="s">
        <v>778</v>
      </c>
      <c r="BN1045" t="s">
        <v>37</v>
      </c>
    </row>
    <row r="1046" spans="1:66" x14ac:dyDescent="0.2">
      <c r="A1046">
        <v>3693603</v>
      </c>
      <c r="B1046">
        <v>21883</v>
      </c>
      <c r="C1046">
        <v>523867</v>
      </c>
      <c r="D1046">
        <v>52899</v>
      </c>
      <c r="E1046">
        <v>100</v>
      </c>
      <c r="F1046" t="s">
        <v>37</v>
      </c>
      <c r="G1046">
        <v>1</v>
      </c>
      <c r="H1046" t="s">
        <v>37</v>
      </c>
      <c r="I1046" t="s">
        <v>37</v>
      </c>
      <c r="J1046" t="s">
        <v>775</v>
      </c>
      <c r="K1046" t="s">
        <v>230</v>
      </c>
      <c r="L1046" t="s">
        <v>226</v>
      </c>
      <c r="M1046" t="s">
        <v>422</v>
      </c>
      <c r="N1046" t="s">
        <v>5029</v>
      </c>
      <c r="O1046" t="s">
        <v>5030</v>
      </c>
      <c r="S1046">
        <v>0</v>
      </c>
      <c r="T1046">
        <v>24</v>
      </c>
      <c r="U1046">
        <v>0</v>
      </c>
      <c r="V1046">
        <v>24</v>
      </c>
      <c r="W1046">
        <v>24</v>
      </c>
      <c r="X1046">
        <v>0</v>
      </c>
      <c r="Y1046">
        <v>0</v>
      </c>
      <c r="Z1046">
        <v>0</v>
      </c>
      <c r="AB1046" s="5">
        <v>43809</v>
      </c>
      <c r="AC1046" s="5">
        <v>43809</v>
      </c>
      <c r="AD1046" s="5">
        <v>43970.333333333336</v>
      </c>
      <c r="AE1046" s="5">
        <v>43970.333333333336</v>
      </c>
      <c r="AG1046" s="5">
        <v>44044</v>
      </c>
      <c r="AH1046" s="5">
        <v>44044</v>
      </c>
      <c r="AK1046" s="5">
        <v>43832.333333333336</v>
      </c>
      <c r="AL1046" s="5">
        <v>43836.666666666664</v>
      </c>
      <c r="AP1046" t="s">
        <v>418</v>
      </c>
      <c r="AU1046" t="s">
        <v>5031</v>
      </c>
      <c r="AV1046" t="s">
        <v>5032</v>
      </c>
      <c r="AY1046" t="s">
        <v>40</v>
      </c>
      <c r="AZ1046">
        <v>0</v>
      </c>
      <c r="BA1046">
        <v>0</v>
      </c>
      <c r="BI1046" s="5">
        <v>44048.176388888889</v>
      </c>
      <c r="BJ1046" s="5">
        <v>44048.176388888889</v>
      </c>
      <c r="BK1046" t="s">
        <v>778</v>
      </c>
      <c r="BL1046" t="s">
        <v>778</v>
      </c>
      <c r="BN1046" t="s">
        <v>37</v>
      </c>
    </row>
    <row r="1047" spans="1:66" x14ac:dyDescent="0.2">
      <c r="A1047">
        <v>3693604</v>
      </c>
      <c r="B1047">
        <v>21883</v>
      </c>
      <c r="C1047">
        <v>523867</v>
      </c>
      <c r="D1047">
        <v>52899</v>
      </c>
      <c r="E1047">
        <v>100</v>
      </c>
      <c r="F1047" t="s">
        <v>37</v>
      </c>
      <c r="G1047">
        <v>1</v>
      </c>
      <c r="H1047" t="s">
        <v>37</v>
      </c>
      <c r="I1047" t="s">
        <v>37</v>
      </c>
      <c r="J1047" t="s">
        <v>775</v>
      </c>
      <c r="K1047" t="s">
        <v>230</v>
      </c>
      <c r="L1047" t="s">
        <v>226</v>
      </c>
      <c r="M1047" t="s">
        <v>422</v>
      </c>
      <c r="N1047" t="s">
        <v>5033</v>
      </c>
      <c r="O1047" t="s">
        <v>4392</v>
      </c>
      <c r="S1047">
        <v>0</v>
      </c>
      <c r="T1047">
        <v>16</v>
      </c>
      <c r="U1047">
        <v>0</v>
      </c>
      <c r="V1047">
        <v>16</v>
      </c>
      <c r="W1047">
        <v>16</v>
      </c>
      <c r="X1047">
        <v>0</v>
      </c>
      <c r="Y1047">
        <v>0</v>
      </c>
      <c r="Z1047">
        <v>0</v>
      </c>
      <c r="AB1047" s="5">
        <v>43893.333333333336</v>
      </c>
      <c r="AC1047" s="5">
        <v>43894.666666666664</v>
      </c>
      <c r="AD1047" s="5">
        <v>43970.333333333336</v>
      </c>
      <c r="AE1047" s="5">
        <v>43970.333333333336</v>
      </c>
      <c r="AG1047" s="5">
        <v>44044</v>
      </c>
      <c r="AH1047" s="5">
        <v>44044</v>
      </c>
      <c r="AK1047" s="5">
        <v>43893.333333333336</v>
      </c>
      <c r="AL1047" s="5">
        <v>43894.666666666664</v>
      </c>
      <c r="AP1047" t="s">
        <v>418</v>
      </c>
      <c r="AU1047" t="s">
        <v>5034</v>
      </c>
      <c r="AV1047" t="s">
        <v>5035</v>
      </c>
      <c r="AY1047" t="s">
        <v>40</v>
      </c>
      <c r="AZ1047">
        <v>0</v>
      </c>
      <c r="BA1047">
        <v>0</v>
      </c>
      <c r="BI1047" s="5">
        <v>44048.176388888889</v>
      </c>
      <c r="BJ1047" s="5">
        <v>44048.176388888889</v>
      </c>
      <c r="BK1047" t="s">
        <v>778</v>
      </c>
      <c r="BL1047" t="s">
        <v>778</v>
      </c>
      <c r="BN1047" t="s">
        <v>37</v>
      </c>
    </row>
    <row r="1048" spans="1:66" x14ac:dyDescent="0.2">
      <c r="A1048">
        <v>3693605</v>
      </c>
      <c r="B1048">
        <v>21883</v>
      </c>
      <c r="C1048">
        <v>523866</v>
      </c>
      <c r="D1048">
        <v>52899</v>
      </c>
      <c r="E1048">
        <v>100</v>
      </c>
      <c r="F1048" t="s">
        <v>37</v>
      </c>
      <c r="G1048">
        <v>1</v>
      </c>
      <c r="H1048" t="s">
        <v>37</v>
      </c>
      <c r="I1048" t="s">
        <v>37</v>
      </c>
      <c r="J1048" t="s">
        <v>775</v>
      </c>
      <c r="K1048" t="s">
        <v>230</v>
      </c>
      <c r="L1048" t="s">
        <v>226</v>
      </c>
      <c r="M1048" t="s">
        <v>422</v>
      </c>
      <c r="N1048" t="s">
        <v>5036</v>
      </c>
      <c r="O1048" t="s">
        <v>2557</v>
      </c>
      <c r="S1048">
        <v>0</v>
      </c>
      <c r="T1048">
        <v>8</v>
      </c>
      <c r="U1048">
        <v>0</v>
      </c>
      <c r="V1048">
        <v>8</v>
      </c>
      <c r="W1048">
        <v>16</v>
      </c>
      <c r="X1048">
        <v>0</v>
      </c>
      <c r="Y1048">
        <v>0</v>
      </c>
      <c r="Z1048">
        <v>0</v>
      </c>
      <c r="AB1048" s="5">
        <v>43755</v>
      </c>
      <c r="AC1048" s="5">
        <v>43755</v>
      </c>
      <c r="AD1048" s="5">
        <v>43970.333333333336</v>
      </c>
      <c r="AE1048" s="5">
        <v>43970.333333333336</v>
      </c>
      <c r="AG1048" s="5">
        <v>44044</v>
      </c>
      <c r="AH1048" s="5">
        <v>44044</v>
      </c>
      <c r="AK1048" s="5">
        <v>43770.333333333336</v>
      </c>
      <c r="AL1048" s="5">
        <v>43773.666666666664</v>
      </c>
      <c r="AP1048" t="s">
        <v>418</v>
      </c>
      <c r="AU1048" t="s">
        <v>5037</v>
      </c>
      <c r="AV1048" t="s">
        <v>5038</v>
      </c>
      <c r="AY1048" t="s">
        <v>40</v>
      </c>
      <c r="AZ1048">
        <v>0</v>
      </c>
      <c r="BA1048">
        <v>0</v>
      </c>
      <c r="BI1048" s="5">
        <v>44048.176388888889</v>
      </c>
      <c r="BJ1048" s="5">
        <v>44048.176388888889</v>
      </c>
      <c r="BK1048" t="s">
        <v>778</v>
      </c>
      <c r="BL1048" t="s">
        <v>778</v>
      </c>
      <c r="BN1048" t="s">
        <v>37</v>
      </c>
    </row>
    <row r="1049" spans="1:66" x14ac:dyDescent="0.2">
      <c r="A1049">
        <v>3693606</v>
      </c>
      <c r="B1049">
        <v>21883</v>
      </c>
      <c r="C1049">
        <v>523866</v>
      </c>
      <c r="D1049">
        <v>52899</v>
      </c>
      <c r="E1049">
        <v>100</v>
      </c>
      <c r="F1049" t="s">
        <v>37</v>
      </c>
      <c r="G1049">
        <v>1</v>
      </c>
      <c r="H1049" t="s">
        <v>37</v>
      </c>
      <c r="I1049" t="s">
        <v>37</v>
      </c>
      <c r="J1049" t="s">
        <v>775</v>
      </c>
      <c r="K1049" t="s">
        <v>230</v>
      </c>
      <c r="L1049" t="s">
        <v>226</v>
      </c>
      <c r="M1049" t="s">
        <v>422</v>
      </c>
      <c r="N1049" t="s">
        <v>5039</v>
      </c>
      <c r="O1049" t="s">
        <v>2561</v>
      </c>
      <c r="S1049">
        <v>0</v>
      </c>
      <c r="T1049">
        <v>16</v>
      </c>
      <c r="U1049">
        <v>0</v>
      </c>
      <c r="V1049">
        <v>16</v>
      </c>
      <c r="W1049">
        <v>16</v>
      </c>
      <c r="X1049">
        <v>0</v>
      </c>
      <c r="Y1049">
        <v>0</v>
      </c>
      <c r="Z1049">
        <v>0</v>
      </c>
      <c r="AB1049" s="5">
        <v>43768</v>
      </c>
      <c r="AC1049" s="5">
        <v>43769</v>
      </c>
      <c r="AD1049" s="5">
        <v>43970.333333333336</v>
      </c>
      <c r="AE1049" s="5">
        <v>43970.333333333336</v>
      </c>
      <c r="AG1049" s="5">
        <v>44044</v>
      </c>
      <c r="AH1049" s="5">
        <v>44044</v>
      </c>
      <c r="AK1049" s="5">
        <v>43802.333333333336</v>
      </c>
      <c r="AL1049" s="5">
        <v>43803.666666666664</v>
      </c>
      <c r="AP1049" t="s">
        <v>418</v>
      </c>
      <c r="AU1049" t="s">
        <v>5040</v>
      </c>
      <c r="AV1049" t="s">
        <v>5041</v>
      </c>
      <c r="AY1049" t="s">
        <v>40</v>
      </c>
      <c r="AZ1049">
        <v>0</v>
      </c>
      <c r="BA1049">
        <v>0</v>
      </c>
      <c r="BI1049" s="5">
        <v>44048.176388888889</v>
      </c>
      <c r="BJ1049" s="5">
        <v>44048.176388888889</v>
      </c>
      <c r="BK1049" t="s">
        <v>778</v>
      </c>
      <c r="BL1049" t="s">
        <v>778</v>
      </c>
      <c r="BN1049" t="s">
        <v>37</v>
      </c>
    </row>
    <row r="1050" spans="1:66" x14ac:dyDescent="0.2">
      <c r="A1050">
        <v>3693607</v>
      </c>
      <c r="B1050">
        <v>21883</v>
      </c>
      <c r="C1050">
        <v>523866</v>
      </c>
      <c r="D1050">
        <v>52899</v>
      </c>
      <c r="E1050">
        <v>100</v>
      </c>
      <c r="F1050" t="s">
        <v>37</v>
      </c>
      <c r="G1050">
        <v>1</v>
      </c>
      <c r="H1050" t="s">
        <v>37</v>
      </c>
      <c r="I1050" t="s">
        <v>37</v>
      </c>
      <c r="J1050" t="s">
        <v>775</v>
      </c>
      <c r="K1050" t="s">
        <v>230</v>
      </c>
      <c r="L1050" t="s">
        <v>226</v>
      </c>
      <c r="M1050" t="s">
        <v>422</v>
      </c>
      <c r="N1050" t="s">
        <v>5042</v>
      </c>
      <c r="O1050" t="s">
        <v>2565</v>
      </c>
      <c r="S1050">
        <v>0</v>
      </c>
      <c r="T1050">
        <v>0</v>
      </c>
      <c r="U1050">
        <v>0</v>
      </c>
      <c r="V1050">
        <v>0</v>
      </c>
      <c r="W1050">
        <v>24</v>
      </c>
      <c r="X1050">
        <v>0</v>
      </c>
      <c r="Y1050">
        <v>0</v>
      </c>
      <c r="Z1050">
        <v>0</v>
      </c>
      <c r="AB1050" s="5">
        <v>43762</v>
      </c>
      <c r="AC1050" s="5">
        <v>43763</v>
      </c>
      <c r="AD1050" s="5">
        <v>43970.333333333336</v>
      </c>
      <c r="AE1050" s="5">
        <v>43970.333333333336</v>
      </c>
      <c r="AG1050" s="5">
        <v>44044</v>
      </c>
      <c r="AH1050" s="5">
        <v>44044</v>
      </c>
      <c r="AK1050" s="5">
        <v>43770.333333333336</v>
      </c>
      <c r="AL1050" s="5">
        <v>43774.666666666664</v>
      </c>
      <c r="AP1050" t="s">
        <v>418</v>
      </c>
      <c r="AU1050" t="s">
        <v>5043</v>
      </c>
      <c r="AV1050" t="s">
        <v>5044</v>
      </c>
      <c r="AY1050" t="s">
        <v>40</v>
      </c>
      <c r="AZ1050">
        <v>0</v>
      </c>
      <c r="BA1050">
        <v>0</v>
      </c>
      <c r="BI1050" s="5">
        <v>44048.176388888889</v>
      </c>
      <c r="BJ1050" s="5">
        <v>44048.176388888889</v>
      </c>
      <c r="BK1050" t="s">
        <v>778</v>
      </c>
      <c r="BL1050" t="s">
        <v>778</v>
      </c>
      <c r="BN1050" t="s">
        <v>37</v>
      </c>
    </row>
    <row r="1051" spans="1:66" x14ac:dyDescent="0.2">
      <c r="A1051">
        <v>3693608</v>
      </c>
      <c r="B1051">
        <v>21883</v>
      </c>
      <c r="C1051">
        <v>523866</v>
      </c>
      <c r="D1051">
        <v>52899</v>
      </c>
      <c r="E1051">
        <v>100</v>
      </c>
      <c r="F1051" t="s">
        <v>37</v>
      </c>
      <c r="G1051">
        <v>1</v>
      </c>
      <c r="H1051" t="s">
        <v>37</v>
      </c>
      <c r="I1051" t="s">
        <v>37</v>
      </c>
      <c r="J1051" t="s">
        <v>775</v>
      </c>
      <c r="K1051" t="s">
        <v>230</v>
      </c>
      <c r="L1051" t="s">
        <v>226</v>
      </c>
      <c r="M1051" t="s">
        <v>422</v>
      </c>
      <c r="N1051" t="s">
        <v>5045</v>
      </c>
      <c r="O1051" t="s">
        <v>2569</v>
      </c>
      <c r="S1051">
        <v>0</v>
      </c>
      <c r="T1051">
        <v>0</v>
      </c>
      <c r="U1051">
        <v>0</v>
      </c>
      <c r="V1051">
        <v>0</v>
      </c>
      <c r="W1051">
        <v>24</v>
      </c>
      <c r="X1051">
        <v>0</v>
      </c>
      <c r="Y1051">
        <v>0</v>
      </c>
      <c r="Z1051">
        <v>0</v>
      </c>
      <c r="AB1051" s="5">
        <v>43766</v>
      </c>
      <c r="AC1051" s="5">
        <v>43767</v>
      </c>
      <c r="AD1051" s="5">
        <v>43970.333333333336</v>
      </c>
      <c r="AE1051" s="5">
        <v>43970.333333333336</v>
      </c>
      <c r="AG1051" s="5">
        <v>44044</v>
      </c>
      <c r="AH1051" s="5">
        <v>44044</v>
      </c>
      <c r="AK1051" s="5">
        <v>43802.333333333336</v>
      </c>
      <c r="AL1051" s="5">
        <v>43804.666666666664</v>
      </c>
      <c r="AP1051" t="s">
        <v>418</v>
      </c>
      <c r="AU1051" t="s">
        <v>5046</v>
      </c>
      <c r="AV1051" t="s">
        <v>5047</v>
      </c>
      <c r="AY1051" t="s">
        <v>40</v>
      </c>
      <c r="AZ1051">
        <v>0</v>
      </c>
      <c r="BA1051">
        <v>0</v>
      </c>
      <c r="BI1051" s="5">
        <v>44048.176388888889</v>
      </c>
      <c r="BJ1051" s="5">
        <v>44048.176388888889</v>
      </c>
      <c r="BK1051" t="s">
        <v>778</v>
      </c>
      <c r="BL1051" t="s">
        <v>778</v>
      </c>
      <c r="BN1051" t="s">
        <v>37</v>
      </c>
    </row>
    <row r="1052" spans="1:66" x14ac:dyDescent="0.2">
      <c r="A1052">
        <v>3693609</v>
      </c>
      <c r="B1052">
        <v>21883</v>
      </c>
      <c r="C1052">
        <v>523866</v>
      </c>
      <c r="D1052">
        <v>52899</v>
      </c>
      <c r="E1052">
        <v>100</v>
      </c>
      <c r="F1052" t="s">
        <v>37</v>
      </c>
      <c r="G1052">
        <v>1</v>
      </c>
      <c r="H1052" t="s">
        <v>37</v>
      </c>
      <c r="I1052" t="s">
        <v>37</v>
      </c>
      <c r="J1052" t="s">
        <v>775</v>
      </c>
      <c r="K1052" t="s">
        <v>230</v>
      </c>
      <c r="L1052" t="s">
        <v>226</v>
      </c>
      <c r="M1052" t="s">
        <v>422</v>
      </c>
      <c r="N1052" t="s">
        <v>5048</v>
      </c>
      <c r="O1052" t="s">
        <v>5049</v>
      </c>
      <c r="S1052">
        <v>0</v>
      </c>
      <c r="T1052">
        <v>8</v>
      </c>
      <c r="U1052">
        <v>0</v>
      </c>
      <c r="V1052">
        <v>8</v>
      </c>
      <c r="W1052">
        <v>8</v>
      </c>
      <c r="X1052">
        <v>0</v>
      </c>
      <c r="Y1052">
        <v>0</v>
      </c>
      <c r="Z1052">
        <v>0</v>
      </c>
      <c r="AB1052" s="5">
        <v>43805</v>
      </c>
      <c r="AC1052" s="5">
        <v>43805</v>
      </c>
      <c r="AD1052" s="5">
        <v>43970.333333333336</v>
      </c>
      <c r="AE1052" s="5">
        <v>43970.333333333336</v>
      </c>
      <c r="AG1052" s="5">
        <v>44044</v>
      </c>
      <c r="AH1052" s="5">
        <v>44044</v>
      </c>
      <c r="AK1052" s="5">
        <v>43836.333333333336</v>
      </c>
      <c r="AL1052" s="5">
        <v>43836.666666666664</v>
      </c>
      <c r="AP1052" t="s">
        <v>418</v>
      </c>
      <c r="AU1052" t="s">
        <v>5050</v>
      </c>
      <c r="AV1052" t="s">
        <v>5051</v>
      </c>
      <c r="AY1052" t="s">
        <v>40</v>
      </c>
      <c r="AZ1052">
        <v>0</v>
      </c>
      <c r="BA1052">
        <v>0</v>
      </c>
      <c r="BI1052" s="5">
        <v>44048.176388888889</v>
      </c>
      <c r="BJ1052" s="5">
        <v>44048.176388888889</v>
      </c>
      <c r="BK1052" t="s">
        <v>778</v>
      </c>
      <c r="BL1052" t="s">
        <v>778</v>
      </c>
      <c r="BN1052" t="s">
        <v>37</v>
      </c>
    </row>
    <row r="1053" spans="1:66" x14ac:dyDescent="0.2">
      <c r="A1053">
        <v>3693610</v>
      </c>
      <c r="B1053">
        <v>21883</v>
      </c>
      <c r="C1053">
        <v>523866</v>
      </c>
      <c r="D1053">
        <v>52895</v>
      </c>
      <c r="E1053">
        <v>100</v>
      </c>
      <c r="F1053" t="s">
        <v>37</v>
      </c>
      <c r="G1053">
        <v>1</v>
      </c>
      <c r="H1053" t="s">
        <v>37</v>
      </c>
      <c r="I1053" t="s">
        <v>37</v>
      </c>
      <c r="J1053" t="s">
        <v>775</v>
      </c>
      <c r="K1053" t="s">
        <v>230</v>
      </c>
      <c r="L1053" t="s">
        <v>226</v>
      </c>
      <c r="M1053" t="s">
        <v>422</v>
      </c>
      <c r="N1053" t="s">
        <v>5052</v>
      </c>
      <c r="O1053" t="s">
        <v>2577</v>
      </c>
      <c r="S1053">
        <v>0</v>
      </c>
      <c r="T1053">
        <v>0</v>
      </c>
      <c r="U1053">
        <v>0</v>
      </c>
      <c r="V1053">
        <v>0</v>
      </c>
      <c r="W1053">
        <v>56</v>
      </c>
      <c r="X1053">
        <v>0</v>
      </c>
      <c r="Y1053">
        <v>0</v>
      </c>
      <c r="Z1053">
        <v>0</v>
      </c>
      <c r="AB1053" s="5">
        <v>43805</v>
      </c>
      <c r="AC1053" s="5">
        <v>43812</v>
      </c>
      <c r="AD1053" s="5">
        <v>43970.333333333336</v>
      </c>
      <c r="AE1053" s="5">
        <v>43970.333333333336</v>
      </c>
      <c r="AG1053" s="5">
        <v>44044</v>
      </c>
      <c r="AH1053" s="5">
        <v>44044</v>
      </c>
      <c r="AK1053" s="5">
        <v>43834.333333333336</v>
      </c>
      <c r="AL1053" s="5">
        <v>43840.666666666664</v>
      </c>
      <c r="AP1053" t="s">
        <v>418</v>
      </c>
      <c r="AU1053" t="s">
        <v>5053</v>
      </c>
      <c r="AV1053" t="s">
        <v>5054</v>
      </c>
      <c r="AY1053" t="s">
        <v>40</v>
      </c>
      <c r="AZ1053">
        <v>0</v>
      </c>
      <c r="BA1053">
        <v>0</v>
      </c>
      <c r="BI1053" s="5">
        <v>44048.176388888889</v>
      </c>
      <c r="BJ1053" s="5">
        <v>44048.176388888889</v>
      </c>
      <c r="BK1053" t="s">
        <v>778</v>
      </c>
      <c r="BL1053" t="s">
        <v>778</v>
      </c>
      <c r="BN1053" t="s">
        <v>37</v>
      </c>
    </row>
    <row r="1054" spans="1:66" x14ac:dyDescent="0.2">
      <c r="A1054">
        <v>3693611</v>
      </c>
      <c r="B1054">
        <v>21883</v>
      </c>
      <c r="C1054">
        <v>523866</v>
      </c>
      <c r="D1054">
        <v>52899</v>
      </c>
      <c r="E1054">
        <v>100</v>
      </c>
      <c r="F1054" t="s">
        <v>37</v>
      </c>
      <c r="G1054">
        <v>1</v>
      </c>
      <c r="H1054" t="s">
        <v>37</v>
      </c>
      <c r="I1054" t="s">
        <v>37</v>
      </c>
      <c r="J1054" t="s">
        <v>775</v>
      </c>
      <c r="K1054" t="s">
        <v>230</v>
      </c>
      <c r="L1054" t="s">
        <v>226</v>
      </c>
      <c r="M1054" t="s">
        <v>422</v>
      </c>
      <c r="N1054" t="s">
        <v>5055</v>
      </c>
      <c r="O1054" t="s">
        <v>3764</v>
      </c>
      <c r="S1054">
        <v>0</v>
      </c>
      <c r="T1054">
        <v>0</v>
      </c>
      <c r="U1054">
        <v>0</v>
      </c>
      <c r="V1054">
        <v>0</v>
      </c>
      <c r="W1054">
        <v>8</v>
      </c>
      <c r="X1054">
        <v>0</v>
      </c>
      <c r="Y1054">
        <v>0</v>
      </c>
      <c r="Z1054">
        <v>0</v>
      </c>
      <c r="AB1054" s="5">
        <v>43755</v>
      </c>
      <c r="AC1054" s="5">
        <v>43755</v>
      </c>
      <c r="AD1054" s="5">
        <v>43970.333333333336</v>
      </c>
      <c r="AE1054" s="5">
        <v>43970.333333333336</v>
      </c>
      <c r="AG1054" s="5">
        <v>44044</v>
      </c>
      <c r="AH1054" s="5">
        <v>44044</v>
      </c>
      <c r="AK1054" s="5">
        <v>43770.333333333336</v>
      </c>
      <c r="AL1054" s="5">
        <v>43770.666666666664</v>
      </c>
      <c r="AP1054" t="s">
        <v>418</v>
      </c>
      <c r="AU1054" t="s">
        <v>5056</v>
      </c>
      <c r="AV1054" t="s">
        <v>5057</v>
      </c>
      <c r="AY1054" t="s">
        <v>40</v>
      </c>
      <c r="AZ1054">
        <v>0</v>
      </c>
      <c r="BA1054">
        <v>0</v>
      </c>
      <c r="BI1054" s="5">
        <v>44048.176388888889</v>
      </c>
      <c r="BJ1054" s="5">
        <v>44048.176388888889</v>
      </c>
      <c r="BK1054" t="s">
        <v>778</v>
      </c>
      <c r="BL1054" t="s">
        <v>778</v>
      </c>
      <c r="BN1054" t="s">
        <v>37</v>
      </c>
    </row>
    <row r="1055" spans="1:66" x14ac:dyDescent="0.2">
      <c r="A1055">
        <v>3693612</v>
      </c>
      <c r="B1055">
        <v>21883</v>
      </c>
      <c r="C1055">
        <v>523866</v>
      </c>
      <c r="D1055">
        <v>52899</v>
      </c>
      <c r="E1055">
        <v>100</v>
      </c>
      <c r="F1055" t="s">
        <v>37</v>
      </c>
      <c r="G1055">
        <v>1</v>
      </c>
      <c r="H1055" t="s">
        <v>37</v>
      </c>
      <c r="I1055" t="s">
        <v>37</v>
      </c>
      <c r="J1055" t="s">
        <v>775</v>
      </c>
      <c r="K1055" t="s">
        <v>230</v>
      </c>
      <c r="L1055" t="s">
        <v>226</v>
      </c>
      <c r="M1055" t="s">
        <v>422</v>
      </c>
      <c r="N1055" t="s">
        <v>5058</v>
      </c>
      <c r="O1055" t="s">
        <v>4280</v>
      </c>
      <c r="S1055">
        <v>0</v>
      </c>
      <c r="T1055">
        <v>0</v>
      </c>
      <c r="U1055">
        <v>0</v>
      </c>
      <c r="V1055">
        <v>0</v>
      </c>
      <c r="W1055">
        <v>8</v>
      </c>
      <c r="X1055">
        <v>0</v>
      </c>
      <c r="Y1055">
        <v>0</v>
      </c>
      <c r="Z1055">
        <v>0</v>
      </c>
      <c r="AB1055" s="5">
        <v>43755</v>
      </c>
      <c r="AC1055" s="5">
        <v>43755</v>
      </c>
      <c r="AD1055" s="5">
        <v>43970.333333333336</v>
      </c>
      <c r="AE1055" s="5">
        <v>43970.333333333336</v>
      </c>
      <c r="AG1055" s="5">
        <v>44044</v>
      </c>
      <c r="AH1055" s="5">
        <v>44044</v>
      </c>
      <c r="AK1055" s="5">
        <v>43770.333333333336</v>
      </c>
      <c r="AL1055" s="5">
        <v>43770.666666666664</v>
      </c>
      <c r="AP1055" t="s">
        <v>418</v>
      </c>
      <c r="AU1055" t="s">
        <v>5059</v>
      </c>
      <c r="AV1055" t="s">
        <v>5060</v>
      </c>
      <c r="AY1055" t="s">
        <v>40</v>
      </c>
      <c r="AZ1055">
        <v>0</v>
      </c>
      <c r="BA1055">
        <v>0</v>
      </c>
      <c r="BI1055" s="5">
        <v>44048.176388888889</v>
      </c>
      <c r="BJ1055" s="5">
        <v>44048.176388888889</v>
      </c>
      <c r="BK1055" t="s">
        <v>778</v>
      </c>
      <c r="BL1055" t="s">
        <v>778</v>
      </c>
      <c r="BN1055" t="s">
        <v>37</v>
      </c>
    </row>
    <row r="1056" spans="1:66" x14ac:dyDescent="0.2">
      <c r="A1056">
        <v>3693613</v>
      </c>
      <c r="B1056">
        <v>21883</v>
      </c>
      <c r="C1056">
        <v>523866</v>
      </c>
      <c r="D1056">
        <v>52899</v>
      </c>
      <c r="E1056">
        <v>100</v>
      </c>
      <c r="F1056" t="s">
        <v>37</v>
      </c>
      <c r="G1056">
        <v>1</v>
      </c>
      <c r="H1056" t="s">
        <v>37</v>
      </c>
      <c r="I1056" t="s">
        <v>37</v>
      </c>
      <c r="J1056" t="s">
        <v>775</v>
      </c>
      <c r="K1056" t="s">
        <v>230</v>
      </c>
      <c r="L1056" t="s">
        <v>226</v>
      </c>
      <c r="M1056" t="s">
        <v>422</v>
      </c>
      <c r="N1056" t="s">
        <v>5061</v>
      </c>
      <c r="O1056" t="s">
        <v>4395</v>
      </c>
      <c r="S1056">
        <v>0</v>
      </c>
      <c r="T1056">
        <v>16</v>
      </c>
      <c r="U1056">
        <v>0</v>
      </c>
      <c r="V1056">
        <v>16</v>
      </c>
      <c r="W1056">
        <v>16</v>
      </c>
      <c r="X1056">
        <v>0</v>
      </c>
      <c r="Y1056">
        <v>0</v>
      </c>
      <c r="Z1056">
        <v>0</v>
      </c>
      <c r="AB1056" s="5">
        <v>43756</v>
      </c>
      <c r="AC1056" s="5">
        <v>43756</v>
      </c>
      <c r="AD1056" s="5">
        <v>43970.333333333336</v>
      </c>
      <c r="AE1056" s="5">
        <v>43970.333333333336</v>
      </c>
      <c r="AG1056" s="5">
        <v>44044</v>
      </c>
      <c r="AH1056" s="5">
        <v>44044</v>
      </c>
      <c r="AK1056" s="5">
        <v>43774.333333333336</v>
      </c>
      <c r="AL1056" s="5">
        <v>43776.666666666664</v>
      </c>
      <c r="AP1056" t="s">
        <v>418</v>
      </c>
      <c r="AU1056" t="s">
        <v>5062</v>
      </c>
      <c r="AV1056" t="s">
        <v>5063</v>
      </c>
      <c r="AY1056" t="s">
        <v>40</v>
      </c>
      <c r="AZ1056">
        <v>0</v>
      </c>
      <c r="BA1056">
        <v>0</v>
      </c>
      <c r="BI1056" s="5">
        <v>44048.176388888889</v>
      </c>
      <c r="BJ1056" s="5">
        <v>44048.176388888889</v>
      </c>
      <c r="BK1056" t="s">
        <v>778</v>
      </c>
      <c r="BL1056" t="s">
        <v>778</v>
      </c>
      <c r="BN1056" t="s">
        <v>37</v>
      </c>
    </row>
    <row r="1057" spans="1:66" x14ac:dyDescent="0.2">
      <c r="A1057">
        <v>3693614</v>
      </c>
      <c r="B1057">
        <v>21883</v>
      </c>
      <c r="C1057">
        <v>523866</v>
      </c>
      <c r="D1057">
        <v>52899</v>
      </c>
      <c r="E1057">
        <v>100</v>
      </c>
      <c r="F1057" t="s">
        <v>37</v>
      </c>
      <c r="G1057">
        <v>1</v>
      </c>
      <c r="H1057" t="s">
        <v>37</v>
      </c>
      <c r="I1057" t="s">
        <v>37</v>
      </c>
      <c r="J1057" t="s">
        <v>775</v>
      </c>
      <c r="K1057" t="s">
        <v>230</v>
      </c>
      <c r="L1057" t="s">
        <v>226</v>
      </c>
      <c r="M1057" t="s">
        <v>422</v>
      </c>
      <c r="N1057" t="s">
        <v>5064</v>
      </c>
      <c r="O1057" t="s">
        <v>4399</v>
      </c>
      <c r="S1057">
        <v>0</v>
      </c>
      <c r="T1057">
        <v>16</v>
      </c>
      <c r="U1057">
        <v>0</v>
      </c>
      <c r="V1057">
        <v>16</v>
      </c>
      <c r="W1057">
        <v>16</v>
      </c>
      <c r="X1057">
        <v>0</v>
      </c>
      <c r="Y1057">
        <v>0</v>
      </c>
      <c r="Z1057">
        <v>0</v>
      </c>
      <c r="AB1057" s="5">
        <v>43780</v>
      </c>
      <c r="AC1057" s="5">
        <v>43796</v>
      </c>
      <c r="AD1057" s="5">
        <v>43970.333333333336</v>
      </c>
      <c r="AE1057" s="5">
        <v>43970.333333333336</v>
      </c>
      <c r="AG1057" s="5">
        <v>44044</v>
      </c>
      <c r="AH1057" s="5">
        <v>44044</v>
      </c>
      <c r="AK1057" s="5">
        <v>43802.333333333336</v>
      </c>
      <c r="AL1057" s="5">
        <v>43803.666666666664</v>
      </c>
      <c r="AP1057" t="s">
        <v>418</v>
      </c>
      <c r="AU1057" t="s">
        <v>5065</v>
      </c>
      <c r="AV1057" t="s">
        <v>5066</v>
      </c>
      <c r="AY1057" t="s">
        <v>40</v>
      </c>
      <c r="AZ1057">
        <v>0</v>
      </c>
      <c r="BA1057">
        <v>0</v>
      </c>
      <c r="BI1057" s="5">
        <v>44048.176388888889</v>
      </c>
      <c r="BJ1057" s="5">
        <v>44048.176388888889</v>
      </c>
      <c r="BK1057" t="s">
        <v>778</v>
      </c>
      <c r="BL1057" t="s">
        <v>778</v>
      </c>
      <c r="BN1057" t="s">
        <v>37</v>
      </c>
    </row>
    <row r="1058" spans="1:66" x14ac:dyDescent="0.2">
      <c r="A1058">
        <v>3693615</v>
      </c>
      <c r="B1058">
        <v>21883</v>
      </c>
      <c r="C1058">
        <v>523866</v>
      </c>
      <c r="D1058">
        <v>52899</v>
      </c>
      <c r="E1058">
        <v>100</v>
      </c>
      <c r="F1058" t="s">
        <v>37</v>
      </c>
      <c r="G1058">
        <v>1</v>
      </c>
      <c r="H1058" t="s">
        <v>37</v>
      </c>
      <c r="I1058" t="s">
        <v>37</v>
      </c>
      <c r="J1058" t="s">
        <v>775</v>
      </c>
      <c r="K1058" t="s">
        <v>230</v>
      </c>
      <c r="L1058" t="s">
        <v>226</v>
      </c>
      <c r="M1058" t="s">
        <v>422</v>
      </c>
      <c r="N1058" t="s">
        <v>5067</v>
      </c>
      <c r="O1058" t="s">
        <v>4403</v>
      </c>
      <c r="S1058">
        <v>0</v>
      </c>
      <c r="T1058">
        <v>24</v>
      </c>
      <c r="U1058">
        <v>0</v>
      </c>
      <c r="V1058">
        <v>24</v>
      </c>
      <c r="W1058">
        <v>24</v>
      </c>
      <c r="X1058">
        <v>0</v>
      </c>
      <c r="Y1058">
        <v>0</v>
      </c>
      <c r="Z1058">
        <v>0</v>
      </c>
      <c r="AB1058" s="5">
        <v>43770</v>
      </c>
      <c r="AC1058" s="5">
        <v>43773</v>
      </c>
      <c r="AD1058" s="5">
        <v>43970.333333333336</v>
      </c>
      <c r="AE1058" s="5">
        <v>43970.333333333336</v>
      </c>
      <c r="AG1058" s="5">
        <v>44044</v>
      </c>
      <c r="AH1058" s="5">
        <v>44044</v>
      </c>
      <c r="AK1058" s="5">
        <v>43802.333333333336</v>
      </c>
      <c r="AL1058" s="5">
        <v>43804.666666666664</v>
      </c>
      <c r="AP1058" t="s">
        <v>418</v>
      </c>
      <c r="AU1058" t="s">
        <v>5068</v>
      </c>
      <c r="AV1058" t="s">
        <v>5069</v>
      </c>
      <c r="AY1058" t="s">
        <v>40</v>
      </c>
      <c r="AZ1058">
        <v>0</v>
      </c>
      <c r="BA1058">
        <v>0</v>
      </c>
      <c r="BI1058" s="5">
        <v>44048.176388888889</v>
      </c>
      <c r="BJ1058" s="5">
        <v>44048.176388888889</v>
      </c>
      <c r="BK1058" t="s">
        <v>778</v>
      </c>
      <c r="BL1058" t="s">
        <v>778</v>
      </c>
      <c r="BN1058" t="s">
        <v>37</v>
      </c>
    </row>
    <row r="1059" spans="1:66" x14ac:dyDescent="0.2">
      <c r="A1059">
        <v>3693616</v>
      </c>
      <c r="B1059">
        <v>21883</v>
      </c>
      <c r="C1059">
        <v>523866</v>
      </c>
      <c r="D1059">
        <v>52899</v>
      </c>
      <c r="E1059">
        <v>100</v>
      </c>
      <c r="F1059" t="s">
        <v>37</v>
      </c>
      <c r="G1059">
        <v>1</v>
      </c>
      <c r="H1059" t="s">
        <v>37</v>
      </c>
      <c r="I1059" t="s">
        <v>37</v>
      </c>
      <c r="J1059" t="s">
        <v>775</v>
      </c>
      <c r="K1059" t="s">
        <v>230</v>
      </c>
      <c r="L1059" t="s">
        <v>226</v>
      </c>
      <c r="M1059" t="s">
        <v>422</v>
      </c>
      <c r="N1059" t="s">
        <v>5070</v>
      </c>
      <c r="O1059" t="s">
        <v>4407</v>
      </c>
      <c r="S1059">
        <v>0</v>
      </c>
      <c r="T1059">
        <v>16</v>
      </c>
      <c r="U1059">
        <v>0</v>
      </c>
      <c r="V1059">
        <v>16</v>
      </c>
      <c r="W1059">
        <v>16</v>
      </c>
      <c r="X1059">
        <v>0</v>
      </c>
      <c r="Y1059">
        <v>0</v>
      </c>
      <c r="Z1059">
        <v>0</v>
      </c>
      <c r="AB1059" s="5">
        <v>43791</v>
      </c>
      <c r="AC1059" s="5">
        <v>43791</v>
      </c>
      <c r="AD1059" s="5">
        <v>43970.333333333336</v>
      </c>
      <c r="AE1059" s="5">
        <v>43970.333333333336</v>
      </c>
      <c r="AG1059" s="5">
        <v>44044</v>
      </c>
      <c r="AH1059" s="5">
        <v>44044</v>
      </c>
      <c r="AK1059" s="5">
        <v>43802.333333333336</v>
      </c>
      <c r="AL1059" s="5">
        <v>43803.666666666664</v>
      </c>
      <c r="AP1059" t="s">
        <v>418</v>
      </c>
      <c r="AU1059" t="s">
        <v>5071</v>
      </c>
      <c r="AV1059" t="s">
        <v>5072</v>
      </c>
      <c r="AY1059" t="s">
        <v>40</v>
      </c>
      <c r="AZ1059">
        <v>0</v>
      </c>
      <c r="BA1059">
        <v>0</v>
      </c>
      <c r="BI1059" s="5">
        <v>44048.176388888889</v>
      </c>
      <c r="BJ1059" s="5">
        <v>44048.176388888889</v>
      </c>
      <c r="BK1059" t="s">
        <v>778</v>
      </c>
      <c r="BL1059" t="s">
        <v>778</v>
      </c>
      <c r="BN1059" t="s">
        <v>37</v>
      </c>
    </row>
    <row r="1060" spans="1:66" x14ac:dyDescent="0.2">
      <c r="A1060">
        <v>3693617</v>
      </c>
      <c r="B1060">
        <v>21883</v>
      </c>
      <c r="C1060">
        <v>523866</v>
      </c>
      <c r="D1060">
        <v>52899</v>
      </c>
      <c r="E1060">
        <v>100</v>
      </c>
      <c r="F1060" t="s">
        <v>37</v>
      </c>
      <c r="G1060">
        <v>1</v>
      </c>
      <c r="H1060" t="s">
        <v>37</v>
      </c>
      <c r="I1060" t="s">
        <v>37</v>
      </c>
      <c r="J1060" t="s">
        <v>775</v>
      </c>
      <c r="K1060" t="s">
        <v>230</v>
      </c>
      <c r="L1060" t="s">
        <v>226</v>
      </c>
      <c r="M1060" t="s">
        <v>422</v>
      </c>
      <c r="N1060" t="s">
        <v>5073</v>
      </c>
      <c r="O1060" t="s">
        <v>4411</v>
      </c>
      <c r="S1060">
        <v>0</v>
      </c>
      <c r="T1060">
        <v>24</v>
      </c>
      <c r="U1060">
        <v>0</v>
      </c>
      <c r="V1060">
        <v>24</v>
      </c>
      <c r="W1060">
        <v>24</v>
      </c>
      <c r="X1060">
        <v>0</v>
      </c>
      <c r="Y1060">
        <v>0</v>
      </c>
      <c r="Z1060">
        <v>0</v>
      </c>
      <c r="AB1060" s="5">
        <v>43795</v>
      </c>
      <c r="AC1060" s="5">
        <v>43795</v>
      </c>
      <c r="AD1060" s="5">
        <v>43970.333333333336</v>
      </c>
      <c r="AE1060" s="5">
        <v>43970.333333333336</v>
      </c>
      <c r="AG1060" s="5">
        <v>44044</v>
      </c>
      <c r="AH1060" s="5">
        <v>44044</v>
      </c>
      <c r="AK1060" s="5">
        <v>43802.333333333336</v>
      </c>
      <c r="AL1060" s="5">
        <v>43804.666666666664</v>
      </c>
      <c r="AP1060" t="s">
        <v>418</v>
      </c>
      <c r="AU1060" t="s">
        <v>5074</v>
      </c>
      <c r="AV1060" t="s">
        <v>5075</v>
      </c>
      <c r="AY1060" t="s">
        <v>40</v>
      </c>
      <c r="AZ1060">
        <v>0</v>
      </c>
      <c r="BA1060">
        <v>0</v>
      </c>
      <c r="BI1060" s="5">
        <v>44048.176388888889</v>
      </c>
      <c r="BJ1060" s="5">
        <v>44048.176388888889</v>
      </c>
      <c r="BK1060" t="s">
        <v>778</v>
      </c>
      <c r="BL1060" t="s">
        <v>778</v>
      </c>
      <c r="BN1060" t="s">
        <v>37</v>
      </c>
    </row>
    <row r="1061" spans="1:66" x14ac:dyDescent="0.2">
      <c r="A1061">
        <v>3693618</v>
      </c>
      <c r="B1061">
        <v>21883</v>
      </c>
      <c r="C1061">
        <v>523866</v>
      </c>
      <c r="D1061">
        <v>52899</v>
      </c>
      <c r="E1061">
        <v>100</v>
      </c>
      <c r="F1061" t="s">
        <v>37</v>
      </c>
      <c r="G1061">
        <v>1</v>
      </c>
      <c r="H1061" t="s">
        <v>37</v>
      </c>
      <c r="I1061" t="s">
        <v>37</v>
      </c>
      <c r="J1061" t="s">
        <v>775</v>
      </c>
      <c r="K1061" t="s">
        <v>230</v>
      </c>
      <c r="L1061" t="s">
        <v>226</v>
      </c>
      <c r="M1061" t="s">
        <v>422</v>
      </c>
      <c r="N1061" t="s">
        <v>5076</v>
      </c>
      <c r="O1061" t="s">
        <v>5077</v>
      </c>
      <c r="S1061">
        <v>0</v>
      </c>
      <c r="T1061">
        <v>24</v>
      </c>
      <c r="U1061">
        <v>0</v>
      </c>
      <c r="V1061">
        <v>24</v>
      </c>
      <c r="W1061">
        <v>24</v>
      </c>
      <c r="X1061">
        <v>0</v>
      </c>
      <c r="Y1061">
        <v>0</v>
      </c>
      <c r="Z1061">
        <v>0</v>
      </c>
      <c r="AB1061" s="5">
        <v>43812</v>
      </c>
      <c r="AC1061" s="5">
        <v>43812</v>
      </c>
      <c r="AD1061" s="5">
        <v>43970.333333333336</v>
      </c>
      <c r="AE1061" s="5">
        <v>43970.333333333336</v>
      </c>
      <c r="AG1061" s="5">
        <v>44044</v>
      </c>
      <c r="AH1061" s="5">
        <v>44044</v>
      </c>
      <c r="AK1061" s="5">
        <v>43836.333333333336</v>
      </c>
      <c r="AL1061" s="5">
        <v>43838.666666666664</v>
      </c>
      <c r="AP1061" t="s">
        <v>418</v>
      </c>
      <c r="AU1061" t="s">
        <v>5078</v>
      </c>
      <c r="AV1061" t="e" cm="1">
        <f t="array" ref="AV1061">+zSdVqiNfUGAgaLAOoccfw</f>
        <v>#NAME?</v>
      </c>
      <c r="AY1061" t="s">
        <v>40</v>
      </c>
      <c r="AZ1061">
        <v>0</v>
      </c>
      <c r="BA1061">
        <v>0</v>
      </c>
      <c r="BI1061" s="5">
        <v>44048.176388888889</v>
      </c>
      <c r="BJ1061" s="5">
        <v>44048.176388888889</v>
      </c>
      <c r="BK1061" t="s">
        <v>778</v>
      </c>
      <c r="BL1061" t="s">
        <v>778</v>
      </c>
      <c r="BN1061" t="s">
        <v>37</v>
      </c>
    </row>
    <row r="1062" spans="1:66" x14ac:dyDescent="0.2">
      <c r="A1062">
        <v>3693619</v>
      </c>
      <c r="B1062">
        <v>21883</v>
      </c>
      <c r="C1062">
        <v>523866</v>
      </c>
      <c r="D1062">
        <v>52899</v>
      </c>
      <c r="E1062">
        <v>100</v>
      </c>
      <c r="F1062" t="s">
        <v>37</v>
      </c>
      <c r="G1062">
        <v>1</v>
      </c>
      <c r="H1062" t="s">
        <v>37</v>
      </c>
      <c r="I1062" t="s">
        <v>37</v>
      </c>
      <c r="J1062" t="s">
        <v>775</v>
      </c>
      <c r="K1062" t="s">
        <v>230</v>
      </c>
      <c r="L1062" t="s">
        <v>226</v>
      </c>
      <c r="M1062" t="s">
        <v>422</v>
      </c>
      <c r="N1062" t="s">
        <v>5079</v>
      </c>
      <c r="O1062" t="s">
        <v>4418</v>
      </c>
      <c r="S1062">
        <v>0</v>
      </c>
      <c r="T1062">
        <v>16</v>
      </c>
      <c r="U1062">
        <v>0</v>
      </c>
      <c r="V1062">
        <v>16</v>
      </c>
      <c r="W1062">
        <v>16</v>
      </c>
      <c r="X1062">
        <v>0</v>
      </c>
      <c r="Y1062">
        <v>0</v>
      </c>
      <c r="Z1062">
        <v>0</v>
      </c>
      <c r="AB1062" s="5">
        <v>43893.333333333336</v>
      </c>
      <c r="AC1062" s="5">
        <v>43894.666666666664</v>
      </c>
      <c r="AD1062" s="5">
        <v>43970.333333333336</v>
      </c>
      <c r="AE1062" s="5">
        <v>43970.333333333336</v>
      </c>
      <c r="AG1062" s="5">
        <v>44044</v>
      </c>
      <c r="AH1062" s="5">
        <v>44044</v>
      </c>
      <c r="AK1062" s="5">
        <v>43893.333333333336</v>
      </c>
      <c r="AL1062" s="5">
        <v>43894.666666666664</v>
      </c>
      <c r="AP1062" t="s">
        <v>418</v>
      </c>
      <c r="AU1062" t="s">
        <v>5080</v>
      </c>
      <c r="AV1062" t="s">
        <v>5081</v>
      </c>
      <c r="AY1062" t="s">
        <v>40</v>
      </c>
      <c r="AZ1062">
        <v>0</v>
      </c>
      <c r="BA1062">
        <v>0</v>
      </c>
      <c r="BI1062" s="5">
        <v>44048.176388888889</v>
      </c>
      <c r="BJ1062" s="5">
        <v>44048.176388888889</v>
      </c>
      <c r="BK1062" t="s">
        <v>778</v>
      </c>
      <c r="BL1062" t="s">
        <v>778</v>
      </c>
      <c r="BN1062" t="s">
        <v>37</v>
      </c>
    </row>
    <row r="1063" spans="1:66" x14ac:dyDescent="0.2">
      <c r="A1063">
        <v>3693620</v>
      </c>
      <c r="B1063">
        <v>21883</v>
      </c>
      <c r="C1063">
        <v>523865</v>
      </c>
      <c r="D1063">
        <v>52899</v>
      </c>
      <c r="E1063">
        <v>100</v>
      </c>
      <c r="F1063" t="s">
        <v>37</v>
      </c>
      <c r="G1063">
        <v>1</v>
      </c>
      <c r="H1063" t="s">
        <v>37</v>
      </c>
      <c r="I1063" t="s">
        <v>37</v>
      </c>
      <c r="J1063" t="s">
        <v>775</v>
      </c>
      <c r="K1063" t="s">
        <v>230</v>
      </c>
      <c r="L1063" t="s">
        <v>226</v>
      </c>
      <c r="M1063" t="s">
        <v>422</v>
      </c>
      <c r="N1063" t="s">
        <v>5082</v>
      </c>
      <c r="O1063" t="s">
        <v>2581</v>
      </c>
      <c r="S1063">
        <v>0</v>
      </c>
      <c r="T1063">
        <v>8</v>
      </c>
      <c r="U1063">
        <v>0</v>
      </c>
      <c r="V1063">
        <v>8</v>
      </c>
      <c r="W1063">
        <v>16</v>
      </c>
      <c r="X1063">
        <v>0</v>
      </c>
      <c r="Y1063">
        <v>0</v>
      </c>
      <c r="Z1063">
        <v>0</v>
      </c>
      <c r="AB1063" s="5">
        <v>43762</v>
      </c>
      <c r="AC1063" s="5">
        <v>43762</v>
      </c>
      <c r="AD1063" s="5">
        <v>43970.333333333336</v>
      </c>
      <c r="AE1063" s="5">
        <v>43970.333333333336</v>
      </c>
      <c r="AG1063" s="5">
        <v>44044</v>
      </c>
      <c r="AH1063" s="5">
        <v>44044</v>
      </c>
      <c r="AK1063" s="5">
        <v>43770.333333333336</v>
      </c>
      <c r="AL1063" s="5">
        <v>43773.666666666664</v>
      </c>
      <c r="AP1063" t="s">
        <v>418</v>
      </c>
      <c r="AU1063" t="s">
        <v>5083</v>
      </c>
      <c r="AV1063" t="s">
        <v>5084</v>
      </c>
      <c r="AY1063" t="s">
        <v>40</v>
      </c>
      <c r="AZ1063">
        <v>0</v>
      </c>
      <c r="BA1063">
        <v>0</v>
      </c>
      <c r="BI1063" s="5">
        <v>44048.176388888889</v>
      </c>
      <c r="BJ1063" s="5">
        <v>44048.176388888889</v>
      </c>
      <c r="BK1063" t="s">
        <v>778</v>
      </c>
      <c r="BL1063" t="s">
        <v>778</v>
      </c>
      <c r="BN1063" t="s">
        <v>37</v>
      </c>
    </row>
    <row r="1064" spans="1:66" x14ac:dyDescent="0.2">
      <c r="A1064">
        <v>3693621</v>
      </c>
      <c r="B1064">
        <v>21883</v>
      </c>
      <c r="C1064">
        <v>523999</v>
      </c>
      <c r="D1064">
        <v>52899</v>
      </c>
      <c r="E1064">
        <v>100</v>
      </c>
      <c r="F1064" t="s">
        <v>37</v>
      </c>
      <c r="G1064">
        <v>1</v>
      </c>
      <c r="H1064" t="s">
        <v>37</v>
      </c>
      <c r="I1064" t="s">
        <v>37</v>
      </c>
      <c r="J1064" t="s">
        <v>775</v>
      </c>
      <c r="K1064" t="s">
        <v>230</v>
      </c>
      <c r="L1064" t="s">
        <v>226</v>
      </c>
      <c r="M1064" t="s">
        <v>422</v>
      </c>
      <c r="N1064" t="s">
        <v>5085</v>
      </c>
      <c r="O1064" t="s">
        <v>5086</v>
      </c>
      <c r="S1064">
        <v>0</v>
      </c>
      <c r="T1064">
        <v>16</v>
      </c>
      <c r="U1064">
        <v>0</v>
      </c>
      <c r="V1064">
        <v>16</v>
      </c>
      <c r="W1064">
        <v>16</v>
      </c>
      <c r="X1064">
        <v>0</v>
      </c>
      <c r="Y1064">
        <v>0</v>
      </c>
      <c r="Z1064">
        <v>0</v>
      </c>
      <c r="AB1064" s="5">
        <v>43831</v>
      </c>
      <c r="AC1064" s="5">
        <v>43831</v>
      </c>
      <c r="AD1064" s="5">
        <v>44306.666666666664</v>
      </c>
      <c r="AE1064" s="5">
        <v>44306.666666666664</v>
      </c>
      <c r="AG1064" s="5">
        <v>44044</v>
      </c>
      <c r="AH1064" s="5">
        <v>44044</v>
      </c>
      <c r="AK1064" s="5">
        <v>43832.333333333336</v>
      </c>
      <c r="AL1064" s="5">
        <v>43833.666666666664</v>
      </c>
      <c r="AP1064" t="s">
        <v>418</v>
      </c>
      <c r="AU1064" t="e" cm="1">
        <f t="array" ref="AU1064">+K+lf8deh02hnMwdOzYebQ</f>
        <v>#NAME?</v>
      </c>
      <c r="AV1064" t="s">
        <v>5087</v>
      </c>
      <c r="AY1064" t="s">
        <v>37</v>
      </c>
      <c r="AZ1064">
        <v>0</v>
      </c>
      <c r="BA1064">
        <v>0</v>
      </c>
      <c r="BI1064" s="5">
        <v>44048.176388888889</v>
      </c>
      <c r="BJ1064" s="5">
        <v>44048.176388888889</v>
      </c>
      <c r="BK1064" t="s">
        <v>778</v>
      </c>
      <c r="BL1064" t="s">
        <v>778</v>
      </c>
      <c r="BN1064" t="s">
        <v>37</v>
      </c>
    </row>
    <row r="1065" spans="1:66" x14ac:dyDescent="0.2">
      <c r="A1065">
        <v>3693622</v>
      </c>
      <c r="B1065">
        <v>21883</v>
      </c>
      <c r="C1065">
        <v>523865</v>
      </c>
      <c r="D1065">
        <v>52899</v>
      </c>
      <c r="E1065">
        <v>100</v>
      </c>
      <c r="F1065" t="s">
        <v>37</v>
      </c>
      <c r="G1065">
        <v>1</v>
      </c>
      <c r="H1065" t="s">
        <v>37</v>
      </c>
      <c r="I1065" t="s">
        <v>37</v>
      </c>
      <c r="J1065" t="s">
        <v>775</v>
      </c>
      <c r="K1065" t="s">
        <v>230</v>
      </c>
      <c r="L1065" t="s">
        <v>226</v>
      </c>
      <c r="M1065" t="s">
        <v>422</v>
      </c>
      <c r="N1065" t="s">
        <v>5088</v>
      </c>
      <c r="O1065" t="s">
        <v>2589</v>
      </c>
      <c r="S1065">
        <v>0</v>
      </c>
      <c r="T1065">
        <v>0</v>
      </c>
      <c r="U1065">
        <v>0</v>
      </c>
      <c r="V1065">
        <v>0</v>
      </c>
      <c r="W1065">
        <v>24</v>
      </c>
      <c r="X1065">
        <v>0</v>
      </c>
      <c r="Y1065">
        <v>0</v>
      </c>
      <c r="Z1065">
        <v>0</v>
      </c>
      <c r="AB1065" s="5">
        <v>43777</v>
      </c>
      <c r="AC1065" s="5">
        <v>43789</v>
      </c>
      <c r="AD1065" s="5">
        <v>43970.333333333336</v>
      </c>
      <c r="AE1065" s="5">
        <v>43970.333333333336</v>
      </c>
      <c r="AG1065" s="5">
        <v>44044</v>
      </c>
      <c r="AH1065" s="5">
        <v>44044</v>
      </c>
      <c r="AK1065" s="5">
        <v>43802.333333333336</v>
      </c>
      <c r="AL1065" s="5">
        <v>43804.666666666664</v>
      </c>
      <c r="AP1065" t="s">
        <v>418</v>
      </c>
      <c r="AU1065" t="s">
        <v>5089</v>
      </c>
      <c r="AV1065" t="s">
        <v>5090</v>
      </c>
      <c r="AY1065" t="s">
        <v>40</v>
      </c>
      <c r="AZ1065">
        <v>0</v>
      </c>
      <c r="BA1065">
        <v>0</v>
      </c>
      <c r="BI1065" s="5">
        <v>44048.176388888889</v>
      </c>
      <c r="BJ1065" s="5">
        <v>44048.176388888889</v>
      </c>
      <c r="BK1065" t="s">
        <v>778</v>
      </c>
      <c r="BL1065" t="s">
        <v>778</v>
      </c>
      <c r="BN1065" t="s">
        <v>37</v>
      </c>
    </row>
    <row r="1066" spans="1:66" x14ac:dyDescent="0.2">
      <c r="A1066">
        <v>3693623</v>
      </c>
      <c r="B1066">
        <v>21883</v>
      </c>
      <c r="C1066">
        <v>523865</v>
      </c>
      <c r="D1066">
        <v>52899</v>
      </c>
      <c r="E1066">
        <v>100</v>
      </c>
      <c r="F1066" t="s">
        <v>37</v>
      </c>
      <c r="G1066">
        <v>1</v>
      </c>
      <c r="H1066" t="s">
        <v>37</v>
      </c>
      <c r="I1066" t="s">
        <v>37</v>
      </c>
      <c r="J1066" t="s">
        <v>775</v>
      </c>
      <c r="K1066" t="s">
        <v>230</v>
      </c>
      <c r="L1066" t="s">
        <v>226</v>
      </c>
      <c r="M1066" t="s">
        <v>422</v>
      </c>
      <c r="N1066" t="s">
        <v>5091</v>
      </c>
      <c r="O1066" t="s">
        <v>2593</v>
      </c>
      <c r="S1066">
        <v>0</v>
      </c>
      <c r="T1066">
        <v>0</v>
      </c>
      <c r="U1066">
        <v>0</v>
      </c>
      <c r="V1066">
        <v>0</v>
      </c>
      <c r="W1066">
        <v>24</v>
      </c>
      <c r="X1066">
        <v>0</v>
      </c>
      <c r="Y1066">
        <v>0</v>
      </c>
      <c r="Z1066">
        <v>0</v>
      </c>
      <c r="AB1066" s="5">
        <v>43787</v>
      </c>
      <c r="AC1066" s="5">
        <v>43788</v>
      </c>
      <c r="AD1066" s="5">
        <v>43970.333333333336</v>
      </c>
      <c r="AE1066" s="5">
        <v>43970.333333333336</v>
      </c>
      <c r="AG1066" s="5">
        <v>44044</v>
      </c>
      <c r="AH1066" s="5">
        <v>44044</v>
      </c>
      <c r="AK1066" s="5">
        <v>43804.333333333336</v>
      </c>
      <c r="AL1066" s="5">
        <v>43808.666666666664</v>
      </c>
      <c r="AP1066" t="s">
        <v>418</v>
      </c>
      <c r="AU1066" t="s">
        <v>5092</v>
      </c>
      <c r="AV1066" t="s">
        <v>5093</v>
      </c>
      <c r="AY1066" t="s">
        <v>40</v>
      </c>
      <c r="AZ1066">
        <v>0</v>
      </c>
      <c r="BA1066">
        <v>0</v>
      </c>
      <c r="BI1066" s="5">
        <v>44048.176388888889</v>
      </c>
      <c r="BJ1066" s="5">
        <v>44048.176388888889</v>
      </c>
      <c r="BK1066" t="s">
        <v>778</v>
      </c>
      <c r="BL1066" t="s">
        <v>778</v>
      </c>
      <c r="BN1066" t="s">
        <v>37</v>
      </c>
    </row>
    <row r="1067" spans="1:66" x14ac:dyDescent="0.2">
      <c r="A1067">
        <v>3693624</v>
      </c>
      <c r="B1067">
        <v>21883</v>
      </c>
      <c r="C1067">
        <v>523865</v>
      </c>
      <c r="D1067">
        <v>52899</v>
      </c>
      <c r="E1067">
        <v>100</v>
      </c>
      <c r="F1067" t="s">
        <v>37</v>
      </c>
      <c r="G1067">
        <v>1</v>
      </c>
      <c r="H1067" t="s">
        <v>37</v>
      </c>
      <c r="I1067" t="s">
        <v>37</v>
      </c>
      <c r="J1067" t="s">
        <v>775</v>
      </c>
      <c r="K1067" t="s">
        <v>230</v>
      </c>
      <c r="L1067" t="s">
        <v>226</v>
      </c>
      <c r="M1067" t="s">
        <v>422</v>
      </c>
      <c r="N1067" t="s">
        <v>5094</v>
      </c>
      <c r="O1067" t="s">
        <v>5095</v>
      </c>
      <c r="S1067">
        <v>0</v>
      </c>
      <c r="T1067">
        <v>8</v>
      </c>
      <c r="U1067">
        <v>0</v>
      </c>
      <c r="V1067">
        <v>8</v>
      </c>
      <c r="W1067">
        <v>8</v>
      </c>
      <c r="X1067">
        <v>0</v>
      </c>
      <c r="Y1067">
        <v>0</v>
      </c>
      <c r="Z1067">
        <v>0</v>
      </c>
      <c r="AB1067" s="5">
        <v>43815</v>
      </c>
      <c r="AC1067" s="5">
        <v>43815</v>
      </c>
      <c r="AD1067" s="5">
        <v>43970.333333333336</v>
      </c>
      <c r="AE1067" s="5">
        <v>43970.333333333336</v>
      </c>
      <c r="AG1067" s="5">
        <v>44044</v>
      </c>
      <c r="AH1067" s="5">
        <v>44044</v>
      </c>
      <c r="AK1067" s="5">
        <v>43836.333333333336</v>
      </c>
      <c r="AL1067" s="5">
        <v>43836.666666666664</v>
      </c>
      <c r="AP1067" t="s">
        <v>418</v>
      </c>
      <c r="AU1067" t="s">
        <v>5096</v>
      </c>
      <c r="AV1067" t="s">
        <v>5097</v>
      </c>
      <c r="AY1067" t="s">
        <v>40</v>
      </c>
      <c r="AZ1067">
        <v>0</v>
      </c>
      <c r="BA1067">
        <v>0</v>
      </c>
      <c r="BI1067" s="5">
        <v>44048.176388888889</v>
      </c>
      <c r="BJ1067" s="5">
        <v>44048.176388888889</v>
      </c>
      <c r="BK1067" t="s">
        <v>778</v>
      </c>
      <c r="BL1067" t="s">
        <v>778</v>
      </c>
      <c r="BN1067" t="s">
        <v>37</v>
      </c>
    </row>
    <row r="1068" spans="1:66" x14ac:dyDescent="0.2">
      <c r="A1068">
        <v>3693625</v>
      </c>
      <c r="B1068">
        <v>21883</v>
      </c>
      <c r="C1068">
        <v>523865</v>
      </c>
      <c r="D1068">
        <v>52895</v>
      </c>
      <c r="E1068">
        <v>100</v>
      </c>
      <c r="F1068" t="s">
        <v>37</v>
      </c>
      <c r="G1068">
        <v>1</v>
      </c>
      <c r="H1068" t="s">
        <v>37</v>
      </c>
      <c r="I1068" t="s">
        <v>37</v>
      </c>
      <c r="J1068" t="s">
        <v>775</v>
      </c>
      <c r="K1068" t="s">
        <v>230</v>
      </c>
      <c r="L1068" t="s">
        <v>226</v>
      </c>
      <c r="M1068" t="s">
        <v>422</v>
      </c>
      <c r="N1068" t="s">
        <v>5098</v>
      </c>
      <c r="O1068" t="s">
        <v>2601</v>
      </c>
      <c r="S1068">
        <v>0</v>
      </c>
      <c r="T1068">
        <v>0</v>
      </c>
      <c r="U1068">
        <v>0</v>
      </c>
      <c r="V1068">
        <v>0</v>
      </c>
      <c r="W1068">
        <v>56</v>
      </c>
      <c r="X1068">
        <v>0</v>
      </c>
      <c r="Y1068">
        <v>0</v>
      </c>
      <c r="Z1068">
        <v>0</v>
      </c>
      <c r="AB1068" s="5">
        <v>43815</v>
      </c>
      <c r="AC1068" s="5">
        <v>43822</v>
      </c>
      <c r="AD1068" s="5">
        <v>43970.333333333336</v>
      </c>
      <c r="AE1068" s="5">
        <v>43970.333333333336</v>
      </c>
      <c r="AG1068" s="5">
        <v>44044</v>
      </c>
      <c r="AH1068" s="5">
        <v>44044</v>
      </c>
      <c r="AK1068" s="5">
        <v>43834.333333333336</v>
      </c>
      <c r="AL1068" s="5">
        <v>43840.666666666664</v>
      </c>
      <c r="AP1068" t="s">
        <v>418</v>
      </c>
      <c r="AU1068" t="s">
        <v>5099</v>
      </c>
      <c r="AV1068" t="s">
        <v>5100</v>
      </c>
      <c r="AY1068" t="s">
        <v>40</v>
      </c>
      <c r="AZ1068">
        <v>0</v>
      </c>
      <c r="BA1068">
        <v>0</v>
      </c>
      <c r="BI1068" s="5">
        <v>44048.176388888889</v>
      </c>
      <c r="BJ1068" s="5">
        <v>44048.176388888889</v>
      </c>
      <c r="BK1068" t="s">
        <v>778</v>
      </c>
      <c r="BL1068" t="s">
        <v>778</v>
      </c>
      <c r="BN1068" t="s">
        <v>37</v>
      </c>
    </row>
    <row r="1069" spans="1:66" x14ac:dyDescent="0.2">
      <c r="A1069">
        <v>3693626</v>
      </c>
      <c r="B1069">
        <v>21883</v>
      </c>
      <c r="C1069">
        <v>523865</v>
      </c>
      <c r="D1069">
        <v>52899</v>
      </c>
      <c r="E1069">
        <v>100</v>
      </c>
      <c r="F1069" t="s">
        <v>37</v>
      </c>
      <c r="G1069">
        <v>1</v>
      </c>
      <c r="H1069" t="s">
        <v>37</v>
      </c>
      <c r="I1069" t="s">
        <v>37</v>
      </c>
      <c r="J1069" t="s">
        <v>775</v>
      </c>
      <c r="K1069" t="s">
        <v>230</v>
      </c>
      <c r="L1069" t="s">
        <v>226</v>
      </c>
      <c r="M1069" t="s">
        <v>422</v>
      </c>
      <c r="N1069" t="s">
        <v>5101</v>
      </c>
      <c r="O1069" t="s">
        <v>3756</v>
      </c>
      <c r="S1069">
        <v>0</v>
      </c>
      <c r="T1069">
        <v>0</v>
      </c>
      <c r="U1069">
        <v>0</v>
      </c>
      <c r="V1069">
        <v>0</v>
      </c>
      <c r="W1069">
        <v>8</v>
      </c>
      <c r="X1069">
        <v>0</v>
      </c>
      <c r="Y1069">
        <v>0</v>
      </c>
      <c r="Z1069">
        <v>0</v>
      </c>
      <c r="AB1069" s="5">
        <v>43760</v>
      </c>
      <c r="AC1069" s="5">
        <v>43760</v>
      </c>
      <c r="AD1069" s="5">
        <v>43970.333333333336</v>
      </c>
      <c r="AE1069" s="5">
        <v>43970.333333333336</v>
      </c>
      <c r="AG1069" s="5">
        <v>44044</v>
      </c>
      <c r="AH1069" s="5">
        <v>44044</v>
      </c>
      <c r="AK1069" s="5">
        <v>43770.333333333336</v>
      </c>
      <c r="AL1069" s="5">
        <v>43770.666666666664</v>
      </c>
      <c r="AP1069" t="s">
        <v>418</v>
      </c>
      <c r="AU1069" t="s">
        <v>5102</v>
      </c>
      <c r="AV1069" t="s">
        <v>5103</v>
      </c>
      <c r="AY1069" t="s">
        <v>40</v>
      </c>
      <c r="AZ1069">
        <v>0</v>
      </c>
      <c r="BA1069">
        <v>0</v>
      </c>
      <c r="BI1069" s="5">
        <v>44048.176388888889</v>
      </c>
      <c r="BJ1069" s="5">
        <v>44048.176388888889</v>
      </c>
      <c r="BK1069" t="s">
        <v>778</v>
      </c>
      <c r="BL1069" t="s">
        <v>778</v>
      </c>
      <c r="BN1069" t="s">
        <v>37</v>
      </c>
    </row>
    <row r="1070" spans="1:66" x14ac:dyDescent="0.2">
      <c r="A1070">
        <v>3693627</v>
      </c>
      <c r="B1070">
        <v>21883</v>
      </c>
      <c r="C1070">
        <v>523865</v>
      </c>
      <c r="D1070">
        <v>52899</v>
      </c>
      <c r="E1070">
        <v>100</v>
      </c>
      <c r="F1070" t="s">
        <v>37</v>
      </c>
      <c r="G1070">
        <v>1</v>
      </c>
      <c r="H1070" t="s">
        <v>37</v>
      </c>
      <c r="I1070" t="s">
        <v>37</v>
      </c>
      <c r="J1070" t="s">
        <v>775</v>
      </c>
      <c r="K1070" t="s">
        <v>230</v>
      </c>
      <c r="L1070" t="s">
        <v>226</v>
      </c>
      <c r="M1070" t="s">
        <v>422</v>
      </c>
      <c r="N1070" t="s">
        <v>5104</v>
      </c>
      <c r="O1070" t="s">
        <v>4284</v>
      </c>
      <c r="S1070">
        <v>0</v>
      </c>
      <c r="T1070">
        <v>0</v>
      </c>
      <c r="U1070">
        <v>0</v>
      </c>
      <c r="V1070">
        <v>0</v>
      </c>
      <c r="W1070">
        <v>8</v>
      </c>
      <c r="X1070">
        <v>0</v>
      </c>
      <c r="Y1070">
        <v>0</v>
      </c>
      <c r="Z1070">
        <v>0</v>
      </c>
      <c r="AB1070" s="5">
        <v>43760</v>
      </c>
      <c r="AC1070" s="5">
        <v>43760</v>
      </c>
      <c r="AD1070" s="5">
        <v>43970.333333333336</v>
      </c>
      <c r="AE1070" s="5">
        <v>43970.333333333336</v>
      </c>
      <c r="AG1070" s="5">
        <v>44044</v>
      </c>
      <c r="AH1070" s="5">
        <v>44044</v>
      </c>
      <c r="AK1070" s="5">
        <v>43770.333333333336</v>
      </c>
      <c r="AL1070" s="5">
        <v>43770.666666666664</v>
      </c>
      <c r="AP1070" t="s">
        <v>418</v>
      </c>
      <c r="AU1070" t="s">
        <v>5105</v>
      </c>
      <c r="AV1070" t="s">
        <v>5106</v>
      </c>
      <c r="AY1070" t="s">
        <v>40</v>
      </c>
      <c r="AZ1070">
        <v>0</v>
      </c>
      <c r="BA1070">
        <v>0</v>
      </c>
      <c r="BI1070" s="5">
        <v>44048.176388888889</v>
      </c>
      <c r="BJ1070" s="5">
        <v>44048.176388888889</v>
      </c>
      <c r="BK1070" t="s">
        <v>778</v>
      </c>
      <c r="BL1070" t="s">
        <v>778</v>
      </c>
      <c r="BN1070" t="s">
        <v>37</v>
      </c>
    </row>
    <row r="1071" spans="1:66" x14ac:dyDescent="0.2">
      <c r="A1071">
        <v>3693628</v>
      </c>
      <c r="B1071">
        <v>21883</v>
      </c>
      <c r="C1071">
        <v>523865</v>
      </c>
      <c r="D1071">
        <v>52899</v>
      </c>
      <c r="E1071">
        <v>100</v>
      </c>
      <c r="F1071" t="s">
        <v>37</v>
      </c>
      <c r="G1071">
        <v>1</v>
      </c>
      <c r="H1071" t="s">
        <v>37</v>
      </c>
      <c r="I1071" t="s">
        <v>37</v>
      </c>
      <c r="J1071" t="s">
        <v>775</v>
      </c>
      <c r="K1071" t="s">
        <v>230</v>
      </c>
      <c r="L1071" t="s">
        <v>226</v>
      </c>
      <c r="M1071" t="s">
        <v>422</v>
      </c>
      <c r="N1071" t="s">
        <v>5107</v>
      </c>
      <c r="O1071" t="s">
        <v>4422</v>
      </c>
      <c r="S1071">
        <v>0</v>
      </c>
      <c r="T1071">
        <v>16</v>
      </c>
      <c r="U1071">
        <v>0</v>
      </c>
      <c r="V1071">
        <v>16</v>
      </c>
      <c r="W1071">
        <v>16</v>
      </c>
      <c r="X1071">
        <v>0</v>
      </c>
      <c r="Y1071">
        <v>0</v>
      </c>
      <c r="Z1071">
        <v>0</v>
      </c>
      <c r="AB1071" s="5">
        <v>43766</v>
      </c>
      <c r="AC1071" s="5">
        <v>43768</v>
      </c>
      <c r="AD1071" s="5">
        <v>43970.333333333336</v>
      </c>
      <c r="AE1071" s="5">
        <v>43970.333333333336</v>
      </c>
      <c r="AG1071" s="5">
        <v>44044</v>
      </c>
      <c r="AH1071" s="5">
        <v>44044</v>
      </c>
      <c r="AK1071" s="5">
        <v>43804.333333333336</v>
      </c>
      <c r="AL1071" s="5">
        <v>43805.666666666664</v>
      </c>
      <c r="AP1071" t="s">
        <v>418</v>
      </c>
      <c r="AU1071" t="s">
        <v>5108</v>
      </c>
      <c r="AV1071" t="s">
        <v>5109</v>
      </c>
      <c r="AY1071" t="s">
        <v>40</v>
      </c>
      <c r="AZ1071">
        <v>0</v>
      </c>
      <c r="BA1071">
        <v>0</v>
      </c>
      <c r="BI1071" s="5">
        <v>44048.176388888889</v>
      </c>
      <c r="BJ1071" s="5">
        <v>44048.176388888889</v>
      </c>
      <c r="BK1071" t="s">
        <v>778</v>
      </c>
      <c r="BL1071" t="s">
        <v>778</v>
      </c>
      <c r="BN1071" t="s">
        <v>37</v>
      </c>
    </row>
    <row r="1072" spans="1:66" x14ac:dyDescent="0.2">
      <c r="A1072">
        <v>3693629</v>
      </c>
      <c r="B1072">
        <v>21883</v>
      </c>
      <c r="C1072">
        <v>523865</v>
      </c>
      <c r="D1072">
        <v>52899</v>
      </c>
      <c r="E1072">
        <v>100</v>
      </c>
      <c r="F1072" t="s">
        <v>37</v>
      </c>
      <c r="G1072">
        <v>1</v>
      </c>
      <c r="H1072" t="s">
        <v>37</v>
      </c>
      <c r="I1072" t="s">
        <v>37</v>
      </c>
      <c r="J1072" t="s">
        <v>775</v>
      </c>
      <c r="K1072" t="s">
        <v>230</v>
      </c>
      <c r="L1072" t="s">
        <v>226</v>
      </c>
      <c r="M1072" t="s">
        <v>422</v>
      </c>
      <c r="N1072" t="s">
        <v>5110</v>
      </c>
      <c r="O1072" t="s">
        <v>4426</v>
      </c>
      <c r="S1072">
        <v>0</v>
      </c>
      <c r="T1072">
        <v>16</v>
      </c>
      <c r="U1072">
        <v>0</v>
      </c>
      <c r="V1072">
        <v>16</v>
      </c>
      <c r="W1072">
        <v>16</v>
      </c>
      <c r="X1072">
        <v>0</v>
      </c>
      <c r="Y1072">
        <v>0</v>
      </c>
      <c r="Z1072">
        <v>0</v>
      </c>
      <c r="AB1072" s="5">
        <v>43791</v>
      </c>
      <c r="AC1072" s="5">
        <v>43794</v>
      </c>
      <c r="AD1072" s="5">
        <v>43970.333333333336</v>
      </c>
      <c r="AE1072" s="5">
        <v>43970.333333333336</v>
      </c>
      <c r="AG1072" s="5">
        <v>44044</v>
      </c>
      <c r="AH1072" s="5">
        <v>44044</v>
      </c>
      <c r="AK1072" s="5">
        <v>43804.333333333336</v>
      </c>
      <c r="AL1072" s="5">
        <v>43805.666666666664</v>
      </c>
      <c r="AP1072" t="s">
        <v>418</v>
      </c>
      <c r="AU1072" t="s">
        <v>5111</v>
      </c>
      <c r="AV1072" t="s">
        <v>5112</v>
      </c>
      <c r="AY1072" t="s">
        <v>40</v>
      </c>
      <c r="AZ1072">
        <v>0</v>
      </c>
      <c r="BA1072">
        <v>0</v>
      </c>
      <c r="BI1072" s="5">
        <v>44048.176388888889</v>
      </c>
      <c r="BJ1072" s="5">
        <v>44048.176388888889</v>
      </c>
      <c r="BK1072" t="s">
        <v>778</v>
      </c>
      <c r="BL1072" t="s">
        <v>778</v>
      </c>
      <c r="BN1072" t="s">
        <v>37</v>
      </c>
    </row>
    <row r="1073" spans="1:66" x14ac:dyDescent="0.2">
      <c r="A1073">
        <v>3693630</v>
      </c>
      <c r="B1073">
        <v>21883</v>
      </c>
      <c r="C1073">
        <v>523865</v>
      </c>
      <c r="D1073">
        <v>52899</v>
      </c>
      <c r="E1073">
        <v>100</v>
      </c>
      <c r="F1073" t="s">
        <v>37</v>
      </c>
      <c r="G1073">
        <v>1</v>
      </c>
      <c r="H1073" t="s">
        <v>37</v>
      </c>
      <c r="I1073" t="s">
        <v>37</v>
      </c>
      <c r="J1073" t="s">
        <v>775</v>
      </c>
      <c r="K1073" t="s">
        <v>230</v>
      </c>
      <c r="L1073" t="s">
        <v>226</v>
      </c>
      <c r="M1073" t="s">
        <v>422</v>
      </c>
      <c r="N1073" t="s">
        <v>5113</v>
      </c>
      <c r="O1073" t="s">
        <v>4430</v>
      </c>
      <c r="S1073">
        <v>0</v>
      </c>
      <c r="T1073">
        <v>24</v>
      </c>
      <c r="U1073">
        <v>0</v>
      </c>
      <c r="V1073">
        <v>24</v>
      </c>
      <c r="W1073">
        <v>24</v>
      </c>
      <c r="X1073">
        <v>0</v>
      </c>
      <c r="Y1073">
        <v>0</v>
      </c>
      <c r="Z1073">
        <v>0</v>
      </c>
      <c r="AB1073" s="5">
        <v>43794</v>
      </c>
      <c r="AC1073" s="5">
        <v>43795</v>
      </c>
      <c r="AD1073" s="5">
        <v>43970.333333333336</v>
      </c>
      <c r="AE1073" s="5">
        <v>43970.333333333336</v>
      </c>
      <c r="AG1073" s="5">
        <v>44044</v>
      </c>
      <c r="AH1073" s="5">
        <v>44044</v>
      </c>
      <c r="AK1073" s="5">
        <v>43804.333333333336</v>
      </c>
      <c r="AL1073" s="5">
        <v>43808.666666666664</v>
      </c>
      <c r="AP1073" t="s">
        <v>418</v>
      </c>
      <c r="AU1073" t="s">
        <v>5114</v>
      </c>
      <c r="AV1073" t="s">
        <v>5115</v>
      </c>
      <c r="AY1073" t="s">
        <v>40</v>
      </c>
      <c r="AZ1073">
        <v>0</v>
      </c>
      <c r="BA1073">
        <v>0</v>
      </c>
      <c r="BI1073" s="5">
        <v>44048.176388888889</v>
      </c>
      <c r="BJ1073" s="5">
        <v>44048.176388888889</v>
      </c>
      <c r="BK1073" t="s">
        <v>778</v>
      </c>
      <c r="BL1073" t="s">
        <v>778</v>
      </c>
      <c r="BN1073" t="s">
        <v>37</v>
      </c>
    </row>
    <row r="1074" spans="1:66" x14ac:dyDescent="0.2">
      <c r="A1074">
        <v>3693631</v>
      </c>
      <c r="B1074">
        <v>21883</v>
      </c>
      <c r="C1074">
        <v>523865</v>
      </c>
      <c r="D1074">
        <v>52899</v>
      </c>
      <c r="E1074">
        <v>100</v>
      </c>
      <c r="F1074" t="s">
        <v>37</v>
      </c>
      <c r="G1074">
        <v>1</v>
      </c>
      <c r="H1074" t="s">
        <v>37</v>
      </c>
      <c r="I1074" t="s">
        <v>37</v>
      </c>
      <c r="J1074" t="s">
        <v>775</v>
      </c>
      <c r="K1074" t="s">
        <v>230</v>
      </c>
      <c r="L1074" t="s">
        <v>226</v>
      </c>
      <c r="M1074" t="s">
        <v>422</v>
      </c>
      <c r="N1074" t="s">
        <v>5116</v>
      </c>
      <c r="O1074" t="s">
        <v>4434</v>
      </c>
      <c r="S1074">
        <v>0</v>
      </c>
      <c r="T1074">
        <v>16</v>
      </c>
      <c r="U1074">
        <v>0</v>
      </c>
      <c r="V1074">
        <v>16</v>
      </c>
      <c r="W1074">
        <v>16</v>
      </c>
      <c r="X1074">
        <v>0</v>
      </c>
      <c r="Y1074">
        <v>0</v>
      </c>
      <c r="Z1074">
        <v>0</v>
      </c>
      <c r="AB1074" s="5">
        <v>43810</v>
      </c>
      <c r="AC1074" s="5">
        <v>43811</v>
      </c>
      <c r="AD1074" s="5">
        <v>43970.333333333336</v>
      </c>
      <c r="AE1074" s="5">
        <v>43970.333333333336</v>
      </c>
      <c r="AG1074" s="5">
        <v>44044</v>
      </c>
      <c r="AH1074" s="5">
        <v>44044</v>
      </c>
      <c r="AK1074" s="5">
        <v>43836.333333333336</v>
      </c>
      <c r="AL1074" s="5">
        <v>43837.666666666664</v>
      </c>
      <c r="AP1074" t="s">
        <v>418</v>
      </c>
      <c r="AU1074" t="s">
        <v>5117</v>
      </c>
      <c r="AV1074" t="s">
        <v>5118</v>
      </c>
      <c r="AY1074" t="s">
        <v>40</v>
      </c>
      <c r="AZ1074">
        <v>0</v>
      </c>
      <c r="BA1074">
        <v>0</v>
      </c>
      <c r="BI1074" s="5">
        <v>44048.176388888889</v>
      </c>
      <c r="BJ1074" s="5">
        <v>44048.176388888889</v>
      </c>
      <c r="BK1074" t="s">
        <v>778</v>
      </c>
      <c r="BL1074" t="s">
        <v>778</v>
      </c>
      <c r="BN1074" t="s">
        <v>37</v>
      </c>
    </row>
    <row r="1075" spans="1:66" x14ac:dyDescent="0.2">
      <c r="A1075">
        <v>3693632</v>
      </c>
      <c r="B1075">
        <v>21883</v>
      </c>
      <c r="C1075">
        <v>523865</v>
      </c>
      <c r="D1075">
        <v>52899</v>
      </c>
      <c r="E1075">
        <v>100</v>
      </c>
      <c r="F1075" t="s">
        <v>37</v>
      </c>
      <c r="G1075">
        <v>1</v>
      </c>
      <c r="H1075" t="s">
        <v>37</v>
      </c>
      <c r="I1075" t="s">
        <v>37</v>
      </c>
      <c r="J1075" t="s">
        <v>775</v>
      </c>
      <c r="K1075" t="s">
        <v>230</v>
      </c>
      <c r="L1075" t="s">
        <v>226</v>
      </c>
      <c r="M1075" t="s">
        <v>422</v>
      </c>
      <c r="N1075" t="s">
        <v>5119</v>
      </c>
      <c r="O1075" t="s">
        <v>4438</v>
      </c>
      <c r="S1075">
        <v>0</v>
      </c>
      <c r="T1075">
        <v>24</v>
      </c>
      <c r="U1075">
        <v>0</v>
      </c>
      <c r="V1075">
        <v>24</v>
      </c>
      <c r="W1075">
        <v>24</v>
      </c>
      <c r="X1075">
        <v>0</v>
      </c>
      <c r="Y1075">
        <v>0</v>
      </c>
      <c r="Z1075">
        <v>0</v>
      </c>
      <c r="AB1075" s="5">
        <v>43808</v>
      </c>
      <c r="AC1075" s="5">
        <v>43813</v>
      </c>
      <c r="AD1075" s="5">
        <v>43970.333333333336</v>
      </c>
      <c r="AE1075" s="5">
        <v>43970.333333333336</v>
      </c>
      <c r="AG1075" s="5">
        <v>44044</v>
      </c>
      <c r="AH1075" s="5">
        <v>44044</v>
      </c>
      <c r="AK1075" s="5">
        <v>43836.333333333336</v>
      </c>
      <c r="AL1075" s="5">
        <v>43838.666666666664</v>
      </c>
      <c r="AP1075" t="s">
        <v>418</v>
      </c>
      <c r="AU1075" t="s">
        <v>5120</v>
      </c>
      <c r="AV1075" t="s">
        <v>5121</v>
      </c>
      <c r="AY1075" t="s">
        <v>40</v>
      </c>
      <c r="AZ1075">
        <v>0</v>
      </c>
      <c r="BA1075">
        <v>0</v>
      </c>
      <c r="BI1075" s="5">
        <v>44048.176388888889</v>
      </c>
      <c r="BJ1075" s="5">
        <v>44048.176388888889</v>
      </c>
      <c r="BK1075" t="s">
        <v>778</v>
      </c>
      <c r="BL1075" t="s">
        <v>778</v>
      </c>
      <c r="BN1075" t="s">
        <v>37</v>
      </c>
    </row>
    <row r="1076" spans="1:66" x14ac:dyDescent="0.2">
      <c r="A1076">
        <v>3693633</v>
      </c>
      <c r="B1076">
        <v>21883</v>
      </c>
      <c r="C1076">
        <v>523865</v>
      </c>
      <c r="D1076">
        <v>52899</v>
      </c>
      <c r="E1076">
        <v>100</v>
      </c>
      <c r="F1076" t="s">
        <v>37</v>
      </c>
      <c r="G1076">
        <v>1</v>
      </c>
      <c r="H1076" t="s">
        <v>37</v>
      </c>
      <c r="I1076" t="s">
        <v>37</v>
      </c>
      <c r="J1076" t="s">
        <v>775</v>
      </c>
      <c r="K1076" t="s">
        <v>230</v>
      </c>
      <c r="L1076" t="s">
        <v>226</v>
      </c>
      <c r="M1076" t="s">
        <v>422</v>
      </c>
      <c r="N1076" t="s">
        <v>5122</v>
      </c>
      <c r="O1076" t="s">
        <v>5123</v>
      </c>
      <c r="S1076">
        <v>0</v>
      </c>
      <c r="T1076">
        <v>24</v>
      </c>
      <c r="U1076">
        <v>0</v>
      </c>
      <c r="V1076">
        <v>24</v>
      </c>
      <c r="W1076">
        <v>24</v>
      </c>
      <c r="X1076">
        <v>0</v>
      </c>
      <c r="Y1076">
        <v>0</v>
      </c>
      <c r="Z1076">
        <v>0</v>
      </c>
      <c r="AB1076" s="5">
        <v>43822</v>
      </c>
      <c r="AC1076" s="5">
        <v>43822</v>
      </c>
      <c r="AD1076" s="5">
        <v>43970.333333333336</v>
      </c>
      <c r="AE1076" s="5">
        <v>43970.333333333336</v>
      </c>
      <c r="AG1076" s="5">
        <v>44044</v>
      </c>
      <c r="AH1076" s="5">
        <v>44044</v>
      </c>
      <c r="AK1076" s="5">
        <v>43836.333333333336</v>
      </c>
      <c r="AL1076" s="5">
        <v>43838.666666666664</v>
      </c>
      <c r="AP1076" t="s">
        <v>418</v>
      </c>
      <c r="AU1076" t="s">
        <v>5124</v>
      </c>
      <c r="AV1076" t="s">
        <v>5125</v>
      </c>
      <c r="AY1076" t="s">
        <v>40</v>
      </c>
      <c r="AZ1076">
        <v>0</v>
      </c>
      <c r="BA1076">
        <v>0</v>
      </c>
      <c r="BI1076" s="5">
        <v>44048.176388888889</v>
      </c>
      <c r="BJ1076" s="5">
        <v>44048.176388888889</v>
      </c>
      <c r="BK1076" t="s">
        <v>778</v>
      </c>
      <c r="BL1076" t="s">
        <v>778</v>
      </c>
      <c r="BN1076" t="s">
        <v>37</v>
      </c>
    </row>
    <row r="1077" spans="1:66" x14ac:dyDescent="0.2">
      <c r="A1077">
        <v>3693634</v>
      </c>
      <c r="B1077">
        <v>21883</v>
      </c>
      <c r="C1077">
        <v>523865</v>
      </c>
      <c r="D1077">
        <v>52899</v>
      </c>
      <c r="E1077">
        <v>100</v>
      </c>
      <c r="F1077" t="s">
        <v>37</v>
      </c>
      <c r="G1077">
        <v>1</v>
      </c>
      <c r="H1077" t="s">
        <v>37</v>
      </c>
      <c r="I1077" t="s">
        <v>37</v>
      </c>
      <c r="J1077" t="s">
        <v>775</v>
      </c>
      <c r="K1077" t="s">
        <v>230</v>
      </c>
      <c r="L1077" t="s">
        <v>226</v>
      </c>
      <c r="M1077" t="s">
        <v>422</v>
      </c>
      <c r="N1077" t="s">
        <v>5126</v>
      </c>
      <c r="O1077" t="s">
        <v>4446</v>
      </c>
      <c r="S1077">
        <v>0</v>
      </c>
      <c r="T1077">
        <v>16</v>
      </c>
      <c r="U1077">
        <v>0</v>
      </c>
      <c r="V1077">
        <v>16</v>
      </c>
      <c r="W1077">
        <v>16</v>
      </c>
      <c r="X1077">
        <v>0</v>
      </c>
      <c r="Y1077">
        <v>0</v>
      </c>
      <c r="Z1077">
        <v>0</v>
      </c>
      <c r="AB1077" s="5">
        <v>43893.333333333336</v>
      </c>
      <c r="AC1077" s="5">
        <v>43894.666666666664</v>
      </c>
      <c r="AD1077" s="5">
        <v>43970.333333333336</v>
      </c>
      <c r="AE1077" s="5">
        <v>43970.333333333336</v>
      </c>
      <c r="AG1077" s="5">
        <v>44044</v>
      </c>
      <c r="AH1077" s="5">
        <v>44044</v>
      </c>
      <c r="AK1077" s="5">
        <v>43893.333333333336</v>
      </c>
      <c r="AL1077" s="5">
        <v>43894.666666666664</v>
      </c>
      <c r="AP1077" t="s">
        <v>418</v>
      </c>
      <c r="AU1077" t="s">
        <v>5127</v>
      </c>
      <c r="AV1077" t="s">
        <v>5128</v>
      </c>
      <c r="AY1077" t="s">
        <v>40</v>
      </c>
      <c r="AZ1077">
        <v>0</v>
      </c>
      <c r="BA1077">
        <v>0</v>
      </c>
      <c r="BI1077" s="5">
        <v>44048.176388888889</v>
      </c>
      <c r="BJ1077" s="5">
        <v>44048.176388888889</v>
      </c>
      <c r="BK1077" t="s">
        <v>778</v>
      </c>
      <c r="BL1077" t="s">
        <v>778</v>
      </c>
      <c r="BN1077" t="s">
        <v>37</v>
      </c>
    </row>
    <row r="1078" spans="1:66" x14ac:dyDescent="0.2">
      <c r="A1078">
        <v>3693635</v>
      </c>
      <c r="B1078">
        <v>21883</v>
      </c>
      <c r="C1078">
        <v>523864</v>
      </c>
      <c r="D1078">
        <v>52899</v>
      </c>
      <c r="E1078">
        <v>100</v>
      </c>
      <c r="F1078" t="s">
        <v>37</v>
      </c>
      <c r="G1078">
        <v>1</v>
      </c>
      <c r="H1078" t="s">
        <v>37</v>
      </c>
      <c r="I1078" t="s">
        <v>37</v>
      </c>
      <c r="J1078" t="s">
        <v>775</v>
      </c>
      <c r="K1078" t="s">
        <v>230</v>
      </c>
      <c r="L1078" t="s">
        <v>226</v>
      </c>
      <c r="M1078" t="s">
        <v>422</v>
      </c>
      <c r="N1078" t="s">
        <v>5129</v>
      </c>
      <c r="O1078" t="s">
        <v>2605</v>
      </c>
      <c r="S1078">
        <v>0</v>
      </c>
      <c r="T1078">
        <v>8</v>
      </c>
      <c r="U1078">
        <v>0</v>
      </c>
      <c r="V1078">
        <v>8</v>
      </c>
      <c r="W1078">
        <v>16</v>
      </c>
      <c r="X1078">
        <v>0</v>
      </c>
      <c r="Y1078">
        <v>0</v>
      </c>
      <c r="Z1078">
        <v>0</v>
      </c>
      <c r="AB1078" s="5">
        <v>43773</v>
      </c>
      <c r="AC1078" s="5">
        <v>43775</v>
      </c>
      <c r="AD1078" s="5">
        <v>43970.333333333336</v>
      </c>
      <c r="AE1078" s="5">
        <v>43970.333333333336</v>
      </c>
      <c r="AG1078" s="5">
        <v>44044</v>
      </c>
      <c r="AH1078" s="5">
        <v>44044</v>
      </c>
      <c r="AK1078" s="5">
        <v>43802.333333333336</v>
      </c>
      <c r="AL1078" s="5">
        <v>43803.666666666664</v>
      </c>
      <c r="AP1078" t="s">
        <v>418</v>
      </c>
      <c r="AU1078" t="s">
        <v>5130</v>
      </c>
      <c r="AV1078" t="s">
        <v>5131</v>
      </c>
      <c r="AY1078" t="s">
        <v>40</v>
      </c>
      <c r="AZ1078">
        <v>0</v>
      </c>
      <c r="BA1078">
        <v>0</v>
      </c>
      <c r="BI1078" s="5">
        <v>44048.176388888889</v>
      </c>
      <c r="BJ1078" s="5">
        <v>44048.176388888889</v>
      </c>
      <c r="BK1078" t="s">
        <v>778</v>
      </c>
      <c r="BL1078" t="s">
        <v>778</v>
      </c>
      <c r="BN1078" t="s">
        <v>37</v>
      </c>
    </row>
    <row r="1079" spans="1:66" x14ac:dyDescent="0.2">
      <c r="A1079">
        <v>3693636</v>
      </c>
      <c r="B1079">
        <v>21883</v>
      </c>
      <c r="C1079">
        <v>523864</v>
      </c>
      <c r="D1079">
        <v>52899</v>
      </c>
      <c r="E1079">
        <v>100</v>
      </c>
      <c r="F1079" t="s">
        <v>37</v>
      </c>
      <c r="G1079">
        <v>1</v>
      </c>
      <c r="H1079" t="s">
        <v>37</v>
      </c>
      <c r="I1079" t="s">
        <v>37</v>
      </c>
      <c r="J1079" t="s">
        <v>775</v>
      </c>
      <c r="K1079" t="s">
        <v>230</v>
      </c>
      <c r="L1079" t="s">
        <v>226</v>
      </c>
      <c r="M1079" t="s">
        <v>422</v>
      </c>
      <c r="N1079" t="s">
        <v>5132</v>
      </c>
      <c r="O1079" t="s">
        <v>2609</v>
      </c>
      <c r="S1079">
        <v>0</v>
      </c>
      <c r="T1079">
        <v>16</v>
      </c>
      <c r="U1079">
        <v>0</v>
      </c>
      <c r="V1079">
        <v>16</v>
      </c>
      <c r="W1079">
        <v>16</v>
      </c>
      <c r="X1079">
        <v>0</v>
      </c>
      <c r="Y1079">
        <v>0</v>
      </c>
      <c r="Z1079">
        <v>0</v>
      </c>
      <c r="AB1079" s="5">
        <v>43809</v>
      </c>
      <c r="AC1079" s="5">
        <v>43809</v>
      </c>
      <c r="AD1079" s="5">
        <v>43970.333333333336</v>
      </c>
      <c r="AE1079" s="5">
        <v>43970.333333333336</v>
      </c>
      <c r="AG1079" s="5">
        <v>44044</v>
      </c>
      <c r="AH1079" s="5">
        <v>44044</v>
      </c>
      <c r="AK1079" s="5">
        <v>43832.333333333336</v>
      </c>
      <c r="AL1079" s="5">
        <v>43833.666666666664</v>
      </c>
      <c r="AP1079" t="s">
        <v>418</v>
      </c>
      <c r="AU1079" t="s">
        <v>5133</v>
      </c>
      <c r="AV1079" t="s">
        <v>5134</v>
      </c>
      <c r="AY1079" t="s">
        <v>40</v>
      </c>
      <c r="AZ1079">
        <v>0</v>
      </c>
      <c r="BA1079">
        <v>0</v>
      </c>
      <c r="BI1079" s="5">
        <v>44048.176388888889</v>
      </c>
      <c r="BJ1079" s="5">
        <v>44048.176388888889</v>
      </c>
      <c r="BK1079" t="s">
        <v>778</v>
      </c>
      <c r="BL1079" t="s">
        <v>778</v>
      </c>
      <c r="BN1079" t="s">
        <v>37</v>
      </c>
    </row>
    <row r="1080" spans="1:66" x14ac:dyDescent="0.2">
      <c r="A1080">
        <v>3693637</v>
      </c>
      <c r="B1080">
        <v>21883</v>
      </c>
      <c r="C1080">
        <v>523864</v>
      </c>
      <c r="D1080">
        <v>52899</v>
      </c>
      <c r="E1080">
        <v>100</v>
      </c>
      <c r="F1080" t="s">
        <v>37</v>
      </c>
      <c r="G1080">
        <v>1</v>
      </c>
      <c r="H1080" t="s">
        <v>37</v>
      </c>
      <c r="I1080" t="s">
        <v>37</v>
      </c>
      <c r="J1080" t="s">
        <v>775</v>
      </c>
      <c r="K1080" t="s">
        <v>230</v>
      </c>
      <c r="L1080" t="s">
        <v>226</v>
      </c>
      <c r="M1080" t="s">
        <v>422</v>
      </c>
      <c r="N1080" t="s">
        <v>5135</v>
      </c>
      <c r="O1080" t="s">
        <v>2613</v>
      </c>
      <c r="S1080">
        <v>0</v>
      </c>
      <c r="T1080">
        <v>0</v>
      </c>
      <c r="U1080">
        <v>0</v>
      </c>
      <c r="V1080">
        <v>0</v>
      </c>
      <c r="W1080">
        <v>24</v>
      </c>
      <c r="X1080">
        <v>0</v>
      </c>
      <c r="Y1080">
        <v>0</v>
      </c>
      <c r="Z1080">
        <v>0</v>
      </c>
      <c r="AB1080" s="5">
        <v>43789</v>
      </c>
      <c r="AC1080" s="5">
        <v>43790</v>
      </c>
      <c r="AD1080" s="5">
        <v>43970.333333333336</v>
      </c>
      <c r="AE1080" s="5">
        <v>43970.333333333336</v>
      </c>
      <c r="AG1080" s="5">
        <v>44044</v>
      </c>
      <c r="AH1080" s="5">
        <v>44044</v>
      </c>
      <c r="AK1080" s="5">
        <v>43802.333333333336</v>
      </c>
      <c r="AL1080" s="5">
        <v>43804.666666666664</v>
      </c>
      <c r="AP1080" t="s">
        <v>418</v>
      </c>
      <c r="AU1080" t="s">
        <v>5136</v>
      </c>
      <c r="AV1080" t="s">
        <v>5137</v>
      </c>
      <c r="AY1080" t="s">
        <v>40</v>
      </c>
      <c r="AZ1080">
        <v>0</v>
      </c>
      <c r="BA1080">
        <v>0</v>
      </c>
      <c r="BI1080" s="5">
        <v>44048.176388888889</v>
      </c>
      <c r="BJ1080" s="5">
        <v>44048.176388888889</v>
      </c>
      <c r="BK1080" t="s">
        <v>778</v>
      </c>
      <c r="BL1080" t="s">
        <v>778</v>
      </c>
      <c r="BN1080" t="s">
        <v>37</v>
      </c>
    </row>
    <row r="1081" spans="1:66" x14ac:dyDescent="0.2">
      <c r="A1081">
        <v>3693638</v>
      </c>
      <c r="B1081">
        <v>21883</v>
      </c>
      <c r="C1081">
        <v>523864</v>
      </c>
      <c r="D1081">
        <v>52899</v>
      </c>
      <c r="E1081">
        <v>100</v>
      </c>
      <c r="F1081" t="s">
        <v>37</v>
      </c>
      <c r="G1081">
        <v>1</v>
      </c>
      <c r="H1081" t="s">
        <v>37</v>
      </c>
      <c r="I1081" t="s">
        <v>37</v>
      </c>
      <c r="J1081" t="s">
        <v>775</v>
      </c>
      <c r="K1081" t="s">
        <v>230</v>
      </c>
      <c r="L1081" t="s">
        <v>226</v>
      </c>
      <c r="M1081" t="s">
        <v>422</v>
      </c>
      <c r="N1081" t="s">
        <v>5138</v>
      </c>
      <c r="O1081" t="s">
        <v>2617</v>
      </c>
      <c r="S1081">
        <v>0</v>
      </c>
      <c r="T1081">
        <v>0</v>
      </c>
      <c r="U1081">
        <v>0</v>
      </c>
      <c r="V1081">
        <v>0</v>
      </c>
      <c r="W1081">
        <v>24</v>
      </c>
      <c r="X1081">
        <v>0</v>
      </c>
      <c r="Y1081">
        <v>0</v>
      </c>
      <c r="Z1081">
        <v>0</v>
      </c>
      <c r="AB1081" s="5">
        <v>43790</v>
      </c>
      <c r="AC1081" s="5">
        <v>43791</v>
      </c>
      <c r="AD1081" s="5">
        <v>43970.333333333336</v>
      </c>
      <c r="AE1081" s="5">
        <v>43970.333333333336</v>
      </c>
      <c r="AG1081" s="5">
        <v>44044</v>
      </c>
      <c r="AH1081" s="5">
        <v>44044</v>
      </c>
      <c r="AK1081" s="5">
        <v>43832.333333333336</v>
      </c>
      <c r="AL1081" s="5">
        <v>43836.666666666664</v>
      </c>
      <c r="AP1081" t="s">
        <v>418</v>
      </c>
      <c r="AU1081" t="s">
        <v>5139</v>
      </c>
      <c r="AV1081" t="s">
        <v>5140</v>
      </c>
      <c r="AY1081" t="s">
        <v>40</v>
      </c>
      <c r="AZ1081">
        <v>0</v>
      </c>
      <c r="BA1081">
        <v>0</v>
      </c>
      <c r="BI1081" s="5">
        <v>44048.176388888889</v>
      </c>
      <c r="BJ1081" s="5">
        <v>44048.176388888889</v>
      </c>
      <c r="BK1081" t="s">
        <v>778</v>
      </c>
      <c r="BL1081" t="s">
        <v>778</v>
      </c>
      <c r="BN1081" t="s">
        <v>37</v>
      </c>
    </row>
    <row r="1082" spans="1:66" x14ac:dyDescent="0.2">
      <c r="A1082">
        <v>3693639</v>
      </c>
      <c r="B1082">
        <v>21883</v>
      </c>
      <c r="C1082">
        <v>523864</v>
      </c>
      <c r="D1082">
        <v>52899</v>
      </c>
      <c r="E1082">
        <v>100</v>
      </c>
      <c r="F1082" t="s">
        <v>37</v>
      </c>
      <c r="G1082">
        <v>1</v>
      </c>
      <c r="H1082" t="s">
        <v>37</v>
      </c>
      <c r="I1082" t="s">
        <v>37</v>
      </c>
      <c r="J1082" t="s">
        <v>775</v>
      </c>
      <c r="K1082" t="s">
        <v>230</v>
      </c>
      <c r="L1082" t="s">
        <v>226</v>
      </c>
      <c r="M1082" t="s">
        <v>422</v>
      </c>
      <c r="N1082" t="s">
        <v>5141</v>
      </c>
      <c r="O1082" t="s">
        <v>5142</v>
      </c>
      <c r="S1082">
        <v>0</v>
      </c>
      <c r="T1082">
        <v>8</v>
      </c>
      <c r="U1082">
        <v>0</v>
      </c>
      <c r="V1082">
        <v>8</v>
      </c>
      <c r="W1082">
        <v>8</v>
      </c>
      <c r="X1082">
        <v>0</v>
      </c>
      <c r="Y1082">
        <v>0</v>
      </c>
      <c r="Z1082">
        <v>0</v>
      </c>
      <c r="AB1082" s="5">
        <v>43819</v>
      </c>
      <c r="AC1082" s="5">
        <v>43819</v>
      </c>
      <c r="AD1082" s="5">
        <v>43970.333333333336</v>
      </c>
      <c r="AE1082" s="5">
        <v>43970.333333333336</v>
      </c>
      <c r="AG1082" s="5">
        <v>44044</v>
      </c>
      <c r="AH1082" s="5">
        <v>44044</v>
      </c>
      <c r="AK1082" s="5">
        <v>43839.333333333336</v>
      </c>
      <c r="AL1082" s="5">
        <v>43839.666666666664</v>
      </c>
      <c r="AP1082" t="s">
        <v>418</v>
      </c>
      <c r="AU1082" t="s">
        <v>5143</v>
      </c>
      <c r="AV1082" t="s">
        <v>5144</v>
      </c>
      <c r="AY1082" t="s">
        <v>40</v>
      </c>
      <c r="AZ1082">
        <v>0</v>
      </c>
      <c r="BA1082">
        <v>0</v>
      </c>
      <c r="BI1082" s="5">
        <v>44048.176388888889</v>
      </c>
      <c r="BJ1082" s="5">
        <v>44048.176388888889</v>
      </c>
      <c r="BK1082" t="s">
        <v>778</v>
      </c>
      <c r="BL1082" t="s">
        <v>778</v>
      </c>
      <c r="BN1082" t="s">
        <v>37</v>
      </c>
    </row>
    <row r="1083" spans="1:66" x14ac:dyDescent="0.2">
      <c r="A1083">
        <v>3693640</v>
      </c>
      <c r="B1083">
        <v>21883</v>
      </c>
      <c r="C1083">
        <v>523864</v>
      </c>
      <c r="D1083">
        <v>52895</v>
      </c>
      <c r="E1083">
        <v>100</v>
      </c>
      <c r="F1083" t="s">
        <v>37</v>
      </c>
      <c r="G1083">
        <v>1</v>
      </c>
      <c r="H1083" t="s">
        <v>37</v>
      </c>
      <c r="I1083" t="s">
        <v>37</v>
      </c>
      <c r="J1083" t="s">
        <v>775</v>
      </c>
      <c r="K1083" t="s">
        <v>230</v>
      </c>
      <c r="L1083" t="s">
        <v>226</v>
      </c>
      <c r="M1083" t="s">
        <v>422</v>
      </c>
      <c r="N1083" t="s">
        <v>5145</v>
      </c>
      <c r="O1083" t="s">
        <v>2625</v>
      </c>
      <c r="S1083">
        <v>0</v>
      </c>
      <c r="T1083">
        <v>0</v>
      </c>
      <c r="U1083">
        <v>0</v>
      </c>
      <c r="V1083">
        <v>0</v>
      </c>
      <c r="W1083">
        <v>56</v>
      </c>
      <c r="X1083">
        <v>0</v>
      </c>
      <c r="Y1083">
        <v>0</v>
      </c>
      <c r="Z1083">
        <v>0</v>
      </c>
      <c r="AB1083" s="5">
        <v>43819</v>
      </c>
      <c r="AC1083" s="5">
        <v>43826</v>
      </c>
      <c r="AD1083" s="5">
        <v>43970.333333333336</v>
      </c>
      <c r="AE1083" s="5">
        <v>43970.333333333336</v>
      </c>
      <c r="AG1083" s="5">
        <v>44044</v>
      </c>
      <c r="AH1083" s="5">
        <v>44044</v>
      </c>
      <c r="AK1083" s="5">
        <v>43839.333333333336</v>
      </c>
      <c r="AL1083" s="5">
        <v>43845.666666666664</v>
      </c>
      <c r="AP1083" t="s">
        <v>418</v>
      </c>
      <c r="AU1083" t="s">
        <v>5146</v>
      </c>
      <c r="AV1083" t="s">
        <v>5147</v>
      </c>
      <c r="AY1083" t="s">
        <v>40</v>
      </c>
      <c r="AZ1083">
        <v>0</v>
      </c>
      <c r="BA1083">
        <v>0</v>
      </c>
      <c r="BI1083" s="5">
        <v>44048.176388888889</v>
      </c>
      <c r="BJ1083" s="5">
        <v>44048.176388888889</v>
      </c>
      <c r="BK1083" t="s">
        <v>778</v>
      </c>
      <c r="BL1083" t="s">
        <v>778</v>
      </c>
      <c r="BN1083" t="s">
        <v>37</v>
      </c>
    </row>
    <row r="1084" spans="1:66" x14ac:dyDescent="0.2">
      <c r="A1084">
        <v>3693641</v>
      </c>
      <c r="B1084">
        <v>21883</v>
      </c>
      <c r="C1084">
        <v>523864</v>
      </c>
      <c r="D1084">
        <v>52899</v>
      </c>
      <c r="E1084">
        <v>100</v>
      </c>
      <c r="F1084" t="s">
        <v>37</v>
      </c>
      <c r="G1084">
        <v>1</v>
      </c>
      <c r="H1084" t="s">
        <v>37</v>
      </c>
      <c r="I1084" t="s">
        <v>37</v>
      </c>
      <c r="J1084" t="s">
        <v>775</v>
      </c>
      <c r="K1084" t="s">
        <v>230</v>
      </c>
      <c r="L1084" t="s">
        <v>226</v>
      </c>
      <c r="M1084" t="s">
        <v>422</v>
      </c>
      <c r="N1084" t="s">
        <v>5148</v>
      </c>
      <c r="O1084" t="s">
        <v>3752</v>
      </c>
      <c r="S1084">
        <v>0</v>
      </c>
      <c r="T1084">
        <v>0</v>
      </c>
      <c r="U1084">
        <v>0</v>
      </c>
      <c r="V1084">
        <v>0</v>
      </c>
      <c r="W1084">
        <v>8</v>
      </c>
      <c r="X1084">
        <v>0</v>
      </c>
      <c r="Y1084">
        <v>0</v>
      </c>
      <c r="Z1084">
        <v>0</v>
      </c>
      <c r="AB1084" s="5">
        <v>43769</v>
      </c>
      <c r="AC1084" s="5">
        <v>43769</v>
      </c>
      <c r="AD1084" s="5">
        <v>43970.333333333336</v>
      </c>
      <c r="AE1084" s="5">
        <v>43970.333333333336</v>
      </c>
      <c r="AG1084" s="5">
        <v>44044</v>
      </c>
      <c r="AH1084" s="5">
        <v>44044</v>
      </c>
      <c r="AK1084" s="5">
        <v>43802.333333333336</v>
      </c>
      <c r="AL1084" s="5">
        <v>43802.666666666664</v>
      </c>
      <c r="AP1084" t="s">
        <v>418</v>
      </c>
      <c r="AU1084" t="s">
        <v>5149</v>
      </c>
      <c r="AV1084" t="s">
        <v>5150</v>
      </c>
      <c r="AY1084" t="s">
        <v>40</v>
      </c>
      <c r="AZ1084">
        <v>0</v>
      </c>
      <c r="BA1084">
        <v>0</v>
      </c>
      <c r="BI1084" s="5">
        <v>44048.176388888889</v>
      </c>
      <c r="BJ1084" s="5">
        <v>44048.176388888889</v>
      </c>
      <c r="BK1084" t="s">
        <v>778</v>
      </c>
      <c r="BL1084" t="s">
        <v>778</v>
      </c>
      <c r="BN1084" t="s">
        <v>37</v>
      </c>
    </row>
    <row r="1085" spans="1:66" x14ac:dyDescent="0.2">
      <c r="A1085">
        <v>3693642</v>
      </c>
      <c r="B1085">
        <v>21883</v>
      </c>
      <c r="C1085">
        <v>523864</v>
      </c>
      <c r="D1085">
        <v>52899</v>
      </c>
      <c r="E1085">
        <v>100</v>
      </c>
      <c r="F1085" t="s">
        <v>37</v>
      </c>
      <c r="G1085">
        <v>1</v>
      </c>
      <c r="H1085" t="s">
        <v>37</v>
      </c>
      <c r="I1085" t="s">
        <v>37</v>
      </c>
      <c r="J1085" t="s">
        <v>775</v>
      </c>
      <c r="K1085" t="s">
        <v>230</v>
      </c>
      <c r="L1085" t="s">
        <v>226</v>
      </c>
      <c r="M1085" t="s">
        <v>422</v>
      </c>
      <c r="N1085" t="s">
        <v>5151</v>
      </c>
      <c r="O1085" t="s">
        <v>4288</v>
      </c>
      <c r="S1085">
        <v>0</v>
      </c>
      <c r="T1085">
        <v>0</v>
      </c>
      <c r="U1085">
        <v>0</v>
      </c>
      <c r="V1085">
        <v>0</v>
      </c>
      <c r="W1085">
        <v>8</v>
      </c>
      <c r="X1085">
        <v>0</v>
      </c>
      <c r="Y1085">
        <v>0</v>
      </c>
      <c r="Z1085">
        <v>0</v>
      </c>
      <c r="AB1085" s="5">
        <v>43769</v>
      </c>
      <c r="AC1085" s="5">
        <v>43769</v>
      </c>
      <c r="AD1085" s="5">
        <v>43970.333333333336</v>
      </c>
      <c r="AE1085" s="5">
        <v>43970.333333333336</v>
      </c>
      <c r="AG1085" s="5">
        <v>44044</v>
      </c>
      <c r="AH1085" s="5">
        <v>44044</v>
      </c>
      <c r="AK1085" s="5">
        <v>43802.333333333336</v>
      </c>
      <c r="AL1085" s="5">
        <v>43802.666666666664</v>
      </c>
      <c r="AP1085" t="s">
        <v>418</v>
      </c>
      <c r="AU1085" t="s">
        <v>5152</v>
      </c>
      <c r="AV1085" t="s">
        <v>5153</v>
      </c>
      <c r="AY1085" t="s">
        <v>40</v>
      </c>
      <c r="AZ1085">
        <v>0</v>
      </c>
      <c r="BA1085">
        <v>0</v>
      </c>
      <c r="BI1085" s="5">
        <v>44048.176388888889</v>
      </c>
      <c r="BJ1085" s="5">
        <v>44048.176388888889</v>
      </c>
      <c r="BK1085" t="s">
        <v>778</v>
      </c>
      <c r="BL1085" t="s">
        <v>778</v>
      </c>
      <c r="BN1085" t="s">
        <v>37</v>
      </c>
    </row>
    <row r="1086" spans="1:66" x14ac:dyDescent="0.2">
      <c r="A1086">
        <v>3693643</v>
      </c>
      <c r="B1086">
        <v>21883</v>
      </c>
      <c r="C1086">
        <v>523864</v>
      </c>
      <c r="D1086">
        <v>52899</v>
      </c>
      <c r="E1086">
        <v>100</v>
      </c>
      <c r="F1086" t="s">
        <v>37</v>
      </c>
      <c r="G1086">
        <v>1</v>
      </c>
      <c r="H1086" t="s">
        <v>37</v>
      </c>
      <c r="I1086" t="s">
        <v>37</v>
      </c>
      <c r="J1086" t="s">
        <v>775</v>
      </c>
      <c r="K1086" t="s">
        <v>230</v>
      </c>
      <c r="L1086" t="s">
        <v>226</v>
      </c>
      <c r="M1086" t="s">
        <v>422</v>
      </c>
      <c r="N1086" t="s">
        <v>5154</v>
      </c>
      <c r="O1086" t="s">
        <v>4450</v>
      </c>
      <c r="S1086">
        <v>0</v>
      </c>
      <c r="T1086">
        <v>16</v>
      </c>
      <c r="U1086">
        <v>0</v>
      </c>
      <c r="V1086">
        <v>16</v>
      </c>
      <c r="W1086">
        <v>16</v>
      </c>
      <c r="X1086">
        <v>0</v>
      </c>
      <c r="Y1086">
        <v>0</v>
      </c>
      <c r="Z1086">
        <v>0</v>
      </c>
      <c r="AB1086" s="5">
        <v>43776</v>
      </c>
      <c r="AC1086" s="5">
        <v>43778</v>
      </c>
      <c r="AD1086" s="5">
        <v>43970.333333333336</v>
      </c>
      <c r="AE1086" s="5">
        <v>43970.333333333336</v>
      </c>
      <c r="AG1086" s="5">
        <v>44044</v>
      </c>
      <c r="AH1086" s="5">
        <v>44044</v>
      </c>
      <c r="AK1086" s="5">
        <v>43804.333333333336</v>
      </c>
      <c r="AL1086" s="5">
        <v>43805.666666666664</v>
      </c>
      <c r="AP1086" t="s">
        <v>418</v>
      </c>
      <c r="AU1086" t="s">
        <v>5155</v>
      </c>
      <c r="AV1086" t="s">
        <v>5156</v>
      </c>
      <c r="AY1086" t="s">
        <v>40</v>
      </c>
      <c r="AZ1086">
        <v>0</v>
      </c>
      <c r="BA1086">
        <v>0</v>
      </c>
      <c r="BI1086" s="5">
        <v>44048.176388888889</v>
      </c>
      <c r="BJ1086" s="5">
        <v>44048.176388888889</v>
      </c>
      <c r="BK1086" t="s">
        <v>778</v>
      </c>
      <c r="BL1086" t="s">
        <v>778</v>
      </c>
      <c r="BN1086" t="s">
        <v>37</v>
      </c>
    </row>
    <row r="1087" spans="1:66" x14ac:dyDescent="0.2">
      <c r="A1087">
        <v>3693644</v>
      </c>
      <c r="B1087">
        <v>21883</v>
      </c>
      <c r="C1087">
        <v>523864</v>
      </c>
      <c r="D1087">
        <v>52899</v>
      </c>
      <c r="E1087">
        <v>100</v>
      </c>
      <c r="F1087" t="s">
        <v>37</v>
      </c>
      <c r="G1087">
        <v>1</v>
      </c>
      <c r="H1087" t="s">
        <v>37</v>
      </c>
      <c r="I1087" t="s">
        <v>37</v>
      </c>
      <c r="J1087" t="s">
        <v>775</v>
      </c>
      <c r="K1087" t="s">
        <v>230</v>
      </c>
      <c r="L1087" t="s">
        <v>226</v>
      </c>
      <c r="M1087" t="s">
        <v>422</v>
      </c>
      <c r="N1087" t="s">
        <v>5157</v>
      </c>
      <c r="O1087" t="s">
        <v>4453</v>
      </c>
      <c r="S1087">
        <v>0</v>
      </c>
      <c r="T1087">
        <v>16</v>
      </c>
      <c r="U1087">
        <v>0</v>
      </c>
      <c r="V1087">
        <v>16</v>
      </c>
      <c r="W1087">
        <v>16</v>
      </c>
      <c r="X1087">
        <v>0</v>
      </c>
      <c r="Y1087">
        <v>0</v>
      </c>
      <c r="Z1087">
        <v>0</v>
      </c>
      <c r="AB1087" s="5">
        <v>43815</v>
      </c>
      <c r="AC1087" s="5">
        <v>43816</v>
      </c>
      <c r="AD1087" s="5">
        <v>43970.333333333336</v>
      </c>
      <c r="AE1087" s="5">
        <v>43970.333333333336</v>
      </c>
      <c r="AG1087" s="5">
        <v>44044</v>
      </c>
      <c r="AH1087" s="5">
        <v>44044</v>
      </c>
      <c r="AK1087" s="5">
        <v>43832.333333333336</v>
      </c>
      <c r="AL1087" s="5">
        <v>43833.666666666664</v>
      </c>
      <c r="AP1087" t="s">
        <v>418</v>
      </c>
      <c r="AU1087" t="s">
        <v>5158</v>
      </c>
      <c r="AV1087" t="s">
        <v>5159</v>
      </c>
      <c r="AY1087" t="s">
        <v>40</v>
      </c>
      <c r="AZ1087">
        <v>0</v>
      </c>
      <c r="BA1087">
        <v>0</v>
      </c>
      <c r="BI1087" s="5">
        <v>44048.176388888889</v>
      </c>
      <c r="BJ1087" s="5">
        <v>44048.176388888889</v>
      </c>
      <c r="BK1087" t="s">
        <v>778</v>
      </c>
      <c r="BL1087" t="s">
        <v>778</v>
      </c>
      <c r="BN1087" t="s">
        <v>37</v>
      </c>
    </row>
    <row r="1088" spans="1:66" x14ac:dyDescent="0.2">
      <c r="A1088">
        <v>3693645</v>
      </c>
      <c r="B1088">
        <v>21883</v>
      </c>
      <c r="C1088">
        <v>523864</v>
      </c>
      <c r="D1088">
        <v>52899</v>
      </c>
      <c r="E1088">
        <v>100</v>
      </c>
      <c r="F1088" t="s">
        <v>37</v>
      </c>
      <c r="G1088">
        <v>1</v>
      </c>
      <c r="H1088" t="s">
        <v>37</v>
      </c>
      <c r="I1088" t="s">
        <v>37</v>
      </c>
      <c r="J1088" t="s">
        <v>775</v>
      </c>
      <c r="K1088" t="s">
        <v>230</v>
      </c>
      <c r="L1088" t="s">
        <v>226</v>
      </c>
      <c r="M1088" t="s">
        <v>422</v>
      </c>
      <c r="N1088" t="s">
        <v>5160</v>
      </c>
      <c r="O1088" t="s">
        <v>4457</v>
      </c>
      <c r="S1088">
        <v>0</v>
      </c>
      <c r="T1088">
        <v>24</v>
      </c>
      <c r="U1088">
        <v>0</v>
      </c>
      <c r="V1088">
        <v>24</v>
      </c>
      <c r="W1088">
        <v>24</v>
      </c>
      <c r="X1088">
        <v>0</v>
      </c>
      <c r="Y1088">
        <v>0</v>
      </c>
      <c r="Z1088">
        <v>0</v>
      </c>
      <c r="AB1088" s="5">
        <v>43801</v>
      </c>
      <c r="AC1088" s="5">
        <v>43802</v>
      </c>
      <c r="AD1088" s="5">
        <v>43970.333333333336</v>
      </c>
      <c r="AE1088" s="5">
        <v>43970.333333333336</v>
      </c>
      <c r="AG1088" s="5">
        <v>44044</v>
      </c>
      <c r="AH1088" s="5">
        <v>44044</v>
      </c>
      <c r="AK1088" s="5">
        <v>43832.333333333336</v>
      </c>
      <c r="AL1088" s="5">
        <v>43836.666666666664</v>
      </c>
      <c r="AP1088" t="s">
        <v>418</v>
      </c>
      <c r="AU1088" t="s">
        <v>5161</v>
      </c>
      <c r="AV1088" t="s">
        <v>5162</v>
      </c>
      <c r="AY1088" t="s">
        <v>40</v>
      </c>
      <c r="AZ1088">
        <v>0</v>
      </c>
      <c r="BA1088">
        <v>0</v>
      </c>
      <c r="BI1088" s="5">
        <v>44048.176388888889</v>
      </c>
      <c r="BJ1088" s="5">
        <v>44048.176388888889</v>
      </c>
      <c r="BK1088" t="s">
        <v>778</v>
      </c>
      <c r="BL1088" t="s">
        <v>778</v>
      </c>
      <c r="BN1088" t="s">
        <v>37</v>
      </c>
    </row>
    <row r="1089" spans="1:66" x14ac:dyDescent="0.2">
      <c r="A1089">
        <v>3693646</v>
      </c>
      <c r="B1089">
        <v>21883</v>
      </c>
      <c r="C1089">
        <v>523864</v>
      </c>
      <c r="D1089">
        <v>52899</v>
      </c>
      <c r="E1089">
        <v>100</v>
      </c>
      <c r="F1089" t="s">
        <v>37</v>
      </c>
      <c r="G1089">
        <v>1</v>
      </c>
      <c r="H1089" t="s">
        <v>37</v>
      </c>
      <c r="I1089" t="s">
        <v>37</v>
      </c>
      <c r="J1089" t="s">
        <v>775</v>
      </c>
      <c r="K1089" t="s">
        <v>230</v>
      </c>
      <c r="L1089" t="s">
        <v>226</v>
      </c>
      <c r="M1089" t="s">
        <v>422</v>
      </c>
      <c r="N1089" t="s">
        <v>5163</v>
      </c>
      <c r="O1089" t="s">
        <v>4461</v>
      </c>
      <c r="S1089">
        <v>0</v>
      </c>
      <c r="T1089">
        <v>16</v>
      </c>
      <c r="U1089">
        <v>0</v>
      </c>
      <c r="V1089">
        <v>16</v>
      </c>
      <c r="W1089">
        <v>16</v>
      </c>
      <c r="X1089">
        <v>0</v>
      </c>
      <c r="Y1089">
        <v>0</v>
      </c>
      <c r="Z1089">
        <v>0</v>
      </c>
      <c r="AB1089" s="5">
        <v>43816</v>
      </c>
      <c r="AC1089" s="5">
        <v>43816</v>
      </c>
      <c r="AD1089" s="5">
        <v>43970.333333333336</v>
      </c>
      <c r="AE1089" s="5">
        <v>43970.333333333336</v>
      </c>
      <c r="AG1089" s="5">
        <v>44044</v>
      </c>
      <c r="AH1089" s="5">
        <v>44044</v>
      </c>
      <c r="AK1089" s="5">
        <v>43832.333333333336</v>
      </c>
      <c r="AL1089" s="5">
        <v>43833.666666666664</v>
      </c>
      <c r="AP1089" t="s">
        <v>418</v>
      </c>
      <c r="AU1089" t="s">
        <v>5164</v>
      </c>
      <c r="AV1089" t="s">
        <v>5165</v>
      </c>
      <c r="AY1089" t="s">
        <v>40</v>
      </c>
      <c r="AZ1089">
        <v>0</v>
      </c>
      <c r="BA1089">
        <v>0</v>
      </c>
      <c r="BI1089" s="5">
        <v>44048.176388888889</v>
      </c>
      <c r="BJ1089" s="5">
        <v>44048.176388888889</v>
      </c>
      <c r="BK1089" t="s">
        <v>778</v>
      </c>
      <c r="BL1089" t="s">
        <v>778</v>
      </c>
      <c r="BN1089" t="s">
        <v>37</v>
      </c>
    </row>
    <row r="1090" spans="1:66" x14ac:dyDescent="0.2">
      <c r="A1090">
        <v>3693647</v>
      </c>
      <c r="B1090">
        <v>21883</v>
      </c>
      <c r="C1090">
        <v>523864</v>
      </c>
      <c r="D1090">
        <v>52899</v>
      </c>
      <c r="E1090">
        <v>100</v>
      </c>
      <c r="F1090" t="s">
        <v>37</v>
      </c>
      <c r="G1090">
        <v>1</v>
      </c>
      <c r="H1090" t="s">
        <v>37</v>
      </c>
      <c r="I1090" t="s">
        <v>37</v>
      </c>
      <c r="J1090" t="s">
        <v>775</v>
      </c>
      <c r="K1090" t="s">
        <v>230</v>
      </c>
      <c r="L1090" t="s">
        <v>226</v>
      </c>
      <c r="M1090" t="s">
        <v>422</v>
      </c>
      <c r="N1090" t="s">
        <v>5166</v>
      </c>
      <c r="O1090" t="s">
        <v>4465</v>
      </c>
      <c r="S1090">
        <v>0</v>
      </c>
      <c r="T1090">
        <v>24</v>
      </c>
      <c r="U1090">
        <v>0</v>
      </c>
      <c r="V1090">
        <v>24</v>
      </c>
      <c r="W1090">
        <v>24</v>
      </c>
      <c r="X1090">
        <v>0</v>
      </c>
      <c r="Y1090">
        <v>0</v>
      </c>
      <c r="Z1090">
        <v>0</v>
      </c>
      <c r="AB1090" s="5">
        <v>43817</v>
      </c>
      <c r="AC1090" s="5">
        <v>43817</v>
      </c>
      <c r="AD1090" s="5">
        <v>43970.333333333336</v>
      </c>
      <c r="AE1090" s="5">
        <v>43970.333333333336</v>
      </c>
      <c r="AG1090" s="5">
        <v>44044</v>
      </c>
      <c r="AH1090" s="5">
        <v>44044</v>
      </c>
      <c r="AK1090" s="5">
        <v>43832.333333333336</v>
      </c>
      <c r="AL1090" s="5">
        <v>43836.666666666664</v>
      </c>
      <c r="AP1090" t="s">
        <v>418</v>
      </c>
      <c r="AU1090" t="s">
        <v>5167</v>
      </c>
      <c r="AV1090" t="s">
        <v>5168</v>
      </c>
      <c r="AY1090" t="s">
        <v>40</v>
      </c>
      <c r="AZ1090">
        <v>0</v>
      </c>
      <c r="BA1090">
        <v>0</v>
      </c>
      <c r="BI1090" s="5">
        <v>44048.176388888889</v>
      </c>
      <c r="BJ1090" s="5">
        <v>44048.176388888889</v>
      </c>
      <c r="BK1090" t="s">
        <v>778</v>
      </c>
      <c r="BL1090" t="s">
        <v>778</v>
      </c>
      <c r="BN1090" t="s">
        <v>37</v>
      </c>
    </row>
    <row r="1091" spans="1:66" x14ac:dyDescent="0.2">
      <c r="A1091">
        <v>3693648</v>
      </c>
      <c r="B1091">
        <v>21883</v>
      </c>
      <c r="C1091">
        <v>523864</v>
      </c>
      <c r="D1091">
        <v>52899</v>
      </c>
      <c r="E1091">
        <v>100</v>
      </c>
      <c r="F1091" t="s">
        <v>37</v>
      </c>
      <c r="G1091">
        <v>1</v>
      </c>
      <c r="H1091" t="s">
        <v>37</v>
      </c>
      <c r="I1091" t="s">
        <v>37</v>
      </c>
      <c r="J1091" t="s">
        <v>775</v>
      </c>
      <c r="K1091" t="s">
        <v>230</v>
      </c>
      <c r="L1091" t="s">
        <v>226</v>
      </c>
      <c r="M1091" t="s">
        <v>422</v>
      </c>
      <c r="N1091" t="s">
        <v>5169</v>
      </c>
      <c r="O1091" t="s">
        <v>5170</v>
      </c>
      <c r="S1091">
        <v>0</v>
      </c>
      <c r="T1091">
        <v>24</v>
      </c>
      <c r="U1091">
        <v>0</v>
      </c>
      <c r="V1091">
        <v>24</v>
      </c>
      <c r="W1091">
        <v>24</v>
      </c>
      <c r="X1091">
        <v>0</v>
      </c>
      <c r="Y1091">
        <v>0</v>
      </c>
      <c r="Z1091">
        <v>0</v>
      </c>
      <c r="AB1091" s="5">
        <v>43826</v>
      </c>
      <c r="AC1091" s="5">
        <v>43826</v>
      </c>
      <c r="AD1091" s="5">
        <v>43970.333333333336</v>
      </c>
      <c r="AE1091" s="5">
        <v>43970.333333333336</v>
      </c>
      <c r="AG1091" s="5">
        <v>44044</v>
      </c>
      <c r="AH1091" s="5">
        <v>44044</v>
      </c>
      <c r="AK1091" s="5">
        <v>43839.333333333336</v>
      </c>
      <c r="AL1091" s="5">
        <v>43844.666666666664</v>
      </c>
      <c r="AP1091" t="s">
        <v>418</v>
      </c>
      <c r="AU1091" t="s">
        <v>5171</v>
      </c>
      <c r="AV1091" t="s">
        <v>5172</v>
      </c>
      <c r="AY1091" t="s">
        <v>40</v>
      </c>
      <c r="AZ1091">
        <v>0</v>
      </c>
      <c r="BA1091">
        <v>0</v>
      </c>
      <c r="BI1091" s="5">
        <v>44048.176388888889</v>
      </c>
      <c r="BJ1091" s="5">
        <v>44048.176388888889</v>
      </c>
      <c r="BK1091" t="s">
        <v>778</v>
      </c>
      <c r="BL1091" t="s">
        <v>778</v>
      </c>
      <c r="BN1091" t="s">
        <v>37</v>
      </c>
    </row>
    <row r="1092" spans="1:66" x14ac:dyDescent="0.2">
      <c r="A1092">
        <v>3693649</v>
      </c>
      <c r="B1092">
        <v>21883</v>
      </c>
      <c r="C1092">
        <v>523864</v>
      </c>
      <c r="D1092">
        <v>52899</v>
      </c>
      <c r="E1092">
        <v>100</v>
      </c>
      <c r="F1092" t="s">
        <v>37</v>
      </c>
      <c r="G1092">
        <v>1</v>
      </c>
      <c r="H1092" t="s">
        <v>37</v>
      </c>
      <c r="I1092" t="s">
        <v>37</v>
      </c>
      <c r="J1092" t="s">
        <v>775</v>
      </c>
      <c r="K1092" t="s">
        <v>230</v>
      </c>
      <c r="L1092" t="s">
        <v>226</v>
      </c>
      <c r="M1092" t="s">
        <v>422</v>
      </c>
      <c r="N1092" t="s">
        <v>5173</v>
      </c>
      <c r="O1092" t="s">
        <v>4473</v>
      </c>
      <c r="S1092">
        <v>0</v>
      </c>
      <c r="T1092">
        <v>16</v>
      </c>
      <c r="U1092">
        <v>0</v>
      </c>
      <c r="V1092">
        <v>16</v>
      </c>
      <c r="W1092">
        <v>16</v>
      </c>
      <c r="X1092">
        <v>0</v>
      </c>
      <c r="Y1092">
        <v>0</v>
      </c>
      <c r="Z1092">
        <v>0</v>
      </c>
      <c r="AB1092" s="5">
        <v>43896</v>
      </c>
      <c r="AC1092" s="5">
        <v>43896</v>
      </c>
      <c r="AD1092" s="5">
        <v>43970.333333333336</v>
      </c>
      <c r="AE1092" s="5">
        <v>43970.333333333336</v>
      </c>
      <c r="AG1092" s="5">
        <v>44044</v>
      </c>
      <c r="AH1092" s="5">
        <v>44044</v>
      </c>
      <c r="AK1092" s="5">
        <v>43893.333333333336</v>
      </c>
      <c r="AL1092" s="5">
        <v>43894.666666666664</v>
      </c>
      <c r="AP1092" t="s">
        <v>418</v>
      </c>
      <c r="AU1092" t="s">
        <v>5174</v>
      </c>
      <c r="AV1092" t="s">
        <v>5175</v>
      </c>
      <c r="AY1092" t="s">
        <v>40</v>
      </c>
      <c r="AZ1092">
        <v>0</v>
      </c>
      <c r="BA1092">
        <v>0</v>
      </c>
      <c r="BI1092" s="5">
        <v>44048.176388888889</v>
      </c>
      <c r="BJ1092" s="5">
        <v>44048.176388888889</v>
      </c>
      <c r="BK1092" t="s">
        <v>778</v>
      </c>
      <c r="BL1092" t="s">
        <v>778</v>
      </c>
      <c r="BN1092" t="s">
        <v>37</v>
      </c>
    </row>
    <row r="1093" spans="1:66" x14ac:dyDescent="0.2">
      <c r="A1093">
        <v>3693650</v>
      </c>
      <c r="B1093">
        <v>21883</v>
      </c>
      <c r="C1093">
        <v>523863</v>
      </c>
      <c r="D1093">
        <v>52899</v>
      </c>
      <c r="E1093">
        <v>100</v>
      </c>
      <c r="F1093" t="s">
        <v>37</v>
      </c>
      <c r="G1093">
        <v>1</v>
      </c>
      <c r="H1093" t="s">
        <v>37</v>
      </c>
      <c r="I1093" t="s">
        <v>37</v>
      </c>
      <c r="J1093" t="s">
        <v>775</v>
      </c>
      <c r="K1093" t="s">
        <v>230</v>
      </c>
      <c r="L1093" t="s">
        <v>226</v>
      </c>
      <c r="M1093" t="s">
        <v>422</v>
      </c>
      <c r="N1093" t="s">
        <v>5176</v>
      </c>
      <c r="O1093" t="s">
        <v>2629</v>
      </c>
      <c r="S1093">
        <v>0</v>
      </c>
      <c r="T1093">
        <v>8</v>
      </c>
      <c r="U1093">
        <v>0</v>
      </c>
      <c r="V1093">
        <v>8</v>
      </c>
      <c r="W1093">
        <v>8</v>
      </c>
      <c r="X1093">
        <v>0</v>
      </c>
      <c r="Y1093">
        <v>0</v>
      </c>
      <c r="Z1093">
        <v>0</v>
      </c>
      <c r="AB1093" s="5">
        <v>43788</v>
      </c>
      <c r="AC1093" s="5">
        <v>43788</v>
      </c>
      <c r="AD1093" s="5">
        <v>43970.333333333336</v>
      </c>
      <c r="AE1093" s="5">
        <v>43970.333333333336</v>
      </c>
      <c r="AG1093" s="5">
        <v>44044</v>
      </c>
      <c r="AH1093" s="5">
        <v>44044</v>
      </c>
      <c r="AK1093" s="5">
        <v>43812.333333333336</v>
      </c>
      <c r="AL1093" s="5">
        <v>43812.666666666664</v>
      </c>
      <c r="AP1093" t="s">
        <v>418</v>
      </c>
      <c r="AU1093" t="s">
        <v>5177</v>
      </c>
      <c r="AV1093" t="s">
        <v>5178</v>
      </c>
      <c r="AY1093" t="s">
        <v>40</v>
      </c>
      <c r="AZ1093">
        <v>0</v>
      </c>
      <c r="BA1093">
        <v>0</v>
      </c>
      <c r="BI1093" s="5">
        <v>44048.176388888889</v>
      </c>
      <c r="BJ1093" s="5">
        <v>44048.176388888889</v>
      </c>
      <c r="BK1093" t="s">
        <v>778</v>
      </c>
      <c r="BL1093" t="s">
        <v>778</v>
      </c>
      <c r="BN1093" t="s">
        <v>37</v>
      </c>
    </row>
    <row r="1094" spans="1:66" x14ac:dyDescent="0.2">
      <c r="A1094">
        <v>3693651</v>
      </c>
      <c r="B1094">
        <v>21883</v>
      </c>
      <c r="C1094">
        <v>523863</v>
      </c>
      <c r="D1094">
        <v>52899</v>
      </c>
      <c r="E1094">
        <v>100</v>
      </c>
      <c r="F1094" t="s">
        <v>37</v>
      </c>
      <c r="G1094">
        <v>1</v>
      </c>
      <c r="H1094" t="s">
        <v>37</v>
      </c>
      <c r="I1094" t="s">
        <v>37</v>
      </c>
      <c r="J1094" t="s">
        <v>775</v>
      </c>
      <c r="K1094" t="s">
        <v>230</v>
      </c>
      <c r="L1094" t="s">
        <v>226</v>
      </c>
      <c r="M1094" t="s">
        <v>422</v>
      </c>
      <c r="N1094" t="s">
        <v>5179</v>
      </c>
      <c r="O1094" t="s">
        <v>2633</v>
      </c>
      <c r="S1094">
        <v>0</v>
      </c>
      <c r="T1094">
        <v>16</v>
      </c>
      <c r="U1094">
        <v>0</v>
      </c>
      <c r="V1094">
        <v>16</v>
      </c>
      <c r="W1094">
        <v>8</v>
      </c>
      <c r="X1094">
        <v>0</v>
      </c>
      <c r="Y1094">
        <v>0</v>
      </c>
      <c r="Z1094">
        <v>0</v>
      </c>
      <c r="AB1094" s="5">
        <v>43802</v>
      </c>
      <c r="AC1094" s="5">
        <v>43802</v>
      </c>
      <c r="AD1094" s="5">
        <v>43970.333333333336</v>
      </c>
      <c r="AE1094" s="5">
        <v>43970.333333333336</v>
      </c>
      <c r="AG1094" s="5">
        <v>44044</v>
      </c>
      <c r="AH1094" s="5">
        <v>44044</v>
      </c>
      <c r="AK1094" s="5">
        <v>43832.333333333336</v>
      </c>
      <c r="AL1094" s="5">
        <v>43832.666666666664</v>
      </c>
      <c r="AP1094" t="s">
        <v>418</v>
      </c>
      <c r="AU1094" t="s">
        <v>5180</v>
      </c>
      <c r="AV1094" t="s">
        <v>5181</v>
      </c>
      <c r="AY1094" t="s">
        <v>40</v>
      </c>
      <c r="AZ1094">
        <v>0</v>
      </c>
      <c r="BA1094">
        <v>0</v>
      </c>
      <c r="BI1094" s="5">
        <v>44048.176388888889</v>
      </c>
      <c r="BJ1094" s="5">
        <v>44048.176388888889</v>
      </c>
      <c r="BK1094" t="s">
        <v>778</v>
      </c>
      <c r="BL1094" t="s">
        <v>778</v>
      </c>
      <c r="BN1094" t="s">
        <v>37</v>
      </c>
    </row>
    <row r="1095" spans="1:66" x14ac:dyDescent="0.2">
      <c r="A1095">
        <v>3693652</v>
      </c>
      <c r="B1095">
        <v>21883</v>
      </c>
      <c r="C1095">
        <v>523863</v>
      </c>
      <c r="D1095">
        <v>52899</v>
      </c>
      <c r="E1095">
        <v>100</v>
      </c>
      <c r="F1095" t="s">
        <v>37</v>
      </c>
      <c r="G1095">
        <v>1</v>
      </c>
      <c r="H1095" t="s">
        <v>37</v>
      </c>
      <c r="I1095" t="s">
        <v>37</v>
      </c>
      <c r="J1095" t="s">
        <v>775</v>
      </c>
      <c r="K1095" t="s">
        <v>230</v>
      </c>
      <c r="L1095" t="s">
        <v>226</v>
      </c>
      <c r="M1095" t="s">
        <v>422</v>
      </c>
      <c r="N1095" t="s">
        <v>5182</v>
      </c>
      <c r="O1095" t="s">
        <v>2637</v>
      </c>
      <c r="S1095">
        <v>0</v>
      </c>
      <c r="T1095">
        <v>0</v>
      </c>
      <c r="U1095">
        <v>0</v>
      </c>
      <c r="V1095">
        <v>0</v>
      </c>
      <c r="W1095">
        <v>24</v>
      </c>
      <c r="X1095">
        <v>0</v>
      </c>
      <c r="Y1095">
        <v>0</v>
      </c>
      <c r="Z1095">
        <v>0</v>
      </c>
      <c r="AB1095" s="5">
        <v>43801</v>
      </c>
      <c r="AC1095" s="5">
        <v>43801</v>
      </c>
      <c r="AD1095" s="5">
        <v>43970.333333333336</v>
      </c>
      <c r="AE1095" s="5">
        <v>43970.333333333336</v>
      </c>
      <c r="AG1095" s="5">
        <v>44044</v>
      </c>
      <c r="AH1095" s="5">
        <v>44044</v>
      </c>
      <c r="AK1095" s="5">
        <v>43832.333333333336</v>
      </c>
      <c r="AL1095" s="5">
        <v>43836.666666666664</v>
      </c>
      <c r="AP1095" t="s">
        <v>418</v>
      </c>
      <c r="AU1095" t="s">
        <v>5183</v>
      </c>
      <c r="AV1095" t="s">
        <v>5184</v>
      </c>
      <c r="AY1095" t="s">
        <v>40</v>
      </c>
      <c r="AZ1095">
        <v>0</v>
      </c>
      <c r="BA1095">
        <v>0</v>
      </c>
      <c r="BI1095" s="5">
        <v>44048.176388888889</v>
      </c>
      <c r="BJ1095" s="5">
        <v>44048.176388888889</v>
      </c>
      <c r="BK1095" t="s">
        <v>778</v>
      </c>
      <c r="BL1095" t="s">
        <v>778</v>
      </c>
      <c r="BN1095" t="s">
        <v>37</v>
      </c>
    </row>
    <row r="1096" spans="1:66" x14ac:dyDescent="0.2">
      <c r="A1096">
        <v>3693653</v>
      </c>
      <c r="B1096">
        <v>21883</v>
      </c>
      <c r="C1096">
        <v>523863</v>
      </c>
      <c r="D1096">
        <v>52899</v>
      </c>
      <c r="E1096">
        <v>100</v>
      </c>
      <c r="F1096" t="s">
        <v>37</v>
      </c>
      <c r="G1096">
        <v>1</v>
      </c>
      <c r="H1096" t="s">
        <v>37</v>
      </c>
      <c r="I1096" t="s">
        <v>37</v>
      </c>
      <c r="J1096" t="s">
        <v>775</v>
      </c>
      <c r="K1096" t="s">
        <v>230</v>
      </c>
      <c r="L1096" t="s">
        <v>226</v>
      </c>
      <c r="M1096" t="s">
        <v>422</v>
      </c>
      <c r="N1096" t="s">
        <v>5185</v>
      </c>
      <c r="O1096" t="s">
        <v>2641</v>
      </c>
      <c r="S1096">
        <v>0</v>
      </c>
      <c r="T1096">
        <v>0</v>
      </c>
      <c r="U1096">
        <v>0</v>
      </c>
      <c r="V1096">
        <v>0</v>
      </c>
      <c r="W1096">
        <v>24</v>
      </c>
      <c r="X1096">
        <v>0</v>
      </c>
      <c r="Y1096">
        <v>0</v>
      </c>
      <c r="Z1096">
        <v>0</v>
      </c>
      <c r="AB1096" s="5">
        <v>43803</v>
      </c>
      <c r="AC1096" s="5">
        <v>43804</v>
      </c>
      <c r="AD1096" s="5">
        <v>43970.333333333336</v>
      </c>
      <c r="AE1096" s="5">
        <v>43970.333333333336</v>
      </c>
      <c r="AG1096" s="5">
        <v>44044</v>
      </c>
      <c r="AH1096" s="5">
        <v>44044</v>
      </c>
      <c r="AK1096" s="5">
        <v>43836.333333333336</v>
      </c>
      <c r="AL1096" s="5">
        <v>43838.666666666664</v>
      </c>
      <c r="AP1096" t="s">
        <v>418</v>
      </c>
      <c r="AU1096" t="s">
        <v>5186</v>
      </c>
      <c r="AV1096" t="s">
        <v>5187</v>
      </c>
      <c r="AY1096" t="s">
        <v>40</v>
      </c>
      <c r="AZ1096">
        <v>0</v>
      </c>
      <c r="BA1096">
        <v>0</v>
      </c>
      <c r="BI1096" s="5">
        <v>44048.176388888889</v>
      </c>
      <c r="BJ1096" s="5">
        <v>44048.176388888889</v>
      </c>
      <c r="BK1096" t="s">
        <v>778</v>
      </c>
      <c r="BL1096" t="s">
        <v>778</v>
      </c>
      <c r="BN1096" t="s">
        <v>37</v>
      </c>
    </row>
    <row r="1097" spans="1:66" x14ac:dyDescent="0.2">
      <c r="A1097">
        <v>3693654</v>
      </c>
      <c r="B1097">
        <v>21883</v>
      </c>
      <c r="C1097">
        <v>523863</v>
      </c>
      <c r="D1097">
        <v>52899</v>
      </c>
      <c r="E1097">
        <v>100</v>
      </c>
      <c r="F1097" t="s">
        <v>37</v>
      </c>
      <c r="G1097">
        <v>1</v>
      </c>
      <c r="H1097" t="s">
        <v>37</v>
      </c>
      <c r="I1097" t="s">
        <v>37</v>
      </c>
      <c r="J1097" t="s">
        <v>775</v>
      </c>
      <c r="K1097" t="s">
        <v>230</v>
      </c>
      <c r="L1097" t="s">
        <v>226</v>
      </c>
      <c r="M1097" t="s">
        <v>422</v>
      </c>
      <c r="N1097" t="s">
        <v>5188</v>
      </c>
      <c r="O1097" t="s">
        <v>5189</v>
      </c>
      <c r="S1097">
        <v>0</v>
      </c>
      <c r="T1097">
        <v>8</v>
      </c>
      <c r="U1097">
        <v>0</v>
      </c>
      <c r="V1097">
        <v>8</v>
      </c>
      <c r="W1097">
        <v>8</v>
      </c>
      <c r="X1097">
        <v>0</v>
      </c>
      <c r="Y1097">
        <v>0</v>
      </c>
      <c r="Z1097">
        <v>0</v>
      </c>
      <c r="AB1097" s="5">
        <v>43839</v>
      </c>
      <c r="AC1097" s="5">
        <v>43839</v>
      </c>
      <c r="AD1097" s="5">
        <v>43970.333333333336</v>
      </c>
      <c r="AE1097" s="5">
        <v>43970.333333333336</v>
      </c>
      <c r="AG1097" s="5">
        <v>44044</v>
      </c>
      <c r="AH1097" s="5">
        <v>44044</v>
      </c>
      <c r="AK1097" s="5">
        <v>43836.333333333336</v>
      </c>
      <c r="AL1097" s="5">
        <v>43836.666666666664</v>
      </c>
      <c r="AP1097" t="s">
        <v>418</v>
      </c>
      <c r="AU1097" t="s">
        <v>5190</v>
      </c>
      <c r="AV1097" t="s">
        <v>5191</v>
      </c>
      <c r="AY1097" t="s">
        <v>40</v>
      </c>
      <c r="AZ1097">
        <v>0</v>
      </c>
      <c r="BA1097">
        <v>0</v>
      </c>
      <c r="BI1097" s="5">
        <v>44048.176388888889</v>
      </c>
      <c r="BJ1097" s="5">
        <v>44048.176388888889</v>
      </c>
      <c r="BK1097" t="s">
        <v>778</v>
      </c>
      <c r="BL1097" t="s">
        <v>778</v>
      </c>
      <c r="BN1097" t="s">
        <v>37</v>
      </c>
    </row>
    <row r="1098" spans="1:66" x14ac:dyDescent="0.2">
      <c r="A1098">
        <v>3693655</v>
      </c>
      <c r="B1098">
        <v>21883</v>
      </c>
      <c r="C1098">
        <v>523863</v>
      </c>
      <c r="D1098">
        <v>52895</v>
      </c>
      <c r="E1098">
        <v>100</v>
      </c>
      <c r="F1098" t="s">
        <v>37</v>
      </c>
      <c r="G1098">
        <v>1</v>
      </c>
      <c r="H1098" t="s">
        <v>37</v>
      </c>
      <c r="I1098" t="s">
        <v>37</v>
      </c>
      <c r="J1098" t="s">
        <v>775</v>
      </c>
      <c r="K1098" t="s">
        <v>230</v>
      </c>
      <c r="L1098" t="s">
        <v>226</v>
      </c>
      <c r="M1098" t="s">
        <v>422</v>
      </c>
      <c r="N1098" t="s">
        <v>5192</v>
      </c>
      <c r="O1098" t="s">
        <v>2649</v>
      </c>
      <c r="S1098">
        <v>0</v>
      </c>
      <c r="T1098">
        <v>0</v>
      </c>
      <c r="U1098">
        <v>0</v>
      </c>
      <c r="V1098">
        <v>0</v>
      </c>
      <c r="W1098">
        <v>56</v>
      </c>
      <c r="X1098">
        <v>0</v>
      </c>
      <c r="Y1098">
        <v>0</v>
      </c>
      <c r="Z1098">
        <v>0</v>
      </c>
      <c r="AB1098" s="5">
        <v>43839</v>
      </c>
      <c r="AC1098" s="5">
        <v>43846</v>
      </c>
      <c r="AD1098" s="5">
        <v>43970.333333333336</v>
      </c>
      <c r="AE1098" s="5">
        <v>43970.333333333336</v>
      </c>
      <c r="AG1098" s="5">
        <v>44044</v>
      </c>
      <c r="AH1098" s="5">
        <v>44044</v>
      </c>
      <c r="AK1098" s="5">
        <v>43831.333333333336</v>
      </c>
      <c r="AL1098" s="5">
        <v>43837.666666666664</v>
      </c>
      <c r="AP1098" t="s">
        <v>418</v>
      </c>
      <c r="AU1098" t="s">
        <v>5193</v>
      </c>
      <c r="AV1098" t="s">
        <v>5194</v>
      </c>
      <c r="AY1098" t="s">
        <v>40</v>
      </c>
      <c r="AZ1098">
        <v>0</v>
      </c>
      <c r="BA1098">
        <v>0</v>
      </c>
      <c r="BI1098" s="5">
        <v>44048.176388888889</v>
      </c>
      <c r="BJ1098" s="5">
        <v>44048.176388888889</v>
      </c>
      <c r="BK1098" t="s">
        <v>778</v>
      </c>
      <c r="BL1098" t="s">
        <v>778</v>
      </c>
      <c r="BN1098" t="s">
        <v>37</v>
      </c>
    </row>
    <row r="1099" spans="1:66" x14ac:dyDescent="0.2">
      <c r="A1099">
        <v>3693656</v>
      </c>
      <c r="B1099">
        <v>21883</v>
      </c>
      <c r="C1099">
        <v>523863</v>
      </c>
      <c r="D1099">
        <v>52899</v>
      </c>
      <c r="E1099">
        <v>100</v>
      </c>
      <c r="F1099" t="s">
        <v>37</v>
      </c>
      <c r="G1099">
        <v>1</v>
      </c>
      <c r="H1099" t="s">
        <v>37</v>
      </c>
      <c r="I1099" t="s">
        <v>37</v>
      </c>
      <c r="J1099" t="s">
        <v>775</v>
      </c>
      <c r="K1099" t="s">
        <v>230</v>
      </c>
      <c r="L1099" t="s">
        <v>226</v>
      </c>
      <c r="M1099" t="s">
        <v>422</v>
      </c>
      <c r="N1099" t="s">
        <v>5195</v>
      </c>
      <c r="O1099" t="s">
        <v>3740</v>
      </c>
      <c r="S1099">
        <v>0</v>
      </c>
      <c r="T1099">
        <v>8</v>
      </c>
      <c r="U1099">
        <v>0</v>
      </c>
      <c r="V1099">
        <v>8</v>
      </c>
      <c r="W1099">
        <v>8</v>
      </c>
      <c r="X1099">
        <v>0</v>
      </c>
      <c r="Y1099">
        <v>0</v>
      </c>
      <c r="Z1099">
        <v>0</v>
      </c>
      <c r="AB1099" s="5">
        <v>43787</v>
      </c>
      <c r="AC1099" s="5">
        <v>43787</v>
      </c>
      <c r="AD1099" s="5">
        <v>43970.333333333336</v>
      </c>
      <c r="AE1099" s="5">
        <v>43970.333333333336</v>
      </c>
      <c r="AG1099" s="5">
        <v>44044</v>
      </c>
      <c r="AH1099" s="5">
        <v>44044</v>
      </c>
      <c r="AK1099" s="5">
        <v>43802.333333333336</v>
      </c>
      <c r="AL1099" s="5">
        <v>43802.666666666664</v>
      </c>
      <c r="AP1099" t="s">
        <v>418</v>
      </c>
      <c r="AU1099" t="s">
        <v>5196</v>
      </c>
      <c r="AV1099" t="s">
        <v>5197</v>
      </c>
      <c r="AY1099" t="s">
        <v>40</v>
      </c>
      <c r="AZ1099">
        <v>0</v>
      </c>
      <c r="BA1099">
        <v>0</v>
      </c>
      <c r="BI1099" s="5">
        <v>44048.176388888889</v>
      </c>
      <c r="BJ1099" s="5">
        <v>44048.176388888889</v>
      </c>
      <c r="BK1099" t="s">
        <v>778</v>
      </c>
      <c r="BL1099" t="s">
        <v>778</v>
      </c>
      <c r="BN1099" t="s">
        <v>37</v>
      </c>
    </row>
    <row r="1100" spans="1:66" x14ac:dyDescent="0.2">
      <c r="A1100">
        <v>3693657</v>
      </c>
      <c r="B1100">
        <v>21883</v>
      </c>
      <c r="C1100">
        <v>523863</v>
      </c>
      <c r="D1100">
        <v>52899</v>
      </c>
      <c r="E1100">
        <v>100</v>
      </c>
      <c r="F1100" t="s">
        <v>37</v>
      </c>
      <c r="G1100">
        <v>1</v>
      </c>
      <c r="H1100" t="s">
        <v>37</v>
      </c>
      <c r="I1100" t="s">
        <v>37</v>
      </c>
      <c r="J1100" t="s">
        <v>775</v>
      </c>
      <c r="K1100" t="s">
        <v>230</v>
      </c>
      <c r="L1100" t="s">
        <v>226</v>
      </c>
      <c r="M1100" t="s">
        <v>422</v>
      </c>
      <c r="N1100" t="s">
        <v>5198</v>
      </c>
      <c r="O1100" t="s">
        <v>4292</v>
      </c>
      <c r="S1100">
        <v>0</v>
      </c>
      <c r="T1100">
        <v>0</v>
      </c>
      <c r="U1100">
        <v>0</v>
      </c>
      <c r="V1100">
        <v>0</v>
      </c>
      <c r="W1100">
        <v>8</v>
      </c>
      <c r="X1100">
        <v>0</v>
      </c>
      <c r="Y1100">
        <v>0</v>
      </c>
      <c r="Z1100">
        <v>0</v>
      </c>
      <c r="AB1100" s="5">
        <v>43787</v>
      </c>
      <c r="AC1100" s="5">
        <v>43787</v>
      </c>
      <c r="AD1100" s="5">
        <v>43970.333333333336</v>
      </c>
      <c r="AE1100" s="5">
        <v>43970.333333333336</v>
      </c>
      <c r="AG1100" s="5">
        <v>44044</v>
      </c>
      <c r="AH1100" s="5">
        <v>44044</v>
      </c>
      <c r="AK1100" s="5">
        <v>43802.333333333336</v>
      </c>
      <c r="AL1100" s="5">
        <v>43802.666666666664</v>
      </c>
      <c r="AP1100" t="s">
        <v>418</v>
      </c>
      <c r="AU1100" t="s">
        <v>5199</v>
      </c>
      <c r="AV1100" t="s">
        <v>5200</v>
      </c>
      <c r="AY1100" t="s">
        <v>40</v>
      </c>
      <c r="AZ1100">
        <v>0</v>
      </c>
      <c r="BA1100">
        <v>0</v>
      </c>
      <c r="BI1100" s="5">
        <v>44048.176388888889</v>
      </c>
      <c r="BJ1100" s="5">
        <v>44048.176388888889</v>
      </c>
      <c r="BK1100" t="s">
        <v>778</v>
      </c>
      <c r="BL1100" t="s">
        <v>778</v>
      </c>
      <c r="BN1100" t="s">
        <v>37</v>
      </c>
    </row>
    <row r="1101" spans="1:66" x14ac:dyDescent="0.2">
      <c r="A1101">
        <v>3693658</v>
      </c>
      <c r="B1101">
        <v>21883</v>
      </c>
      <c r="C1101">
        <v>523863</v>
      </c>
      <c r="D1101">
        <v>52899</v>
      </c>
      <c r="E1101">
        <v>100</v>
      </c>
      <c r="F1101" t="s">
        <v>37</v>
      </c>
      <c r="G1101">
        <v>1</v>
      </c>
      <c r="H1101" t="s">
        <v>37</v>
      </c>
      <c r="I1101" t="s">
        <v>37</v>
      </c>
      <c r="J1101" t="s">
        <v>775</v>
      </c>
      <c r="K1101" t="s">
        <v>230</v>
      </c>
      <c r="L1101" t="s">
        <v>226</v>
      </c>
      <c r="M1101" t="s">
        <v>422</v>
      </c>
      <c r="N1101" t="s">
        <v>5201</v>
      </c>
      <c r="O1101" t="s">
        <v>4477</v>
      </c>
      <c r="S1101">
        <v>0</v>
      </c>
      <c r="T1101">
        <v>16</v>
      </c>
      <c r="U1101">
        <v>0</v>
      </c>
      <c r="V1101">
        <v>16</v>
      </c>
      <c r="W1101">
        <v>8</v>
      </c>
      <c r="X1101">
        <v>0</v>
      </c>
      <c r="Y1101">
        <v>0</v>
      </c>
      <c r="Z1101">
        <v>0</v>
      </c>
      <c r="AB1101" s="5">
        <v>43803</v>
      </c>
      <c r="AC1101" s="5">
        <v>43804</v>
      </c>
      <c r="AD1101" s="5">
        <v>43970.333333333336</v>
      </c>
      <c r="AE1101" s="5">
        <v>43970.333333333336</v>
      </c>
      <c r="AG1101" s="5">
        <v>44044</v>
      </c>
      <c r="AH1101" s="5">
        <v>44044</v>
      </c>
      <c r="AK1101" s="5">
        <v>43832.333333333336</v>
      </c>
      <c r="AL1101" s="5">
        <v>43832.666666666664</v>
      </c>
      <c r="AP1101" t="s">
        <v>418</v>
      </c>
      <c r="AU1101" t="s">
        <v>5202</v>
      </c>
      <c r="AV1101" t="s">
        <v>5203</v>
      </c>
      <c r="AY1101" t="s">
        <v>40</v>
      </c>
      <c r="AZ1101">
        <v>0</v>
      </c>
      <c r="BA1101">
        <v>0</v>
      </c>
      <c r="BI1101" s="5">
        <v>44048.176388888889</v>
      </c>
      <c r="BJ1101" s="5">
        <v>44048.176388888889</v>
      </c>
      <c r="BK1101" t="s">
        <v>778</v>
      </c>
      <c r="BL1101" t="s">
        <v>778</v>
      </c>
      <c r="BN1101" t="s">
        <v>37</v>
      </c>
    </row>
    <row r="1102" spans="1:66" x14ac:dyDescent="0.2">
      <c r="A1102">
        <v>3693659</v>
      </c>
      <c r="B1102">
        <v>21883</v>
      </c>
      <c r="C1102">
        <v>523863</v>
      </c>
      <c r="D1102">
        <v>52899</v>
      </c>
      <c r="E1102">
        <v>100</v>
      </c>
      <c r="F1102" t="s">
        <v>37</v>
      </c>
      <c r="G1102">
        <v>1</v>
      </c>
      <c r="H1102" t="s">
        <v>37</v>
      </c>
      <c r="I1102" t="s">
        <v>37</v>
      </c>
      <c r="J1102" t="s">
        <v>775</v>
      </c>
      <c r="K1102" t="s">
        <v>230</v>
      </c>
      <c r="L1102" t="s">
        <v>226</v>
      </c>
      <c r="M1102" t="s">
        <v>422</v>
      </c>
      <c r="N1102" t="s">
        <v>5204</v>
      </c>
      <c r="O1102" t="s">
        <v>4481</v>
      </c>
      <c r="S1102">
        <v>0</v>
      </c>
      <c r="T1102">
        <v>16</v>
      </c>
      <c r="U1102">
        <v>0</v>
      </c>
      <c r="V1102">
        <v>16</v>
      </c>
      <c r="W1102">
        <v>16</v>
      </c>
      <c r="X1102">
        <v>0</v>
      </c>
      <c r="Y1102">
        <v>0</v>
      </c>
      <c r="Z1102">
        <v>0</v>
      </c>
      <c r="AB1102" s="5">
        <v>43829</v>
      </c>
      <c r="AC1102" s="5">
        <v>43829</v>
      </c>
      <c r="AD1102" s="5">
        <v>43970.333333333336</v>
      </c>
      <c r="AE1102" s="5">
        <v>43970.333333333336</v>
      </c>
      <c r="AG1102" s="5">
        <v>44044</v>
      </c>
      <c r="AH1102" s="5">
        <v>44044</v>
      </c>
      <c r="AK1102" s="5">
        <v>43832.333333333336</v>
      </c>
      <c r="AL1102" s="5">
        <v>43833.666666666664</v>
      </c>
      <c r="AP1102" t="s">
        <v>418</v>
      </c>
      <c r="AU1102" t="s">
        <v>5205</v>
      </c>
      <c r="AV1102" t="s">
        <v>5206</v>
      </c>
      <c r="AY1102" t="s">
        <v>40</v>
      </c>
      <c r="AZ1102">
        <v>0</v>
      </c>
      <c r="BA1102">
        <v>0</v>
      </c>
      <c r="BI1102" s="5">
        <v>44048.176388888889</v>
      </c>
      <c r="BJ1102" s="5">
        <v>44048.176388888889</v>
      </c>
      <c r="BK1102" t="s">
        <v>778</v>
      </c>
      <c r="BL1102" t="s">
        <v>778</v>
      </c>
      <c r="BN1102" t="s">
        <v>37</v>
      </c>
    </row>
    <row r="1103" spans="1:66" x14ac:dyDescent="0.2">
      <c r="A1103">
        <v>3693660</v>
      </c>
      <c r="B1103">
        <v>21883</v>
      </c>
      <c r="C1103">
        <v>523863</v>
      </c>
      <c r="D1103">
        <v>52899</v>
      </c>
      <c r="E1103">
        <v>100</v>
      </c>
      <c r="F1103" t="s">
        <v>37</v>
      </c>
      <c r="G1103">
        <v>1</v>
      </c>
      <c r="H1103" t="s">
        <v>37</v>
      </c>
      <c r="I1103" t="s">
        <v>37</v>
      </c>
      <c r="J1103" t="s">
        <v>775</v>
      </c>
      <c r="K1103" t="s">
        <v>230</v>
      </c>
      <c r="L1103" t="s">
        <v>226</v>
      </c>
      <c r="M1103" t="s">
        <v>422</v>
      </c>
      <c r="N1103" t="s">
        <v>5207</v>
      </c>
      <c r="O1103" t="s">
        <v>4485</v>
      </c>
      <c r="S1103">
        <v>0</v>
      </c>
      <c r="T1103">
        <v>24</v>
      </c>
      <c r="U1103">
        <v>0</v>
      </c>
      <c r="V1103">
        <v>24</v>
      </c>
      <c r="W1103">
        <v>16</v>
      </c>
      <c r="X1103">
        <v>0</v>
      </c>
      <c r="Y1103">
        <v>0</v>
      </c>
      <c r="Z1103">
        <v>0</v>
      </c>
      <c r="AB1103" s="5">
        <v>43839</v>
      </c>
      <c r="AC1103" s="5">
        <v>43839</v>
      </c>
      <c r="AD1103" s="5">
        <v>43970.333333333336</v>
      </c>
      <c r="AE1103" s="5">
        <v>43970.333333333336</v>
      </c>
      <c r="AG1103" s="5">
        <v>44044</v>
      </c>
      <c r="AH1103" s="5">
        <v>44044</v>
      </c>
      <c r="AK1103" s="5">
        <v>43832.333333333336</v>
      </c>
      <c r="AL1103" s="5">
        <v>43833.666666666664</v>
      </c>
      <c r="AP1103" t="s">
        <v>418</v>
      </c>
      <c r="AU1103" t="s">
        <v>5208</v>
      </c>
      <c r="AV1103" t="s">
        <v>5209</v>
      </c>
      <c r="AY1103" t="s">
        <v>40</v>
      </c>
      <c r="AZ1103">
        <v>0</v>
      </c>
      <c r="BA1103">
        <v>0</v>
      </c>
      <c r="BI1103" s="5">
        <v>44048.176388888889</v>
      </c>
      <c r="BJ1103" s="5">
        <v>44048.176388888889</v>
      </c>
      <c r="BK1103" t="s">
        <v>778</v>
      </c>
      <c r="BL1103" t="s">
        <v>778</v>
      </c>
      <c r="BN1103" t="s">
        <v>37</v>
      </c>
    </row>
    <row r="1104" spans="1:66" x14ac:dyDescent="0.2">
      <c r="A1104">
        <v>3693661</v>
      </c>
      <c r="B1104">
        <v>21883</v>
      </c>
      <c r="C1104">
        <v>523863</v>
      </c>
      <c r="D1104">
        <v>52899</v>
      </c>
      <c r="E1104">
        <v>100</v>
      </c>
      <c r="F1104" t="s">
        <v>37</v>
      </c>
      <c r="G1104">
        <v>1</v>
      </c>
      <c r="H1104" t="s">
        <v>37</v>
      </c>
      <c r="I1104" t="s">
        <v>37</v>
      </c>
      <c r="J1104" t="s">
        <v>775</v>
      </c>
      <c r="K1104" t="s">
        <v>230</v>
      </c>
      <c r="L1104" t="s">
        <v>226</v>
      </c>
      <c r="M1104" t="s">
        <v>422</v>
      </c>
      <c r="N1104" t="s">
        <v>5210</v>
      </c>
      <c r="O1104" t="s">
        <v>4489</v>
      </c>
      <c r="S1104">
        <v>0</v>
      </c>
      <c r="T1104">
        <v>16</v>
      </c>
      <c r="U1104">
        <v>0</v>
      </c>
      <c r="V1104">
        <v>16</v>
      </c>
      <c r="W1104">
        <v>8</v>
      </c>
      <c r="X1104">
        <v>0</v>
      </c>
      <c r="Y1104">
        <v>0</v>
      </c>
      <c r="Z1104">
        <v>0</v>
      </c>
      <c r="AB1104" s="5">
        <v>43838</v>
      </c>
      <c r="AC1104" s="5">
        <v>43838</v>
      </c>
      <c r="AD1104" s="5">
        <v>43970.333333333336</v>
      </c>
      <c r="AE1104" s="5">
        <v>43970.333333333336</v>
      </c>
      <c r="AG1104" s="5">
        <v>44044</v>
      </c>
      <c r="AH1104" s="5">
        <v>44044</v>
      </c>
      <c r="AK1104" s="5">
        <v>43836.333333333336</v>
      </c>
      <c r="AL1104" s="5">
        <v>43836.666666666664</v>
      </c>
      <c r="AP1104" t="s">
        <v>418</v>
      </c>
      <c r="AU1104" t="s">
        <v>5211</v>
      </c>
      <c r="AV1104" t="s">
        <v>5212</v>
      </c>
      <c r="AY1104" t="s">
        <v>40</v>
      </c>
      <c r="AZ1104">
        <v>0</v>
      </c>
      <c r="BA1104">
        <v>0</v>
      </c>
      <c r="BI1104" s="5">
        <v>44048.176388888889</v>
      </c>
      <c r="BJ1104" s="5">
        <v>44048.176388888889</v>
      </c>
      <c r="BK1104" t="s">
        <v>778</v>
      </c>
      <c r="BL1104" t="s">
        <v>778</v>
      </c>
      <c r="BN1104" t="s">
        <v>37</v>
      </c>
    </row>
    <row r="1105" spans="1:66" x14ac:dyDescent="0.2">
      <c r="A1105">
        <v>3693662</v>
      </c>
      <c r="B1105">
        <v>21883</v>
      </c>
      <c r="C1105">
        <v>523863</v>
      </c>
      <c r="D1105">
        <v>52899</v>
      </c>
      <c r="E1105">
        <v>100</v>
      </c>
      <c r="F1105" t="s">
        <v>37</v>
      </c>
      <c r="G1105">
        <v>1</v>
      </c>
      <c r="H1105" t="s">
        <v>37</v>
      </c>
      <c r="I1105" t="s">
        <v>37</v>
      </c>
      <c r="J1105" t="s">
        <v>775</v>
      </c>
      <c r="K1105" t="s">
        <v>230</v>
      </c>
      <c r="L1105" t="s">
        <v>226</v>
      </c>
      <c r="M1105" t="s">
        <v>422</v>
      </c>
      <c r="N1105" t="s">
        <v>5213</v>
      </c>
      <c r="O1105" t="s">
        <v>4493</v>
      </c>
      <c r="S1105">
        <v>0</v>
      </c>
      <c r="T1105">
        <v>24</v>
      </c>
      <c r="U1105">
        <v>0</v>
      </c>
      <c r="V1105">
        <v>24</v>
      </c>
      <c r="W1105">
        <v>16</v>
      </c>
      <c r="X1105">
        <v>0</v>
      </c>
      <c r="Y1105">
        <v>0</v>
      </c>
      <c r="Z1105">
        <v>0</v>
      </c>
      <c r="AB1105" s="5">
        <v>43838</v>
      </c>
      <c r="AC1105" s="5">
        <v>43838</v>
      </c>
      <c r="AD1105" s="5">
        <v>43970.333333333336</v>
      </c>
      <c r="AE1105" s="5">
        <v>43970.333333333336</v>
      </c>
      <c r="AG1105" s="5">
        <v>44044</v>
      </c>
      <c r="AH1105" s="5">
        <v>44044</v>
      </c>
      <c r="AK1105" s="5">
        <v>43837.333333333336</v>
      </c>
      <c r="AL1105" s="5">
        <v>43838.666666666664</v>
      </c>
      <c r="AP1105" t="s">
        <v>418</v>
      </c>
      <c r="AU1105" t="s">
        <v>5214</v>
      </c>
      <c r="AV1105" t="s">
        <v>5215</v>
      </c>
      <c r="AY1105" t="s">
        <v>40</v>
      </c>
      <c r="AZ1105">
        <v>0</v>
      </c>
      <c r="BA1105">
        <v>0</v>
      </c>
      <c r="BI1105" s="5">
        <v>44048.176388888889</v>
      </c>
      <c r="BJ1105" s="5">
        <v>44048.176388888889</v>
      </c>
      <c r="BK1105" t="s">
        <v>778</v>
      </c>
      <c r="BL1105" t="s">
        <v>778</v>
      </c>
      <c r="BN1105" t="s">
        <v>37</v>
      </c>
    </row>
    <row r="1106" spans="1:66" x14ac:dyDescent="0.2">
      <c r="A1106">
        <v>3693663</v>
      </c>
      <c r="B1106">
        <v>21883</v>
      </c>
      <c r="C1106">
        <v>523863</v>
      </c>
      <c r="D1106">
        <v>52899</v>
      </c>
      <c r="E1106">
        <v>100</v>
      </c>
      <c r="F1106" t="s">
        <v>37</v>
      </c>
      <c r="G1106">
        <v>1</v>
      </c>
      <c r="H1106" t="s">
        <v>37</v>
      </c>
      <c r="I1106" t="s">
        <v>37</v>
      </c>
      <c r="J1106" t="s">
        <v>775</v>
      </c>
      <c r="K1106" t="s">
        <v>230</v>
      </c>
      <c r="L1106" t="s">
        <v>226</v>
      </c>
      <c r="M1106" t="s">
        <v>422</v>
      </c>
      <c r="N1106" t="s">
        <v>5216</v>
      </c>
      <c r="O1106" t="s">
        <v>5217</v>
      </c>
      <c r="S1106">
        <v>0</v>
      </c>
      <c r="T1106">
        <v>24</v>
      </c>
      <c r="U1106">
        <v>0</v>
      </c>
      <c r="V1106">
        <v>24</v>
      </c>
      <c r="W1106">
        <v>24</v>
      </c>
      <c r="X1106">
        <v>0</v>
      </c>
      <c r="Y1106">
        <v>0</v>
      </c>
      <c r="Z1106">
        <v>0</v>
      </c>
      <c r="AB1106" s="5">
        <v>43899</v>
      </c>
      <c r="AC1106" s="5">
        <v>43899</v>
      </c>
      <c r="AD1106" s="5">
        <v>43970.333333333336</v>
      </c>
      <c r="AE1106" s="5">
        <v>43970.333333333336</v>
      </c>
      <c r="AG1106" s="5">
        <v>44044</v>
      </c>
      <c r="AH1106" s="5">
        <v>44044</v>
      </c>
      <c r="AK1106" s="5">
        <v>43901.333333333336</v>
      </c>
      <c r="AL1106" s="5">
        <v>43903.666666666664</v>
      </c>
      <c r="AP1106" t="s">
        <v>418</v>
      </c>
      <c r="AU1106" t="s">
        <v>5218</v>
      </c>
      <c r="AV1106" t="s">
        <v>5219</v>
      </c>
      <c r="AY1106" t="s">
        <v>40</v>
      </c>
      <c r="AZ1106">
        <v>0</v>
      </c>
      <c r="BA1106">
        <v>0</v>
      </c>
      <c r="BI1106" s="5">
        <v>44048.176388888889</v>
      </c>
      <c r="BJ1106" s="5">
        <v>44048.176388888889</v>
      </c>
      <c r="BK1106" t="s">
        <v>778</v>
      </c>
      <c r="BL1106" t="s">
        <v>778</v>
      </c>
      <c r="BN1106" t="s">
        <v>37</v>
      </c>
    </row>
    <row r="1107" spans="1:66" x14ac:dyDescent="0.2">
      <c r="A1107">
        <v>3693664</v>
      </c>
      <c r="B1107">
        <v>21883</v>
      </c>
      <c r="C1107">
        <v>523863</v>
      </c>
      <c r="D1107">
        <v>52899</v>
      </c>
      <c r="E1107">
        <v>100</v>
      </c>
      <c r="F1107" t="s">
        <v>37</v>
      </c>
      <c r="G1107">
        <v>1</v>
      </c>
      <c r="H1107" t="s">
        <v>37</v>
      </c>
      <c r="I1107" t="s">
        <v>37</v>
      </c>
      <c r="J1107" t="s">
        <v>775</v>
      </c>
      <c r="K1107" t="s">
        <v>230</v>
      </c>
      <c r="L1107" t="s">
        <v>226</v>
      </c>
      <c r="M1107" t="s">
        <v>422</v>
      </c>
      <c r="N1107" t="s">
        <v>5220</v>
      </c>
      <c r="O1107" t="s">
        <v>4501</v>
      </c>
      <c r="S1107">
        <v>0</v>
      </c>
      <c r="T1107">
        <v>16</v>
      </c>
      <c r="U1107">
        <v>0</v>
      </c>
      <c r="V1107">
        <v>16</v>
      </c>
      <c r="W1107">
        <v>16</v>
      </c>
      <c r="X1107">
        <v>0</v>
      </c>
      <c r="Y1107">
        <v>0</v>
      </c>
      <c r="Z1107">
        <v>0</v>
      </c>
      <c r="AB1107" s="5">
        <v>43881</v>
      </c>
      <c r="AC1107" s="5">
        <v>43881</v>
      </c>
      <c r="AD1107" s="5">
        <v>43970.333333333336</v>
      </c>
      <c r="AE1107" s="5">
        <v>43970.333333333336</v>
      </c>
      <c r="AG1107" s="5">
        <v>44044</v>
      </c>
      <c r="AH1107" s="5">
        <v>44044</v>
      </c>
      <c r="AK1107" s="5">
        <v>43896.333333333336</v>
      </c>
      <c r="AL1107" s="5">
        <v>43899.666666666664</v>
      </c>
      <c r="AP1107" t="s">
        <v>418</v>
      </c>
      <c r="AU1107" t="s">
        <v>5221</v>
      </c>
      <c r="AV1107" t="s">
        <v>5222</v>
      </c>
      <c r="AY1107" t="s">
        <v>40</v>
      </c>
      <c r="AZ1107">
        <v>0</v>
      </c>
      <c r="BA1107">
        <v>0</v>
      </c>
      <c r="BI1107" s="5">
        <v>44048.176388888889</v>
      </c>
      <c r="BJ1107" s="5">
        <v>44048.176388888889</v>
      </c>
      <c r="BK1107" t="s">
        <v>778</v>
      </c>
      <c r="BL1107" t="s">
        <v>778</v>
      </c>
      <c r="BN1107" t="s">
        <v>37</v>
      </c>
    </row>
    <row r="1108" spans="1:66" x14ac:dyDescent="0.2">
      <c r="A1108">
        <v>3693665</v>
      </c>
      <c r="B1108">
        <v>21883</v>
      </c>
      <c r="C1108">
        <v>523862</v>
      </c>
      <c r="D1108">
        <v>52899</v>
      </c>
      <c r="E1108">
        <v>100</v>
      </c>
      <c r="F1108" t="s">
        <v>37</v>
      </c>
      <c r="G1108">
        <v>1</v>
      </c>
      <c r="H1108" t="s">
        <v>37</v>
      </c>
      <c r="I1108" t="s">
        <v>37</v>
      </c>
      <c r="J1108" t="s">
        <v>775</v>
      </c>
      <c r="K1108" t="s">
        <v>230</v>
      </c>
      <c r="L1108" t="s">
        <v>226</v>
      </c>
      <c r="M1108" t="s">
        <v>422</v>
      </c>
      <c r="N1108" t="s">
        <v>5223</v>
      </c>
      <c r="O1108" t="s">
        <v>2653</v>
      </c>
      <c r="S1108">
        <v>0</v>
      </c>
      <c r="T1108">
        <v>8</v>
      </c>
      <c r="U1108">
        <v>0</v>
      </c>
      <c r="V1108">
        <v>8</v>
      </c>
      <c r="W1108">
        <v>16</v>
      </c>
      <c r="X1108">
        <v>0</v>
      </c>
      <c r="Y1108">
        <v>0</v>
      </c>
      <c r="Z1108">
        <v>0</v>
      </c>
      <c r="AB1108" s="5">
        <v>43786</v>
      </c>
      <c r="AC1108" s="5">
        <v>43786</v>
      </c>
      <c r="AD1108" s="5">
        <v>43970.333333333336</v>
      </c>
      <c r="AE1108" s="5">
        <v>43970.333333333336</v>
      </c>
      <c r="AG1108" s="5">
        <v>44044</v>
      </c>
      <c r="AH1108" s="5">
        <v>44044</v>
      </c>
      <c r="AK1108" s="5">
        <v>43802.333333333336</v>
      </c>
      <c r="AL1108" s="5">
        <v>43803.666666666664</v>
      </c>
      <c r="AP1108" t="s">
        <v>418</v>
      </c>
      <c r="AU1108" t="s">
        <v>5224</v>
      </c>
      <c r="AV1108" t="s">
        <v>5225</v>
      </c>
      <c r="AY1108" t="s">
        <v>40</v>
      </c>
      <c r="AZ1108">
        <v>0</v>
      </c>
      <c r="BA1108">
        <v>0</v>
      </c>
      <c r="BI1108" s="5">
        <v>44048.176388888889</v>
      </c>
      <c r="BJ1108" s="5">
        <v>44048.176388888889</v>
      </c>
      <c r="BK1108" t="s">
        <v>778</v>
      </c>
      <c r="BL1108" t="s">
        <v>778</v>
      </c>
      <c r="BN1108" t="s">
        <v>37</v>
      </c>
    </row>
    <row r="1109" spans="1:66" x14ac:dyDescent="0.2">
      <c r="A1109">
        <v>3693666</v>
      </c>
      <c r="B1109">
        <v>21883</v>
      </c>
      <c r="C1109">
        <v>523862</v>
      </c>
      <c r="D1109">
        <v>52899</v>
      </c>
      <c r="E1109">
        <v>100</v>
      </c>
      <c r="F1109" t="s">
        <v>37</v>
      </c>
      <c r="G1109">
        <v>1</v>
      </c>
      <c r="H1109" t="s">
        <v>37</v>
      </c>
      <c r="I1109" t="s">
        <v>37</v>
      </c>
      <c r="J1109" t="s">
        <v>775</v>
      </c>
      <c r="K1109" t="s">
        <v>230</v>
      </c>
      <c r="L1109" t="s">
        <v>226</v>
      </c>
      <c r="M1109" t="s">
        <v>422</v>
      </c>
      <c r="N1109" t="s">
        <v>5226</v>
      </c>
      <c r="O1109" t="s">
        <v>2657</v>
      </c>
      <c r="S1109">
        <v>0</v>
      </c>
      <c r="T1109">
        <v>16</v>
      </c>
      <c r="U1109">
        <v>0</v>
      </c>
      <c r="V1109">
        <v>16</v>
      </c>
      <c r="W1109">
        <v>16</v>
      </c>
      <c r="X1109">
        <v>0</v>
      </c>
      <c r="Y1109">
        <v>0</v>
      </c>
      <c r="Z1109">
        <v>0</v>
      </c>
      <c r="AB1109" s="5">
        <v>43787</v>
      </c>
      <c r="AC1109" s="5">
        <v>43787</v>
      </c>
      <c r="AD1109" s="5">
        <v>43970.333333333336</v>
      </c>
      <c r="AE1109" s="5">
        <v>43970.333333333336</v>
      </c>
      <c r="AG1109" s="5">
        <v>44044</v>
      </c>
      <c r="AH1109" s="5">
        <v>44044</v>
      </c>
      <c r="AK1109" s="5">
        <v>43805.333333333336</v>
      </c>
      <c r="AL1109" s="5">
        <v>43808.666666666664</v>
      </c>
      <c r="AP1109" t="s">
        <v>418</v>
      </c>
      <c r="AU1109" t="s">
        <v>5227</v>
      </c>
      <c r="AV1109" t="s">
        <v>5228</v>
      </c>
      <c r="AY1109" t="s">
        <v>40</v>
      </c>
      <c r="AZ1109">
        <v>0</v>
      </c>
      <c r="BA1109">
        <v>0</v>
      </c>
      <c r="BI1109" s="5">
        <v>44048.176388888889</v>
      </c>
      <c r="BJ1109" s="5">
        <v>44048.176388888889</v>
      </c>
      <c r="BK1109" t="s">
        <v>778</v>
      </c>
      <c r="BL1109" t="s">
        <v>778</v>
      </c>
      <c r="BN1109" t="s">
        <v>37</v>
      </c>
    </row>
    <row r="1110" spans="1:66" x14ac:dyDescent="0.2">
      <c r="A1110">
        <v>3693667</v>
      </c>
      <c r="B1110">
        <v>21883</v>
      </c>
      <c r="C1110">
        <v>523862</v>
      </c>
      <c r="D1110">
        <v>52899</v>
      </c>
      <c r="E1110">
        <v>100</v>
      </c>
      <c r="F1110" t="s">
        <v>37</v>
      </c>
      <c r="G1110">
        <v>1</v>
      </c>
      <c r="H1110" t="s">
        <v>37</v>
      </c>
      <c r="I1110" t="s">
        <v>37</v>
      </c>
      <c r="J1110" t="s">
        <v>775</v>
      </c>
      <c r="K1110" t="s">
        <v>230</v>
      </c>
      <c r="L1110" t="s">
        <v>226</v>
      </c>
      <c r="M1110" t="s">
        <v>422</v>
      </c>
      <c r="N1110" t="s">
        <v>5229</v>
      </c>
      <c r="O1110" t="s">
        <v>2661</v>
      </c>
      <c r="S1110">
        <v>0</v>
      </c>
      <c r="T1110">
        <v>0</v>
      </c>
      <c r="U1110">
        <v>0</v>
      </c>
      <c r="V1110">
        <v>0</v>
      </c>
      <c r="W1110">
        <v>24</v>
      </c>
      <c r="X1110">
        <v>0</v>
      </c>
      <c r="Y1110">
        <v>0</v>
      </c>
      <c r="Z1110">
        <v>0</v>
      </c>
      <c r="AB1110" s="5">
        <v>43802</v>
      </c>
      <c r="AC1110" s="5">
        <v>43802</v>
      </c>
      <c r="AD1110" s="5">
        <v>43970.333333333336</v>
      </c>
      <c r="AE1110" s="5">
        <v>43970.333333333336</v>
      </c>
      <c r="AG1110" s="5">
        <v>44044</v>
      </c>
      <c r="AH1110" s="5">
        <v>44044</v>
      </c>
      <c r="AK1110" s="5">
        <v>43832.333333333336</v>
      </c>
      <c r="AL1110" s="5">
        <v>43836.666666666664</v>
      </c>
      <c r="AP1110" t="s">
        <v>418</v>
      </c>
      <c r="AU1110" t="s">
        <v>5230</v>
      </c>
      <c r="AV1110" t="s">
        <v>5231</v>
      </c>
      <c r="AY1110" t="s">
        <v>40</v>
      </c>
      <c r="AZ1110">
        <v>0</v>
      </c>
      <c r="BA1110">
        <v>0</v>
      </c>
      <c r="BI1110" s="5">
        <v>44048.176388888889</v>
      </c>
      <c r="BJ1110" s="5">
        <v>44048.176388888889</v>
      </c>
      <c r="BK1110" t="s">
        <v>778</v>
      </c>
      <c r="BL1110" t="s">
        <v>778</v>
      </c>
      <c r="BN1110" t="s">
        <v>37</v>
      </c>
    </row>
    <row r="1111" spans="1:66" x14ac:dyDescent="0.2">
      <c r="A1111">
        <v>3693668</v>
      </c>
      <c r="B1111">
        <v>21883</v>
      </c>
      <c r="C1111">
        <v>523862</v>
      </c>
      <c r="D1111">
        <v>52899</v>
      </c>
      <c r="E1111">
        <v>100</v>
      </c>
      <c r="F1111" t="s">
        <v>37</v>
      </c>
      <c r="G1111">
        <v>1</v>
      </c>
      <c r="H1111" t="s">
        <v>37</v>
      </c>
      <c r="I1111" t="s">
        <v>37</v>
      </c>
      <c r="J1111" t="s">
        <v>775</v>
      </c>
      <c r="K1111" t="s">
        <v>230</v>
      </c>
      <c r="L1111" t="s">
        <v>226</v>
      </c>
      <c r="M1111" t="s">
        <v>422</v>
      </c>
      <c r="N1111" t="s">
        <v>5232</v>
      </c>
      <c r="O1111" t="s">
        <v>2665</v>
      </c>
      <c r="S1111">
        <v>0</v>
      </c>
      <c r="T1111">
        <v>0</v>
      </c>
      <c r="U1111">
        <v>0</v>
      </c>
      <c r="V1111">
        <v>0</v>
      </c>
      <c r="W1111">
        <v>24</v>
      </c>
      <c r="X1111">
        <v>0</v>
      </c>
      <c r="Y1111">
        <v>0</v>
      </c>
      <c r="Z1111">
        <v>0</v>
      </c>
      <c r="AB1111" s="5">
        <v>43809</v>
      </c>
      <c r="AC1111" s="5">
        <v>43810</v>
      </c>
      <c r="AD1111" s="5">
        <v>43970.333333333336</v>
      </c>
      <c r="AE1111" s="5">
        <v>43970.333333333336</v>
      </c>
      <c r="AG1111" s="5">
        <v>44044</v>
      </c>
      <c r="AH1111" s="5">
        <v>44044</v>
      </c>
      <c r="AK1111" s="5">
        <v>43836.333333333336</v>
      </c>
      <c r="AL1111" s="5">
        <v>43838.666666666664</v>
      </c>
      <c r="AP1111" t="s">
        <v>418</v>
      </c>
      <c r="AU1111" t="s">
        <v>5233</v>
      </c>
      <c r="AV1111" t="s">
        <v>5234</v>
      </c>
      <c r="AY1111" t="s">
        <v>40</v>
      </c>
      <c r="AZ1111">
        <v>0</v>
      </c>
      <c r="BA1111">
        <v>0</v>
      </c>
      <c r="BI1111" s="5">
        <v>44048.176388888889</v>
      </c>
      <c r="BJ1111" s="5">
        <v>44048.176388888889</v>
      </c>
      <c r="BK1111" t="s">
        <v>778</v>
      </c>
      <c r="BL1111" t="s">
        <v>778</v>
      </c>
      <c r="BN1111" t="s">
        <v>37</v>
      </c>
    </row>
    <row r="1112" spans="1:66" x14ac:dyDescent="0.2">
      <c r="A1112">
        <v>3693669</v>
      </c>
      <c r="B1112">
        <v>21883</v>
      </c>
      <c r="C1112">
        <v>523862</v>
      </c>
      <c r="D1112">
        <v>52899</v>
      </c>
      <c r="E1112">
        <v>100</v>
      </c>
      <c r="F1112" t="s">
        <v>37</v>
      </c>
      <c r="G1112">
        <v>1</v>
      </c>
      <c r="H1112" t="s">
        <v>37</v>
      </c>
      <c r="I1112" t="s">
        <v>37</v>
      </c>
      <c r="J1112" t="s">
        <v>775</v>
      </c>
      <c r="K1112" t="s">
        <v>230</v>
      </c>
      <c r="L1112" t="s">
        <v>226</v>
      </c>
      <c r="M1112" t="s">
        <v>422</v>
      </c>
      <c r="N1112" t="s">
        <v>5235</v>
      </c>
      <c r="O1112" t="s">
        <v>5236</v>
      </c>
      <c r="S1112">
        <v>0</v>
      </c>
      <c r="T1112">
        <v>8</v>
      </c>
      <c r="U1112">
        <v>0</v>
      </c>
      <c r="V1112">
        <v>8</v>
      </c>
      <c r="W1112">
        <v>8</v>
      </c>
      <c r="X1112">
        <v>0</v>
      </c>
      <c r="Y1112">
        <v>0</v>
      </c>
      <c r="Z1112">
        <v>0</v>
      </c>
      <c r="AB1112" s="5">
        <v>43839</v>
      </c>
      <c r="AC1112" s="5">
        <v>43839</v>
      </c>
      <c r="AD1112" s="5">
        <v>43970.333333333336</v>
      </c>
      <c r="AE1112" s="5">
        <v>43970.333333333336</v>
      </c>
      <c r="AG1112" s="5">
        <v>44044</v>
      </c>
      <c r="AH1112" s="5">
        <v>44044</v>
      </c>
      <c r="AK1112" s="5">
        <v>43836.333333333336</v>
      </c>
      <c r="AL1112" s="5">
        <v>43836.666666666664</v>
      </c>
      <c r="AP1112" t="s">
        <v>418</v>
      </c>
      <c r="AU1112" t="s">
        <v>5237</v>
      </c>
      <c r="AV1112" t="s">
        <v>5238</v>
      </c>
      <c r="AY1112" t="s">
        <v>40</v>
      </c>
      <c r="AZ1112">
        <v>0</v>
      </c>
      <c r="BA1112">
        <v>0</v>
      </c>
      <c r="BI1112" s="5">
        <v>44048.176388888889</v>
      </c>
      <c r="BJ1112" s="5">
        <v>44048.176388888889</v>
      </c>
      <c r="BK1112" t="s">
        <v>778</v>
      </c>
      <c r="BL1112" t="s">
        <v>778</v>
      </c>
      <c r="BN1112" t="s">
        <v>37</v>
      </c>
    </row>
    <row r="1113" spans="1:66" x14ac:dyDescent="0.2">
      <c r="A1113">
        <v>3693670</v>
      </c>
      <c r="B1113">
        <v>21883</v>
      </c>
      <c r="C1113">
        <v>523862</v>
      </c>
      <c r="D1113">
        <v>52895</v>
      </c>
      <c r="E1113">
        <v>100</v>
      </c>
      <c r="F1113" t="s">
        <v>37</v>
      </c>
      <c r="G1113">
        <v>1</v>
      </c>
      <c r="H1113" t="s">
        <v>37</v>
      </c>
      <c r="I1113" t="s">
        <v>37</v>
      </c>
      <c r="J1113" t="s">
        <v>775</v>
      </c>
      <c r="K1113" t="s">
        <v>230</v>
      </c>
      <c r="L1113" t="s">
        <v>226</v>
      </c>
      <c r="M1113" t="s">
        <v>422</v>
      </c>
      <c r="N1113" t="s">
        <v>5239</v>
      </c>
      <c r="O1113" t="s">
        <v>2673</v>
      </c>
      <c r="S1113">
        <v>0</v>
      </c>
      <c r="T1113">
        <v>0</v>
      </c>
      <c r="U1113">
        <v>0</v>
      </c>
      <c r="V1113">
        <v>0</v>
      </c>
      <c r="W1113">
        <v>56</v>
      </c>
      <c r="X1113">
        <v>0</v>
      </c>
      <c r="Y1113">
        <v>0</v>
      </c>
      <c r="Z1113">
        <v>0</v>
      </c>
      <c r="AB1113" s="5">
        <v>43839</v>
      </c>
      <c r="AC1113" s="5">
        <v>43846</v>
      </c>
      <c r="AD1113" s="5">
        <v>43970.333333333336</v>
      </c>
      <c r="AE1113" s="5">
        <v>43970.333333333336</v>
      </c>
      <c r="AG1113" s="5">
        <v>44044</v>
      </c>
      <c r="AH1113" s="5">
        <v>44044</v>
      </c>
      <c r="AK1113" s="5">
        <v>43831.333333333336</v>
      </c>
      <c r="AL1113" s="5">
        <v>43837.666666666664</v>
      </c>
      <c r="AP1113" t="s">
        <v>418</v>
      </c>
      <c r="AU1113" t="s">
        <v>5240</v>
      </c>
      <c r="AV1113" t="s">
        <v>5241</v>
      </c>
      <c r="AY1113" t="s">
        <v>40</v>
      </c>
      <c r="AZ1113">
        <v>0</v>
      </c>
      <c r="BA1113">
        <v>0</v>
      </c>
      <c r="BI1113" s="5">
        <v>44048.176388888889</v>
      </c>
      <c r="BJ1113" s="5">
        <v>44048.176388888889</v>
      </c>
      <c r="BK1113" t="s">
        <v>778</v>
      </c>
      <c r="BL1113" t="s">
        <v>778</v>
      </c>
      <c r="BN1113" t="s">
        <v>37</v>
      </c>
    </row>
    <row r="1114" spans="1:66" x14ac:dyDescent="0.2">
      <c r="A1114">
        <v>3693671</v>
      </c>
      <c r="B1114">
        <v>21883</v>
      </c>
      <c r="C1114">
        <v>523862</v>
      </c>
      <c r="D1114">
        <v>52899</v>
      </c>
      <c r="E1114">
        <v>100</v>
      </c>
      <c r="F1114" t="s">
        <v>37</v>
      </c>
      <c r="G1114">
        <v>1</v>
      </c>
      <c r="H1114" t="s">
        <v>37</v>
      </c>
      <c r="I1114" t="s">
        <v>37</v>
      </c>
      <c r="J1114" t="s">
        <v>775</v>
      </c>
      <c r="K1114" t="s">
        <v>230</v>
      </c>
      <c r="L1114" t="s">
        <v>226</v>
      </c>
      <c r="M1114" t="s">
        <v>422</v>
      </c>
      <c r="N1114" t="s">
        <v>5242</v>
      </c>
      <c r="O1114" t="s">
        <v>3744</v>
      </c>
      <c r="S1114">
        <v>0</v>
      </c>
      <c r="T1114">
        <v>0</v>
      </c>
      <c r="U1114">
        <v>0</v>
      </c>
      <c r="V1114">
        <v>0</v>
      </c>
      <c r="W1114">
        <v>8</v>
      </c>
      <c r="X1114">
        <v>0</v>
      </c>
      <c r="Y1114">
        <v>0</v>
      </c>
      <c r="Z1114">
        <v>0</v>
      </c>
      <c r="AB1114" s="5">
        <v>43785</v>
      </c>
      <c r="AC1114" s="5">
        <v>43785</v>
      </c>
      <c r="AD1114" s="5">
        <v>43970.333333333336</v>
      </c>
      <c r="AE1114" s="5">
        <v>43970.333333333336</v>
      </c>
      <c r="AG1114" s="5">
        <v>44044</v>
      </c>
      <c r="AH1114" s="5">
        <v>44044</v>
      </c>
      <c r="AK1114" s="5">
        <v>43802.333333333336</v>
      </c>
      <c r="AL1114" s="5">
        <v>43802.666666666664</v>
      </c>
      <c r="AP1114" t="s">
        <v>418</v>
      </c>
      <c r="AU1114" t="s">
        <v>5243</v>
      </c>
      <c r="AV1114" t="s">
        <v>5244</v>
      </c>
      <c r="AY1114" t="s">
        <v>40</v>
      </c>
      <c r="AZ1114">
        <v>0</v>
      </c>
      <c r="BA1114">
        <v>0</v>
      </c>
      <c r="BI1114" s="5">
        <v>44048.176388888889</v>
      </c>
      <c r="BJ1114" s="5">
        <v>44048.176388888889</v>
      </c>
      <c r="BK1114" t="s">
        <v>778</v>
      </c>
      <c r="BL1114" t="s">
        <v>778</v>
      </c>
      <c r="BN1114" t="s">
        <v>37</v>
      </c>
    </row>
    <row r="1115" spans="1:66" x14ac:dyDescent="0.2">
      <c r="A1115">
        <v>3693672</v>
      </c>
      <c r="B1115">
        <v>21883</v>
      </c>
      <c r="C1115">
        <v>523862</v>
      </c>
      <c r="D1115">
        <v>52899</v>
      </c>
      <c r="E1115">
        <v>100</v>
      </c>
      <c r="F1115" t="s">
        <v>37</v>
      </c>
      <c r="G1115">
        <v>1</v>
      </c>
      <c r="H1115" t="s">
        <v>37</v>
      </c>
      <c r="I1115" t="s">
        <v>37</v>
      </c>
      <c r="J1115" t="s">
        <v>775</v>
      </c>
      <c r="K1115" t="s">
        <v>230</v>
      </c>
      <c r="L1115" t="s">
        <v>226</v>
      </c>
      <c r="M1115" t="s">
        <v>422</v>
      </c>
      <c r="N1115" t="s">
        <v>5245</v>
      </c>
      <c r="O1115" t="s">
        <v>4356</v>
      </c>
      <c r="S1115">
        <v>0</v>
      </c>
      <c r="T1115">
        <v>8</v>
      </c>
      <c r="U1115">
        <v>0</v>
      </c>
      <c r="V1115">
        <v>8</v>
      </c>
      <c r="W1115">
        <v>8</v>
      </c>
      <c r="X1115">
        <v>0</v>
      </c>
      <c r="Y1115">
        <v>0</v>
      </c>
      <c r="Z1115">
        <v>0</v>
      </c>
      <c r="AB1115" s="5">
        <v>43785</v>
      </c>
      <c r="AC1115" s="5">
        <v>43785</v>
      </c>
      <c r="AD1115" s="5">
        <v>43970.333333333336</v>
      </c>
      <c r="AE1115" s="5">
        <v>43970.333333333336</v>
      </c>
      <c r="AG1115" s="5">
        <v>44044</v>
      </c>
      <c r="AH1115" s="5">
        <v>44044</v>
      </c>
      <c r="AK1115" s="5">
        <v>43802.333333333336</v>
      </c>
      <c r="AL1115" s="5">
        <v>43802.666666666664</v>
      </c>
      <c r="AP1115" t="s">
        <v>418</v>
      </c>
      <c r="AU1115" t="s">
        <v>5246</v>
      </c>
      <c r="AV1115" t="s">
        <v>5247</v>
      </c>
      <c r="AY1115" t="s">
        <v>40</v>
      </c>
      <c r="AZ1115">
        <v>0</v>
      </c>
      <c r="BA1115">
        <v>0</v>
      </c>
      <c r="BI1115" s="5">
        <v>44048.176388888889</v>
      </c>
      <c r="BJ1115" s="5">
        <v>44048.176388888889</v>
      </c>
      <c r="BK1115" t="s">
        <v>778</v>
      </c>
      <c r="BL1115" t="s">
        <v>778</v>
      </c>
      <c r="BN1115" t="s">
        <v>37</v>
      </c>
    </row>
    <row r="1116" spans="1:66" x14ac:dyDescent="0.2">
      <c r="A1116">
        <v>3693673</v>
      </c>
      <c r="B1116">
        <v>21883</v>
      </c>
      <c r="C1116">
        <v>523862</v>
      </c>
      <c r="D1116">
        <v>52899</v>
      </c>
      <c r="E1116">
        <v>100</v>
      </c>
      <c r="F1116" t="s">
        <v>37</v>
      </c>
      <c r="G1116">
        <v>1</v>
      </c>
      <c r="H1116" t="s">
        <v>37</v>
      </c>
      <c r="I1116" t="s">
        <v>37</v>
      </c>
      <c r="J1116" t="s">
        <v>775</v>
      </c>
      <c r="K1116" t="s">
        <v>230</v>
      </c>
      <c r="L1116" t="s">
        <v>226</v>
      </c>
      <c r="M1116" t="s">
        <v>422</v>
      </c>
      <c r="N1116" t="s">
        <v>5248</v>
      </c>
      <c r="O1116" t="s">
        <v>5249</v>
      </c>
      <c r="S1116">
        <v>0</v>
      </c>
      <c r="T1116">
        <v>24</v>
      </c>
      <c r="U1116">
        <v>0</v>
      </c>
      <c r="V1116">
        <v>24</v>
      </c>
      <c r="W1116">
        <v>24</v>
      </c>
      <c r="X1116">
        <v>0</v>
      </c>
      <c r="Y1116">
        <v>0</v>
      </c>
      <c r="Z1116">
        <v>0</v>
      </c>
      <c r="AB1116" s="5">
        <v>43899</v>
      </c>
      <c r="AC1116" s="5">
        <v>43900</v>
      </c>
      <c r="AD1116" s="5">
        <v>43970.333333333336</v>
      </c>
      <c r="AE1116" s="5">
        <v>43970.333333333336</v>
      </c>
      <c r="AG1116" s="5">
        <v>44044</v>
      </c>
      <c r="AH1116" s="5">
        <v>44044</v>
      </c>
      <c r="AK1116" s="5">
        <v>43901.333333333336</v>
      </c>
      <c r="AL1116" s="5">
        <v>43903.666666666664</v>
      </c>
      <c r="AP1116" t="s">
        <v>418</v>
      </c>
      <c r="AU1116" t="s">
        <v>5250</v>
      </c>
      <c r="AV1116" t="s">
        <v>5251</v>
      </c>
      <c r="AY1116" t="s">
        <v>40</v>
      </c>
      <c r="AZ1116">
        <v>0</v>
      </c>
      <c r="BA1116">
        <v>0</v>
      </c>
      <c r="BI1116" s="5">
        <v>44048.176388888889</v>
      </c>
      <c r="BJ1116" s="5">
        <v>44048.176388888889</v>
      </c>
      <c r="BK1116" t="s">
        <v>778</v>
      </c>
      <c r="BL1116" t="s">
        <v>778</v>
      </c>
      <c r="BN1116" t="s">
        <v>37</v>
      </c>
    </row>
    <row r="1117" spans="1:66" x14ac:dyDescent="0.2">
      <c r="A1117">
        <v>3693674</v>
      </c>
      <c r="B1117">
        <v>21883</v>
      </c>
      <c r="C1117">
        <v>523862</v>
      </c>
      <c r="D1117">
        <v>52899</v>
      </c>
      <c r="E1117">
        <v>100</v>
      </c>
      <c r="F1117" t="s">
        <v>37</v>
      </c>
      <c r="G1117">
        <v>1</v>
      </c>
      <c r="H1117" t="s">
        <v>37</v>
      </c>
      <c r="I1117" t="s">
        <v>37</v>
      </c>
      <c r="J1117" t="s">
        <v>775</v>
      </c>
      <c r="K1117" t="s">
        <v>230</v>
      </c>
      <c r="L1117" t="s">
        <v>226</v>
      </c>
      <c r="M1117" t="s">
        <v>422</v>
      </c>
      <c r="N1117" t="s">
        <v>5252</v>
      </c>
      <c r="O1117" t="s">
        <v>4509</v>
      </c>
      <c r="S1117">
        <v>0</v>
      </c>
      <c r="T1117">
        <v>16</v>
      </c>
      <c r="U1117">
        <v>0</v>
      </c>
      <c r="V1117">
        <v>16</v>
      </c>
      <c r="W1117">
        <v>16</v>
      </c>
      <c r="X1117">
        <v>0</v>
      </c>
      <c r="Y1117">
        <v>0</v>
      </c>
      <c r="Z1117">
        <v>0</v>
      </c>
      <c r="AB1117" s="5">
        <v>43882</v>
      </c>
      <c r="AC1117" s="5">
        <v>43882</v>
      </c>
      <c r="AD1117" s="5">
        <v>43970.333333333336</v>
      </c>
      <c r="AE1117" s="5">
        <v>43970.333333333336</v>
      </c>
      <c r="AG1117" s="5">
        <v>44044</v>
      </c>
      <c r="AH1117" s="5">
        <v>44044</v>
      </c>
      <c r="AK1117" s="5">
        <v>43896.333333333336</v>
      </c>
      <c r="AL1117" s="5">
        <v>43899.666666666664</v>
      </c>
      <c r="AP1117" t="s">
        <v>418</v>
      </c>
      <c r="AU1117" t="s">
        <v>5253</v>
      </c>
      <c r="AV1117" t="s">
        <v>5254</v>
      </c>
      <c r="AY1117" t="s">
        <v>40</v>
      </c>
      <c r="AZ1117">
        <v>0</v>
      </c>
      <c r="BA1117">
        <v>0</v>
      </c>
      <c r="BI1117" s="5">
        <v>44048.176388888889</v>
      </c>
      <c r="BJ1117" s="5">
        <v>44048.176388888889</v>
      </c>
      <c r="BK1117" t="s">
        <v>778</v>
      </c>
      <c r="BL1117" t="s">
        <v>778</v>
      </c>
      <c r="BN1117" t="s">
        <v>37</v>
      </c>
    </row>
    <row r="1118" spans="1:66" x14ac:dyDescent="0.2">
      <c r="A1118">
        <v>3693675</v>
      </c>
      <c r="B1118">
        <v>21883</v>
      </c>
      <c r="C1118">
        <v>523862</v>
      </c>
      <c r="D1118">
        <v>52899</v>
      </c>
      <c r="E1118">
        <v>100</v>
      </c>
      <c r="F1118" t="s">
        <v>37</v>
      </c>
      <c r="G1118">
        <v>1</v>
      </c>
      <c r="H1118" t="s">
        <v>37</v>
      </c>
      <c r="I1118" t="s">
        <v>37</v>
      </c>
      <c r="J1118" t="s">
        <v>775</v>
      </c>
      <c r="K1118" t="s">
        <v>230</v>
      </c>
      <c r="L1118" t="s">
        <v>226</v>
      </c>
      <c r="M1118" t="s">
        <v>422</v>
      </c>
      <c r="N1118" t="s">
        <v>5255</v>
      </c>
      <c r="O1118" t="s">
        <v>4513</v>
      </c>
      <c r="S1118">
        <v>0</v>
      </c>
      <c r="T1118">
        <v>16</v>
      </c>
      <c r="U1118">
        <v>0</v>
      </c>
      <c r="V1118">
        <v>16</v>
      </c>
      <c r="W1118">
        <v>16</v>
      </c>
      <c r="X1118">
        <v>0</v>
      </c>
      <c r="Y1118">
        <v>0</v>
      </c>
      <c r="Z1118">
        <v>0</v>
      </c>
      <c r="AB1118" s="5">
        <v>43810</v>
      </c>
      <c r="AC1118" s="5">
        <v>43811</v>
      </c>
      <c r="AD1118" s="5">
        <v>43970.333333333336</v>
      </c>
      <c r="AE1118" s="5">
        <v>43970.333333333336</v>
      </c>
      <c r="AG1118" s="5">
        <v>44044</v>
      </c>
      <c r="AH1118" s="5">
        <v>44044</v>
      </c>
      <c r="AK1118" s="5">
        <v>43832.333333333336</v>
      </c>
      <c r="AL1118" s="5">
        <v>43833.666666666664</v>
      </c>
      <c r="AP1118" t="s">
        <v>418</v>
      </c>
      <c r="AU1118" t="s">
        <v>5256</v>
      </c>
      <c r="AV1118" t="s">
        <v>5257</v>
      </c>
      <c r="AY1118" t="s">
        <v>40</v>
      </c>
      <c r="AZ1118">
        <v>0</v>
      </c>
      <c r="BA1118">
        <v>0</v>
      </c>
      <c r="BI1118" s="5">
        <v>44048.176388888889</v>
      </c>
      <c r="BJ1118" s="5">
        <v>44048.176388888889</v>
      </c>
      <c r="BK1118" t="s">
        <v>778</v>
      </c>
      <c r="BL1118" t="s">
        <v>778</v>
      </c>
      <c r="BN1118" t="s">
        <v>37</v>
      </c>
    </row>
    <row r="1119" spans="1:66" x14ac:dyDescent="0.2">
      <c r="A1119">
        <v>3693676</v>
      </c>
      <c r="B1119">
        <v>21883</v>
      </c>
      <c r="C1119">
        <v>523862</v>
      </c>
      <c r="D1119">
        <v>52899</v>
      </c>
      <c r="E1119">
        <v>100</v>
      </c>
      <c r="F1119" t="s">
        <v>37</v>
      </c>
      <c r="G1119">
        <v>1</v>
      </c>
      <c r="H1119" t="s">
        <v>37</v>
      </c>
      <c r="I1119" t="s">
        <v>37</v>
      </c>
      <c r="J1119" t="s">
        <v>775</v>
      </c>
      <c r="K1119" t="s">
        <v>230</v>
      </c>
      <c r="L1119" t="s">
        <v>226</v>
      </c>
      <c r="M1119" t="s">
        <v>422</v>
      </c>
      <c r="N1119" t="s">
        <v>5258</v>
      </c>
      <c r="O1119" t="s">
        <v>4517</v>
      </c>
      <c r="S1119">
        <v>0</v>
      </c>
      <c r="T1119">
        <v>16</v>
      </c>
      <c r="U1119">
        <v>0</v>
      </c>
      <c r="V1119">
        <v>16</v>
      </c>
      <c r="W1119">
        <v>16</v>
      </c>
      <c r="X1119">
        <v>0</v>
      </c>
      <c r="Y1119">
        <v>0</v>
      </c>
      <c r="Z1119">
        <v>0</v>
      </c>
      <c r="AB1119" s="5">
        <v>43838</v>
      </c>
      <c r="AC1119" s="5">
        <v>43838</v>
      </c>
      <c r="AD1119" s="5">
        <v>43970.333333333336</v>
      </c>
      <c r="AE1119" s="5">
        <v>43970.333333333336</v>
      </c>
      <c r="AG1119" s="5">
        <v>44044</v>
      </c>
      <c r="AH1119" s="5">
        <v>44044</v>
      </c>
      <c r="AK1119" s="5">
        <v>43832.333333333336</v>
      </c>
      <c r="AL1119" s="5">
        <v>43833.666666666664</v>
      </c>
      <c r="AP1119" t="s">
        <v>418</v>
      </c>
      <c r="AU1119" t="s">
        <v>5259</v>
      </c>
      <c r="AV1119" t="s">
        <v>5260</v>
      </c>
      <c r="AY1119" t="s">
        <v>40</v>
      </c>
      <c r="AZ1119">
        <v>0</v>
      </c>
      <c r="BA1119">
        <v>0</v>
      </c>
      <c r="BI1119" s="5">
        <v>44048.176388888889</v>
      </c>
      <c r="BJ1119" s="5">
        <v>44048.176388888889</v>
      </c>
      <c r="BK1119" t="s">
        <v>778</v>
      </c>
      <c r="BL1119" t="s">
        <v>778</v>
      </c>
      <c r="BN1119" t="s">
        <v>37</v>
      </c>
    </row>
    <row r="1120" spans="1:66" x14ac:dyDescent="0.2">
      <c r="A1120">
        <v>3693677</v>
      </c>
      <c r="B1120">
        <v>21883</v>
      </c>
      <c r="C1120">
        <v>523862</v>
      </c>
      <c r="D1120">
        <v>52899</v>
      </c>
      <c r="E1120">
        <v>100</v>
      </c>
      <c r="F1120" t="s">
        <v>37</v>
      </c>
      <c r="G1120">
        <v>1</v>
      </c>
      <c r="H1120" t="s">
        <v>37</v>
      </c>
      <c r="I1120" t="s">
        <v>37</v>
      </c>
      <c r="J1120" t="s">
        <v>775</v>
      </c>
      <c r="K1120" t="s">
        <v>230</v>
      </c>
      <c r="L1120" t="s">
        <v>226</v>
      </c>
      <c r="M1120" t="s">
        <v>422</v>
      </c>
      <c r="N1120" t="s">
        <v>5261</v>
      </c>
      <c r="O1120" t="s">
        <v>4521</v>
      </c>
      <c r="S1120">
        <v>0</v>
      </c>
      <c r="T1120">
        <v>24</v>
      </c>
      <c r="U1120">
        <v>0</v>
      </c>
      <c r="V1120">
        <v>24</v>
      </c>
      <c r="W1120">
        <v>24</v>
      </c>
      <c r="X1120">
        <v>0</v>
      </c>
      <c r="Y1120">
        <v>0</v>
      </c>
      <c r="Z1120">
        <v>0</v>
      </c>
      <c r="AB1120" s="5">
        <v>43804</v>
      </c>
      <c r="AC1120" s="5">
        <v>43805</v>
      </c>
      <c r="AD1120" s="5">
        <v>43970.333333333336</v>
      </c>
      <c r="AE1120" s="5">
        <v>43970.333333333336</v>
      </c>
      <c r="AG1120" s="5">
        <v>44044</v>
      </c>
      <c r="AH1120" s="5">
        <v>44044</v>
      </c>
      <c r="AK1120" s="5">
        <v>43836.333333333336</v>
      </c>
      <c r="AL1120" s="5">
        <v>43838.666666666664</v>
      </c>
      <c r="AP1120" t="s">
        <v>418</v>
      </c>
      <c r="AU1120" t="s">
        <v>5262</v>
      </c>
      <c r="AV1120" t="s">
        <v>5263</v>
      </c>
      <c r="AY1120" t="s">
        <v>40</v>
      </c>
      <c r="AZ1120">
        <v>0</v>
      </c>
      <c r="BA1120">
        <v>0</v>
      </c>
      <c r="BI1120" s="5">
        <v>44048.176388888889</v>
      </c>
      <c r="BJ1120" s="5">
        <v>44048.176388888889</v>
      </c>
      <c r="BK1120" t="s">
        <v>778</v>
      </c>
      <c r="BL1120" t="s">
        <v>778</v>
      </c>
      <c r="BN1120" t="s">
        <v>37</v>
      </c>
    </row>
    <row r="1121" spans="1:66" x14ac:dyDescent="0.2">
      <c r="A1121">
        <v>3693678</v>
      </c>
      <c r="B1121">
        <v>21883</v>
      </c>
      <c r="C1121">
        <v>523862</v>
      </c>
      <c r="D1121">
        <v>52899</v>
      </c>
      <c r="E1121">
        <v>100</v>
      </c>
      <c r="F1121" t="s">
        <v>37</v>
      </c>
      <c r="G1121">
        <v>1</v>
      </c>
      <c r="H1121" t="s">
        <v>37</v>
      </c>
      <c r="I1121" t="s">
        <v>37</v>
      </c>
      <c r="J1121" t="s">
        <v>775</v>
      </c>
      <c r="K1121" t="s">
        <v>230</v>
      </c>
      <c r="L1121" t="s">
        <v>226</v>
      </c>
      <c r="M1121" t="s">
        <v>422</v>
      </c>
      <c r="N1121" t="s">
        <v>5264</v>
      </c>
      <c r="O1121" t="s">
        <v>4525</v>
      </c>
      <c r="S1121">
        <v>0</v>
      </c>
      <c r="T1121">
        <v>16</v>
      </c>
      <c r="U1121">
        <v>0</v>
      </c>
      <c r="V1121">
        <v>16</v>
      </c>
      <c r="W1121">
        <v>16</v>
      </c>
      <c r="X1121">
        <v>0</v>
      </c>
      <c r="Y1121">
        <v>0</v>
      </c>
      <c r="Z1121">
        <v>0</v>
      </c>
      <c r="AB1121" s="5">
        <v>43838</v>
      </c>
      <c r="AC1121" s="5">
        <v>43838</v>
      </c>
      <c r="AD1121" s="5">
        <v>43970.333333333336</v>
      </c>
      <c r="AE1121" s="5">
        <v>43970.333333333336</v>
      </c>
      <c r="AG1121" s="5">
        <v>44044</v>
      </c>
      <c r="AH1121" s="5">
        <v>44044</v>
      </c>
      <c r="AK1121" s="5">
        <v>43836.333333333336</v>
      </c>
      <c r="AL1121" s="5">
        <v>43837.666666666664</v>
      </c>
      <c r="AP1121" t="s">
        <v>418</v>
      </c>
      <c r="AU1121" t="s">
        <v>5265</v>
      </c>
      <c r="AV1121" t="s">
        <v>5266</v>
      </c>
      <c r="AY1121" t="s">
        <v>40</v>
      </c>
      <c r="AZ1121">
        <v>0</v>
      </c>
      <c r="BA1121">
        <v>0</v>
      </c>
      <c r="BI1121" s="5">
        <v>44048.176388888889</v>
      </c>
      <c r="BJ1121" s="5">
        <v>44048.176388888889</v>
      </c>
      <c r="BK1121" t="s">
        <v>778</v>
      </c>
      <c r="BL1121" t="s">
        <v>778</v>
      </c>
      <c r="BN1121" t="s">
        <v>37</v>
      </c>
    </row>
    <row r="1122" spans="1:66" x14ac:dyDescent="0.2">
      <c r="A1122">
        <v>3693679</v>
      </c>
      <c r="B1122">
        <v>21883</v>
      </c>
      <c r="C1122">
        <v>523862</v>
      </c>
      <c r="D1122">
        <v>52899</v>
      </c>
      <c r="E1122">
        <v>100</v>
      </c>
      <c r="F1122" t="s">
        <v>37</v>
      </c>
      <c r="G1122">
        <v>1</v>
      </c>
      <c r="H1122" t="s">
        <v>37</v>
      </c>
      <c r="I1122" t="s">
        <v>37</v>
      </c>
      <c r="J1122" t="s">
        <v>775</v>
      </c>
      <c r="K1122" t="s">
        <v>230</v>
      </c>
      <c r="L1122" t="s">
        <v>226</v>
      </c>
      <c r="M1122" t="s">
        <v>422</v>
      </c>
      <c r="N1122" t="s">
        <v>5267</v>
      </c>
      <c r="O1122" t="s">
        <v>4529</v>
      </c>
      <c r="S1122">
        <v>0</v>
      </c>
      <c r="T1122">
        <v>24</v>
      </c>
      <c r="U1122">
        <v>0</v>
      </c>
      <c r="V1122">
        <v>24</v>
      </c>
      <c r="W1122">
        <v>24</v>
      </c>
      <c r="X1122">
        <v>0</v>
      </c>
      <c r="Y1122">
        <v>0</v>
      </c>
      <c r="Z1122">
        <v>0</v>
      </c>
      <c r="AB1122" s="5">
        <v>43833</v>
      </c>
      <c r="AC1122" s="5">
        <v>43838</v>
      </c>
      <c r="AD1122" s="5">
        <v>43970.333333333336</v>
      </c>
      <c r="AE1122" s="5">
        <v>43970.333333333336</v>
      </c>
      <c r="AG1122" s="5">
        <v>44044</v>
      </c>
      <c r="AH1122" s="5">
        <v>44044</v>
      </c>
      <c r="AK1122" s="5">
        <v>43838.333333333336</v>
      </c>
      <c r="AL1122" s="5">
        <v>43840.666666666664</v>
      </c>
      <c r="AP1122" t="s">
        <v>418</v>
      </c>
      <c r="AU1122" t="s">
        <v>5268</v>
      </c>
      <c r="AV1122" t="s">
        <v>5269</v>
      </c>
      <c r="AY1122" t="s">
        <v>40</v>
      </c>
      <c r="AZ1122">
        <v>0</v>
      </c>
      <c r="BA1122">
        <v>0</v>
      </c>
      <c r="BI1122" s="5">
        <v>44048.176388888889</v>
      </c>
      <c r="BJ1122" s="5">
        <v>44048.176388888889</v>
      </c>
      <c r="BK1122" t="s">
        <v>778</v>
      </c>
      <c r="BL1122" t="s">
        <v>778</v>
      </c>
      <c r="BN1122" t="s">
        <v>37</v>
      </c>
    </row>
    <row r="1123" spans="1:66" x14ac:dyDescent="0.2">
      <c r="A1123">
        <v>3693680</v>
      </c>
      <c r="B1123">
        <v>21883</v>
      </c>
      <c r="C1123">
        <v>523861</v>
      </c>
      <c r="D1123">
        <v>52899</v>
      </c>
      <c r="E1123">
        <v>100</v>
      </c>
      <c r="F1123" t="s">
        <v>37</v>
      </c>
      <c r="G1123">
        <v>1</v>
      </c>
      <c r="H1123" t="s">
        <v>37</v>
      </c>
      <c r="I1123" t="s">
        <v>37</v>
      </c>
      <c r="J1123" t="s">
        <v>775</v>
      </c>
      <c r="K1123" t="s">
        <v>230</v>
      </c>
      <c r="L1123" t="s">
        <v>226</v>
      </c>
      <c r="M1123" t="s">
        <v>422</v>
      </c>
      <c r="N1123" t="s">
        <v>5270</v>
      </c>
      <c r="O1123" t="s">
        <v>2677</v>
      </c>
      <c r="S1123">
        <v>0</v>
      </c>
      <c r="T1123">
        <v>8</v>
      </c>
      <c r="U1123">
        <v>0</v>
      </c>
      <c r="V1123">
        <v>8</v>
      </c>
      <c r="W1123">
        <v>16</v>
      </c>
      <c r="X1123">
        <v>0</v>
      </c>
      <c r="Y1123">
        <v>0</v>
      </c>
      <c r="Z1123">
        <v>0</v>
      </c>
      <c r="AB1123" s="5">
        <v>43790</v>
      </c>
      <c r="AC1123" s="5">
        <v>43790</v>
      </c>
      <c r="AD1123" s="5">
        <v>43970.333333333336</v>
      </c>
      <c r="AE1123" s="5">
        <v>43970.333333333336</v>
      </c>
      <c r="AG1123" s="5">
        <v>44044</v>
      </c>
      <c r="AH1123" s="5">
        <v>44044</v>
      </c>
      <c r="AK1123" s="5">
        <v>43802.333333333336</v>
      </c>
      <c r="AL1123" s="5">
        <v>43803.666666666664</v>
      </c>
      <c r="AP1123" t="s">
        <v>418</v>
      </c>
      <c r="AU1123" t="s">
        <v>5271</v>
      </c>
      <c r="AV1123" t="s">
        <v>5272</v>
      </c>
      <c r="AY1123" t="s">
        <v>40</v>
      </c>
      <c r="AZ1123">
        <v>0</v>
      </c>
      <c r="BA1123">
        <v>0</v>
      </c>
      <c r="BI1123" s="5">
        <v>44048.176388888889</v>
      </c>
      <c r="BJ1123" s="5">
        <v>44048.176388888889</v>
      </c>
      <c r="BK1123" t="s">
        <v>778</v>
      </c>
      <c r="BL1123" t="s">
        <v>778</v>
      </c>
      <c r="BN1123" t="s">
        <v>37</v>
      </c>
    </row>
    <row r="1124" spans="1:66" x14ac:dyDescent="0.2">
      <c r="A1124">
        <v>3693681</v>
      </c>
      <c r="B1124">
        <v>21883</v>
      </c>
      <c r="C1124">
        <v>523861</v>
      </c>
      <c r="D1124">
        <v>52899</v>
      </c>
      <c r="E1124">
        <v>100</v>
      </c>
      <c r="F1124" t="s">
        <v>37</v>
      </c>
      <c r="G1124">
        <v>1</v>
      </c>
      <c r="H1124" t="s">
        <v>37</v>
      </c>
      <c r="I1124" t="s">
        <v>37</v>
      </c>
      <c r="J1124" t="s">
        <v>775</v>
      </c>
      <c r="K1124" t="s">
        <v>230</v>
      </c>
      <c r="L1124" t="s">
        <v>226</v>
      </c>
      <c r="M1124" t="s">
        <v>422</v>
      </c>
      <c r="N1124" t="s">
        <v>5273</v>
      </c>
      <c r="O1124" t="s">
        <v>2681</v>
      </c>
      <c r="S1124">
        <v>0</v>
      </c>
      <c r="T1124">
        <v>16</v>
      </c>
      <c r="U1124">
        <v>0</v>
      </c>
      <c r="V1124">
        <v>16</v>
      </c>
      <c r="W1124">
        <v>16</v>
      </c>
      <c r="X1124">
        <v>0</v>
      </c>
      <c r="Y1124">
        <v>0</v>
      </c>
      <c r="Z1124">
        <v>0</v>
      </c>
      <c r="AB1124" s="5">
        <v>43805</v>
      </c>
      <c r="AC1124" s="5">
        <v>43805</v>
      </c>
      <c r="AD1124" s="5">
        <v>43970.333333333336</v>
      </c>
      <c r="AE1124" s="5">
        <v>43970.333333333336</v>
      </c>
      <c r="AG1124" s="5">
        <v>44044</v>
      </c>
      <c r="AH1124" s="5">
        <v>44044</v>
      </c>
      <c r="AK1124" s="5">
        <v>43832.333333333336</v>
      </c>
      <c r="AL1124" s="5">
        <v>43833.666666666664</v>
      </c>
      <c r="AP1124" t="s">
        <v>418</v>
      </c>
      <c r="AU1124" t="s">
        <v>5274</v>
      </c>
      <c r="AV1124" t="s">
        <v>5275</v>
      </c>
      <c r="AY1124" t="s">
        <v>40</v>
      </c>
      <c r="AZ1124">
        <v>0</v>
      </c>
      <c r="BA1124">
        <v>0</v>
      </c>
      <c r="BI1124" s="5">
        <v>44048.176388888889</v>
      </c>
      <c r="BJ1124" s="5">
        <v>44048.176388888889</v>
      </c>
      <c r="BK1124" t="s">
        <v>778</v>
      </c>
      <c r="BL1124" t="s">
        <v>778</v>
      </c>
      <c r="BN1124" t="s">
        <v>37</v>
      </c>
    </row>
    <row r="1125" spans="1:66" x14ac:dyDescent="0.2">
      <c r="A1125">
        <v>3693682</v>
      </c>
      <c r="B1125">
        <v>21883</v>
      </c>
      <c r="C1125">
        <v>523861</v>
      </c>
      <c r="D1125">
        <v>52899</v>
      </c>
      <c r="E1125">
        <v>100</v>
      </c>
      <c r="F1125" t="s">
        <v>37</v>
      </c>
      <c r="G1125">
        <v>1</v>
      </c>
      <c r="H1125" t="s">
        <v>37</v>
      </c>
      <c r="I1125" t="s">
        <v>37</v>
      </c>
      <c r="J1125" t="s">
        <v>775</v>
      </c>
      <c r="K1125" t="s">
        <v>230</v>
      </c>
      <c r="L1125" t="s">
        <v>226</v>
      </c>
      <c r="M1125" t="s">
        <v>422</v>
      </c>
      <c r="N1125" t="s">
        <v>5276</v>
      </c>
      <c r="O1125" t="s">
        <v>2685</v>
      </c>
      <c r="S1125">
        <v>0</v>
      </c>
      <c r="T1125">
        <v>0</v>
      </c>
      <c r="U1125">
        <v>0</v>
      </c>
      <c r="V1125">
        <v>0</v>
      </c>
      <c r="W1125">
        <v>24</v>
      </c>
      <c r="X1125">
        <v>0</v>
      </c>
      <c r="Y1125">
        <v>0</v>
      </c>
      <c r="Z1125">
        <v>0</v>
      </c>
      <c r="AB1125" s="5">
        <v>43804</v>
      </c>
      <c r="AC1125" s="5">
        <v>43804</v>
      </c>
      <c r="AD1125" s="5">
        <v>43970.333333333336</v>
      </c>
      <c r="AE1125" s="5">
        <v>43970.333333333336</v>
      </c>
      <c r="AG1125" s="5">
        <v>44044</v>
      </c>
      <c r="AH1125" s="5">
        <v>44044</v>
      </c>
      <c r="AK1125" s="5">
        <v>43832.333333333336</v>
      </c>
      <c r="AL1125" s="5">
        <v>43836.666666666664</v>
      </c>
      <c r="AP1125" t="s">
        <v>418</v>
      </c>
      <c r="AU1125" t="s">
        <v>5277</v>
      </c>
      <c r="AV1125" t="s">
        <v>5278</v>
      </c>
      <c r="AY1125" t="s">
        <v>40</v>
      </c>
      <c r="AZ1125">
        <v>0</v>
      </c>
      <c r="BA1125">
        <v>0</v>
      </c>
      <c r="BI1125" s="5">
        <v>44048.176388888889</v>
      </c>
      <c r="BJ1125" s="5">
        <v>44048.176388888889</v>
      </c>
      <c r="BK1125" t="s">
        <v>778</v>
      </c>
      <c r="BL1125" t="s">
        <v>778</v>
      </c>
      <c r="BN1125" t="s">
        <v>37</v>
      </c>
    </row>
    <row r="1126" spans="1:66" x14ac:dyDescent="0.2">
      <c r="A1126">
        <v>3693683</v>
      </c>
      <c r="B1126">
        <v>21883</v>
      </c>
      <c r="C1126">
        <v>523861</v>
      </c>
      <c r="D1126">
        <v>52899</v>
      </c>
      <c r="E1126">
        <v>100</v>
      </c>
      <c r="F1126" t="s">
        <v>37</v>
      </c>
      <c r="G1126">
        <v>1</v>
      </c>
      <c r="H1126" t="s">
        <v>37</v>
      </c>
      <c r="I1126" t="s">
        <v>37</v>
      </c>
      <c r="J1126" t="s">
        <v>775</v>
      </c>
      <c r="K1126" t="s">
        <v>230</v>
      </c>
      <c r="L1126" t="s">
        <v>226</v>
      </c>
      <c r="M1126" t="s">
        <v>422</v>
      </c>
      <c r="N1126" t="s">
        <v>5279</v>
      </c>
      <c r="O1126" t="s">
        <v>2689</v>
      </c>
      <c r="S1126">
        <v>0</v>
      </c>
      <c r="T1126">
        <v>0</v>
      </c>
      <c r="U1126">
        <v>0</v>
      </c>
      <c r="V1126">
        <v>0</v>
      </c>
      <c r="W1126">
        <v>24</v>
      </c>
      <c r="X1126">
        <v>0</v>
      </c>
      <c r="Y1126">
        <v>0</v>
      </c>
      <c r="Z1126">
        <v>0</v>
      </c>
      <c r="AB1126" s="5">
        <v>43819</v>
      </c>
      <c r="AC1126" s="5">
        <v>43822</v>
      </c>
      <c r="AD1126" s="5">
        <v>43970.333333333336</v>
      </c>
      <c r="AE1126" s="5">
        <v>43970.333333333336</v>
      </c>
      <c r="AG1126" s="5">
        <v>44044</v>
      </c>
      <c r="AH1126" s="5">
        <v>44044</v>
      </c>
      <c r="AK1126" s="5">
        <v>43839.333333333336</v>
      </c>
      <c r="AL1126" s="5">
        <v>43844.666666666664</v>
      </c>
      <c r="AP1126" t="s">
        <v>418</v>
      </c>
      <c r="AU1126" t="s">
        <v>5280</v>
      </c>
      <c r="AV1126" t="s">
        <v>5281</v>
      </c>
      <c r="AY1126" t="s">
        <v>40</v>
      </c>
      <c r="AZ1126">
        <v>0</v>
      </c>
      <c r="BA1126">
        <v>0</v>
      </c>
      <c r="BI1126" s="5">
        <v>44048.176388888889</v>
      </c>
      <c r="BJ1126" s="5">
        <v>44048.176388888889</v>
      </c>
      <c r="BK1126" t="s">
        <v>778</v>
      </c>
      <c r="BL1126" t="s">
        <v>778</v>
      </c>
      <c r="BN1126" t="s">
        <v>37</v>
      </c>
    </row>
    <row r="1127" spans="1:66" x14ac:dyDescent="0.2">
      <c r="A1127">
        <v>3693684</v>
      </c>
      <c r="B1127">
        <v>21883</v>
      </c>
      <c r="C1127">
        <v>523861</v>
      </c>
      <c r="D1127">
        <v>52899</v>
      </c>
      <c r="E1127">
        <v>100</v>
      </c>
      <c r="F1127" t="s">
        <v>37</v>
      </c>
      <c r="G1127">
        <v>1</v>
      </c>
      <c r="H1127" t="s">
        <v>37</v>
      </c>
      <c r="I1127" t="s">
        <v>37</v>
      </c>
      <c r="J1127" t="s">
        <v>775</v>
      </c>
      <c r="K1127" t="s">
        <v>230</v>
      </c>
      <c r="L1127" t="s">
        <v>226</v>
      </c>
      <c r="M1127" t="s">
        <v>422</v>
      </c>
      <c r="N1127" t="s">
        <v>5282</v>
      </c>
      <c r="O1127" t="s">
        <v>5283</v>
      </c>
      <c r="S1127">
        <v>0</v>
      </c>
      <c r="T1127">
        <v>8</v>
      </c>
      <c r="U1127">
        <v>0</v>
      </c>
      <c r="V1127">
        <v>8</v>
      </c>
      <c r="W1127">
        <v>8</v>
      </c>
      <c r="X1127">
        <v>0</v>
      </c>
      <c r="Y1127">
        <v>0</v>
      </c>
      <c r="Z1127">
        <v>0</v>
      </c>
      <c r="AB1127" s="5">
        <v>43853</v>
      </c>
      <c r="AC1127" s="5">
        <v>43853</v>
      </c>
      <c r="AD1127" s="5">
        <v>43970.333333333336</v>
      </c>
      <c r="AE1127" s="5">
        <v>43970.333333333336</v>
      </c>
      <c r="AG1127" s="5">
        <v>44044</v>
      </c>
      <c r="AH1127" s="5">
        <v>44044</v>
      </c>
      <c r="AK1127" s="5">
        <v>43847.333333333336</v>
      </c>
      <c r="AL1127" s="5">
        <v>43847.666666666664</v>
      </c>
      <c r="AP1127" t="s">
        <v>418</v>
      </c>
      <c r="AU1127" t="s">
        <v>5284</v>
      </c>
      <c r="AV1127" t="s">
        <v>5285</v>
      </c>
      <c r="AY1127" t="s">
        <v>40</v>
      </c>
      <c r="AZ1127">
        <v>0</v>
      </c>
      <c r="BA1127">
        <v>0</v>
      </c>
      <c r="BI1127" s="5">
        <v>44048.176388888889</v>
      </c>
      <c r="BJ1127" s="5">
        <v>44048.176388888889</v>
      </c>
      <c r="BK1127" t="s">
        <v>778</v>
      </c>
      <c r="BL1127" t="s">
        <v>778</v>
      </c>
      <c r="BN1127" t="s">
        <v>37</v>
      </c>
    </row>
    <row r="1128" spans="1:66" x14ac:dyDescent="0.2">
      <c r="A1128">
        <v>3693685</v>
      </c>
      <c r="B1128">
        <v>21883</v>
      </c>
      <c r="C1128">
        <v>523861</v>
      </c>
      <c r="D1128">
        <v>52895</v>
      </c>
      <c r="E1128">
        <v>100</v>
      </c>
      <c r="F1128" t="s">
        <v>37</v>
      </c>
      <c r="G1128">
        <v>1</v>
      </c>
      <c r="H1128" t="s">
        <v>37</v>
      </c>
      <c r="I1128" t="s">
        <v>37</v>
      </c>
      <c r="J1128" t="s">
        <v>775</v>
      </c>
      <c r="K1128" t="s">
        <v>230</v>
      </c>
      <c r="L1128" t="s">
        <v>226</v>
      </c>
      <c r="M1128" t="s">
        <v>422</v>
      </c>
      <c r="N1128" t="s">
        <v>5286</v>
      </c>
      <c r="O1128" t="s">
        <v>2697</v>
      </c>
      <c r="S1128">
        <v>0</v>
      </c>
      <c r="T1128">
        <v>0</v>
      </c>
      <c r="U1128">
        <v>0</v>
      </c>
      <c r="V1128">
        <v>0</v>
      </c>
      <c r="W1128">
        <v>56</v>
      </c>
      <c r="X1128">
        <v>0</v>
      </c>
      <c r="Y1128">
        <v>0</v>
      </c>
      <c r="Z1128">
        <v>0</v>
      </c>
      <c r="AB1128" s="5">
        <v>43853</v>
      </c>
      <c r="AC1128" s="5">
        <v>43860</v>
      </c>
      <c r="AD1128" s="5">
        <v>43970.333333333336</v>
      </c>
      <c r="AE1128" s="5">
        <v>43970.333333333336</v>
      </c>
      <c r="AG1128" s="5">
        <v>44044</v>
      </c>
      <c r="AH1128" s="5">
        <v>44044</v>
      </c>
      <c r="AK1128" s="5">
        <v>43831.333333333336</v>
      </c>
      <c r="AL1128" s="5">
        <v>43837.666666666664</v>
      </c>
      <c r="AP1128" t="s">
        <v>418</v>
      </c>
      <c r="AU1128" t="s">
        <v>5287</v>
      </c>
      <c r="AV1128" t="s">
        <v>5288</v>
      </c>
      <c r="AY1128" t="s">
        <v>40</v>
      </c>
      <c r="AZ1128">
        <v>0</v>
      </c>
      <c r="BA1128">
        <v>0</v>
      </c>
      <c r="BI1128" s="5">
        <v>44048.176388888889</v>
      </c>
      <c r="BJ1128" s="5">
        <v>44048.176388888889</v>
      </c>
      <c r="BK1128" t="s">
        <v>778</v>
      </c>
      <c r="BL1128" t="s">
        <v>778</v>
      </c>
      <c r="BN1128" t="s">
        <v>37</v>
      </c>
    </row>
    <row r="1129" spans="1:66" x14ac:dyDescent="0.2">
      <c r="A1129">
        <v>3693686</v>
      </c>
      <c r="B1129">
        <v>21883</v>
      </c>
      <c r="C1129">
        <v>523861</v>
      </c>
      <c r="D1129">
        <v>52899</v>
      </c>
      <c r="E1129">
        <v>100</v>
      </c>
      <c r="F1129" t="s">
        <v>37</v>
      </c>
      <c r="G1129">
        <v>1</v>
      </c>
      <c r="H1129" t="s">
        <v>37</v>
      </c>
      <c r="I1129" t="s">
        <v>37</v>
      </c>
      <c r="J1129" t="s">
        <v>775</v>
      </c>
      <c r="K1129" t="s">
        <v>230</v>
      </c>
      <c r="L1129" t="s">
        <v>226</v>
      </c>
      <c r="M1129" t="s">
        <v>422</v>
      </c>
      <c r="N1129" t="s">
        <v>5289</v>
      </c>
      <c r="O1129" t="s">
        <v>3748</v>
      </c>
      <c r="S1129">
        <v>0</v>
      </c>
      <c r="T1129">
        <v>0</v>
      </c>
      <c r="U1129">
        <v>0</v>
      </c>
      <c r="V1129">
        <v>0</v>
      </c>
      <c r="W1129">
        <v>8</v>
      </c>
      <c r="X1129">
        <v>0</v>
      </c>
      <c r="Y1129">
        <v>0</v>
      </c>
      <c r="Z1129">
        <v>0</v>
      </c>
      <c r="AB1129" s="5">
        <v>43789</v>
      </c>
      <c r="AC1129" s="5">
        <v>43789</v>
      </c>
      <c r="AD1129" s="5">
        <v>43970.333333333336</v>
      </c>
      <c r="AE1129" s="5">
        <v>43970.333333333336</v>
      </c>
      <c r="AG1129" s="5">
        <v>44044</v>
      </c>
      <c r="AH1129" s="5">
        <v>44044</v>
      </c>
      <c r="AK1129" s="5">
        <v>43802.333333333336</v>
      </c>
      <c r="AL1129" s="5">
        <v>43802.666666666664</v>
      </c>
      <c r="AP1129" t="s">
        <v>418</v>
      </c>
      <c r="AU1129" t="s">
        <v>5290</v>
      </c>
      <c r="AV1129" t="s">
        <v>5291</v>
      </c>
      <c r="AY1129" t="s">
        <v>40</v>
      </c>
      <c r="AZ1129">
        <v>0</v>
      </c>
      <c r="BA1129">
        <v>0</v>
      </c>
      <c r="BI1129" s="5">
        <v>44048.176388888889</v>
      </c>
      <c r="BJ1129" s="5">
        <v>44048.176388888889</v>
      </c>
      <c r="BK1129" t="s">
        <v>778</v>
      </c>
      <c r="BL1129" t="s">
        <v>778</v>
      </c>
      <c r="BN1129" t="s">
        <v>37</v>
      </c>
    </row>
    <row r="1130" spans="1:66" x14ac:dyDescent="0.2">
      <c r="A1130">
        <v>3693687</v>
      </c>
      <c r="B1130">
        <v>21883</v>
      </c>
      <c r="C1130">
        <v>523861</v>
      </c>
      <c r="D1130">
        <v>52899</v>
      </c>
      <c r="E1130">
        <v>100</v>
      </c>
      <c r="F1130" t="s">
        <v>37</v>
      </c>
      <c r="G1130">
        <v>1</v>
      </c>
      <c r="H1130" t="s">
        <v>37</v>
      </c>
      <c r="I1130" t="s">
        <v>37</v>
      </c>
      <c r="J1130" t="s">
        <v>775</v>
      </c>
      <c r="K1130" t="s">
        <v>230</v>
      </c>
      <c r="L1130" t="s">
        <v>226</v>
      </c>
      <c r="M1130" t="s">
        <v>422</v>
      </c>
      <c r="N1130" t="s">
        <v>5292</v>
      </c>
      <c r="O1130" t="s">
        <v>4360</v>
      </c>
      <c r="S1130">
        <v>0</v>
      </c>
      <c r="T1130">
        <v>0</v>
      </c>
      <c r="U1130">
        <v>0</v>
      </c>
      <c r="V1130">
        <v>0</v>
      </c>
      <c r="W1130">
        <v>8</v>
      </c>
      <c r="X1130">
        <v>0</v>
      </c>
      <c r="Y1130">
        <v>0</v>
      </c>
      <c r="Z1130">
        <v>0</v>
      </c>
      <c r="AB1130" s="5">
        <v>43789</v>
      </c>
      <c r="AC1130" s="5">
        <v>43789</v>
      </c>
      <c r="AD1130" s="5">
        <v>43970.333333333336</v>
      </c>
      <c r="AE1130" s="5">
        <v>43970.333333333336</v>
      </c>
      <c r="AG1130" s="5">
        <v>44044</v>
      </c>
      <c r="AH1130" s="5">
        <v>44044</v>
      </c>
      <c r="AK1130" s="5">
        <v>43802.333333333336</v>
      </c>
      <c r="AL1130" s="5">
        <v>43802.666666666664</v>
      </c>
      <c r="AP1130" t="s">
        <v>418</v>
      </c>
      <c r="AU1130" t="s">
        <v>5293</v>
      </c>
      <c r="AV1130" t="s">
        <v>5294</v>
      </c>
      <c r="AY1130" t="s">
        <v>40</v>
      </c>
      <c r="AZ1130">
        <v>0</v>
      </c>
      <c r="BA1130">
        <v>0</v>
      </c>
      <c r="BI1130" s="5">
        <v>44048.176388888889</v>
      </c>
      <c r="BJ1130" s="5">
        <v>44048.176388888889</v>
      </c>
      <c r="BK1130" t="s">
        <v>778</v>
      </c>
      <c r="BL1130" t="s">
        <v>778</v>
      </c>
      <c r="BN1130" t="s">
        <v>37</v>
      </c>
    </row>
    <row r="1131" spans="1:66" x14ac:dyDescent="0.2">
      <c r="A1131">
        <v>3693688</v>
      </c>
      <c r="B1131">
        <v>21883</v>
      </c>
      <c r="C1131">
        <v>523861</v>
      </c>
      <c r="D1131">
        <v>52899</v>
      </c>
      <c r="E1131">
        <v>100</v>
      </c>
      <c r="F1131" t="s">
        <v>37</v>
      </c>
      <c r="G1131">
        <v>1</v>
      </c>
      <c r="H1131" t="s">
        <v>37</v>
      </c>
      <c r="I1131" t="s">
        <v>37</v>
      </c>
      <c r="J1131" t="s">
        <v>775</v>
      </c>
      <c r="K1131" t="s">
        <v>230</v>
      </c>
      <c r="L1131" t="s">
        <v>226</v>
      </c>
      <c r="M1131" t="s">
        <v>422</v>
      </c>
      <c r="N1131" t="s">
        <v>5295</v>
      </c>
      <c r="O1131" t="s">
        <v>5296</v>
      </c>
      <c r="S1131">
        <v>0</v>
      </c>
      <c r="T1131">
        <v>24</v>
      </c>
      <c r="U1131">
        <v>0</v>
      </c>
      <c r="V1131">
        <v>24</v>
      </c>
      <c r="W1131">
        <v>24</v>
      </c>
      <c r="X1131">
        <v>0</v>
      </c>
      <c r="Y1131">
        <v>0</v>
      </c>
      <c r="Z1131">
        <v>0</v>
      </c>
      <c r="AB1131" s="5">
        <v>43901.333333333336</v>
      </c>
      <c r="AC1131" s="5">
        <v>43903.666666666664</v>
      </c>
      <c r="AD1131" s="5">
        <v>43970.333333333336</v>
      </c>
      <c r="AE1131" s="5">
        <v>43970.333333333336</v>
      </c>
      <c r="AG1131" s="5">
        <v>44044</v>
      </c>
      <c r="AH1131" s="5">
        <v>44044</v>
      </c>
      <c r="AK1131" s="5">
        <v>43901.333333333336</v>
      </c>
      <c r="AL1131" s="5">
        <v>43903.666666666664</v>
      </c>
      <c r="AP1131" t="s">
        <v>418</v>
      </c>
      <c r="AU1131" t="s">
        <v>5297</v>
      </c>
      <c r="AV1131" t="s">
        <v>5298</v>
      </c>
      <c r="AY1131" t="s">
        <v>40</v>
      </c>
      <c r="AZ1131">
        <v>0</v>
      </c>
      <c r="BA1131">
        <v>0</v>
      </c>
      <c r="BI1131" s="5">
        <v>44048.176388888889</v>
      </c>
      <c r="BJ1131" s="5">
        <v>44048.176388888889</v>
      </c>
      <c r="BK1131" t="s">
        <v>778</v>
      </c>
      <c r="BL1131" t="s">
        <v>778</v>
      </c>
      <c r="BN1131" t="s">
        <v>37</v>
      </c>
    </row>
    <row r="1132" spans="1:66" x14ac:dyDescent="0.2">
      <c r="A1132">
        <v>3693689</v>
      </c>
      <c r="B1132">
        <v>21883</v>
      </c>
      <c r="C1132">
        <v>523861</v>
      </c>
      <c r="D1132">
        <v>52899</v>
      </c>
      <c r="E1132">
        <v>100</v>
      </c>
      <c r="F1132" t="s">
        <v>37</v>
      </c>
      <c r="G1132">
        <v>1</v>
      </c>
      <c r="H1132" t="s">
        <v>37</v>
      </c>
      <c r="I1132" t="s">
        <v>37</v>
      </c>
      <c r="J1132" t="s">
        <v>775</v>
      </c>
      <c r="K1132" t="s">
        <v>230</v>
      </c>
      <c r="L1132" t="s">
        <v>226</v>
      </c>
      <c r="M1132" t="s">
        <v>422</v>
      </c>
      <c r="N1132" t="s">
        <v>5299</v>
      </c>
      <c r="O1132" t="s">
        <v>4537</v>
      </c>
      <c r="S1132">
        <v>0</v>
      </c>
      <c r="T1132">
        <v>16</v>
      </c>
      <c r="U1132">
        <v>0</v>
      </c>
      <c r="V1132">
        <v>16</v>
      </c>
      <c r="W1132">
        <v>16</v>
      </c>
      <c r="X1132">
        <v>0</v>
      </c>
      <c r="Y1132">
        <v>0</v>
      </c>
      <c r="Z1132">
        <v>0</v>
      </c>
      <c r="AB1132" s="5">
        <v>43889</v>
      </c>
      <c r="AC1132" s="5">
        <v>43892</v>
      </c>
      <c r="AD1132" s="5">
        <v>43970.333333333336</v>
      </c>
      <c r="AE1132" s="5">
        <v>43970.333333333336</v>
      </c>
      <c r="AG1132" s="5">
        <v>44044</v>
      </c>
      <c r="AH1132" s="5">
        <v>44044</v>
      </c>
      <c r="AK1132" s="5">
        <v>43896.333333333336</v>
      </c>
      <c r="AL1132" s="5">
        <v>43899.666666666664</v>
      </c>
      <c r="AP1132" t="s">
        <v>418</v>
      </c>
      <c r="AU1132" t="s">
        <v>5300</v>
      </c>
      <c r="AV1132" t="s">
        <v>5301</v>
      </c>
      <c r="AY1132" t="s">
        <v>40</v>
      </c>
      <c r="AZ1132">
        <v>0</v>
      </c>
      <c r="BA1132">
        <v>0</v>
      </c>
      <c r="BI1132" s="5">
        <v>44048.176388888889</v>
      </c>
      <c r="BJ1132" s="5">
        <v>44048.176388888889</v>
      </c>
      <c r="BK1132" t="s">
        <v>778</v>
      </c>
      <c r="BL1132" t="s">
        <v>778</v>
      </c>
      <c r="BN1132" t="s">
        <v>37</v>
      </c>
    </row>
    <row r="1133" spans="1:66" x14ac:dyDescent="0.2">
      <c r="A1133">
        <v>3693690</v>
      </c>
      <c r="B1133">
        <v>21883</v>
      </c>
      <c r="C1133">
        <v>523861</v>
      </c>
      <c r="D1133">
        <v>52899</v>
      </c>
      <c r="E1133">
        <v>100</v>
      </c>
      <c r="F1133" t="s">
        <v>37</v>
      </c>
      <c r="G1133">
        <v>1</v>
      </c>
      <c r="H1133" t="s">
        <v>37</v>
      </c>
      <c r="I1133" t="s">
        <v>37</v>
      </c>
      <c r="J1133" t="s">
        <v>775</v>
      </c>
      <c r="K1133" t="s">
        <v>230</v>
      </c>
      <c r="L1133" t="s">
        <v>226</v>
      </c>
      <c r="M1133" t="s">
        <v>422</v>
      </c>
      <c r="N1133" t="s">
        <v>5302</v>
      </c>
      <c r="O1133" t="s">
        <v>4541</v>
      </c>
      <c r="S1133">
        <v>0</v>
      </c>
      <c r="T1133">
        <v>16</v>
      </c>
      <c r="U1133">
        <v>0</v>
      </c>
      <c r="V1133">
        <v>16</v>
      </c>
      <c r="W1133">
        <v>16</v>
      </c>
      <c r="X1133">
        <v>0</v>
      </c>
      <c r="Y1133">
        <v>0</v>
      </c>
      <c r="Z1133">
        <v>0</v>
      </c>
      <c r="AB1133" s="5">
        <v>43847</v>
      </c>
      <c r="AC1133" s="5">
        <v>43850</v>
      </c>
      <c r="AD1133" s="5">
        <v>43970.333333333336</v>
      </c>
      <c r="AE1133" s="5">
        <v>43970.333333333336</v>
      </c>
      <c r="AG1133" s="5">
        <v>44044</v>
      </c>
      <c r="AH1133" s="5">
        <v>44044</v>
      </c>
      <c r="AK1133" s="5">
        <v>43832.333333333336</v>
      </c>
      <c r="AL1133" s="5">
        <v>43833.666666666664</v>
      </c>
      <c r="AP1133" t="s">
        <v>418</v>
      </c>
      <c r="AU1133" t="s">
        <v>5303</v>
      </c>
      <c r="AV1133" t="s">
        <v>5304</v>
      </c>
      <c r="AY1133" t="s">
        <v>40</v>
      </c>
      <c r="AZ1133">
        <v>0</v>
      </c>
      <c r="BA1133">
        <v>0</v>
      </c>
      <c r="BI1133" s="5">
        <v>44048.176388888889</v>
      </c>
      <c r="BJ1133" s="5">
        <v>44048.176388888889</v>
      </c>
      <c r="BK1133" t="s">
        <v>778</v>
      </c>
      <c r="BL1133" t="s">
        <v>778</v>
      </c>
      <c r="BN1133" t="s">
        <v>37</v>
      </c>
    </row>
    <row r="1134" spans="1:66" x14ac:dyDescent="0.2">
      <c r="A1134">
        <v>3693691</v>
      </c>
      <c r="B1134">
        <v>21883</v>
      </c>
      <c r="C1134">
        <v>523861</v>
      </c>
      <c r="D1134">
        <v>52899</v>
      </c>
      <c r="E1134">
        <v>100</v>
      </c>
      <c r="F1134" t="s">
        <v>37</v>
      </c>
      <c r="G1134">
        <v>1</v>
      </c>
      <c r="H1134" t="s">
        <v>37</v>
      </c>
      <c r="I1134" t="s">
        <v>37</v>
      </c>
      <c r="J1134" t="s">
        <v>775</v>
      </c>
      <c r="K1134" t="s">
        <v>230</v>
      </c>
      <c r="L1134" t="s">
        <v>226</v>
      </c>
      <c r="M1134" t="s">
        <v>422</v>
      </c>
      <c r="N1134" t="s">
        <v>5305</v>
      </c>
      <c r="O1134" t="s">
        <v>4545</v>
      </c>
      <c r="S1134">
        <v>0</v>
      </c>
      <c r="T1134">
        <v>24</v>
      </c>
      <c r="U1134">
        <v>0</v>
      </c>
      <c r="V1134">
        <v>24</v>
      </c>
      <c r="W1134">
        <v>24</v>
      </c>
      <c r="X1134">
        <v>0</v>
      </c>
      <c r="Y1134">
        <v>0</v>
      </c>
      <c r="Z1134">
        <v>0</v>
      </c>
      <c r="AB1134" s="5">
        <v>43850</v>
      </c>
      <c r="AC1134" s="5">
        <v>43850</v>
      </c>
      <c r="AD1134" s="5">
        <v>43970.333333333336</v>
      </c>
      <c r="AE1134" s="5">
        <v>43970.333333333336</v>
      </c>
      <c r="AG1134" s="5">
        <v>44044</v>
      </c>
      <c r="AH1134" s="5">
        <v>44044</v>
      </c>
      <c r="AK1134" s="5">
        <v>43836.333333333336</v>
      </c>
      <c r="AL1134" s="5">
        <v>43838.666666666664</v>
      </c>
      <c r="AP1134" t="s">
        <v>418</v>
      </c>
      <c r="AU1134" t="s">
        <v>5306</v>
      </c>
      <c r="AV1134" t="s">
        <v>5307</v>
      </c>
      <c r="AY1134" t="s">
        <v>40</v>
      </c>
      <c r="AZ1134">
        <v>0</v>
      </c>
      <c r="BA1134">
        <v>0</v>
      </c>
      <c r="BI1134" s="5">
        <v>44048.176388888889</v>
      </c>
      <c r="BJ1134" s="5">
        <v>44048.176388888889</v>
      </c>
      <c r="BK1134" t="s">
        <v>778</v>
      </c>
      <c r="BL1134" t="s">
        <v>778</v>
      </c>
      <c r="BN1134" t="s">
        <v>37</v>
      </c>
    </row>
    <row r="1135" spans="1:66" x14ac:dyDescent="0.2">
      <c r="A1135">
        <v>3693692</v>
      </c>
      <c r="B1135">
        <v>21883</v>
      </c>
      <c r="C1135">
        <v>523861</v>
      </c>
      <c r="D1135">
        <v>52899</v>
      </c>
      <c r="E1135">
        <v>100</v>
      </c>
      <c r="F1135" t="s">
        <v>37</v>
      </c>
      <c r="G1135">
        <v>1</v>
      </c>
      <c r="H1135" t="s">
        <v>37</v>
      </c>
      <c r="I1135" t="s">
        <v>37</v>
      </c>
      <c r="J1135" t="s">
        <v>775</v>
      </c>
      <c r="K1135" t="s">
        <v>230</v>
      </c>
      <c r="L1135" t="s">
        <v>226</v>
      </c>
      <c r="M1135" t="s">
        <v>422</v>
      </c>
      <c r="N1135" t="s">
        <v>5308</v>
      </c>
      <c r="O1135" t="s">
        <v>4549</v>
      </c>
      <c r="S1135">
        <v>0</v>
      </c>
      <c r="T1135">
        <v>16</v>
      </c>
      <c r="U1135">
        <v>0</v>
      </c>
      <c r="V1135">
        <v>16</v>
      </c>
      <c r="W1135">
        <v>16</v>
      </c>
      <c r="X1135">
        <v>0</v>
      </c>
      <c r="Y1135">
        <v>0</v>
      </c>
      <c r="Z1135">
        <v>0</v>
      </c>
      <c r="AB1135" s="5">
        <v>43815</v>
      </c>
      <c r="AC1135" s="5">
        <v>43815</v>
      </c>
      <c r="AD1135" s="5">
        <v>43970.333333333336</v>
      </c>
      <c r="AE1135" s="5">
        <v>43970.333333333336</v>
      </c>
      <c r="AG1135" s="5">
        <v>44044</v>
      </c>
      <c r="AH1135" s="5">
        <v>44044</v>
      </c>
      <c r="AK1135" s="5">
        <v>43832.333333333336</v>
      </c>
      <c r="AL1135" s="5">
        <v>43833.666666666664</v>
      </c>
      <c r="AP1135" t="s">
        <v>418</v>
      </c>
      <c r="AU1135" t="s">
        <v>5309</v>
      </c>
      <c r="AV1135" t="s">
        <v>5310</v>
      </c>
      <c r="AY1135" t="s">
        <v>40</v>
      </c>
      <c r="AZ1135">
        <v>0</v>
      </c>
      <c r="BA1135">
        <v>0</v>
      </c>
      <c r="BI1135" s="5">
        <v>44048.176388888889</v>
      </c>
      <c r="BJ1135" s="5">
        <v>44048.176388888889</v>
      </c>
      <c r="BK1135" t="s">
        <v>778</v>
      </c>
      <c r="BL1135" t="s">
        <v>778</v>
      </c>
      <c r="BN1135" t="s">
        <v>37</v>
      </c>
    </row>
    <row r="1136" spans="1:66" x14ac:dyDescent="0.2">
      <c r="A1136">
        <v>3693693</v>
      </c>
      <c r="B1136">
        <v>21883</v>
      </c>
      <c r="C1136">
        <v>523861</v>
      </c>
      <c r="D1136">
        <v>52899</v>
      </c>
      <c r="E1136">
        <v>100</v>
      </c>
      <c r="F1136" t="s">
        <v>37</v>
      </c>
      <c r="G1136">
        <v>1</v>
      </c>
      <c r="H1136" t="s">
        <v>37</v>
      </c>
      <c r="I1136" t="s">
        <v>37</v>
      </c>
      <c r="J1136" t="s">
        <v>775</v>
      </c>
      <c r="K1136" t="s">
        <v>230</v>
      </c>
      <c r="L1136" t="s">
        <v>226</v>
      </c>
      <c r="M1136" t="s">
        <v>422</v>
      </c>
      <c r="N1136" t="s">
        <v>5311</v>
      </c>
      <c r="O1136" t="s">
        <v>4553</v>
      </c>
      <c r="S1136">
        <v>0</v>
      </c>
      <c r="T1136">
        <v>16</v>
      </c>
      <c r="U1136">
        <v>0</v>
      </c>
      <c r="V1136">
        <v>16</v>
      </c>
      <c r="W1136">
        <v>16</v>
      </c>
      <c r="X1136">
        <v>0</v>
      </c>
      <c r="Y1136">
        <v>0</v>
      </c>
      <c r="Z1136">
        <v>0</v>
      </c>
      <c r="AB1136" s="5">
        <v>43843</v>
      </c>
      <c r="AC1136" s="5">
        <v>43847</v>
      </c>
      <c r="AD1136" s="5">
        <v>43970.333333333336</v>
      </c>
      <c r="AE1136" s="5">
        <v>43970.333333333336</v>
      </c>
      <c r="AG1136" s="5">
        <v>44044</v>
      </c>
      <c r="AH1136" s="5">
        <v>44044</v>
      </c>
      <c r="AK1136" s="5">
        <v>43832.333333333336</v>
      </c>
      <c r="AL1136" s="5">
        <v>43833.666666666664</v>
      </c>
      <c r="AP1136" t="s">
        <v>418</v>
      </c>
      <c r="AU1136" t="s">
        <v>5312</v>
      </c>
      <c r="AV1136" t="s">
        <v>5313</v>
      </c>
      <c r="AY1136" t="s">
        <v>40</v>
      </c>
      <c r="AZ1136">
        <v>0</v>
      </c>
      <c r="BA1136">
        <v>0</v>
      </c>
      <c r="BI1136" s="5">
        <v>44048.176388888889</v>
      </c>
      <c r="BJ1136" s="5">
        <v>44048.176388888889</v>
      </c>
      <c r="BK1136" t="s">
        <v>778</v>
      </c>
      <c r="BL1136" t="s">
        <v>778</v>
      </c>
      <c r="BN1136" t="s">
        <v>37</v>
      </c>
    </row>
    <row r="1137" spans="1:66" x14ac:dyDescent="0.2">
      <c r="A1137">
        <v>3693694</v>
      </c>
      <c r="B1137">
        <v>21883</v>
      </c>
      <c r="C1137">
        <v>523861</v>
      </c>
      <c r="D1137">
        <v>52899</v>
      </c>
      <c r="E1137">
        <v>100</v>
      </c>
      <c r="F1137" t="s">
        <v>37</v>
      </c>
      <c r="G1137">
        <v>1</v>
      </c>
      <c r="H1137" t="s">
        <v>37</v>
      </c>
      <c r="I1137" t="s">
        <v>37</v>
      </c>
      <c r="J1137" t="s">
        <v>775</v>
      </c>
      <c r="K1137" t="s">
        <v>230</v>
      </c>
      <c r="L1137" t="s">
        <v>226</v>
      </c>
      <c r="M1137" t="s">
        <v>422</v>
      </c>
      <c r="N1137" t="s">
        <v>5314</v>
      </c>
      <c r="O1137" t="s">
        <v>4557</v>
      </c>
      <c r="S1137">
        <v>0</v>
      </c>
      <c r="T1137">
        <v>24</v>
      </c>
      <c r="U1137">
        <v>0</v>
      </c>
      <c r="V1137">
        <v>24</v>
      </c>
      <c r="W1137">
        <v>24</v>
      </c>
      <c r="X1137">
        <v>0</v>
      </c>
      <c r="Y1137">
        <v>0</v>
      </c>
      <c r="Z1137">
        <v>0</v>
      </c>
      <c r="AB1137" s="5">
        <v>43846</v>
      </c>
      <c r="AC1137" s="5">
        <v>43850</v>
      </c>
      <c r="AD1137" s="5">
        <v>43970.333333333336</v>
      </c>
      <c r="AE1137" s="5">
        <v>43970.333333333336</v>
      </c>
      <c r="AG1137" s="5">
        <v>44044</v>
      </c>
      <c r="AH1137" s="5">
        <v>44044</v>
      </c>
      <c r="AK1137" s="5">
        <v>43836.333333333336</v>
      </c>
      <c r="AL1137" s="5">
        <v>43838.666666666664</v>
      </c>
      <c r="AP1137" t="s">
        <v>418</v>
      </c>
      <c r="AU1137" t="s">
        <v>5315</v>
      </c>
      <c r="AV1137" t="s">
        <v>5316</v>
      </c>
      <c r="AY1137" t="s">
        <v>40</v>
      </c>
      <c r="AZ1137">
        <v>0</v>
      </c>
      <c r="BA1137">
        <v>0</v>
      </c>
      <c r="BI1137" s="5">
        <v>44048.176388888889</v>
      </c>
      <c r="BJ1137" s="5">
        <v>44048.176388888889</v>
      </c>
      <c r="BK1137" t="s">
        <v>778</v>
      </c>
      <c r="BL1137" t="s">
        <v>778</v>
      </c>
      <c r="BN1137" t="s">
        <v>37</v>
      </c>
    </row>
    <row r="1138" spans="1:66" x14ac:dyDescent="0.2">
      <c r="A1138">
        <v>3693695</v>
      </c>
      <c r="B1138">
        <v>21883</v>
      </c>
      <c r="C1138">
        <v>523860</v>
      </c>
      <c r="D1138">
        <v>52899</v>
      </c>
      <c r="E1138">
        <v>100</v>
      </c>
      <c r="F1138" t="s">
        <v>37</v>
      </c>
      <c r="G1138">
        <v>1</v>
      </c>
      <c r="H1138" t="s">
        <v>37</v>
      </c>
      <c r="I1138" t="s">
        <v>37</v>
      </c>
      <c r="J1138" t="s">
        <v>775</v>
      </c>
      <c r="K1138" t="s">
        <v>230</v>
      </c>
      <c r="L1138" t="s">
        <v>226</v>
      </c>
      <c r="M1138" t="s">
        <v>422</v>
      </c>
      <c r="N1138" t="s">
        <v>5317</v>
      </c>
      <c r="O1138" t="s">
        <v>2701</v>
      </c>
      <c r="S1138">
        <v>0</v>
      </c>
      <c r="T1138">
        <v>8</v>
      </c>
      <c r="U1138">
        <v>0</v>
      </c>
      <c r="V1138">
        <v>8</v>
      </c>
      <c r="W1138">
        <v>16</v>
      </c>
      <c r="X1138">
        <v>0</v>
      </c>
      <c r="Y1138">
        <v>0</v>
      </c>
      <c r="Z1138">
        <v>0</v>
      </c>
      <c r="AB1138" s="5">
        <v>43784</v>
      </c>
      <c r="AC1138" s="5">
        <v>43784</v>
      </c>
      <c r="AD1138" s="5">
        <v>43970.333333333336</v>
      </c>
      <c r="AE1138" s="5">
        <v>43970.333333333336</v>
      </c>
      <c r="AG1138" s="5">
        <v>44044</v>
      </c>
      <c r="AH1138" s="5">
        <v>44044</v>
      </c>
      <c r="AK1138" s="5">
        <v>43802.333333333336</v>
      </c>
      <c r="AL1138" s="5">
        <v>43803.666666666664</v>
      </c>
      <c r="AP1138" t="s">
        <v>418</v>
      </c>
      <c r="AU1138" t="s">
        <v>5318</v>
      </c>
      <c r="AV1138" t="s">
        <v>5319</v>
      </c>
      <c r="AY1138" t="s">
        <v>40</v>
      </c>
      <c r="AZ1138">
        <v>0</v>
      </c>
      <c r="BA1138">
        <v>0</v>
      </c>
      <c r="BI1138" s="5">
        <v>44048.176388888889</v>
      </c>
      <c r="BJ1138" s="5">
        <v>44048.176388888889</v>
      </c>
      <c r="BK1138" t="s">
        <v>778</v>
      </c>
      <c r="BL1138" t="s">
        <v>778</v>
      </c>
      <c r="BN1138" t="s">
        <v>37</v>
      </c>
    </row>
    <row r="1139" spans="1:66" x14ac:dyDescent="0.2">
      <c r="A1139">
        <v>3693696</v>
      </c>
      <c r="B1139">
        <v>21883</v>
      </c>
      <c r="C1139">
        <v>523860</v>
      </c>
      <c r="D1139">
        <v>52899</v>
      </c>
      <c r="E1139">
        <v>100</v>
      </c>
      <c r="F1139" t="s">
        <v>37</v>
      </c>
      <c r="G1139">
        <v>1</v>
      </c>
      <c r="H1139" t="s">
        <v>37</v>
      </c>
      <c r="I1139" t="s">
        <v>37</v>
      </c>
      <c r="J1139" t="s">
        <v>775</v>
      </c>
      <c r="K1139" t="s">
        <v>230</v>
      </c>
      <c r="L1139" t="s">
        <v>226</v>
      </c>
      <c r="M1139" t="s">
        <v>422</v>
      </c>
      <c r="N1139" t="s">
        <v>5320</v>
      </c>
      <c r="O1139" t="s">
        <v>2705</v>
      </c>
      <c r="S1139">
        <v>0</v>
      </c>
      <c r="T1139">
        <v>16</v>
      </c>
      <c r="U1139">
        <v>0</v>
      </c>
      <c r="V1139">
        <v>16</v>
      </c>
      <c r="W1139">
        <v>16</v>
      </c>
      <c r="X1139">
        <v>0</v>
      </c>
      <c r="Y1139">
        <v>0</v>
      </c>
      <c r="Z1139">
        <v>0</v>
      </c>
      <c r="AB1139" s="5">
        <v>43806</v>
      </c>
      <c r="AC1139" s="5">
        <v>43806</v>
      </c>
      <c r="AD1139" s="5">
        <v>43970.333333333336</v>
      </c>
      <c r="AE1139" s="5">
        <v>43970.333333333336</v>
      </c>
      <c r="AG1139" s="5">
        <v>44044</v>
      </c>
      <c r="AH1139" s="5">
        <v>44044</v>
      </c>
      <c r="AK1139" s="5">
        <v>43832.333333333336</v>
      </c>
      <c r="AL1139" s="5">
        <v>43833.666666666664</v>
      </c>
      <c r="AP1139" t="s">
        <v>418</v>
      </c>
      <c r="AU1139" t="s">
        <v>5321</v>
      </c>
      <c r="AV1139" t="s">
        <v>5322</v>
      </c>
      <c r="AY1139" t="s">
        <v>40</v>
      </c>
      <c r="AZ1139">
        <v>0</v>
      </c>
      <c r="BA1139">
        <v>0</v>
      </c>
      <c r="BI1139" s="5">
        <v>44048.176388888889</v>
      </c>
      <c r="BJ1139" s="5">
        <v>44048.176388888889</v>
      </c>
      <c r="BK1139" t="s">
        <v>778</v>
      </c>
      <c r="BL1139" t="s">
        <v>778</v>
      </c>
      <c r="BN1139" t="s">
        <v>37</v>
      </c>
    </row>
    <row r="1140" spans="1:66" x14ac:dyDescent="0.2">
      <c r="A1140">
        <v>3693697</v>
      </c>
      <c r="B1140">
        <v>21883</v>
      </c>
      <c r="C1140">
        <v>523860</v>
      </c>
      <c r="D1140">
        <v>52899</v>
      </c>
      <c r="E1140">
        <v>100</v>
      </c>
      <c r="F1140" t="s">
        <v>37</v>
      </c>
      <c r="G1140">
        <v>1</v>
      </c>
      <c r="H1140" t="s">
        <v>37</v>
      </c>
      <c r="I1140" t="s">
        <v>37</v>
      </c>
      <c r="J1140" t="s">
        <v>775</v>
      </c>
      <c r="K1140" t="s">
        <v>230</v>
      </c>
      <c r="L1140" t="s">
        <v>226</v>
      </c>
      <c r="M1140" t="s">
        <v>422</v>
      </c>
      <c r="N1140" t="s">
        <v>5323</v>
      </c>
      <c r="O1140" t="s">
        <v>2709</v>
      </c>
      <c r="S1140">
        <v>0</v>
      </c>
      <c r="T1140">
        <v>0</v>
      </c>
      <c r="U1140">
        <v>0</v>
      </c>
      <c r="V1140">
        <v>0</v>
      </c>
      <c r="W1140">
        <v>24</v>
      </c>
      <c r="X1140">
        <v>0</v>
      </c>
      <c r="Y1140">
        <v>0</v>
      </c>
      <c r="Z1140">
        <v>0</v>
      </c>
      <c r="AB1140" s="5">
        <v>43805</v>
      </c>
      <c r="AC1140" s="5">
        <v>43805</v>
      </c>
      <c r="AD1140" s="5">
        <v>43970.333333333336</v>
      </c>
      <c r="AE1140" s="5">
        <v>43970.333333333336</v>
      </c>
      <c r="AG1140" s="5">
        <v>44044</v>
      </c>
      <c r="AH1140" s="5">
        <v>44044</v>
      </c>
      <c r="AK1140" s="5">
        <v>43832.333333333336</v>
      </c>
      <c r="AL1140" s="5">
        <v>43836.666666666664</v>
      </c>
      <c r="AP1140" t="s">
        <v>418</v>
      </c>
      <c r="AU1140" t="s">
        <v>5324</v>
      </c>
      <c r="AV1140" t="s">
        <v>5325</v>
      </c>
      <c r="AY1140" t="s">
        <v>40</v>
      </c>
      <c r="AZ1140">
        <v>0</v>
      </c>
      <c r="BA1140">
        <v>0</v>
      </c>
      <c r="BI1140" s="5">
        <v>44048.176388888889</v>
      </c>
      <c r="BJ1140" s="5">
        <v>44048.176388888889</v>
      </c>
      <c r="BK1140" t="s">
        <v>778</v>
      </c>
      <c r="BL1140" t="s">
        <v>778</v>
      </c>
      <c r="BN1140" t="s">
        <v>37</v>
      </c>
    </row>
    <row r="1141" spans="1:66" x14ac:dyDescent="0.2">
      <c r="A1141">
        <v>3693698</v>
      </c>
      <c r="B1141">
        <v>21883</v>
      </c>
      <c r="C1141">
        <v>523860</v>
      </c>
      <c r="D1141">
        <v>52899</v>
      </c>
      <c r="E1141">
        <v>100</v>
      </c>
      <c r="F1141" t="s">
        <v>37</v>
      </c>
      <c r="G1141">
        <v>1</v>
      </c>
      <c r="H1141" t="s">
        <v>37</v>
      </c>
      <c r="I1141" t="s">
        <v>37</v>
      </c>
      <c r="J1141" t="s">
        <v>775</v>
      </c>
      <c r="K1141" t="s">
        <v>230</v>
      </c>
      <c r="L1141" t="s">
        <v>226</v>
      </c>
      <c r="M1141" t="s">
        <v>422</v>
      </c>
      <c r="N1141" t="s">
        <v>5326</v>
      </c>
      <c r="O1141" t="s">
        <v>2713</v>
      </c>
      <c r="S1141">
        <v>0</v>
      </c>
      <c r="T1141">
        <v>0</v>
      </c>
      <c r="U1141">
        <v>0</v>
      </c>
      <c r="V1141">
        <v>0</v>
      </c>
      <c r="W1141">
        <v>24</v>
      </c>
      <c r="X1141">
        <v>0</v>
      </c>
      <c r="Y1141">
        <v>0</v>
      </c>
      <c r="Z1141">
        <v>0</v>
      </c>
      <c r="AB1141" s="5">
        <v>43819</v>
      </c>
      <c r="AC1141" s="5">
        <v>43822</v>
      </c>
      <c r="AD1141" s="5">
        <v>43970.333333333336</v>
      </c>
      <c r="AE1141" s="5">
        <v>43970.333333333336</v>
      </c>
      <c r="AG1141" s="5">
        <v>44044</v>
      </c>
      <c r="AH1141" s="5">
        <v>44044</v>
      </c>
      <c r="AK1141" s="5">
        <v>43839.333333333336</v>
      </c>
      <c r="AL1141" s="5">
        <v>43844.666666666664</v>
      </c>
      <c r="AP1141" t="s">
        <v>418</v>
      </c>
      <c r="AU1141" t="s">
        <v>5327</v>
      </c>
      <c r="AV1141" t="s">
        <v>5328</v>
      </c>
      <c r="AY1141" t="s">
        <v>40</v>
      </c>
      <c r="AZ1141">
        <v>0</v>
      </c>
      <c r="BA1141">
        <v>0</v>
      </c>
      <c r="BI1141" s="5">
        <v>44048.176388888889</v>
      </c>
      <c r="BJ1141" s="5">
        <v>44048.176388888889</v>
      </c>
      <c r="BK1141" t="s">
        <v>778</v>
      </c>
      <c r="BL1141" t="s">
        <v>778</v>
      </c>
      <c r="BN1141" t="s">
        <v>37</v>
      </c>
    </row>
    <row r="1142" spans="1:66" x14ac:dyDescent="0.2">
      <c r="A1142">
        <v>3693699</v>
      </c>
      <c r="B1142">
        <v>21883</v>
      </c>
      <c r="C1142">
        <v>523860</v>
      </c>
      <c r="D1142">
        <v>52899</v>
      </c>
      <c r="E1142">
        <v>100</v>
      </c>
      <c r="F1142" t="s">
        <v>37</v>
      </c>
      <c r="G1142">
        <v>1</v>
      </c>
      <c r="H1142" t="s">
        <v>37</v>
      </c>
      <c r="I1142" t="s">
        <v>37</v>
      </c>
      <c r="J1142" t="s">
        <v>775</v>
      </c>
      <c r="K1142" t="s">
        <v>230</v>
      </c>
      <c r="L1142" t="s">
        <v>226</v>
      </c>
      <c r="M1142" t="s">
        <v>422</v>
      </c>
      <c r="N1142" t="s">
        <v>5329</v>
      </c>
      <c r="O1142" t="s">
        <v>5330</v>
      </c>
      <c r="S1142">
        <v>0</v>
      </c>
      <c r="T1142">
        <v>8</v>
      </c>
      <c r="U1142">
        <v>0</v>
      </c>
      <c r="V1142">
        <v>8</v>
      </c>
      <c r="W1142">
        <v>8</v>
      </c>
      <c r="X1142">
        <v>0</v>
      </c>
      <c r="Y1142">
        <v>0</v>
      </c>
      <c r="Z1142">
        <v>0</v>
      </c>
      <c r="AB1142" s="5">
        <v>43853</v>
      </c>
      <c r="AC1142" s="5">
        <v>43853</v>
      </c>
      <c r="AD1142" s="5">
        <v>43970.333333333336</v>
      </c>
      <c r="AE1142" s="5">
        <v>43970.333333333336</v>
      </c>
      <c r="AG1142" s="5">
        <v>44044</v>
      </c>
      <c r="AH1142" s="5">
        <v>44044</v>
      </c>
      <c r="AK1142" s="5">
        <v>43847.333333333336</v>
      </c>
      <c r="AL1142" s="5">
        <v>43847.666666666664</v>
      </c>
      <c r="AP1142" t="s">
        <v>418</v>
      </c>
      <c r="AU1142" t="s">
        <v>5331</v>
      </c>
      <c r="AV1142" t="s">
        <v>5332</v>
      </c>
      <c r="AY1142" t="s">
        <v>40</v>
      </c>
      <c r="AZ1142">
        <v>0</v>
      </c>
      <c r="BA1142">
        <v>0</v>
      </c>
      <c r="BI1142" s="5">
        <v>44048.176388888889</v>
      </c>
      <c r="BJ1142" s="5">
        <v>44048.176388888889</v>
      </c>
      <c r="BK1142" t="s">
        <v>778</v>
      </c>
      <c r="BL1142" t="s">
        <v>778</v>
      </c>
      <c r="BN1142" t="s">
        <v>37</v>
      </c>
    </row>
    <row r="1143" spans="1:66" x14ac:dyDescent="0.2">
      <c r="A1143">
        <v>3693700</v>
      </c>
      <c r="B1143">
        <v>21883</v>
      </c>
      <c r="C1143">
        <v>523860</v>
      </c>
      <c r="D1143">
        <v>52895</v>
      </c>
      <c r="E1143">
        <v>100</v>
      </c>
      <c r="F1143" t="s">
        <v>37</v>
      </c>
      <c r="G1143">
        <v>1</v>
      </c>
      <c r="H1143" t="s">
        <v>37</v>
      </c>
      <c r="I1143" t="s">
        <v>37</v>
      </c>
      <c r="J1143" t="s">
        <v>775</v>
      </c>
      <c r="K1143" t="s">
        <v>230</v>
      </c>
      <c r="L1143" t="s">
        <v>226</v>
      </c>
      <c r="M1143" t="s">
        <v>422</v>
      </c>
      <c r="N1143" t="s">
        <v>5333</v>
      </c>
      <c r="O1143" t="s">
        <v>2721</v>
      </c>
      <c r="S1143">
        <v>0</v>
      </c>
      <c r="T1143">
        <v>0</v>
      </c>
      <c r="U1143">
        <v>0</v>
      </c>
      <c r="V1143">
        <v>0</v>
      </c>
      <c r="W1143">
        <v>56</v>
      </c>
      <c r="X1143">
        <v>0</v>
      </c>
      <c r="Y1143">
        <v>0</v>
      </c>
      <c r="Z1143">
        <v>0</v>
      </c>
      <c r="AB1143" s="5">
        <v>43853</v>
      </c>
      <c r="AC1143" s="5">
        <v>43860</v>
      </c>
      <c r="AD1143" s="5">
        <v>43970.333333333336</v>
      </c>
      <c r="AE1143" s="5">
        <v>43970.333333333336</v>
      </c>
      <c r="AG1143" s="5">
        <v>44044</v>
      </c>
      <c r="AH1143" s="5">
        <v>44044</v>
      </c>
      <c r="AK1143" s="5">
        <v>43831.333333333336</v>
      </c>
      <c r="AL1143" s="5">
        <v>43837.666666666664</v>
      </c>
      <c r="AP1143" t="s">
        <v>418</v>
      </c>
      <c r="AU1143" t="s">
        <v>5334</v>
      </c>
      <c r="AV1143" t="s">
        <v>5335</v>
      </c>
      <c r="AY1143" t="s">
        <v>40</v>
      </c>
      <c r="AZ1143">
        <v>0</v>
      </c>
      <c r="BA1143">
        <v>0</v>
      </c>
      <c r="BI1143" s="5">
        <v>44048.176388888889</v>
      </c>
      <c r="BJ1143" s="5">
        <v>44048.176388888889</v>
      </c>
      <c r="BK1143" t="s">
        <v>778</v>
      </c>
      <c r="BL1143" t="s">
        <v>778</v>
      </c>
      <c r="BN1143" t="s">
        <v>37</v>
      </c>
    </row>
    <row r="1144" spans="1:66" x14ac:dyDescent="0.2">
      <c r="A1144">
        <v>3693701</v>
      </c>
      <c r="B1144">
        <v>21883</v>
      </c>
      <c r="C1144">
        <v>523860</v>
      </c>
      <c r="D1144">
        <v>52899</v>
      </c>
      <c r="E1144">
        <v>100</v>
      </c>
      <c r="F1144" t="s">
        <v>37</v>
      </c>
      <c r="G1144">
        <v>1</v>
      </c>
      <c r="H1144" t="s">
        <v>37</v>
      </c>
      <c r="I1144" t="s">
        <v>37</v>
      </c>
      <c r="J1144" t="s">
        <v>775</v>
      </c>
      <c r="K1144" t="s">
        <v>230</v>
      </c>
      <c r="L1144" t="s">
        <v>226</v>
      </c>
      <c r="M1144" t="s">
        <v>422</v>
      </c>
      <c r="N1144" t="s">
        <v>5336</v>
      </c>
      <c r="O1144" t="s">
        <v>3776</v>
      </c>
      <c r="S1144">
        <v>0</v>
      </c>
      <c r="T1144">
        <v>8</v>
      </c>
      <c r="U1144">
        <v>0</v>
      </c>
      <c r="V1144">
        <v>8</v>
      </c>
      <c r="W1144">
        <v>8</v>
      </c>
      <c r="X1144">
        <v>0</v>
      </c>
      <c r="Y1144">
        <v>0</v>
      </c>
      <c r="Z1144">
        <v>0</v>
      </c>
      <c r="AB1144" s="5">
        <v>43784</v>
      </c>
      <c r="AC1144" s="5">
        <v>43784</v>
      </c>
      <c r="AD1144" s="5">
        <v>43970.333333333336</v>
      </c>
      <c r="AE1144" s="5">
        <v>43970.333333333336</v>
      </c>
      <c r="AG1144" s="5">
        <v>44044</v>
      </c>
      <c r="AH1144" s="5">
        <v>44044</v>
      </c>
      <c r="AK1144" s="5">
        <v>43802.333333333336</v>
      </c>
      <c r="AL1144" s="5">
        <v>43802.666666666664</v>
      </c>
      <c r="AP1144" t="s">
        <v>418</v>
      </c>
      <c r="AU1144" t="s">
        <v>5337</v>
      </c>
      <c r="AV1144" t="s">
        <v>5338</v>
      </c>
      <c r="AY1144" t="s">
        <v>40</v>
      </c>
      <c r="AZ1144">
        <v>0</v>
      </c>
      <c r="BA1144">
        <v>0</v>
      </c>
      <c r="BI1144" s="5">
        <v>44048.176388888889</v>
      </c>
      <c r="BJ1144" s="5">
        <v>44048.176388888889</v>
      </c>
      <c r="BK1144" t="s">
        <v>778</v>
      </c>
      <c r="BL1144" t="s">
        <v>778</v>
      </c>
      <c r="BN1144" t="s">
        <v>37</v>
      </c>
    </row>
    <row r="1145" spans="1:66" x14ac:dyDescent="0.2">
      <c r="A1145">
        <v>3693702</v>
      </c>
      <c r="B1145">
        <v>21883</v>
      </c>
      <c r="C1145">
        <v>523860</v>
      </c>
      <c r="D1145">
        <v>52899</v>
      </c>
      <c r="E1145">
        <v>100</v>
      </c>
      <c r="F1145" t="s">
        <v>37</v>
      </c>
      <c r="G1145">
        <v>1</v>
      </c>
      <c r="H1145" t="s">
        <v>37</v>
      </c>
      <c r="I1145" t="s">
        <v>37</v>
      </c>
      <c r="J1145" t="s">
        <v>775</v>
      </c>
      <c r="K1145" t="s">
        <v>230</v>
      </c>
      <c r="L1145" t="s">
        <v>226</v>
      </c>
      <c r="M1145" t="s">
        <v>422</v>
      </c>
      <c r="N1145" t="s">
        <v>5339</v>
      </c>
      <c r="O1145" t="s">
        <v>4364</v>
      </c>
      <c r="S1145">
        <v>0</v>
      </c>
      <c r="T1145">
        <v>0</v>
      </c>
      <c r="U1145">
        <v>0</v>
      </c>
      <c r="V1145">
        <v>0</v>
      </c>
      <c r="W1145">
        <v>8</v>
      </c>
      <c r="X1145">
        <v>0</v>
      </c>
      <c r="Y1145">
        <v>0</v>
      </c>
      <c r="Z1145">
        <v>0</v>
      </c>
      <c r="AB1145" s="5">
        <v>43784</v>
      </c>
      <c r="AC1145" s="5">
        <v>43784</v>
      </c>
      <c r="AD1145" s="5">
        <v>43970.333333333336</v>
      </c>
      <c r="AE1145" s="5">
        <v>43970.333333333336</v>
      </c>
      <c r="AG1145" s="5">
        <v>44044</v>
      </c>
      <c r="AH1145" s="5">
        <v>44044</v>
      </c>
      <c r="AK1145" s="5">
        <v>43802.333333333336</v>
      </c>
      <c r="AL1145" s="5">
        <v>43802.666666666664</v>
      </c>
      <c r="AP1145" t="s">
        <v>418</v>
      </c>
      <c r="AU1145" t="s">
        <v>5340</v>
      </c>
      <c r="AV1145" t="s">
        <v>5341</v>
      </c>
      <c r="AY1145" t="s">
        <v>40</v>
      </c>
      <c r="AZ1145">
        <v>0</v>
      </c>
      <c r="BA1145">
        <v>0</v>
      </c>
      <c r="BI1145" s="5">
        <v>44048.176388888889</v>
      </c>
      <c r="BJ1145" s="5">
        <v>44048.176388888889</v>
      </c>
      <c r="BK1145" t="s">
        <v>778</v>
      </c>
      <c r="BL1145" t="s">
        <v>778</v>
      </c>
      <c r="BN1145" t="s">
        <v>37</v>
      </c>
    </row>
    <row r="1146" spans="1:66" x14ac:dyDescent="0.2">
      <c r="A1146">
        <v>3693703</v>
      </c>
      <c r="B1146">
        <v>21883</v>
      </c>
      <c r="C1146">
        <v>523860</v>
      </c>
      <c r="D1146">
        <v>52899</v>
      </c>
      <c r="E1146">
        <v>100</v>
      </c>
      <c r="F1146" t="s">
        <v>37</v>
      </c>
      <c r="G1146">
        <v>1</v>
      </c>
      <c r="H1146" t="s">
        <v>37</v>
      </c>
      <c r="I1146" t="s">
        <v>37</v>
      </c>
      <c r="J1146" t="s">
        <v>775</v>
      </c>
      <c r="K1146" t="s">
        <v>230</v>
      </c>
      <c r="L1146" t="s">
        <v>226</v>
      </c>
      <c r="M1146" t="s">
        <v>422</v>
      </c>
      <c r="N1146" t="s">
        <v>5342</v>
      </c>
      <c r="O1146" t="s">
        <v>5343</v>
      </c>
      <c r="S1146">
        <v>0</v>
      </c>
      <c r="T1146">
        <v>24</v>
      </c>
      <c r="U1146">
        <v>0</v>
      </c>
      <c r="V1146">
        <v>24</v>
      </c>
      <c r="W1146">
        <v>24</v>
      </c>
      <c r="X1146">
        <v>0</v>
      </c>
      <c r="Y1146">
        <v>0</v>
      </c>
      <c r="Z1146">
        <v>0</v>
      </c>
      <c r="AB1146" s="5">
        <v>43902</v>
      </c>
      <c r="AC1146" s="5">
        <v>43902</v>
      </c>
      <c r="AD1146" s="5">
        <v>43970.333333333336</v>
      </c>
      <c r="AE1146" s="5">
        <v>43970.333333333336</v>
      </c>
      <c r="AG1146" s="5">
        <v>44044</v>
      </c>
      <c r="AH1146" s="5">
        <v>44044</v>
      </c>
      <c r="AK1146" s="5">
        <v>43901.333333333336</v>
      </c>
      <c r="AL1146" s="5">
        <v>43903.666666666664</v>
      </c>
      <c r="AP1146" t="s">
        <v>418</v>
      </c>
      <c r="AU1146" t="s">
        <v>5344</v>
      </c>
      <c r="AV1146" t="s">
        <v>5345</v>
      </c>
      <c r="AY1146" t="s">
        <v>40</v>
      </c>
      <c r="AZ1146">
        <v>0</v>
      </c>
      <c r="BA1146">
        <v>0</v>
      </c>
      <c r="BI1146" s="5">
        <v>44048.176388888889</v>
      </c>
      <c r="BJ1146" s="5">
        <v>44048.176388888889</v>
      </c>
      <c r="BK1146" t="s">
        <v>778</v>
      </c>
      <c r="BL1146" t="s">
        <v>778</v>
      </c>
      <c r="BN1146" t="s">
        <v>37</v>
      </c>
    </row>
    <row r="1147" spans="1:66" x14ac:dyDescent="0.2">
      <c r="A1147">
        <v>3693704</v>
      </c>
      <c r="B1147">
        <v>21883</v>
      </c>
      <c r="C1147">
        <v>523860</v>
      </c>
      <c r="D1147">
        <v>52899</v>
      </c>
      <c r="E1147">
        <v>100</v>
      </c>
      <c r="F1147" t="s">
        <v>37</v>
      </c>
      <c r="G1147">
        <v>1</v>
      </c>
      <c r="H1147" t="s">
        <v>37</v>
      </c>
      <c r="I1147" t="s">
        <v>37</v>
      </c>
      <c r="J1147" t="s">
        <v>775</v>
      </c>
      <c r="K1147" t="s">
        <v>230</v>
      </c>
      <c r="L1147" t="s">
        <v>226</v>
      </c>
      <c r="M1147" t="s">
        <v>422</v>
      </c>
      <c r="N1147" t="s">
        <v>5346</v>
      </c>
      <c r="O1147" t="s">
        <v>4565</v>
      </c>
      <c r="S1147">
        <v>0</v>
      </c>
      <c r="T1147">
        <v>16</v>
      </c>
      <c r="U1147">
        <v>0</v>
      </c>
      <c r="V1147">
        <v>16</v>
      </c>
      <c r="W1147">
        <v>16</v>
      </c>
      <c r="X1147">
        <v>0</v>
      </c>
      <c r="Y1147">
        <v>0</v>
      </c>
      <c r="Z1147">
        <v>0</v>
      </c>
      <c r="AB1147" s="5">
        <v>43888</v>
      </c>
      <c r="AC1147" s="5">
        <v>43895</v>
      </c>
      <c r="AD1147" s="5">
        <v>43970.333333333336</v>
      </c>
      <c r="AE1147" s="5">
        <v>43970.333333333336</v>
      </c>
      <c r="AG1147" s="5">
        <v>44044</v>
      </c>
      <c r="AH1147" s="5">
        <v>44044</v>
      </c>
      <c r="AK1147" s="5">
        <v>43896.333333333336</v>
      </c>
      <c r="AL1147" s="5">
        <v>43899.666666666664</v>
      </c>
      <c r="AP1147" t="s">
        <v>418</v>
      </c>
      <c r="AU1147" t="s">
        <v>5347</v>
      </c>
      <c r="AV1147" t="s">
        <v>5348</v>
      </c>
      <c r="AY1147" t="s">
        <v>40</v>
      </c>
      <c r="AZ1147">
        <v>0</v>
      </c>
      <c r="BA1147">
        <v>0</v>
      </c>
      <c r="BI1147" s="5">
        <v>44048.176388888889</v>
      </c>
      <c r="BJ1147" s="5">
        <v>44048.176388888889</v>
      </c>
      <c r="BK1147" t="s">
        <v>778</v>
      </c>
      <c r="BL1147" t="s">
        <v>778</v>
      </c>
      <c r="BN1147" t="s">
        <v>37</v>
      </c>
    </row>
    <row r="1148" spans="1:66" x14ac:dyDescent="0.2">
      <c r="A1148">
        <v>3693705</v>
      </c>
      <c r="B1148">
        <v>21883</v>
      </c>
      <c r="C1148">
        <v>523860</v>
      </c>
      <c r="D1148">
        <v>52899</v>
      </c>
      <c r="E1148">
        <v>100</v>
      </c>
      <c r="F1148" t="s">
        <v>37</v>
      </c>
      <c r="G1148">
        <v>1</v>
      </c>
      <c r="H1148" t="s">
        <v>37</v>
      </c>
      <c r="I1148" t="s">
        <v>37</v>
      </c>
      <c r="J1148" t="s">
        <v>775</v>
      </c>
      <c r="K1148" t="s">
        <v>230</v>
      </c>
      <c r="L1148" t="s">
        <v>226</v>
      </c>
      <c r="M1148" t="s">
        <v>422</v>
      </c>
      <c r="N1148" t="s">
        <v>5349</v>
      </c>
      <c r="O1148" t="s">
        <v>4569</v>
      </c>
      <c r="S1148">
        <v>0</v>
      </c>
      <c r="T1148">
        <v>16</v>
      </c>
      <c r="U1148">
        <v>0</v>
      </c>
      <c r="V1148">
        <v>16</v>
      </c>
      <c r="W1148">
        <v>16</v>
      </c>
      <c r="X1148">
        <v>0</v>
      </c>
      <c r="Y1148">
        <v>0</v>
      </c>
      <c r="Z1148">
        <v>0</v>
      </c>
      <c r="AB1148" s="5">
        <v>43816</v>
      </c>
      <c r="AC1148" s="5">
        <v>43816</v>
      </c>
      <c r="AD1148" s="5">
        <v>43970.333333333336</v>
      </c>
      <c r="AE1148" s="5">
        <v>43970.333333333336</v>
      </c>
      <c r="AG1148" s="5">
        <v>44044</v>
      </c>
      <c r="AH1148" s="5">
        <v>44044</v>
      </c>
      <c r="AK1148" s="5">
        <v>43832.333333333336</v>
      </c>
      <c r="AL1148" s="5">
        <v>43833.666666666664</v>
      </c>
      <c r="AP1148" t="s">
        <v>418</v>
      </c>
      <c r="AU1148" t="s">
        <v>5350</v>
      </c>
      <c r="AV1148" t="s">
        <v>5351</v>
      </c>
      <c r="AY1148" t="s">
        <v>40</v>
      </c>
      <c r="AZ1148">
        <v>0</v>
      </c>
      <c r="BA1148">
        <v>0</v>
      </c>
      <c r="BI1148" s="5">
        <v>44048.176388888889</v>
      </c>
      <c r="BJ1148" s="5">
        <v>44048.176388888889</v>
      </c>
      <c r="BK1148" t="s">
        <v>778</v>
      </c>
      <c r="BL1148" t="s">
        <v>778</v>
      </c>
      <c r="BN1148" t="s">
        <v>37</v>
      </c>
    </row>
    <row r="1149" spans="1:66" x14ac:dyDescent="0.2">
      <c r="A1149">
        <v>3693706</v>
      </c>
      <c r="B1149">
        <v>21883</v>
      </c>
      <c r="C1149">
        <v>523860</v>
      </c>
      <c r="D1149">
        <v>52899</v>
      </c>
      <c r="E1149">
        <v>100</v>
      </c>
      <c r="F1149" t="s">
        <v>37</v>
      </c>
      <c r="G1149">
        <v>1</v>
      </c>
      <c r="H1149" t="s">
        <v>37</v>
      </c>
      <c r="I1149" t="s">
        <v>37</v>
      </c>
      <c r="J1149" t="s">
        <v>775</v>
      </c>
      <c r="K1149" t="s">
        <v>230</v>
      </c>
      <c r="L1149" t="s">
        <v>226</v>
      </c>
      <c r="M1149" t="s">
        <v>422</v>
      </c>
      <c r="N1149" t="s">
        <v>5352</v>
      </c>
      <c r="O1149" t="s">
        <v>4573</v>
      </c>
      <c r="S1149">
        <v>0</v>
      </c>
      <c r="T1149">
        <v>16</v>
      </c>
      <c r="U1149">
        <v>0</v>
      </c>
      <c r="V1149">
        <v>16</v>
      </c>
      <c r="W1149">
        <v>16</v>
      </c>
      <c r="X1149">
        <v>0</v>
      </c>
      <c r="Y1149">
        <v>0</v>
      </c>
      <c r="Z1149">
        <v>0</v>
      </c>
      <c r="AB1149" s="5">
        <v>43845</v>
      </c>
      <c r="AC1149" s="5">
        <v>43850</v>
      </c>
      <c r="AD1149" s="5">
        <v>43970.333333333336</v>
      </c>
      <c r="AE1149" s="5">
        <v>43970.333333333336</v>
      </c>
      <c r="AG1149" s="5">
        <v>44044</v>
      </c>
      <c r="AH1149" s="5">
        <v>44044</v>
      </c>
      <c r="AK1149" s="5">
        <v>43832.333333333336</v>
      </c>
      <c r="AL1149" s="5">
        <v>43833.666666666664</v>
      </c>
      <c r="AP1149" t="s">
        <v>418</v>
      </c>
      <c r="AU1149" t="s">
        <v>5353</v>
      </c>
      <c r="AV1149" t="s">
        <v>5354</v>
      </c>
      <c r="AY1149" t="s">
        <v>40</v>
      </c>
      <c r="AZ1149">
        <v>0</v>
      </c>
      <c r="BA1149">
        <v>0</v>
      </c>
      <c r="BI1149" s="5">
        <v>44048.176388888889</v>
      </c>
      <c r="BJ1149" s="5">
        <v>44048.176388888889</v>
      </c>
      <c r="BK1149" t="s">
        <v>778</v>
      </c>
      <c r="BL1149" t="s">
        <v>778</v>
      </c>
      <c r="BN1149" t="s">
        <v>37</v>
      </c>
    </row>
    <row r="1150" spans="1:66" x14ac:dyDescent="0.2">
      <c r="A1150">
        <v>3693707</v>
      </c>
      <c r="B1150">
        <v>21883</v>
      </c>
      <c r="C1150">
        <v>523860</v>
      </c>
      <c r="D1150">
        <v>52899</v>
      </c>
      <c r="E1150">
        <v>100</v>
      </c>
      <c r="F1150" t="s">
        <v>37</v>
      </c>
      <c r="G1150">
        <v>1</v>
      </c>
      <c r="H1150" t="s">
        <v>37</v>
      </c>
      <c r="I1150" t="s">
        <v>37</v>
      </c>
      <c r="J1150" t="s">
        <v>775</v>
      </c>
      <c r="K1150" t="s">
        <v>230</v>
      </c>
      <c r="L1150" t="s">
        <v>226</v>
      </c>
      <c r="M1150" t="s">
        <v>422</v>
      </c>
      <c r="N1150" t="s">
        <v>5355</v>
      </c>
      <c r="O1150" t="s">
        <v>4577</v>
      </c>
      <c r="S1150">
        <v>0</v>
      </c>
      <c r="T1150">
        <v>24</v>
      </c>
      <c r="U1150">
        <v>0</v>
      </c>
      <c r="V1150">
        <v>24</v>
      </c>
      <c r="W1150">
        <v>24</v>
      </c>
      <c r="X1150">
        <v>0</v>
      </c>
      <c r="Y1150">
        <v>0</v>
      </c>
      <c r="Z1150">
        <v>0</v>
      </c>
      <c r="AB1150" s="5">
        <v>43851</v>
      </c>
      <c r="AC1150" s="5">
        <v>43853</v>
      </c>
      <c r="AD1150" s="5">
        <v>43970.333333333336</v>
      </c>
      <c r="AE1150" s="5">
        <v>43970.333333333336</v>
      </c>
      <c r="AG1150" s="5">
        <v>44044</v>
      </c>
      <c r="AH1150" s="5">
        <v>44044</v>
      </c>
      <c r="AK1150" s="5">
        <v>43832.333333333336</v>
      </c>
      <c r="AL1150" s="5">
        <v>43836.666666666664</v>
      </c>
      <c r="AP1150" t="s">
        <v>418</v>
      </c>
      <c r="AU1150" t="s">
        <v>5356</v>
      </c>
      <c r="AV1150" t="s">
        <v>5357</v>
      </c>
      <c r="AY1150" t="s">
        <v>40</v>
      </c>
      <c r="AZ1150">
        <v>0</v>
      </c>
      <c r="BA1150">
        <v>0</v>
      </c>
      <c r="BI1150" s="5">
        <v>44048.176388888889</v>
      </c>
      <c r="BJ1150" s="5">
        <v>44048.176388888889</v>
      </c>
      <c r="BK1150" t="s">
        <v>778</v>
      </c>
      <c r="BL1150" t="s">
        <v>778</v>
      </c>
      <c r="BN1150" t="s">
        <v>37</v>
      </c>
    </row>
    <row r="1151" spans="1:66" x14ac:dyDescent="0.2">
      <c r="A1151">
        <v>3693708</v>
      </c>
      <c r="B1151">
        <v>21883</v>
      </c>
      <c r="C1151">
        <v>523860</v>
      </c>
      <c r="D1151">
        <v>52899</v>
      </c>
      <c r="E1151">
        <v>100</v>
      </c>
      <c r="F1151" t="s">
        <v>37</v>
      </c>
      <c r="G1151">
        <v>1</v>
      </c>
      <c r="H1151" t="s">
        <v>37</v>
      </c>
      <c r="I1151" t="s">
        <v>37</v>
      </c>
      <c r="J1151" t="s">
        <v>775</v>
      </c>
      <c r="K1151" t="s">
        <v>230</v>
      </c>
      <c r="L1151" t="s">
        <v>226</v>
      </c>
      <c r="M1151" t="s">
        <v>422</v>
      </c>
      <c r="N1151" t="s">
        <v>5358</v>
      </c>
      <c r="O1151" t="s">
        <v>4581</v>
      </c>
      <c r="S1151">
        <v>0</v>
      </c>
      <c r="T1151">
        <v>16</v>
      </c>
      <c r="U1151">
        <v>0</v>
      </c>
      <c r="V1151">
        <v>16</v>
      </c>
      <c r="W1151">
        <v>16</v>
      </c>
      <c r="X1151">
        <v>0</v>
      </c>
      <c r="Y1151">
        <v>0</v>
      </c>
      <c r="Z1151">
        <v>0</v>
      </c>
      <c r="AB1151" s="5">
        <v>43847</v>
      </c>
      <c r="AC1151" s="5">
        <v>43850</v>
      </c>
      <c r="AD1151" s="5">
        <v>43970.333333333336</v>
      </c>
      <c r="AE1151" s="5">
        <v>43970.333333333336</v>
      </c>
      <c r="AG1151" s="5">
        <v>44044</v>
      </c>
      <c r="AH1151" s="5">
        <v>44044</v>
      </c>
      <c r="AK1151" s="5">
        <v>43832.333333333336</v>
      </c>
      <c r="AL1151" s="5">
        <v>43833.666666666664</v>
      </c>
      <c r="AP1151" t="s">
        <v>418</v>
      </c>
      <c r="AU1151" t="s">
        <v>5359</v>
      </c>
      <c r="AV1151" t="s">
        <v>5360</v>
      </c>
      <c r="AY1151" t="s">
        <v>40</v>
      </c>
      <c r="AZ1151">
        <v>0</v>
      </c>
      <c r="BA1151">
        <v>0</v>
      </c>
      <c r="BI1151" s="5">
        <v>44048.176388888889</v>
      </c>
      <c r="BJ1151" s="5">
        <v>44048.176388888889</v>
      </c>
      <c r="BK1151" t="s">
        <v>778</v>
      </c>
      <c r="BL1151" t="s">
        <v>778</v>
      </c>
      <c r="BN1151" t="s">
        <v>37</v>
      </c>
    </row>
    <row r="1152" spans="1:66" x14ac:dyDescent="0.2">
      <c r="A1152">
        <v>3693709</v>
      </c>
      <c r="B1152">
        <v>21883</v>
      </c>
      <c r="C1152">
        <v>523860</v>
      </c>
      <c r="D1152">
        <v>52899</v>
      </c>
      <c r="E1152">
        <v>100</v>
      </c>
      <c r="F1152" t="s">
        <v>37</v>
      </c>
      <c r="G1152">
        <v>1</v>
      </c>
      <c r="H1152" t="s">
        <v>37</v>
      </c>
      <c r="I1152" t="s">
        <v>37</v>
      </c>
      <c r="J1152" t="s">
        <v>775</v>
      </c>
      <c r="K1152" t="s">
        <v>230</v>
      </c>
      <c r="L1152" t="s">
        <v>226</v>
      </c>
      <c r="M1152" t="s">
        <v>422</v>
      </c>
      <c r="N1152" t="s">
        <v>5361</v>
      </c>
      <c r="O1152" t="s">
        <v>4585</v>
      </c>
      <c r="S1152">
        <v>0</v>
      </c>
      <c r="T1152">
        <v>24</v>
      </c>
      <c r="U1152">
        <v>0</v>
      </c>
      <c r="V1152">
        <v>24</v>
      </c>
      <c r="W1152">
        <v>24</v>
      </c>
      <c r="X1152">
        <v>0</v>
      </c>
      <c r="Y1152">
        <v>0</v>
      </c>
      <c r="Z1152">
        <v>0</v>
      </c>
      <c r="AB1152" s="5">
        <v>43850</v>
      </c>
      <c r="AC1152" s="5">
        <v>43850</v>
      </c>
      <c r="AD1152" s="5">
        <v>43970.333333333336</v>
      </c>
      <c r="AE1152" s="5">
        <v>43970.333333333336</v>
      </c>
      <c r="AG1152" s="5">
        <v>44044</v>
      </c>
      <c r="AH1152" s="5">
        <v>44044</v>
      </c>
      <c r="AK1152" s="5">
        <v>43832.333333333336</v>
      </c>
      <c r="AL1152" s="5">
        <v>43836.666666666664</v>
      </c>
      <c r="AP1152" t="s">
        <v>418</v>
      </c>
      <c r="AU1152" t="s">
        <v>5362</v>
      </c>
      <c r="AV1152" t="s">
        <v>5363</v>
      </c>
      <c r="AY1152" t="s">
        <v>40</v>
      </c>
      <c r="AZ1152">
        <v>0</v>
      </c>
      <c r="BA1152">
        <v>0</v>
      </c>
      <c r="BI1152" s="5">
        <v>44048.176388888889</v>
      </c>
      <c r="BJ1152" s="5">
        <v>44048.176388888889</v>
      </c>
      <c r="BK1152" t="s">
        <v>778</v>
      </c>
      <c r="BL1152" t="s">
        <v>778</v>
      </c>
      <c r="BN1152" t="s">
        <v>37</v>
      </c>
    </row>
    <row r="1153" spans="1:66" x14ac:dyDescent="0.2">
      <c r="A1153">
        <v>3693710</v>
      </c>
      <c r="B1153">
        <v>21883</v>
      </c>
      <c r="C1153">
        <v>523926</v>
      </c>
      <c r="D1153">
        <v>52897</v>
      </c>
      <c r="E1153">
        <v>100</v>
      </c>
      <c r="F1153" t="s">
        <v>37</v>
      </c>
      <c r="G1153">
        <v>1</v>
      </c>
      <c r="H1153" t="s">
        <v>37</v>
      </c>
      <c r="I1153" t="s">
        <v>37</v>
      </c>
      <c r="J1153" t="s">
        <v>775</v>
      </c>
      <c r="K1153" t="s">
        <v>230</v>
      </c>
      <c r="L1153" t="s">
        <v>226</v>
      </c>
      <c r="M1153" t="s">
        <v>422</v>
      </c>
      <c r="N1153" t="s">
        <v>5364</v>
      </c>
      <c r="O1153" t="s">
        <v>5365</v>
      </c>
      <c r="S1153">
        <v>0</v>
      </c>
      <c r="T1153">
        <v>0</v>
      </c>
      <c r="U1153">
        <v>0</v>
      </c>
      <c r="V1153">
        <v>0</v>
      </c>
      <c r="W1153">
        <v>16</v>
      </c>
      <c r="X1153">
        <v>0</v>
      </c>
      <c r="Y1153">
        <v>0</v>
      </c>
      <c r="Z1153">
        <v>0</v>
      </c>
      <c r="AB1153" s="5">
        <v>43999</v>
      </c>
      <c r="AC1153" s="5">
        <v>43999</v>
      </c>
      <c r="AD1153" s="5">
        <v>44054.333333333336</v>
      </c>
      <c r="AE1153" s="5">
        <v>44054.333333333336</v>
      </c>
      <c r="AG1153" s="5">
        <v>44044</v>
      </c>
      <c r="AH1153" s="5">
        <v>44044</v>
      </c>
      <c r="AK1153" s="5">
        <v>44014.333333333336</v>
      </c>
      <c r="AL1153" s="5">
        <v>44018.666666666664</v>
      </c>
      <c r="AP1153" t="s">
        <v>418</v>
      </c>
      <c r="AU1153" t="s">
        <v>5366</v>
      </c>
      <c r="AV1153" t="s">
        <v>5367</v>
      </c>
      <c r="AY1153" t="s">
        <v>37</v>
      </c>
      <c r="AZ1153">
        <v>0</v>
      </c>
      <c r="BA1153">
        <v>0</v>
      </c>
      <c r="BI1153" s="5">
        <v>44048.176388888889</v>
      </c>
      <c r="BJ1153" s="5">
        <v>44048.176388888889</v>
      </c>
      <c r="BK1153" t="s">
        <v>778</v>
      </c>
      <c r="BL1153" t="s">
        <v>778</v>
      </c>
      <c r="BN1153" t="s">
        <v>37</v>
      </c>
    </row>
    <row r="1154" spans="1:66" x14ac:dyDescent="0.2">
      <c r="A1154">
        <v>3693711</v>
      </c>
      <c r="B1154">
        <v>21883</v>
      </c>
      <c r="C1154">
        <v>523926</v>
      </c>
      <c r="D1154">
        <v>52897</v>
      </c>
      <c r="E1154">
        <v>100</v>
      </c>
      <c r="F1154" t="s">
        <v>37</v>
      </c>
      <c r="G1154">
        <v>1</v>
      </c>
      <c r="H1154" t="s">
        <v>37</v>
      </c>
      <c r="I1154" t="s">
        <v>37</v>
      </c>
      <c r="J1154" t="s">
        <v>775</v>
      </c>
      <c r="K1154" t="s">
        <v>230</v>
      </c>
      <c r="L1154" t="s">
        <v>226</v>
      </c>
      <c r="M1154" t="s">
        <v>422</v>
      </c>
      <c r="N1154" t="s">
        <v>5368</v>
      </c>
      <c r="O1154" t="s">
        <v>5369</v>
      </c>
      <c r="S1154">
        <v>0</v>
      </c>
      <c r="T1154">
        <v>0</v>
      </c>
      <c r="U1154">
        <v>0</v>
      </c>
      <c r="V1154">
        <v>0</v>
      </c>
      <c r="W1154">
        <v>16</v>
      </c>
      <c r="X1154">
        <v>0</v>
      </c>
      <c r="Y1154">
        <v>0</v>
      </c>
      <c r="Z1154">
        <v>0</v>
      </c>
      <c r="AB1154" s="5">
        <v>44025</v>
      </c>
      <c r="AC1154" s="5">
        <v>44026</v>
      </c>
      <c r="AD1154" s="5">
        <v>44054.333333333336</v>
      </c>
      <c r="AE1154" s="5">
        <v>44054.333333333336</v>
      </c>
      <c r="AG1154" s="5">
        <v>44044</v>
      </c>
      <c r="AH1154" s="5">
        <v>44044</v>
      </c>
      <c r="AK1154" s="5">
        <v>44026.333333333336</v>
      </c>
      <c r="AL1154" s="5">
        <v>44028.666666666664</v>
      </c>
      <c r="AP1154" t="s">
        <v>418</v>
      </c>
      <c r="AU1154" t="s">
        <v>5370</v>
      </c>
      <c r="AV1154" t="s">
        <v>5371</v>
      </c>
      <c r="AY1154" t="s">
        <v>37</v>
      </c>
      <c r="AZ1154">
        <v>0</v>
      </c>
      <c r="BA1154">
        <v>0</v>
      </c>
      <c r="BI1154" s="5">
        <v>44048.176388888889</v>
      </c>
      <c r="BJ1154" s="5">
        <v>44048.176388888889</v>
      </c>
      <c r="BK1154" t="s">
        <v>778</v>
      </c>
      <c r="BL1154" t="s">
        <v>778</v>
      </c>
      <c r="BN1154" t="s">
        <v>37</v>
      </c>
    </row>
    <row r="1155" spans="1:66" x14ac:dyDescent="0.2">
      <c r="A1155">
        <v>3693712</v>
      </c>
      <c r="B1155">
        <v>21883</v>
      </c>
      <c r="C1155">
        <v>523926</v>
      </c>
      <c r="D1155">
        <v>52897</v>
      </c>
      <c r="E1155">
        <v>100</v>
      </c>
      <c r="F1155" t="s">
        <v>37</v>
      </c>
      <c r="G1155">
        <v>1</v>
      </c>
      <c r="H1155" t="s">
        <v>37</v>
      </c>
      <c r="I1155" t="s">
        <v>37</v>
      </c>
      <c r="J1155" t="s">
        <v>775</v>
      </c>
      <c r="K1155" t="s">
        <v>230</v>
      </c>
      <c r="L1155" t="s">
        <v>226</v>
      </c>
      <c r="M1155" t="s">
        <v>422</v>
      </c>
      <c r="N1155" t="s">
        <v>5372</v>
      </c>
      <c r="O1155" t="s">
        <v>5373</v>
      </c>
      <c r="S1155">
        <v>0</v>
      </c>
      <c r="T1155">
        <v>0</v>
      </c>
      <c r="U1155">
        <v>0</v>
      </c>
      <c r="V1155">
        <v>0</v>
      </c>
      <c r="W1155">
        <v>80</v>
      </c>
      <c r="X1155">
        <v>0</v>
      </c>
      <c r="Y1155">
        <v>0</v>
      </c>
      <c r="Z1155">
        <v>0</v>
      </c>
      <c r="AB1155" s="5">
        <v>44007</v>
      </c>
      <c r="AC1155" s="5">
        <v>44019</v>
      </c>
      <c r="AD1155" s="5">
        <v>44054.333333333336</v>
      </c>
      <c r="AE1155" s="5">
        <v>44054.333333333336</v>
      </c>
      <c r="AG1155" s="5">
        <v>44044</v>
      </c>
      <c r="AH1155" s="5">
        <v>44044</v>
      </c>
      <c r="AK1155" s="5">
        <v>44035.333333333336</v>
      </c>
      <c r="AL1155" s="5">
        <v>44053.666666666664</v>
      </c>
      <c r="AP1155" t="s">
        <v>418</v>
      </c>
      <c r="AU1155" t="s">
        <v>5374</v>
      </c>
      <c r="AV1155" t="s">
        <v>5375</v>
      </c>
      <c r="AY1155" t="s">
        <v>37</v>
      </c>
      <c r="AZ1155">
        <v>0</v>
      </c>
      <c r="BA1155">
        <v>0</v>
      </c>
      <c r="BI1155" s="5">
        <v>44048.176388888889</v>
      </c>
      <c r="BJ1155" s="5">
        <v>44048.176388888889</v>
      </c>
      <c r="BK1155" t="s">
        <v>778</v>
      </c>
      <c r="BL1155" t="s">
        <v>778</v>
      </c>
      <c r="BN1155" t="s">
        <v>37</v>
      </c>
    </row>
    <row r="1156" spans="1:66" x14ac:dyDescent="0.2">
      <c r="A1156">
        <v>3693713</v>
      </c>
      <c r="B1156">
        <v>21883</v>
      </c>
      <c r="C1156">
        <v>523926</v>
      </c>
      <c r="D1156">
        <v>52897</v>
      </c>
      <c r="E1156">
        <v>100</v>
      </c>
      <c r="F1156" t="s">
        <v>37</v>
      </c>
      <c r="G1156">
        <v>1</v>
      </c>
      <c r="H1156" t="s">
        <v>37</v>
      </c>
      <c r="I1156" t="s">
        <v>37</v>
      </c>
      <c r="J1156" t="s">
        <v>775</v>
      </c>
      <c r="K1156" t="s">
        <v>230</v>
      </c>
      <c r="L1156" t="s">
        <v>226</v>
      </c>
      <c r="M1156" t="s">
        <v>422</v>
      </c>
      <c r="N1156" t="s">
        <v>5376</v>
      </c>
      <c r="O1156" t="s">
        <v>5377</v>
      </c>
      <c r="S1156">
        <v>0</v>
      </c>
      <c r="T1156">
        <v>0</v>
      </c>
      <c r="U1156">
        <v>0</v>
      </c>
      <c r="V1156">
        <v>0</v>
      </c>
      <c r="W1156">
        <v>48</v>
      </c>
      <c r="X1156">
        <v>0</v>
      </c>
      <c r="Y1156">
        <v>0</v>
      </c>
      <c r="Z1156">
        <v>0</v>
      </c>
      <c r="AB1156" s="5">
        <v>43977</v>
      </c>
      <c r="AC1156" s="5">
        <v>43985</v>
      </c>
      <c r="AD1156" s="5">
        <v>44054.333333333336</v>
      </c>
      <c r="AE1156" s="5">
        <v>44054.333333333336</v>
      </c>
      <c r="AG1156" s="5">
        <v>44044</v>
      </c>
      <c r="AH1156" s="5">
        <v>44044</v>
      </c>
      <c r="AK1156" s="5">
        <v>44033.333333333336</v>
      </c>
      <c r="AL1156" s="5">
        <v>44043.666666666664</v>
      </c>
      <c r="AP1156" t="s">
        <v>418</v>
      </c>
      <c r="AU1156" t="s">
        <v>5378</v>
      </c>
      <c r="AV1156" t="s">
        <v>5379</v>
      </c>
      <c r="AY1156" t="s">
        <v>37</v>
      </c>
      <c r="AZ1156">
        <v>0</v>
      </c>
      <c r="BA1156">
        <v>0</v>
      </c>
      <c r="BI1156" s="5">
        <v>44048.176388888889</v>
      </c>
      <c r="BJ1156" s="5">
        <v>44048.176388888889</v>
      </c>
      <c r="BK1156" t="s">
        <v>778</v>
      </c>
      <c r="BL1156" t="s">
        <v>778</v>
      </c>
      <c r="BN1156" t="s">
        <v>37</v>
      </c>
    </row>
    <row r="1157" spans="1:66" x14ac:dyDescent="0.2">
      <c r="A1157">
        <v>3693714</v>
      </c>
      <c r="B1157">
        <v>21883</v>
      </c>
      <c r="C1157">
        <v>523926</v>
      </c>
      <c r="D1157">
        <v>52886</v>
      </c>
      <c r="E1157">
        <v>100</v>
      </c>
      <c r="F1157" t="s">
        <v>37</v>
      </c>
      <c r="G1157">
        <v>1</v>
      </c>
      <c r="H1157" t="s">
        <v>37</v>
      </c>
      <c r="I1157" t="s">
        <v>37</v>
      </c>
      <c r="J1157" t="s">
        <v>775</v>
      </c>
      <c r="K1157" t="s">
        <v>230</v>
      </c>
      <c r="L1157" t="s">
        <v>226</v>
      </c>
      <c r="M1157" t="s">
        <v>422</v>
      </c>
      <c r="N1157" t="s">
        <v>5380</v>
      </c>
      <c r="O1157" t="s">
        <v>5381</v>
      </c>
      <c r="S1157">
        <v>0</v>
      </c>
      <c r="T1157">
        <v>0</v>
      </c>
      <c r="U1157">
        <v>0</v>
      </c>
      <c r="V1157">
        <v>0</v>
      </c>
      <c r="W1157">
        <v>32</v>
      </c>
      <c r="X1157">
        <v>0</v>
      </c>
      <c r="Y1157">
        <v>0</v>
      </c>
      <c r="Z1157">
        <v>0</v>
      </c>
      <c r="AB1157" s="5">
        <v>44034</v>
      </c>
      <c r="AC1157" s="5">
        <v>44042</v>
      </c>
      <c r="AD1157" s="5">
        <v>44054.333333333336</v>
      </c>
      <c r="AE1157" s="5">
        <v>44054.333333333336</v>
      </c>
      <c r="AG1157" s="5">
        <v>44044</v>
      </c>
      <c r="AH1157" s="5">
        <v>44044</v>
      </c>
      <c r="AK1157" s="5">
        <v>44042.333333333336</v>
      </c>
      <c r="AL1157" s="5">
        <v>44048.708333333336</v>
      </c>
      <c r="AP1157" t="s">
        <v>418</v>
      </c>
      <c r="AU1157" t="s">
        <v>5382</v>
      </c>
      <c r="AV1157" t="s">
        <v>5383</v>
      </c>
      <c r="AY1157" t="s">
        <v>37</v>
      </c>
      <c r="AZ1157">
        <v>0</v>
      </c>
      <c r="BA1157">
        <v>0</v>
      </c>
      <c r="BI1157" s="5">
        <v>44048.176388888889</v>
      </c>
      <c r="BJ1157" s="5">
        <v>44048.176388888889</v>
      </c>
      <c r="BK1157" t="s">
        <v>778</v>
      </c>
      <c r="BL1157" t="s">
        <v>778</v>
      </c>
      <c r="BN1157" t="s">
        <v>37</v>
      </c>
    </row>
    <row r="1158" spans="1:66" x14ac:dyDescent="0.2">
      <c r="A1158">
        <v>3693715</v>
      </c>
      <c r="B1158">
        <v>21883</v>
      </c>
      <c r="C1158">
        <v>523926</v>
      </c>
      <c r="D1158">
        <v>52897</v>
      </c>
      <c r="E1158">
        <v>0</v>
      </c>
      <c r="F1158" t="s">
        <v>37</v>
      </c>
      <c r="G1158">
        <v>1</v>
      </c>
      <c r="H1158" t="s">
        <v>37</v>
      </c>
      <c r="I1158" t="s">
        <v>37</v>
      </c>
      <c r="J1158" t="s">
        <v>775</v>
      </c>
      <c r="K1158" t="s">
        <v>230</v>
      </c>
      <c r="L1158" t="s">
        <v>226</v>
      </c>
      <c r="M1158" t="s">
        <v>417</v>
      </c>
      <c r="N1158" t="s">
        <v>5384</v>
      </c>
      <c r="O1158" t="s">
        <v>5385</v>
      </c>
      <c r="Q1158">
        <v>32</v>
      </c>
      <c r="R1158">
        <v>0</v>
      </c>
      <c r="S1158">
        <v>48</v>
      </c>
      <c r="T1158">
        <v>0</v>
      </c>
      <c r="U1158">
        <v>0</v>
      </c>
      <c r="V1158">
        <v>0</v>
      </c>
      <c r="W1158">
        <v>48</v>
      </c>
      <c r="X1158">
        <v>0</v>
      </c>
      <c r="Y1158">
        <v>0</v>
      </c>
      <c r="Z1158">
        <v>0</v>
      </c>
      <c r="AD1158" s="5">
        <v>44060.333333333336</v>
      </c>
      <c r="AE1158" s="5">
        <v>44071.666666666664</v>
      </c>
      <c r="AG1158" s="5">
        <v>44050.333333333336</v>
      </c>
      <c r="AH1158" s="5">
        <v>44064.666666666664</v>
      </c>
      <c r="AI1158" s="5">
        <v>44050.333333333336</v>
      </c>
      <c r="AJ1158" s="5">
        <v>44064.666666666664</v>
      </c>
      <c r="AK1158" s="5">
        <v>44050.333333333336</v>
      </c>
      <c r="AL1158" s="5">
        <v>44064.666666666664</v>
      </c>
      <c r="AM1158" s="5">
        <v>44060.333333333336</v>
      </c>
      <c r="AN1158" s="5">
        <v>44071.666666666664</v>
      </c>
      <c r="AP1158" t="s">
        <v>418</v>
      </c>
      <c r="AU1158" t="s">
        <v>5386</v>
      </c>
      <c r="AV1158" t="s">
        <v>5387</v>
      </c>
      <c r="AY1158" t="s">
        <v>37</v>
      </c>
      <c r="AZ1158">
        <v>0</v>
      </c>
      <c r="BA1158">
        <v>0</v>
      </c>
      <c r="BI1158" s="5">
        <v>44048.176388888889</v>
      </c>
      <c r="BJ1158" s="5">
        <v>44048.176388888889</v>
      </c>
      <c r="BK1158" t="s">
        <v>778</v>
      </c>
      <c r="BL1158" t="s">
        <v>778</v>
      </c>
      <c r="BN1158" t="s">
        <v>37</v>
      </c>
    </row>
    <row r="1159" spans="1:66" x14ac:dyDescent="0.2">
      <c r="A1159">
        <v>3693716</v>
      </c>
      <c r="B1159">
        <v>21883</v>
      </c>
      <c r="C1159">
        <v>523926</v>
      </c>
      <c r="D1159">
        <v>52897</v>
      </c>
      <c r="E1159">
        <v>0</v>
      </c>
      <c r="F1159" t="s">
        <v>37</v>
      </c>
      <c r="G1159">
        <v>1</v>
      </c>
      <c r="H1159" t="s">
        <v>37</v>
      </c>
      <c r="I1159" t="s">
        <v>37</v>
      </c>
      <c r="J1159" t="s">
        <v>775</v>
      </c>
      <c r="K1159" t="s">
        <v>230</v>
      </c>
      <c r="L1159" t="s">
        <v>226</v>
      </c>
      <c r="M1159" t="s">
        <v>417</v>
      </c>
      <c r="N1159" t="s">
        <v>5388</v>
      </c>
      <c r="O1159" t="s">
        <v>5389</v>
      </c>
      <c r="Q1159">
        <v>32</v>
      </c>
      <c r="R1159">
        <v>0</v>
      </c>
      <c r="S1159">
        <v>32</v>
      </c>
      <c r="T1159">
        <v>0</v>
      </c>
      <c r="U1159">
        <v>0</v>
      </c>
      <c r="V1159">
        <v>0</v>
      </c>
      <c r="W1159">
        <v>32</v>
      </c>
      <c r="X1159">
        <v>0</v>
      </c>
      <c r="Y1159">
        <v>0</v>
      </c>
      <c r="Z1159">
        <v>0</v>
      </c>
      <c r="AD1159" s="5">
        <v>44069.333333333336</v>
      </c>
      <c r="AE1159" s="5">
        <v>44074.666666666664</v>
      </c>
      <c r="AG1159" s="5">
        <v>44057.333333333336</v>
      </c>
      <c r="AH1159" s="5">
        <v>44067.666666666664</v>
      </c>
      <c r="AI1159" s="5">
        <v>44057.333333333336</v>
      </c>
      <c r="AJ1159" s="5">
        <v>44067.666666666664</v>
      </c>
      <c r="AK1159" s="5">
        <v>44057.333333333336</v>
      </c>
      <c r="AL1159" s="5">
        <v>44067.666666666664</v>
      </c>
      <c r="AM1159" s="5">
        <v>44069.333333333336</v>
      </c>
      <c r="AN1159" s="5">
        <v>44074.666666666664</v>
      </c>
      <c r="AP1159" t="s">
        <v>418</v>
      </c>
      <c r="AU1159" t="s">
        <v>5390</v>
      </c>
      <c r="AV1159" t="s">
        <v>5391</v>
      </c>
      <c r="AY1159" t="s">
        <v>37</v>
      </c>
      <c r="AZ1159">
        <v>0</v>
      </c>
      <c r="BA1159">
        <v>0</v>
      </c>
      <c r="BI1159" s="5">
        <v>44048.176388888889</v>
      </c>
      <c r="BJ1159" s="5">
        <v>44048.176388888889</v>
      </c>
      <c r="BK1159" t="s">
        <v>778</v>
      </c>
      <c r="BL1159" t="s">
        <v>778</v>
      </c>
      <c r="BN1159" t="s">
        <v>37</v>
      </c>
    </row>
    <row r="1160" spans="1:66" x14ac:dyDescent="0.2">
      <c r="A1160">
        <v>3693717</v>
      </c>
      <c r="B1160">
        <v>21883</v>
      </c>
      <c r="C1160">
        <v>523926</v>
      </c>
      <c r="D1160">
        <v>52897</v>
      </c>
      <c r="E1160">
        <v>0</v>
      </c>
      <c r="F1160" t="s">
        <v>37</v>
      </c>
      <c r="G1160">
        <v>1</v>
      </c>
      <c r="H1160" t="s">
        <v>37</v>
      </c>
      <c r="I1160" t="s">
        <v>37</v>
      </c>
      <c r="J1160" t="s">
        <v>775</v>
      </c>
      <c r="K1160" t="s">
        <v>230</v>
      </c>
      <c r="L1160" t="s">
        <v>226</v>
      </c>
      <c r="M1160" t="s">
        <v>417</v>
      </c>
      <c r="N1160" t="s">
        <v>5392</v>
      </c>
      <c r="O1160" t="s">
        <v>5393</v>
      </c>
      <c r="Q1160">
        <v>32</v>
      </c>
      <c r="R1160">
        <v>0</v>
      </c>
      <c r="S1160">
        <v>24</v>
      </c>
      <c r="T1160">
        <v>0</v>
      </c>
      <c r="U1160">
        <v>0</v>
      </c>
      <c r="V1160">
        <v>0</v>
      </c>
      <c r="W1160">
        <v>24</v>
      </c>
      <c r="X1160">
        <v>0</v>
      </c>
      <c r="Y1160">
        <v>0</v>
      </c>
      <c r="Z1160">
        <v>0</v>
      </c>
      <c r="AD1160" s="5">
        <v>44075.333333333336</v>
      </c>
      <c r="AE1160" s="5">
        <v>44077.666666666664</v>
      </c>
      <c r="AG1160" s="5">
        <v>44069.333333333336</v>
      </c>
      <c r="AH1160" s="5">
        <v>44071.666666666664</v>
      </c>
      <c r="AI1160" s="5">
        <v>44069.333333333336</v>
      </c>
      <c r="AJ1160" s="5">
        <v>44071.666666666664</v>
      </c>
      <c r="AK1160" s="5">
        <v>44069.333333333336</v>
      </c>
      <c r="AL1160" s="5">
        <v>44071.666666666664</v>
      </c>
      <c r="AM1160" s="5">
        <v>44075.333333333336</v>
      </c>
      <c r="AN1160" s="5">
        <v>44077.666666666664</v>
      </c>
      <c r="AP1160" t="s">
        <v>418</v>
      </c>
      <c r="AU1160" t="s">
        <v>5394</v>
      </c>
      <c r="AV1160" t="s">
        <v>5395</v>
      </c>
      <c r="AY1160" t="s">
        <v>37</v>
      </c>
      <c r="AZ1160">
        <v>0</v>
      </c>
      <c r="BA1160">
        <v>0</v>
      </c>
      <c r="BI1160" s="5">
        <v>44048.176388888889</v>
      </c>
      <c r="BJ1160" s="5">
        <v>44048.176388888889</v>
      </c>
      <c r="BK1160" t="s">
        <v>778</v>
      </c>
      <c r="BL1160" t="s">
        <v>778</v>
      </c>
      <c r="BN1160" t="s">
        <v>37</v>
      </c>
    </row>
    <row r="1161" spans="1:66" x14ac:dyDescent="0.2">
      <c r="A1161">
        <v>3693718</v>
      </c>
      <c r="B1161">
        <v>21883</v>
      </c>
      <c r="C1161">
        <v>523926</v>
      </c>
      <c r="D1161">
        <v>52897</v>
      </c>
      <c r="E1161">
        <v>0</v>
      </c>
      <c r="F1161" t="s">
        <v>37</v>
      </c>
      <c r="G1161">
        <v>1</v>
      </c>
      <c r="H1161" t="s">
        <v>37</v>
      </c>
      <c r="I1161" t="s">
        <v>37</v>
      </c>
      <c r="J1161" t="s">
        <v>775</v>
      </c>
      <c r="K1161" t="s">
        <v>230</v>
      </c>
      <c r="L1161" t="s">
        <v>226</v>
      </c>
      <c r="M1161" t="s">
        <v>417</v>
      </c>
      <c r="N1161" t="s">
        <v>5396</v>
      </c>
      <c r="O1161" t="s">
        <v>5397</v>
      </c>
      <c r="Q1161">
        <v>32</v>
      </c>
      <c r="R1161">
        <v>0</v>
      </c>
      <c r="S1161">
        <v>80</v>
      </c>
      <c r="T1161">
        <v>0</v>
      </c>
      <c r="U1161">
        <v>0</v>
      </c>
      <c r="V1161">
        <v>0</v>
      </c>
      <c r="W1161">
        <v>80</v>
      </c>
      <c r="X1161">
        <v>14</v>
      </c>
      <c r="Y1161">
        <v>0</v>
      </c>
      <c r="Z1161">
        <v>14</v>
      </c>
      <c r="AD1161" s="5">
        <v>44078.333333333336</v>
      </c>
      <c r="AE1161" s="5">
        <v>44098.666666666664</v>
      </c>
      <c r="AG1161" s="5">
        <v>44074.333333333336</v>
      </c>
      <c r="AH1161" s="5">
        <v>44089.666666666664</v>
      </c>
      <c r="AI1161" s="5">
        <v>44074.333333333336</v>
      </c>
      <c r="AJ1161" s="5">
        <v>44089.666666666664</v>
      </c>
      <c r="AK1161" s="5">
        <v>44074.333333333336</v>
      </c>
      <c r="AL1161" s="5">
        <v>44089.666666666664</v>
      </c>
      <c r="AM1161" s="5">
        <v>44078.333333333336</v>
      </c>
      <c r="AN1161" s="5">
        <v>44098.666666666664</v>
      </c>
      <c r="AP1161" t="s">
        <v>418</v>
      </c>
      <c r="AU1161" t="s">
        <v>5398</v>
      </c>
      <c r="AV1161" t="s">
        <v>5399</v>
      </c>
      <c r="AY1161" t="s">
        <v>37</v>
      </c>
      <c r="AZ1161">
        <v>0</v>
      </c>
      <c r="BA1161">
        <v>0</v>
      </c>
      <c r="BI1161" s="5">
        <v>44048.176388888889</v>
      </c>
      <c r="BJ1161" s="5">
        <v>44048.176388888889</v>
      </c>
      <c r="BK1161" t="s">
        <v>778</v>
      </c>
      <c r="BL1161" t="s">
        <v>778</v>
      </c>
      <c r="BN1161" t="s">
        <v>37</v>
      </c>
    </row>
    <row r="1162" spans="1:66" x14ac:dyDescent="0.2">
      <c r="A1162">
        <v>3693719</v>
      </c>
      <c r="B1162">
        <v>21883</v>
      </c>
      <c r="C1162">
        <v>523926</v>
      </c>
      <c r="D1162">
        <v>52897</v>
      </c>
      <c r="E1162">
        <v>0</v>
      </c>
      <c r="F1162" t="s">
        <v>37</v>
      </c>
      <c r="G1162">
        <v>1</v>
      </c>
      <c r="H1162" t="s">
        <v>37</v>
      </c>
      <c r="I1162" t="s">
        <v>37</v>
      </c>
      <c r="J1162" t="s">
        <v>775</v>
      </c>
      <c r="K1162" t="s">
        <v>230</v>
      </c>
      <c r="L1162" t="s">
        <v>226</v>
      </c>
      <c r="M1162" t="s">
        <v>417</v>
      </c>
      <c r="N1162" t="s">
        <v>5400</v>
      </c>
      <c r="O1162" t="s">
        <v>5401</v>
      </c>
      <c r="Q1162">
        <v>32</v>
      </c>
      <c r="R1162">
        <v>0</v>
      </c>
      <c r="S1162">
        <v>24</v>
      </c>
      <c r="T1162">
        <v>0</v>
      </c>
      <c r="U1162">
        <v>0</v>
      </c>
      <c r="V1162">
        <v>0</v>
      </c>
      <c r="W1162">
        <v>24</v>
      </c>
      <c r="X1162">
        <v>0</v>
      </c>
      <c r="Y1162">
        <v>0</v>
      </c>
      <c r="Z1162">
        <v>0</v>
      </c>
      <c r="AD1162" s="5">
        <v>44099.333333333336</v>
      </c>
      <c r="AE1162" s="5">
        <v>44104.666666666664</v>
      </c>
      <c r="AG1162" s="5">
        <v>44090.333333333336</v>
      </c>
      <c r="AH1162" s="5">
        <v>44096.666666666664</v>
      </c>
      <c r="AI1162" s="5">
        <v>44090.333333333336</v>
      </c>
      <c r="AJ1162" s="5">
        <v>44096.666666666664</v>
      </c>
      <c r="AK1162" s="5">
        <v>44090.333333333336</v>
      </c>
      <c r="AL1162" s="5">
        <v>44096.666666666664</v>
      </c>
      <c r="AM1162" s="5">
        <v>44099.333333333336</v>
      </c>
      <c r="AN1162" s="5">
        <v>44104.666666666664</v>
      </c>
      <c r="AP1162" t="s">
        <v>418</v>
      </c>
      <c r="AU1162" t="s">
        <v>5402</v>
      </c>
      <c r="AV1162" t="s">
        <v>5403</v>
      </c>
      <c r="AY1162" t="s">
        <v>37</v>
      </c>
      <c r="AZ1162">
        <v>0</v>
      </c>
      <c r="BA1162">
        <v>0</v>
      </c>
      <c r="BI1162" s="5">
        <v>44048.176388888889</v>
      </c>
      <c r="BJ1162" s="5">
        <v>44048.176388888889</v>
      </c>
      <c r="BK1162" t="s">
        <v>778</v>
      </c>
      <c r="BL1162" t="s">
        <v>778</v>
      </c>
      <c r="BN1162" t="s">
        <v>37</v>
      </c>
    </row>
    <row r="1163" spans="1:66" x14ac:dyDescent="0.2">
      <c r="A1163">
        <v>3693720</v>
      </c>
      <c r="B1163">
        <v>21883</v>
      </c>
      <c r="C1163">
        <v>523926</v>
      </c>
      <c r="D1163">
        <v>52897</v>
      </c>
      <c r="E1163">
        <v>0</v>
      </c>
      <c r="F1163" t="s">
        <v>37</v>
      </c>
      <c r="G1163">
        <v>1</v>
      </c>
      <c r="H1163" t="s">
        <v>37</v>
      </c>
      <c r="I1163" t="s">
        <v>37</v>
      </c>
      <c r="J1163" t="s">
        <v>775</v>
      </c>
      <c r="K1163" t="s">
        <v>230</v>
      </c>
      <c r="L1163" t="s">
        <v>226</v>
      </c>
      <c r="M1163" t="s">
        <v>417</v>
      </c>
      <c r="N1163" t="s">
        <v>5404</v>
      </c>
      <c r="O1163" t="s">
        <v>5405</v>
      </c>
      <c r="Q1163">
        <v>32</v>
      </c>
      <c r="R1163">
        <v>0</v>
      </c>
      <c r="S1163">
        <v>16</v>
      </c>
      <c r="T1163">
        <v>0</v>
      </c>
      <c r="U1163">
        <v>0</v>
      </c>
      <c r="V1163">
        <v>0</v>
      </c>
      <c r="W1163">
        <v>16</v>
      </c>
      <c r="X1163">
        <v>0</v>
      </c>
      <c r="Y1163">
        <v>0</v>
      </c>
      <c r="Z1163">
        <v>0</v>
      </c>
      <c r="AD1163" s="5">
        <v>44106.333333333336</v>
      </c>
      <c r="AE1163" s="5">
        <v>44109.666666666664</v>
      </c>
      <c r="AG1163" s="5">
        <v>44098.333333333336</v>
      </c>
      <c r="AH1163" s="5">
        <v>44099.666666666664</v>
      </c>
      <c r="AI1163" s="5">
        <v>44098.333333333336</v>
      </c>
      <c r="AJ1163" s="5">
        <v>44099.666666666664</v>
      </c>
      <c r="AK1163" s="5">
        <v>44098.333333333336</v>
      </c>
      <c r="AL1163" s="5">
        <v>44099.666666666664</v>
      </c>
      <c r="AM1163" s="5">
        <v>44106.333333333336</v>
      </c>
      <c r="AN1163" s="5">
        <v>44109.666666666664</v>
      </c>
      <c r="AP1163" t="s">
        <v>418</v>
      </c>
      <c r="AU1163" t="s">
        <v>5406</v>
      </c>
      <c r="AV1163" t="s">
        <v>5407</v>
      </c>
      <c r="AY1163" t="s">
        <v>37</v>
      </c>
      <c r="AZ1163">
        <v>0</v>
      </c>
      <c r="BA1163">
        <v>0</v>
      </c>
      <c r="BI1163" s="5">
        <v>44048.176388888889</v>
      </c>
      <c r="BJ1163" s="5">
        <v>44048.176388888889</v>
      </c>
      <c r="BK1163" t="s">
        <v>778</v>
      </c>
      <c r="BL1163" t="s">
        <v>778</v>
      </c>
      <c r="BN1163" t="s">
        <v>37</v>
      </c>
    </row>
    <row r="1164" spans="1:66" x14ac:dyDescent="0.2">
      <c r="A1164">
        <v>3693721</v>
      </c>
      <c r="B1164">
        <v>21883</v>
      </c>
      <c r="C1164">
        <v>523926</v>
      </c>
      <c r="D1164">
        <v>52899</v>
      </c>
      <c r="E1164">
        <v>0</v>
      </c>
      <c r="F1164" t="s">
        <v>37</v>
      </c>
      <c r="G1164">
        <v>1</v>
      </c>
      <c r="H1164" t="s">
        <v>37</v>
      </c>
      <c r="I1164" t="s">
        <v>37</v>
      </c>
      <c r="J1164" t="s">
        <v>775</v>
      </c>
      <c r="K1164" t="s">
        <v>230</v>
      </c>
      <c r="L1164" t="s">
        <v>226</v>
      </c>
      <c r="M1164" t="s">
        <v>417</v>
      </c>
      <c r="N1164" t="s">
        <v>5408</v>
      </c>
      <c r="O1164" t="s">
        <v>5409</v>
      </c>
      <c r="Q1164">
        <v>32</v>
      </c>
      <c r="R1164">
        <v>360</v>
      </c>
      <c r="S1164">
        <v>24</v>
      </c>
      <c r="T1164">
        <v>0</v>
      </c>
      <c r="U1164">
        <v>0</v>
      </c>
      <c r="V1164">
        <v>0</v>
      </c>
      <c r="W1164">
        <v>24</v>
      </c>
      <c r="X1164">
        <v>0</v>
      </c>
      <c r="Y1164">
        <v>0</v>
      </c>
      <c r="Z1164">
        <v>0</v>
      </c>
      <c r="AD1164" s="5">
        <v>44110.333333333336</v>
      </c>
      <c r="AE1164" s="5">
        <v>44113.666666666664</v>
      </c>
      <c r="AG1164" s="5">
        <v>44102.333333333336</v>
      </c>
      <c r="AH1164" s="5">
        <v>44105.666666666664</v>
      </c>
      <c r="AI1164" s="5">
        <v>44102.333333333336</v>
      </c>
      <c r="AJ1164" s="5">
        <v>44105.666666666664</v>
      </c>
      <c r="AK1164" s="5">
        <v>44102.333333333336</v>
      </c>
      <c r="AL1164" s="5">
        <v>44105.666666666664</v>
      </c>
      <c r="AM1164" s="5">
        <v>44110.333333333336</v>
      </c>
      <c r="AN1164" s="5">
        <v>44113.666666666664</v>
      </c>
      <c r="AP1164" t="s">
        <v>418</v>
      </c>
      <c r="AU1164" t="s">
        <v>5410</v>
      </c>
      <c r="AV1164" t="s">
        <v>5411</v>
      </c>
      <c r="AY1164" t="s">
        <v>37</v>
      </c>
      <c r="AZ1164">
        <v>0</v>
      </c>
      <c r="BA1164">
        <v>0</v>
      </c>
      <c r="BI1164" s="5">
        <v>44048.176388888889</v>
      </c>
      <c r="BJ1164" s="5">
        <v>44048.176388888889</v>
      </c>
      <c r="BK1164" t="s">
        <v>778</v>
      </c>
      <c r="BL1164" t="s">
        <v>778</v>
      </c>
      <c r="BN1164" t="s">
        <v>37</v>
      </c>
    </row>
    <row r="1165" spans="1:66" x14ac:dyDescent="0.2">
      <c r="A1165">
        <v>3693722</v>
      </c>
      <c r="B1165">
        <v>21883</v>
      </c>
      <c r="C1165">
        <v>523999</v>
      </c>
      <c r="D1165">
        <v>52899</v>
      </c>
      <c r="E1165">
        <v>100</v>
      </c>
      <c r="F1165" t="s">
        <v>37</v>
      </c>
      <c r="G1165">
        <v>1</v>
      </c>
      <c r="H1165" t="s">
        <v>37</v>
      </c>
      <c r="I1165" t="s">
        <v>37</v>
      </c>
      <c r="J1165" t="s">
        <v>775</v>
      </c>
      <c r="K1165" t="s">
        <v>230</v>
      </c>
      <c r="L1165" t="s">
        <v>226</v>
      </c>
      <c r="M1165" t="s">
        <v>422</v>
      </c>
      <c r="N1165" t="s">
        <v>5412</v>
      </c>
      <c r="O1165" t="s">
        <v>5413</v>
      </c>
      <c r="S1165">
        <v>0</v>
      </c>
      <c r="T1165">
        <v>0</v>
      </c>
      <c r="U1165">
        <v>0</v>
      </c>
      <c r="V1165">
        <v>0</v>
      </c>
      <c r="W1165">
        <v>16</v>
      </c>
      <c r="X1165">
        <v>0</v>
      </c>
      <c r="Y1165">
        <v>0</v>
      </c>
      <c r="Z1165">
        <v>0</v>
      </c>
      <c r="AB1165" s="5">
        <v>43677</v>
      </c>
      <c r="AC1165" s="5">
        <v>43677</v>
      </c>
      <c r="AD1165" s="5">
        <v>44306.666666666664</v>
      </c>
      <c r="AE1165" s="5">
        <v>44306.666666666664</v>
      </c>
      <c r="AG1165" s="5">
        <v>44044</v>
      </c>
      <c r="AH1165" s="5">
        <v>44044</v>
      </c>
      <c r="AK1165" s="5">
        <v>43923.333333333336</v>
      </c>
      <c r="AL1165" s="5">
        <v>43924.666666666664</v>
      </c>
      <c r="AP1165" t="s">
        <v>418</v>
      </c>
      <c r="AU1165" t="s">
        <v>2215</v>
      </c>
      <c r="AV1165" t="s">
        <v>5414</v>
      </c>
      <c r="AY1165" t="s">
        <v>37</v>
      </c>
      <c r="AZ1165">
        <v>0</v>
      </c>
      <c r="BA1165">
        <v>0</v>
      </c>
      <c r="BI1165" s="5">
        <v>44048.176388888889</v>
      </c>
      <c r="BJ1165" s="5">
        <v>44048.176388888889</v>
      </c>
      <c r="BK1165" t="s">
        <v>778</v>
      </c>
      <c r="BL1165" t="s">
        <v>778</v>
      </c>
      <c r="BN1165" t="s">
        <v>37</v>
      </c>
    </row>
    <row r="1166" spans="1:66" x14ac:dyDescent="0.2">
      <c r="A1166">
        <v>3693723</v>
      </c>
      <c r="B1166">
        <v>21883</v>
      </c>
      <c r="C1166">
        <v>523999</v>
      </c>
      <c r="D1166">
        <v>52898</v>
      </c>
      <c r="E1166">
        <v>100</v>
      </c>
      <c r="F1166" t="s">
        <v>37</v>
      </c>
      <c r="G1166">
        <v>1</v>
      </c>
      <c r="H1166" t="s">
        <v>37</v>
      </c>
      <c r="I1166" t="s">
        <v>37</v>
      </c>
      <c r="J1166" t="s">
        <v>775</v>
      </c>
      <c r="K1166" t="s">
        <v>230</v>
      </c>
      <c r="L1166" t="s">
        <v>226</v>
      </c>
      <c r="M1166" t="s">
        <v>422</v>
      </c>
      <c r="N1166" t="s">
        <v>5415</v>
      </c>
      <c r="O1166" t="s">
        <v>5416</v>
      </c>
      <c r="S1166">
        <v>0</v>
      </c>
      <c r="T1166">
        <v>0</v>
      </c>
      <c r="U1166">
        <v>0</v>
      </c>
      <c r="V1166">
        <v>0</v>
      </c>
      <c r="W1166">
        <v>8</v>
      </c>
      <c r="X1166">
        <v>0</v>
      </c>
      <c r="Y1166">
        <v>0</v>
      </c>
      <c r="Z1166">
        <v>0</v>
      </c>
      <c r="AB1166" s="5">
        <v>43677</v>
      </c>
      <c r="AC1166" s="5">
        <v>43677</v>
      </c>
      <c r="AD1166" s="5">
        <v>44306.666666666664</v>
      </c>
      <c r="AE1166" s="5">
        <v>44306.666666666664</v>
      </c>
      <c r="AG1166" s="5">
        <v>44044</v>
      </c>
      <c r="AH1166" s="5">
        <v>44044</v>
      </c>
      <c r="AK1166" s="5">
        <v>43924.333333333336</v>
      </c>
      <c r="AL1166" s="5">
        <v>43924.666666666664</v>
      </c>
      <c r="AP1166" t="s">
        <v>418</v>
      </c>
      <c r="AU1166" t="s">
        <v>2218</v>
      </c>
      <c r="AV1166" t="s">
        <v>5417</v>
      </c>
      <c r="AY1166" t="s">
        <v>37</v>
      </c>
      <c r="AZ1166">
        <v>0</v>
      </c>
      <c r="BA1166">
        <v>0</v>
      </c>
      <c r="BI1166" s="5">
        <v>44048.176388888889</v>
      </c>
      <c r="BJ1166" s="5">
        <v>44048.176388888889</v>
      </c>
      <c r="BK1166" t="s">
        <v>778</v>
      </c>
      <c r="BL1166" t="s">
        <v>778</v>
      </c>
      <c r="BN1166" t="s">
        <v>37</v>
      </c>
    </row>
    <row r="1167" spans="1:66" x14ac:dyDescent="0.2">
      <c r="A1167">
        <v>3693724</v>
      </c>
      <c r="B1167">
        <v>21883</v>
      </c>
      <c r="C1167">
        <v>523999</v>
      </c>
      <c r="D1167">
        <v>52897</v>
      </c>
      <c r="E1167">
        <v>100</v>
      </c>
      <c r="F1167" t="s">
        <v>37</v>
      </c>
      <c r="G1167">
        <v>1</v>
      </c>
      <c r="H1167" t="s">
        <v>37</v>
      </c>
      <c r="I1167" t="s">
        <v>37</v>
      </c>
      <c r="J1167" t="s">
        <v>775</v>
      </c>
      <c r="K1167" t="s">
        <v>230</v>
      </c>
      <c r="L1167" t="s">
        <v>226</v>
      </c>
      <c r="M1167" t="s">
        <v>422</v>
      </c>
      <c r="N1167" t="s">
        <v>5418</v>
      </c>
      <c r="O1167" t="s">
        <v>5419</v>
      </c>
      <c r="S1167">
        <v>0</v>
      </c>
      <c r="T1167">
        <v>0</v>
      </c>
      <c r="U1167">
        <v>0</v>
      </c>
      <c r="V1167">
        <v>0</v>
      </c>
      <c r="W1167">
        <v>40</v>
      </c>
      <c r="X1167">
        <v>0</v>
      </c>
      <c r="Y1167">
        <v>0</v>
      </c>
      <c r="Z1167">
        <v>0</v>
      </c>
      <c r="AB1167" s="5">
        <v>43677</v>
      </c>
      <c r="AC1167" s="5">
        <v>43677</v>
      </c>
      <c r="AD1167" s="5">
        <v>44306.666666666664</v>
      </c>
      <c r="AE1167" s="5">
        <v>44306.666666666664</v>
      </c>
      <c r="AG1167" s="5">
        <v>44044</v>
      </c>
      <c r="AH1167" s="5">
        <v>44044</v>
      </c>
      <c r="AK1167" s="5">
        <v>43929.333333333336</v>
      </c>
      <c r="AL1167" s="5">
        <v>43937.666666666664</v>
      </c>
      <c r="AP1167" t="s">
        <v>418</v>
      </c>
      <c r="AU1167" t="s">
        <v>2221</v>
      </c>
      <c r="AV1167" t="s">
        <v>5420</v>
      </c>
      <c r="AY1167" t="s">
        <v>37</v>
      </c>
      <c r="AZ1167">
        <v>0</v>
      </c>
      <c r="BA1167">
        <v>0</v>
      </c>
      <c r="BI1167" s="5">
        <v>44048.176388888889</v>
      </c>
      <c r="BJ1167" s="5">
        <v>44048.176388888889</v>
      </c>
      <c r="BK1167" t="s">
        <v>778</v>
      </c>
      <c r="BL1167" t="s">
        <v>778</v>
      </c>
      <c r="BN1167" t="s">
        <v>37</v>
      </c>
    </row>
    <row r="1168" spans="1:66" x14ac:dyDescent="0.2">
      <c r="A1168">
        <v>3693725</v>
      </c>
      <c r="B1168">
        <v>21883</v>
      </c>
      <c r="C1168">
        <v>523999</v>
      </c>
      <c r="D1168">
        <v>52897</v>
      </c>
      <c r="E1168">
        <v>100</v>
      </c>
      <c r="F1168" t="s">
        <v>37</v>
      </c>
      <c r="G1168">
        <v>1</v>
      </c>
      <c r="H1168" t="s">
        <v>37</v>
      </c>
      <c r="I1168" t="s">
        <v>37</v>
      </c>
      <c r="J1168" t="s">
        <v>775</v>
      </c>
      <c r="K1168" t="s">
        <v>230</v>
      </c>
      <c r="L1168" t="s">
        <v>226</v>
      </c>
      <c r="M1168" t="s">
        <v>422</v>
      </c>
      <c r="N1168" t="s">
        <v>5421</v>
      </c>
      <c r="O1168" t="s">
        <v>5422</v>
      </c>
      <c r="S1168">
        <v>0</v>
      </c>
      <c r="T1168">
        <v>0</v>
      </c>
      <c r="U1168">
        <v>0</v>
      </c>
      <c r="V1168">
        <v>0</v>
      </c>
      <c r="W1168">
        <v>64</v>
      </c>
      <c r="X1168">
        <v>0</v>
      </c>
      <c r="Y1168">
        <v>0</v>
      </c>
      <c r="Z1168">
        <v>0</v>
      </c>
      <c r="AB1168" s="5">
        <v>43677</v>
      </c>
      <c r="AC1168" s="5">
        <v>43677</v>
      </c>
      <c r="AD1168" s="5">
        <v>44306.666666666664</v>
      </c>
      <c r="AE1168" s="5">
        <v>44306.666666666664</v>
      </c>
      <c r="AG1168" s="5">
        <v>44044</v>
      </c>
      <c r="AH1168" s="5">
        <v>44044</v>
      </c>
      <c r="AK1168" s="5">
        <v>43938.333333333336</v>
      </c>
      <c r="AL1168" s="5">
        <v>43952.666666666664</v>
      </c>
      <c r="AP1168" t="s">
        <v>418</v>
      </c>
      <c r="AU1168" t="s">
        <v>2224</v>
      </c>
      <c r="AV1168" t="s">
        <v>5423</v>
      </c>
      <c r="AY1168" t="s">
        <v>37</v>
      </c>
      <c r="AZ1168">
        <v>0</v>
      </c>
      <c r="BA1168">
        <v>0</v>
      </c>
      <c r="BI1168" s="5">
        <v>44048.176388888889</v>
      </c>
      <c r="BJ1168" s="5">
        <v>44048.176388888889</v>
      </c>
      <c r="BK1168" t="s">
        <v>778</v>
      </c>
      <c r="BL1168" t="s">
        <v>778</v>
      </c>
      <c r="BN1168" t="s">
        <v>37</v>
      </c>
    </row>
    <row r="1169" spans="1:66" x14ac:dyDescent="0.2">
      <c r="A1169">
        <v>3693726</v>
      </c>
      <c r="B1169">
        <v>21883</v>
      </c>
      <c r="C1169">
        <v>523999</v>
      </c>
      <c r="D1169">
        <v>52898</v>
      </c>
      <c r="E1169">
        <v>100</v>
      </c>
      <c r="F1169" t="s">
        <v>37</v>
      </c>
      <c r="G1169">
        <v>1</v>
      </c>
      <c r="H1169" t="s">
        <v>37</v>
      </c>
      <c r="I1169" t="s">
        <v>37</v>
      </c>
      <c r="J1169" t="s">
        <v>775</v>
      </c>
      <c r="K1169" t="s">
        <v>230</v>
      </c>
      <c r="L1169" t="s">
        <v>226</v>
      </c>
      <c r="M1169" t="s">
        <v>422</v>
      </c>
      <c r="N1169" t="s">
        <v>5424</v>
      </c>
      <c r="O1169" t="s">
        <v>5425</v>
      </c>
      <c r="S1169">
        <v>0</v>
      </c>
      <c r="T1169">
        <v>0</v>
      </c>
      <c r="U1169">
        <v>0</v>
      </c>
      <c r="V1169">
        <v>0</v>
      </c>
      <c r="W1169">
        <v>16</v>
      </c>
      <c r="X1169">
        <v>0</v>
      </c>
      <c r="Y1169">
        <v>0</v>
      </c>
      <c r="Z1169">
        <v>0</v>
      </c>
      <c r="AB1169" s="5">
        <v>43677</v>
      </c>
      <c r="AC1169" s="5">
        <v>43677</v>
      </c>
      <c r="AD1169" s="5">
        <v>44306.666666666664</v>
      </c>
      <c r="AE1169" s="5">
        <v>44306.666666666664</v>
      </c>
      <c r="AG1169" s="5">
        <v>44044</v>
      </c>
      <c r="AH1169" s="5">
        <v>44044</v>
      </c>
      <c r="AK1169" s="5">
        <v>43966.333333333336</v>
      </c>
      <c r="AL1169" s="5">
        <v>43969.666666666664</v>
      </c>
      <c r="AP1169" t="s">
        <v>418</v>
      </c>
      <c r="AU1169" t="s">
        <v>2227</v>
      </c>
      <c r="AV1169" t="s">
        <v>5426</v>
      </c>
      <c r="AY1169" t="s">
        <v>37</v>
      </c>
      <c r="AZ1169">
        <v>0</v>
      </c>
      <c r="BA1169">
        <v>0</v>
      </c>
      <c r="BI1169" s="5">
        <v>44048.176388888889</v>
      </c>
      <c r="BJ1169" s="5">
        <v>44048.176388888889</v>
      </c>
      <c r="BK1169" t="s">
        <v>778</v>
      </c>
      <c r="BL1169" t="s">
        <v>778</v>
      </c>
      <c r="BN1169" t="s">
        <v>37</v>
      </c>
    </row>
    <row r="1170" spans="1:66" x14ac:dyDescent="0.2">
      <c r="A1170">
        <v>3693727</v>
      </c>
      <c r="B1170">
        <v>21883</v>
      </c>
      <c r="C1170">
        <v>523999</v>
      </c>
      <c r="D1170">
        <v>52897</v>
      </c>
      <c r="E1170">
        <v>100</v>
      </c>
      <c r="F1170" t="s">
        <v>37</v>
      </c>
      <c r="G1170">
        <v>1</v>
      </c>
      <c r="H1170" t="s">
        <v>37</v>
      </c>
      <c r="I1170" t="s">
        <v>37</v>
      </c>
      <c r="J1170" t="s">
        <v>775</v>
      </c>
      <c r="K1170" t="s">
        <v>230</v>
      </c>
      <c r="L1170" t="s">
        <v>226</v>
      </c>
      <c r="M1170" t="s">
        <v>422</v>
      </c>
      <c r="N1170" t="s">
        <v>5427</v>
      </c>
      <c r="O1170" t="s">
        <v>5428</v>
      </c>
      <c r="S1170">
        <v>0</v>
      </c>
      <c r="T1170">
        <v>0</v>
      </c>
      <c r="U1170">
        <v>0</v>
      </c>
      <c r="V1170">
        <v>0</v>
      </c>
      <c r="W1170">
        <v>24</v>
      </c>
      <c r="X1170">
        <v>0</v>
      </c>
      <c r="Y1170">
        <v>0</v>
      </c>
      <c r="Z1170">
        <v>0</v>
      </c>
      <c r="AB1170" s="5">
        <v>43677</v>
      </c>
      <c r="AC1170" s="5">
        <v>43677</v>
      </c>
      <c r="AD1170" s="5">
        <v>44306.666666666664</v>
      </c>
      <c r="AE1170" s="5">
        <v>44306.666666666664</v>
      </c>
      <c r="AG1170" s="5">
        <v>44044</v>
      </c>
      <c r="AH1170" s="5">
        <v>44044</v>
      </c>
      <c r="AK1170" s="5">
        <v>43970.333333333336</v>
      </c>
      <c r="AL1170" s="5">
        <v>43977.666666666664</v>
      </c>
      <c r="AP1170" t="s">
        <v>418</v>
      </c>
      <c r="AU1170" t="s">
        <v>2230</v>
      </c>
      <c r="AV1170" t="s">
        <v>5429</v>
      </c>
      <c r="AY1170" t="s">
        <v>37</v>
      </c>
      <c r="AZ1170">
        <v>0</v>
      </c>
      <c r="BA1170">
        <v>0</v>
      </c>
      <c r="BI1170" s="5">
        <v>44048.176388888889</v>
      </c>
      <c r="BJ1170" s="5">
        <v>44048.176388888889</v>
      </c>
      <c r="BK1170" t="s">
        <v>778</v>
      </c>
      <c r="BL1170" t="s">
        <v>778</v>
      </c>
      <c r="BN1170" t="s">
        <v>37</v>
      </c>
    </row>
    <row r="1171" spans="1:66" x14ac:dyDescent="0.2">
      <c r="A1171">
        <v>3693728</v>
      </c>
      <c r="B1171">
        <v>21883</v>
      </c>
      <c r="C1171">
        <v>523999</v>
      </c>
      <c r="D1171">
        <v>52897</v>
      </c>
      <c r="E1171">
        <v>100</v>
      </c>
      <c r="F1171" t="s">
        <v>37</v>
      </c>
      <c r="G1171">
        <v>1</v>
      </c>
      <c r="H1171" t="s">
        <v>37</v>
      </c>
      <c r="I1171" t="s">
        <v>37</v>
      </c>
      <c r="J1171" t="s">
        <v>775</v>
      </c>
      <c r="K1171" t="s">
        <v>230</v>
      </c>
      <c r="L1171" t="s">
        <v>226</v>
      </c>
      <c r="M1171" t="s">
        <v>422</v>
      </c>
      <c r="N1171" t="s">
        <v>5430</v>
      </c>
      <c r="O1171" t="s">
        <v>5431</v>
      </c>
      <c r="S1171">
        <v>0</v>
      </c>
      <c r="T1171">
        <v>0</v>
      </c>
      <c r="U1171">
        <v>0</v>
      </c>
      <c r="V1171">
        <v>0</v>
      </c>
      <c r="W1171">
        <v>16</v>
      </c>
      <c r="X1171">
        <v>0</v>
      </c>
      <c r="Y1171">
        <v>0</v>
      </c>
      <c r="Z1171">
        <v>0</v>
      </c>
      <c r="AB1171" s="5">
        <v>43677</v>
      </c>
      <c r="AC1171" s="5">
        <v>43677</v>
      </c>
      <c r="AD1171" s="5">
        <v>44306.666666666664</v>
      </c>
      <c r="AE1171" s="5">
        <v>44306.666666666664</v>
      </c>
      <c r="AG1171" s="5">
        <v>44044</v>
      </c>
      <c r="AH1171" s="5">
        <v>44044</v>
      </c>
      <c r="AK1171" s="5">
        <v>43977.333333333336</v>
      </c>
      <c r="AL1171" s="5">
        <v>43978.666666666664</v>
      </c>
      <c r="AP1171" t="s">
        <v>418</v>
      </c>
      <c r="AU1171" t="s">
        <v>2233</v>
      </c>
      <c r="AV1171" t="s">
        <v>5432</v>
      </c>
      <c r="AY1171" t="s">
        <v>37</v>
      </c>
      <c r="AZ1171">
        <v>0</v>
      </c>
      <c r="BA1171">
        <v>0</v>
      </c>
      <c r="BI1171" s="5">
        <v>44048.176388888889</v>
      </c>
      <c r="BJ1171" s="5">
        <v>44048.176388888889</v>
      </c>
      <c r="BK1171" t="s">
        <v>778</v>
      </c>
      <c r="BL1171" t="s">
        <v>778</v>
      </c>
      <c r="BN1171" t="s">
        <v>37</v>
      </c>
    </row>
    <row r="1172" spans="1:66" x14ac:dyDescent="0.2">
      <c r="A1172">
        <v>3693729</v>
      </c>
      <c r="B1172">
        <v>21883</v>
      </c>
      <c r="C1172">
        <v>523999</v>
      </c>
      <c r="D1172">
        <v>52898</v>
      </c>
      <c r="E1172">
        <v>100</v>
      </c>
      <c r="F1172" t="s">
        <v>37</v>
      </c>
      <c r="G1172">
        <v>1</v>
      </c>
      <c r="H1172" t="s">
        <v>37</v>
      </c>
      <c r="I1172" t="s">
        <v>37</v>
      </c>
      <c r="J1172" t="s">
        <v>775</v>
      </c>
      <c r="K1172" t="s">
        <v>230</v>
      </c>
      <c r="L1172" t="s">
        <v>226</v>
      </c>
      <c r="M1172" t="s">
        <v>422</v>
      </c>
      <c r="N1172" t="s">
        <v>5433</v>
      </c>
      <c r="O1172" t="s">
        <v>5434</v>
      </c>
      <c r="S1172">
        <v>0</v>
      </c>
      <c r="T1172">
        <v>0</v>
      </c>
      <c r="U1172">
        <v>0</v>
      </c>
      <c r="V1172">
        <v>0</v>
      </c>
      <c r="W1172">
        <v>16</v>
      </c>
      <c r="X1172">
        <v>0</v>
      </c>
      <c r="Y1172">
        <v>0</v>
      </c>
      <c r="Z1172">
        <v>0</v>
      </c>
      <c r="AB1172" s="5">
        <v>43677</v>
      </c>
      <c r="AC1172" s="5">
        <v>43677</v>
      </c>
      <c r="AD1172" s="5">
        <v>44306.666666666664</v>
      </c>
      <c r="AE1172" s="5">
        <v>44306.666666666664</v>
      </c>
      <c r="AG1172" s="5">
        <v>44044</v>
      </c>
      <c r="AH1172" s="5">
        <v>44044</v>
      </c>
      <c r="AK1172" s="5">
        <v>43979.333333333336</v>
      </c>
      <c r="AL1172" s="5">
        <v>43980.666666666664</v>
      </c>
      <c r="AP1172" t="s">
        <v>418</v>
      </c>
      <c r="AU1172" t="s">
        <v>2236</v>
      </c>
      <c r="AV1172" t="s">
        <v>5435</v>
      </c>
      <c r="AY1172" t="s">
        <v>37</v>
      </c>
      <c r="AZ1172">
        <v>0</v>
      </c>
      <c r="BA1172">
        <v>0</v>
      </c>
      <c r="BI1172" s="5">
        <v>44048.176388888889</v>
      </c>
      <c r="BJ1172" s="5">
        <v>44048.176388888889</v>
      </c>
      <c r="BK1172" t="s">
        <v>778</v>
      </c>
      <c r="BL1172" t="s">
        <v>778</v>
      </c>
      <c r="BN1172" t="s">
        <v>37</v>
      </c>
    </row>
    <row r="1173" spans="1:66" x14ac:dyDescent="0.2">
      <c r="A1173">
        <v>3693730</v>
      </c>
      <c r="B1173">
        <v>21883</v>
      </c>
      <c r="C1173">
        <v>523999</v>
      </c>
      <c r="D1173">
        <v>52899</v>
      </c>
      <c r="E1173">
        <v>100</v>
      </c>
      <c r="F1173" t="s">
        <v>37</v>
      </c>
      <c r="G1173">
        <v>1</v>
      </c>
      <c r="H1173" t="s">
        <v>37</v>
      </c>
      <c r="I1173" t="s">
        <v>37</v>
      </c>
      <c r="J1173" t="s">
        <v>775</v>
      </c>
      <c r="K1173" t="s">
        <v>230</v>
      </c>
      <c r="L1173" t="s">
        <v>226</v>
      </c>
      <c r="M1173" t="s">
        <v>422</v>
      </c>
      <c r="N1173" t="s">
        <v>5436</v>
      </c>
      <c r="O1173" t="s">
        <v>5437</v>
      </c>
      <c r="S1173">
        <v>0</v>
      </c>
      <c r="T1173">
        <v>0</v>
      </c>
      <c r="U1173">
        <v>0</v>
      </c>
      <c r="V1173">
        <v>0</v>
      </c>
      <c r="W1173">
        <v>56</v>
      </c>
      <c r="X1173">
        <v>0</v>
      </c>
      <c r="Y1173">
        <v>0</v>
      </c>
      <c r="Z1173">
        <v>0</v>
      </c>
      <c r="AB1173" s="5">
        <v>43677</v>
      </c>
      <c r="AC1173" s="5">
        <v>43677</v>
      </c>
      <c r="AD1173" s="5">
        <v>44306.666666666664</v>
      </c>
      <c r="AE1173" s="5">
        <v>44306.666666666664</v>
      </c>
      <c r="AG1173" s="5">
        <v>44044</v>
      </c>
      <c r="AH1173" s="5">
        <v>44044</v>
      </c>
      <c r="AK1173" s="5">
        <v>43983.333333333336</v>
      </c>
      <c r="AL1173" s="5">
        <v>43993.666666666664</v>
      </c>
      <c r="AP1173" t="s">
        <v>418</v>
      </c>
      <c r="AU1173" t="s">
        <v>5438</v>
      </c>
      <c r="AV1173" t="s">
        <v>5439</v>
      </c>
      <c r="AY1173" t="s">
        <v>37</v>
      </c>
      <c r="AZ1173">
        <v>0</v>
      </c>
      <c r="BA1173">
        <v>0</v>
      </c>
      <c r="BI1173" s="5">
        <v>44048.176388888889</v>
      </c>
      <c r="BJ1173" s="5">
        <v>44048.176388888889</v>
      </c>
      <c r="BK1173" t="s">
        <v>778</v>
      </c>
      <c r="BL1173" t="s">
        <v>778</v>
      </c>
      <c r="BN1173" t="s">
        <v>37</v>
      </c>
    </row>
    <row r="1174" spans="1:66" x14ac:dyDescent="0.2">
      <c r="A1174">
        <v>3693731</v>
      </c>
      <c r="B1174">
        <v>21883</v>
      </c>
      <c r="C1174">
        <v>523999</v>
      </c>
      <c r="D1174">
        <v>52898</v>
      </c>
      <c r="E1174">
        <v>100</v>
      </c>
      <c r="F1174" t="s">
        <v>37</v>
      </c>
      <c r="G1174">
        <v>1</v>
      </c>
      <c r="H1174" t="s">
        <v>37</v>
      </c>
      <c r="I1174" t="s">
        <v>37</v>
      </c>
      <c r="J1174" t="s">
        <v>775</v>
      </c>
      <c r="K1174" t="s">
        <v>230</v>
      </c>
      <c r="L1174" t="s">
        <v>226</v>
      </c>
      <c r="M1174" t="s">
        <v>422</v>
      </c>
      <c r="N1174" t="s">
        <v>5440</v>
      </c>
      <c r="O1174" t="s">
        <v>5441</v>
      </c>
      <c r="S1174">
        <v>0</v>
      </c>
      <c r="T1174">
        <v>0</v>
      </c>
      <c r="U1174">
        <v>0</v>
      </c>
      <c r="V1174">
        <v>0</v>
      </c>
      <c r="W1174">
        <v>16</v>
      </c>
      <c r="X1174">
        <v>0</v>
      </c>
      <c r="Y1174">
        <v>0</v>
      </c>
      <c r="Z1174">
        <v>0</v>
      </c>
      <c r="AB1174" s="5">
        <v>43677</v>
      </c>
      <c r="AC1174" s="5">
        <v>43677</v>
      </c>
      <c r="AD1174" s="5">
        <v>44306.666666666664</v>
      </c>
      <c r="AE1174" s="5">
        <v>44306.666666666664</v>
      </c>
      <c r="AG1174" s="5">
        <v>44044</v>
      </c>
      <c r="AH1174" s="5">
        <v>44044</v>
      </c>
      <c r="AK1174" s="5">
        <v>43994.333333333336</v>
      </c>
      <c r="AL1174" s="5">
        <v>43997.666666666664</v>
      </c>
      <c r="AP1174" t="s">
        <v>418</v>
      </c>
      <c r="AU1174" t="s">
        <v>2239</v>
      </c>
      <c r="AV1174" t="s">
        <v>5442</v>
      </c>
      <c r="AY1174" t="s">
        <v>37</v>
      </c>
      <c r="AZ1174">
        <v>0</v>
      </c>
      <c r="BA1174">
        <v>0</v>
      </c>
      <c r="BI1174" s="5">
        <v>44048.176388888889</v>
      </c>
      <c r="BJ1174" s="5">
        <v>44048.176388888889</v>
      </c>
      <c r="BK1174" t="s">
        <v>778</v>
      </c>
      <c r="BL1174" t="s">
        <v>778</v>
      </c>
      <c r="BN1174" t="s">
        <v>37</v>
      </c>
    </row>
    <row r="1175" spans="1:66" x14ac:dyDescent="0.2">
      <c r="A1175">
        <v>3693732</v>
      </c>
      <c r="B1175">
        <v>21883</v>
      </c>
      <c r="C1175">
        <v>523999</v>
      </c>
      <c r="D1175">
        <v>52898</v>
      </c>
      <c r="E1175">
        <v>100</v>
      </c>
      <c r="F1175" t="s">
        <v>37</v>
      </c>
      <c r="G1175">
        <v>1</v>
      </c>
      <c r="H1175" t="s">
        <v>37</v>
      </c>
      <c r="I1175" t="s">
        <v>37</v>
      </c>
      <c r="J1175" t="s">
        <v>775</v>
      </c>
      <c r="K1175" t="s">
        <v>230</v>
      </c>
      <c r="L1175" t="s">
        <v>226</v>
      </c>
      <c r="M1175" t="s">
        <v>422</v>
      </c>
      <c r="N1175" t="s">
        <v>5443</v>
      </c>
      <c r="O1175" t="s">
        <v>5444</v>
      </c>
      <c r="S1175">
        <v>0</v>
      </c>
      <c r="T1175">
        <v>0</v>
      </c>
      <c r="U1175">
        <v>0</v>
      </c>
      <c r="V1175">
        <v>0</v>
      </c>
      <c r="W1175">
        <v>8</v>
      </c>
      <c r="X1175">
        <v>0</v>
      </c>
      <c r="Y1175">
        <v>0</v>
      </c>
      <c r="Z1175">
        <v>0</v>
      </c>
      <c r="AB1175" s="5">
        <v>43677</v>
      </c>
      <c r="AC1175" s="5">
        <v>43677</v>
      </c>
      <c r="AD1175" s="5">
        <v>44306.666666666664</v>
      </c>
      <c r="AE1175" s="5">
        <v>44306.666666666664</v>
      </c>
      <c r="AG1175" s="5">
        <v>44044</v>
      </c>
      <c r="AH1175" s="5">
        <v>44044</v>
      </c>
      <c r="AK1175" s="5">
        <v>43999.333333333336</v>
      </c>
      <c r="AL1175" s="5">
        <v>43999.666666666664</v>
      </c>
      <c r="AP1175" t="s">
        <v>418</v>
      </c>
      <c r="AU1175" t="s">
        <v>2242</v>
      </c>
      <c r="AV1175" t="s">
        <v>5445</v>
      </c>
      <c r="AY1175" t="s">
        <v>37</v>
      </c>
      <c r="AZ1175">
        <v>0</v>
      </c>
      <c r="BA1175">
        <v>0</v>
      </c>
      <c r="BI1175" s="5">
        <v>44048.176388888889</v>
      </c>
      <c r="BJ1175" s="5">
        <v>44048.176388888889</v>
      </c>
      <c r="BK1175" t="s">
        <v>778</v>
      </c>
      <c r="BL1175" t="s">
        <v>778</v>
      </c>
      <c r="BN1175" t="s">
        <v>37</v>
      </c>
    </row>
    <row r="1176" spans="1:66" x14ac:dyDescent="0.2">
      <c r="A1176">
        <v>3693733</v>
      </c>
      <c r="B1176">
        <v>21883</v>
      </c>
      <c r="C1176">
        <v>523999</v>
      </c>
      <c r="D1176">
        <v>52899</v>
      </c>
      <c r="E1176">
        <v>100</v>
      </c>
      <c r="F1176" t="s">
        <v>37</v>
      </c>
      <c r="G1176">
        <v>1</v>
      </c>
      <c r="H1176" t="s">
        <v>37</v>
      </c>
      <c r="I1176" t="s">
        <v>37</v>
      </c>
      <c r="J1176" t="s">
        <v>775</v>
      </c>
      <c r="K1176" t="s">
        <v>230</v>
      </c>
      <c r="L1176" t="s">
        <v>226</v>
      </c>
      <c r="M1176" t="s">
        <v>422</v>
      </c>
      <c r="N1176" t="s">
        <v>5446</v>
      </c>
      <c r="O1176" t="s">
        <v>5447</v>
      </c>
      <c r="S1176">
        <v>0</v>
      </c>
      <c r="T1176">
        <v>0</v>
      </c>
      <c r="U1176">
        <v>0</v>
      </c>
      <c r="V1176">
        <v>0</v>
      </c>
      <c r="W1176">
        <v>16</v>
      </c>
      <c r="X1176">
        <v>0</v>
      </c>
      <c r="Y1176">
        <v>0</v>
      </c>
      <c r="Z1176">
        <v>0</v>
      </c>
      <c r="AB1176" s="5">
        <v>43677</v>
      </c>
      <c r="AC1176" s="5">
        <v>43677</v>
      </c>
      <c r="AD1176" s="5">
        <v>44306.666666666664</v>
      </c>
      <c r="AE1176" s="5">
        <v>44306.666666666664</v>
      </c>
      <c r="AG1176" s="5">
        <v>44044</v>
      </c>
      <c r="AH1176" s="5">
        <v>44044</v>
      </c>
      <c r="AK1176" s="5">
        <v>44000.333333333336</v>
      </c>
      <c r="AL1176" s="5">
        <v>44001.666666666664</v>
      </c>
      <c r="AP1176" t="s">
        <v>418</v>
      </c>
      <c r="AU1176" t="s">
        <v>5448</v>
      </c>
      <c r="AV1176" t="s">
        <v>5449</v>
      </c>
      <c r="AY1176" t="s">
        <v>37</v>
      </c>
      <c r="AZ1176">
        <v>0</v>
      </c>
      <c r="BA1176">
        <v>0</v>
      </c>
      <c r="BI1176" s="5">
        <v>44048.176388888889</v>
      </c>
      <c r="BJ1176" s="5">
        <v>44048.176388888889</v>
      </c>
      <c r="BK1176" t="s">
        <v>778</v>
      </c>
      <c r="BL1176" t="s">
        <v>778</v>
      </c>
      <c r="BN1176" t="s">
        <v>37</v>
      </c>
    </row>
    <row r="1177" spans="1:66" x14ac:dyDescent="0.2">
      <c r="A1177">
        <v>3693734</v>
      </c>
      <c r="B1177">
        <v>21883</v>
      </c>
      <c r="C1177">
        <v>523924</v>
      </c>
      <c r="D1177">
        <v>52899</v>
      </c>
      <c r="E1177">
        <v>0</v>
      </c>
      <c r="F1177" t="s">
        <v>37</v>
      </c>
      <c r="G1177">
        <v>1</v>
      </c>
      <c r="H1177" t="s">
        <v>37</v>
      </c>
      <c r="I1177" t="s">
        <v>37</v>
      </c>
      <c r="J1177" t="s">
        <v>775</v>
      </c>
      <c r="K1177" t="s">
        <v>230</v>
      </c>
      <c r="L1177" t="s">
        <v>226</v>
      </c>
      <c r="M1177" t="s">
        <v>417</v>
      </c>
      <c r="N1177" t="s">
        <v>5450</v>
      </c>
      <c r="O1177" t="s">
        <v>5451</v>
      </c>
      <c r="Q1177">
        <v>-312</v>
      </c>
      <c r="R1177">
        <v>0</v>
      </c>
      <c r="S1177">
        <v>32</v>
      </c>
      <c r="T1177">
        <v>0</v>
      </c>
      <c r="U1177">
        <v>0</v>
      </c>
      <c r="V1177">
        <v>0</v>
      </c>
      <c r="W1177">
        <v>32</v>
      </c>
      <c r="X1177">
        <v>0</v>
      </c>
      <c r="Y1177">
        <v>0</v>
      </c>
      <c r="Z1177">
        <v>0</v>
      </c>
      <c r="AD1177" s="5">
        <v>44000.333333333336</v>
      </c>
      <c r="AE1177" s="5">
        <v>44005.666666666664</v>
      </c>
      <c r="AG1177" s="5">
        <v>44061.333333333336</v>
      </c>
      <c r="AH1177" s="5">
        <v>44069.666666666664</v>
      </c>
      <c r="AI1177" s="5">
        <v>44061.333333333336</v>
      </c>
      <c r="AJ1177" s="5">
        <v>44069.666666666664</v>
      </c>
      <c r="AK1177" s="5">
        <v>44061.333333333336</v>
      </c>
      <c r="AL1177" s="5">
        <v>44069.666666666664</v>
      </c>
      <c r="AM1177" s="5">
        <v>44000.333333333336</v>
      </c>
      <c r="AN1177" s="5">
        <v>44005.666666666664</v>
      </c>
      <c r="AP1177" t="s">
        <v>418</v>
      </c>
      <c r="AU1177" t="s">
        <v>1611</v>
      </c>
      <c r="AV1177" t="s">
        <v>5452</v>
      </c>
      <c r="AY1177" t="s">
        <v>37</v>
      </c>
      <c r="AZ1177">
        <v>0</v>
      </c>
      <c r="BA1177">
        <v>0</v>
      </c>
      <c r="BI1177" s="5">
        <v>44048.176388888889</v>
      </c>
      <c r="BJ1177" s="5">
        <v>44048.176388888889</v>
      </c>
      <c r="BK1177" t="s">
        <v>778</v>
      </c>
      <c r="BL1177" t="s">
        <v>778</v>
      </c>
      <c r="BN1177" t="s">
        <v>37</v>
      </c>
    </row>
    <row r="1178" spans="1:66" x14ac:dyDescent="0.2">
      <c r="A1178">
        <v>3693735</v>
      </c>
      <c r="B1178">
        <v>21883</v>
      </c>
      <c r="C1178">
        <v>523924</v>
      </c>
      <c r="D1178">
        <v>52898</v>
      </c>
      <c r="E1178">
        <v>0</v>
      </c>
      <c r="F1178" t="s">
        <v>37</v>
      </c>
      <c r="G1178">
        <v>1</v>
      </c>
      <c r="H1178" t="s">
        <v>37</v>
      </c>
      <c r="I1178" t="s">
        <v>37</v>
      </c>
      <c r="J1178" t="s">
        <v>775</v>
      </c>
      <c r="K1178" t="s">
        <v>230</v>
      </c>
      <c r="L1178" t="s">
        <v>226</v>
      </c>
      <c r="M1178" t="s">
        <v>417</v>
      </c>
      <c r="N1178" t="s">
        <v>5453</v>
      </c>
      <c r="O1178" t="s">
        <v>5454</v>
      </c>
      <c r="Q1178">
        <v>-224</v>
      </c>
      <c r="R1178">
        <v>8</v>
      </c>
      <c r="S1178">
        <v>32</v>
      </c>
      <c r="T1178">
        <v>0</v>
      </c>
      <c r="U1178">
        <v>0</v>
      </c>
      <c r="V1178">
        <v>0</v>
      </c>
      <c r="W1178">
        <v>32</v>
      </c>
      <c r="X1178">
        <v>0</v>
      </c>
      <c r="Y1178">
        <v>0</v>
      </c>
      <c r="Z1178">
        <v>0</v>
      </c>
      <c r="AD1178" s="5">
        <v>44004.333333333336</v>
      </c>
      <c r="AE1178" s="5">
        <v>44008.666666666664</v>
      </c>
      <c r="AG1178" s="5">
        <v>44064.333333333336</v>
      </c>
      <c r="AH1178" s="5">
        <v>44070.666666666664</v>
      </c>
      <c r="AI1178" s="5">
        <v>44064.333333333336</v>
      </c>
      <c r="AJ1178" s="5">
        <v>44070.666666666664</v>
      </c>
      <c r="AK1178" s="5">
        <v>44064.333333333336</v>
      </c>
      <c r="AL1178" s="5">
        <v>44070.666666666664</v>
      </c>
      <c r="AM1178" s="5">
        <v>44004.333333333336</v>
      </c>
      <c r="AN1178" s="5">
        <v>44008.666666666664</v>
      </c>
      <c r="AP1178" t="s">
        <v>418</v>
      </c>
      <c r="AU1178" t="s">
        <v>1615</v>
      </c>
      <c r="AV1178" t="s">
        <v>5455</v>
      </c>
      <c r="AY1178" t="s">
        <v>37</v>
      </c>
      <c r="AZ1178">
        <v>0</v>
      </c>
      <c r="BA1178">
        <v>0</v>
      </c>
      <c r="BI1178" s="5">
        <v>44048.176388888889</v>
      </c>
      <c r="BJ1178" s="5">
        <v>44048.176388888889</v>
      </c>
      <c r="BK1178" t="s">
        <v>778</v>
      </c>
      <c r="BL1178" t="s">
        <v>778</v>
      </c>
      <c r="BN1178" t="s">
        <v>37</v>
      </c>
    </row>
    <row r="1179" spans="1:66" x14ac:dyDescent="0.2">
      <c r="A1179">
        <v>3693736</v>
      </c>
      <c r="B1179">
        <v>21883</v>
      </c>
      <c r="C1179">
        <v>523924</v>
      </c>
      <c r="D1179">
        <v>52897</v>
      </c>
      <c r="E1179">
        <v>0</v>
      </c>
      <c r="F1179" t="s">
        <v>37</v>
      </c>
      <c r="G1179">
        <v>1</v>
      </c>
      <c r="H1179" t="s">
        <v>37</v>
      </c>
      <c r="I1179" t="s">
        <v>37</v>
      </c>
      <c r="J1179" t="s">
        <v>775</v>
      </c>
      <c r="K1179" t="s">
        <v>230</v>
      </c>
      <c r="L1179" t="s">
        <v>226</v>
      </c>
      <c r="M1179" t="s">
        <v>417</v>
      </c>
      <c r="N1179" t="s">
        <v>5456</v>
      </c>
      <c r="O1179" t="s">
        <v>5457</v>
      </c>
      <c r="Q1179">
        <v>-232</v>
      </c>
      <c r="R1179">
        <v>0</v>
      </c>
      <c r="S1179">
        <v>64</v>
      </c>
      <c r="T1179">
        <v>0</v>
      </c>
      <c r="U1179">
        <v>0</v>
      </c>
      <c r="V1179">
        <v>0</v>
      </c>
      <c r="W1179">
        <v>64</v>
      </c>
      <c r="X1179">
        <v>0</v>
      </c>
      <c r="Y1179">
        <v>0</v>
      </c>
      <c r="Z1179">
        <v>0</v>
      </c>
      <c r="AD1179" s="5">
        <v>44026.333333333336</v>
      </c>
      <c r="AE1179" s="5">
        <v>44039.666666666664</v>
      </c>
      <c r="AG1179" s="5">
        <v>44083.333333333336</v>
      </c>
      <c r="AH1179" s="5">
        <v>44098.666666666664</v>
      </c>
      <c r="AI1179" s="5">
        <v>44083.333333333336</v>
      </c>
      <c r="AJ1179" s="5">
        <v>44098.666666666664</v>
      </c>
      <c r="AK1179" s="5">
        <v>44083.333333333336</v>
      </c>
      <c r="AL1179" s="5">
        <v>44098.666666666664</v>
      </c>
      <c r="AM1179" s="5">
        <v>44026.333333333336</v>
      </c>
      <c r="AN1179" s="5">
        <v>44039.666666666664</v>
      </c>
      <c r="AP1179" t="s">
        <v>418</v>
      </c>
      <c r="AU1179" t="s">
        <v>1465</v>
      </c>
      <c r="AV1179" t="s">
        <v>5458</v>
      </c>
      <c r="AY1179" t="s">
        <v>40</v>
      </c>
      <c r="AZ1179">
        <v>0</v>
      </c>
      <c r="BA1179">
        <v>0</v>
      </c>
      <c r="BI1179" s="5">
        <v>44048.176388888889</v>
      </c>
      <c r="BJ1179" s="5">
        <v>44048.176388888889</v>
      </c>
      <c r="BK1179" t="s">
        <v>778</v>
      </c>
      <c r="BL1179" t="s">
        <v>778</v>
      </c>
      <c r="BN1179" t="s">
        <v>37</v>
      </c>
    </row>
    <row r="1180" spans="1:66" x14ac:dyDescent="0.2">
      <c r="A1180">
        <v>3693737</v>
      </c>
      <c r="B1180">
        <v>21883</v>
      </c>
      <c r="C1180">
        <v>523924</v>
      </c>
      <c r="D1180">
        <v>52897</v>
      </c>
      <c r="E1180">
        <v>0</v>
      </c>
      <c r="F1180" t="s">
        <v>37</v>
      </c>
      <c r="G1180">
        <v>1</v>
      </c>
      <c r="H1180" t="s">
        <v>37</v>
      </c>
      <c r="I1180" t="s">
        <v>37</v>
      </c>
      <c r="J1180" t="s">
        <v>775</v>
      </c>
      <c r="K1180" t="s">
        <v>230</v>
      </c>
      <c r="L1180" t="s">
        <v>226</v>
      </c>
      <c r="M1180" t="s">
        <v>417</v>
      </c>
      <c r="N1180" t="s">
        <v>5459</v>
      </c>
      <c r="O1180" t="s">
        <v>5460</v>
      </c>
      <c r="Q1180">
        <v>-232</v>
      </c>
      <c r="R1180">
        <v>0</v>
      </c>
      <c r="S1180">
        <v>80</v>
      </c>
      <c r="T1180">
        <v>0</v>
      </c>
      <c r="U1180">
        <v>0</v>
      </c>
      <c r="V1180">
        <v>0</v>
      </c>
      <c r="W1180">
        <v>80</v>
      </c>
      <c r="X1180">
        <v>0</v>
      </c>
      <c r="Y1180">
        <v>0</v>
      </c>
      <c r="Z1180">
        <v>0</v>
      </c>
      <c r="AD1180" s="5">
        <v>43993.333333333336</v>
      </c>
      <c r="AE1180" s="5">
        <v>44008.666666666664</v>
      </c>
      <c r="AG1180" s="5">
        <v>44050.333333333336</v>
      </c>
      <c r="AH1180" s="5">
        <v>44071.666666666664</v>
      </c>
      <c r="AI1180" s="5">
        <v>44050.333333333336</v>
      </c>
      <c r="AJ1180" s="5">
        <v>44071.666666666664</v>
      </c>
      <c r="AK1180" s="5">
        <v>44050.333333333336</v>
      </c>
      <c r="AL1180" s="5">
        <v>44071.666666666664</v>
      </c>
      <c r="AM1180" s="5">
        <v>43993.333333333336</v>
      </c>
      <c r="AN1180" s="5">
        <v>44008.666666666664</v>
      </c>
      <c r="AP1180" t="s">
        <v>418</v>
      </c>
      <c r="AU1180" t="s">
        <v>1622</v>
      </c>
      <c r="AV1180" t="s">
        <v>5461</v>
      </c>
      <c r="AY1180" t="s">
        <v>40</v>
      </c>
      <c r="AZ1180">
        <v>0</v>
      </c>
      <c r="BA1180">
        <v>0</v>
      </c>
      <c r="BI1180" s="5">
        <v>44048.176388888889</v>
      </c>
      <c r="BJ1180" s="5">
        <v>44048.176388888889</v>
      </c>
      <c r="BK1180" t="s">
        <v>778</v>
      </c>
      <c r="BL1180" t="s">
        <v>778</v>
      </c>
      <c r="BN1180" t="s">
        <v>37</v>
      </c>
    </row>
    <row r="1181" spans="1:66" x14ac:dyDescent="0.2">
      <c r="A1181">
        <v>3693738</v>
      </c>
      <c r="B1181">
        <v>21883</v>
      </c>
      <c r="C1181">
        <v>523924</v>
      </c>
      <c r="D1181">
        <v>52886</v>
      </c>
      <c r="E1181">
        <v>0</v>
      </c>
      <c r="F1181" t="s">
        <v>37</v>
      </c>
      <c r="G1181">
        <v>1</v>
      </c>
      <c r="H1181" t="s">
        <v>37</v>
      </c>
      <c r="I1181" t="s">
        <v>37</v>
      </c>
      <c r="J1181" t="s">
        <v>775</v>
      </c>
      <c r="K1181" t="s">
        <v>230</v>
      </c>
      <c r="L1181" t="s">
        <v>226</v>
      </c>
      <c r="M1181" t="s">
        <v>417</v>
      </c>
      <c r="N1181" t="s">
        <v>5462</v>
      </c>
      <c r="O1181" t="s">
        <v>5463</v>
      </c>
      <c r="Q1181">
        <v>-231</v>
      </c>
      <c r="R1181">
        <v>1</v>
      </c>
      <c r="S1181">
        <v>40</v>
      </c>
      <c r="T1181">
        <v>0</v>
      </c>
      <c r="U1181">
        <v>0</v>
      </c>
      <c r="V1181">
        <v>0</v>
      </c>
      <c r="W1181">
        <v>40</v>
      </c>
      <c r="X1181">
        <v>0</v>
      </c>
      <c r="Y1181">
        <v>0</v>
      </c>
      <c r="Z1181">
        <v>0</v>
      </c>
      <c r="AD1181" s="5">
        <v>44053.333333333336</v>
      </c>
      <c r="AE1181" s="5">
        <v>44064.708333333336</v>
      </c>
      <c r="AG1181" s="5">
        <v>44110.666666666664</v>
      </c>
      <c r="AH1181" s="5">
        <v>44118.666666666664</v>
      </c>
      <c r="AI1181" s="5">
        <v>44110.666666666664</v>
      </c>
      <c r="AJ1181" s="5">
        <v>44118.666666666664</v>
      </c>
      <c r="AK1181" s="5">
        <v>44110.666666666664</v>
      </c>
      <c r="AL1181" s="5">
        <v>44118.666666666664</v>
      </c>
      <c r="AM1181" s="5">
        <v>44053.333333333336</v>
      </c>
      <c r="AN1181" s="5">
        <v>44064.708333333336</v>
      </c>
      <c r="AP1181" t="s">
        <v>418</v>
      </c>
      <c r="AU1181" t="s">
        <v>1469</v>
      </c>
      <c r="AV1181" t="s">
        <v>5464</v>
      </c>
      <c r="AY1181" t="s">
        <v>40</v>
      </c>
      <c r="AZ1181">
        <v>0</v>
      </c>
      <c r="BA1181">
        <v>0</v>
      </c>
      <c r="BI1181" s="5">
        <v>44048.176388888889</v>
      </c>
      <c r="BJ1181" s="5">
        <v>44048.176388888889</v>
      </c>
      <c r="BK1181" t="s">
        <v>778</v>
      </c>
      <c r="BL1181" t="s">
        <v>778</v>
      </c>
      <c r="BN1181" t="s">
        <v>37</v>
      </c>
    </row>
    <row r="1182" spans="1:66" x14ac:dyDescent="0.2">
      <c r="A1182">
        <v>3693739</v>
      </c>
      <c r="B1182">
        <v>21883</v>
      </c>
      <c r="C1182">
        <v>523924</v>
      </c>
      <c r="D1182">
        <v>52897</v>
      </c>
      <c r="E1182">
        <v>0</v>
      </c>
      <c r="F1182" t="s">
        <v>37</v>
      </c>
      <c r="G1182">
        <v>1</v>
      </c>
      <c r="H1182" t="s">
        <v>37</v>
      </c>
      <c r="I1182" t="s">
        <v>37</v>
      </c>
      <c r="J1182" t="s">
        <v>775</v>
      </c>
      <c r="K1182" t="s">
        <v>230</v>
      </c>
      <c r="L1182" t="s">
        <v>226</v>
      </c>
      <c r="M1182" t="s">
        <v>417</v>
      </c>
      <c r="N1182" t="s">
        <v>5465</v>
      </c>
      <c r="O1182" t="s">
        <v>5466</v>
      </c>
      <c r="Q1182">
        <v>-216</v>
      </c>
      <c r="R1182">
        <v>0</v>
      </c>
      <c r="S1182">
        <v>80</v>
      </c>
      <c r="T1182">
        <v>0</v>
      </c>
      <c r="U1182">
        <v>0</v>
      </c>
      <c r="V1182">
        <v>0</v>
      </c>
      <c r="W1182">
        <v>80</v>
      </c>
      <c r="X1182">
        <v>0</v>
      </c>
      <c r="Y1182">
        <v>0</v>
      </c>
      <c r="Z1182">
        <v>0</v>
      </c>
      <c r="AD1182" s="5">
        <v>44074.333333333336</v>
      </c>
      <c r="AE1182" s="5">
        <v>44089.666666666664</v>
      </c>
      <c r="AG1182" s="5">
        <v>44126.333333333336</v>
      </c>
      <c r="AH1182" s="5">
        <v>44147.666666666664</v>
      </c>
      <c r="AI1182" s="5">
        <v>44126.333333333336</v>
      </c>
      <c r="AJ1182" s="5">
        <v>44147.666666666664</v>
      </c>
      <c r="AK1182" s="5">
        <v>44126.333333333336</v>
      </c>
      <c r="AL1182" s="5">
        <v>44147.666666666664</v>
      </c>
      <c r="AM1182" s="5">
        <v>44074.333333333336</v>
      </c>
      <c r="AN1182" s="5">
        <v>44089.666666666664</v>
      </c>
      <c r="AP1182" t="s">
        <v>418</v>
      </c>
      <c r="AU1182" t="s">
        <v>1473</v>
      </c>
      <c r="AV1182" t="s">
        <v>5467</v>
      </c>
      <c r="AY1182" t="s">
        <v>40</v>
      </c>
      <c r="AZ1182">
        <v>0</v>
      </c>
      <c r="BA1182">
        <v>0</v>
      </c>
      <c r="BI1182" s="5">
        <v>44048.176388888889</v>
      </c>
      <c r="BJ1182" s="5">
        <v>44048.176388888889</v>
      </c>
      <c r="BK1182" t="s">
        <v>778</v>
      </c>
      <c r="BL1182" t="s">
        <v>778</v>
      </c>
      <c r="BN1182" t="s">
        <v>37</v>
      </c>
    </row>
    <row r="1183" spans="1:66" x14ac:dyDescent="0.2">
      <c r="A1183">
        <v>3693740</v>
      </c>
      <c r="B1183">
        <v>21883</v>
      </c>
      <c r="C1183">
        <v>523924</v>
      </c>
      <c r="D1183">
        <v>52897</v>
      </c>
      <c r="E1183">
        <v>0</v>
      </c>
      <c r="F1183" t="s">
        <v>37</v>
      </c>
      <c r="G1183">
        <v>1</v>
      </c>
      <c r="H1183" t="s">
        <v>37</v>
      </c>
      <c r="I1183" t="s">
        <v>37</v>
      </c>
      <c r="J1183" t="s">
        <v>775</v>
      </c>
      <c r="K1183" t="s">
        <v>230</v>
      </c>
      <c r="L1183" t="s">
        <v>226</v>
      </c>
      <c r="M1183" t="s">
        <v>417</v>
      </c>
      <c r="N1183" t="s">
        <v>5468</v>
      </c>
      <c r="O1183" t="s">
        <v>5469</v>
      </c>
      <c r="Q1183">
        <v>-216</v>
      </c>
      <c r="R1183">
        <v>0</v>
      </c>
      <c r="S1183">
        <v>48</v>
      </c>
      <c r="T1183">
        <v>0</v>
      </c>
      <c r="U1183">
        <v>0</v>
      </c>
      <c r="V1183">
        <v>0</v>
      </c>
      <c r="W1183">
        <v>48</v>
      </c>
      <c r="X1183">
        <v>0</v>
      </c>
      <c r="Y1183">
        <v>0</v>
      </c>
      <c r="Z1183">
        <v>0</v>
      </c>
      <c r="AD1183" s="5">
        <v>44088.333333333336</v>
      </c>
      <c r="AE1183" s="5">
        <v>44098.666666666664</v>
      </c>
      <c r="AG1183" s="5">
        <v>44141.333333333336</v>
      </c>
      <c r="AH1183" s="5">
        <v>44159.666666666664</v>
      </c>
      <c r="AI1183" s="5">
        <v>44141.333333333336</v>
      </c>
      <c r="AJ1183" s="5">
        <v>44159.666666666664</v>
      </c>
      <c r="AK1183" s="5">
        <v>44141.333333333336</v>
      </c>
      <c r="AL1183" s="5">
        <v>44159.666666666664</v>
      </c>
      <c r="AM1183" s="5">
        <v>44088.333333333336</v>
      </c>
      <c r="AN1183" s="5">
        <v>44098.666666666664</v>
      </c>
      <c r="AP1183" t="s">
        <v>418</v>
      </c>
      <c r="AU1183" t="s">
        <v>1477</v>
      </c>
      <c r="AV1183" t="s">
        <v>5470</v>
      </c>
      <c r="AY1183" t="s">
        <v>40</v>
      </c>
      <c r="AZ1183">
        <v>0</v>
      </c>
      <c r="BA1183">
        <v>0</v>
      </c>
      <c r="BI1183" s="5">
        <v>44048.176388888889</v>
      </c>
      <c r="BJ1183" s="5">
        <v>44048.176388888889</v>
      </c>
      <c r="BK1183" t="s">
        <v>778</v>
      </c>
      <c r="BL1183" t="s">
        <v>778</v>
      </c>
      <c r="BN1183" t="s">
        <v>37</v>
      </c>
    </row>
    <row r="1184" spans="1:66" x14ac:dyDescent="0.2">
      <c r="A1184">
        <v>3693741</v>
      </c>
      <c r="B1184">
        <v>21883</v>
      </c>
      <c r="C1184">
        <v>523924</v>
      </c>
      <c r="D1184">
        <v>52897</v>
      </c>
      <c r="E1184">
        <v>0</v>
      </c>
      <c r="F1184" t="s">
        <v>37</v>
      </c>
      <c r="G1184">
        <v>1</v>
      </c>
      <c r="H1184" t="s">
        <v>37</v>
      </c>
      <c r="I1184" t="s">
        <v>37</v>
      </c>
      <c r="J1184" t="s">
        <v>775</v>
      </c>
      <c r="K1184" t="s">
        <v>230</v>
      </c>
      <c r="L1184" t="s">
        <v>226</v>
      </c>
      <c r="M1184" t="s">
        <v>417</v>
      </c>
      <c r="N1184" t="s">
        <v>5471</v>
      </c>
      <c r="O1184" t="s">
        <v>5472</v>
      </c>
      <c r="Q1184">
        <v>-216</v>
      </c>
      <c r="R1184">
        <v>0</v>
      </c>
      <c r="S1184">
        <v>32</v>
      </c>
      <c r="T1184">
        <v>0</v>
      </c>
      <c r="U1184">
        <v>0</v>
      </c>
      <c r="V1184">
        <v>0</v>
      </c>
      <c r="W1184">
        <v>32</v>
      </c>
      <c r="X1184">
        <v>0</v>
      </c>
      <c r="Y1184">
        <v>0</v>
      </c>
      <c r="Z1184">
        <v>0</v>
      </c>
      <c r="AD1184" s="5">
        <v>44096.333333333336</v>
      </c>
      <c r="AE1184" s="5">
        <v>44102.666666666664</v>
      </c>
      <c r="AG1184" s="5">
        <v>44158.333333333336</v>
      </c>
      <c r="AH1184" s="5">
        <v>44165.666666666664</v>
      </c>
      <c r="AI1184" s="5">
        <v>44158.333333333336</v>
      </c>
      <c r="AJ1184" s="5">
        <v>44165.666666666664</v>
      </c>
      <c r="AK1184" s="5">
        <v>44158.333333333336</v>
      </c>
      <c r="AL1184" s="5">
        <v>44165.666666666664</v>
      </c>
      <c r="AM1184" s="5">
        <v>44096.333333333336</v>
      </c>
      <c r="AN1184" s="5">
        <v>44102.666666666664</v>
      </c>
      <c r="AP1184" t="s">
        <v>418</v>
      </c>
      <c r="AU1184" t="s">
        <v>1481</v>
      </c>
      <c r="AV1184" t="s">
        <v>5473</v>
      </c>
      <c r="AY1184" t="s">
        <v>40</v>
      </c>
      <c r="AZ1184">
        <v>0</v>
      </c>
      <c r="BA1184">
        <v>0</v>
      </c>
      <c r="BI1184" s="5">
        <v>44048.176388888889</v>
      </c>
      <c r="BJ1184" s="5">
        <v>44048.176388888889</v>
      </c>
      <c r="BK1184" t="s">
        <v>778</v>
      </c>
      <c r="BL1184" t="s">
        <v>778</v>
      </c>
      <c r="BN1184" t="s">
        <v>37</v>
      </c>
    </row>
    <row r="1185" spans="1:66" x14ac:dyDescent="0.2">
      <c r="A1185">
        <v>3693742</v>
      </c>
      <c r="B1185">
        <v>21883</v>
      </c>
      <c r="C1185">
        <v>523924</v>
      </c>
      <c r="D1185">
        <v>52897</v>
      </c>
      <c r="E1185">
        <v>0</v>
      </c>
      <c r="F1185" t="s">
        <v>37</v>
      </c>
      <c r="G1185">
        <v>1</v>
      </c>
      <c r="H1185" t="s">
        <v>37</v>
      </c>
      <c r="I1185" t="s">
        <v>37</v>
      </c>
      <c r="J1185" t="s">
        <v>775</v>
      </c>
      <c r="K1185" t="s">
        <v>230</v>
      </c>
      <c r="L1185" t="s">
        <v>226</v>
      </c>
      <c r="M1185" t="s">
        <v>417</v>
      </c>
      <c r="N1185" t="s">
        <v>5474</v>
      </c>
      <c r="O1185" t="s">
        <v>5475</v>
      </c>
      <c r="Q1185">
        <v>-200</v>
      </c>
      <c r="R1185">
        <v>0</v>
      </c>
      <c r="S1185">
        <v>112</v>
      </c>
      <c r="T1185">
        <v>0</v>
      </c>
      <c r="U1185">
        <v>0</v>
      </c>
      <c r="V1185">
        <v>0</v>
      </c>
      <c r="W1185">
        <v>112</v>
      </c>
      <c r="X1185">
        <v>16</v>
      </c>
      <c r="Y1185">
        <v>0</v>
      </c>
      <c r="Z1185">
        <v>16</v>
      </c>
      <c r="AD1185" s="5">
        <v>44118.333333333336</v>
      </c>
      <c r="AE1185" s="5">
        <v>44148.666666666664</v>
      </c>
      <c r="AG1185" s="5">
        <v>44183.333333333336</v>
      </c>
      <c r="AH1185" s="5">
        <v>44228.666666666664</v>
      </c>
      <c r="AI1185" s="5">
        <v>44183.333333333336</v>
      </c>
      <c r="AJ1185" s="5">
        <v>44228.666666666664</v>
      </c>
      <c r="AK1185" s="5">
        <v>44183.333333333336</v>
      </c>
      <c r="AL1185" s="5">
        <v>44228.666666666664</v>
      </c>
      <c r="AM1185" s="5">
        <v>44118.333333333336</v>
      </c>
      <c r="AN1185" s="5">
        <v>44148.666666666664</v>
      </c>
      <c r="AP1185" t="s">
        <v>418</v>
      </c>
      <c r="AU1185" t="s">
        <v>1638</v>
      </c>
      <c r="AV1185" t="s">
        <v>5476</v>
      </c>
      <c r="AY1185" t="s">
        <v>40</v>
      </c>
      <c r="AZ1185">
        <v>0</v>
      </c>
      <c r="BA1185">
        <v>0</v>
      </c>
      <c r="BI1185" s="5">
        <v>44048.176388888889</v>
      </c>
      <c r="BJ1185" s="5">
        <v>44048.176388888889</v>
      </c>
      <c r="BK1185" t="s">
        <v>778</v>
      </c>
      <c r="BL1185" t="s">
        <v>778</v>
      </c>
      <c r="BN1185" t="s">
        <v>37</v>
      </c>
    </row>
    <row r="1186" spans="1:66" x14ac:dyDescent="0.2">
      <c r="A1186">
        <v>3693743</v>
      </c>
      <c r="B1186">
        <v>21883</v>
      </c>
      <c r="C1186">
        <v>523924</v>
      </c>
      <c r="D1186">
        <v>52897</v>
      </c>
      <c r="E1186">
        <v>0</v>
      </c>
      <c r="F1186" t="s">
        <v>37</v>
      </c>
      <c r="G1186">
        <v>1</v>
      </c>
      <c r="H1186" t="s">
        <v>37</v>
      </c>
      <c r="I1186" t="s">
        <v>37</v>
      </c>
      <c r="J1186" t="s">
        <v>775</v>
      </c>
      <c r="K1186" t="s">
        <v>230</v>
      </c>
      <c r="L1186" t="s">
        <v>226</v>
      </c>
      <c r="M1186" t="s">
        <v>417</v>
      </c>
      <c r="N1186" t="s">
        <v>5477</v>
      </c>
      <c r="O1186" t="s">
        <v>5478</v>
      </c>
      <c r="Q1186">
        <v>-216</v>
      </c>
      <c r="R1186">
        <v>0</v>
      </c>
      <c r="S1186">
        <v>48</v>
      </c>
      <c r="T1186">
        <v>0</v>
      </c>
      <c r="U1186">
        <v>0</v>
      </c>
      <c r="V1186">
        <v>0</v>
      </c>
      <c r="W1186">
        <v>48</v>
      </c>
      <c r="X1186">
        <v>0</v>
      </c>
      <c r="Y1186">
        <v>0</v>
      </c>
      <c r="Z1186">
        <v>0</v>
      </c>
      <c r="AD1186" s="5">
        <v>44104.333333333336</v>
      </c>
      <c r="AE1186" s="5">
        <v>44112.666666666664</v>
      </c>
      <c r="AG1186" s="5">
        <v>44166.333333333336</v>
      </c>
      <c r="AH1186" s="5">
        <v>44182.666666666664</v>
      </c>
      <c r="AI1186" s="5">
        <v>44166.333333333336</v>
      </c>
      <c r="AJ1186" s="5">
        <v>44182.666666666664</v>
      </c>
      <c r="AK1186" s="5">
        <v>44166.333333333336</v>
      </c>
      <c r="AL1186" s="5">
        <v>44182.666666666664</v>
      </c>
      <c r="AM1186" s="5">
        <v>44104.333333333336</v>
      </c>
      <c r="AN1186" s="5">
        <v>44112.666666666664</v>
      </c>
      <c r="AP1186" t="s">
        <v>418</v>
      </c>
      <c r="AU1186" t="s">
        <v>1642</v>
      </c>
      <c r="AV1186" t="s">
        <v>5479</v>
      </c>
      <c r="AY1186" t="s">
        <v>40</v>
      </c>
      <c r="AZ1186">
        <v>0</v>
      </c>
      <c r="BA1186">
        <v>0</v>
      </c>
      <c r="BI1186" s="5">
        <v>44048.176388888889</v>
      </c>
      <c r="BJ1186" s="5">
        <v>44048.176388888889</v>
      </c>
      <c r="BK1186" t="s">
        <v>778</v>
      </c>
      <c r="BL1186" t="s">
        <v>778</v>
      </c>
      <c r="BN1186" t="s">
        <v>37</v>
      </c>
    </row>
    <row r="1187" spans="1:66" x14ac:dyDescent="0.2">
      <c r="A1187">
        <v>3693744</v>
      </c>
      <c r="B1187">
        <v>21883</v>
      </c>
      <c r="C1187">
        <v>523924</v>
      </c>
      <c r="D1187">
        <v>52898</v>
      </c>
      <c r="E1187">
        <v>0</v>
      </c>
      <c r="F1187" t="s">
        <v>37</v>
      </c>
      <c r="G1187">
        <v>1</v>
      </c>
      <c r="H1187" t="s">
        <v>37</v>
      </c>
      <c r="I1187" t="s">
        <v>37</v>
      </c>
      <c r="J1187" t="s">
        <v>775</v>
      </c>
      <c r="K1187" t="s">
        <v>230</v>
      </c>
      <c r="L1187" t="s">
        <v>226</v>
      </c>
      <c r="M1187" t="s">
        <v>417</v>
      </c>
      <c r="N1187" t="s">
        <v>5480</v>
      </c>
      <c r="O1187" t="s">
        <v>5481</v>
      </c>
      <c r="Q1187">
        <v>-56</v>
      </c>
      <c r="R1187">
        <v>0</v>
      </c>
      <c r="S1187">
        <v>24</v>
      </c>
      <c r="T1187">
        <v>0</v>
      </c>
      <c r="U1187">
        <v>0</v>
      </c>
      <c r="V1187">
        <v>0</v>
      </c>
      <c r="W1187">
        <v>24</v>
      </c>
      <c r="X1187">
        <v>0</v>
      </c>
      <c r="Y1187">
        <v>0</v>
      </c>
      <c r="Z1187">
        <v>0</v>
      </c>
      <c r="AD1187" s="5">
        <v>44155.333333333336</v>
      </c>
      <c r="AE1187" s="5">
        <v>44159.666666666664</v>
      </c>
      <c r="AG1187" s="5">
        <v>44256.333333333336</v>
      </c>
      <c r="AH1187" s="5">
        <v>44258.666666666664</v>
      </c>
      <c r="AI1187" s="5">
        <v>44256.333333333336</v>
      </c>
      <c r="AJ1187" s="5">
        <v>44258.666666666664</v>
      </c>
      <c r="AK1187" s="5">
        <v>44256.333333333336</v>
      </c>
      <c r="AL1187" s="5">
        <v>44258.666666666664</v>
      </c>
      <c r="AM1187" s="5">
        <v>44155.333333333336</v>
      </c>
      <c r="AN1187" s="5">
        <v>44159.666666666664</v>
      </c>
      <c r="AP1187" t="s">
        <v>418</v>
      </c>
      <c r="AU1187" t="s">
        <v>1646</v>
      </c>
      <c r="AV1187" t="s">
        <v>5482</v>
      </c>
      <c r="AY1187" t="s">
        <v>40</v>
      </c>
      <c r="AZ1187">
        <v>0</v>
      </c>
      <c r="BA1187">
        <v>0</v>
      </c>
      <c r="BI1187" s="5">
        <v>44048.176388888889</v>
      </c>
      <c r="BJ1187" s="5">
        <v>44048.176388888889</v>
      </c>
      <c r="BK1187" t="s">
        <v>778</v>
      </c>
      <c r="BL1187" t="s">
        <v>778</v>
      </c>
      <c r="BN1187" t="s">
        <v>37</v>
      </c>
    </row>
    <row r="1188" spans="1:66" x14ac:dyDescent="0.2">
      <c r="A1188">
        <v>3693745</v>
      </c>
      <c r="B1188">
        <v>21883</v>
      </c>
      <c r="C1188">
        <v>523924</v>
      </c>
      <c r="D1188">
        <v>52899</v>
      </c>
      <c r="E1188">
        <v>0</v>
      </c>
      <c r="F1188" t="s">
        <v>37</v>
      </c>
      <c r="G1188">
        <v>1</v>
      </c>
      <c r="H1188" t="s">
        <v>37</v>
      </c>
      <c r="I1188" t="s">
        <v>37</v>
      </c>
      <c r="J1188" t="s">
        <v>775</v>
      </c>
      <c r="K1188" t="s">
        <v>230</v>
      </c>
      <c r="L1188" t="s">
        <v>226</v>
      </c>
      <c r="M1188" t="s">
        <v>417</v>
      </c>
      <c r="N1188" t="s">
        <v>5483</v>
      </c>
      <c r="O1188" t="s">
        <v>5484</v>
      </c>
      <c r="Q1188">
        <v>-336</v>
      </c>
      <c r="R1188">
        <v>104</v>
      </c>
      <c r="S1188">
        <v>32</v>
      </c>
      <c r="T1188">
        <v>0</v>
      </c>
      <c r="U1188">
        <v>0</v>
      </c>
      <c r="V1188">
        <v>0</v>
      </c>
      <c r="W1188">
        <v>32</v>
      </c>
      <c r="X1188">
        <v>0</v>
      </c>
      <c r="Y1188">
        <v>0</v>
      </c>
      <c r="Z1188">
        <v>0</v>
      </c>
      <c r="AD1188" s="5">
        <v>44151.333333333336</v>
      </c>
      <c r="AE1188" s="5">
        <v>44154.666666666664</v>
      </c>
      <c r="AG1188" s="5">
        <v>44229.333333333336</v>
      </c>
      <c r="AH1188" s="5">
        <v>44235.666666666664</v>
      </c>
      <c r="AI1188" s="5">
        <v>44229.333333333336</v>
      </c>
      <c r="AJ1188" s="5">
        <v>44235.666666666664</v>
      </c>
      <c r="AK1188" s="5">
        <v>44229.333333333336</v>
      </c>
      <c r="AL1188" s="5">
        <v>44235.666666666664</v>
      </c>
      <c r="AM1188" s="5">
        <v>44151.333333333336</v>
      </c>
      <c r="AN1188" s="5">
        <v>44154.666666666664</v>
      </c>
      <c r="AP1188" t="s">
        <v>418</v>
      </c>
      <c r="AU1188" t="s">
        <v>1650</v>
      </c>
      <c r="AV1188" t="s">
        <v>5485</v>
      </c>
      <c r="AY1188" t="s">
        <v>40</v>
      </c>
      <c r="AZ1188">
        <v>0</v>
      </c>
      <c r="BA1188">
        <v>0</v>
      </c>
      <c r="BI1188" s="5">
        <v>44048.176388888889</v>
      </c>
      <c r="BJ1188" s="5">
        <v>44048.176388888889</v>
      </c>
      <c r="BK1188" t="s">
        <v>778</v>
      </c>
      <c r="BL1188" t="s">
        <v>778</v>
      </c>
      <c r="BN1188" t="s">
        <v>37</v>
      </c>
    </row>
    <row r="1189" spans="1:66" x14ac:dyDescent="0.2">
      <c r="A1189">
        <v>3693746</v>
      </c>
      <c r="B1189">
        <v>21883</v>
      </c>
      <c r="C1189">
        <v>523959</v>
      </c>
      <c r="D1189">
        <v>52895</v>
      </c>
      <c r="E1189">
        <v>100</v>
      </c>
      <c r="F1189" t="s">
        <v>37</v>
      </c>
      <c r="G1189">
        <v>1</v>
      </c>
      <c r="H1189" t="s">
        <v>37</v>
      </c>
      <c r="I1189" t="s">
        <v>37</v>
      </c>
      <c r="J1189" t="s">
        <v>775</v>
      </c>
      <c r="K1189" t="s">
        <v>419</v>
      </c>
      <c r="L1189" t="s">
        <v>420</v>
      </c>
      <c r="M1189" t="s">
        <v>422</v>
      </c>
      <c r="N1189" t="s">
        <v>5486</v>
      </c>
      <c r="O1189" t="s">
        <v>5487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B1189" s="5">
        <v>43936</v>
      </c>
      <c r="AC1189" s="5">
        <v>43936</v>
      </c>
      <c r="AD1189" s="5">
        <v>44005.333333333336</v>
      </c>
      <c r="AE1189" s="5">
        <v>44005.333333333336</v>
      </c>
      <c r="AG1189" s="5">
        <v>44044</v>
      </c>
      <c r="AH1189" s="5">
        <v>44044</v>
      </c>
      <c r="AK1189" s="5">
        <v>43948.333333333336</v>
      </c>
      <c r="AL1189" s="5">
        <v>43948.333333333336</v>
      </c>
      <c r="AP1189" t="s">
        <v>418</v>
      </c>
      <c r="AU1189" t="s">
        <v>5488</v>
      </c>
      <c r="AV1189" t="s">
        <v>5489</v>
      </c>
      <c r="AY1189" t="s">
        <v>37</v>
      </c>
      <c r="AZ1189">
        <v>0</v>
      </c>
      <c r="BA1189">
        <v>0</v>
      </c>
      <c r="BI1189" s="5">
        <v>44048.176388888889</v>
      </c>
      <c r="BJ1189" s="5">
        <v>44048.176388888889</v>
      </c>
      <c r="BK1189" t="s">
        <v>778</v>
      </c>
      <c r="BL1189" t="s">
        <v>778</v>
      </c>
      <c r="BN1189" t="s">
        <v>37</v>
      </c>
    </row>
    <row r="1190" spans="1:66" x14ac:dyDescent="0.2">
      <c r="A1190">
        <v>3693747</v>
      </c>
      <c r="B1190">
        <v>21883</v>
      </c>
      <c r="C1190">
        <v>523841</v>
      </c>
      <c r="D1190">
        <v>52899</v>
      </c>
      <c r="E1190">
        <v>0</v>
      </c>
      <c r="F1190" t="s">
        <v>37</v>
      </c>
      <c r="G1190">
        <v>1</v>
      </c>
      <c r="H1190" t="s">
        <v>37</v>
      </c>
      <c r="I1190" t="s">
        <v>37</v>
      </c>
      <c r="J1190" t="s">
        <v>775</v>
      </c>
      <c r="K1190" t="s">
        <v>230</v>
      </c>
      <c r="L1190" t="s">
        <v>226</v>
      </c>
      <c r="M1190" t="s">
        <v>417</v>
      </c>
      <c r="N1190" t="s">
        <v>5490</v>
      </c>
      <c r="O1190" t="s">
        <v>2885</v>
      </c>
      <c r="Q1190">
        <v>-344</v>
      </c>
      <c r="R1190">
        <v>8</v>
      </c>
      <c r="S1190">
        <v>40</v>
      </c>
      <c r="T1190">
        <v>0</v>
      </c>
      <c r="U1190">
        <v>40</v>
      </c>
      <c r="V1190">
        <v>40</v>
      </c>
      <c r="W1190">
        <v>40</v>
      </c>
      <c r="X1190">
        <v>0</v>
      </c>
      <c r="Y1190">
        <v>0</v>
      </c>
      <c r="Z1190">
        <v>0</v>
      </c>
      <c r="AD1190" s="5">
        <v>44078.333333333336</v>
      </c>
      <c r="AE1190" s="5">
        <v>44085.666666666664</v>
      </c>
      <c r="AG1190" s="5">
        <v>44147.333333333336</v>
      </c>
      <c r="AH1190" s="5">
        <v>44153.666666666664</v>
      </c>
      <c r="AI1190" s="5">
        <v>44147.333333333336</v>
      </c>
      <c r="AJ1190" s="5">
        <v>44153.666666666664</v>
      </c>
      <c r="AK1190" s="5">
        <v>44147.333333333336</v>
      </c>
      <c r="AL1190" s="5">
        <v>44153.666666666664</v>
      </c>
      <c r="AM1190" s="5">
        <v>44078.333333333336</v>
      </c>
      <c r="AN1190" s="5">
        <v>44085.666666666664</v>
      </c>
      <c r="AP1190" t="s">
        <v>418</v>
      </c>
      <c r="AU1190" t="s">
        <v>5491</v>
      </c>
      <c r="AV1190" t="s">
        <v>5492</v>
      </c>
      <c r="AY1190" t="s">
        <v>40</v>
      </c>
      <c r="AZ1190">
        <v>0</v>
      </c>
      <c r="BA1190">
        <v>0</v>
      </c>
      <c r="BI1190" s="5">
        <v>44048.176388888889</v>
      </c>
      <c r="BJ1190" s="5">
        <v>44048.176388888889</v>
      </c>
      <c r="BK1190" t="s">
        <v>778</v>
      </c>
      <c r="BL1190" t="s">
        <v>778</v>
      </c>
      <c r="BN1190" t="s">
        <v>37</v>
      </c>
    </row>
    <row r="1191" spans="1:66" x14ac:dyDescent="0.2">
      <c r="A1191">
        <v>3693748</v>
      </c>
      <c r="B1191">
        <v>21883</v>
      </c>
      <c r="C1191">
        <v>523841</v>
      </c>
      <c r="D1191">
        <v>52899</v>
      </c>
      <c r="E1191">
        <v>0</v>
      </c>
      <c r="F1191" t="s">
        <v>37</v>
      </c>
      <c r="G1191">
        <v>1</v>
      </c>
      <c r="H1191" t="s">
        <v>37</v>
      </c>
      <c r="I1191" t="s">
        <v>37</v>
      </c>
      <c r="J1191" t="s">
        <v>775</v>
      </c>
      <c r="K1191" t="s">
        <v>230</v>
      </c>
      <c r="L1191" t="s">
        <v>226</v>
      </c>
      <c r="M1191" t="s">
        <v>417</v>
      </c>
      <c r="N1191" t="s">
        <v>5493</v>
      </c>
      <c r="O1191" t="s">
        <v>2889</v>
      </c>
      <c r="Q1191">
        <v>-328</v>
      </c>
      <c r="R1191">
        <v>0</v>
      </c>
      <c r="S1191">
        <v>32</v>
      </c>
      <c r="T1191">
        <v>0</v>
      </c>
      <c r="U1191">
        <v>0</v>
      </c>
      <c r="V1191">
        <v>0</v>
      </c>
      <c r="W1191">
        <v>32</v>
      </c>
      <c r="X1191">
        <v>0</v>
      </c>
      <c r="Y1191">
        <v>0</v>
      </c>
      <c r="Z1191">
        <v>0</v>
      </c>
      <c r="AD1191" s="5">
        <v>44096.333333333336</v>
      </c>
      <c r="AE1191" s="5">
        <v>44102.666666666664</v>
      </c>
      <c r="AG1191" s="5">
        <v>44167.333333333336</v>
      </c>
      <c r="AH1191" s="5">
        <v>44172.666666666664</v>
      </c>
      <c r="AI1191" s="5">
        <v>44167.333333333336</v>
      </c>
      <c r="AJ1191" s="5">
        <v>44172.666666666664</v>
      </c>
      <c r="AK1191" s="5">
        <v>44167.333333333336</v>
      </c>
      <c r="AL1191" s="5">
        <v>44172.666666666664</v>
      </c>
      <c r="AM1191" s="5">
        <v>44096.333333333336</v>
      </c>
      <c r="AN1191" s="5">
        <v>44102.666666666664</v>
      </c>
      <c r="AP1191" t="s">
        <v>418</v>
      </c>
      <c r="AU1191" t="s">
        <v>5494</v>
      </c>
      <c r="AV1191" t="s">
        <v>5495</v>
      </c>
      <c r="AY1191" t="s">
        <v>40</v>
      </c>
      <c r="AZ1191">
        <v>0</v>
      </c>
      <c r="BA1191">
        <v>0</v>
      </c>
      <c r="BI1191" s="5">
        <v>44048.176388888889</v>
      </c>
      <c r="BJ1191" s="5">
        <v>44048.176388888889</v>
      </c>
      <c r="BK1191" t="s">
        <v>778</v>
      </c>
      <c r="BL1191" t="s">
        <v>778</v>
      </c>
      <c r="BN1191" t="s">
        <v>37</v>
      </c>
    </row>
    <row r="1192" spans="1:66" x14ac:dyDescent="0.2">
      <c r="A1192">
        <v>3693749</v>
      </c>
      <c r="B1192">
        <v>21883</v>
      </c>
      <c r="C1192">
        <v>523841</v>
      </c>
      <c r="D1192">
        <v>52899</v>
      </c>
      <c r="E1192">
        <v>0</v>
      </c>
      <c r="F1192" t="s">
        <v>37</v>
      </c>
      <c r="G1192">
        <v>1</v>
      </c>
      <c r="H1192" t="s">
        <v>37</v>
      </c>
      <c r="I1192" t="s">
        <v>37</v>
      </c>
      <c r="J1192" t="s">
        <v>775</v>
      </c>
      <c r="K1192" t="s">
        <v>230</v>
      </c>
      <c r="L1192" t="s">
        <v>226</v>
      </c>
      <c r="M1192" t="s">
        <v>417</v>
      </c>
      <c r="N1192" t="s">
        <v>5496</v>
      </c>
      <c r="O1192" t="s">
        <v>5497</v>
      </c>
      <c r="Q1192">
        <v>-328</v>
      </c>
      <c r="R1192">
        <v>0</v>
      </c>
      <c r="S1192">
        <v>24</v>
      </c>
      <c r="T1192">
        <v>0</v>
      </c>
      <c r="U1192">
        <v>24</v>
      </c>
      <c r="V1192">
        <v>24</v>
      </c>
      <c r="W1192">
        <v>24</v>
      </c>
      <c r="X1192">
        <v>0</v>
      </c>
      <c r="Y1192">
        <v>0</v>
      </c>
      <c r="Z1192">
        <v>0</v>
      </c>
      <c r="AD1192" s="5">
        <v>44103.333333333336</v>
      </c>
      <c r="AE1192" s="5">
        <v>44109.666666666664</v>
      </c>
      <c r="AG1192" s="5">
        <v>44173.333333333336</v>
      </c>
      <c r="AH1192" s="5">
        <v>44176.666666666664</v>
      </c>
      <c r="AI1192" s="5">
        <v>44173.333333333336</v>
      </c>
      <c r="AJ1192" s="5">
        <v>44176.666666666664</v>
      </c>
      <c r="AK1192" s="5">
        <v>44173.333333333336</v>
      </c>
      <c r="AL1192" s="5">
        <v>44176.666666666664</v>
      </c>
      <c r="AM1192" s="5">
        <v>44103.333333333336</v>
      </c>
      <c r="AN1192" s="5">
        <v>44109.666666666664</v>
      </c>
      <c r="AP1192" t="s">
        <v>418</v>
      </c>
      <c r="AU1192" t="s">
        <v>5498</v>
      </c>
      <c r="AV1192" t="s">
        <v>5499</v>
      </c>
      <c r="AY1192" t="s">
        <v>40</v>
      </c>
      <c r="AZ1192">
        <v>0</v>
      </c>
      <c r="BA1192">
        <v>0</v>
      </c>
      <c r="BI1192" s="5">
        <v>44048.176388888889</v>
      </c>
      <c r="BJ1192" s="5">
        <v>44048.176388888889</v>
      </c>
      <c r="BK1192" t="s">
        <v>778</v>
      </c>
      <c r="BL1192" t="s">
        <v>778</v>
      </c>
      <c r="BN1192" t="s">
        <v>37</v>
      </c>
    </row>
    <row r="1193" spans="1:66" x14ac:dyDescent="0.2">
      <c r="A1193">
        <v>3693750</v>
      </c>
      <c r="B1193">
        <v>21883</v>
      </c>
      <c r="C1193">
        <v>523959</v>
      </c>
      <c r="D1193">
        <v>52895</v>
      </c>
      <c r="E1193">
        <v>0</v>
      </c>
      <c r="F1193" t="s">
        <v>37</v>
      </c>
      <c r="G1193">
        <v>1</v>
      </c>
      <c r="H1193" t="s">
        <v>37</v>
      </c>
      <c r="I1193" t="s">
        <v>37</v>
      </c>
      <c r="J1193" t="s">
        <v>775</v>
      </c>
      <c r="K1193" t="s">
        <v>423</v>
      </c>
      <c r="L1193" t="s">
        <v>420</v>
      </c>
      <c r="M1193" t="s">
        <v>417</v>
      </c>
      <c r="N1193" t="s">
        <v>5500</v>
      </c>
      <c r="O1193" t="s">
        <v>5501</v>
      </c>
      <c r="Q1193">
        <v>-536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D1193" s="5">
        <v>44109.666666666664</v>
      </c>
      <c r="AE1193" s="5">
        <v>44109.666666666664</v>
      </c>
      <c r="AG1193" s="5">
        <v>44176.666666666664</v>
      </c>
      <c r="AH1193" s="5">
        <v>44176.666666666664</v>
      </c>
      <c r="AI1193" s="5">
        <v>44176.666666666664</v>
      </c>
      <c r="AJ1193" s="5">
        <v>44176.666666666664</v>
      </c>
      <c r="AK1193" s="5">
        <v>44176.666666666664</v>
      </c>
      <c r="AL1193" s="5">
        <v>44176.666666666664</v>
      </c>
      <c r="AM1193" s="5">
        <v>44109.666666666664</v>
      </c>
      <c r="AN1193" s="5">
        <v>44109.666666666664</v>
      </c>
      <c r="AP1193" t="s">
        <v>418</v>
      </c>
      <c r="AU1193" t="s">
        <v>5502</v>
      </c>
      <c r="AV1193" t="s">
        <v>5503</v>
      </c>
      <c r="AY1193" t="s">
        <v>40</v>
      </c>
      <c r="AZ1193">
        <v>0</v>
      </c>
      <c r="BA1193">
        <v>0</v>
      </c>
      <c r="BI1193" s="5">
        <v>44048.176388888889</v>
      </c>
      <c r="BJ1193" s="5">
        <v>44048.176388888889</v>
      </c>
      <c r="BK1193" t="s">
        <v>778</v>
      </c>
      <c r="BL1193" t="s">
        <v>778</v>
      </c>
      <c r="BN1193" t="s">
        <v>37</v>
      </c>
    </row>
    <row r="1194" spans="1:66" x14ac:dyDescent="0.2">
      <c r="A1194">
        <v>3693751</v>
      </c>
      <c r="B1194">
        <v>21883</v>
      </c>
      <c r="C1194">
        <v>523959</v>
      </c>
      <c r="D1194">
        <v>52899</v>
      </c>
      <c r="E1194">
        <v>0</v>
      </c>
      <c r="F1194" t="s">
        <v>37</v>
      </c>
      <c r="G1194">
        <v>1</v>
      </c>
      <c r="H1194" t="s">
        <v>37</v>
      </c>
      <c r="I1194" t="s">
        <v>37</v>
      </c>
      <c r="J1194" t="s">
        <v>775</v>
      </c>
      <c r="K1194" t="s">
        <v>423</v>
      </c>
      <c r="L1194" t="s">
        <v>420</v>
      </c>
      <c r="M1194" t="s">
        <v>417</v>
      </c>
      <c r="N1194" t="s">
        <v>5504</v>
      </c>
      <c r="O1194" t="s">
        <v>5505</v>
      </c>
      <c r="Q1194">
        <v>-328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D1194" s="5">
        <v>44113.666666666664</v>
      </c>
      <c r="AE1194" s="5">
        <v>44113.666666666664</v>
      </c>
      <c r="AG1194" s="5">
        <v>44181.666666666664</v>
      </c>
      <c r="AH1194" s="5">
        <v>44181.666666666664</v>
      </c>
      <c r="AI1194" s="5">
        <v>44181.666666666664</v>
      </c>
      <c r="AJ1194" s="5">
        <v>44181.666666666664</v>
      </c>
      <c r="AK1194" s="5">
        <v>44181.666666666664</v>
      </c>
      <c r="AL1194" s="5">
        <v>44181.666666666664</v>
      </c>
      <c r="AM1194" s="5">
        <v>44113.666666666664</v>
      </c>
      <c r="AN1194" s="5">
        <v>44113.666666666664</v>
      </c>
      <c r="AP1194" t="s">
        <v>418</v>
      </c>
      <c r="AU1194" t="s">
        <v>5506</v>
      </c>
      <c r="AV1194" t="s">
        <v>5507</v>
      </c>
      <c r="AY1194" t="s">
        <v>40</v>
      </c>
      <c r="AZ1194">
        <v>0</v>
      </c>
      <c r="BA1194">
        <v>0</v>
      </c>
      <c r="BI1194" s="5">
        <v>44048.176388888889</v>
      </c>
      <c r="BJ1194" s="5">
        <v>44048.176388888889</v>
      </c>
      <c r="BK1194" t="s">
        <v>778</v>
      </c>
      <c r="BL1194" t="s">
        <v>778</v>
      </c>
      <c r="BN1194" t="s">
        <v>37</v>
      </c>
    </row>
    <row r="1195" spans="1:66" x14ac:dyDescent="0.2">
      <c r="A1195">
        <v>3693752</v>
      </c>
      <c r="B1195">
        <v>21883</v>
      </c>
      <c r="C1195">
        <v>523858</v>
      </c>
      <c r="D1195">
        <v>52899</v>
      </c>
      <c r="E1195">
        <v>100</v>
      </c>
      <c r="F1195" t="s">
        <v>37</v>
      </c>
      <c r="G1195">
        <v>1</v>
      </c>
      <c r="H1195" t="s">
        <v>37</v>
      </c>
      <c r="I1195" t="s">
        <v>37</v>
      </c>
      <c r="J1195" t="s">
        <v>775</v>
      </c>
      <c r="K1195" t="s">
        <v>230</v>
      </c>
      <c r="L1195" t="s">
        <v>226</v>
      </c>
      <c r="M1195" t="s">
        <v>422</v>
      </c>
      <c r="N1195" t="s">
        <v>5508</v>
      </c>
      <c r="O1195" t="s">
        <v>2513</v>
      </c>
      <c r="S1195">
        <v>0</v>
      </c>
      <c r="T1195">
        <v>16</v>
      </c>
      <c r="U1195">
        <v>0</v>
      </c>
      <c r="V1195">
        <v>16</v>
      </c>
      <c r="W1195">
        <v>16</v>
      </c>
      <c r="X1195">
        <v>0</v>
      </c>
      <c r="Y1195">
        <v>0</v>
      </c>
      <c r="Z1195">
        <v>0</v>
      </c>
      <c r="AB1195" s="5">
        <v>43928</v>
      </c>
      <c r="AC1195" s="5">
        <v>43929</v>
      </c>
      <c r="AD1195" s="5">
        <v>44012.333333333336</v>
      </c>
      <c r="AE1195" s="5">
        <v>44012.333333333336</v>
      </c>
      <c r="AG1195" s="5">
        <v>44044</v>
      </c>
      <c r="AH1195" s="5">
        <v>44044</v>
      </c>
      <c r="AK1195" s="5">
        <v>43962.333333333336</v>
      </c>
      <c r="AL1195" s="5">
        <v>43963.666666666664</v>
      </c>
      <c r="AP1195" t="s">
        <v>418</v>
      </c>
      <c r="AU1195" t="s">
        <v>5509</v>
      </c>
      <c r="AV1195" t="s">
        <v>5510</v>
      </c>
      <c r="AY1195" t="s">
        <v>37</v>
      </c>
      <c r="AZ1195">
        <v>0</v>
      </c>
      <c r="BA1195">
        <v>0</v>
      </c>
      <c r="BI1195" s="5">
        <v>44048.176388888889</v>
      </c>
      <c r="BJ1195" s="5">
        <v>44048.176388888889</v>
      </c>
      <c r="BK1195" t="s">
        <v>778</v>
      </c>
      <c r="BL1195" t="s">
        <v>778</v>
      </c>
      <c r="BN1195" t="s">
        <v>37</v>
      </c>
    </row>
    <row r="1196" spans="1:66" x14ac:dyDescent="0.2">
      <c r="A1196">
        <v>3693753</v>
      </c>
      <c r="B1196">
        <v>21883</v>
      </c>
      <c r="C1196">
        <v>523858</v>
      </c>
      <c r="D1196">
        <v>52899</v>
      </c>
      <c r="E1196">
        <v>100</v>
      </c>
      <c r="F1196" t="s">
        <v>37</v>
      </c>
      <c r="G1196">
        <v>1</v>
      </c>
      <c r="H1196" t="s">
        <v>37</v>
      </c>
      <c r="I1196" t="s">
        <v>37</v>
      </c>
      <c r="J1196" t="s">
        <v>775</v>
      </c>
      <c r="K1196" t="s">
        <v>230</v>
      </c>
      <c r="L1196" t="s">
        <v>226</v>
      </c>
      <c r="M1196" t="s">
        <v>422</v>
      </c>
      <c r="N1196" t="s">
        <v>5511</v>
      </c>
      <c r="O1196" t="s">
        <v>2517</v>
      </c>
      <c r="S1196">
        <v>0</v>
      </c>
      <c r="T1196">
        <v>8</v>
      </c>
      <c r="U1196">
        <v>0</v>
      </c>
      <c r="V1196">
        <v>8</v>
      </c>
      <c r="W1196">
        <v>8</v>
      </c>
      <c r="X1196">
        <v>0</v>
      </c>
      <c r="Y1196">
        <v>0</v>
      </c>
      <c r="Z1196">
        <v>0</v>
      </c>
      <c r="AB1196" s="5">
        <v>43934</v>
      </c>
      <c r="AC1196" s="5">
        <v>43935</v>
      </c>
      <c r="AD1196" s="5">
        <v>44012.333333333336</v>
      </c>
      <c r="AE1196" s="5">
        <v>44012.333333333336</v>
      </c>
      <c r="AG1196" s="5">
        <v>44044</v>
      </c>
      <c r="AH1196" s="5">
        <v>44044</v>
      </c>
      <c r="AK1196" s="5">
        <v>43962.333333333336</v>
      </c>
      <c r="AL1196" s="5">
        <v>43962.666666666664</v>
      </c>
      <c r="AP1196" t="s">
        <v>418</v>
      </c>
      <c r="AU1196" t="s">
        <v>5512</v>
      </c>
      <c r="AV1196" t="s">
        <v>5513</v>
      </c>
      <c r="AY1196" t="s">
        <v>37</v>
      </c>
      <c r="AZ1196">
        <v>0</v>
      </c>
      <c r="BA1196">
        <v>0</v>
      </c>
      <c r="BI1196" s="5">
        <v>44048.176388888889</v>
      </c>
      <c r="BJ1196" s="5">
        <v>44048.176388888889</v>
      </c>
      <c r="BK1196" t="s">
        <v>778</v>
      </c>
      <c r="BL1196" t="s">
        <v>778</v>
      </c>
      <c r="BN1196" t="s">
        <v>37</v>
      </c>
    </row>
    <row r="1197" spans="1:66" x14ac:dyDescent="0.2">
      <c r="A1197">
        <v>3693754</v>
      </c>
      <c r="B1197">
        <v>21883</v>
      </c>
      <c r="C1197">
        <v>523858</v>
      </c>
      <c r="D1197">
        <v>52899</v>
      </c>
      <c r="E1197">
        <v>100</v>
      </c>
      <c r="F1197" t="s">
        <v>37</v>
      </c>
      <c r="G1197">
        <v>1</v>
      </c>
      <c r="H1197" t="s">
        <v>37</v>
      </c>
      <c r="I1197" t="s">
        <v>37</v>
      </c>
      <c r="J1197" t="s">
        <v>775</v>
      </c>
      <c r="K1197" t="s">
        <v>230</v>
      </c>
      <c r="L1197" t="s">
        <v>226</v>
      </c>
      <c r="M1197" t="s">
        <v>422</v>
      </c>
      <c r="N1197" t="s">
        <v>5514</v>
      </c>
      <c r="O1197" t="s">
        <v>2521</v>
      </c>
      <c r="S1197">
        <v>0</v>
      </c>
      <c r="T1197">
        <v>16</v>
      </c>
      <c r="U1197">
        <v>0</v>
      </c>
      <c r="V1197">
        <v>16</v>
      </c>
      <c r="W1197">
        <v>24</v>
      </c>
      <c r="X1197">
        <v>0</v>
      </c>
      <c r="Y1197">
        <v>0</v>
      </c>
      <c r="Z1197">
        <v>0</v>
      </c>
      <c r="AB1197" s="5">
        <v>43958</v>
      </c>
      <c r="AC1197" s="5">
        <v>43962</v>
      </c>
      <c r="AD1197" s="5">
        <v>44012.333333333336</v>
      </c>
      <c r="AE1197" s="5">
        <v>44012.333333333336</v>
      </c>
      <c r="AG1197" s="5">
        <v>44044</v>
      </c>
      <c r="AH1197" s="5">
        <v>44044</v>
      </c>
      <c r="AK1197" s="5">
        <v>43970.333333333336</v>
      </c>
      <c r="AL1197" s="5">
        <v>43972.666666666664</v>
      </c>
      <c r="AP1197" t="s">
        <v>418</v>
      </c>
      <c r="AU1197" t="s">
        <v>5515</v>
      </c>
      <c r="AV1197" t="s">
        <v>5516</v>
      </c>
      <c r="AY1197" t="s">
        <v>37</v>
      </c>
      <c r="AZ1197">
        <v>0</v>
      </c>
      <c r="BA1197">
        <v>0</v>
      </c>
      <c r="BI1197" s="5">
        <v>44048.176388888889</v>
      </c>
      <c r="BJ1197" s="5">
        <v>44048.176388888889</v>
      </c>
      <c r="BK1197" t="s">
        <v>778</v>
      </c>
      <c r="BL1197" t="s">
        <v>778</v>
      </c>
      <c r="BN1197" t="s">
        <v>37</v>
      </c>
    </row>
    <row r="1198" spans="1:66" x14ac:dyDescent="0.2">
      <c r="A1198">
        <v>3693755</v>
      </c>
      <c r="B1198">
        <v>21883</v>
      </c>
      <c r="C1198">
        <v>523858</v>
      </c>
      <c r="D1198">
        <v>52895</v>
      </c>
      <c r="E1198">
        <v>100</v>
      </c>
      <c r="F1198" t="s">
        <v>37</v>
      </c>
      <c r="G1198">
        <v>1</v>
      </c>
      <c r="H1198" t="s">
        <v>37</v>
      </c>
      <c r="I1198" t="s">
        <v>37</v>
      </c>
      <c r="J1198" t="s">
        <v>775</v>
      </c>
      <c r="K1198" t="s">
        <v>230</v>
      </c>
      <c r="L1198" t="s">
        <v>226</v>
      </c>
      <c r="M1198" t="s">
        <v>422</v>
      </c>
      <c r="N1198" t="s">
        <v>5517</v>
      </c>
      <c r="O1198" t="s">
        <v>2525</v>
      </c>
      <c r="S1198">
        <v>0</v>
      </c>
      <c r="T1198">
        <v>0</v>
      </c>
      <c r="U1198">
        <v>0</v>
      </c>
      <c r="V1198">
        <v>0</v>
      </c>
      <c r="W1198">
        <v>24</v>
      </c>
      <c r="X1198">
        <v>0</v>
      </c>
      <c r="Y1198">
        <v>0</v>
      </c>
      <c r="Z1198">
        <v>0</v>
      </c>
      <c r="AB1198" s="5">
        <v>43984</v>
      </c>
      <c r="AC1198" s="5">
        <v>43989</v>
      </c>
      <c r="AD1198" s="5">
        <v>44012.333333333336</v>
      </c>
      <c r="AE1198" s="5">
        <v>44012.333333333336</v>
      </c>
      <c r="AG1198" s="5">
        <v>44044</v>
      </c>
      <c r="AH1198" s="5">
        <v>44044</v>
      </c>
      <c r="AK1198" s="5">
        <v>44004.333333333336</v>
      </c>
      <c r="AL1198" s="5">
        <v>44006.666666666664</v>
      </c>
      <c r="AP1198" t="s">
        <v>418</v>
      </c>
      <c r="AU1198" t="s">
        <v>5518</v>
      </c>
      <c r="AV1198" t="s">
        <v>5519</v>
      </c>
      <c r="AY1198" t="s">
        <v>37</v>
      </c>
      <c r="AZ1198">
        <v>0</v>
      </c>
      <c r="BA1198">
        <v>0</v>
      </c>
      <c r="BI1198" s="5">
        <v>44048.176388888889</v>
      </c>
      <c r="BJ1198" s="5">
        <v>44048.176388888889</v>
      </c>
      <c r="BK1198" t="s">
        <v>778</v>
      </c>
      <c r="BL1198" t="s">
        <v>778</v>
      </c>
      <c r="BN1198" t="s">
        <v>37</v>
      </c>
    </row>
    <row r="1199" spans="1:66" x14ac:dyDescent="0.2">
      <c r="A1199">
        <v>3693756</v>
      </c>
      <c r="B1199">
        <v>21883</v>
      </c>
      <c r="C1199">
        <v>523858</v>
      </c>
      <c r="D1199">
        <v>52899</v>
      </c>
      <c r="E1199">
        <v>100</v>
      </c>
      <c r="F1199" t="s">
        <v>37</v>
      </c>
      <c r="G1199">
        <v>1</v>
      </c>
      <c r="H1199" t="s">
        <v>37</v>
      </c>
      <c r="I1199" t="s">
        <v>37</v>
      </c>
      <c r="J1199" t="s">
        <v>775</v>
      </c>
      <c r="K1199" t="s">
        <v>230</v>
      </c>
      <c r="L1199" t="s">
        <v>226</v>
      </c>
      <c r="M1199" t="s">
        <v>422</v>
      </c>
      <c r="N1199" t="s">
        <v>5520</v>
      </c>
      <c r="O1199" t="s">
        <v>2529</v>
      </c>
      <c r="S1199">
        <v>0</v>
      </c>
      <c r="T1199">
        <v>32</v>
      </c>
      <c r="U1199">
        <v>0</v>
      </c>
      <c r="V1199">
        <v>32</v>
      </c>
      <c r="W1199">
        <v>32</v>
      </c>
      <c r="X1199">
        <v>0</v>
      </c>
      <c r="Y1199">
        <v>0</v>
      </c>
      <c r="Z1199">
        <v>0</v>
      </c>
      <c r="AB1199" s="5">
        <v>43966</v>
      </c>
      <c r="AC1199" s="5">
        <v>43980</v>
      </c>
      <c r="AD1199" s="5">
        <v>44012.333333333336</v>
      </c>
      <c r="AE1199" s="5">
        <v>44012.333333333336</v>
      </c>
      <c r="AG1199" s="5">
        <v>44044</v>
      </c>
      <c r="AH1199" s="5">
        <v>44044</v>
      </c>
      <c r="AK1199" s="5">
        <v>43983.333333333336</v>
      </c>
      <c r="AL1199" s="5">
        <v>43987.666666666664</v>
      </c>
      <c r="AP1199" t="s">
        <v>418</v>
      </c>
      <c r="AU1199" t="s">
        <v>5521</v>
      </c>
      <c r="AV1199" t="s">
        <v>5522</v>
      </c>
      <c r="AY1199" t="s">
        <v>37</v>
      </c>
      <c r="AZ1199">
        <v>0</v>
      </c>
      <c r="BA1199">
        <v>0</v>
      </c>
      <c r="BI1199" s="5">
        <v>44048.176388888889</v>
      </c>
      <c r="BJ1199" s="5">
        <v>44048.176388888889</v>
      </c>
      <c r="BK1199" t="s">
        <v>778</v>
      </c>
      <c r="BL1199" t="s">
        <v>778</v>
      </c>
      <c r="BN1199" t="s">
        <v>37</v>
      </c>
    </row>
    <row r="1200" spans="1:66" x14ac:dyDescent="0.2">
      <c r="A1200">
        <v>3693757</v>
      </c>
      <c r="B1200">
        <v>21883</v>
      </c>
      <c r="C1200">
        <v>523858</v>
      </c>
      <c r="D1200">
        <v>52899</v>
      </c>
      <c r="E1200">
        <v>100</v>
      </c>
      <c r="F1200" t="s">
        <v>37</v>
      </c>
      <c r="G1200">
        <v>1</v>
      </c>
      <c r="H1200" t="s">
        <v>37</v>
      </c>
      <c r="I1200" t="s">
        <v>37</v>
      </c>
      <c r="J1200" t="s">
        <v>775</v>
      </c>
      <c r="K1200" t="s">
        <v>230</v>
      </c>
      <c r="L1200" t="s">
        <v>226</v>
      </c>
      <c r="M1200" t="s">
        <v>422</v>
      </c>
      <c r="N1200" t="s">
        <v>5523</v>
      </c>
      <c r="O1200" t="s">
        <v>3280</v>
      </c>
      <c r="S1200">
        <v>0</v>
      </c>
      <c r="T1200">
        <v>16</v>
      </c>
      <c r="U1200">
        <v>0</v>
      </c>
      <c r="V1200">
        <v>16</v>
      </c>
      <c r="W1200">
        <v>16</v>
      </c>
      <c r="X1200">
        <v>0</v>
      </c>
      <c r="Y1200">
        <v>0</v>
      </c>
      <c r="Z1200">
        <v>0</v>
      </c>
      <c r="AB1200" s="5">
        <v>43958</v>
      </c>
      <c r="AC1200" s="5">
        <v>43959</v>
      </c>
      <c r="AD1200" s="5">
        <v>44012.333333333336</v>
      </c>
      <c r="AE1200" s="5">
        <v>44012.333333333336</v>
      </c>
      <c r="AG1200" s="5">
        <v>44044</v>
      </c>
      <c r="AH1200" s="5">
        <v>44044</v>
      </c>
      <c r="AK1200" s="5">
        <v>43971.333333333336</v>
      </c>
      <c r="AL1200" s="5">
        <v>43972.666666666664</v>
      </c>
      <c r="AP1200" t="s">
        <v>418</v>
      </c>
      <c r="AU1200" t="s">
        <v>5524</v>
      </c>
      <c r="AV1200" t="s">
        <v>5525</v>
      </c>
      <c r="AY1200" t="s">
        <v>37</v>
      </c>
      <c r="AZ1200">
        <v>0</v>
      </c>
      <c r="BA1200">
        <v>0</v>
      </c>
      <c r="BI1200" s="5">
        <v>44048.176388888889</v>
      </c>
      <c r="BJ1200" s="5">
        <v>44048.176388888889</v>
      </c>
      <c r="BK1200" t="s">
        <v>778</v>
      </c>
      <c r="BL1200" t="s">
        <v>778</v>
      </c>
      <c r="BN1200" t="s">
        <v>37</v>
      </c>
    </row>
    <row r="1201" spans="1:66" x14ac:dyDescent="0.2">
      <c r="A1201">
        <v>3693758</v>
      </c>
      <c r="B1201">
        <v>21883</v>
      </c>
      <c r="C1201">
        <v>523858</v>
      </c>
      <c r="D1201">
        <v>52899</v>
      </c>
      <c r="E1201">
        <v>100</v>
      </c>
      <c r="F1201" t="s">
        <v>37</v>
      </c>
      <c r="G1201">
        <v>1</v>
      </c>
      <c r="H1201" t="s">
        <v>37</v>
      </c>
      <c r="I1201" t="s">
        <v>37</v>
      </c>
      <c r="J1201" t="s">
        <v>775</v>
      </c>
      <c r="K1201" t="s">
        <v>230</v>
      </c>
      <c r="L1201" t="s">
        <v>226</v>
      </c>
      <c r="M1201" t="s">
        <v>422</v>
      </c>
      <c r="N1201" t="s">
        <v>5526</v>
      </c>
      <c r="O1201" t="s">
        <v>3284</v>
      </c>
      <c r="S1201">
        <v>0</v>
      </c>
      <c r="T1201">
        <v>8</v>
      </c>
      <c r="U1201">
        <v>0</v>
      </c>
      <c r="V1201">
        <v>8</v>
      </c>
      <c r="W1201">
        <v>8</v>
      </c>
      <c r="X1201">
        <v>0</v>
      </c>
      <c r="Y1201">
        <v>0</v>
      </c>
      <c r="Z1201">
        <v>0</v>
      </c>
      <c r="AB1201" s="5">
        <v>43964</v>
      </c>
      <c r="AC1201" s="5">
        <v>43964</v>
      </c>
      <c r="AD1201" s="5">
        <v>44012.333333333336</v>
      </c>
      <c r="AE1201" s="5">
        <v>44012.333333333336</v>
      </c>
      <c r="AG1201" s="5">
        <v>44044</v>
      </c>
      <c r="AH1201" s="5">
        <v>44044</v>
      </c>
      <c r="AK1201" s="5">
        <v>43969.333333333336</v>
      </c>
      <c r="AL1201" s="5">
        <v>43969.666666666664</v>
      </c>
      <c r="AP1201" t="s">
        <v>418</v>
      </c>
      <c r="AU1201" t="s">
        <v>5527</v>
      </c>
      <c r="AV1201" t="s">
        <v>5528</v>
      </c>
      <c r="AY1201" t="s">
        <v>37</v>
      </c>
      <c r="AZ1201">
        <v>0</v>
      </c>
      <c r="BA1201">
        <v>0</v>
      </c>
      <c r="BI1201" s="5">
        <v>44048.176388888889</v>
      </c>
      <c r="BJ1201" s="5">
        <v>44048.176388888889</v>
      </c>
      <c r="BK1201" t="s">
        <v>778</v>
      </c>
      <c r="BL1201" t="s">
        <v>778</v>
      </c>
      <c r="BN1201" t="s">
        <v>37</v>
      </c>
    </row>
    <row r="1202" spans="1:66" x14ac:dyDescent="0.2">
      <c r="A1202">
        <v>3693759</v>
      </c>
      <c r="B1202">
        <v>21883</v>
      </c>
      <c r="C1202">
        <v>523858</v>
      </c>
      <c r="D1202">
        <v>52895</v>
      </c>
      <c r="E1202">
        <v>100</v>
      </c>
      <c r="F1202" t="s">
        <v>37</v>
      </c>
      <c r="G1202">
        <v>1</v>
      </c>
      <c r="H1202" t="s">
        <v>37</v>
      </c>
      <c r="I1202" t="s">
        <v>37</v>
      </c>
      <c r="J1202" t="s">
        <v>775</v>
      </c>
      <c r="K1202" t="s">
        <v>230</v>
      </c>
      <c r="L1202" t="s">
        <v>226</v>
      </c>
      <c r="M1202" t="s">
        <v>422</v>
      </c>
      <c r="N1202" t="s">
        <v>5529</v>
      </c>
      <c r="O1202" t="s">
        <v>3288</v>
      </c>
      <c r="S1202">
        <v>0</v>
      </c>
      <c r="T1202">
        <v>0</v>
      </c>
      <c r="U1202">
        <v>0</v>
      </c>
      <c r="V1202">
        <v>0</v>
      </c>
      <c r="W1202">
        <v>24</v>
      </c>
      <c r="X1202">
        <v>0</v>
      </c>
      <c r="Y1202">
        <v>0</v>
      </c>
      <c r="Z1202">
        <v>0</v>
      </c>
      <c r="AB1202" s="5">
        <v>43966</v>
      </c>
      <c r="AC1202" s="5">
        <v>43972</v>
      </c>
      <c r="AD1202" s="5">
        <v>44012.333333333336</v>
      </c>
      <c r="AE1202" s="5">
        <v>44012.333333333336</v>
      </c>
      <c r="AG1202" s="5">
        <v>44044</v>
      </c>
      <c r="AH1202" s="5">
        <v>44044</v>
      </c>
      <c r="AK1202" s="5">
        <v>43969.333333333336</v>
      </c>
      <c r="AL1202" s="5">
        <v>43971.666666666664</v>
      </c>
      <c r="AP1202" t="s">
        <v>418</v>
      </c>
      <c r="AU1202" t="s">
        <v>5530</v>
      </c>
      <c r="AV1202" t="s">
        <v>5531</v>
      </c>
      <c r="AY1202" t="s">
        <v>37</v>
      </c>
      <c r="AZ1202">
        <v>0</v>
      </c>
      <c r="BA1202">
        <v>0</v>
      </c>
      <c r="BI1202" s="5">
        <v>44048.176388888889</v>
      </c>
      <c r="BJ1202" s="5">
        <v>44048.176388888889</v>
      </c>
      <c r="BK1202" t="s">
        <v>778</v>
      </c>
      <c r="BL1202" t="s">
        <v>778</v>
      </c>
      <c r="BN1202" t="s">
        <v>37</v>
      </c>
    </row>
    <row r="1203" spans="1:66" x14ac:dyDescent="0.2">
      <c r="A1203">
        <v>3693760</v>
      </c>
      <c r="B1203">
        <v>21883</v>
      </c>
      <c r="C1203">
        <v>523858</v>
      </c>
      <c r="D1203">
        <v>52899</v>
      </c>
      <c r="E1203">
        <v>100</v>
      </c>
      <c r="F1203" t="s">
        <v>37</v>
      </c>
      <c r="G1203">
        <v>1</v>
      </c>
      <c r="H1203" t="s">
        <v>37</v>
      </c>
      <c r="I1203" t="s">
        <v>37</v>
      </c>
      <c r="J1203" t="s">
        <v>775</v>
      </c>
      <c r="K1203" t="s">
        <v>230</v>
      </c>
      <c r="L1203" t="s">
        <v>226</v>
      </c>
      <c r="M1203" t="s">
        <v>422</v>
      </c>
      <c r="N1203" t="s">
        <v>5532</v>
      </c>
      <c r="O1203" t="s">
        <v>3291</v>
      </c>
      <c r="S1203">
        <v>0</v>
      </c>
      <c r="T1203">
        <v>8</v>
      </c>
      <c r="U1203">
        <v>0</v>
      </c>
      <c r="V1203">
        <v>8</v>
      </c>
      <c r="W1203">
        <v>8</v>
      </c>
      <c r="X1203">
        <v>0</v>
      </c>
      <c r="Y1203">
        <v>0</v>
      </c>
      <c r="Z1203">
        <v>0</v>
      </c>
      <c r="AB1203" s="5">
        <v>43983</v>
      </c>
      <c r="AC1203" s="5">
        <v>43983</v>
      </c>
      <c r="AD1203" s="5">
        <v>44012.333333333336</v>
      </c>
      <c r="AE1203" s="5">
        <v>44012.333333333336</v>
      </c>
      <c r="AG1203" s="5">
        <v>44044</v>
      </c>
      <c r="AH1203" s="5">
        <v>44044</v>
      </c>
      <c r="AK1203" s="5">
        <v>44004.333333333336</v>
      </c>
      <c r="AL1203" s="5">
        <v>44004.666666666664</v>
      </c>
      <c r="AP1203" t="s">
        <v>418</v>
      </c>
      <c r="AU1203" t="s">
        <v>5533</v>
      </c>
      <c r="AV1203" t="s">
        <v>5534</v>
      </c>
      <c r="AY1203" t="s">
        <v>37</v>
      </c>
      <c r="AZ1203">
        <v>0</v>
      </c>
      <c r="BA1203">
        <v>0</v>
      </c>
      <c r="BI1203" s="5">
        <v>44048.176388888889</v>
      </c>
      <c r="BJ1203" s="5">
        <v>44048.176388888889</v>
      </c>
      <c r="BK1203" t="s">
        <v>778</v>
      </c>
      <c r="BL1203" t="s">
        <v>778</v>
      </c>
      <c r="BN1203" t="s">
        <v>37</v>
      </c>
    </row>
    <row r="1204" spans="1:66" x14ac:dyDescent="0.2">
      <c r="A1204">
        <v>3693761</v>
      </c>
      <c r="B1204">
        <v>21883</v>
      </c>
      <c r="C1204">
        <v>523858</v>
      </c>
      <c r="D1204">
        <v>52899</v>
      </c>
      <c r="E1204">
        <v>100</v>
      </c>
      <c r="F1204" t="s">
        <v>37</v>
      </c>
      <c r="G1204">
        <v>1</v>
      </c>
      <c r="H1204" t="s">
        <v>37</v>
      </c>
      <c r="I1204" t="s">
        <v>37</v>
      </c>
      <c r="J1204" t="s">
        <v>775</v>
      </c>
      <c r="K1204" t="s">
        <v>230</v>
      </c>
      <c r="L1204" t="s">
        <v>226</v>
      </c>
      <c r="M1204" t="s">
        <v>422</v>
      </c>
      <c r="N1204" t="s">
        <v>5535</v>
      </c>
      <c r="O1204" t="s">
        <v>3768</v>
      </c>
      <c r="S1204">
        <v>0</v>
      </c>
      <c r="T1204">
        <v>16</v>
      </c>
      <c r="U1204">
        <v>0</v>
      </c>
      <c r="V1204">
        <v>16</v>
      </c>
      <c r="W1204">
        <v>16</v>
      </c>
      <c r="X1204">
        <v>0</v>
      </c>
      <c r="Y1204">
        <v>0</v>
      </c>
      <c r="Z1204">
        <v>0</v>
      </c>
      <c r="AB1204" s="5">
        <v>43990</v>
      </c>
      <c r="AC1204" s="5">
        <v>43991</v>
      </c>
      <c r="AD1204" s="5">
        <v>44012.333333333336</v>
      </c>
      <c r="AE1204" s="5">
        <v>44012.333333333336</v>
      </c>
      <c r="AG1204" s="5">
        <v>44044</v>
      </c>
      <c r="AH1204" s="5">
        <v>44044</v>
      </c>
      <c r="AK1204" s="5">
        <v>44004.333333333336</v>
      </c>
      <c r="AL1204" s="5">
        <v>44005.666666666664</v>
      </c>
      <c r="AP1204" t="s">
        <v>418</v>
      </c>
      <c r="AU1204" t="s">
        <v>5536</v>
      </c>
      <c r="AV1204" t="s">
        <v>5537</v>
      </c>
      <c r="AY1204" t="s">
        <v>37</v>
      </c>
      <c r="AZ1204">
        <v>0</v>
      </c>
      <c r="BA1204">
        <v>0</v>
      </c>
      <c r="BI1204" s="5">
        <v>44048.176388888889</v>
      </c>
      <c r="BJ1204" s="5">
        <v>44048.176388888889</v>
      </c>
      <c r="BK1204" t="s">
        <v>778</v>
      </c>
      <c r="BL1204" t="s">
        <v>778</v>
      </c>
      <c r="BN1204" t="s">
        <v>37</v>
      </c>
    </row>
    <row r="1205" spans="1:66" x14ac:dyDescent="0.2">
      <c r="A1205">
        <v>3693762</v>
      </c>
      <c r="B1205">
        <v>21883</v>
      </c>
      <c r="C1205">
        <v>523858</v>
      </c>
      <c r="D1205">
        <v>52899</v>
      </c>
      <c r="E1205">
        <v>100</v>
      </c>
      <c r="F1205" t="s">
        <v>37</v>
      </c>
      <c r="G1205">
        <v>1</v>
      </c>
      <c r="H1205" t="s">
        <v>37</v>
      </c>
      <c r="I1205" t="s">
        <v>37</v>
      </c>
      <c r="J1205" t="s">
        <v>775</v>
      </c>
      <c r="K1205" t="s">
        <v>230</v>
      </c>
      <c r="L1205" t="s">
        <v>226</v>
      </c>
      <c r="M1205" t="s">
        <v>422</v>
      </c>
      <c r="N1205" t="s">
        <v>5538</v>
      </c>
      <c r="O1205" t="s">
        <v>3772</v>
      </c>
      <c r="S1205">
        <v>0</v>
      </c>
      <c r="T1205">
        <v>32</v>
      </c>
      <c r="U1205">
        <v>0</v>
      </c>
      <c r="V1205">
        <v>32</v>
      </c>
      <c r="W1205">
        <v>32</v>
      </c>
      <c r="X1205">
        <v>0</v>
      </c>
      <c r="Y1205">
        <v>0</v>
      </c>
      <c r="Z1205">
        <v>0</v>
      </c>
      <c r="AB1205" s="5">
        <v>43992</v>
      </c>
      <c r="AC1205" s="5">
        <v>43992</v>
      </c>
      <c r="AD1205" s="5">
        <v>44012.333333333336</v>
      </c>
      <c r="AE1205" s="5">
        <v>44012.333333333336</v>
      </c>
      <c r="AG1205" s="5">
        <v>44044</v>
      </c>
      <c r="AH1205" s="5">
        <v>44044</v>
      </c>
      <c r="AK1205" s="5">
        <v>44004.333333333336</v>
      </c>
      <c r="AL1205" s="5">
        <v>44007.666666666664</v>
      </c>
      <c r="AP1205" t="s">
        <v>418</v>
      </c>
      <c r="AU1205" t="s">
        <v>5539</v>
      </c>
      <c r="AV1205" t="s">
        <v>5540</v>
      </c>
      <c r="AY1205" t="s">
        <v>37</v>
      </c>
      <c r="AZ1205">
        <v>0</v>
      </c>
      <c r="BA1205">
        <v>0</v>
      </c>
      <c r="BI1205" s="5">
        <v>44048.176388888889</v>
      </c>
      <c r="BJ1205" s="5">
        <v>44048.176388888889</v>
      </c>
      <c r="BK1205" t="s">
        <v>778</v>
      </c>
      <c r="BL1205" t="s">
        <v>778</v>
      </c>
      <c r="BN1205" t="s">
        <v>37</v>
      </c>
    </row>
    <row r="1206" spans="1:66" x14ac:dyDescent="0.2">
      <c r="A1206">
        <v>3693763</v>
      </c>
      <c r="B1206">
        <v>21883</v>
      </c>
      <c r="C1206">
        <v>523999</v>
      </c>
      <c r="D1206">
        <v>52899</v>
      </c>
      <c r="E1206">
        <v>100</v>
      </c>
      <c r="F1206" t="s">
        <v>37</v>
      </c>
      <c r="G1206">
        <v>1</v>
      </c>
      <c r="H1206" t="s">
        <v>37</v>
      </c>
      <c r="I1206" t="s">
        <v>37</v>
      </c>
      <c r="J1206" t="s">
        <v>775</v>
      </c>
      <c r="K1206" t="s">
        <v>230</v>
      </c>
      <c r="L1206" t="s">
        <v>226</v>
      </c>
      <c r="M1206" t="s">
        <v>422</v>
      </c>
      <c r="N1206" t="s">
        <v>5541</v>
      </c>
      <c r="O1206" t="s">
        <v>5542</v>
      </c>
      <c r="S1206">
        <v>0</v>
      </c>
      <c r="T1206">
        <v>48</v>
      </c>
      <c r="U1206">
        <v>0</v>
      </c>
      <c r="V1206">
        <v>48</v>
      </c>
      <c r="W1206">
        <v>0</v>
      </c>
      <c r="X1206">
        <v>0</v>
      </c>
      <c r="Y1206">
        <v>0</v>
      </c>
      <c r="Z1206">
        <v>0</v>
      </c>
      <c r="AB1206" s="5">
        <v>43831</v>
      </c>
      <c r="AC1206" s="5">
        <v>43831</v>
      </c>
      <c r="AD1206" s="5">
        <v>44306.666666666664</v>
      </c>
      <c r="AE1206" s="5">
        <v>44306.666666666664</v>
      </c>
      <c r="AG1206" s="5">
        <v>44044</v>
      </c>
      <c r="AH1206" s="5">
        <v>44044</v>
      </c>
      <c r="AK1206" s="5">
        <v>43864.333333333336</v>
      </c>
      <c r="AL1206" s="5">
        <v>43864.333333333336</v>
      </c>
      <c r="AP1206" t="s">
        <v>418</v>
      </c>
      <c r="AU1206" t="s">
        <v>5543</v>
      </c>
      <c r="AV1206" t="s">
        <v>5544</v>
      </c>
      <c r="AY1206" t="s">
        <v>37</v>
      </c>
      <c r="AZ1206">
        <v>0</v>
      </c>
      <c r="BA1206">
        <v>0</v>
      </c>
      <c r="BI1206" s="5">
        <v>44048.176388888889</v>
      </c>
      <c r="BJ1206" s="5">
        <v>44048.176388888889</v>
      </c>
      <c r="BK1206" t="s">
        <v>778</v>
      </c>
      <c r="BL1206" t="s">
        <v>778</v>
      </c>
      <c r="BN1206" t="s">
        <v>37</v>
      </c>
    </row>
    <row r="1207" spans="1:66" x14ac:dyDescent="0.2">
      <c r="A1207">
        <v>3693764</v>
      </c>
      <c r="B1207">
        <v>21883</v>
      </c>
      <c r="C1207">
        <v>523858</v>
      </c>
      <c r="D1207">
        <v>52899</v>
      </c>
      <c r="E1207">
        <v>100</v>
      </c>
      <c r="F1207" t="s">
        <v>37</v>
      </c>
      <c r="G1207">
        <v>1</v>
      </c>
      <c r="H1207" t="s">
        <v>37</v>
      </c>
      <c r="I1207" t="s">
        <v>37</v>
      </c>
      <c r="J1207" t="s">
        <v>775</v>
      </c>
      <c r="K1207" t="s">
        <v>230</v>
      </c>
      <c r="L1207" t="s">
        <v>226</v>
      </c>
      <c r="M1207" t="s">
        <v>422</v>
      </c>
      <c r="N1207" t="s">
        <v>5545</v>
      </c>
      <c r="O1207" t="s">
        <v>5546</v>
      </c>
      <c r="S1207">
        <v>0</v>
      </c>
      <c r="T1207">
        <v>0</v>
      </c>
      <c r="U1207">
        <v>0</v>
      </c>
      <c r="V1207">
        <v>0</v>
      </c>
      <c r="W1207">
        <v>32</v>
      </c>
      <c r="X1207">
        <v>0</v>
      </c>
      <c r="Y1207">
        <v>0</v>
      </c>
      <c r="Z1207">
        <v>0</v>
      </c>
      <c r="AB1207" s="5">
        <v>44018</v>
      </c>
      <c r="AC1207" s="5">
        <v>44019</v>
      </c>
      <c r="AD1207" s="5">
        <v>44014.333333333336</v>
      </c>
      <c r="AE1207" s="5">
        <v>44014.333333333336</v>
      </c>
      <c r="AG1207" s="5">
        <v>44044</v>
      </c>
      <c r="AH1207" s="5">
        <v>44044</v>
      </c>
      <c r="AK1207" s="5">
        <v>44026.333333333336</v>
      </c>
      <c r="AL1207" s="5">
        <v>44029.666666666664</v>
      </c>
      <c r="AP1207" t="s">
        <v>418</v>
      </c>
      <c r="AU1207" t="s">
        <v>5547</v>
      </c>
      <c r="AV1207" t="s">
        <v>5548</v>
      </c>
      <c r="AY1207" t="s">
        <v>37</v>
      </c>
      <c r="AZ1207">
        <v>0</v>
      </c>
      <c r="BA1207">
        <v>0</v>
      </c>
      <c r="BI1207" s="5">
        <v>44048.176388888889</v>
      </c>
      <c r="BJ1207" s="5">
        <v>44048.176388888889</v>
      </c>
      <c r="BK1207" t="s">
        <v>778</v>
      </c>
      <c r="BL1207" t="s">
        <v>778</v>
      </c>
      <c r="BN1207" t="s">
        <v>37</v>
      </c>
    </row>
    <row r="1208" spans="1:66" x14ac:dyDescent="0.2">
      <c r="A1208">
        <v>3693765</v>
      </c>
      <c r="B1208">
        <v>21883</v>
      </c>
      <c r="C1208">
        <v>523858</v>
      </c>
      <c r="D1208">
        <v>52899</v>
      </c>
      <c r="E1208">
        <v>100</v>
      </c>
      <c r="F1208" t="s">
        <v>37</v>
      </c>
      <c r="G1208">
        <v>1</v>
      </c>
      <c r="H1208" t="s">
        <v>37</v>
      </c>
      <c r="I1208" t="s">
        <v>37</v>
      </c>
      <c r="J1208" t="s">
        <v>775</v>
      </c>
      <c r="K1208" t="s">
        <v>230</v>
      </c>
      <c r="L1208" t="s">
        <v>226</v>
      </c>
      <c r="M1208" t="s">
        <v>422</v>
      </c>
      <c r="N1208" t="s">
        <v>5549</v>
      </c>
      <c r="O1208" t="s">
        <v>4133</v>
      </c>
      <c r="S1208">
        <v>0</v>
      </c>
      <c r="T1208">
        <v>0</v>
      </c>
      <c r="U1208">
        <v>0</v>
      </c>
      <c r="V1208">
        <v>0</v>
      </c>
      <c r="W1208">
        <v>8</v>
      </c>
      <c r="X1208">
        <v>0</v>
      </c>
      <c r="Y1208">
        <v>0</v>
      </c>
      <c r="Z1208">
        <v>0</v>
      </c>
      <c r="AB1208" s="5">
        <v>43929</v>
      </c>
      <c r="AC1208" s="5">
        <v>43929</v>
      </c>
      <c r="AD1208" s="5">
        <v>44012.333333333336</v>
      </c>
      <c r="AE1208" s="5">
        <v>44012.333333333336</v>
      </c>
      <c r="AG1208" s="5">
        <v>44044</v>
      </c>
      <c r="AH1208" s="5">
        <v>44044</v>
      </c>
      <c r="AK1208" s="5">
        <v>43962.333333333336</v>
      </c>
      <c r="AL1208" s="5">
        <v>43962.666666666664</v>
      </c>
      <c r="AP1208" t="s">
        <v>418</v>
      </c>
      <c r="AU1208" t="s">
        <v>5550</v>
      </c>
      <c r="AV1208" t="s">
        <v>5551</v>
      </c>
      <c r="AY1208" t="s">
        <v>37</v>
      </c>
      <c r="AZ1208">
        <v>0</v>
      </c>
      <c r="BA1208">
        <v>0</v>
      </c>
      <c r="BI1208" s="5">
        <v>44048.176388888889</v>
      </c>
      <c r="BJ1208" s="5">
        <v>44048.176388888889</v>
      </c>
      <c r="BK1208" t="s">
        <v>778</v>
      </c>
      <c r="BL1208" t="s">
        <v>778</v>
      </c>
      <c r="BN1208" t="s">
        <v>37</v>
      </c>
    </row>
    <row r="1209" spans="1:66" x14ac:dyDescent="0.2">
      <c r="A1209">
        <v>3693766</v>
      </c>
      <c r="B1209">
        <v>21883</v>
      </c>
      <c r="C1209">
        <v>523999</v>
      </c>
      <c r="D1209">
        <v>52899</v>
      </c>
      <c r="E1209">
        <v>100</v>
      </c>
      <c r="F1209" t="s">
        <v>37</v>
      </c>
      <c r="G1209">
        <v>1</v>
      </c>
      <c r="H1209" t="s">
        <v>37</v>
      </c>
      <c r="I1209" t="s">
        <v>37</v>
      </c>
      <c r="J1209" t="s">
        <v>775</v>
      </c>
      <c r="K1209" t="s">
        <v>230</v>
      </c>
      <c r="L1209" t="s">
        <v>226</v>
      </c>
      <c r="M1209" t="s">
        <v>422</v>
      </c>
      <c r="N1209" t="s">
        <v>5552</v>
      </c>
      <c r="O1209" t="s">
        <v>5553</v>
      </c>
      <c r="S1209">
        <v>0</v>
      </c>
      <c r="T1209">
        <v>16</v>
      </c>
      <c r="U1209">
        <v>0</v>
      </c>
      <c r="V1209">
        <v>16</v>
      </c>
      <c r="W1209">
        <v>0</v>
      </c>
      <c r="X1209">
        <v>0</v>
      </c>
      <c r="Y1209">
        <v>0</v>
      </c>
      <c r="Z1209">
        <v>0</v>
      </c>
      <c r="AB1209" s="5">
        <v>43831</v>
      </c>
      <c r="AC1209" s="5">
        <v>43831</v>
      </c>
      <c r="AD1209" s="5">
        <v>44306.666666666664</v>
      </c>
      <c r="AE1209" s="5">
        <v>44306.666666666664</v>
      </c>
      <c r="AG1209" s="5">
        <v>44044</v>
      </c>
      <c r="AH1209" s="5">
        <v>44044</v>
      </c>
      <c r="AK1209" s="5">
        <v>43951.333333333336</v>
      </c>
      <c r="AL1209" s="5">
        <v>43951.333333333336</v>
      </c>
      <c r="AP1209" t="s">
        <v>418</v>
      </c>
      <c r="AU1209" t="s">
        <v>5554</v>
      </c>
      <c r="AV1209" t="s">
        <v>5555</v>
      </c>
      <c r="AY1209" t="s">
        <v>37</v>
      </c>
      <c r="AZ1209">
        <v>0</v>
      </c>
      <c r="BA1209">
        <v>0</v>
      </c>
      <c r="BI1209" s="5">
        <v>44048.176388888889</v>
      </c>
      <c r="BJ1209" s="5">
        <v>44048.176388888889</v>
      </c>
      <c r="BK1209" t="s">
        <v>778</v>
      </c>
      <c r="BL1209" t="s">
        <v>778</v>
      </c>
      <c r="BN1209" t="s">
        <v>37</v>
      </c>
    </row>
    <row r="1210" spans="1:66" x14ac:dyDescent="0.2">
      <c r="A1210">
        <v>3693767</v>
      </c>
      <c r="B1210">
        <v>21883</v>
      </c>
      <c r="C1210">
        <v>523858</v>
      </c>
      <c r="D1210">
        <v>52899</v>
      </c>
      <c r="E1210">
        <v>100</v>
      </c>
      <c r="F1210" t="s">
        <v>37</v>
      </c>
      <c r="G1210">
        <v>1</v>
      </c>
      <c r="H1210" t="s">
        <v>37</v>
      </c>
      <c r="I1210" t="s">
        <v>37</v>
      </c>
      <c r="J1210" t="s">
        <v>775</v>
      </c>
      <c r="K1210" t="s">
        <v>230</v>
      </c>
      <c r="L1210" t="s">
        <v>226</v>
      </c>
      <c r="M1210" t="s">
        <v>422</v>
      </c>
      <c r="N1210" t="s">
        <v>5556</v>
      </c>
      <c r="O1210" t="s">
        <v>4141</v>
      </c>
      <c r="S1210">
        <v>0</v>
      </c>
      <c r="T1210">
        <v>8</v>
      </c>
      <c r="U1210">
        <v>0</v>
      </c>
      <c r="V1210">
        <v>8</v>
      </c>
      <c r="W1210">
        <v>8</v>
      </c>
      <c r="X1210">
        <v>0</v>
      </c>
      <c r="Y1210">
        <v>0</v>
      </c>
      <c r="Z1210">
        <v>0</v>
      </c>
      <c r="AB1210" s="5">
        <v>43929</v>
      </c>
      <c r="AC1210" s="5">
        <v>43929</v>
      </c>
      <c r="AD1210" s="5">
        <v>44012.333333333336</v>
      </c>
      <c r="AE1210" s="5">
        <v>44012.333333333336</v>
      </c>
      <c r="AG1210" s="5">
        <v>44044</v>
      </c>
      <c r="AH1210" s="5">
        <v>44044</v>
      </c>
      <c r="AK1210" s="5">
        <v>43962.333333333336</v>
      </c>
      <c r="AL1210" s="5">
        <v>43962.666666666664</v>
      </c>
      <c r="AP1210" t="s">
        <v>418</v>
      </c>
      <c r="AU1210" t="s">
        <v>5557</v>
      </c>
      <c r="AV1210" t="s">
        <v>5558</v>
      </c>
      <c r="AY1210" t="s">
        <v>37</v>
      </c>
      <c r="AZ1210">
        <v>0</v>
      </c>
      <c r="BA1210">
        <v>0</v>
      </c>
      <c r="BI1210" s="5">
        <v>44048.176388888889</v>
      </c>
      <c r="BJ1210" s="5">
        <v>44048.176388888889</v>
      </c>
      <c r="BK1210" t="s">
        <v>778</v>
      </c>
      <c r="BL1210" t="s">
        <v>778</v>
      </c>
      <c r="BN1210" t="s">
        <v>37</v>
      </c>
    </row>
    <row r="1211" spans="1:66" x14ac:dyDescent="0.2">
      <c r="A1211">
        <v>3693768</v>
      </c>
      <c r="B1211">
        <v>21883</v>
      </c>
      <c r="C1211">
        <v>523858</v>
      </c>
      <c r="D1211">
        <v>52899</v>
      </c>
      <c r="E1211">
        <v>100</v>
      </c>
      <c r="F1211" t="s">
        <v>37</v>
      </c>
      <c r="G1211">
        <v>1</v>
      </c>
      <c r="H1211" t="s">
        <v>37</v>
      </c>
      <c r="I1211" t="s">
        <v>37</v>
      </c>
      <c r="J1211" t="s">
        <v>775</v>
      </c>
      <c r="K1211" t="s">
        <v>230</v>
      </c>
      <c r="L1211" t="s">
        <v>226</v>
      </c>
      <c r="M1211" t="s">
        <v>422</v>
      </c>
      <c r="N1211" t="s">
        <v>5559</v>
      </c>
      <c r="O1211" t="s">
        <v>4145</v>
      </c>
      <c r="S1211">
        <v>0</v>
      </c>
      <c r="T1211">
        <v>16</v>
      </c>
      <c r="U1211">
        <v>0</v>
      </c>
      <c r="V1211">
        <v>16</v>
      </c>
      <c r="W1211">
        <v>16</v>
      </c>
      <c r="X1211">
        <v>0</v>
      </c>
      <c r="Y1211">
        <v>0</v>
      </c>
      <c r="Z1211">
        <v>0</v>
      </c>
      <c r="AB1211" s="5">
        <v>43948</v>
      </c>
      <c r="AC1211" s="5">
        <v>43950</v>
      </c>
      <c r="AD1211" s="5">
        <v>44012.333333333336</v>
      </c>
      <c r="AE1211" s="5">
        <v>44012.333333333336</v>
      </c>
      <c r="AG1211" s="5">
        <v>44044</v>
      </c>
      <c r="AH1211" s="5">
        <v>44044</v>
      </c>
      <c r="AK1211" s="5">
        <v>43956.333333333336</v>
      </c>
      <c r="AL1211" s="5">
        <v>43957.666666666664</v>
      </c>
      <c r="AP1211" t="s">
        <v>418</v>
      </c>
      <c r="AU1211" t="s">
        <v>5560</v>
      </c>
      <c r="AV1211" t="s">
        <v>5561</v>
      </c>
      <c r="AY1211" t="s">
        <v>37</v>
      </c>
      <c r="AZ1211">
        <v>0</v>
      </c>
      <c r="BA1211">
        <v>0</v>
      </c>
      <c r="BI1211" s="5">
        <v>44048.176388888889</v>
      </c>
      <c r="BJ1211" s="5">
        <v>44048.176388888889</v>
      </c>
      <c r="BK1211" t="s">
        <v>778</v>
      </c>
      <c r="BL1211" t="s">
        <v>778</v>
      </c>
      <c r="BN1211" t="s">
        <v>37</v>
      </c>
    </row>
    <row r="1212" spans="1:66" x14ac:dyDescent="0.2">
      <c r="A1212">
        <v>3693769</v>
      </c>
      <c r="B1212">
        <v>21883</v>
      </c>
      <c r="C1212">
        <v>523858</v>
      </c>
      <c r="D1212">
        <v>52899</v>
      </c>
      <c r="E1212">
        <v>100</v>
      </c>
      <c r="F1212" t="s">
        <v>37</v>
      </c>
      <c r="G1212">
        <v>1</v>
      </c>
      <c r="H1212" t="s">
        <v>37</v>
      </c>
      <c r="I1212" t="s">
        <v>37</v>
      </c>
      <c r="J1212" t="s">
        <v>775</v>
      </c>
      <c r="K1212" t="s">
        <v>230</v>
      </c>
      <c r="L1212" t="s">
        <v>226</v>
      </c>
      <c r="M1212" t="s">
        <v>422</v>
      </c>
      <c r="N1212" t="s">
        <v>5562</v>
      </c>
      <c r="O1212" t="s">
        <v>4149</v>
      </c>
      <c r="S1212">
        <v>0</v>
      </c>
      <c r="T1212">
        <v>32</v>
      </c>
      <c r="U1212">
        <v>0</v>
      </c>
      <c r="V1212">
        <v>32</v>
      </c>
      <c r="W1212">
        <v>32</v>
      </c>
      <c r="X1212">
        <v>0</v>
      </c>
      <c r="Y1212">
        <v>0</v>
      </c>
      <c r="Z1212">
        <v>0</v>
      </c>
      <c r="AB1212" s="5">
        <v>43962</v>
      </c>
      <c r="AC1212" s="5">
        <v>43963</v>
      </c>
      <c r="AD1212" s="5">
        <v>44012.333333333336</v>
      </c>
      <c r="AE1212" s="5">
        <v>44012.333333333336</v>
      </c>
      <c r="AG1212" s="5">
        <v>44044</v>
      </c>
      <c r="AH1212" s="5">
        <v>44044</v>
      </c>
      <c r="AK1212" s="5">
        <v>43969.333333333336</v>
      </c>
      <c r="AL1212" s="5">
        <v>43972.666666666664</v>
      </c>
      <c r="AP1212" t="s">
        <v>418</v>
      </c>
      <c r="AU1212" t="s">
        <v>5563</v>
      </c>
      <c r="AV1212" t="s">
        <v>5564</v>
      </c>
      <c r="AY1212" t="s">
        <v>37</v>
      </c>
      <c r="AZ1212">
        <v>0</v>
      </c>
      <c r="BA1212">
        <v>0</v>
      </c>
      <c r="BI1212" s="5">
        <v>44048.176388888889</v>
      </c>
      <c r="BJ1212" s="5">
        <v>44048.176388888889</v>
      </c>
      <c r="BK1212" t="s">
        <v>778</v>
      </c>
      <c r="BL1212" t="s">
        <v>778</v>
      </c>
      <c r="BN1212" t="s">
        <v>37</v>
      </c>
    </row>
    <row r="1213" spans="1:66" x14ac:dyDescent="0.2">
      <c r="A1213">
        <v>3693770</v>
      </c>
      <c r="B1213">
        <v>21883</v>
      </c>
      <c r="C1213">
        <v>523857</v>
      </c>
      <c r="D1213">
        <v>52899</v>
      </c>
      <c r="E1213">
        <v>100</v>
      </c>
      <c r="F1213" t="s">
        <v>37</v>
      </c>
      <c r="G1213">
        <v>1</v>
      </c>
      <c r="H1213" t="s">
        <v>37</v>
      </c>
      <c r="I1213" t="s">
        <v>37</v>
      </c>
      <c r="J1213" t="s">
        <v>775</v>
      </c>
      <c r="K1213" t="s">
        <v>230</v>
      </c>
      <c r="L1213" t="s">
        <v>226</v>
      </c>
      <c r="M1213" t="s">
        <v>422</v>
      </c>
      <c r="N1213" t="s">
        <v>5565</v>
      </c>
      <c r="O1213" t="s">
        <v>2386</v>
      </c>
      <c r="S1213">
        <v>0</v>
      </c>
      <c r="T1213">
        <v>16</v>
      </c>
      <c r="U1213">
        <v>0</v>
      </c>
      <c r="V1213">
        <v>16</v>
      </c>
      <c r="W1213">
        <v>16</v>
      </c>
      <c r="X1213">
        <v>0</v>
      </c>
      <c r="Y1213">
        <v>0</v>
      </c>
      <c r="Z1213">
        <v>0</v>
      </c>
      <c r="AB1213" s="5">
        <v>43929</v>
      </c>
      <c r="AC1213" s="5">
        <v>43929</v>
      </c>
      <c r="AD1213" s="5">
        <v>44005.333333333336</v>
      </c>
      <c r="AE1213" s="5">
        <v>44005.333333333336</v>
      </c>
      <c r="AG1213" s="5">
        <v>44044</v>
      </c>
      <c r="AH1213" s="5">
        <v>44044</v>
      </c>
      <c r="AK1213" s="5">
        <v>43934.333333333336</v>
      </c>
      <c r="AL1213" s="5">
        <v>43935.666666666664</v>
      </c>
      <c r="AP1213" t="s">
        <v>418</v>
      </c>
      <c r="AU1213" t="s">
        <v>5566</v>
      </c>
      <c r="AV1213" t="s">
        <v>5567</v>
      </c>
      <c r="AY1213" t="s">
        <v>37</v>
      </c>
      <c r="AZ1213">
        <v>0</v>
      </c>
      <c r="BA1213">
        <v>0</v>
      </c>
      <c r="BI1213" s="5">
        <v>44048.176388888889</v>
      </c>
      <c r="BJ1213" s="5">
        <v>44048.176388888889</v>
      </c>
      <c r="BK1213" t="s">
        <v>778</v>
      </c>
      <c r="BL1213" t="s">
        <v>778</v>
      </c>
      <c r="BN1213" t="s">
        <v>37</v>
      </c>
    </row>
    <row r="1214" spans="1:66" x14ac:dyDescent="0.2">
      <c r="A1214">
        <v>3693771</v>
      </c>
      <c r="B1214">
        <v>21883</v>
      </c>
      <c r="C1214">
        <v>523857</v>
      </c>
      <c r="D1214">
        <v>52899</v>
      </c>
      <c r="E1214">
        <v>100</v>
      </c>
      <c r="F1214" t="s">
        <v>37</v>
      </c>
      <c r="G1214">
        <v>1</v>
      </c>
      <c r="H1214" t="s">
        <v>37</v>
      </c>
      <c r="I1214" t="s">
        <v>37</v>
      </c>
      <c r="J1214" t="s">
        <v>775</v>
      </c>
      <c r="K1214" t="s">
        <v>230</v>
      </c>
      <c r="L1214" t="s">
        <v>226</v>
      </c>
      <c r="M1214" t="s">
        <v>422</v>
      </c>
      <c r="N1214" t="s">
        <v>5568</v>
      </c>
      <c r="O1214" t="s">
        <v>2390</v>
      </c>
      <c r="S1214">
        <v>0</v>
      </c>
      <c r="T1214">
        <v>16</v>
      </c>
      <c r="U1214">
        <v>0</v>
      </c>
      <c r="V1214">
        <v>16</v>
      </c>
      <c r="W1214">
        <v>16</v>
      </c>
      <c r="X1214">
        <v>0</v>
      </c>
      <c r="Y1214">
        <v>0</v>
      </c>
      <c r="Z1214">
        <v>0</v>
      </c>
      <c r="AB1214" s="5">
        <v>43930</v>
      </c>
      <c r="AC1214" s="5">
        <v>43935</v>
      </c>
      <c r="AD1214" s="5">
        <v>44005.333333333336</v>
      </c>
      <c r="AE1214" s="5">
        <v>44005.333333333336</v>
      </c>
      <c r="AG1214" s="5">
        <v>44044</v>
      </c>
      <c r="AH1214" s="5">
        <v>44044</v>
      </c>
      <c r="AK1214" s="5">
        <v>43937.333333333336</v>
      </c>
      <c r="AL1214" s="5">
        <v>43938.666666666664</v>
      </c>
      <c r="AP1214" t="s">
        <v>418</v>
      </c>
      <c r="AU1214" t="s">
        <v>5569</v>
      </c>
      <c r="AV1214" t="s">
        <v>5570</v>
      </c>
      <c r="AY1214" t="s">
        <v>37</v>
      </c>
      <c r="AZ1214">
        <v>0</v>
      </c>
      <c r="BA1214">
        <v>0</v>
      </c>
      <c r="BI1214" s="5">
        <v>44048.176388888889</v>
      </c>
      <c r="BJ1214" s="5">
        <v>44048.176388888889</v>
      </c>
      <c r="BK1214" t="s">
        <v>778</v>
      </c>
      <c r="BL1214" t="s">
        <v>778</v>
      </c>
      <c r="BN1214" t="s">
        <v>37</v>
      </c>
    </row>
    <row r="1215" spans="1:66" x14ac:dyDescent="0.2">
      <c r="A1215">
        <v>3693772</v>
      </c>
      <c r="B1215">
        <v>21883</v>
      </c>
      <c r="C1215">
        <v>523857</v>
      </c>
      <c r="D1215">
        <v>52899</v>
      </c>
      <c r="E1215">
        <v>100</v>
      </c>
      <c r="F1215" t="s">
        <v>37</v>
      </c>
      <c r="G1215">
        <v>1</v>
      </c>
      <c r="H1215" t="s">
        <v>37</v>
      </c>
      <c r="I1215" t="s">
        <v>37</v>
      </c>
      <c r="J1215" t="s">
        <v>775</v>
      </c>
      <c r="K1215" t="s">
        <v>230</v>
      </c>
      <c r="L1215" t="s">
        <v>226</v>
      </c>
      <c r="M1215" t="s">
        <v>422</v>
      </c>
      <c r="N1215" t="s">
        <v>5571</v>
      </c>
      <c r="O1215" t="s">
        <v>2394</v>
      </c>
      <c r="S1215">
        <v>0</v>
      </c>
      <c r="T1215">
        <v>16</v>
      </c>
      <c r="U1215">
        <v>0</v>
      </c>
      <c r="V1215">
        <v>16</v>
      </c>
      <c r="W1215">
        <v>24</v>
      </c>
      <c r="X1215">
        <v>0</v>
      </c>
      <c r="Y1215">
        <v>0</v>
      </c>
      <c r="Z1215">
        <v>0</v>
      </c>
      <c r="AB1215" s="5">
        <v>43938</v>
      </c>
      <c r="AC1215" s="5">
        <v>43941</v>
      </c>
      <c r="AD1215" s="5">
        <v>44005.333333333336</v>
      </c>
      <c r="AE1215" s="5">
        <v>44005.333333333336</v>
      </c>
      <c r="AG1215" s="5">
        <v>44044</v>
      </c>
      <c r="AH1215" s="5">
        <v>44044</v>
      </c>
      <c r="AK1215" s="5">
        <v>43949.333333333336</v>
      </c>
      <c r="AL1215" s="5">
        <v>43951.666666666664</v>
      </c>
      <c r="AP1215" t="s">
        <v>418</v>
      </c>
      <c r="AU1215" t="s">
        <v>5572</v>
      </c>
      <c r="AV1215" t="s">
        <v>5573</v>
      </c>
      <c r="AY1215" t="s">
        <v>37</v>
      </c>
      <c r="AZ1215">
        <v>0</v>
      </c>
      <c r="BA1215">
        <v>0</v>
      </c>
      <c r="BI1215" s="5">
        <v>44048.176388888889</v>
      </c>
      <c r="BJ1215" s="5">
        <v>44048.176388888889</v>
      </c>
      <c r="BK1215" t="s">
        <v>778</v>
      </c>
      <c r="BL1215" t="s">
        <v>778</v>
      </c>
      <c r="BN1215" t="s">
        <v>37</v>
      </c>
    </row>
    <row r="1216" spans="1:66" x14ac:dyDescent="0.2">
      <c r="A1216">
        <v>3693773</v>
      </c>
      <c r="B1216">
        <v>21883</v>
      </c>
      <c r="C1216">
        <v>523857</v>
      </c>
      <c r="D1216">
        <v>52895</v>
      </c>
      <c r="E1216">
        <v>100</v>
      </c>
      <c r="F1216" t="s">
        <v>37</v>
      </c>
      <c r="G1216">
        <v>1</v>
      </c>
      <c r="H1216" t="s">
        <v>37</v>
      </c>
      <c r="I1216" t="s">
        <v>37</v>
      </c>
      <c r="J1216" t="s">
        <v>775</v>
      </c>
      <c r="K1216" t="s">
        <v>230</v>
      </c>
      <c r="L1216" t="s">
        <v>226</v>
      </c>
      <c r="M1216" t="s">
        <v>422</v>
      </c>
      <c r="N1216" t="s">
        <v>5574</v>
      </c>
      <c r="O1216" t="s">
        <v>2398</v>
      </c>
      <c r="S1216">
        <v>0</v>
      </c>
      <c r="T1216">
        <v>0</v>
      </c>
      <c r="U1216">
        <v>0</v>
      </c>
      <c r="V1216">
        <v>0</v>
      </c>
      <c r="W1216">
        <v>24</v>
      </c>
      <c r="X1216">
        <v>0</v>
      </c>
      <c r="Y1216">
        <v>0</v>
      </c>
      <c r="Z1216">
        <v>0</v>
      </c>
      <c r="AB1216" s="5">
        <v>43951</v>
      </c>
      <c r="AC1216" s="5">
        <v>43953</v>
      </c>
      <c r="AD1216" s="5">
        <v>44005.333333333336</v>
      </c>
      <c r="AE1216" s="5">
        <v>44005.333333333336</v>
      </c>
      <c r="AG1216" s="5">
        <v>44044</v>
      </c>
      <c r="AH1216" s="5">
        <v>44044</v>
      </c>
      <c r="AK1216" s="5">
        <v>43952.333333333336</v>
      </c>
      <c r="AL1216" s="5">
        <v>43954.666666666664</v>
      </c>
      <c r="AP1216" t="s">
        <v>418</v>
      </c>
      <c r="AU1216" t="s">
        <v>5575</v>
      </c>
      <c r="AV1216" t="s">
        <v>5576</v>
      </c>
      <c r="AY1216" t="s">
        <v>37</v>
      </c>
      <c r="AZ1216">
        <v>0</v>
      </c>
      <c r="BA1216">
        <v>0</v>
      </c>
      <c r="BI1216" s="5">
        <v>44048.176388888889</v>
      </c>
      <c r="BJ1216" s="5">
        <v>44048.176388888889</v>
      </c>
      <c r="BK1216" t="s">
        <v>778</v>
      </c>
      <c r="BL1216" t="s">
        <v>778</v>
      </c>
      <c r="BN1216" t="s">
        <v>37</v>
      </c>
    </row>
    <row r="1217" spans="1:66" x14ac:dyDescent="0.2">
      <c r="A1217">
        <v>3693774</v>
      </c>
      <c r="B1217">
        <v>21883</v>
      </c>
      <c r="C1217">
        <v>523857</v>
      </c>
      <c r="D1217">
        <v>52899</v>
      </c>
      <c r="E1217">
        <v>100</v>
      </c>
      <c r="F1217" t="s">
        <v>37</v>
      </c>
      <c r="G1217">
        <v>1</v>
      </c>
      <c r="H1217" t="s">
        <v>37</v>
      </c>
      <c r="I1217" t="s">
        <v>37</v>
      </c>
      <c r="J1217" t="s">
        <v>775</v>
      </c>
      <c r="K1217" t="s">
        <v>230</v>
      </c>
      <c r="L1217" t="s">
        <v>226</v>
      </c>
      <c r="M1217" t="s">
        <v>422</v>
      </c>
      <c r="N1217" t="s">
        <v>5577</v>
      </c>
      <c r="O1217" t="s">
        <v>2402</v>
      </c>
      <c r="S1217">
        <v>0</v>
      </c>
      <c r="T1217">
        <v>32</v>
      </c>
      <c r="U1217">
        <v>0</v>
      </c>
      <c r="V1217">
        <v>32</v>
      </c>
      <c r="W1217">
        <v>32</v>
      </c>
      <c r="X1217">
        <v>0</v>
      </c>
      <c r="Y1217">
        <v>0</v>
      </c>
      <c r="Z1217">
        <v>0</v>
      </c>
      <c r="AB1217" s="5">
        <v>43948</v>
      </c>
      <c r="AC1217" s="5">
        <v>43949</v>
      </c>
      <c r="AD1217" s="5">
        <v>44005.333333333336</v>
      </c>
      <c r="AE1217" s="5">
        <v>44005.333333333336</v>
      </c>
      <c r="AG1217" s="5">
        <v>44044</v>
      </c>
      <c r="AH1217" s="5">
        <v>44044</v>
      </c>
      <c r="AK1217" s="5">
        <v>43955.333333333336</v>
      </c>
      <c r="AL1217" s="5">
        <v>43958.666666666664</v>
      </c>
      <c r="AP1217" t="s">
        <v>418</v>
      </c>
      <c r="AU1217" t="s">
        <v>5578</v>
      </c>
      <c r="AV1217" t="s">
        <v>5579</v>
      </c>
      <c r="AY1217" t="s">
        <v>37</v>
      </c>
      <c r="AZ1217">
        <v>0</v>
      </c>
      <c r="BA1217">
        <v>0</v>
      </c>
      <c r="BI1217" s="5">
        <v>44048.176388888889</v>
      </c>
      <c r="BJ1217" s="5">
        <v>44048.176388888889</v>
      </c>
      <c r="BK1217" t="s">
        <v>778</v>
      </c>
      <c r="BL1217" t="s">
        <v>778</v>
      </c>
      <c r="BN1217" t="s">
        <v>37</v>
      </c>
    </row>
    <row r="1218" spans="1:66" x14ac:dyDescent="0.2">
      <c r="A1218">
        <v>3693775</v>
      </c>
      <c r="B1218">
        <v>21883</v>
      </c>
      <c r="C1218">
        <v>523857</v>
      </c>
      <c r="D1218">
        <v>52899</v>
      </c>
      <c r="E1218">
        <v>100</v>
      </c>
      <c r="F1218" t="s">
        <v>37</v>
      </c>
      <c r="G1218">
        <v>1</v>
      </c>
      <c r="H1218" t="s">
        <v>37</v>
      </c>
      <c r="I1218" t="s">
        <v>37</v>
      </c>
      <c r="J1218" t="s">
        <v>775</v>
      </c>
      <c r="K1218" t="s">
        <v>230</v>
      </c>
      <c r="L1218" t="s">
        <v>226</v>
      </c>
      <c r="M1218" t="s">
        <v>422</v>
      </c>
      <c r="N1218" t="s">
        <v>5580</v>
      </c>
      <c r="O1218" t="s">
        <v>3295</v>
      </c>
      <c r="S1218">
        <v>0</v>
      </c>
      <c r="T1218">
        <v>0</v>
      </c>
      <c r="U1218">
        <v>0</v>
      </c>
      <c r="V1218">
        <v>0</v>
      </c>
      <c r="W1218">
        <v>16</v>
      </c>
      <c r="X1218">
        <v>0</v>
      </c>
      <c r="Y1218">
        <v>0</v>
      </c>
      <c r="Z1218">
        <v>0</v>
      </c>
      <c r="AB1218" s="5">
        <v>43937</v>
      </c>
      <c r="AC1218" s="5">
        <v>43938</v>
      </c>
      <c r="AD1218" s="5">
        <v>44005.333333333336</v>
      </c>
      <c r="AE1218" s="5">
        <v>44005.333333333336</v>
      </c>
      <c r="AG1218" s="5">
        <v>44044</v>
      </c>
      <c r="AH1218" s="5">
        <v>44044</v>
      </c>
      <c r="AK1218" s="5">
        <v>43949.333333333336</v>
      </c>
      <c r="AL1218" s="5">
        <v>43950.666666666664</v>
      </c>
      <c r="AP1218" t="s">
        <v>418</v>
      </c>
      <c r="AU1218" t="s">
        <v>5581</v>
      </c>
      <c r="AV1218" t="s">
        <v>5582</v>
      </c>
      <c r="AY1218" t="s">
        <v>37</v>
      </c>
      <c r="AZ1218">
        <v>0</v>
      </c>
      <c r="BA1218">
        <v>0</v>
      </c>
      <c r="BI1218" s="5">
        <v>44048.176388888889</v>
      </c>
      <c r="BJ1218" s="5">
        <v>44048.176388888889</v>
      </c>
      <c r="BK1218" t="s">
        <v>778</v>
      </c>
      <c r="BL1218" t="s">
        <v>778</v>
      </c>
      <c r="BN1218" t="s">
        <v>37</v>
      </c>
    </row>
    <row r="1219" spans="1:66" x14ac:dyDescent="0.2">
      <c r="A1219">
        <v>3693776</v>
      </c>
      <c r="B1219">
        <v>21883</v>
      </c>
      <c r="C1219">
        <v>523857</v>
      </c>
      <c r="D1219">
        <v>52899</v>
      </c>
      <c r="E1219">
        <v>100</v>
      </c>
      <c r="F1219" t="s">
        <v>37</v>
      </c>
      <c r="G1219">
        <v>1</v>
      </c>
      <c r="H1219" t="s">
        <v>37</v>
      </c>
      <c r="I1219" t="s">
        <v>37</v>
      </c>
      <c r="J1219" t="s">
        <v>775</v>
      </c>
      <c r="K1219" t="s">
        <v>230</v>
      </c>
      <c r="L1219" t="s">
        <v>226</v>
      </c>
      <c r="M1219" t="s">
        <v>422</v>
      </c>
      <c r="N1219" t="s">
        <v>5583</v>
      </c>
      <c r="O1219" t="s">
        <v>3299</v>
      </c>
      <c r="S1219">
        <v>0</v>
      </c>
      <c r="T1219">
        <v>8</v>
      </c>
      <c r="U1219">
        <v>0</v>
      </c>
      <c r="V1219">
        <v>8</v>
      </c>
      <c r="W1219">
        <v>8</v>
      </c>
      <c r="X1219">
        <v>0</v>
      </c>
      <c r="Y1219">
        <v>0</v>
      </c>
      <c r="Z1219">
        <v>0</v>
      </c>
      <c r="AB1219" s="5">
        <v>43945</v>
      </c>
      <c r="AC1219" s="5">
        <v>43945</v>
      </c>
      <c r="AD1219" s="5">
        <v>44005.333333333336</v>
      </c>
      <c r="AE1219" s="5">
        <v>44005.333333333336</v>
      </c>
      <c r="AG1219" s="5">
        <v>44044</v>
      </c>
      <c r="AH1219" s="5">
        <v>44044</v>
      </c>
      <c r="AK1219" s="5">
        <v>43949.333333333336</v>
      </c>
      <c r="AL1219" s="5">
        <v>43949.666666666664</v>
      </c>
      <c r="AP1219" t="s">
        <v>418</v>
      </c>
      <c r="AU1219" t="s">
        <v>5584</v>
      </c>
      <c r="AV1219" t="s">
        <v>5585</v>
      </c>
      <c r="AY1219" t="s">
        <v>37</v>
      </c>
      <c r="AZ1219">
        <v>0</v>
      </c>
      <c r="BA1219">
        <v>0</v>
      </c>
      <c r="BI1219" s="5">
        <v>44048.176388888889</v>
      </c>
      <c r="BJ1219" s="5">
        <v>44048.176388888889</v>
      </c>
      <c r="BK1219" t="s">
        <v>778</v>
      </c>
      <c r="BL1219" t="s">
        <v>778</v>
      </c>
      <c r="BN1219" t="s">
        <v>37</v>
      </c>
    </row>
    <row r="1220" spans="1:66" x14ac:dyDescent="0.2">
      <c r="A1220">
        <v>3693777</v>
      </c>
      <c r="B1220">
        <v>21883</v>
      </c>
      <c r="C1220">
        <v>523857</v>
      </c>
      <c r="D1220">
        <v>52895</v>
      </c>
      <c r="E1220">
        <v>100</v>
      </c>
      <c r="F1220" t="s">
        <v>37</v>
      </c>
      <c r="G1220">
        <v>1</v>
      </c>
      <c r="H1220" t="s">
        <v>37</v>
      </c>
      <c r="I1220" t="s">
        <v>37</v>
      </c>
      <c r="J1220" t="s">
        <v>775</v>
      </c>
      <c r="K1220" t="s">
        <v>230</v>
      </c>
      <c r="L1220" t="s">
        <v>226</v>
      </c>
      <c r="M1220" t="s">
        <v>422</v>
      </c>
      <c r="N1220" t="s">
        <v>5586</v>
      </c>
      <c r="O1220" t="s">
        <v>3303</v>
      </c>
      <c r="S1220">
        <v>0</v>
      </c>
      <c r="T1220">
        <v>0</v>
      </c>
      <c r="U1220">
        <v>0</v>
      </c>
      <c r="V1220">
        <v>0</v>
      </c>
      <c r="W1220">
        <v>24</v>
      </c>
      <c r="X1220">
        <v>0</v>
      </c>
      <c r="Y1220">
        <v>0</v>
      </c>
      <c r="Z1220">
        <v>0</v>
      </c>
      <c r="AB1220" s="5">
        <v>43946</v>
      </c>
      <c r="AC1220" s="5">
        <v>43948</v>
      </c>
      <c r="AD1220" s="5">
        <v>44005.333333333336</v>
      </c>
      <c r="AE1220" s="5">
        <v>44005.333333333336</v>
      </c>
      <c r="AG1220" s="5">
        <v>44044</v>
      </c>
      <c r="AH1220" s="5">
        <v>44044</v>
      </c>
      <c r="AK1220" s="5">
        <v>43948.333333333336</v>
      </c>
      <c r="AL1220" s="5">
        <v>43950.666666666664</v>
      </c>
      <c r="AP1220" t="s">
        <v>418</v>
      </c>
      <c r="AU1220" t="s">
        <v>5587</v>
      </c>
      <c r="AV1220" t="s">
        <v>5588</v>
      </c>
      <c r="AY1220" t="s">
        <v>37</v>
      </c>
      <c r="AZ1220">
        <v>0</v>
      </c>
      <c r="BA1220">
        <v>0</v>
      </c>
      <c r="BI1220" s="5">
        <v>44048.176388888889</v>
      </c>
      <c r="BJ1220" s="5">
        <v>44048.176388888889</v>
      </c>
      <c r="BK1220" t="s">
        <v>778</v>
      </c>
      <c r="BL1220" t="s">
        <v>778</v>
      </c>
      <c r="BN1220" t="s">
        <v>37</v>
      </c>
    </row>
    <row r="1221" spans="1:66" x14ac:dyDescent="0.2">
      <c r="A1221">
        <v>3693778</v>
      </c>
      <c r="B1221">
        <v>21883</v>
      </c>
      <c r="C1221">
        <v>523857</v>
      </c>
      <c r="D1221">
        <v>52899</v>
      </c>
      <c r="E1221">
        <v>100</v>
      </c>
      <c r="F1221" t="s">
        <v>37</v>
      </c>
      <c r="G1221">
        <v>1</v>
      </c>
      <c r="H1221" t="s">
        <v>37</v>
      </c>
      <c r="I1221" t="s">
        <v>37</v>
      </c>
      <c r="J1221" t="s">
        <v>775</v>
      </c>
      <c r="K1221" t="s">
        <v>230</v>
      </c>
      <c r="L1221" t="s">
        <v>226</v>
      </c>
      <c r="M1221" t="s">
        <v>422</v>
      </c>
      <c r="N1221" t="s">
        <v>5589</v>
      </c>
      <c r="O1221" t="s">
        <v>3307</v>
      </c>
      <c r="S1221">
        <v>0</v>
      </c>
      <c r="T1221">
        <v>8</v>
      </c>
      <c r="U1221">
        <v>0</v>
      </c>
      <c r="V1221">
        <v>8</v>
      </c>
      <c r="W1221">
        <v>8</v>
      </c>
      <c r="X1221">
        <v>0</v>
      </c>
      <c r="Y1221">
        <v>0</v>
      </c>
      <c r="Z1221">
        <v>0</v>
      </c>
      <c r="AB1221" s="5">
        <v>43950</v>
      </c>
      <c r="AC1221" s="5">
        <v>43950</v>
      </c>
      <c r="AD1221" s="5">
        <v>44005.333333333336</v>
      </c>
      <c r="AE1221" s="5">
        <v>44005.333333333336</v>
      </c>
      <c r="AG1221" s="5">
        <v>44044</v>
      </c>
      <c r="AH1221" s="5">
        <v>44044</v>
      </c>
      <c r="AK1221" s="5">
        <v>43955.333333333336</v>
      </c>
      <c r="AL1221" s="5">
        <v>43955.666666666664</v>
      </c>
      <c r="AP1221" t="s">
        <v>418</v>
      </c>
      <c r="AU1221" t="s">
        <v>5590</v>
      </c>
      <c r="AV1221" t="s">
        <v>5591</v>
      </c>
      <c r="AY1221" t="s">
        <v>37</v>
      </c>
      <c r="AZ1221">
        <v>0</v>
      </c>
      <c r="BA1221">
        <v>0</v>
      </c>
      <c r="BI1221" s="5">
        <v>44048.176388888889</v>
      </c>
      <c r="BJ1221" s="5">
        <v>44048.176388888889</v>
      </c>
      <c r="BK1221" t="s">
        <v>778</v>
      </c>
      <c r="BL1221" t="s">
        <v>778</v>
      </c>
      <c r="BN1221" t="s">
        <v>37</v>
      </c>
    </row>
    <row r="1222" spans="1:66" x14ac:dyDescent="0.2">
      <c r="A1222">
        <v>3693779</v>
      </c>
      <c r="B1222">
        <v>21883</v>
      </c>
      <c r="C1222">
        <v>523857</v>
      </c>
      <c r="D1222">
        <v>52899</v>
      </c>
      <c r="E1222">
        <v>100</v>
      </c>
      <c r="F1222" t="s">
        <v>37</v>
      </c>
      <c r="G1222">
        <v>1</v>
      </c>
      <c r="H1222" t="s">
        <v>37</v>
      </c>
      <c r="I1222" t="s">
        <v>37</v>
      </c>
      <c r="J1222" t="s">
        <v>775</v>
      </c>
      <c r="K1222" t="s">
        <v>230</v>
      </c>
      <c r="L1222" t="s">
        <v>226</v>
      </c>
      <c r="M1222" t="s">
        <v>422</v>
      </c>
      <c r="N1222" t="s">
        <v>5592</v>
      </c>
      <c r="O1222" t="s">
        <v>3780</v>
      </c>
      <c r="S1222">
        <v>0</v>
      </c>
      <c r="T1222">
        <v>16</v>
      </c>
      <c r="U1222">
        <v>0</v>
      </c>
      <c r="V1222">
        <v>16</v>
      </c>
      <c r="W1222">
        <v>16</v>
      </c>
      <c r="X1222">
        <v>0</v>
      </c>
      <c r="Y1222">
        <v>0</v>
      </c>
      <c r="Z1222">
        <v>0</v>
      </c>
      <c r="AB1222" s="5">
        <v>43955</v>
      </c>
      <c r="AC1222" s="5">
        <v>43956</v>
      </c>
      <c r="AD1222" s="5">
        <v>44005.333333333336</v>
      </c>
      <c r="AE1222" s="5">
        <v>44005.333333333336</v>
      </c>
      <c r="AG1222" s="5">
        <v>44044</v>
      </c>
      <c r="AH1222" s="5">
        <v>44044</v>
      </c>
      <c r="AK1222" s="5">
        <v>43962.333333333336</v>
      </c>
      <c r="AL1222" s="5">
        <v>43963.666666666664</v>
      </c>
      <c r="AP1222" t="s">
        <v>418</v>
      </c>
      <c r="AU1222" t="s">
        <v>5593</v>
      </c>
      <c r="AV1222" t="s">
        <v>5594</v>
      </c>
      <c r="AY1222" t="s">
        <v>37</v>
      </c>
      <c r="AZ1222">
        <v>0</v>
      </c>
      <c r="BA1222">
        <v>0</v>
      </c>
      <c r="BI1222" s="5">
        <v>44048.176388888889</v>
      </c>
      <c r="BJ1222" s="5">
        <v>44048.176388888889</v>
      </c>
      <c r="BK1222" t="s">
        <v>778</v>
      </c>
      <c r="BL1222" t="s">
        <v>778</v>
      </c>
      <c r="BN1222" t="s">
        <v>37</v>
      </c>
    </row>
    <row r="1223" spans="1:66" x14ac:dyDescent="0.2">
      <c r="A1223">
        <v>3693780</v>
      </c>
      <c r="B1223">
        <v>21883</v>
      </c>
      <c r="C1223">
        <v>523857</v>
      </c>
      <c r="D1223">
        <v>52899</v>
      </c>
      <c r="E1223">
        <v>100</v>
      </c>
      <c r="F1223" t="s">
        <v>37</v>
      </c>
      <c r="G1223">
        <v>1</v>
      </c>
      <c r="H1223" t="s">
        <v>37</v>
      </c>
      <c r="I1223" t="s">
        <v>37</v>
      </c>
      <c r="J1223" t="s">
        <v>775</v>
      </c>
      <c r="K1223" t="s">
        <v>230</v>
      </c>
      <c r="L1223" t="s">
        <v>226</v>
      </c>
      <c r="M1223" t="s">
        <v>422</v>
      </c>
      <c r="N1223" t="s">
        <v>5595</v>
      </c>
      <c r="O1223" t="s">
        <v>3784</v>
      </c>
      <c r="S1223">
        <v>0</v>
      </c>
      <c r="T1223">
        <v>32</v>
      </c>
      <c r="U1223">
        <v>0</v>
      </c>
      <c r="V1223">
        <v>32</v>
      </c>
      <c r="W1223">
        <v>32</v>
      </c>
      <c r="X1223">
        <v>0</v>
      </c>
      <c r="Y1223">
        <v>0</v>
      </c>
      <c r="Z1223">
        <v>0</v>
      </c>
      <c r="AB1223" s="5">
        <v>43951</v>
      </c>
      <c r="AC1223" s="5">
        <v>43956</v>
      </c>
      <c r="AD1223" s="5">
        <v>44005.333333333336</v>
      </c>
      <c r="AE1223" s="5">
        <v>44005.333333333336</v>
      </c>
      <c r="AG1223" s="5">
        <v>44044</v>
      </c>
      <c r="AH1223" s="5">
        <v>44044</v>
      </c>
      <c r="AK1223" s="5">
        <v>43962.333333333336</v>
      </c>
      <c r="AL1223" s="5">
        <v>43965.666666666664</v>
      </c>
      <c r="AP1223" t="s">
        <v>418</v>
      </c>
      <c r="AU1223" t="s">
        <v>5596</v>
      </c>
      <c r="AV1223" t="s">
        <v>5597</v>
      </c>
      <c r="AY1223" t="s">
        <v>37</v>
      </c>
      <c r="AZ1223">
        <v>0</v>
      </c>
      <c r="BA1223">
        <v>0</v>
      </c>
      <c r="BI1223" s="5">
        <v>44048.176388888889</v>
      </c>
      <c r="BJ1223" s="5">
        <v>44048.176388888889</v>
      </c>
      <c r="BK1223" t="s">
        <v>778</v>
      </c>
      <c r="BL1223" t="s">
        <v>778</v>
      </c>
      <c r="BN1223" t="s">
        <v>37</v>
      </c>
    </row>
    <row r="1224" spans="1:66" x14ac:dyDescent="0.2">
      <c r="A1224">
        <v>3693781</v>
      </c>
      <c r="B1224">
        <v>21883</v>
      </c>
      <c r="C1224">
        <v>523857</v>
      </c>
      <c r="D1224">
        <v>52899</v>
      </c>
      <c r="E1224">
        <v>100</v>
      </c>
      <c r="F1224" t="s">
        <v>37</v>
      </c>
      <c r="G1224">
        <v>1</v>
      </c>
      <c r="H1224" t="s">
        <v>37</v>
      </c>
      <c r="I1224" t="s">
        <v>37</v>
      </c>
      <c r="J1224" t="s">
        <v>775</v>
      </c>
      <c r="K1224" t="s">
        <v>230</v>
      </c>
      <c r="L1224" t="s">
        <v>226</v>
      </c>
      <c r="M1224" t="s">
        <v>422</v>
      </c>
      <c r="N1224" t="s">
        <v>5598</v>
      </c>
      <c r="O1224" t="s">
        <v>5599</v>
      </c>
      <c r="S1224">
        <v>0</v>
      </c>
      <c r="T1224">
        <v>0</v>
      </c>
      <c r="U1224">
        <v>0</v>
      </c>
      <c r="V1224">
        <v>0</v>
      </c>
      <c r="W1224">
        <v>32</v>
      </c>
      <c r="X1224">
        <v>0</v>
      </c>
      <c r="Y1224">
        <v>0</v>
      </c>
      <c r="Z1224">
        <v>0</v>
      </c>
      <c r="AB1224" s="5">
        <v>44002</v>
      </c>
      <c r="AC1224" s="5">
        <v>44004</v>
      </c>
      <c r="AD1224" s="5">
        <v>44005.333333333336</v>
      </c>
      <c r="AE1224" s="5">
        <v>44005.333333333336</v>
      </c>
      <c r="AG1224" s="5">
        <v>44044</v>
      </c>
      <c r="AH1224" s="5">
        <v>44044</v>
      </c>
      <c r="AK1224" s="5">
        <v>44011.333333333336</v>
      </c>
      <c r="AL1224" s="5">
        <v>44014.666666666664</v>
      </c>
      <c r="AP1224" t="s">
        <v>418</v>
      </c>
      <c r="AU1224" t="s">
        <v>5600</v>
      </c>
      <c r="AV1224" t="e" cm="1">
        <f t="array" ref="AV1224">+Y4/o5OtA0KWrCvTo/b2yw</f>
        <v>#NAME?</v>
      </c>
      <c r="AY1224" t="s">
        <v>37</v>
      </c>
      <c r="AZ1224">
        <v>0</v>
      </c>
      <c r="BA1224">
        <v>0</v>
      </c>
      <c r="BI1224" s="5">
        <v>44048.176388888889</v>
      </c>
      <c r="BJ1224" s="5">
        <v>44048.176388888889</v>
      </c>
      <c r="BK1224" t="s">
        <v>778</v>
      </c>
      <c r="BL1224" t="s">
        <v>778</v>
      </c>
      <c r="BN1224" t="s">
        <v>37</v>
      </c>
    </row>
    <row r="1225" spans="1:66" x14ac:dyDescent="0.2">
      <c r="A1225">
        <v>3693782</v>
      </c>
      <c r="B1225">
        <v>21883</v>
      </c>
      <c r="C1225">
        <v>523999</v>
      </c>
      <c r="D1225">
        <v>52899</v>
      </c>
      <c r="E1225">
        <v>100</v>
      </c>
      <c r="F1225" t="s">
        <v>37</v>
      </c>
      <c r="G1225">
        <v>1</v>
      </c>
      <c r="H1225" t="s">
        <v>37</v>
      </c>
      <c r="I1225" t="s">
        <v>37</v>
      </c>
      <c r="J1225" t="s">
        <v>775</v>
      </c>
      <c r="K1225" t="s">
        <v>230</v>
      </c>
      <c r="L1225" t="s">
        <v>226</v>
      </c>
      <c r="M1225" t="s">
        <v>422</v>
      </c>
      <c r="N1225" t="s">
        <v>5601</v>
      </c>
      <c r="O1225" t="s">
        <v>5602</v>
      </c>
      <c r="S1225">
        <v>0</v>
      </c>
      <c r="T1225">
        <v>48</v>
      </c>
      <c r="U1225">
        <v>0</v>
      </c>
      <c r="V1225">
        <v>48</v>
      </c>
      <c r="W1225">
        <v>48</v>
      </c>
      <c r="X1225">
        <v>0</v>
      </c>
      <c r="Y1225">
        <v>0</v>
      </c>
      <c r="Z1225">
        <v>0</v>
      </c>
      <c r="AB1225" s="5">
        <v>43677</v>
      </c>
      <c r="AC1225" s="5">
        <v>43677</v>
      </c>
      <c r="AD1225" s="5">
        <v>44306.666666666664</v>
      </c>
      <c r="AE1225" s="5">
        <v>44306.666666666664</v>
      </c>
      <c r="AG1225" s="5">
        <v>44044</v>
      </c>
      <c r="AH1225" s="5">
        <v>44044</v>
      </c>
      <c r="AK1225" s="5">
        <v>43703.333333333336</v>
      </c>
      <c r="AL1225" s="5">
        <v>43712.666666666664</v>
      </c>
      <c r="AP1225" t="s">
        <v>418</v>
      </c>
      <c r="AU1225" t="s">
        <v>5603</v>
      </c>
      <c r="AV1225" t="s">
        <v>5604</v>
      </c>
      <c r="AY1225" t="s">
        <v>37</v>
      </c>
      <c r="AZ1225">
        <v>0</v>
      </c>
      <c r="BA1225">
        <v>0</v>
      </c>
      <c r="BI1225" s="5">
        <v>44048.176388888889</v>
      </c>
      <c r="BJ1225" s="5">
        <v>44048.176388888889</v>
      </c>
      <c r="BK1225" t="s">
        <v>778</v>
      </c>
      <c r="BL1225" t="s">
        <v>778</v>
      </c>
      <c r="BN1225" t="s">
        <v>37</v>
      </c>
    </row>
    <row r="1226" spans="1:66" x14ac:dyDescent="0.2">
      <c r="A1226">
        <v>3693783</v>
      </c>
      <c r="B1226">
        <v>21883</v>
      </c>
      <c r="C1226">
        <v>523999</v>
      </c>
      <c r="D1226">
        <v>52899</v>
      </c>
      <c r="E1226">
        <v>100</v>
      </c>
      <c r="F1226" t="s">
        <v>37</v>
      </c>
      <c r="G1226">
        <v>1</v>
      </c>
      <c r="H1226" t="s">
        <v>37</v>
      </c>
      <c r="I1226" t="s">
        <v>37</v>
      </c>
      <c r="J1226" t="s">
        <v>775</v>
      </c>
      <c r="K1226" t="s">
        <v>230</v>
      </c>
      <c r="L1226" t="s">
        <v>226</v>
      </c>
      <c r="M1226" t="s">
        <v>422</v>
      </c>
      <c r="N1226" t="s">
        <v>5605</v>
      </c>
      <c r="O1226" t="s">
        <v>5606</v>
      </c>
      <c r="S1226">
        <v>0</v>
      </c>
      <c r="T1226">
        <v>16</v>
      </c>
      <c r="U1226">
        <v>0</v>
      </c>
      <c r="V1226">
        <v>16</v>
      </c>
      <c r="W1226">
        <v>0</v>
      </c>
      <c r="X1226">
        <v>0</v>
      </c>
      <c r="Y1226">
        <v>0</v>
      </c>
      <c r="Z1226">
        <v>0</v>
      </c>
      <c r="AB1226" s="5">
        <v>43831</v>
      </c>
      <c r="AC1226" s="5">
        <v>43831</v>
      </c>
      <c r="AD1226" s="5">
        <v>44306.666666666664</v>
      </c>
      <c r="AE1226" s="5">
        <v>44306.666666666664</v>
      </c>
      <c r="AG1226" s="5">
        <v>44044</v>
      </c>
      <c r="AH1226" s="5">
        <v>44044</v>
      </c>
      <c r="AK1226" s="5">
        <v>43864.333333333336</v>
      </c>
      <c r="AL1226" s="5">
        <v>43864.333333333336</v>
      </c>
      <c r="AP1226" t="s">
        <v>418</v>
      </c>
      <c r="AU1226" t="s">
        <v>5607</v>
      </c>
      <c r="AV1226" t="s">
        <v>5608</v>
      </c>
      <c r="AY1226" t="s">
        <v>37</v>
      </c>
      <c r="AZ1226">
        <v>0</v>
      </c>
      <c r="BA1226">
        <v>0</v>
      </c>
      <c r="BI1226" s="5">
        <v>44048.176388888889</v>
      </c>
      <c r="BJ1226" s="5">
        <v>44048.176388888889</v>
      </c>
      <c r="BK1226" t="s">
        <v>778</v>
      </c>
      <c r="BL1226" t="s">
        <v>778</v>
      </c>
      <c r="BN1226" t="s">
        <v>37</v>
      </c>
    </row>
    <row r="1227" spans="1:66" x14ac:dyDescent="0.2">
      <c r="A1227">
        <v>3693784</v>
      </c>
      <c r="B1227">
        <v>21883</v>
      </c>
      <c r="C1227">
        <v>523857</v>
      </c>
      <c r="D1227">
        <v>52899</v>
      </c>
      <c r="E1227">
        <v>100</v>
      </c>
      <c r="F1227" t="s">
        <v>37</v>
      </c>
      <c r="G1227">
        <v>1</v>
      </c>
      <c r="H1227" t="s">
        <v>37</v>
      </c>
      <c r="I1227" t="s">
        <v>37</v>
      </c>
      <c r="J1227" t="s">
        <v>775</v>
      </c>
      <c r="K1227" t="s">
        <v>230</v>
      </c>
      <c r="L1227" t="s">
        <v>226</v>
      </c>
      <c r="M1227" t="s">
        <v>422</v>
      </c>
      <c r="N1227" t="s">
        <v>5609</v>
      </c>
      <c r="O1227" t="s">
        <v>4157</v>
      </c>
      <c r="S1227">
        <v>0</v>
      </c>
      <c r="T1227">
        <v>0</v>
      </c>
      <c r="U1227">
        <v>0</v>
      </c>
      <c r="V1227">
        <v>0</v>
      </c>
      <c r="W1227">
        <v>16</v>
      </c>
      <c r="X1227">
        <v>0</v>
      </c>
      <c r="Y1227">
        <v>0</v>
      </c>
      <c r="Z1227">
        <v>0</v>
      </c>
      <c r="AB1227" s="5">
        <v>43929</v>
      </c>
      <c r="AC1227" s="5">
        <v>43930</v>
      </c>
      <c r="AD1227" s="5">
        <v>44005.333333333336</v>
      </c>
      <c r="AE1227" s="5">
        <v>44005.333333333336</v>
      </c>
      <c r="AG1227" s="5">
        <v>44044</v>
      </c>
      <c r="AH1227" s="5">
        <v>44044</v>
      </c>
      <c r="AK1227" s="5">
        <v>43937.333333333336</v>
      </c>
      <c r="AL1227" s="5">
        <v>43938.666666666664</v>
      </c>
      <c r="AP1227" t="s">
        <v>418</v>
      </c>
      <c r="AU1227" t="s">
        <v>5610</v>
      </c>
      <c r="AV1227" t="s">
        <v>5611</v>
      </c>
      <c r="AY1227" t="s">
        <v>37</v>
      </c>
      <c r="AZ1227">
        <v>0</v>
      </c>
      <c r="BA1227">
        <v>0</v>
      </c>
      <c r="BI1227" s="5">
        <v>44048.176388888889</v>
      </c>
      <c r="BJ1227" s="5">
        <v>44048.176388888889</v>
      </c>
      <c r="BK1227" t="s">
        <v>778</v>
      </c>
      <c r="BL1227" t="s">
        <v>778</v>
      </c>
      <c r="BN1227" t="s">
        <v>37</v>
      </c>
    </row>
    <row r="1228" spans="1:66" x14ac:dyDescent="0.2">
      <c r="A1228">
        <v>3693785</v>
      </c>
      <c r="B1228">
        <v>21883</v>
      </c>
      <c r="C1228">
        <v>523857</v>
      </c>
      <c r="D1228">
        <v>52899</v>
      </c>
      <c r="E1228">
        <v>100</v>
      </c>
      <c r="F1228" t="s">
        <v>37</v>
      </c>
      <c r="G1228">
        <v>1</v>
      </c>
      <c r="H1228" t="s">
        <v>37</v>
      </c>
      <c r="I1228" t="s">
        <v>37</v>
      </c>
      <c r="J1228" t="s">
        <v>775</v>
      </c>
      <c r="K1228" t="s">
        <v>230</v>
      </c>
      <c r="L1228" t="s">
        <v>226</v>
      </c>
      <c r="M1228" t="s">
        <v>422</v>
      </c>
      <c r="N1228" t="s">
        <v>5612</v>
      </c>
      <c r="O1228" t="s">
        <v>4161</v>
      </c>
      <c r="S1228">
        <v>0</v>
      </c>
      <c r="T1228">
        <v>8</v>
      </c>
      <c r="U1228">
        <v>0</v>
      </c>
      <c r="V1228">
        <v>8</v>
      </c>
      <c r="W1228">
        <v>8</v>
      </c>
      <c r="X1228">
        <v>0</v>
      </c>
      <c r="Y1228">
        <v>0</v>
      </c>
      <c r="Z1228">
        <v>0</v>
      </c>
      <c r="AB1228" s="5">
        <v>43930</v>
      </c>
      <c r="AC1228" s="5">
        <v>43930</v>
      </c>
      <c r="AD1228" s="5">
        <v>44005.333333333336</v>
      </c>
      <c r="AE1228" s="5">
        <v>44005.333333333336</v>
      </c>
      <c r="AG1228" s="5">
        <v>44044</v>
      </c>
      <c r="AH1228" s="5">
        <v>44044</v>
      </c>
      <c r="AK1228" s="5">
        <v>43937.333333333336</v>
      </c>
      <c r="AL1228" s="5">
        <v>43937.666666666664</v>
      </c>
      <c r="AP1228" t="s">
        <v>418</v>
      </c>
      <c r="AU1228" t="s">
        <v>5613</v>
      </c>
      <c r="AV1228" t="s">
        <v>5614</v>
      </c>
      <c r="AY1228" t="s">
        <v>37</v>
      </c>
      <c r="AZ1228">
        <v>0</v>
      </c>
      <c r="BA1228">
        <v>0</v>
      </c>
      <c r="BI1228" s="5">
        <v>44048.176388888889</v>
      </c>
      <c r="BJ1228" s="5">
        <v>44048.176388888889</v>
      </c>
      <c r="BK1228" t="s">
        <v>778</v>
      </c>
      <c r="BL1228" t="s">
        <v>778</v>
      </c>
      <c r="BN1228" t="s">
        <v>37</v>
      </c>
    </row>
    <row r="1229" spans="1:66" x14ac:dyDescent="0.2">
      <c r="A1229">
        <v>3693786</v>
      </c>
      <c r="B1229">
        <v>21883</v>
      </c>
      <c r="C1229">
        <v>523857</v>
      </c>
      <c r="D1229">
        <v>52899</v>
      </c>
      <c r="E1229">
        <v>100</v>
      </c>
      <c r="F1229" t="s">
        <v>37</v>
      </c>
      <c r="G1229">
        <v>1</v>
      </c>
      <c r="H1229" t="s">
        <v>37</v>
      </c>
      <c r="I1229" t="s">
        <v>37</v>
      </c>
      <c r="J1229" t="s">
        <v>775</v>
      </c>
      <c r="K1229" t="s">
        <v>230</v>
      </c>
      <c r="L1229" t="s">
        <v>226</v>
      </c>
      <c r="M1229" t="s">
        <v>422</v>
      </c>
      <c r="N1229" t="s">
        <v>5615</v>
      </c>
      <c r="O1229" t="s">
        <v>4172</v>
      </c>
      <c r="S1229">
        <v>0</v>
      </c>
      <c r="T1229">
        <v>16</v>
      </c>
      <c r="U1229">
        <v>0</v>
      </c>
      <c r="V1229">
        <v>16</v>
      </c>
      <c r="W1229">
        <v>16</v>
      </c>
      <c r="X1229">
        <v>0</v>
      </c>
      <c r="Y1229">
        <v>0</v>
      </c>
      <c r="Z1229">
        <v>0</v>
      </c>
      <c r="AB1229" s="5">
        <v>43936</v>
      </c>
      <c r="AC1229" s="5">
        <v>43937</v>
      </c>
      <c r="AD1229" s="5">
        <v>44005.333333333336</v>
      </c>
      <c r="AE1229" s="5">
        <v>44005.333333333336</v>
      </c>
      <c r="AG1229" s="5">
        <v>44044</v>
      </c>
      <c r="AH1229" s="5">
        <v>44044</v>
      </c>
      <c r="AK1229" s="5">
        <v>43949.333333333336</v>
      </c>
      <c r="AL1229" s="5">
        <v>43950.666666666664</v>
      </c>
      <c r="AP1229" t="s">
        <v>418</v>
      </c>
      <c r="AU1229" t="s">
        <v>5616</v>
      </c>
      <c r="AV1229" t="s">
        <v>5617</v>
      </c>
      <c r="AY1229" t="s">
        <v>37</v>
      </c>
      <c r="AZ1229">
        <v>0</v>
      </c>
      <c r="BA1229">
        <v>0</v>
      </c>
      <c r="BI1229" s="5">
        <v>44048.176388888889</v>
      </c>
      <c r="BJ1229" s="5">
        <v>44048.176388888889</v>
      </c>
      <c r="BK1229" t="s">
        <v>778</v>
      </c>
      <c r="BL1229" t="s">
        <v>778</v>
      </c>
      <c r="BN1229" t="s">
        <v>37</v>
      </c>
    </row>
    <row r="1230" spans="1:66" x14ac:dyDescent="0.2">
      <c r="A1230">
        <v>3693787</v>
      </c>
      <c r="B1230">
        <v>21883</v>
      </c>
      <c r="C1230">
        <v>523857</v>
      </c>
      <c r="D1230">
        <v>52899</v>
      </c>
      <c r="E1230">
        <v>100</v>
      </c>
      <c r="F1230" t="s">
        <v>37</v>
      </c>
      <c r="G1230">
        <v>1</v>
      </c>
      <c r="H1230" t="s">
        <v>37</v>
      </c>
      <c r="I1230" t="s">
        <v>37</v>
      </c>
      <c r="J1230" t="s">
        <v>775</v>
      </c>
      <c r="K1230" t="s">
        <v>230</v>
      </c>
      <c r="L1230" t="s">
        <v>226</v>
      </c>
      <c r="M1230" t="s">
        <v>422</v>
      </c>
      <c r="N1230" t="s">
        <v>5618</v>
      </c>
      <c r="O1230" t="s">
        <v>4176</v>
      </c>
      <c r="S1230">
        <v>0</v>
      </c>
      <c r="T1230">
        <v>32</v>
      </c>
      <c r="U1230">
        <v>0</v>
      </c>
      <c r="V1230">
        <v>32</v>
      </c>
      <c r="W1230">
        <v>32</v>
      </c>
      <c r="X1230">
        <v>0</v>
      </c>
      <c r="Y1230">
        <v>0</v>
      </c>
      <c r="Z1230">
        <v>0</v>
      </c>
      <c r="AB1230" s="5">
        <v>43942</v>
      </c>
      <c r="AC1230" s="5">
        <v>43944</v>
      </c>
      <c r="AD1230" s="5">
        <v>44005.333333333336</v>
      </c>
      <c r="AE1230" s="5">
        <v>44005.333333333336</v>
      </c>
      <c r="AG1230" s="5">
        <v>44044</v>
      </c>
      <c r="AH1230" s="5">
        <v>44044</v>
      </c>
      <c r="AK1230" s="5">
        <v>43949.333333333336</v>
      </c>
      <c r="AL1230" s="5">
        <v>43955.666666666664</v>
      </c>
      <c r="AP1230" t="s">
        <v>418</v>
      </c>
      <c r="AU1230" t="s">
        <v>5619</v>
      </c>
      <c r="AV1230" t="s">
        <v>5620</v>
      </c>
      <c r="AY1230" t="s">
        <v>37</v>
      </c>
      <c r="AZ1230">
        <v>0</v>
      </c>
      <c r="BA1230">
        <v>0</v>
      </c>
      <c r="BI1230" s="5">
        <v>44048.176388888889</v>
      </c>
      <c r="BJ1230" s="5">
        <v>44048.176388888889</v>
      </c>
      <c r="BK1230" t="s">
        <v>778</v>
      </c>
      <c r="BL1230" t="s">
        <v>778</v>
      </c>
      <c r="BN1230" t="s">
        <v>37</v>
      </c>
    </row>
    <row r="1231" spans="1:66" x14ac:dyDescent="0.2">
      <c r="A1231">
        <v>3693788</v>
      </c>
      <c r="B1231">
        <v>21883</v>
      </c>
      <c r="C1231">
        <v>523856</v>
      </c>
      <c r="D1231">
        <v>52899</v>
      </c>
      <c r="E1231">
        <v>100</v>
      </c>
      <c r="F1231" t="s">
        <v>37</v>
      </c>
      <c r="G1231">
        <v>1</v>
      </c>
      <c r="H1231" t="s">
        <v>37</v>
      </c>
      <c r="I1231" t="s">
        <v>37</v>
      </c>
      <c r="J1231" t="s">
        <v>775</v>
      </c>
      <c r="K1231" t="s">
        <v>230</v>
      </c>
      <c r="L1231" t="s">
        <v>226</v>
      </c>
      <c r="M1231" t="s">
        <v>422</v>
      </c>
      <c r="N1231" t="s">
        <v>5621</v>
      </c>
      <c r="O1231" t="s">
        <v>5622</v>
      </c>
      <c r="S1231">
        <v>0</v>
      </c>
      <c r="T1231">
        <v>32</v>
      </c>
      <c r="U1231">
        <v>0</v>
      </c>
      <c r="V1231">
        <v>32</v>
      </c>
      <c r="W1231">
        <v>32</v>
      </c>
      <c r="X1231">
        <v>0</v>
      </c>
      <c r="Y1231">
        <v>0</v>
      </c>
      <c r="Z1231">
        <v>0</v>
      </c>
      <c r="AB1231" s="5">
        <v>43943</v>
      </c>
      <c r="AC1231" s="5">
        <v>43949</v>
      </c>
      <c r="AD1231" s="5">
        <v>44005.333333333336</v>
      </c>
      <c r="AE1231" s="5">
        <v>44005.333333333336</v>
      </c>
      <c r="AG1231" s="5">
        <v>44044</v>
      </c>
      <c r="AH1231" s="5">
        <v>44044</v>
      </c>
      <c r="AK1231" s="5">
        <v>43949.333333333336</v>
      </c>
      <c r="AL1231" s="5">
        <v>43955.666666666664</v>
      </c>
      <c r="AP1231" t="s">
        <v>418</v>
      </c>
      <c r="AU1231" t="s">
        <v>5623</v>
      </c>
      <c r="AV1231" t="s">
        <v>5624</v>
      </c>
      <c r="AY1231" t="s">
        <v>37</v>
      </c>
      <c r="AZ1231">
        <v>0</v>
      </c>
      <c r="BA1231">
        <v>0</v>
      </c>
      <c r="BI1231" s="5">
        <v>44048.176388888889</v>
      </c>
      <c r="BJ1231" s="5">
        <v>44048.176388888889</v>
      </c>
      <c r="BK1231" t="s">
        <v>778</v>
      </c>
      <c r="BL1231" t="s">
        <v>778</v>
      </c>
      <c r="BN1231" t="s">
        <v>37</v>
      </c>
    </row>
    <row r="1232" spans="1:66" x14ac:dyDescent="0.2">
      <c r="A1232">
        <v>3693789</v>
      </c>
      <c r="B1232">
        <v>21883</v>
      </c>
      <c r="C1232">
        <v>523856</v>
      </c>
      <c r="D1232">
        <v>52895</v>
      </c>
      <c r="E1232">
        <v>100</v>
      </c>
      <c r="F1232" t="s">
        <v>37</v>
      </c>
      <c r="G1232">
        <v>1</v>
      </c>
      <c r="H1232" t="s">
        <v>37</v>
      </c>
      <c r="I1232" t="s">
        <v>37</v>
      </c>
      <c r="J1232" t="s">
        <v>775</v>
      </c>
      <c r="K1232" t="s">
        <v>230</v>
      </c>
      <c r="L1232" t="s">
        <v>226</v>
      </c>
      <c r="M1232" t="s">
        <v>422</v>
      </c>
      <c r="N1232" t="s">
        <v>5625</v>
      </c>
      <c r="O1232" t="s">
        <v>2410</v>
      </c>
      <c r="S1232">
        <v>0</v>
      </c>
      <c r="T1232">
        <v>0</v>
      </c>
      <c r="U1232">
        <v>0</v>
      </c>
      <c r="V1232">
        <v>0</v>
      </c>
      <c r="W1232">
        <v>32</v>
      </c>
      <c r="X1232">
        <v>0</v>
      </c>
      <c r="Y1232">
        <v>0</v>
      </c>
      <c r="Z1232">
        <v>0</v>
      </c>
      <c r="AB1232" s="5">
        <v>43988</v>
      </c>
      <c r="AC1232" s="5">
        <v>43994</v>
      </c>
      <c r="AD1232" s="5">
        <v>44005.333333333336</v>
      </c>
      <c r="AE1232" s="5">
        <v>44005.333333333336</v>
      </c>
      <c r="AG1232" s="5">
        <v>44044</v>
      </c>
      <c r="AH1232" s="5">
        <v>44044</v>
      </c>
      <c r="AK1232" s="5">
        <v>43997.333333333336</v>
      </c>
      <c r="AL1232" s="5">
        <v>44000.666666666664</v>
      </c>
      <c r="AP1232" t="s">
        <v>418</v>
      </c>
      <c r="AU1232" t="s">
        <v>5626</v>
      </c>
      <c r="AV1232" t="s">
        <v>5627</v>
      </c>
      <c r="AY1232" t="s">
        <v>37</v>
      </c>
      <c r="AZ1232">
        <v>0</v>
      </c>
      <c r="BA1232">
        <v>0</v>
      </c>
      <c r="BI1232" s="5">
        <v>44048.176388888889</v>
      </c>
      <c r="BJ1232" s="5">
        <v>44048.176388888889</v>
      </c>
      <c r="BK1232" t="s">
        <v>778</v>
      </c>
      <c r="BL1232" t="s">
        <v>778</v>
      </c>
      <c r="BN1232" t="s">
        <v>37</v>
      </c>
    </row>
    <row r="1233" spans="1:66" x14ac:dyDescent="0.2">
      <c r="A1233">
        <v>3693790</v>
      </c>
      <c r="B1233">
        <v>21883</v>
      </c>
      <c r="C1233">
        <v>523856</v>
      </c>
      <c r="D1233">
        <v>52899</v>
      </c>
      <c r="E1233">
        <v>100</v>
      </c>
      <c r="F1233" t="s">
        <v>37</v>
      </c>
      <c r="G1233">
        <v>1</v>
      </c>
      <c r="H1233" t="s">
        <v>37</v>
      </c>
      <c r="I1233" t="s">
        <v>37</v>
      </c>
      <c r="J1233" t="s">
        <v>775</v>
      </c>
      <c r="K1233" t="s">
        <v>230</v>
      </c>
      <c r="L1233" t="s">
        <v>226</v>
      </c>
      <c r="M1233" t="s">
        <v>422</v>
      </c>
      <c r="N1233" t="s">
        <v>5628</v>
      </c>
      <c r="O1233" t="s">
        <v>2414</v>
      </c>
      <c r="S1233">
        <v>0</v>
      </c>
      <c r="T1233">
        <v>16</v>
      </c>
      <c r="U1233">
        <v>0</v>
      </c>
      <c r="V1233">
        <v>16</v>
      </c>
      <c r="W1233">
        <v>16</v>
      </c>
      <c r="X1233">
        <v>0</v>
      </c>
      <c r="Y1233">
        <v>0</v>
      </c>
      <c r="Z1233">
        <v>0</v>
      </c>
      <c r="AB1233" s="5">
        <v>43965</v>
      </c>
      <c r="AC1233" s="5">
        <v>43965</v>
      </c>
      <c r="AD1233" s="5">
        <v>44005.333333333336</v>
      </c>
      <c r="AE1233" s="5">
        <v>44005.333333333336</v>
      </c>
      <c r="AG1233" s="5">
        <v>44044</v>
      </c>
      <c r="AH1233" s="5">
        <v>44044</v>
      </c>
      <c r="AK1233" s="5">
        <v>43978.333333333336</v>
      </c>
      <c r="AL1233" s="5">
        <v>43979.666666666664</v>
      </c>
      <c r="AP1233" t="s">
        <v>418</v>
      </c>
      <c r="AU1233" t="s">
        <v>5629</v>
      </c>
      <c r="AV1233" t="s">
        <v>5630</v>
      </c>
      <c r="AY1233" t="s">
        <v>37</v>
      </c>
      <c r="AZ1233">
        <v>0</v>
      </c>
      <c r="BA1233">
        <v>0</v>
      </c>
      <c r="BI1233" s="5">
        <v>44048.176388888889</v>
      </c>
      <c r="BJ1233" s="5">
        <v>44048.176388888889</v>
      </c>
      <c r="BK1233" t="s">
        <v>778</v>
      </c>
      <c r="BL1233" t="s">
        <v>778</v>
      </c>
      <c r="BN1233" t="s">
        <v>37</v>
      </c>
    </row>
    <row r="1234" spans="1:66" x14ac:dyDescent="0.2">
      <c r="A1234">
        <v>3693791</v>
      </c>
      <c r="B1234">
        <v>21883</v>
      </c>
      <c r="C1234">
        <v>523856</v>
      </c>
      <c r="D1234">
        <v>52899</v>
      </c>
      <c r="E1234">
        <v>100</v>
      </c>
      <c r="F1234" t="s">
        <v>37</v>
      </c>
      <c r="G1234">
        <v>1</v>
      </c>
      <c r="H1234" t="s">
        <v>37</v>
      </c>
      <c r="I1234" t="s">
        <v>37</v>
      </c>
      <c r="J1234" t="s">
        <v>775</v>
      </c>
      <c r="K1234" t="s">
        <v>230</v>
      </c>
      <c r="L1234" t="s">
        <v>226</v>
      </c>
      <c r="M1234" t="s">
        <v>422</v>
      </c>
      <c r="N1234" t="s">
        <v>5631</v>
      </c>
      <c r="O1234" t="s">
        <v>3311</v>
      </c>
      <c r="S1234">
        <v>0</v>
      </c>
      <c r="T1234">
        <v>0</v>
      </c>
      <c r="U1234">
        <v>0</v>
      </c>
      <c r="V1234">
        <v>0</v>
      </c>
      <c r="W1234">
        <v>16</v>
      </c>
      <c r="X1234">
        <v>0</v>
      </c>
      <c r="Y1234">
        <v>0</v>
      </c>
      <c r="Z1234">
        <v>0</v>
      </c>
      <c r="AB1234" s="5">
        <v>43965</v>
      </c>
      <c r="AC1234" s="5">
        <v>43996</v>
      </c>
      <c r="AD1234" s="5">
        <v>44005.333333333336</v>
      </c>
      <c r="AE1234" s="5">
        <v>44005.333333333336</v>
      </c>
      <c r="AG1234" s="5">
        <v>44044</v>
      </c>
      <c r="AH1234" s="5">
        <v>44044</v>
      </c>
      <c r="AK1234" s="5">
        <v>43980.333333333336</v>
      </c>
      <c r="AL1234" s="5">
        <v>43983.666666666664</v>
      </c>
      <c r="AP1234" t="s">
        <v>418</v>
      </c>
      <c r="AU1234" t="s">
        <v>5632</v>
      </c>
      <c r="AV1234" t="s">
        <v>5633</v>
      </c>
      <c r="AY1234" t="s">
        <v>37</v>
      </c>
      <c r="AZ1234">
        <v>0</v>
      </c>
      <c r="BA1234">
        <v>0</v>
      </c>
      <c r="BI1234" s="5">
        <v>44048.176388888889</v>
      </c>
      <c r="BJ1234" s="5">
        <v>44048.176388888889</v>
      </c>
      <c r="BK1234" t="s">
        <v>778</v>
      </c>
      <c r="BL1234" t="s">
        <v>778</v>
      </c>
      <c r="BN1234" t="s">
        <v>37</v>
      </c>
    </row>
    <row r="1235" spans="1:66" x14ac:dyDescent="0.2">
      <c r="A1235">
        <v>3693792</v>
      </c>
      <c r="B1235">
        <v>21883</v>
      </c>
      <c r="C1235">
        <v>523856</v>
      </c>
      <c r="D1235">
        <v>52899</v>
      </c>
      <c r="E1235">
        <v>100</v>
      </c>
      <c r="F1235" t="s">
        <v>37</v>
      </c>
      <c r="G1235">
        <v>1</v>
      </c>
      <c r="H1235" t="s">
        <v>37</v>
      </c>
      <c r="I1235" t="s">
        <v>37</v>
      </c>
      <c r="J1235" t="s">
        <v>775</v>
      </c>
      <c r="K1235" t="s">
        <v>230</v>
      </c>
      <c r="L1235" t="s">
        <v>226</v>
      </c>
      <c r="M1235" t="s">
        <v>422</v>
      </c>
      <c r="N1235" t="s">
        <v>5634</v>
      </c>
      <c r="O1235" t="s">
        <v>3315</v>
      </c>
      <c r="S1235">
        <v>0</v>
      </c>
      <c r="T1235">
        <v>8</v>
      </c>
      <c r="U1235">
        <v>0</v>
      </c>
      <c r="V1235">
        <v>8</v>
      </c>
      <c r="W1235">
        <v>8</v>
      </c>
      <c r="X1235">
        <v>0</v>
      </c>
      <c r="Y1235">
        <v>0</v>
      </c>
      <c r="Z1235">
        <v>0</v>
      </c>
      <c r="AB1235" s="5">
        <v>43987</v>
      </c>
      <c r="AC1235" s="5">
        <v>43987</v>
      </c>
      <c r="AD1235" s="5">
        <v>44005.333333333336</v>
      </c>
      <c r="AE1235" s="5">
        <v>44005.333333333336</v>
      </c>
      <c r="AG1235" s="5">
        <v>44044</v>
      </c>
      <c r="AH1235" s="5">
        <v>44044</v>
      </c>
      <c r="AK1235" s="5">
        <v>43997.333333333336</v>
      </c>
      <c r="AL1235" s="5">
        <v>43997.666666666664</v>
      </c>
      <c r="AP1235" t="s">
        <v>418</v>
      </c>
      <c r="AU1235" t="s">
        <v>5635</v>
      </c>
      <c r="AV1235" t="s">
        <v>5636</v>
      </c>
      <c r="AY1235" t="s">
        <v>37</v>
      </c>
      <c r="AZ1235">
        <v>0</v>
      </c>
      <c r="BA1235">
        <v>0</v>
      </c>
      <c r="BI1235" s="5">
        <v>44048.176388888889</v>
      </c>
      <c r="BJ1235" s="5">
        <v>44048.176388888889</v>
      </c>
      <c r="BK1235" t="s">
        <v>778</v>
      </c>
      <c r="BL1235" t="s">
        <v>778</v>
      </c>
      <c r="BN1235" t="s">
        <v>37</v>
      </c>
    </row>
    <row r="1236" spans="1:66" x14ac:dyDescent="0.2">
      <c r="A1236">
        <v>3693793</v>
      </c>
      <c r="B1236">
        <v>21883</v>
      </c>
      <c r="C1236">
        <v>523856</v>
      </c>
      <c r="D1236">
        <v>52899</v>
      </c>
      <c r="E1236">
        <v>100</v>
      </c>
      <c r="F1236" t="s">
        <v>37</v>
      </c>
      <c r="G1236">
        <v>1</v>
      </c>
      <c r="H1236" t="s">
        <v>37</v>
      </c>
      <c r="I1236" t="s">
        <v>37</v>
      </c>
      <c r="J1236" t="s">
        <v>775</v>
      </c>
      <c r="K1236" t="s">
        <v>230</v>
      </c>
      <c r="L1236" t="s">
        <v>226</v>
      </c>
      <c r="M1236" t="s">
        <v>422</v>
      </c>
      <c r="N1236" t="s">
        <v>5637</v>
      </c>
      <c r="O1236" t="s">
        <v>5638</v>
      </c>
      <c r="S1236">
        <v>0</v>
      </c>
      <c r="T1236">
        <v>8</v>
      </c>
      <c r="U1236">
        <v>0</v>
      </c>
      <c r="V1236">
        <v>8</v>
      </c>
      <c r="W1236">
        <v>8</v>
      </c>
      <c r="X1236">
        <v>0</v>
      </c>
      <c r="Y1236">
        <v>0</v>
      </c>
      <c r="Z1236">
        <v>0</v>
      </c>
      <c r="AB1236" s="5">
        <v>43941</v>
      </c>
      <c r="AC1236" s="5">
        <v>43942</v>
      </c>
      <c r="AD1236" s="5">
        <v>44005.333333333336</v>
      </c>
      <c r="AE1236" s="5">
        <v>44005.333333333336</v>
      </c>
      <c r="AG1236" s="5">
        <v>44044</v>
      </c>
      <c r="AH1236" s="5">
        <v>44044</v>
      </c>
      <c r="AK1236" s="5">
        <v>43949.333333333336</v>
      </c>
      <c r="AL1236" s="5">
        <v>43949.666666666664</v>
      </c>
      <c r="AP1236" t="s">
        <v>418</v>
      </c>
      <c r="AU1236" t="s">
        <v>5639</v>
      </c>
      <c r="AV1236" t="s">
        <v>5640</v>
      </c>
      <c r="AY1236" t="s">
        <v>37</v>
      </c>
      <c r="AZ1236">
        <v>0</v>
      </c>
      <c r="BA1236">
        <v>0</v>
      </c>
      <c r="BI1236" s="5">
        <v>44048.176388888889</v>
      </c>
      <c r="BJ1236" s="5">
        <v>44048.176388888889</v>
      </c>
      <c r="BK1236" t="s">
        <v>778</v>
      </c>
      <c r="BL1236" t="s">
        <v>778</v>
      </c>
      <c r="BN1236" t="s">
        <v>37</v>
      </c>
    </row>
    <row r="1237" spans="1:66" x14ac:dyDescent="0.2">
      <c r="A1237">
        <v>3693794</v>
      </c>
      <c r="B1237">
        <v>21883</v>
      </c>
      <c r="C1237">
        <v>523856</v>
      </c>
      <c r="D1237">
        <v>52899</v>
      </c>
      <c r="E1237">
        <v>100</v>
      </c>
      <c r="F1237" t="s">
        <v>37</v>
      </c>
      <c r="G1237">
        <v>1</v>
      </c>
      <c r="H1237" t="s">
        <v>37</v>
      </c>
      <c r="I1237" t="s">
        <v>37</v>
      </c>
      <c r="J1237" t="s">
        <v>775</v>
      </c>
      <c r="K1237" t="s">
        <v>230</v>
      </c>
      <c r="L1237" t="s">
        <v>226</v>
      </c>
      <c r="M1237" t="s">
        <v>422</v>
      </c>
      <c r="N1237" t="s">
        <v>5641</v>
      </c>
      <c r="O1237" t="s">
        <v>4735</v>
      </c>
      <c r="S1237">
        <v>0</v>
      </c>
      <c r="T1237">
        <v>16</v>
      </c>
      <c r="U1237">
        <v>0</v>
      </c>
      <c r="V1237">
        <v>16</v>
      </c>
      <c r="W1237">
        <v>16</v>
      </c>
      <c r="X1237">
        <v>0</v>
      </c>
      <c r="Y1237">
        <v>0</v>
      </c>
      <c r="Z1237">
        <v>0</v>
      </c>
      <c r="AB1237" s="5">
        <v>43942</v>
      </c>
      <c r="AC1237" s="5">
        <v>43942</v>
      </c>
      <c r="AD1237" s="5">
        <v>44005.333333333336</v>
      </c>
      <c r="AE1237" s="5">
        <v>44005.333333333336</v>
      </c>
      <c r="AG1237" s="5">
        <v>44044</v>
      </c>
      <c r="AH1237" s="5">
        <v>44044</v>
      </c>
      <c r="AK1237" s="5">
        <v>43949.333333333336</v>
      </c>
      <c r="AL1237" s="5">
        <v>43950.666666666664</v>
      </c>
      <c r="AP1237" t="s">
        <v>418</v>
      </c>
      <c r="AU1237" t="s">
        <v>5642</v>
      </c>
      <c r="AV1237" t="s">
        <v>5643</v>
      </c>
      <c r="AY1237" t="s">
        <v>37</v>
      </c>
      <c r="AZ1237">
        <v>0</v>
      </c>
      <c r="BA1237">
        <v>0</v>
      </c>
      <c r="BI1237" s="5">
        <v>44048.176388888889</v>
      </c>
      <c r="BJ1237" s="5">
        <v>44048.176388888889</v>
      </c>
      <c r="BK1237" t="s">
        <v>778</v>
      </c>
      <c r="BL1237" t="s">
        <v>778</v>
      </c>
      <c r="BN1237" t="s">
        <v>37</v>
      </c>
    </row>
    <row r="1238" spans="1:66" x14ac:dyDescent="0.2">
      <c r="A1238">
        <v>3693795</v>
      </c>
      <c r="B1238">
        <v>21883</v>
      </c>
      <c r="C1238">
        <v>523856</v>
      </c>
      <c r="D1238">
        <v>52899</v>
      </c>
      <c r="E1238">
        <v>100</v>
      </c>
      <c r="F1238" t="s">
        <v>37</v>
      </c>
      <c r="G1238">
        <v>1</v>
      </c>
      <c r="H1238" t="s">
        <v>37</v>
      </c>
      <c r="I1238" t="s">
        <v>37</v>
      </c>
      <c r="J1238" t="s">
        <v>775</v>
      </c>
      <c r="K1238" t="s">
        <v>230</v>
      </c>
      <c r="L1238" t="s">
        <v>226</v>
      </c>
      <c r="M1238" t="s">
        <v>422</v>
      </c>
      <c r="N1238" t="s">
        <v>5644</v>
      </c>
      <c r="O1238" t="s">
        <v>5645</v>
      </c>
      <c r="S1238">
        <v>0</v>
      </c>
      <c r="T1238">
        <v>32</v>
      </c>
      <c r="U1238">
        <v>0</v>
      </c>
      <c r="V1238">
        <v>32</v>
      </c>
      <c r="W1238">
        <v>24</v>
      </c>
      <c r="X1238">
        <v>0</v>
      </c>
      <c r="Y1238">
        <v>0</v>
      </c>
      <c r="Z1238">
        <v>0</v>
      </c>
      <c r="AB1238" s="5">
        <v>43951</v>
      </c>
      <c r="AC1238" s="5">
        <v>43955</v>
      </c>
      <c r="AD1238" s="5">
        <v>44005.333333333336</v>
      </c>
      <c r="AE1238" s="5">
        <v>44005.333333333336</v>
      </c>
      <c r="AG1238" s="5">
        <v>44044</v>
      </c>
      <c r="AH1238" s="5">
        <v>44044</v>
      </c>
      <c r="AK1238" s="5">
        <v>43955.333333333336</v>
      </c>
      <c r="AL1238" s="5">
        <v>43957.666666666664</v>
      </c>
      <c r="AP1238" t="s">
        <v>418</v>
      </c>
      <c r="AU1238" t="s">
        <v>5646</v>
      </c>
      <c r="AV1238" t="s">
        <v>5647</v>
      </c>
      <c r="AY1238" t="s">
        <v>37</v>
      </c>
      <c r="AZ1238">
        <v>0</v>
      </c>
      <c r="BA1238">
        <v>0</v>
      </c>
      <c r="BI1238" s="5">
        <v>44048.176388888889</v>
      </c>
      <c r="BJ1238" s="5">
        <v>44048.176388888889</v>
      </c>
      <c r="BK1238" t="s">
        <v>778</v>
      </c>
      <c r="BL1238" t="s">
        <v>778</v>
      </c>
      <c r="BN1238" t="s">
        <v>37</v>
      </c>
    </row>
    <row r="1239" spans="1:66" x14ac:dyDescent="0.2">
      <c r="A1239">
        <v>3693796</v>
      </c>
      <c r="B1239">
        <v>21883</v>
      </c>
      <c r="C1239">
        <v>523856</v>
      </c>
      <c r="D1239">
        <v>52899</v>
      </c>
      <c r="E1239">
        <v>100</v>
      </c>
      <c r="F1239" t="s">
        <v>37</v>
      </c>
      <c r="G1239">
        <v>1</v>
      </c>
      <c r="H1239" t="s">
        <v>37</v>
      </c>
      <c r="I1239" t="s">
        <v>37</v>
      </c>
      <c r="J1239" t="s">
        <v>775</v>
      </c>
      <c r="K1239" t="s">
        <v>230</v>
      </c>
      <c r="L1239" t="s">
        <v>226</v>
      </c>
      <c r="M1239" t="s">
        <v>422</v>
      </c>
      <c r="N1239" t="s">
        <v>5648</v>
      </c>
      <c r="O1239" t="s">
        <v>4192</v>
      </c>
      <c r="S1239">
        <v>0</v>
      </c>
      <c r="T1239">
        <v>32</v>
      </c>
      <c r="U1239">
        <v>0</v>
      </c>
      <c r="V1239">
        <v>32</v>
      </c>
      <c r="W1239">
        <v>32</v>
      </c>
      <c r="X1239">
        <v>0</v>
      </c>
      <c r="Y1239">
        <v>0</v>
      </c>
      <c r="Z1239">
        <v>0</v>
      </c>
      <c r="AB1239" s="5">
        <v>43952</v>
      </c>
      <c r="AC1239" s="5">
        <v>43957</v>
      </c>
      <c r="AD1239" s="5">
        <v>44005.333333333336</v>
      </c>
      <c r="AE1239" s="5">
        <v>44005.333333333336</v>
      </c>
      <c r="AG1239" s="5">
        <v>44044</v>
      </c>
      <c r="AH1239" s="5">
        <v>44044</v>
      </c>
      <c r="AK1239" s="5">
        <v>43962.333333333336</v>
      </c>
      <c r="AL1239" s="5">
        <v>43965.666666666664</v>
      </c>
      <c r="AP1239" t="s">
        <v>418</v>
      </c>
      <c r="AU1239" t="s">
        <v>5649</v>
      </c>
      <c r="AV1239" t="s">
        <v>5650</v>
      </c>
      <c r="AY1239" t="s">
        <v>37</v>
      </c>
      <c r="AZ1239">
        <v>0</v>
      </c>
      <c r="BA1239">
        <v>0</v>
      </c>
      <c r="BI1239" s="5">
        <v>44048.176388888889</v>
      </c>
      <c r="BJ1239" s="5">
        <v>44048.176388888889</v>
      </c>
      <c r="BK1239" t="s">
        <v>778</v>
      </c>
      <c r="BL1239" t="s">
        <v>778</v>
      </c>
      <c r="BN1239" t="s">
        <v>37</v>
      </c>
    </row>
    <row r="1240" spans="1:66" x14ac:dyDescent="0.2">
      <c r="A1240">
        <v>3693797</v>
      </c>
      <c r="B1240">
        <v>21883</v>
      </c>
      <c r="C1240">
        <v>523856</v>
      </c>
      <c r="D1240">
        <v>52899</v>
      </c>
      <c r="E1240">
        <v>100</v>
      </c>
      <c r="F1240" t="s">
        <v>37</v>
      </c>
      <c r="G1240">
        <v>1</v>
      </c>
      <c r="H1240" t="s">
        <v>37</v>
      </c>
      <c r="I1240" t="s">
        <v>37</v>
      </c>
      <c r="J1240" t="s">
        <v>775</v>
      </c>
      <c r="K1240" t="s">
        <v>230</v>
      </c>
      <c r="L1240" t="s">
        <v>226</v>
      </c>
      <c r="M1240" t="s">
        <v>422</v>
      </c>
      <c r="N1240" t="s">
        <v>5651</v>
      </c>
      <c r="O1240" t="s">
        <v>4196</v>
      </c>
      <c r="S1240">
        <v>0</v>
      </c>
      <c r="T1240">
        <v>32</v>
      </c>
      <c r="U1240">
        <v>0</v>
      </c>
      <c r="V1240">
        <v>32</v>
      </c>
      <c r="W1240">
        <v>24</v>
      </c>
      <c r="X1240">
        <v>0</v>
      </c>
      <c r="Y1240">
        <v>0</v>
      </c>
      <c r="Z1240">
        <v>0</v>
      </c>
      <c r="AB1240" s="5">
        <v>43977</v>
      </c>
      <c r="AC1240" s="5">
        <v>43986</v>
      </c>
      <c r="AD1240" s="5">
        <v>44005.333333333336</v>
      </c>
      <c r="AE1240" s="5">
        <v>44005.333333333336</v>
      </c>
      <c r="AG1240" s="5">
        <v>44044</v>
      </c>
      <c r="AH1240" s="5">
        <v>44044</v>
      </c>
      <c r="AK1240" s="5">
        <v>43978.333333333336</v>
      </c>
      <c r="AL1240" s="5">
        <v>43980.666666666664</v>
      </c>
      <c r="AP1240" t="s">
        <v>418</v>
      </c>
      <c r="AU1240" t="s">
        <v>5652</v>
      </c>
      <c r="AV1240" t="s">
        <v>5653</v>
      </c>
      <c r="AY1240" t="s">
        <v>37</v>
      </c>
      <c r="AZ1240">
        <v>0</v>
      </c>
      <c r="BA1240">
        <v>0</v>
      </c>
      <c r="BI1240" s="5">
        <v>44048.176388888889</v>
      </c>
      <c r="BJ1240" s="5">
        <v>44048.176388888889</v>
      </c>
      <c r="BK1240" t="s">
        <v>778</v>
      </c>
      <c r="BL1240" t="s">
        <v>778</v>
      </c>
      <c r="BN1240" t="s">
        <v>37</v>
      </c>
    </row>
    <row r="1241" spans="1:66" x14ac:dyDescent="0.2">
      <c r="A1241">
        <v>3693798</v>
      </c>
      <c r="B1241">
        <v>21883</v>
      </c>
      <c r="C1241">
        <v>523856</v>
      </c>
      <c r="D1241">
        <v>52899</v>
      </c>
      <c r="E1241">
        <v>100</v>
      </c>
      <c r="F1241" t="s">
        <v>37</v>
      </c>
      <c r="G1241">
        <v>1</v>
      </c>
      <c r="H1241" t="s">
        <v>37</v>
      </c>
      <c r="I1241" t="s">
        <v>37</v>
      </c>
      <c r="J1241" t="s">
        <v>775</v>
      </c>
      <c r="K1241" t="s">
        <v>230</v>
      </c>
      <c r="L1241" t="s">
        <v>226</v>
      </c>
      <c r="M1241" t="s">
        <v>422</v>
      </c>
      <c r="N1241" t="s">
        <v>5654</v>
      </c>
      <c r="O1241" t="s">
        <v>4200</v>
      </c>
      <c r="S1241">
        <v>0</v>
      </c>
      <c r="T1241">
        <v>16</v>
      </c>
      <c r="U1241">
        <v>0</v>
      </c>
      <c r="V1241">
        <v>16</v>
      </c>
      <c r="W1241">
        <v>16</v>
      </c>
      <c r="X1241">
        <v>0</v>
      </c>
      <c r="Y1241">
        <v>0</v>
      </c>
      <c r="Z1241">
        <v>0</v>
      </c>
      <c r="AB1241" s="5">
        <v>43993</v>
      </c>
      <c r="AC1241" s="5">
        <v>43994</v>
      </c>
      <c r="AD1241" s="5">
        <v>44109.666666666664</v>
      </c>
      <c r="AE1241" s="5">
        <v>44109.666666666664</v>
      </c>
      <c r="AG1241" s="5">
        <v>44044</v>
      </c>
      <c r="AH1241" s="5">
        <v>44044</v>
      </c>
      <c r="AK1241" s="5">
        <v>44006.333333333336</v>
      </c>
      <c r="AL1241" s="5">
        <v>44007.666666666664</v>
      </c>
      <c r="AP1241" t="s">
        <v>418</v>
      </c>
      <c r="AU1241" t="s">
        <v>5655</v>
      </c>
      <c r="AV1241" t="s">
        <v>5656</v>
      </c>
      <c r="AY1241" t="s">
        <v>37</v>
      </c>
      <c r="AZ1241">
        <v>0</v>
      </c>
      <c r="BA1241">
        <v>0</v>
      </c>
      <c r="BI1241" s="5">
        <v>44048.176388888889</v>
      </c>
      <c r="BJ1241" s="5">
        <v>44048.176388888889</v>
      </c>
      <c r="BK1241" t="s">
        <v>778</v>
      </c>
      <c r="BL1241" t="s">
        <v>778</v>
      </c>
      <c r="BN1241" t="s">
        <v>37</v>
      </c>
    </row>
    <row r="1242" spans="1:66" x14ac:dyDescent="0.2">
      <c r="A1242">
        <v>3693799</v>
      </c>
      <c r="B1242">
        <v>21883</v>
      </c>
      <c r="C1242">
        <v>523856</v>
      </c>
      <c r="D1242">
        <v>52899</v>
      </c>
      <c r="E1242">
        <v>100</v>
      </c>
      <c r="F1242" t="s">
        <v>37</v>
      </c>
      <c r="G1242">
        <v>1</v>
      </c>
      <c r="H1242" t="s">
        <v>37</v>
      </c>
      <c r="I1242" t="s">
        <v>37</v>
      </c>
      <c r="J1242" t="s">
        <v>775</v>
      </c>
      <c r="K1242" t="s">
        <v>230</v>
      </c>
      <c r="L1242" t="s">
        <v>226</v>
      </c>
      <c r="M1242" t="s">
        <v>422</v>
      </c>
      <c r="N1242" t="s">
        <v>5657</v>
      </c>
      <c r="O1242" t="s">
        <v>5658</v>
      </c>
      <c r="S1242">
        <v>0</v>
      </c>
      <c r="T1242">
        <v>16</v>
      </c>
      <c r="U1242">
        <v>0</v>
      </c>
      <c r="V1242">
        <v>16</v>
      </c>
      <c r="W1242">
        <v>16</v>
      </c>
      <c r="X1242">
        <v>0</v>
      </c>
      <c r="Y1242">
        <v>0</v>
      </c>
      <c r="Z1242">
        <v>0</v>
      </c>
      <c r="AB1242" s="5">
        <v>44000</v>
      </c>
      <c r="AC1242" s="5">
        <v>44004</v>
      </c>
      <c r="AD1242" s="5">
        <v>44005.333333333336</v>
      </c>
      <c r="AE1242" s="5">
        <v>44005.333333333336</v>
      </c>
      <c r="AG1242" s="5">
        <v>44044</v>
      </c>
      <c r="AH1242" s="5">
        <v>44044</v>
      </c>
      <c r="AK1242" s="5">
        <v>44004.333333333336</v>
      </c>
      <c r="AL1242" s="5">
        <v>44005.666666666664</v>
      </c>
      <c r="AP1242" t="s">
        <v>418</v>
      </c>
      <c r="AU1242" t="s">
        <v>5659</v>
      </c>
      <c r="AV1242" t="s">
        <v>5660</v>
      </c>
      <c r="AY1242" t="s">
        <v>37</v>
      </c>
      <c r="AZ1242">
        <v>0</v>
      </c>
      <c r="BA1242">
        <v>0</v>
      </c>
      <c r="BI1242" s="5">
        <v>44048.176388888889</v>
      </c>
      <c r="BJ1242" s="5">
        <v>44048.176388888889</v>
      </c>
      <c r="BK1242" t="s">
        <v>778</v>
      </c>
      <c r="BL1242" t="s">
        <v>778</v>
      </c>
      <c r="BN1242" t="s">
        <v>37</v>
      </c>
    </row>
    <row r="1243" spans="1:66" x14ac:dyDescent="0.2">
      <c r="A1243">
        <v>3693800</v>
      </c>
      <c r="B1243">
        <v>21883</v>
      </c>
      <c r="C1243">
        <v>523855</v>
      </c>
      <c r="D1243">
        <v>52899</v>
      </c>
      <c r="E1243">
        <v>100</v>
      </c>
      <c r="F1243" t="s">
        <v>37</v>
      </c>
      <c r="G1243">
        <v>1</v>
      </c>
      <c r="H1243" t="s">
        <v>37</v>
      </c>
      <c r="I1243" t="s">
        <v>37</v>
      </c>
      <c r="J1243" t="s">
        <v>775</v>
      </c>
      <c r="K1243" t="s">
        <v>230</v>
      </c>
      <c r="L1243" t="s">
        <v>226</v>
      </c>
      <c r="M1243" t="s">
        <v>422</v>
      </c>
      <c r="N1243" t="s">
        <v>5661</v>
      </c>
      <c r="O1243" t="s">
        <v>5662</v>
      </c>
      <c r="S1243">
        <v>0</v>
      </c>
      <c r="T1243">
        <v>32</v>
      </c>
      <c r="U1243">
        <v>0</v>
      </c>
      <c r="V1243">
        <v>32</v>
      </c>
      <c r="W1243">
        <v>32</v>
      </c>
      <c r="X1243">
        <v>0</v>
      </c>
      <c r="Y1243">
        <v>0</v>
      </c>
      <c r="Z1243">
        <v>0</v>
      </c>
      <c r="AB1243" s="5">
        <v>43945</v>
      </c>
      <c r="AC1243" s="5">
        <v>43949</v>
      </c>
      <c r="AD1243" s="5">
        <v>44005.333333333336</v>
      </c>
      <c r="AE1243" s="5">
        <v>44005.333333333336</v>
      </c>
      <c r="AG1243" s="5">
        <v>44044</v>
      </c>
      <c r="AH1243" s="5">
        <v>44044</v>
      </c>
      <c r="AK1243" s="5">
        <v>43957.333333333336</v>
      </c>
      <c r="AL1243" s="5">
        <v>43963.666666666664</v>
      </c>
      <c r="AP1243" t="s">
        <v>418</v>
      </c>
      <c r="AU1243" t="s">
        <v>5663</v>
      </c>
      <c r="AV1243" t="s">
        <v>5664</v>
      </c>
      <c r="AY1243" t="s">
        <v>37</v>
      </c>
      <c r="AZ1243">
        <v>0</v>
      </c>
      <c r="BA1243">
        <v>0</v>
      </c>
      <c r="BI1243" s="5">
        <v>44048.176388888889</v>
      </c>
      <c r="BJ1243" s="5">
        <v>44048.176388888889</v>
      </c>
      <c r="BK1243" t="s">
        <v>778</v>
      </c>
      <c r="BL1243" t="s">
        <v>778</v>
      </c>
      <c r="BN1243" t="s">
        <v>37</v>
      </c>
    </row>
    <row r="1244" spans="1:66" x14ac:dyDescent="0.2">
      <c r="A1244">
        <v>3693801</v>
      </c>
      <c r="B1244">
        <v>21883</v>
      </c>
      <c r="C1244">
        <v>523855</v>
      </c>
      <c r="D1244">
        <v>52895</v>
      </c>
      <c r="E1244">
        <v>100</v>
      </c>
      <c r="F1244" t="s">
        <v>37</v>
      </c>
      <c r="G1244">
        <v>1</v>
      </c>
      <c r="H1244" t="s">
        <v>37</v>
      </c>
      <c r="I1244" t="s">
        <v>37</v>
      </c>
      <c r="J1244" t="s">
        <v>775</v>
      </c>
      <c r="K1244" t="s">
        <v>230</v>
      </c>
      <c r="L1244" t="s">
        <v>226</v>
      </c>
      <c r="M1244" t="s">
        <v>422</v>
      </c>
      <c r="N1244" t="s">
        <v>5665</v>
      </c>
      <c r="O1244" t="s">
        <v>2422</v>
      </c>
      <c r="S1244">
        <v>0</v>
      </c>
      <c r="T1244">
        <v>0</v>
      </c>
      <c r="U1244">
        <v>0</v>
      </c>
      <c r="V1244">
        <v>0</v>
      </c>
      <c r="W1244">
        <v>32</v>
      </c>
      <c r="X1244">
        <v>0</v>
      </c>
      <c r="Y1244">
        <v>0</v>
      </c>
      <c r="Z1244">
        <v>0</v>
      </c>
      <c r="AB1244" s="5">
        <v>43979</v>
      </c>
      <c r="AC1244" s="5">
        <v>43985</v>
      </c>
      <c r="AD1244" s="5">
        <v>44005.333333333336</v>
      </c>
      <c r="AE1244" s="5">
        <v>44005.333333333336</v>
      </c>
      <c r="AG1244" s="5">
        <v>44044</v>
      </c>
      <c r="AH1244" s="5">
        <v>44044</v>
      </c>
      <c r="AK1244" s="5">
        <v>43978.333333333336</v>
      </c>
      <c r="AL1244" s="5">
        <v>43981.666666666664</v>
      </c>
      <c r="AP1244" t="s">
        <v>418</v>
      </c>
      <c r="AU1244" t="s">
        <v>5666</v>
      </c>
      <c r="AV1244" t="s">
        <v>5667</v>
      </c>
      <c r="AY1244" t="s">
        <v>37</v>
      </c>
      <c r="AZ1244">
        <v>0</v>
      </c>
      <c r="BA1244">
        <v>0</v>
      </c>
      <c r="BI1244" s="5">
        <v>44048.176388888889</v>
      </c>
      <c r="BJ1244" s="5">
        <v>44048.176388888889</v>
      </c>
      <c r="BK1244" t="s">
        <v>778</v>
      </c>
      <c r="BL1244" t="s">
        <v>778</v>
      </c>
      <c r="BN1244" t="s">
        <v>37</v>
      </c>
    </row>
    <row r="1245" spans="1:66" x14ac:dyDescent="0.2">
      <c r="A1245">
        <v>3693802</v>
      </c>
      <c r="B1245">
        <v>21883</v>
      </c>
      <c r="C1245">
        <v>523855</v>
      </c>
      <c r="D1245">
        <v>52899</v>
      </c>
      <c r="E1245">
        <v>100</v>
      </c>
      <c r="F1245" t="s">
        <v>37</v>
      </c>
      <c r="G1245">
        <v>1</v>
      </c>
      <c r="H1245" t="s">
        <v>37</v>
      </c>
      <c r="I1245" t="s">
        <v>37</v>
      </c>
      <c r="J1245" t="s">
        <v>775</v>
      </c>
      <c r="K1245" t="s">
        <v>230</v>
      </c>
      <c r="L1245" t="s">
        <v>226</v>
      </c>
      <c r="M1245" t="s">
        <v>422</v>
      </c>
      <c r="N1245" t="s">
        <v>5668</v>
      </c>
      <c r="O1245" t="s">
        <v>2426</v>
      </c>
      <c r="S1245">
        <v>0</v>
      </c>
      <c r="T1245">
        <v>16</v>
      </c>
      <c r="U1245">
        <v>0</v>
      </c>
      <c r="V1245">
        <v>16</v>
      </c>
      <c r="W1245">
        <v>16</v>
      </c>
      <c r="X1245">
        <v>0</v>
      </c>
      <c r="Y1245">
        <v>0</v>
      </c>
      <c r="Z1245">
        <v>0</v>
      </c>
      <c r="AB1245" s="5">
        <v>43962</v>
      </c>
      <c r="AC1245" s="5">
        <v>43963</v>
      </c>
      <c r="AD1245" s="5">
        <v>44005.333333333336</v>
      </c>
      <c r="AE1245" s="5">
        <v>44005.333333333336</v>
      </c>
      <c r="AG1245" s="5">
        <v>44044</v>
      </c>
      <c r="AH1245" s="5">
        <v>44044</v>
      </c>
      <c r="AK1245" s="5">
        <v>43969.333333333336</v>
      </c>
      <c r="AL1245" s="5">
        <v>43970.666666666664</v>
      </c>
      <c r="AP1245" t="s">
        <v>418</v>
      </c>
      <c r="AU1245" t="s">
        <v>5669</v>
      </c>
      <c r="AV1245" t="s">
        <v>5670</v>
      </c>
      <c r="AY1245" t="s">
        <v>37</v>
      </c>
      <c r="AZ1245">
        <v>0</v>
      </c>
      <c r="BA1245">
        <v>0</v>
      </c>
      <c r="BI1245" s="5">
        <v>44048.176388888889</v>
      </c>
      <c r="BJ1245" s="5">
        <v>44048.176388888889</v>
      </c>
      <c r="BK1245" t="s">
        <v>778</v>
      </c>
      <c r="BL1245" t="s">
        <v>778</v>
      </c>
      <c r="BN1245" t="s">
        <v>37</v>
      </c>
    </row>
    <row r="1246" spans="1:66" x14ac:dyDescent="0.2">
      <c r="A1246">
        <v>3693803</v>
      </c>
      <c r="B1246">
        <v>21883</v>
      </c>
      <c r="C1246">
        <v>523855</v>
      </c>
      <c r="D1246">
        <v>52899</v>
      </c>
      <c r="E1246">
        <v>100</v>
      </c>
      <c r="F1246" t="s">
        <v>37</v>
      </c>
      <c r="G1246">
        <v>1</v>
      </c>
      <c r="H1246" t="s">
        <v>37</v>
      </c>
      <c r="I1246" t="s">
        <v>37</v>
      </c>
      <c r="J1246" t="s">
        <v>775</v>
      </c>
      <c r="K1246" t="s">
        <v>230</v>
      </c>
      <c r="L1246" t="s">
        <v>226</v>
      </c>
      <c r="M1246" t="s">
        <v>422</v>
      </c>
      <c r="N1246" t="s">
        <v>5671</v>
      </c>
      <c r="O1246" t="s">
        <v>3319</v>
      </c>
      <c r="S1246">
        <v>0</v>
      </c>
      <c r="T1246">
        <v>0</v>
      </c>
      <c r="U1246">
        <v>0</v>
      </c>
      <c r="V1246">
        <v>0</v>
      </c>
      <c r="W1246">
        <v>16</v>
      </c>
      <c r="X1246">
        <v>0</v>
      </c>
      <c r="Y1246">
        <v>0</v>
      </c>
      <c r="Z1246">
        <v>0</v>
      </c>
      <c r="AB1246" s="5">
        <v>43965</v>
      </c>
      <c r="AC1246" s="5">
        <v>43965</v>
      </c>
      <c r="AD1246" s="5">
        <v>44005.333333333336</v>
      </c>
      <c r="AE1246" s="5">
        <v>44005.333333333336</v>
      </c>
      <c r="AG1246" s="5">
        <v>44044</v>
      </c>
      <c r="AH1246" s="5">
        <v>44044</v>
      </c>
      <c r="AK1246" s="5">
        <v>43978.333333333336</v>
      </c>
      <c r="AL1246" s="5">
        <v>43979.666666666664</v>
      </c>
      <c r="AP1246" t="s">
        <v>418</v>
      </c>
      <c r="AU1246" t="s">
        <v>5672</v>
      </c>
      <c r="AV1246" t="s">
        <v>5673</v>
      </c>
      <c r="AY1246" t="s">
        <v>37</v>
      </c>
      <c r="AZ1246">
        <v>0</v>
      </c>
      <c r="BA1246">
        <v>0</v>
      </c>
      <c r="BI1246" s="5">
        <v>44048.176388888889</v>
      </c>
      <c r="BJ1246" s="5">
        <v>44048.176388888889</v>
      </c>
      <c r="BK1246" t="s">
        <v>778</v>
      </c>
      <c r="BL1246" t="s">
        <v>778</v>
      </c>
      <c r="BN1246" t="s">
        <v>37</v>
      </c>
    </row>
    <row r="1247" spans="1:66" x14ac:dyDescent="0.2">
      <c r="A1247">
        <v>3693804</v>
      </c>
      <c r="B1247">
        <v>21883</v>
      </c>
      <c r="C1247">
        <v>523855</v>
      </c>
      <c r="D1247">
        <v>52899</v>
      </c>
      <c r="E1247">
        <v>100</v>
      </c>
      <c r="F1247" t="s">
        <v>37</v>
      </c>
      <c r="G1247">
        <v>1</v>
      </c>
      <c r="H1247" t="s">
        <v>37</v>
      </c>
      <c r="I1247" t="s">
        <v>37</v>
      </c>
      <c r="J1247" t="s">
        <v>775</v>
      </c>
      <c r="K1247" t="s">
        <v>230</v>
      </c>
      <c r="L1247" t="s">
        <v>226</v>
      </c>
      <c r="M1247" t="s">
        <v>422</v>
      </c>
      <c r="N1247" t="s">
        <v>5674</v>
      </c>
      <c r="O1247" t="s">
        <v>3323</v>
      </c>
      <c r="S1247">
        <v>0</v>
      </c>
      <c r="T1247">
        <v>8</v>
      </c>
      <c r="U1247">
        <v>0</v>
      </c>
      <c r="V1247">
        <v>8</v>
      </c>
      <c r="W1247">
        <v>8</v>
      </c>
      <c r="X1247">
        <v>0</v>
      </c>
      <c r="Y1247">
        <v>0</v>
      </c>
      <c r="Z1247">
        <v>0</v>
      </c>
      <c r="AB1247" s="5">
        <v>43978.333333333336</v>
      </c>
      <c r="AC1247" s="5">
        <v>43978.666666666664</v>
      </c>
      <c r="AD1247" s="5">
        <v>44005.333333333336</v>
      </c>
      <c r="AE1247" s="5">
        <v>44005.333333333336</v>
      </c>
      <c r="AG1247" s="5">
        <v>44044</v>
      </c>
      <c r="AH1247" s="5">
        <v>44044</v>
      </c>
      <c r="AK1247" s="5">
        <v>43978.333333333336</v>
      </c>
      <c r="AL1247" s="5">
        <v>43978.666666666664</v>
      </c>
      <c r="AP1247" t="s">
        <v>418</v>
      </c>
      <c r="AU1247" t="s">
        <v>5675</v>
      </c>
      <c r="AV1247" t="s">
        <v>5676</v>
      </c>
      <c r="AY1247" t="s">
        <v>37</v>
      </c>
      <c r="AZ1247">
        <v>0</v>
      </c>
      <c r="BA1247">
        <v>0</v>
      </c>
      <c r="BI1247" s="5">
        <v>44048.176388888889</v>
      </c>
      <c r="BJ1247" s="5">
        <v>44048.176388888889</v>
      </c>
      <c r="BK1247" t="s">
        <v>778</v>
      </c>
      <c r="BL1247" t="s">
        <v>778</v>
      </c>
      <c r="BN1247" t="s">
        <v>37</v>
      </c>
    </row>
    <row r="1248" spans="1:66" x14ac:dyDescent="0.2">
      <c r="A1248">
        <v>3693805</v>
      </c>
      <c r="B1248">
        <v>21883</v>
      </c>
      <c r="C1248">
        <v>523855</v>
      </c>
      <c r="D1248">
        <v>52899</v>
      </c>
      <c r="E1248">
        <v>100</v>
      </c>
      <c r="F1248" t="s">
        <v>37</v>
      </c>
      <c r="G1248">
        <v>1</v>
      </c>
      <c r="H1248" t="s">
        <v>37</v>
      </c>
      <c r="I1248" t="s">
        <v>37</v>
      </c>
      <c r="J1248" t="s">
        <v>775</v>
      </c>
      <c r="K1248" t="s">
        <v>230</v>
      </c>
      <c r="L1248" t="s">
        <v>226</v>
      </c>
      <c r="M1248" t="s">
        <v>422</v>
      </c>
      <c r="N1248" t="s">
        <v>5677</v>
      </c>
      <c r="O1248" t="s">
        <v>5678</v>
      </c>
      <c r="S1248">
        <v>0</v>
      </c>
      <c r="T1248">
        <v>8</v>
      </c>
      <c r="U1248">
        <v>0</v>
      </c>
      <c r="V1248">
        <v>8</v>
      </c>
      <c r="W1248">
        <v>8</v>
      </c>
      <c r="X1248">
        <v>0</v>
      </c>
      <c r="Y1248">
        <v>0</v>
      </c>
      <c r="Z1248">
        <v>0</v>
      </c>
      <c r="AB1248" s="5">
        <v>43941</v>
      </c>
      <c r="AC1248" s="5">
        <v>43942</v>
      </c>
      <c r="AD1248" s="5">
        <v>44005.333333333336</v>
      </c>
      <c r="AE1248" s="5">
        <v>44005.333333333336</v>
      </c>
      <c r="AG1248" s="5">
        <v>44044</v>
      </c>
      <c r="AH1248" s="5">
        <v>44044</v>
      </c>
      <c r="AK1248" s="5">
        <v>43957.333333333336</v>
      </c>
      <c r="AL1248" s="5">
        <v>43957.666666666664</v>
      </c>
      <c r="AP1248" t="s">
        <v>418</v>
      </c>
      <c r="AU1248" t="s">
        <v>5679</v>
      </c>
      <c r="AV1248" t="s">
        <v>5680</v>
      </c>
      <c r="AY1248" t="s">
        <v>37</v>
      </c>
      <c r="AZ1248">
        <v>0</v>
      </c>
      <c r="BA1248">
        <v>0</v>
      </c>
      <c r="BI1248" s="5">
        <v>44048.176388888889</v>
      </c>
      <c r="BJ1248" s="5">
        <v>44048.176388888889</v>
      </c>
      <c r="BK1248" t="s">
        <v>778</v>
      </c>
      <c r="BL1248" t="s">
        <v>778</v>
      </c>
      <c r="BN1248" t="s">
        <v>37</v>
      </c>
    </row>
    <row r="1249" spans="1:66" x14ac:dyDescent="0.2">
      <c r="A1249">
        <v>3693806</v>
      </c>
      <c r="B1249">
        <v>21883</v>
      </c>
      <c r="C1249">
        <v>523855</v>
      </c>
      <c r="D1249">
        <v>52899</v>
      </c>
      <c r="E1249">
        <v>100</v>
      </c>
      <c r="F1249" t="s">
        <v>37</v>
      </c>
      <c r="G1249">
        <v>1</v>
      </c>
      <c r="H1249" t="s">
        <v>37</v>
      </c>
      <c r="I1249" t="s">
        <v>37</v>
      </c>
      <c r="J1249" t="s">
        <v>775</v>
      </c>
      <c r="K1249" t="s">
        <v>230</v>
      </c>
      <c r="L1249" t="s">
        <v>226</v>
      </c>
      <c r="M1249" t="s">
        <v>422</v>
      </c>
      <c r="N1249" t="s">
        <v>5681</v>
      </c>
      <c r="O1249" t="s">
        <v>4774</v>
      </c>
      <c r="S1249">
        <v>0</v>
      </c>
      <c r="T1249">
        <v>16</v>
      </c>
      <c r="U1249">
        <v>0</v>
      </c>
      <c r="V1249">
        <v>16</v>
      </c>
      <c r="W1249">
        <v>16</v>
      </c>
      <c r="X1249">
        <v>0</v>
      </c>
      <c r="Y1249">
        <v>0</v>
      </c>
      <c r="Z1249">
        <v>0</v>
      </c>
      <c r="AB1249" s="5">
        <v>43942</v>
      </c>
      <c r="AC1249" s="5">
        <v>43942</v>
      </c>
      <c r="AD1249" s="5">
        <v>44005.333333333336</v>
      </c>
      <c r="AE1249" s="5">
        <v>44005.333333333336</v>
      </c>
      <c r="AG1249" s="5">
        <v>44044</v>
      </c>
      <c r="AH1249" s="5">
        <v>44044</v>
      </c>
      <c r="AK1249" s="5">
        <v>43957.333333333336</v>
      </c>
      <c r="AL1249" s="5">
        <v>43958.666666666664</v>
      </c>
      <c r="AP1249" t="s">
        <v>418</v>
      </c>
      <c r="AU1249" t="s">
        <v>5682</v>
      </c>
      <c r="AV1249" t="s">
        <v>5683</v>
      </c>
      <c r="AY1249" t="s">
        <v>37</v>
      </c>
      <c r="AZ1249">
        <v>0</v>
      </c>
      <c r="BA1249">
        <v>0</v>
      </c>
      <c r="BI1249" s="5">
        <v>44048.176388888889</v>
      </c>
      <c r="BJ1249" s="5">
        <v>44048.176388888889</v>
      </c>
      <c r="BK1249" t="s">
        <v>778</v>
      </c>
      <c r="BL1249" t="s">
        <v>778</v>
      </c>
      <c r="BN1249" t="s">
        <v>37</v>
      </c>
    </row>
    <row r="1250" spans="1:66" x14ac:dyDescent="0.2">
      <c r="A1250">
        <v>3693807</v>
      </c>
      <c r="B1250">
        <v>21883</v>
      </c>
      <c r="C1250">
        <v>523855</v>
      </c>
      <c r="D1250">
        <v>52899</v>
      </c>
      <c r="E1250">
        <v>100</v>
      </c>
      <c r="F1250" t="s">
        <v>37</v>
      </c>
      <c r="G1250">
        <v>1</v>
      </c>
      <c r="H1250" t="s">
        <v>37</v>
      </c>
      <c r="I1250" t="s">
        <v>37</v>
      </c>
      <c r="J1250" t="s">
        <v>775</v>
      </c>
      <c r="K1250" t="s">
        <v>230</v>
      </c>
      <c r="L1250" t="s">
        <v>226</v>
      </c>
      <c r="M1250" t="s">
        <v>422</v>
      </c>
      <c r="N1250" t="s">
        <v>5684</v>
      </c>
      <c r="O1250" t="s">
        <v>5685</v>
      </c>
      <c r="S1250">
        <v>0</v>
      </c>
      <c r="T1250">
        <v>32</v>
      </c>
      <c r="U1250">
        <v>0</v>
      </c>
      <c r="V1250">
        <v>32</v>
      </c>
      <c r="W1250">
        <v>24</v>
      </c>
      <c r="X1250">
        <v>0</v>
      </c>
      <c r="Y1250">
        <v>0</v>
      </c>
      <c r="Z1250">
        <v>0</v>
      </c>
      <c r="AB1250" s="5">
        <v>43950</v>
      </c>
      <c r="AC1250" s="5">
        <v>43952</v>
      </c>
      <c r="AD1250" s="5">
        <v>44005.333333333336</v>
      </c>
      <c r="AE1250" s="5">
        <v>44005.333333333336</v>
      </c>
      <c r="AG1250" s="5">
        <v>44044</v>
      </c>
      <c r="AH1250" s="5">
        <v>44044</v>
      </c>
      <c r="AK1250" s="5">
        <v>43958.333333333336</v>
      </c>
      <c r="AL1250" s="5">
        <v>43963.666666666664</v>
      </c>
      <c r="AP1250" t="s">
        <v>418</v>
      </c>
      <c r="AU1250" t="s">
        <v>5686</v>
      </c>
      <c r="AV1250" t="s">
        <v>5687</v>
      </c>
      <c r="AY1250" t="s">
        <v>37</v>
      </c>
      <c r="AZ1250">
        <v>0</v>
      </c>
      <c r="BA1250">
        <v>0</v>
      </c>
      <c r="BI1250" s="5">
        <v>44048.176388888889</v>
      </c>
      <c r="BJ1250" s="5">
        <v>44048.176388888889</v>
      </c>
      <c r="BK1250" t="s">
        <v>778</v>
      </c>
      <c r="BL1250" t="s">
        <v>778</v>
      </c>
      <c r="BN1250" t="s">
        <v>37</v>
      </c>
    </row>
    <row r="1251" spans="1:66" x14ac:dyDescent="0.2">
      <c r="A1251">
        <v>3693808</v>
      </c>
      <c r="B1251">
        <v>21883</v>
      </c>
      <c r="C1251">
        <v>523855</v>
      </c>
      <c r="D1251">
        <v>52899</v>
      </c>
      <c r="E1251">
        <v>100</v>
      </c>
      <c r="F1251" t="s">
        <v>37</v>
      </c>
      <c r="G1251">
        <v>1</v>
      </c>
      <c r="H1251" t="s">
        <v>37</v>
      </c>
      <c r="I1251" t="s">
        <v>37</v>
      </c>
      <c r="J1251" t="s">
        <v>775</v>
      </c>
      <c r="K1251" t="s">
        <v>230</v>
      </c>
      <c r="L1251" t="s">
        <v>226</v>
      </c>
      <c r="M1251" t="s">
        <v>422</v>
      </c>
      <c r="N1251" t="s">
        <v>5688</v>
      </c>
      <c r="O1251" t="s">
        <v>4220</v>
      </c>
      <c r="S1251">
        <v>0</v>
      </c>
      <c r="T1251">
        <v>32</v>
      </c>
      <c r="U1251">
        <v>0</v>
      </c>
      <c r="V1251">
        <v>32</v>
      </c>
      <c r="W1251">
        <v>32</v>
      </c>
      <c r="X1251">
        <v>0</v>
      </c>
      <c r="Y1251">
        <v>0</v>
      </c>
      <c r="Z1251">
        <v>0</v>
      </c>
      <c r="AB1251" s="5">
        <v>43957</v>
      </c>
      <c r="AC1251" s="5">
        <v>43958</v>
      </c>
      <c r="AD1251" s="5">
        <v>44005.333333333336</v>
      </c>
      <c r="AE1251" s="5">
        <v>44005.333333333336</v>
      </c>
      <c r="AG1251" s="5">
        <v>44044</v>
      </c>
      <c r="AH1251" s="5">
        <v>44044</v>
      </c>
      <c r="AK1251" s="5">
        <v>43962.333333333336</v>
      </c>
      <c r="AL1251" s="5">
        <v>43965.666666666664</v>
      </c>
      <c r="AP1251" t="s">
        <v>418</v>
      </c>
      <c r="AU1251" t="s">
        <v>5689</v>
      </c>
      <c r="AV1251" t="s">
        <v>5690</v>
      </c>
      <c r="AY1251" t="s">
        <v>37</v>
      </c>
      <c r="AZ1251">
        <v>0</v>
      </c>
      <c r="BA1251">
        <v>0</v>
      </c>
      <c r="BI1251" s="5">
        <v>44048.176388888889</v>
      </c>
      <c r="BJ1251" s="5">
        <v>44048.176388888889</v>
      </c>
      <c r="BK1251" t="s">
        <v>778</v>
      </c>
      <c r="BL1251" t="s">
        <v>778</v>
      </c>
      <c r="BN1251" t="s">
        <v>37</v>
      </c>
    </row>
    <row r="1252" spans="1:66" x14ac:dyDescent="0.2">
      <c r="A1252">
        <v>3693809</v>
      </c>
      <c r="B1252">
        <v>21883</v>
      </c>
      <c r="C1252">
        <v>523855</v>
      </c>
      <c r="D1252">
        <v>52899</v>
      </c>
      <c r="E1252">
        <v>100</v>
      </c>
      <c r="F1252" t="s">
        <v>37</v>
      </c>
      <c r="G1252">
        <v>1</v>
      </c>
      <c r="H1252" t="s">
        <v>37</v>
      </c>
      <c r="I1252" t="s">
        <v>37</v>
      </c>
      <c r="J1252" t="s">
        <v>775</v>
      </c>
      <c r="K1252" t="s">
        <v>230</v>
      </c>
      <c r="L1252" t="s">
        <v>226</v>
      </c>
      <c r="M1252" t="s">
        <v>422</v>
      </c>
      <c r="N1252" t="s">
        <v>5691</v>
      </c>
      <c r="O1252" t="s">
        <v>4224</v>
      </c>
      <c r="S1252">
        <v>0</v>
      </c>
      <c r="T1252">
        <v>16</v>
      </c>
      <c r="U1252">
        <v>0</v>
      </c>
      <c r="V1252">
        <v>16</v>
      </c>
      <c r="W1252">
        <v>16</v>
      </c>
      <c r="X1252">
        <v>0</v>
      </c>
      <c r="Y1252">
        <v>0</v>
      </c>
      <c r="Z1252">
        <v>0</v>
      </c>
      <c r="AB1252" s="5">
        <v>43985</v>
      </c>
      <c r="AC1252" s="5">
        <v>43986</v>
      </c>
      <c r="AD1252" s="5">
        <v>44109.666666666664</v>
      </c>
      <c r="AE1252" s="5">
        <v>44109.666666666664</v>
      </c>
      <c r="AG1252" s="5">
        <v>44044</v>
      </c>
      <c r="AH1252" s="5">
        <v>44044</v>
      </c>
      <c r="AK1252" s="5">
        <v>43997.333333333336</v>
      </c>
      <c r="AL1252" s="5">
        <v>43998.666666666664</v>
      </c>
      <c r="AP1252" t="s">
        <v>418</v>
      </c>
      <c r="AU1252" t="s">
        <v>5692</v>
      </c>
      <c r="AV1252" t="s">
        <v>5693</v>
      </c>
      <c r="AY1252" t="s">
        <v>37</v>
      </c>
      <c r="AZ1252">
        <v>0</v>
      </c>
      <c r="BA1252">
        <v>0</v>
      </c>
      <c r="BI1252" s="5">
        <v>44048.176388888889</v>
      </c>
      <c r="BJ1252" s="5">
        <v>44048.176388888889</v>
      </c>
      <c r="BK1252" t="s">
        <v>778</v>
      </c>
      <c r="BL1252" t="s">
        <v>778</v>
      </c>
      <c r="BN1252" t="s">
        <v>37</v>
      </c>
    </row>
    <row r="1253" spans="1:66" x14ac:dyDescent="0.2">
      <c r="A1253">
        <v>3693810</v>
      </c>
      <c r="B1253">
        <v>21883</v>
      </c>
      <c r="C1253">
        <v>523855</v>
      </c>
      <c r="D1253">
        <v>52899</v>
      </c>
      <c r="E1253">
        <v>100</v>
      </c>
      <c r="F1253" t="s">
        <v>37</v>
      </c>
      <c r="G1253">
        <v>1</v>
      </c>
      <c r="H1253" t="s">
        <v>37</v>
      </c>
      <c r="I1253" t="s">
        <v>37</v>
      </c>
      <c r="J1253" t="s">
        <v>775</v>
      </c>
      <c r="K1253" t="s">
        <v>230</v>
      </c>
      <c r="L1253" t="s">
        <v>226</v>
      </c>
      <c r="M1253" t="s">
        <v>422</v>
      </c>
      <c r="N1253" t="s">
        <v>5694</v>
      </c>
      <c r="O1253" t="s">
        <v>5695</v>
      </c>
      <c r="S1253">
        <v>0</v>
      </c>
      <c r="T1253">
        <v>16</v>
      </c>
      <c r="U1253">
        <v>0</v>
      </c>
      <c r="V1253">
        <v>16</v>
      </c>
      <c r="W1253">
        <v>16</v>
      </c>
      <c r="X1253">
        <v>0</v>
      </c>
      <c r="Y1253">
        <v>0</v>
      </c>
      <c r="Z1253">
        <v>0</v>
      </c>
      <c r="AB1253" s="5">
        <v>43986</v>
      </c>
      <c r="AC1253" s="5">
        <v>43992</v>
      </c>
      <c r="AD1253" s="5">
        <v>44005.333333333336</v>
      </c>
      <c r="AE1253" s="5">
        <v>44005.333333333336</v>
      </c>
      <c r="AG1253" s="5">
        <v>44044</v>
      </c>
      <c r="AH1253" s="5">
        <v>44044</v>
      </c>
      <c r="AK1253" s="5">
        <v>43997.333333333336</v>
      </c>
      <c r="AL1253" s="5">
        <v>43998.666666666664</v>
      </c>
      <c r="AP1253" t="s">
        <v>418</v>
      </c>
      <c r="AU1253" t="s">
        <v>5696</v>
      </c>
      <c r="AV1253" t="s">
        <v>5697</v>
      </c>
      <c r="AY1253" t="s">
        <v>37</v>
      </c>
      <c r="AZ1253">
        <v>0</v>
      </c>
      <c r="BA1253">
        <v>0</v>
      </c>
      <c r="BI1253" s="5">
        <v>44048.176388888889</v>
      </c>
      <c r="BJ1253" s="5">
        <v>44048.176388888889</v>
      </c>
      <c r="BK1253" t="s">
        <v>778</v>
      </c>
      <c r="BL1253" t="s">
        <v>778</v>
      </c>
      <c r="BN1253" t="s">
        <v>37</v>
      </c>
    </row>
    <row r="1254" spans="1:66" x14ac:dyDescent="0.2">
      <c r="A1254">
        <v>3693811</v>
      </c>
      <c r="B1254">
        <v>21883</v>
      </c>
      <c r="C1254">
        <v>523854</v>
      </c>
      <c r="D1254">
        <v>52899</v>
      </c>
      <c r="E1254">
        <v>100</v>
      </c>
      <c r="F1254" t="s">
        <v>37</v>
      </c>
      <c r="G1254">
        <v>1</v>
      </c>
      <c r="H1254" t="s">
        <v>37</v>
      </c>
      <c r="I1254" t="s">
        <v>37</v>
      </c>
      <c r="J1254" t="s">
        <v>775</v>
      </c>
      <c r="K1254" t="s">
        <v>230</v>
      </c>
      <c r="L1254" t="s">
        <v>226</v>
      </c>
      <c r="M1254" t="s">
        <v>422</v>
      </c>
      <c r="N1254" t="s">
        <v>5698</v>
      </c>
      <c r="O1254" t="s">
        <v>5699</v>
      </c>
      <c r="S1254">
        <v>0</v>
      </c>
      <c r="T1254">
        <v>32</v>
      </c>
      <c r="U1254">
        <v>0</v>
      </c>
      <c r="V1254">
        <v>32</v>
      </c>
      <c r="W1254">
        <v>32</v>
      </c>
      <c r="X1254">
        <v>0</v>
      </c>
      <c r="Y1254">
        <v>0</v>
      </c>
      <c r="Z1254">
        <v>0</v>
      </c>
      <c r="AB1254" s="5">
        <v>43951</v>
      </c>
      <c r="AC1254" s="5">
        <v>43955</v>
      </c>
      <c r="AD1254" s="5">
        <v>44005.333333333336</v>
      </c>
      <c r="AE1254" s="5">
        <v>44005.333333333336</v>
      </c>
      <c r="AG1254" s="5">
        <v>44044</v>
      </c>
      <c r="AH1254" s="5">
        <v>44044</v>
      </c>
      <c r="AK1254" s="5">
        <v>43956.333333333336</v>
      </c>
      <c r="AL1254" s="5">
        <v>43962.666666666664</v>
      </c>
      <c r="AP1254" t="s">
        <v>418</v>
      </c>
      <c r="AU1254" t="s">
        <v>5700</v>
      </c>
      <c r="AV1254" t="s">
        <v>5701</v>
      </c>
      <c r="AY1254" t="s">
        <v>37</v>
      </c>
      <c r="AZ1254">
        <v>0</v>
      </c>
      <c r="BA1254">
        <v>0</v>
      </c>
      <c r="BI1254" s="5">
        <v>44048.176388888889</v>
      </c>
      <c r="BJ1254" s="5">
        <v>44048.176388888889</v>
      </c>
      <c r="BK1254" t="s">
        <v>778</v>
      </c>
      <c r="BL1254" t="s">
        <v>778</v>
      </c>
      <c r="BN1254" t="s">
        <v>37</v>
      </c>
    </row>
    <row r="1255" spans="1:66" x14ac:dyDescent="0.2">
      <c r="A1255">
        <v>3693812</v>
      </c>
      <c r="B1255">
        <v>21883</v>
      </c>
      <c r="C1255">
        <v>523854</v>
      </c>
      <c r="D1255">
        <v>52895</v>
      </c>
      <c r="E1255">
        <v>100</v>
      </c>
      <c r="F1255" t="s">
        <v>37</v>
      </c>
      <c r="G1255">
        <v>1</v>
      </c>
      <c r="H1255" t="s">
        <v>37</v>
      </c>
      <c r="I1255" t="s">
        <v>37</v>
      </c>
      <c r="J1255" t="s">
        <v>775</v>
      </c>
      <c r="K1255" t="s">
        <v>230</v>
      </c>
      <c r="L1255" t="s">
        <v>226</v>
      </c>
      <c r="M1255" t="s">
        <v>422</v>
      </c>
      <c r="N1255" t="s">
        <v>5702</v>
      </c>
      <c r="O1255" t="s">
        <v>2434</v>
      </c>
      <c r="S1255">
        <v>0</v>
      </c>
      <c r="T1255">
        <v>0</v>
      </c>
      <c r="U1255">
        <v>0</v>
      </c>
      <c r="V1255">
        <v>0</v>
      </c>
      <c r="W1255">
        <v>32</v>
      </c>
      <c r="X1255">
        <v>0</v>
      </c>
      <c r="Y1255">
        <v>0</v>
      </c>
      <c r="Z1255">
        <v>0</v>
      </c>
      <c r="AB1255" s="5">
        <v>44002</v>
      </c>
      <c r="AC1255" s="5">
        <v>44008</v>
      </c>
      <c r="AD1255" s="5">
        <v>44005.333333333336</v>
      </c>
      <c r="AE1255" s="5">
        <v>44005.333333333336</v>
      </c>
      <c r="AG1255" s="5">
        <v>44044</v>
      </c>
      <c r="AH1255" s="5">
        <v>44044</v>
      </c>
      <c r="AK1255" s="5">
        <v>44004.333333333336</v>
      </c>
      <c r="AL1255" s="5">
        <v>44007.666666666664</v>
      </c>
      <c r="AP1255" t="s">
        <v>418</v>
      </c>
      <c r="AU1255" t="s">
        <v>5703</v>
      </c>
      <c r="AV1255" t="s">
        <v>5704</v>
      </c>
      <c r="AY1255" t="s">
        <v>37</v>
      </c>
      <c r="AZ1255">
        <v>0</v>
      </c>
      <c r="BA1255">
        <v>0</v>
      </c>
      <c r="BI1255" s="5">
        <v>44048.176388888889</v>
      </c>
      <c r="BJ1255" s="5">
        <v>44048.176388888889</v>
      </c>
      <c r="BK1255" t="s">
        <v>778</v>
      </c>
      <c r="BL1255" t="s">
        <v>778</v>
      </c>
      <c r="BN1255" t="s">
        <v>37</v>
      </c>
    </row>
    <row r="1256" spans="1:66" x14ac:dyDescent="0.2">
      <c r="A1256">
        <v>3693813</v>
      </c>
      <c r="B1256">
        <v>21883</v>
      </c>
      <c r="C1256">
        <v>523854</v>
      </c>
      <c r="D1256">
        <v>52899</v>
      </c>
      <c r="E1256">
        <v>100</v>
      </c>
      <c r="F1256" t="s">
        <v>37</v>
      </c>
      <c r="G1256">
        <v>1</v>
      </c>
      <c r="H1256" t="s">
        <v>37</v>
      </c>
      <c r="I1256" t="s">
        <v>37</v>
      </c>
      <c r="J1256" t="s">
        <v>775</v>
      </c>
      <c r="K1256" t="s">
        <v>230</v>
      </c>
      <c r="L1256" t="s">
        <v>226</v>
      </c>
      <c r="M1256" t="s">
        <v>422</v>
      </c>
      <c r="N1256" t="s">
        <v>5705</v>
      </c>
      <c r="O1256" t="s">
        <v>2438</v>
      </c>
      <c r="S1256">
        <v>0</v>
      </c>
      <c r="T1256">
        <v>16</v>
      </c>
      <c r="U1256">
        <v>0</v>
      </c>
      <c r="V1256">
        <v>16</v>
      </c>
      <c r="W1256">
        <v>16</v>
      </c>
      <c r="X1256">
        <v>0</v>
      </c>
      <c r="Y1256">
        <v>0</v>
      </c>
      <c r="Z1256">
        <v>0</v>
      </c>
      <c r="AB1256" s="5">
        <v>43997</v>
      </c>
      <c r="AC1256" s="5">
        <v>43997</v>
      </c>
      <c r="AD1256" s="5">
        <v>44005.333333333336</v>
      </c>
      <c r="AE1256" s="5">
        <v>44005.333333333336</v>
      </c>
      <c r="AG1256" s="5">
        <v>44044</v>
      </c>
      <c r="AH1256" s="5">
        <v>44044</v>
      </c>
      <c r="AK1256" s="5">
        <v>44004.333333333336</v>
      </c>
      <c r="AL1256" s="5">
        <v>44005.666666666664</v>
      </c>
      <c r="AP1256" t="s">
        <v>418</v>
      </c>
      <c r="AU1256" t="s">
        <v>5706</v>
      </c>
      <c r="AV1256" t="s">
        <v>5707</v>
      </c>
      <c r="AY1256" t="s">
        <v>37</v>
      </c>
      <c r="AZ1256">
        <v>0</v>
      </c>
      <c r="BA1256">
        <v>0</v>
      </c>
      <c r="BI1256" s="5">
        <v>44048.176388888889</v>
      </c>
      <c r="BJ1256" s="5">
        <v>44048.176388888889</v>
      </c>
      <c r="BK1256" t="s">
        <v>778</v>
      </c>
      <c r="BL1256" t="s">
        <v>778</v>
      </c>
      <c r="BN1256" t="s">
        <v>37</v>
      </c>
    </row>
    <row r="1257" spans="1:66" x14ac:dyDescent="0.2">
      <c r="A1257">
        <v>3693814</v>
      </c>
      <c r="B1257">
        <v>21883</v>
      </c>
      <c r="C1257">
        <v>523854</v>
      </c>
      <c r="D1257">
        <v>52899</v>
      </c>
      <c r="E1257">
        <v>100</v>
      </c>
      <c r="F1257" t="s">
        <v>37</v>
      </c>
      <c r="G1257">
        <v>1</v>
      </c>
      <c r="H1257" t="s">
        <v>37</v>
      </c>
      <c r="I1257" t="s">
        <v>37</v>
      </c>
      <c r="J1257" t="s">
        <v>775</v>
      </c>
      <c r="K1257" t="s">
        <v>230</v>
      </c>
      <c r="L1257" t="s">
        <v>226</v>
      </c>
      <c r="M1257" t="s">
        <v>422</v>
      </c>
      <c r="N1257" t="s">
        <v>5708</v>
      </c>
      <c r="O1257" t="s">
        <v>3327</v>
      </c>
      <c r="S1257">
        <v>0</v>
      </c>
      <c r="T1257">
        <v>0</v>
      </c>
      <c r="U1257">
        <v>0</v>
      </c>
      <c r="V1257">
        <v>0</v>
      </c>
      <c r="W1257">
        <v>16</v>
      </c>
      <c r="X1257">
        <v>0</v>
      </c>
      <c r="Y1257">
        <v>0</v>
      </c>
      <c r="Z1257">
        <v>0</v>
      </c>
      <c r="AB1257" s="5">
        <v>43997</v>
      </c>
      <c r="AC1257" s="5">
        <v>43997</v>
      </c>
      <c r="AD1257" s="5">
        <v>44005.333333333336</v>
      </c>
      <c r="AE1257" s="5">
        <v>44005.333333333336</v>
      </c>
      <c r="AG1257" s="5">
        <v>44044</v>
      </c>
      <c r="AH1257" s="5">
        <v>44044</v>
      </c>
      <c r="AK1257" s="5">
        <v>44004.333333333336</v>
      </c>
      <c r="AL1257" s="5">
        <v>44005.666666666664</v>
      </c>
      <c r="AP1257" t="s">
        <v>418</v>
      </c>
      <c r="AU1257" t="s">
        <v>5709</v>
      </c>
      <c r="AV1257" t="s">
        <v>5710</v>
      </c>
      <c r="AY1257" t="s">
        <v>37</v>
      </c>
      <c r="AZ1257">
        <v>0</v>
      </c>
      <c r="BA1257">
        <v>0</v>
      </c>
      <c r="BI1257" s="5">
        <v>44048.176388888889</v>
      </c>
      <c r="BJ1257" s="5">
        <v>44048.176388888889</v>
      </c>
      <c r="BK1257" t="s">
        <v>778</v>
      </c>
      <c r="BL1257" t="s">
        <v>778</v>
      </c>
      <c r="BN1257" t="s">
        <v>37</v>
      </c>
    </row>
    <row r="1258" spans="1:66" x14ac:dyDescent="0.2">
      <c r="A1258">
        <v>3693815</v>
      </c>
      <c r="B1258">
        <v>21883</v>
      </c>
      <c r="C1258">
        <v>523854</v>
      </c>
      <c r="D1258">
        <v>52899</v>
      </c>
      <c r="E1258">
        <v>100</v>
      </c>
      <c r="F1258" t="s">
        <v>37</v>
      </c>
      <c r="G1258">
        <v>1</v>
      </c>
      <c r="H1258" t="s">
        <v>37</v>
      </c>
      <c r="I1258" t="s">
        <v>37</v>
      </c>
      <c r="J1258" t="s">
        <v>775</v>
      </c>
      <c r="K1258" t="s">
        <v>230</v>
      </c>
      <c r="L1258" t="s">
        <v>226</v>
      </c>
      <c r="M1258" t="s">
        <v>422</v>
      </c>
      <c r="N1258" t="s">
        <v>5711</v>
      </c>
      <c r="O1258" t="s">
        <v>3331</v>
      </c>
      <c r="S1258">
        <v>0</v>
      </c>
      <c r="T1258">
        <v>8</v>
      </c>
      <c r="U1258">
        <v>0</v>
      </c>
      <c r="V1258">
        <v>8</v>
      </c>
      <c r="W1258">
        <v>8</v>
      </c>
      <c r="X1258">
        <v>0</v>
      </c>
      <c r="Y1258">
        <v>0</v>
      </c>
      <c r="Z1258">
        <v>0</v>
      </c>
      <c r="AB1258" s="5">
        <v>44001</v>
      </c>
      <c r="AC1258" s="5">
        <v>44001</v>
      </c>
      <c r="AD1258" s="5">
        <v>44005.333333333336</v>
      </c>
      <c r="AE1258" s="5">
        <v>44005.333333333336</v>
      </c>
      <c r="AG1258" s="5">
        <v>44044</v>
      </c>
      <c r="AH1258" s="5">
        <v>44044</v>
      </c>
      <c r="AK1258" s="5">
        <v>44004.333333333336</v>
      </c>
      <c r="AL1258" s="5">
        <v>44004.666666666664</v>
      </c>
      <c r="AP1258" t="s">
        <v>418</v>
      </c>
      <c r="AU1258" t="s">
        <v>5712</v>
      </c>
      <c r="AV1258" t="s">
        <v>5713</v>
      </c>
      <c r="AY1258" t="s">
        <v>37</v>
      </c>
      <c r="AZ1258">
        <v>0</v>
      </c>
      <c r="BA1258">
        <v>0</v>
      </c>
      <c r="BI1258" s="5">
        <v>44048.176388888889</v>
      </c>
      <c r="BJ1258" s="5">
        <v>44048.176388888889</v>
      </c>
      <c r="BK1258" t="s">
        <v>778</v>
      </c>
      <c r="BL1258" t="s">
        <v>778</v>
      </c>
      <c r="BN1258" t="s">
        <v>37</v>
      </c>
    </row>
    <row r="1259" spans="1:66" x14ac:dyDescent="0.2">
      <c r="A1259">
        <v>3693816</v>
      </c>
      <c r="B1259">
        <v>21883</v>
      </c>
      <c r="C1259">
        <v>523854</v>
      </c>
      <c r="D1259">
        <v>52899</v>
      </c>
      <c r="E1259">
        <v>100</v>
      </c>
      <c r="F1259" t="s">
        <v>37</v>
      </c>
      <c r="G1259">
        <v>1</v>
      </c>
      <c r="H1259" t="s">
        <v>37</v>
      </c>
      <c r="I1259" t="s">
        <v>37</v>
      </c>
      <c r="J1259" t="s">
        <v>775</v>
      </c>
      <c r="K1259" t="s">
        <v>230</v>
      </c>
      <c r="L1259" t="s">
        <v>226</v>
      </c>
      <c r="M1259" t="s">
        <v>422</v>
      </c>
      <c r="N1259" t="s">
        <v>5714</v>
      </c>
      <c r="O1259" t="s">
        <v>5715</v>
      </c>
      <c r="S1259">
        <v>0</v>
      </c>
      <c r="T1259">
        <v>8</v>
      </c>
      <c r="U1259">
        <v>0</v>
      </c>
      <c r="V1259">
        <v>8</v>
      </c>
      <c r="W1259">
        <v>8</v>
      </c>
      <c r="X1259">
        <v>0</v>
      </c>
      <c r="Y1259">
        <v>0</v>
      </c>
      <c r="Z1259">
        <v>0</v>
      </c>
      <c r="AB1259" s="5">
        <v>43950</v>
      </c>
      <c r="AC1259" s="5">
        <v>43951</v>
      </c>
      <c r="AD1259" s="5">
        <v>44005.333333333336</v>
      </c>
      <c r="AE1259" s="5">
        <v>44005.333333333336</v>
      </c>
      <c r="AG1259" s="5">
        <v>44044</v>
      </c>
      <c r="AH1259" s="5">
        <v>44044</v>
      </c>
      <c r="AK1259" s="5">
        <v>43964.333333333336</v>
      </c>
      <c r="AL1259" s="5">
        <v>43964.666666666664</v>
      </c>
      <c r="AP1259" t="s">
        <v>418</v>
      </c>
      <c r="AU1259" t="s">
        <v>5716</v>
      </c>
      <c r="AV1259" t="s">
        <v>5717</v>
      </c>
      <c r="AY1259" t="s">
        <v>37</v>
      </c>
      <c r="AZ1259">
        <v>0</v>
      </c>
      <c r="BA1259">
        <v>0</v>
      </c>
      <c r="BI1259" s="5">
        <v>44048.176388888889</v>
      </c>
      <c r="BJ1259" s="5">
        <v>44048.176388888889</v>
      </c>
      <c r="BK1259" t="s">
        <v>778</v>
      </c>
      <c r="BL1259" t="s">
        <v>778</v>
      </c>
      <c r="BN1259" t="s">
        <v>37</v>
      </c>
    </row>
    <row r="1260" spans="1:66" x14ac:dyDescent="0.2">
      <c r="A1260">
        <v>3693817</v>
      </c>
      <c r="B1260">
        <v>21883</v>
      </c>
      <c r="C1260">
        <v>523854</v>
      </c>
      <c r="D1260">
        <v>52899</v>
      </c>
      <c r="E1260">
        <v>100</v>
      </c>
      <c r="F1260" t="s">
        <v>37</v>
      </c>
      <c r="G1260">
        <v>1</v>
      </c>
      <c r="H1260" t="s">
        <v>37</v>
      </c>
      <c r="I1260" t="s">
        <v>37</v>
      </c>
      <c r="J1260" t="s">
        <v>775</v>
      </c>
      <c r="K1260" t="s">
        <v>230</v>
      </c>
      <c r="L1260" t="s">
        <v>226</v>
      </c>
      <c r="M1260" t="s">
        <v>422</v>
      </c>
      <c r="N1260" t="s">
        <v>5718</v>
      </c>
      <c r="O1260" t="s">
        <v>4809</v>
      </c>
      <c r="S1260">
        <v>0</v>
      </c>
      <c r="T1260">
        <v>16</v>
      </c>
      <c r="U1260">
        <v>0</v>
      </c>
      <c r="V1260">
        <v>16</v>
      </c>
      <c r="W1260">
        <v>16</v>
      </c>
      <c r="X1260">
        <v>0</v>
      </c>
      <c r="Y1260">
        <v>0</v>
      </c>
      <c r="Z1260">
        <v>0</v>
      </c>
      <c r="AB1260" s="5">
        <v>43950</v>
      </c>
      <c r="AC1260" s="5">
        <v>43951</v>
      </c>
      <c r="AD1260" s="5">
        <v>44005.333333333336</v>
      </c>
      <c r="AE1260" s="5">
        <v>44005.333333333336</v>
      </c>
      <c r="AG1260" s="5">
        <v>44044</v>
      </c>
      <c r="AH1260" s="5">
        <v>44044</v>
      </c>
      <c r="AK1260" s="5">
        <v>43965.333333333336</v>
      </c>
      <c r="AL1260" s="5">
        <v>43969.666666666664</v>
      </c>
      <c r="AP1260" t="s">
        <v>418</v>
      </c>
      <c r="AU1260" t="s">
        <v>5719</v>
      </c>
      <c r="AV1260" t="s">
        <v>5720</v>
      </c>
      <c r="AY1260" t="s">
        <v>37</v>
      </c>
      <c r="AZ1260">
        <v>0</v>
      </c>
      <c r="BA1260">
        <v>0</v>
      </c>
      <c r="BI1260" s="5">
        <v>44048.176388888889</v>
      </c>
      <c r="BJ1260" s="5">
        <v>44048.176388888889</v>
      </c>
      <c r="BK1260" t="s">
        <v>778</v>
      </c>
      <c r="BL1260" t="s">
        <v>778</v>
      </c>
      <c r="BN1260" t="s">
        <v>37</v>
      </c>
    </row>
    <row r="1261" spans="1:66" x14ac:dyDescent="0.2">
      <c r="A1261">
        <v>3693818</v>
      </c>
      <c r="B1261">
        <v>21883</v>
      </c>
      <c r="C1261">
        <v>523854</v>
      </c>
      <c r="D1261">
        <v>52899</v>
      </c>
      <c r="E1261">
        <v>100</v>
      </c>
      <c r="F1261" t="s">
        <v>37</v>
      </c>
      <c r="G1261">
        <v>1</v>
      </c>
      <c r="H1261" t="s">
        <v>37</v>
      </c>
      <c r="I1261" t="s">
        <v>37</v>
      </c>
      <c r="J1261" t="s">
        <v>775</v>
      </c>
      <c r="K1261" t="s">
        <v>230</v>
      </c>
      <c r="L1261" t="s">
        <v>226</v>
      </c>
      <c r="M1261" t="s">
        <v>422</v>
      </c>
      <c r="N1261" t="s">
        <v>5721</v>
      </c>
      <c r="O1261" t="s">
        <v>4813</v>
      </c>
      <c r="S1261">
        <v>0</v>
      </c>
      <c r="T1261">
        <v>32</v>
      </c>
      <c r="U1261">
        <v>0</v>
      </c>
      <c r="V1261">
        <v>32</v>
      </c>
      <c r="W1261">
        <v>24</v>
      </c>
      <c r="X1261">
        <v>0</v>
      </c>
      <c r="Y1261">
        <v>0</v>
      </c>
      <c r="Z1261">
        <v>0</v>
      </c>
      <c r="AB1261" s="5">
        <v>43955</v>
      </c>
      <c r="AC1261" s="5">
        <v>43956</v>
      </c>
      <c r="AD1261" s="5">
        <v>44005.333333333336</v>
      </c>
      <c r="AE1261" s="5">
        <v>44005.333333333336</v>
      </c>
      <c r="AG1261" s="5">
        <v>44044</v>
      </c>
      <c r="AH1261" s="5">
        <v>44044</v>
      </c>
      <c r="AK1261" s="5">
        <v>43962.333333333336</v>
      </c>
      <c r="AL1261" s="5">
        <v>43964.666666666664</v>
      </c>
      <c r="AP1261" t="s">
        <v>418</v>
      </c>
      <c r="AU1261" t="s">
        <v>5722</v>
      </c>
      <c r="AV1261" t="s">
        <v>5723</v>
      </c>
      <c r="AY1261" t="s">
        <v>37</v>
      </c>
      <c r="AZ1261">
        <v>0</v>
      </c>
      <c r="BA1261">
        <v>0</v>
      </c>
      <c r="BI1261" s="5">
        <v>44048.176388888889</v>
      </c>
      <c r="BJ1261" s="5">
        <v>44048.176388888889</v>
      </c>
      <c r="BK1261" t="s">
        <v>778</v>
      </c>
      <c r="BL1261" t="s">
        <v>778</v>
      </c>
      <c r="BN1261" t="s">
        <v>37</v>
      </c>
    </row>
    <row r="1262" spans="1:66" x14ac:dyDescent="0.2">
      <c r="A1262">
        <v>3693819</v>
      </c>
      <c r="B1262">
        <v>21883</v>
      </c>
      <c r="C1262">
        <v>523854</v>
      </c>
      <c r="D1262">
        <v>52899</v>
      </c>
      <c r="E1262">
        <v>100</v>
      </c>
      <c r="F1262" t="s">
        <v>37</v>
      </c>
      <c r="G1262">
        <v>1</v>
      </c>
      <c r="H1262" t="s">
        <v>37</v>
      </c>
      <c r="I1262" t="s">
        <v>37</v>
      </c>
      <c r="J1262" t="s">
        <v>775</v>
      </c>
      <c r="K1262" t="s">
        <v>230</v>
      </c>
      <c r="L1262" t="s">
        <v>226</v>
      </c>
      <c r="M1262" t="s">
        <v>422</v>
      </c>
      <c r="N1262" t="s">
        <v>5724</v>
      </c>
      <c r="O1262" t="s">
        <v>4244</v>
      </c>
      <c r="S1262">
        <v>0</v>
      </c>
      <c r="T1262">
        <v>32</v>
      </c>
      <c r="U1262">
        <v>0</v>
      </c>
      <c r="V1262">
        <v>32</v>
      </c>
      <c r="W1262">
        <v>32</v>
      </c>
      <c r="X1262">
        <v>0</v>
      </c>
      <c r="Y1262">
        <v>0</v>
      </c>
      <c r="Z1262">
        <v>0</v>
      </c>
      <c r="AB1262" s="5">
        <v>43993</v>
      </c>
      <c r="AC1262" s="5">
        <v>43994</v>
      </c>
      <c r="AD1262" s="5">
        <v>44005.333333333336</v>
      </c>
      <c r="AE1262" s="5">
        <v>44005.333333333336</v>
      </c>
      <c r="AG1262" s="5">
        <v>44044</v>
      </c>
      <c r="AH1262" s="5">
        <v>44044</v>
      </c>
      <c r="AK1262" s="5">
        <v>43997.333333333336</v>
      </c>
      <c r="AL1262" s="5">
        <v>44001.666666666664</v>
      </c>
      <c r="AP1262" t="s">
        <v>418</v>
      </c>
      <c r="AU1262" t="s">
        <v>5725</v>
      </c>
      <c r="AV1262" t="s">
        <v>5726</v>
      </c>
      <c r="AY1262" t="s">
        <v>37</v>
      </c>
      <c r="AZ1262">
        <v>0</v>
      </c>
      <c r="BA1262">
        <v>0</v>
      </c>
      <c r="BI1262" s="5">
        <v>44048.176388888889</v>
      </c>
      <c r="BJ1262" s="5">
        <v>44048.176388888889</v>
      </c>
      <c r="BK1262" t="s">
        <v>778</v>
      </c>
      <c r="BL1262" t="s">
        <v>778</v>
      </c>
      <c r="BN1262" t="s">
        <v>37</v>
      </c>
    </row>
    <row r="1263" spans="1:66" x14ac:dyDescent="0.2">
      <c r="A1263">
        <v>3693820</v>
      </c>
      <c r="B1263">
        <v>21883</v>
      </c>
      <c r="C1263">
        <v>523854</v>
      </c>
      <c r="D1263">
        <v>52899</v>
      </c>
      <c r="E1263">
        <v>100</v>
      </c>
      <c r="F1263" t="s">
        <v>37</v>
      </c>
      <c r="G1263">
        <v>1</v>
      </c>
      <c r="H1263" t="s">
        <v>37</v>
      </c>
      <c r="I1263" t="s">
        <v>37</v>
      </c>
      <c r="J1263" t="s">
        <v>775</v>
      </c>
      <c r="K1263" t="s">
        <v>230</v>
      </c>
      <c r="L1263" t="s">
        <v>226</v>
      </c>
      <c r="M1263" t="s">
        <v>422</v>
      </c>
      <c r="N1263" t="s">
        <v>5727</v>
      </c>
      <c r="O1263" t="s">
        <v>4248</v>
      </c>
      <c r="S1263">
        <v>0</v>
      </c>
      <c r="T1263">
        <v>16</v>
      </c>
      <c r="U1263">
        <v>0</v>
      </c>
      <c r="V1263">
        <v>16</v>
      </c>
      <c r="W1263">
        <v>16</v>
      </c>
      <c r="X1263">
        <v>0</v>
      </c>
      <c r="Y1263">
        <v>0</v>
      </c>
      <c r="Z1263">
        <v>0</v>
      </c>
      <c r="AB1263" s="5">
        <v>44008</v>
      </c>
      <c r="AC1263" s="5">
        <v>44008</v>
      </c>
      <c r="AD1263" s="5">
        <v>44109.666666666664</v>
      </c>
      <c r="AE1263" s="5">
        <v>44109.666666666664</v>
      </c>
      <c r="AG1263" s="5">
        <v>44044</v>
      </c>
      <c r="AH1263" s="5">
        <v>44044</v>
      </c>
      <c r="AK1263" s="5">
        <v>44018.333333333336</v>
      </c>
      <c r="AL1263" s="5">
        <v>44019.666666666664</v>
      </c>
      <c r="AP1263" t="s">
        <v>418</v>
      </c>
      <c r="AU1263" t="s">
        <v>5728</v>
      </c>
      <c r="AV1263" t="e" cm="1">
        <f t="array" ref="AV1263">+SFjadsNtUK838/AOuz0TQ</f>
        <v>#NAME?</v>
      </c>
      <c r="AY1263" t="s">
        <v>37</v>
      </c>
      <c r="AZ1263">
        <v>0</v>
      </c>
      <c r="BA1263">
        <v>0</v>
      </c>
      <c r="BI1263" s="5">
        <v>44048.176388888889</v>
      </c>
      <c r="BJ1263" s="5">
        <v>44048.176388888889</v>
      </c>
      <c r="BK1263" t="s">
        <v>778</v>
      </c>
      <c r="BL1263" t="s">
        <v>778</v>
      </c>
      <c r="BN1263" t="s">
        <v>37</v>
      </c>
    </row>
    <row r="1264" spans="1:66" x14ac:dyDescent="0.2">
      <c r="A1264">
        <v>3693821</v>
      </c>
      <c r="B1264">
        <v>21883</v>
      </c>
      <c r="C1264">
        <v>523854</v>
      </c>
      <c r="D1264">
        <v>52899</v>
      </c>
      <c r="E1264">
        <v>100</v>
      </c>
      <c r="F1264" t="s">
        <v>37</v>
      </c>
      <c r="G1264">
        <v>1</v>
      </c>
      <c r="H1264" t="s">
        <v>37</v>
      </c>
      <c r="I1264" t="s">
        <v>37</v>
      </c>
      <c r="J1264" t="s">
        <v>775</v>
      </c>
      <c r="K1264" t="s">
        <v>230</v>
      </c>
      <c r="L1264" t="s">
        <v>226</v>
      </c>
      <c r="M1264" t="s">
        <v>422</v>
      </c>
      <c r="N1264" t="s">
        <v>5729</v>
      </c>
      <c r="O1264" t="s">
        <v>5730</v>
      </c>
      <c r="S1264">
        <v>0</v>
      </c>
      <c r="T1264">
        <v>16</v>
      </c>
      <c r="U1264">
        <v>0</v>
      </c>
      <c r="V1264">
        <v>16</v>
      </c>
      <c r="W1264">
        <v>16</v>
      </c>
      <c r="X1264">
        <v>0</v>
      </c>
      <c r="Y1264">
        <v>0</v>
      </c>
      <c r="Z1264">
        <v>0</v>
      </c>
      <c r="AB1264" s="5">
        <v>44008</v>
      </c>
      <c r="AC1264" s="5">
        <v>44012</v>
      </c>
      <c r="AD1264" s="5">
        <v>44005.333333333336</v>
      </c>
      <c r="AE1264" s="5">
        <v>44005.333333333336</v>
      </c>
      <c r="AG1264" s="5">
        <v>44044</v>
      </c>
      <c r="AH1264" s="5">
        <v>44044</v>
      </c>
      <c r="AK1264" s="5">
        <v>44013.333333333336</v>
      </c>
      <c r="AL1264" s="5">
        <v>44014.666666666664</v>
      </c>
      <c r="AP1264" t="s">
        <v>418</v>
      </c>
      <c r="AU1264" t="s">
        <v>5731</v>
      </c>
      <c r="AV1264" t="s">
        <v>5732</v>
      </c>
      <c r="AY1264" t="s">
        <v>37</v>
      </c>
      <c r="AZ1264">
        <v>0</v>
      </c>
      <c r="BA1264">
        <v>0</v>
      </c>
      <c r="BI1264" s="5">
        <v>44048.176388888889</v>
      </c>
      <c r="BJ1264" s="5">
        <v>44048.176388888889</v>
      </c>
      <c r="BK1264" t="s">
        <v>778</v>
      </c>
      <c r="BL1264" t="s">
        <v>778</v>
      </c>
      <c r="BN1264" t="s">
        <v>37</v>
      </c>
    </row>
    <row r="1265" spans="1:66" x14ac:dyDescent="0.2">
      <c r="A1265">
        <v>3693822</v>
      </c>
      <c r="B1265">
        <v>21883</v>
      </c>
      <c r="C1265">
        <v>523853</v>
      </c>
      <c r="D1265">
        <v>52899</v>
      </c>
      <c r="E1265">
        <v>100</v>
      </c>
      <c r="F1265" t="s">
        <v>37</v>
      </c>
      <c r="G1265">
        <v>1</v>
      </c>
      <c r="H1265" t="s">
        <v>37</v>
      </c>
      <c r="I1265" t="s">
        <v>37</v>
      </c>
      <c r="J1265" t="s">
        <v>775</v>
      </c>
      <c r="K1265" t="s">
        <v>230</v>
      </c>
      <c r="L1265" t="s">
        <v>226</v>
      </c>
      <c r="M1265" t="s">
        <v>422</v>
      </c>
      <c r="N1265" t="s">
        <v>5733</v>
      </c>
      <c r="O1265" t="s">
        <v>5734</v>
      </c>
      <c r="S1265">
        <v>0</v>
      </c>
      <c r="T1265">
        <v>32</v>
      </c>
      <c r="U1265">
        <v>0</v>
      </c>
      <c r="V1265">
        <v>32</v>
      </c>
      <c r="W1265">
        <v>32</v>
      </c>
      <c r="X1265">
        <v>0</v>
      </c>
      <c r="Y1265">
        <v>0</v>
      </c>
      <c r="Z1265">
        <v>0</v>
      </c>
      <c r="AB1265" s="5">
        <v>43985</v>
      </c>
      <c r="AC1265" s="5">
        <v>43990</v>
      </c>
      <c r="AD1265" s="5">
        <v>44018.333333333336</v>
      </c>
      <c r="AE1265" s="5">
        <v>44018.333333333336</v>
      </c>
      <c r="AG1265" s="5">
        <v>44044</v>
      </c>
      <c r="AH1265" s="5">
        <v>44044</v>
      </c>
      <c r="AK1265" s="5">
        <v>43997.333333333336</v>
      </c>
      <c r="AL1265" s="5">
        <v>44001.666666666664</v>
      </c>
      <c r="AP1265" t="s">
        <v>418</v>
      </c>
      <c r="AU1265" t="e" cm="1">
        <f t="array" ref="AU1265">+FUd66xTzUKF5XtbnxKx2Q</f>
        <v>#NAME?</v>
      </c>
      <c r="AV1265" t="s">
        <v>5735</v>
      </c>
      <c r="AY1265" t="s">
        <v>37</v>
      </c>
      <c r="AZ1265">
        <v>0</v>
      </c>
      <c r="BA1265">
        <v>0</v>
      </c>
      <c r="BI1265" s="5">
        <v>44048.176388888889</v>
      </c>
      <c r="BJ1265" s="5">
        <v>44048.176388888889</v>
      </c>
      <c r="BK1265" t="s">
        <v>778</v>
      </c>
      <c r="BL1265" t="s">
        <v>778</v>
      </c>
      <c r="BN1265" t="s">
        <v>37</v>
      </c>
    </row>
    <row r="1266" spans="1:66" x14ac:dyDescent="0.2">
      <c r="A1266">
        <v>3693823</v>
      </c>
      <c r="B1266">
        <v>21883</v>
      </c>
      <c r="C1266">
        <v>523853</v>
      </c>
      <c r="D1266">
        <v>52895</v>
      </c>
      <c r="E1266">
        <v>100</v>
      </c>
      <c r="F1266" t="s">
        <v>37</v>
      </c>
      <c r="G1266">
        <v>1</v>
      </c>
      <c r="H1266" t="s">
        <v>37</v>
      </c>
      <c r="I1266" t="s">
        <v>37</v>
      </c>
      <c r="J1266" t="s">
        <v>775</v>
      </c>
      <c r="K1266" t="s">
        <v>230</v>
      </c>
      <c r="L1266" t="s">
        <v>226</v>
      </c>
      <c r="M1266" t="s">
        <v>422</v>
      </c>
      <c r="N1266" t="s">
        <v>5736</v>
      </c>
      <c r="O1266" t="s">
        <v>2446</v>
      </c>
      <c r="S1266">
        <v>0</v>
      </c>
      <c r="T1266">
        <v>0</v>
      </c>
      <c r="U1266">
        <v>0</v>
      </c>
      <c r="V1266">
        <v>0</v>
      </c>
      <c r="W1266">
        <v>32</v>
      </c>
      <c r="X1266">
        <v>0</v>
      </c>
      <c r="Y1266">
        <v>0</v>
      </c>
      <c r="Z1266">
        <v>0</v>
      </c>
      <c r="AB1266" s="5">
        <v>44012</v>
      </c>
      <c r="AC1266" s="5">
        <v>44018</v>
      </c>
      <c r="AD1266" s="5">
        <v>44018.333333333336</v>
      </c>
      <c r="AE1266" s="5">
        <v>44018.333333333336</v>
      </c>
      <c r="AG1266" s="5">
        <v>44044</v>
      </c>
      <c r="AH1266" s="5">
        <v>44044</v>
      </c>
      <c r="AK1266" s="5">
        <v>44011.333333333336</v>
      </c>
      <c r="AL1266" s="5">
        <v>44014.666666666664</v>
      </c>
      <c r="AP1266" t="s">
        <v>418</v>
      </c>
      <c r="AU1266" t="s">
        <v>5737</v>
      </c>
      <c r="AV1266" t="s">
        <v>5738</v>
      </c>
      <c r="AY1266" t="s">
        <v>37</v>
      </c>
      <c r="AZ1266">
        <v>0</v>
      </c>
      <c r="BA1266">
        <v>0</v>
      </c>
      <c r="BI1266" s="5">
        <v>44048.176388888889</v>
      </c>
      <c r="BJ1266" s="5">
        <v>44048.176388888889</v>
      </c>
      <c r="BK1266" t="s">
        <v>778</v>
      </c>
      <c r="BL1266" t="s">
        <v>778</v>
      </c>
      <c r="BN1266" t="s">
        <v>37</v>
      </c>
    </row>
    <row r="1267" spans="1:66" x14ac:dyDescent="0.2">
      <c r="A1267">
        <v>3693824</v>
      </c>
      <c r="B1267">
        <v>21883</v>
      </c>
      <c r="C1267">
        <v>523853</v>
      </c>
      <c r="D1267">
        <v>52899</v>
      </c>
      <c r="E1267">
        <v>100</v>
      </c>
      <c r="F1267" t="s">
        <v>37</v>
      </c>
      <c r="G1267">
        <v>1</v>
      </c>
      <c r="H1267" t="s">
        <v>37</v>
      </c>
      <c r="I1267" t="s">
        <v>37</v>
      </c>
      <c r="J1267" t="s">
        <v>775</v>
      </c>
      <c r="K1267" t="s">
        <v>230</v>
      </c>
      <c r="L1267" t="s">
        <v>226</v>
      </c>
      <c r="M1267" t="s">
        <v>422</v>
      </c>
      <c r="N1267" t="s">
        <v>5739</v>
      </c>
      <c r="O1267" t="s">
        <v>2450</v>
      </c>
      <c r="S1267">
        <v>0</v>
      </c>
      <c r="T1267">
        <v>16</v>
      </c>
      <c r="U1267">
        <v>0</v>
      </c>
      <c r="V1267">
        <v>16</v>
      </c>
      <c r="W1267">
        <v>16</v>
      </c>
      <c r="X1267">
        <v>0</v>
      </c>
      <c r="Y1267">
        <v>0</v>
      </c>
      <c r="Z1267">
        <v>0</v>
      </c>
      <c r="AB1267" s="5">
        <v>44006</v>
      </c>
      <c r="AC1267" s="5">
        <v>44006</v>
      </c>
      <c r="AD1267" s="5">
        <v>44018.333333333336</v>
      </c>
      <c r="AE1267" s="5">
        <v>44018.333333333336</v>
      </c>
      <c r="AG1267" s="5">
        <v>44044</v>
      </c>
      <c r="AH1267" s="5">
        <v>44044</v>
      </c>
      <c r="AK1267" s="5">
        <v>44011.333333333336</v>
      </c>
      <c r="AL1267" s="5">
        <v>44012.666666666664</v>
      </c>
      <c r="AP1267" t="s">
        <v>418</v>
      </c>
      <c r="AU1267" t="s">
        <v>5740</v>
      </c>
      <c r="AV1267" t="s">
        <v>5741</v>
      </c>
      <c r="AY1267" t="s">
        <v>37</v>
      </c>
      <c r="AZ1267">
        <v>0</v>
      </c>
      <c r="BA1267">
        <v>0</v>
      </c>
      <c r="BI1267" s="5">
        <v>44048.176388888889</v>
      </c>
      <c r="BJ1267" s="5">
        <v>44048.176388888889</v>
      </c>
      <c r="BK1267" t="s">
        <v>778</v>
      </c>
      <c r="BL1267" t="s">
        <v>778</v>
      </c>
      <c r="BN1267" t="s">
        <v>37</v>
      </c>
    </row>
    <row r="1268" spans="1:66" x14ac:dyDescent="0.2">
      <c r="A1268">
        <v>3693825</v>
      </c>
      <c r="B1268">
        <v>21883</v>
      </c>
      <c r="C1268">
        <v>523853</v>
      </c>
      <c r="D1268">
        <v>52899</v>
      </c>
      <c r="E1268">
        <v>100</v>
      </c>
      <c r="F1268" t="s">
        <v>37</v>
      </c>
      <c r="G1268">
        <v>1</v>
      </c>
      <c r="H1268" t="s">
        <v>37</v>
      </c>
      <c r="I1268" t="s">
        <v>37</v>
      </c>
      <c r="J1268" t="s">
        <v>775</v>
      </c>
      <c r="K1268" t="s">
        <v>230</v>
      </c>
      <c r="L1268" t="s">
        <v>226</v>
      </c>
      <c r="M1268" t="s">
        <v>422</v>
      </c>
      <c r="N1268" t="s">
        <v>5742</v>
      </c>
      <c r="O1268" t="s">
        <v>3335</v>
      </c>
      <c r="S1268">
        <v>0</v>
      </c>
      <c r="T1268">
        <v>0</v>
      </c>
      <c r="U1268">
        <v>0</v>
      </c>
      <c r="V1268">
        <v>0</v>
      </c>
      <c r="W1268">
        <v>16</v>
      </c>
      <c r="X1268">
        <v>0</v>
      </c>
      <c r="Y1268">
        <v>0</v>
      </c>
      <c r="Z1268">
        <v>0</v>
      </c>
      <c r="AB1268" s="5">
        <v>44006</v>
      </c>
      <c r="AC1268" s="5">
        <v>44007</v>
      </c>
      <c r="AD1268" s="5">
        <v>44018.333333333336</v>
      </c>
      <c r="AE1268" s="5">
        <v>44018.333333333336</v>
      </c>
      <c r="AG1268" s="5">
        <v>44044</v>
      </c>
      <c r="AH1268" s="5">
        <v>44044</v>
      </c>
      <c r="AK1268" s="5">
        <v>44011.333333333336</v>
      </c>
      <c r="AL1268" s="5">
        <v>44012.666666666664</v>
      </c>
      <c r="AP1268" t="s">
        <v>418</v>
      </c>
      <c r="AU1268" t="s">
        <v>5743</v>
      </c>
      <c r="AV1268" t="s">
        <v>5744</v>
      </c>
      <c r="AY1268" t="s">
        <v>37</v>
      </c>
      <c r="AZ1268">
        <v>0</v>
      </c>
      <c r="BA1268">
        <v>0</v>
      </c>
      <c r="BI1268" s="5">
        <v>44048.176388888889</v>
      </c>
      <c r="BJ1268" s="5">
        <v>44048.176388888889</v>
      </c>
      <c r="BK1268" t="s">
        <v>778</v>
      </c>
      <c r="BL1268" t="s">
        <v>778</v>
      </c>
      <c r="BN1268" t="s">
        <v>37</v>
      </c>
    </row>
    <row r="1269" spans="1:66" x14ac:dyDescent="0.2">
      <c r="A1269">
        <v>3693826</v>
      </c>
      <c r="B1269">
        <v>21883</v>
      </c>
      <c r="C1269">
        <v>523853</v>
      </c>
      <c r="D1269">
        <v>52899</v>
      </c>
      <c r="E1269">
        <v>100</v>
      </c>
      <c r="F1269" t="s">
        <v>37</v>
      </c>
      <c r="G1269">
        <v>1</v>
      </c>
      <c r="H1269" t="s">
        <v>37</v>
      </c>
      <c r="I1269" t="s">
        <v>37</v>
      </c>
      <c r="J1269" t="s">
        <v>775</v>
      </c>
      <c r="K1269" t="s">
        <v>230</v>
      </c>
      <c r="L1269" t="s">
        <v>226</v>
      </c>
      <c r="M1269" t="s">
        <v>422</v>
      </c>
      <c r="N1269" t="s">
        <v>5745</v>
      </c>
      <c r="O1269" t="s">
        <v>3339</v>
      </c>
      <c r="S1269">
        <v>0</v>
      </c>
      <c r="T1269">
        <v>8</v>
      </c>
      <c r="U1269">
        <v>0</v>
      </c>
      <c r="V1269">
        <v>8</v>
      </c>
      <c r="W1269">
        <v>8</v>
      </c>
      <c r="X1269">
        <v>0</v>
      </c>
      <c r="Y1269">
        <v>0</v>
      </c>
      <c r="Z1269">
        <v>0</v>
      </c>
      <c r="AB1269" s="5">
        <v>44011.333333333336</v>
      </c>
      <c r="AC1269" s="5">
        <v>44011.666666666664</v>
      </c>
      <c r="AD1269" s="5">
        <v>44018.333333333336</v>
      </c>
      <c r="AE1269" s="5">
        <v>44018.333333333336</v>
      </c>
      <c r="AG1269" s="5">
        <v>44044</v>
      </c>
      <c r="AH1269" s="5">
        <v>44044</v>
      </c>
      <c r="AK1269" s="5">
        <v>44011.333333333336</v>
      </c>
      <c r="AL1269" s="5">
        <v>44011.666666666664</v>
      </c>
      <c r="AP1269" t="s">
        <v>418</v>
      </c>
      <c r="AU1269" t="s">
        <v>5746</v>
      </c>
      <c r="AV1269" t="s">
        <v>5747</v>
      </c>
      <c r="AY1269" t="s">
        <v>37</v>
      </c>
      <c r="AZ1269">
        <v>0</v>
      </c>
      <c r="BA1269">
        <v>0</v>
      </c>
      <c r="BI1269" s="5">
        <v>44048.176388888889</v>
      </c>
      <c r="BJ1269" s="5">
        <v>44048.176388888889</v>
      </c>
      <c r="BK1269" t="s">
        <v>778</v>
      </c>
      <c r="BL1269" t="s">
        <v>778</v>
      </c>
      <c r="BN1269" t="s">
        <v>37</v>
      </c>
    </row>
    <row r="1270" spans="1:66" x14ac:dyDescent="0.2">
      <c r="A1270">
        <v>3693827</v>
      </c>
      <c r="B1270">
        <v>21883</v>
      </c>
      <c r="C1270">
        <v>523853</v>
      </c>
      <c r="D1270">
        <v>52899</v>
      </c>
      <c r="E1270">
        <v>100</v>
      </c>
      <c r="F1270" t="s">
        <v>37</v>
      </c>
      <c r="G1270">
        <v>1</v>
      </c>
      <c r="H1270" t="s">
        <v>37</v>
      </c>
      <c r="I1270" t="s">
        <v>37</v>
      </c>
      <c r="J1270" t="s">
        <v>775</v>
      </c>
      <c r="K1270" t="s">
        <v>230</v>
      </c>
      <c r="L1270" t="s">
        <v>226</v>
      </c>
      <c r="M1270" t="s">
        <v>422</v>
      </c>
      <c r="N1270" t="s">
        <v>5748</v>
      </c>
      <c r="O1270" t="s">
        <v>4840</v>
      </c>
      <c r="S1270">
        <v>0</v>
      </c>
      <c r="T1270">
        <v>8</v>
      </c>
      <c r="U1270">
        <v>0</v>
      </c>
      <c r="V1270">
        <v>8</v>
      </c>
      <c r="W1270">
        <v>8</v>
      </c>
      <c r="X1270">
        <v>0</v>
      </c>
      <c r="Y1270">
        <v>0</v>
      </c>
      <c r="Z1270">
        <v>0</v>
      </c>
      <c r="AB1270" s="5">
        <v>43983</v>
      </c>
      <c r="AC1270" s="5">
        <v>43983</v>
      </c>
      <c r="AD1270" s="5">
        <v>44018.333333333336</v>
      </c>
      <c r="AE1270" s="5">
        <v>44018.333333333336</v>
      </c>
      <c r="AG1270" s="5">
        <v>44044</v>
      </c>
      <c r="AH1270" s="5">
        <v>44044</v>
      </c>
      <c r="AK1270" s="5">
        <v>43997.333333333336</v>
      </c>
      <c r="AL1270" s="5">
        <v>43997.666666666664</v>
      </c>
      <c r="AP1270" t="s">
        <v>418</v>
      </c>
      <c r="AU1270" t="s">
        <v>5749</v>
      </c>
      <c r="AV1270" t="s">
        <v>5750</v>
      </c>
      <c r="AY1270" t="s">
        <v>37</v>
      </c>
      <c r="AZ1270">
        <v>0</v>
      </c>
      <c r="BA1270">
        <v>0</v>
      </c>
      <c r="BI1270" s="5">
        <v>44048.176388888889</v>
      </c>
      <c r="BJ1270" s="5">
        <v>44048.176388888889</v>
      </c>
      <c r="BK1270" t="s">
        <v>778</v>
      </c>
      <c r="BL1270" t="s">
        <v>778</v>
      </c>
      <c r="BN1270" t="s">
        <v>37</v>
      </c>
    </row>
    <row r="1271" spans="1:66" x14ac:dyDescent="0.2">
      <c r="A1271">
        <v>3693828</v>
      </c>
      <c r="B1271">
        <v>21883</v>
      </c>
      <c r="C1271">
        <v>523853</v>
      </c>
      <c r="D1271">
        <v>52899</v>
      </c>
      <c r="E1271">
        <v>100</v>
      </c>
      <c r="F1271" t="s">
        <v>37</v>
      </c>
      <c r="G1271">
        <v>1</v>
      </c>
      <c r="H1271" t="s">
        <v>37</v>
      </c>
      <c r="I1271" t="s">
        <v>37</v>
      </c>
      <c r="J1271" t="s">
        <v>775</v>
      </c>
      <c r="K1271" t="s">
        <v>230</v>
      </c>
      <c r="L1271" t="s">
        <v>226</v>
      </c>
      <c r="M1271" t="s">
        <v>422</v>
      </c>
      <c r="N1271" t="s">
        <v>5751</v>
      </c>
      <c r="O1271" t="s">
        <v>4844</v>
      </c>
      <c r="S1271">
        <v>0</v>
      </c>
      <c r="T1271">
        <v>32</v>
      </c>
      <c r="U1271">
        <v>0</v>
      </c>
      <c r="V1271">
        <v>32</v>
      </c>
      <c r="W1271">
        <v>16</v>
      </c>
      <c r="X1271">
        <v>0</v>
      </c>
      <c r="Y1271">
        <v>0</v>
      </c>
      <c r="Z1271">
        <v>0</v>
      </c>
      <c r="AB1271" s="5">
        <v>43983</v>
      </c>
      <c r="AC1271" s="5">
        <v>43984</v>
      </c>
      <c r="AD1271" s="5">
        <v>44018.333333333336</v>
      </c>
      <c r="AE1271" s="5">
        <v>44018.333333333336</v>
      </c>
      <c r="AG1271" s="5">
        <v>44044</v>
      </c>
      <c r="AH1271" s="5">
        <v>44044</v>
      </c>
      <c r="AK1271" s="5">
        <v>43997.333333333336</v>
      </c>
      <c r="AL1271" s="5">
        <v>43998.666666666664</v>
      </c>
      <c r="AP1271" t="s">
        <v>418</v>
      </c>
      <c r="AU1271" t="s">
        <v>5752</v>
      </c>
      <c r="AV1271" t="s">
        <v>5753</v>
      </c>
      <c r="AY1271" t="s">
        <v>37</v>
      </c>
      <c r="AZ1271">
        <v>0</v>
      </c>
      <c r="BA1271">
        <v>0</v>
      </c>
      <c r="BI1271" s="5">
        <v>44048.176388888889</v>
      </c>
      <c r="BJ1271" s="5">
        <v>44048.176388888889</v>
      </c>
      <c r="BK1271" t="s">
        <v>778</v>
      </c>
      <c r="BL1271" t="s">
        <v>778</v>
      </c>
      <c r="BN1271" t="s">
        <v>37</v>
      </c>
    </row>
    <row r="1272" spans="1:66" x14ac:dyDescent="0.2">
      <c r="A1272">
        <v>3693829</v>
      </c>
      <c r="B1272">
        <v>21883</v>
      </c>
      <c r="C1272">
        <v>523853</v>
      </c>
      <c r="D1272">
        <v>52899</v>
      </c>
      <c r="E1272">
        <v>100</v>
      </c>
      <c r="F1272" t="s">
        <v>37</v>
      </c>
      <c r="G1272">
        <v>1</v>
      </c>
      <c r="H1272" t="s">
        <v>37</v>
      </c>
      <c r="I1272" t="s">
        <v>37</v>
      </c>
      <c r="J1272" t="s">
        <v>775</v>
      </c>
      <c r="K1272" t="s">
        <v>230</v>
      </c>
      <c r="L1272" t="s">
        <v>226</v>
      </c>
      <c r="M1272" t="s">
        <v>422</v>
      </c>
      <c r="N1272" t="s">
        <v>5754</v>
      </c>
      <c r="O1272" t="s">
        <v>4264</v>
      </c>
      <c r="S1272">
        <v>0</v>
      </c>
      <c r="T1272">
        <v>16</v>
      </c>
      <c r="U1272">
        <v>0</v>
      </c>
      <c r="V1272">
        <v>16</v>
      </c>
      <c r="W1272">
        <v>24</v>
      </c>
      <c r="X1272">
        <v>0</v>
      </c>
      <c r="Y1272">
        <v>0</v>
      </c>
      <c r="Z1272">
        <v>0</v>
      </c>
      <c r="AB1272" s="5">
        <v>43986</v>
      </c>
      <c r="AC1272" s="5">
        <v>43987</v>
      </c>
      <c r="AD1272" s="5">
        <v>44018.333333333336</v>
      </c>
      <c r="AE1272" s="5">
        <v>44018.333333333336</v>
      </c>
      <c r="AG1272" s="5">
        <v>44044</v>
      </c>
      <c r="AH1272" s="5">
        <v>44044</v>
      </c>
      <c r="AK1272" s="5">
        <v>43997.333333333336</v>
      </c>
      <c r="AL1272" s="5">
        <v>44000.666666666664</v>
      </c>
      <c r="AP1272" t="s">
        <v>418</v>
      </c>
      <c r="AU1272" t="s">
        <v>5755</v>
      </c>
      <c r="AV1272" t="s">
        <v>5756</v>
      </c>
      <c r="AY1272" t="s">
        <v>37</v>
      </c>
      <c r="AZ1272">
        <v>0</v>
      </c>
      <c r="BA1272">
        <v>0</v>
      </c>
      <c r="BI1272" s="5">
        <v>44048.176388888889</v>
      </c>
      <c r="BJ1272" s="5">
        <v>44048.176388888889</v>
      </c>
      <c r="BK1272" t="s">
        <v>778</v>
      </c>
      <c r="BL1272" t="s">
        <v>778</v>
      </c>
      <c r="BN1272" t="s">
        <v>37</v>
      </c>
    </row>
    <row r="1273" spans="1:66" x14ac:dyDescent="0.2">
      <c r="A1273">
        <v>3693830</v>
      </c>
      <c r="B1273">
        <v>21883</v>
      </c>
      <c r="C1273">
        <v>523853</v>
      </c>
      <c r="D1273">
        <v>52899</v>
      </c>
      <c r="E1273">
        <v>100</v>
      </c>
      <c r="F1273" t="s">
        <v>37</v>
      </c>
      <c r="G1273">
        <v>1</v>
      </c>
      <c r="H1273" t="s">
        <v>37</v>
      </c>
      <c r="I1273" t="s">
        <v>37</v>
      </c>
      <c r="J1273" t="s">
        <v>775</v>
      </c>
      <c r="K1273" t="s">
        <v>230</v>
      </c>
      <c r="L1273" t="s">
        <v>226</v>
      </c>
      <c r="M1273" t="s">
        <v>422</v>
      </c>
      <c r="N1273" t="s">
        <v>5757</v>
      </c>
      <c r="O1273" t="s">
        <v>4268</v>
      </c>
      <c r="S1273">
        <v>0</v>
      </c>
      <c r="T1273">
        <v>32</v>
      </c>
      <c r="U1273">
        <v>0</v>
      </c>
      <c r="V1273">
        <v>32</v>
      </c>
      <c r="W1273">
        <v>32</v>
      </c>
      <c r="X1273">
        <v>0</v>
      </c>
      <c r="Y1273">
        <v>0</v>
      </c>
      <c r="Z1273">
        <v>0</v>
      </c>
      <c r="AB1273" s="5">
        <v>44000</v>
      </c>
      <c r="AC1273" s="5">
        <v>44005</v>
      </c>
      <c r="AD1273" s="5">
        <v>44018.333333333336</v>
      </c>
      <c r="AE1273" s="5">
        <v>44018.333333333336</v>
      </c>
      <c r="AG1273" s="5">
        <v>44044</v>
      </c>
      <c r="AH1273" s="5">
        <v>44044</v>
      </c>
      <c r="AK1273" s="5">
        <v>44006.333333333336</v>
      </c>
      <c r="AL1273" s="5">
        <v>44011.666666666664</v>
      </c>
      <c r="AP1273" t="s">
        <v>418</v>
      </c>
      <c r="AU1273" t="s">
        <v>5758</v>
      </c>
      <c r="AV1273" t="s">
        <v>5759</v>
      </c>
      <c r="AY1273" t="s">
        <v>37</v>
      </c>
      <c r="AZ1273">
        <v>0</v>
      </c>
      <c r="BA1273">
        <v>0</v>
      </c>
      <c r="BI1273" s="5">
        <v>44048.176388888889</v>
      </c>
      <c r="BJ1273" s="5">
        <v>44048.176388888889</v>
      </c>
      <c r="BK1273" t="s">
        <v>778</v>
      </c>
      <c r="BL1273" t="s">
        <v>778</v>
      </c>
      <c r="BN1273" t="s">
        <v>37</v>
      </c>
    </row>
    <row r="1274" spans="1:66" x14ac:dyDescent="0.2">
      <c r="A1274">
        <v>3693831</v>
      </c>
      <c r="B1274">
        <v>21883</v>
      </c>
      <c r="C1274">
        <v>523853</v>
      </c>
      <c r="D1274">
        <v>52899</v>
      </c>
      <c r="E1274">
        <v>100</v>
      </c>
      <c r="F1274" t="s">
        <v>37</v>
      </c>
      <c r="G1274">
        <v>1</v>
      </c>
      <c r="H1274" t="s">
        <v>37</v>
      </c>
      <c r="I1274" t="s">
        <v>37</v>
      </c>
      <c r="J1274" t="s">
        <v>775</v>
      </c>
      <c r="K1274" t="s">
        <v>230</v>
      </c>
      <c r="L1274" t="s">
        <v>226</v>
      </c>
      <c r="M1274" t="s">
        <v>422</v>
      </c>
      <c r="N1274" t="s">
        <v>5760</v>
      </c>
      <c r="O1274" t="s">
        <v>5761</v>
      </c>
      <c r="S1274">
        <v>0</v>
      </c>
      <c r="T1274">
        <v>16</v>
      </c>
      <c r="U1274">
        <v>0</v>
      </c>
      <c r="V1274">
        <v>16</v>
      </c>
      <c r="W1274">
        <v>16</v>
      </c>
      <c r="X1274">
        <v>0</v>
      </c>
      <c r="Y1274">
        <v>0</v>
      </c>
      <c r="Z1274">
        <v>0</v>
      </c>
      <c r="AB1274" s="5">
        <v>44018</v>
      </c>
      <c r="AC1274" s="5">
        <v>44021</v>
      </c>
      <c r="AD1274" s="5">
        <v>44018.333333333336</v>
      </c>
      <c r="AE1274" s="5">
        <v>44018.333333333336</v>
      </c>
      <c r="AG1274" s="5">
        <v>44044</v>
      </c>
      <c r="AH1274" s="5">
        <v>44044</v>
      </c>
      <c r="AK1274" s="5">
        <v>44026.333333333336</v>
      </c>
      <c r="AL1274" s="5">
        <v>44027.666666666664</v>
      </c>
      <c r="AP1274" t="s">
        <v>418</v>
      </c>
      <c r="AU1274" t="s">
        <v>5762</v>
      </c>
      <c r="AV1274" t="s">
        <v>5763</v>
      </c>
      <c r="AY1274" t="s">
        <v>37</v>
      </c>
      <c r="AZ1274">
        <v>0</v>
      </c>
      <c r="BA1274">
        <v>0</v>
      </c>
      <c r="BI1274" s="5">
        <v>44048.176388888889</v>
      </c>
      <c r="BJ1274" s="5">
        <v>44048.176388888889</v>
      </c>
      <c r="BK1274" t="s">
        <v>778</v>
      </c>
      <c r="BL1274" t="s">
        <v>778</v>
      </c>
      <c r="BN1274" t="s">
        <v>37</v>
      </c>
    </row>
    <row r="1275" spans="1:66" x14ac:dyDescent="0.2">
      <c r="A1275">
        <v>3693832</v>
      </c>
      <c r="B1275">
        <v>21883</v>
      </c>
      <c r="C1275">
        <v>523853</v>
      </c>
      <c r="D1275">
        <v>52899</v>
      </c>
      <c r="E1275">
        <v>100</v>
      </c>
      <c r="F1275" t="s">
        <v>37</v>
      </c>
      <c r="G1275">
        <v>1</v>
      </c>
      <c r="H1275" t="s">
        <v>37</v>
      </c>
      <c r="I1275" t="s">
        <v>37</v>
      </c>
      <c r="J1275" t="s">
        <v>775</v>
      </c>
      <c r="K1275" t="s">
        <v>230</v>
      </c>
      <c r="L1275" t="s">
        <v>226</v>
      </c>
      <c r="M1275" t="s">
        <v>422</v>
      </c>
      <c r="N1275" t="s">
        <v>5764</v>
      </c>
      <c r="O1275" t="s">
        <v>4276</v>
      </c>
      <c r="S1275">
        <v>0</v>
      </c>
      <c r="T1275">
        <v>16</v>
      </c>
      <c r="U1275">
        <v>0</v>
      </c>
      <c r="V1275">
        <v>16</v>
      </c>
      <c r="W1275">
        <v>16</v>
      </c>
      <c r="X1275">
        <v>0</v>
      </c>
      <c r="Y1275">
        <v>0</v>
      </c>
      <c r="Z1275">
        <v>0</v>
      </c>
      <c r="AB1275" s="5">
        <v>44020</v>
      </c>
      <c r="AC1275" s="5">
        <v>44020</v>
      </c>
      <c r="AD1275" s="5">
        <v>44109.666666666664</v>
      </c>
      <c r="AE1275" s="5">
        <v>44109.666666666664</v>
      </c>
      <c r="AG1275" s="5">
        <v>44044</v>
      </c>
      <c r="AH1275" s="5">
        <v>44044</v>
      </c>
      <c r="AK1275" s="5">
        <v>44026.333333333336</v>
      </c>
      <c r="AL1275" s="5">
        <v>44027.666666666664</v>
      </c>
      <c r="AP1275" t="s">
        <v>418</v>
      </c>
      <c r="AU1275" t="s">
        <v>5765</v>
      </c>
      <c r="AV1275" t="s">
        <v>5766</v>
      </c>
      <c r="AY1275" t="s">
        <v>37</v>
      </c>
      <c r="AZ1275">
        <v>0</v>
      </c>
      <c r="BA1275">
        <v>0</v>
      </c>
      <c r="BI1275" s="5">
        <v>44048.176388888889</v>
      </c>
      <c r="BJ1275" s="5">
        <v>44048.176388888889</v>
      </c>
      <c r="BK1275" t="s">
        <v>778</v>
      </c>
      <c r="BL1275" t="s">
        <v>778</v>
      </c>
      <c r="BN1275" t="s">
        <v>37</v>
      </c>
    </row>
    <row r="1276" spans="1:66" x14ac:dyDescent="0.2">
      <c r="A1276">
        <v>3693833</v>
      </c>
      <c r="B1276">
        <v>21883</v>
      </c>
      <c r="C1276">
        <v>523852</v>
      </c>
      <c r="D1276">
        <v>52899</v>
      </c>
      <c r="E1276">
        <v>100</v>
      </c>
      <c r="F1276" t="s">
        <v>37</v>
      </c>
      <c r="G1276">
        <v>1</v>
      </c>
      <c r="H1276" t="s">
        <v>37</v>
      </c>
      <c r="I1276" t="s">
        <v>37</v>
      </c>
      <c r="J1276" t="s">
        <v>775</v>
      </c>
      <c r="K1276" t="s">
        <v>230</v>
      </c>
      <c r="L1276" t="s">
        <v>226</v>
      </c>
      <c r="M1276" t="s">
        <v>422</v>
      </c>
      <c r="N1276" t="s">
        <v>5767</v>
      </c>
      <c r="O1276" t="s">
        <v>2454</v>
      </c>
      <c r="S1276">
        <v>0</v>
      </c>
      <c r="T1276">
        <v>96</v>
      </c>
      <c r="U1276">
        <v>0</v>
      </c>
      <c r="V1276">
        <v>96</v>
      </c>
      <c r="W1276">
        <v>80</v>
      </c>
      <c r="X1276">
        <v>0</v>
      </c>
      <c r="Y1276">
        <v>0</v>
      </c>
      <c r="Z1276">
        <v>0</v>
      </c>
      <c r="AB1276" s="5">
        <v>43930</v>
      </c>
      <c r="AC1276" s="5">
        <v>43963</v>
      </c>
      <c r="AD1276" s="5">
        <v>43970.333333333336</v>
      </c>
      <c r="AE1276" s="5">
        <v>43970.333333333336</v>
      </c>
      <c r="AG1276" s="5">
        <v>44044</v>
      </c>
      <c r="AH1276" s="5">
        <v>44044</v>
      </c>
      <c r="AK1276" s="5">
        <v>43934.333333333336</v>
      </c>
      <c r="AL1276" s="5">
        <v>43950.666666666664</v>
      </c>
      <c r="AP1276" t="s">
        <v>418</v>
      </c>
      <c r="AU1276" t="s">
        <v>5768</v>
      </c>
      <c r="AV1276" t="s">
        <v>5769</v>
      </c>
      <c r="AY1276" t="s">
        <v>40</v>
      </c>
      <c r="AZ1276">
        <v>0</v>
      </c>
      <c r="BA1276">
        <v>0</v>
      </c>
      <c r="BI1276" s="5">
        <v>44048.176388888889</v>
      </c>
      <c r="BJ1276" s="5">
        <v>44048.176388888889</v>
      </c>
      <c r="BK1276" t="s">
        <v>778</v>
      </c>
      <c r="BL1276" t="s">
        <v>778</v>
      </c>
      <c r="BN1276" t="s">
        <v>37</v>
      </c>
    </row>
    <row r="1277" spans="1:66" x14ac:dyDescent="0.2">
      <c r="A1277">
        <v>3693834</v>
      </c>
      <c r="B1277">
        <v>21883</v>
      </c>
      <c r="C1277">
        <v>523852</v>
      </c>
      <c r="D1277">
        <v>52899</v>
      </c>
      <c r="E1277">
        <v>100</v>
      </c>
      <c r="F1277" t="s">
        <v>37</v>
      </c>
      <c r="G1277">
        <v>1</v>
      </c>
      <c r="H1277" t="s">
        <v>37</v>
      </c>
      <c r="I1277" t="s">
        <v>37</v>
      </c>
      <c r="J1277" t="s">
        <v>775</v>
      </c>
      <c r="K1277" t="s">
        <v>230</v>
      </c>
      <c r="L1277" t="s">
        <v>226</v>
      </c>
      <c r="M1277" t="s">
        <v>422</v>
      </c>
      <c r="N1277" t="s">
        <v>5770</v>
      </c>
      <c r="O1277" t="s">
        <v>5771</v>
      </c>
      <c r="S1277">
        <v>0</v>
      </c>
      <c r="T1277">
        <v>24</v>
      </c>
      <c r="U1277">
        <v>0</v>
      </c>
      <c r="V1277">
        <v>24</v>
      </c>
      <c r="W1277">
        <v>16</v>
      </c>
      <c r="X1277">
        <v>0</v>
      </c>
      <c r="Y1277">
        <v>0</v>
      </c>
      <c r="Z1277">
        <v>0</v>
      </c>
      <c r="AB1277" s="5">
        <v>44004</v>
      </c>
      <c r="AC1277" s="5">
        <v>44005</v>
      </c>
      <c r="AD1277" s="5">
        <v>44005.333333333336</v>
      </c>
      <c r="AE1277" s="5">
        <v>44005.333333333336</v>
      </c>
      <c r="AG1277" s="5">
        <v>44044</v>
      </c>
      <c r="AH1277" s="5">
        <v>44044</v>
      </c>
      <c r="AK1277" s="5">
        <v>44011.333333333336</v>
      </c>
      <c r="AL1277" s="5">
        <v>44012.666666666664</v>
      </c>
      <c r="AP1277" t="s">
        <v>418</v>
      </c>
      <c r="AU1277" t="s">
        <v>5772</v>
      </c>
      <c r="AV1277" t="s">
        <v>5773</v>
      </c>
      <c r="AY1277" t="s">
        <v>37</v>
      </c>
      <c r="AZ1277">
        <v>0</v>
      </c>
      <c r="BA1277">
        <v>0</v>
      </c>
      <c r="BI1277" s="5">
        <v>44048.176388888889</v>
      </c>
      <c r="BJ1277" s="5">
        <v>44048.176388888889</v>
      </c>
      <c r="BK1277" t="s">
        <v>778</v>
      </c>
      <c r="BL1277" t="s">
        <v>778</v>
      </c>
      <c r="BN1277" t="s">
        <v>37</v>
      </c>
    </row>
    <row r="1278" spans="1:66" x14ac:dyDescent="0.2">
      <c r="A1278">
        <v>3693835</v>
      </c>
      <c r="B1278">
        <v>21883</v>
      </c>
      <c r="C1278">
        <v>523852</v>
      </c>
      <c r="D1278">
        <v>52895</v>
      </c>
      <c r="E1278">
        <v>100</v>
      </c>
      <c r="F1278" t="s">
        <v>37</v>
      </c>
      <c r="G1278">
        <v>1</v>
      </c>
      <c r="H1278" t="s">
        <v>37</v>
      </c>
      <c r="I1278" t="s">
        <v>37</v>
      </c>
      <c r="J1278" t="s">
        <v>775</v>
      </c>
      <c r="K1278" t="s">
        <v>230</v>
      </c>
      <c r="L1278" t="s">
        <v>226</v>
      </c>
      <c r="M1278" t="s">
        <v>422</v>
      </c>
      <c r="N1278" t="s">
        <v>5774</v>
      </c>
      <c r="O1278" t="s">
        <v>4866</v>
      </c>
      <c r="S1278">
        <v>0</v>
      </c>
      <c r="T1278">
        <v>0</v>
      </c>
      <c r="U1278">
        <v>0</v>
      </c>
      <c r="V1278">
        <v>0</v>
      </c>
      <c r="W1278">
        <v>24</v>
      </c>
      <c r="X1278">
        <v>0</v>
      </c>
      <c r="Y1278">
        <v>0</v>
      </c>
      <c r="Z1278">
        <v>0</v>
      </c>
      <c r="AB1278" s="5">
        <v>44029</v>
      </c>
      <c r="AC1278" s="5">
        <v>44035</v>
      </c>
      <c r="AD1278" s="5">
        <v>44005.333333333336</v>
      </c>
      <c r="AE1278" s="5">
        <v>44005.333333333336</v>
      </c>
      <c r="AG1278" s="5">
        <v>44044</v>
      </c>
      <c r="AH1278" s="5">
        <v>44044</v>
      </c>
      <c r="AK1278" s="5">
        <v>44031.333333333336</v>
      </c>
      <c r="AL1278" s="5">
        <v>44033.666666666664</v>
      </c>
      <c r="AP1278" t="s">
        <v>418</v>
      </c>
      <c r="AU1278" t="s">
        <v>5775</v>
      </c>
      <c r="AV1278" t="s">
        <v>5776</v>
      </c>
      <c r="AY1278" t="s">
        <v>37</v>
      </c>
      <c r="AZ1278">
        <v>0</v>
      </c>
      <c r="BA1278">
        <v>0</v>
      </c>
      <c r="BI1278" s="5">
        <v>44048.176388888889</v>
      </c>
      <c r="BJ1278" s="5">
        <v>44048.176388888889</v>
      </c>
      <c r="BK1278" t="s">
        <v>778</v>
      </c>
      <c r="BL1278" t="s">
        <v>778</v>
      </c>
      <c r="BN1278" t="s">
        <v>37</v>
      </c>
    </row>
    <row r="1279" spans="1:66" x14ac:dyDescent="0.2">
      <c r="A1279">
        <v>3693836</v>
      </c>
      <c r="B1279">
        <v>21883</v>
      </c>
      <c r="C1279">
        <v>523852</v>
      </c>
      <c r="D1279">
        <v>52899</v>
      </c>
      <c r="E1279">
        <v>100</v>
      </c>
      <c r="F1279" t="s">
        <v>37</v>
      </c>
      <c r="G1279">
        <v>1</v>
      </c>
      <c r="H1279" t="s">
        <v>37</v>
      </c>
      <c r="I1279" t="s">
        <v>37</v>
      </c>
      <c r="J1279" t="s">
        <v>775</v>
      </c>
      <c r="K1279" t="s">
        <v>230</v>
      </c>
      <c r="L1279" t="s">
        <v>226</v>
      </c>
      <c r="M1279" t="s">
        <v>422</v>
      </c>
      <c r="N1279" t="s">
        <v>5777</v>
      </c>
      <c r="O1279" t="s">
        <v>5778</v>
      </c>
      <c r="S1279">
        <v>0</v>
      </c>
      <c r="T1279">
        <v>32</v>
      </c>
      <c r="U1279">
        <v>0</v>
      </c>
      <c r="V1279">
        <v>32</v>
      </c>
      <c r="W1279">
        <v>32</v>
      </c>
      <c r="X1279">
        <v>0</v>
      </c>
      <c r="Y1279">
        <v>0</v>
      </c>
      <c r="Z1279">
        <v>0</v>
      </c>
      <c r="AB1279" s="5">
        <v>44025</v>
      </c>
      <c r="AC1279" s="5">
        <v>44027</v>
      </c>
      <c r="AD1279" s="5">
        <v>44005.333333333336</v>
      </c>
      <c r="AE1279" s="5">
        <v>44005.333333333336</v>
      </c>
      <c r="AG1279" s="5">
        <v>44044</v>
      </c>
      <c r="AH1279" s="5">
        <v>44044</v>
      </c>
      <c r="AK1279" s="5">
        <v>44026.333333333336</v>
      </c>
      <c r="AL1279" s="5">
        <v>44029.666666666664</v>
      </c>
      <c r="AP1279" t="s">
        <v>418</v>
      </c>
      <c r="AU1279" t="s">
        <v>5779</v>
      </c>
      <c r="AV1279" t="s">
        <v>5780</v>
      </c>
      <c r="AY1279" t="s">
        <v>37</v>
      </c>
      <c r="AZ1279">
        <v>0</v>
      </c>
      <c r="BA1279">
        <v>0</v>
      </c>
      <c r="BI1279" s="5">
        <v>44048.176388888889</v>
      </c>
      <c r="BJ1279" s="5">
        <v>44048.176388888889</v>
      </c>
      <c r="BK1279" t="s">
        <v>778</v>
      </c>
      <c r="BL1279" t="s">
        <v>778</v>
      </c>
      <c r="BN1279" t="s">
        <v>37</v>
      </c>
    </row>
    <row r="1280" spans="1:66" x14ac:dyDescent="0.2">
      <c r="A1280">
        <v>3693837</v>
      </c>
      <c r="B1280">
        <v>21883</v>
      </c>
      <c r="C1280">
        <v>523852</v>
      </c>
      <c r="D1280">
        <v>52895</v>
      </c>
      <c r="E1280">
        <v>100</v>
      </c>
      <c r="F1280" t="s">
        <v>37</v>
      </c>
      <c r="G1280">
        <v>1</v>
      </c>
      <c r="H1280" t="s">
        <v>37</v>
      </c>
      <c r="I1280" t="s">
        <v>37</v>
      </c>
      <c r="J1280" t="s">
        <v>775</v>
      </c>
      <c r="K1280" t="s">
        <v>230</v>
      </c>
      <c r="L1280" t="s">
        <v>226</v>
      </c>
      <c r="M1280" t="s">
        <v>422</v>
      </c>
      <c r="N1280" t="s">
        <v>5781</v>
      </c>
      <c r="O1280" t="s">
        <v>2470</v>
      </c>
      <c r="S1280">
        <v>0</v>
      </c>
      <c r="T1280">
        <v>0</v>
      </c>
      <c r="U1280">
        <v>0</v>
      </c>
      <c r="V1280">
        <v>0</v>
      </c>
      <c r="W1280">
        <v>24</v>
      </c>
      <c r="X1280">
        <v>0</v>
      </c>
      <c r="Y1280">
        <v>0</v>
      </c>
      <c r="Z1280">
        <v>0</v>
      </c>
      <c r="AB1280" s="5">
        <v>44009</v>
      </c>
      <c r="AC1280" s="5">
        <v>44011.666666666664</v>
      </c>
      <c r="AD1280" s="5">
        <v>44005.333333333336</v>
      </c>
      <c r="AE1280" s="5">
        <v>44005.333333333336</v>
      </c>
      <c r="AG1280" s="5">
        <v>44044</v>
      </c>
      <c r="AH1280" s="5">
        <v>44044</v>
      </c>
      <c r="AK1280" s="5">
        <v>44011.333333333336</v>
      </c>
      <c r="AL1280" s="5">
        <v>44013.666666666664</v>
      </c>
      <c r="AP1280" t="s">
        <v>418</v>
      </c>
      <c r="AU1280" t="s">
        <v>5782</v>
      </c>
      <c r="AV1280" t="s">
        <v>5783</v>
      </c>
      <c r="AY1280" t="s">
        <v>37</v>
      </c>
      <c r="AZ1280">
        <v>0</v>
      </c>
      <c r="BA1280">
        <v>0</v>
      </c>
      <c r="BI1280" s="5">
        <v>44048.176388888889</v>
      </c>
      <c r="BJ1280" s="5">
        <v>44048.176388888889</v>
      </c>
      <c r="BK1280" t="s">
        <v>778</v>
      </c>
      <c r="BL1280" t="s">
        <v>778</v>
      </c>
      <c r="BN1280" t="s">
        <v>37</v>
      </c>
    </row>
    <row r="1281" spans="1:66" x14ac:dyDescent="0.2">
      <c r="A1281">
        <v>3693838</v>
      </c>
      <c r="B1281">
        <v>21883</v>
      </c>
      <c r="C1281">
        <v>523852</v>
      </c>
      <c r="D1281">
        <v>52899</v>
      </c>
      <c r="E1281">
        <v>100</v>
      </c>
      <c r="F1281" t="s">
        <v>37</v>
      </c>
      <c r="G1281">
        <v>1</v>
      </c>
      <c r="H1281" t="s">
        <v>37</v>
      </c>
      <c r="I1281" t="s">
        <v>37</v>
      </c>
      <c r="J1281" t="s">
        <v>775</v>
      </c>
      <c r="K1281" t="s">
        <v>230</v>
      </c>
      <c r="L1281" t="s">
        <v>226</v>
      </c>
      <c r="M1281" t="s">
        <v>422</v>
      </c>
      <c r="N1281" t="s">
        <v>5784</v>
      </c>
      <c r="O1281" t="s">
        <v>3375</v>
      </c>
      <c r="S1281">
        <v>0</v>
      </c>
      <c r="T1281">
        <v>0</v>
      </c>
      <c r="U1281">
        <v>0</v>
      </c>
      <c r="V1281">
        <v>0</v>
      </c>
      <c r="W1281">
        <v>16</v>
      </c>
      <c r="X1281">
        <v>0</v>
      </c>
      <c r="Y1281">
        <v>0</v>
      </c>
      <c r="Z1281">
        <v>0</v>
      </c>
      <c r="AB1281" s="5">
        <v>43999</v>
      </c>
      <c r="AC1281" s="5">
        <v>44005</v>
      </c>
      <c r="AD1281" s="5">
        <v>44005.333333333336</v>
      </c>
      <c r="AE1281" s="5">
        <v>44005.333333333336</v>
      </c>
      <c r="AG1281" s="5">
        <v>44044</v>
      </c>
      <c r="AH1281" s="5">
        <v>44044</v>
      </c>
      <c r="AK1281" s="5">
        <v>44011.333333333336</v>
      </c>
      <c r="AL1281" s="5">
        <v>44012.666666666664</v>
      </c>
      <c r="AP1281" t="s">
        <v>418</v>
      </c>
      <c r="AU1281" t="s">
        <v>5785</v>
      </c>
      <c r="AV1281" t="s">
        <v>5786</v>
      </c>
      <c r="AY1281" t="s">
        <v>37</v>
      </c>
      <c r="AZ1281">
        <v>0</v>
      </c>
      <c r="BA1281">
        <v>0</v>
      </c>
      <c r="BI1281" s="5">
        <v>44048.176388888889</v>
      </c>
      <c r="BJ1281" s="5">
        <v>44048.176388888889</v>
      </c>
      <c r="BK1281" t="s">
        <v>778</v>
      </c>
      <c r="BL1281" t="s">
        <v>778</v>
      </c>
      <c r="BN1281" t="s">
        <v>37</v>
      </c>
    </row>
    <row r="1282" spans="1:66" x14ac:dyDescent="0.2">
      <c r="A1282">
        <v>3693839</v>
      </c>
      <c r="B1282">
        <v>21883</v>
      </c>
      <c r="C1282">
        <v>523852</v>
      </c>
      <c r="D1282">
        <v>52899</v>
      </c>
      <c r="E1282">
        <v>100</v>
      </c>
      <c r="F1282" t="s">
        <v>37</v>
      </c>
      <c r="G1282">
        <v>1</v>
      </c>
      <c r="H1282" t="s">
        <v>37</v>
      </c>
      <c r="I1282" t="s">
        <v>37</v>
      </c>
      <c r="J1282" t="s">
        <v>775</v>
      </c>
      <c r="K1282" t="s">
        <v>230</v>
      </c>
      <c r="L1282" t="s">
        <v>226</v>
      </c>
      <c r="M1282" t="s">
        <v>422</v>
      </c>
      <c r="N1282" t="s">
        <v>5787</v>
      </c>
      <c r="O1282" t="s">
        <v>3379</v>
      </c>
      <c r="S1282">
        <v>0</v>
      </c>
      <c r="T1282">
        <v>16</v>
      </c>
      <c r="U1282">
        <v>0</v>
      </c>
      <c r="V1282">
        <v>16</v>
      </c>
      <c r="W1282">
        <v>8</v>
      </c>
      <c r="X1282">
        <v>0</v>
      </c>
      <c r="Y1282">
        <v>0</v>
      </c>
      <c r="Z1282">
        <v>0</v>
      </c>
      <c r="AB1282" s="5">
        <v>44008</v>
      </c>
      <c r="AC1282" s="5">
        <v>44008</v>
      </c>
      <c r="AD1282" s="5">
        <v>44005.333333333336</v>
      </c>
      <c r="AE1282" s="5">
        <v>44005.333333333336</v>
      </c>
      <c r="AG1282" s="5">
        <v>44044</v>
      </c>
      <c r="AH1282" s="5">
        <v>44044</v>
      </c>
      <c r="AK1282" s="5">
        <v>44011.333333333336</v>
      </c>
      <c r="AL1282" s="5">
        <v>44011.666666666664</v>
      </c>
      <c r="AP1282" t="s">
        <v>418</v>
      </c>
      <c r="AU1282" t="s">
        <v>5788</v>
      </c>
      <c r="AV1282" t="s">
        <v>5789</v>
      </c>
      <c r="AY1282" t="s">
        <v>37</v>
      </c>
      <c r="AZ1282">
        <v>0</v>
      </c>
      <c r="BA1282">
        <v>0</v>
      </c>
      <c r="BI1282" s="5">
        <v>44048.176388888889</v>
      </c>
      <c r="BJ1282" s="5">
        <v>44048.176388888889</v>
      </c>
      <c r="BK1282" t="s">
        <v>778</v>
      </c>
      <c r="BL1282" t="s">
        <v>778</v>
      </c>
      <c r="BN1282" t="s">
        <v>37</v>
      </c>
    </row>
    <row r="1283" spans="1:66" x14ac:dyDescent="0.2">
      <c r="A1283">
        <v>3693840</v>
      </c>
      <c r="B1283">
        <v>21883</v>
      </c>
      <c r="C1283">
        <v>523852</v>
      </c>
      <c r="D1283">
        <v>52899</v>
      </c>
      <c r="E1283">
        <v>100</v>
      </c>
      <c r="F1283" t="s">
        <v>37</v>
      </c>
      <c r="G1283">
        <v>1</v>
      </c>
      <c r="H1283" t="s">
        <v>37</v>
      </c>
      <c r="I1283" t="s">
        <v>37</v>
      </c>
      <c r="J1283" t="s">
        <v>775</v>
      </c>
      <c r="K1283" t="s">
        <v>230</v>
      </c>
      <c r="L1283" t="s">
        <v>226</v>
      </c>
      <c r="M1283" t="s">
        <v>422</v>
      </c>
      <c r="N1283" t="s">
        <v>5790</v>
      </c>
      <c r="O1283" t="s">
        <v>3383</v>
      </c>
      <c r="S1283">
        <v>0</v>
      </c>
      <c r="T1283">
        <v>0</v>
      </c>
      <c r="U1283">
        <v>0</v>
      </c>
      <c r="V1283">
        <v>0</v>
      </c>
      <c r="W1283">
        <v>16</v>
      </c>
      <c r="X1283">
        <v>0</v>
      </c>
      <c r="Y1283">
        <v>0</v>
      </c>
      <c r="Z1283">
        <v>0</v>
      </c>
      <c r="AB1283" s="5">
        <v>44022</v>
      </c>
      <c r="AC1283" s="5">
        <v>44022</v>
      </c>
      <c r="AD1283" s="5">
        <v>44005.333333333336</v>
      </c>
      <c r="AE1283" s="5">
        <v>44005.333333333336</v>
      </c>
      <c r="AG1283" s="5">
        <v>44044</v>
      </c>
      <c r="AH1283" s="5">
        <v>44044</v>
      </c>
      <c r="AK1283" s="5">
        <v>44026.333333333336</v>
      </c>
      <c r="AL1283" s="5">
        <v>44027.666666666664</v>
      </c>
      <c r="AP1283" t="s">
        <v>418</v>
      </c>
      <c r="AU1283" t="s">
        <v>5791</v>
      </c>
      <c r="AV1283" t="s">
        <v>5792</v>
      </c>
      <c r="AY1283" t="s">
        <v>37</v>
      </c>
      <c r="AZ1283">
        <v>0</v>
      </c>
      <c r="BA1283">
        <v>0</v>
      </c>
      <c r="BI1283" s="5">
        <v>44048.176388888889</v>
      </c>
      <c r="BJ1283" s="5">
        <v>44048.176388888889</v>
      </c>
      <c r="BK1283" t="s">
        <v>778</v>
      </c>
      <c r="BL1283" t="s">
        <v>778</v>
      </c>
      <c r="BN1283" t="s">
        <v>37</v>
      </c>
    </row>
    <row r="1284" spans="1:66" x14ac:dyDescent="0.2">
      <c r="A1284">
        <v>3693841</v>
      </c>
      <c r="B1284">
        <v>21883</v>
      </c>
      <c r="C1284">
        <v>523852</v>
      </c>
      <c r="D1284">
        <v>52899</v>
      </c>
      <c r="E1284">
        <v>100</v>
      </c>
      <c r="F1284" t="s">
        <v>37</v>
      </c>
      <c r="G1284">
        <v>1</v>
      </c>
      <c r="H1284" t="s">
        <v>37</v>
      </c>
      <c r="I1284" t="s">
        <v>37</v>
      </c>
      <c r="J1284" t="s">
        <v>775</v>
      </c>
      <c r="K1284" t="s">
        <v>230</v>
      </c>
      <c r="L1284" t="s">
        <v>226</v>
      </c>
      <c r="M1284" t="s">
        <v>422</v>
      </c>
      <c r="N1284" t="s">
        <v>5793</v>
      </c>
      <c r="O1284" t="s">
        <v>3387</v>
      </c>
      <c r="S1284">
        <v>0</v>
      </c>
      <c r="T1284">
        <v>8</v>
      </c>
      <c r="U1284">
        <v>0</v>
      </c>
      <c r="V1284">
        <v>8</v>
      </c>
      <c r="W1284">
        <v>8</v>
      </c>
      <c r="X1284">
        <v>0</v>
      </c>
      <c r="Y1284">
        <v>0</v>
      </c>
      <c r="Z1284">
        <v>0</v>
      </c>
      <c r="AB1284" s="5">
        <v>44028</v>
      </c>
      <c r="AC1284" s="5">
        <v>44028</v>
      </c>
      <c r="AD1284" s="5">
        <v>44005.333333333336</v>
      </c>
      <c r="AE1284" s="5">
        <v>44005.333333333336</v>
      </c>
      <c r="AG1284" s="5">
        <v>44044</v>
      </c>
      <c r="AH1284" s="5">
        <v>44044</v>
      </c>
      <c r="AK1284" s="5">
        <v>44032.333333333336</v>
      </c>
      <c r="AL1284" s="5">
        <v>44032.666666666664</v>
      </c>
      <c r="AP1284" t="s">
        <v>418</v>
      </c>
      <c r="AU1284" t="s">
        <v>5794</v>
      </c>
      <c r="AV1284" t="s">
        <v>5795</v>
      </c>
      <c r="AY1284" t="s">
        <v>37</v>
      </c>
      <c r="AZ1284">
        <v>0</v>
      </c>
      <c r="BA1284">
        <v>0</v>
      </c>
      <c r="BI1284" s="5">
        <v>44048.176388888889</v>
      </c>
      <c r="BJ1284" s="5">
        <v>44048.176388888889</v>
      </c>
      <c r="BK1284" t="s">
        <v>778</v>
      </c>
      <c r="BL1284" t="s">
        <v>778</v>
      </c>
      <c r="BN1284" t="s">
        <v>37</v>
      </c>
    </row>
    <row r="1285" spans="1:66" x14ac:dyDescent="0.2">
      <c r="A1285">
        <v>3693842</v>
      </c>
      <c r="B1285">
        <v>21883</v>
      </c>
      <c r="C1285">
        <v>523852</v>
      </c>
      <c r="D1285">
        <v>52899</v>
      </c>
      <c r="E1285">
        <v>100</v>
      </c>
      <c r="F1285" t="s">
        <v>37</v>
      </c>
      <c r="G1285">
        <v>1</v>
      </c>
      <c r="H1285" t="s">
        <v>37</v>
      </c>
      <c r="I1285" t="s">
        <v>37</v>
      </c>
      <c r="J1285" t="s">
        <v>775</v>
      </c>
      <c r="K1285" t="s">
        <v>230</v>
      </c>
      <c r="L1285" t="s">
        <v>226</v>
      </c>
      <c r="M1285" t="s">
        <v>422</v>
      </c>
      <c r="N1285" t="s">
        <v>5796</v>
      </c>
      <c r="O1285" t="s">
        <v>4296</v>
      </c>
      <c r="S1285">
        <v>0</v>
      </c>
      <c r="T1285">
        <v>0</v>
      </c>
      <c r="U1285">
        <v>0</v>
      </c>
      <c r="V1285">
        <v>0</v>
      </c>
      <c r="W1285">
        <v>8</v>
      </c>
      <c r="X1285">
        <v>0</v>
      </c>
      <c r="Y1285">
        <v>0</v>
      </c>
      <c r="Z1285">
        <v>0</v>
      </c>
      <c r="AB1285" s="5">
        <v>43922</v>
      </c>
      <c r="AC1285" s="5">
        <v>43929</v>
      </c>
      <c r="AD1285" s="5">
        <v>43970.333333333336</v>
      </c>
      <c r="AE1285" s="5">
        <v>43970.333333333336</v>
      </c>
      <c r="AG1285" s="5">
        <v>44044</v>
      </c>
      <c r="AH1285" s="5">
        <v>44044</v>
      </c>
      <c r="AK1285" s="5">
        <v>43934.333333333336</v>
      </c>
      <c r="AL1285" s="5">
        <v>43934.666666666664</v>
      </c>
      <c r="AP1285" t="s">
        <v>418</v>
      </c>
      <c r="AU1285" t="s">
        <v>5797</v>
      </c>
      <c r="AV1285" t="s">
        <v>5798</v>
      </c>
      <c r="AY1285" t="s">
        <v>40</v>
      </c>
      <c r="AZ1285">
        <v>0</v>
      </c>
      <c r="BA1285">
        <v>0</v>
      </c>
      <c r="BI1285" s="5">
        <v>44048.176388888889</v>
      </c>
      <c r="BJ1285" s="5">
        <v>44048.176388888889</v>
      </c>
      <c r="BK1285" t="s">
        <v>778</v>
      </c>
      <c r="BL1285" t="s">
        <v>778</v>
      </c>
      <c r="BN1285" t="s">
        <v>37</v>
      </c>
    </row>
    <row r="1286" spans="1:66" x14ac:dyDescent="0.2">
      <c r="A1286">
        <v>3693843</v>
      </c>
      <c r="B1286">
        <v>21883</v>
      </c>
      <c r="C1286">
        <v>523852</v>
      </c>
      <c r="D1286">
        <v>52899</v>
      </c>
      <c r="E1286">
        <v>100</v>
      </c>
      <c r="F1286" t="s">
        <v>37</v>
      </c>
      <c r="G1286">
        <v>1</v>
      </c>
      <c r="H1286" t="s">
        <v>37</v>
      </c>
      <c r="I1286" t="s">
        <v>37</v>
      </c>
      <c r="J1286" t="s">
        <v>775</v>
      </c>
      <c r="K1286" t="s">
        <v>230</v>
      </c>
      <c r="L1286" t="s">
        <v>226</v>
      </c>
      <c r="M1286" t="s">
        <v>422</v>
      </c>
      <c r="N1286" t="s">
        <v>5799</v>
      </c>
      <c r="O1286" t="s">
        <v>4300</v>
      </c>
      <c r="S1286">
        <v>0</v>
      </c>
      <c r="T1286">
        <v>32</v>
      </c>
      <c r="U1286">
        <v>0</v>
      </c>
      <c r="V1286">
        <v>32</v>
      </c>
      <c r="W1286">
        <v>32</v>
      </c>
      <c r="X1286">
        <v>0</v>
      </c>
      <c r="Y1286">
        <v>0</v>
      </c>
      <c r="Z1286">
        <v>0</v>
      </c>
      <c r="AB1286" s="5">
        <v>44014</v>
      </c>
      <c r="AC1286" s="5">
        <v>44021</v>
      </c>
      <c r="AD1286" s="5">
        <v>44005.333333333336</v>
      </c>
      <c r="AE1286" s="5">
        <v>44005.333333333336</v>
      </c>
      <c r="AG1286" s="5">
        <v>44044</v>
      </c>
      <c r="AH1286" s="5">
        <v>44044</v>
      </c>
      <c r="AK1286" s="5">
        <v>44026.333333333336</v>
      </c>
      <c r="AL1286" s="5">
        <v>44029.666666666664</v>
      </c>
      <c r="AP1286" t="s">
        <v>418</v>
      </c>
      <c r="AU1286" t="s">
        <v>5800</v>
      </c>
      <c r="AV1286" t="s">
        <v>5801</v>
      </c>
      <c r="AY1286" t="s">
        <v>37</v>
      </c>
      <c r="AZ1286">
        <v>0</v>
      </c>
      <c r="BA1286">
        <v>0</v>
      </c>
      <c r="BI1286" s="5">
        <v>44048.176388888889</v>
      </c>
      <c r="BJ1286" s="5">
        <v>44048.176388888889</v>
      </c>
      <c r="BK1286" t="s">
        <v>778</v>
      </c>
      <c r="BL1286" t="s">
        <v>778</v>
      </c>
      <c r="BN1286" t="s">
        <v>37</v>
      </c>
    </row>
    <row r="1287" spans="1:66" x14ac:dyDescent="0.2">
      <c r="A1287">
        <v>3693844</v>
      </c>
      <c r="B1287">
        <v>21883</v>
      </c>
      <c r="C1287">
        <v>523852</v>
      </c>
      <c r="D1287">
        <v>52896</v>
      </c>
      <c r="E1287">
        <v>100</v>
      </c>
      <c r="F1287" t="s">
        <v>37</v>
      </c>
      <c r="G1287">
        <v>1</v>
      </c>
      <c r="H1287" t="s">
        <v>37</v>
      </c>
      <c r="I1287" t="s">
        <v>37</v>
      </c>
      <c r="J1287" t="s">
        <v>775</v>
      </c>
      <c r="K1287" t="s">
        <v>230</v>
      </c>
      <c r="L1287" t="s">
        <v>226</v>
      </c>
      <c r="M1287" t="s">
        <v>422</v>
      </c>
      <c r="N1287" t="s">
        <v>5802</v>
      </c>
      <c r="O1287" t="s">
        <v>4304</v>
      </c>
      <c r="S1287">
        <v>0</v>
      </c>
      <c r="T1287">
        <v>0</v>
      </c>
      <c r="U1287">
        <v>0</v>
      </c>
      <c r="V1287">
        <v>0</v>
      </c>
      <c r="W1287">
        <v>80</v>
      </c>
      <c r="X1287">
        <v>0</v>
      </c>
      <c r="Y1287">
        <v>0</v>
      </c>
      <c r="Z1287">
        <v>0</v>
      </c>
      <c r="AB1287" s="5">
        <v>43957</v>
      </c>
      <c r="AC1287" s="5">
        <v>43965</v>
      </c>
      <c r="AD1287" s="5">
        <v>44005.333333333336</v>
      </c>
      <c r="AE1287" s="5">
        <v>44005.333333333336</v>
      </c>
      <c r="AG1287" s="5">
        <v>44044</v>
      </c>
      <c r="AH1287" s="5">
        <v>44044</v>
      </c>
      <c r="AK1287" s="5">
        <v>43962.333333333336</v>
      </c>
      <c r="AL1287" s="5">
        <v>43973.666666666664</v>
      </c>
      <c r="AP1287" t="s">
        <v>418</v>
      </c>
      <c r="AU1287" t="s">
        <v>5803</v>
      </c>
      <c r="AV1287" t="s">
        <v>5804</v>
      </c>
      <c r="AY1287" t="s">
        <v>37</v>
      </c>
      <c r="AZ1287">
        <v>0</v>
      </c>
      <c r="BA1287">
        <v>0</v>
      </c>
      <c r="BI1287" s="5">
        <v>44048.176388888889</v>
      </c>
      <c r="BJ1287" s="5">
        <v>44048.176388888889</v>
      </c>
      <c r="BK1287" t="s">
        <v>778</v>
      </c>
      <c r="BL1287" t="s">
        <v>778</v>
      </c>
      <c r="BN1287" t="s">
        <v>37</v>
      </c>
    </row>
    <row r="1288" spans="1:66" x14ac:dyDescent="0.2">
      <c r="A1288">
        <v>3693845</v>
      </c>
      <c r="B1288">
        <v>21883</v>
      </c>
      <c r="C1288">
        <v>523852</v>
      </c>
      <c r="D1288">
        <v>52899</v>
      </c>
      <c r="E1288">
        <v>0</v>
      </c>
      <c r="F1288" t="s">
        <v>37</v>
      </c>
      <c r="G1288">
        <v>1</v>
      </c>
      <c r="H1288" t="s">
        <v>37</v>
      </c>
      <c r="I1288" t="s">
        <v>37</v>
      </c>
      <c r="J1288" t="s">
        <v>775</v>
      </c>
      <c r="K1288" t="s">
        <v>230</v>
      </c>
      <c r="L1288" t="s">
        <v>226</v>
      </c>
      <c r="M1288" t="s">
        <v>417</v>
      </c>
      <c r="N1288" t="s">
        <v>5805</v>
      </c>
      <c r="O1288" t="s">
        <v>4897</v>
      </c>
      <c r="Q1288">
        <v>-208</v>
      </c>
      <c r="R1288">
        <v>0</v>
      </c>
      <c r="S1288">
        <v>16</v>
      </c>
      <c r="T1288">
        <v>0</v>
      </c>
      <c r="U1288">
        <v>16</v>
      </c>
      <c r="V1288">
        <v>16</v>
      </c>
      <c r="W1288">
        <v>16</v>
      </c>
      <c r="X1288">
        <v>0</v>
      </c>
      <c r="Y1288">
        <v>0</v>
      </c>
      <c r="Z1288">
        <v>0</v>
      </c>
      <c r="AD1288" s="5">
        <v>44005.333333333336</v>
      </c>
      <c r="AE1288" s="5">
        <v>44006.666666666664</v>
      </c>
      <c r="AG1288" s="5">
        <v>44046.333333333336</v>
      </c>
      <c r="AH1288" s="5">
        <v>44047.666666666664</v>
      </c>
      <c r="AI1288" s="5">
        <v>44046.333333333336</v>
      </c>
      <c r="AJ1288" s="5">
        <v>44047.666666666664</v>
      </c>
      <c r="AK1288" s="5">
        <v>44046.333333333336</v>
      </c>
      <c r="AL1288" s="5">
        <v>44047.666666666664</v>
      </c>
      <c r="AM1288" s="5">
        <v>44005.333333333336</v>
      </c>
      <c r="AN1288" s="5">
        <v>44006.666666666664</v>
      </c>
      <c r="AP1288" t="s">
        <v>418</v>
      </c>
      <c r="AU1288" t="s">
        <v>5806</v>
      </c>
      <c r="AV1288" t="s">
        <v>5807</v>
      </c>
      <c r="AY1288" t="s">
        <v>37</v>
      </c>
      <c r="AZ1288">
        <v>0</v>
      </c>
      <c r="BA1288">
        <v>0</v>
      </c>
      <c r="BI1288" s="5">
        <v>44048.176388888889</v>
      </c>
      <c r="BJ1288" s="5">
        <v>44048.176388888889</v>
      </c>
      <c r="BK1288" t="s">
        <v>778</v>
      </c>
      <c r="BL1288" t="s">
        <v>778</v>
      </c>
      <c r="BN1288" t="s">
        <v>37</v>
      </c>
    </row>
    <row r="1289" spans="1:66" x14ac:dyDescent="0.2">
      <c r="A1289">
        <v>3693846</v>
      </c>
      <c r="B1289">
        <v>21883</v>
      </c>
      <c r="C1289">
        <v>523852</v>
      </c>
      <c r="D1289">
        <v>52899</v>
      </c>
      <c r="E1289">
        <v>100</v>
      </c>
      <c r="F1289" t="s">
        <v>37</v>
      </c>
      <c r="G1289">
        <v>1</v>
      </c>
      <c r="H1289" t="s">
        <v>37</v>
      </c>
      <c r="I1289" t="s">
        <v>37</v>
      </c>
      <c r="J1289" t="s">
        <v>775</v>
      </c>
      <c r="K1289" t="s">
        <v>230</v>
      </c>
      <c r="L1289" t="s">
        <v>226</v>
      </c>
      <c r="M1289" t="s">
        <v>422</v>
      </c>
      <c r="N1289" t="s">
        <v>5808</v>
      </c>
      <c r="O1289" t="s">
        <v>4312</v>
      </c>
      <c r="S1289">
        <v>0</v>
      </c>
      <c r="T1289">
        <v>16</v>
      </c>
      <c r="U1289">
        <v>0</v>
      </c>
      <c r="V1289">
        <v>16</v>
      </c>
      <c r="W1289">
        <v>16</v>
      </c>
      <c r="X1289">
        <v>0</v>
      </c>
      <c r="Y1289">
        <v>0</v>
      </c>
      <c r="Z1289">
        <v>0</v>
      </c>
      <c r="AB1289" s="5">
        <v>44013</v>
      </c>
      <c r="AC1289" s="5">
        <v>44013</v>
      </c>
      <c r="AD1289" s="5">
        <v>44005.333333333336</v>
      </c>
      <c r="AE1289" s="5">
        <v>44005.333333333336</v>
      </c>
      <c r="AG1289" s="5">
        <v>44044</v>
      </c>
      <c r="AH1289" s="5">
        <v>44044</v>
      </c>
      <c r="AK1289" s="5">
        <v>44026.333333333336</v>
      </c>
      <c r="AL1289" s="5">
        <v>44027.666666666664</v>
      </c>
      <c r="AP1289" t="s">
        <v>418</v>
      </c>
      <c r="AU1289" t="s">
        <v>5809</v>
      </c>
      <c r="AV1289" t="s">
        <v>5810</v>
      </c>
      <c r="AY1289" t="s">
        <v>37</v>
      </c>
      <c r="AZ1289">
        <v>0</v>
      </c>
      <c r="BA1289">
        <v>0</v>
      </c>
      <c r="BI1289" s="5">
        <v>44048.176388888889</v>
      </c>
      <c r="BJ1289" s="5">
        <v>44048.176388888889</v>
      </c>
      <c r="BK1289" t="s">
        <v>778</v>
      </c>
      <c r="BL1289" t="s">
        <v>778</v>
      </c>
      <c r="BN1289" t="s">
        <v>37</v>
      </c>
    </row>
    <row r="1290" spans="1:66" x14ac:dyDescent="0.2">
      <c r="A1290">
        <v>3693847</v>
      </c>
      <c r="B1290">
        <v>21883</v>
      </c>
      <c r="C1290">
        <v>523851</v>
      </c>
      <c r="D1290">
        <v>52899</v>
      </c>
      <c r="E1290">
        <v>100</v>
      </c>
      <c r="F1290" t="s">
        <v>37</v>
      </c>
      <c r="G1290">
        <v>1</v>
      </c>
      <c r="H1290" t="s">
        <v>37</v>
      </c>
      <c r="I1290" t="s">
        <v>37</v>
      </c>
      <c r="J1290" t="s">
        <v>775</v>
      </c>
      <c r="K1290" t="s">
        <v>230</v>
      </c>
      <c r="L1290" t="s">
        <v>226</v>
      </c>
      <c r="M1290" t="s">
        <v>422</v>
      </c>
      <c r="N1290" t="s">
        <v>5811</v>
      </c>
      <c r="O1290" t="s">
        <v>2474</v>
      </c>
      <c r="S1290">
        <v>0</v>
      </c>
      <c r="T1290">
        <v>64</v>
      </c>
      <c r="U1290">
        <v>0</v>
      </c>
      <c r="V1290">
        <v>64</v>
      </c>
      <c r="W1290">
        <v>128</v>
      </c>
      <c r="X1290">
        <v>0</v>
      </c>
      <c r="Y1290">
        <v>0</v>
      </c>
      <c r="Z1290">
        <v>0</v>
      </c>
      <c r="AB1290" s="5">
        <v>43993</v>
      </c>
      <c r="AC1290" s="5">
        <v>44021</v>
      </c>
      <c r="AD1290" s="5">
        <v>43970.333333333336</v>
      </c>
      <c r="AE1290" s="5">
        <v>43970.333333333336</v>
      </c>
      <c r="AG1290" s="5">
        <v>44044</v>
      </c>
      <c r="AH1290" s="5">
        <v>44044</v>
      </c>
      <c r="AK1290" s="5">
        <v>44011.333333333336</v>
      </c>
      <c r="AL1290" s="5">
        <v>44034.666666666664</v>
      </c>
      <c r="AP1290" t="s">
        <v>418</v>
      </c>
      <c r="AU1290" t="s">
        <v>5812</v>
      </c>
      <c r="AV1290" t="s">
        <v>5813</v>
      </c>
      <c r="AY1290" t="s">
        <v>40</v>
      </c>
      <c r="AZ1290">
        <v>0</v>
      </c>
      <c r="BA1290">
        <v>0</v>
      </c>
      <c r="BI1290" s="5">
        <v>44048.176388888889</v>
      </c>
      <c r="BJ1290" s="5">
        <v>44048.176388888889</v>
      </c>
      <c r="BK1290" t="s">
        <v>778</v>
      </c>
      <c r="BL1290" t="s">
        <v>778</v>
      </c>
      <c r="BN1290" t="s">
        <v>37</v>
      </c>
    </row>
    <row r="1291" spans="1:66" x14ac:dyDescent="0.2">
      <c r="A1291">
        <v>3693848</v>
      </c>
      <c r="B1291">
        <v>21883</v>
      </c>
      <c r="C1291">
        <v>523851</v>
      </c>
      <c r="D1291">
        <v>52899</v>
      </c>
      <c r="E1291">
        <v>100</v>
      </c>
      <c r="F1291" t="s">
        <v>37</v>
      </c>
      <c r="G1291">
        <v>1</v>
      </c>
      <c r="H1291" t="s">
        <v>37</v>
      </c>
      <c r="I1291" t="s">
        <v>37</v>
      </c>
      <c r="J1291" t="s">
        <v>775</v>
      </c>
      <c r="K1291" t="s">
        <v>230</v>
      </c>
      <c r="L1291" t="s">
        <v>226</v>
      </c>
      <c r="M1291" t="s">
        <v>422</v>
      </c>
      <c r="N1291" t="s">
        <v>5814</v>
      </c>
      <c r="O1291" t="s">
        <v>2478</v>
      </c>
      <c r="S1291">
        <v>0</v>
      </c>
      <c r="T1291">
        <v>24</v>
      </c>
      <c r="U1291">
        <v>0</v>
      </c>
      <c r="V1291">
        <v>24</v>
      </c>
      <c r="W1291">
        <v>16</v>
      </c>
      <c r="X1291">
        <v>0</v>
      </c>
      <c r="Y1291">
        <v>0</v>
      </c>
      <c r="Z1291">
        <v>0</v>
      </c>
      <c r="AB1291" s="5">
        <v>44026</v>
      </c>
      <c r="AC1291" s="5">
        <v>44029</v>
      </c>
      <c r="AD1291" s="5">
        <v>43983.333333333336</v>
      </c>
      <c r="AE1291" s="5">
        <v>43983.333333333336</v>
      </c>
      <c r="AG1291" s="5">
        <v>44044</v>
      </c>
      <c r="AH1291" s="5">
        <v>44044</v>
      </c>
      <c r="AK1291" s="5">
        <v>44032.333333333336</v>
      </c>
      <c r="AL1291" s="5">
        <v>44034.666666666664</v>
      </c>
      <c r="AP1291" t="s">
        <v>418</v>
      </c>
      <c r="AU1291" t="s">
        <v>5815</v>
      </c>
      <c r="AV1291" t="s">
        <v>5816</v>
      </c>
      <c r="AY1291" t="s">
        <v>37</v>
      </c>
      <c r="AZ1291">
        <v>0</v>
      </c>
      <c r="BA1291">
        <v>0</v>
      </c>
      <c r="BI1291" s="5">
        <v>44048.176388888889</v>
      </c>
      <c r="BJ1291" s="5">
        <v>44048.176388888889</v>
      </c>
      <c r="BK1291" t="s">
        <v>778</v>
      </c>
      <c r="BL1291" t="s">
        <v>778</v>
      </c>
      <c r="BN1291" t="s">
        <v>37</v>
      </c>
    </row>
    <row r="1292" spans="1:66" x14ac:dyDescent="0.2">
      <c r="A1292">
        <v>3693849</v>
      </c>
      <c r="B1292">
        <v>21883</v>
      </c>
      <c r="C1292">
        <v>523851</v>
      </c>
      <c r="D1292">
        <v>52895</v>
      </c>
      <c r="E1292">
        <v>0</v>
      </c>
      <c r="F1292" t="s">
        <v>37</v>
      </c>
      <c r="G1292">
        <v>1</v>
      </c>
      <c r="H1292" t="s">
        <v>37</v>
      </c>
      <c r="I1292" t="s">
        <v>37</v>
      </c>
      <c r="J1292" t="s">
        <v>775</v>
      </c>
      <c r="K1292" t="s">
        <v>230</v>
      </c>
      <c r="L1292" t="s">
        <v>226</v>
      </c>
      <c r="M1292" t="s">
        <v>417</v>
      </c>
      <c r="N1292" t="s">
        <v>5817</v>
      </c>
      <c r="O1292" t="s">
        <v>4910</v>
      </c>
      <c r="Q1292">
        <v>-488</v>
      </c>
      <c r="R1292">
        <v>8</v>
      </c>
      <c r="S1292">
        <v>24</v>
      </c>
      <c r="T1292">
        <v>0</v>
      </c>
      <c r="U1292">
        <v>0</v>
      </c>
      <c r="V1292">
        <v>0</v>
      </c>
      <c r="W1292">
        <v>24</v>
      </c>
      <c r="X1292">
        <v>0</v>
      </c>
      <c r="Y1292">
        <v>0</v>
      </c>
      <c r="Z1292">
        <v>0</v>
      </c>
      <c r="AD1292" s="5">
        <v>43995.333333333336</v>
      </c>
      <c r="AE1292" s="5">
        <v>43997.666666666664</v>
      </c>
      <c r="AG1292" s="5">
        <v>44056.333333333336</v>
      </c>
      <c r="AH1292" s="5">
        <v>44058.666666666664</v>
      </c>
      <c r="AI1292" s="5">
        <v>44056.333333333336</v>
      </c>
      <c r="AJ1292" s="5">
        <v>44058.666666666664</v>
      </c>
      <c r="AK1292" s="5">
        <v>44056.333333333336</v>
      </c>
      <c r="AL1292" s="5">
        <v>44058.666666666664</v>
      </c>
      <c r="AM1292" s="5">
        <v>43995.333333333336</v>
      </c>
      <c r="AN1292" s="5">
        <v>43997.666666666664</v>
      </c>
      <c r="AP1292" t="s">
        <v>418</v>
      </c>
      <c r="AU1292" t="s">
        <v>5818</v>
      </c>
      <c r="AV1292" t="s">
        <v>5819</v>
      </c>
      <c r="AY1292" t="s">
        <v>37</v>
      </c>
      <c r="AZ1292">
        <v>0</v>
      </c>
      <c r="BA1292">
        <v>0</v>
      </c>
      <c r="BI1292" s="5">
        <v>44048.176388888889</v>
      </c>
      <c r="BJ1292" s="5">
        <v>44048.176388888889</v>
      </c>
      <c r="BK1292" t="s">
        <v>778</v>
      </c>
      <c r="BL1292" t="s">
        <v>778</v>
      </c>
      <c r="BN1292" t="s">
        <v>37</v>
      </c>
    </row>
    <row r="1293" spans="1:66" x14ac:dyDescent="0.2">
      <c r="A1293">
        <v>3693850</v>
      </c>
      <c r="B1293">
        <v>21883</v>
      </c>
      <c r="C1293">
        <v>523851</v>
      </c>
      <c r="D1293">
        <v>52899</v>
      </c>
      <c r="E1293">
        <v>0</v>
      </c>
      <c r="F1293" t="s">
        <v>37</v>
      </c>
      <c r="G1293">
        <v>1</v>
      </c>
      <c r="H1293" t="s">
        <v>37</v>
      </c>
      <c r="I1293" t="s">
        <v>37</v>
      </c>
      <c r="J1293" t="s">
        <v>775</v>
      </c>
      <c r="K1293" t="s">
        <v>230</v>
      </c>
      <c r="L1293" t="s">
        <v>226</v>
      </c>
      <c r="M1293" t="s">
        <v>417</v>
      </c>
      <c r="N1293" t="s">
        <v>5820</v>
      </c>
      <c r="O1293" t="s">
        <v>5821</v>
      </c>
      <c r="Q1293">
        <v>-312</v>
      </c>
      <c r="R1293">
        <v>0</v>
      </c>
      <c r="S1293">
        <v>32</v>
      </c>
      <c r="T1293">
        <v>0</v>
      </c>
      <c r="U1293">
        <v>32</v>
      </c>
      <c r="V1293">
        <v>32</v>
      </c>
      <c r="W1293">
        <v>32</v>
      </c>
      <c r="X1293">
        <v>0</v>
      </c>
      <c r="Y1293">
        <v>0</v>
      </c>
      <c r="Z1293">
        <v>0</v>
      </c>
      <c r="AD1293" s="5">
        <v>43987.333333333336</v>
      </c>
      <c r="AE1293" s="5">
        <v>43993.666666666664</v>
      </c>
      <c r="AG1293" s="5">
        <v>44049.333333333336</v>
      </c>
      <c r="AH1293" s="5">
        <v>44054.666666666664</v>
      </c>
      <c r="AI1293" s="5">
        <v>44049.333333333336</v>
      </c>
      <c r="AJ1293" s="5">
        <v>44054.666666666664</v>
      </c>
      <c r="AK1293" s="5">
        <v>44049.333333333336</v>
      </c>
      <c r="AL1293" s="5">
        <v>44054.666666666664</v>
      </c>
      <c r="AM1293" s="5">
        <v>43987.333333333336</v>
      </c>
      <c r="AN1293" s="5">
        <v>43993.666666666664</v>
      </c>
      <c r="AP1293" t="s">
        <v>418</v>
      </c>
      <c r="AU1293" t="s">
        <v>5822</v>
      </c>
      <c r="AV1293" t="s">
        <v>5823</v>
      </c>
      <c r="AY1293" t="s">
        <v>37</v>
      </c>
      <c r="AZ1293">
        <v>0</v>
      </c>
      <c r="BA1293">
        <v>0</v>
      </c>
      <c r="BI1293" s="5">
        <v>44048.176388888889</v>
      </c>
      <c r="BJ1293" s="5">
        <v>44048.176388888889</v>
      </c>
      <c r="BK1293" t="s">
        <v>778</v>
      </c>
      <c r="BL1293" t="s">
        <v>778</v>
      </c>
      <c r="BN1293" t="s">
        <v>37</v>
      </c>
    </row>
    <row r="1294" spans="1:66" x14ac:dyDescent="0.2">
      <c r="A1294">
        <v>3693851</v>
      </c>
      <c r="B1294">
        <v>21883</v>
      </c>
      <c r="C1294">
        <v>523851</v>
      </c>
      <c r="D1294">
        <v>52895</v>
      </c>
      <c r="E1294">
        <v>100</v>
      </c>
      <c r="F1294" t="s">
        <v>37</v>
      </c>
      <c r="G1294">
        <v>1</v>
      </c>
      <c r="H1294" t="s">
        <v>37</v>
      </c>
      <c r="I1294" t="s">
        <v>37</v>
      </c>
      <c r="J1294" t="s">
        <v>775</v>
      </c>
      <c r="K1294" t="s">
        <v>230</v>
      </c>
      <c r="L1294" t="s">
        <v>226</v>
      </c>
      <c r="M1294" t="s">
        <v>422</v>
      </c>
      <c r="N1294" t="s">
        <v>5824</v>
      </c>
      <c r="O1294" t="s">
        <v>2489</v>
      </c>
      <c r="S1294">
        <v>0</v>
      </c>
      <c r="T1294">
        <v>0</v>
      </c>
      <c r="U1294">
        <v>0</v>
      </c>
      <c r="V1294">
        <v>0</v>
      </c>
      <c r="W1294">
        <v>24</v>
      </c>
      <c r="X1294">
        <v>0</v>
      </c>
      <c r="Y1294">
        <v>0</v>
      </c>
      <c r="Z1294">
        <v>0</v>
      </c>
      <c r="AB1294" s="5">
        <v>44031</v>
      </c>
      <c r="AC1294" s="5">
        <v>44033</v>
      </c>
      <c r="AD1294" s="5">
        <v>43983.333333333336</v>
      </c>
      <c r="AE1294" s="5">
        <v>43983.333333333336</v>
      </c>
      <c r="AG1294" s="5">
        <v>44044</v>
      </c>
      <c r="AH1294" s="5">
        <v>44044</v>
      </c>
      <c r="AK1294" s="5">
        <v>44032.333333333336</v>
      </c>
      <c r="AL1294" s="5">
        <v>44034.666666666664</v>
      </c>
      <c r="AP1294" t="s">
        <v>418</v>
      </c>
      <c r="AU1294" t="s">
        <v>5825</v>
      </c>
      <c r="AV1294" t="s">
        <v>5826</v>
      </c>
      <c r="AY1294" t="s">
        <v>37</v>
      </c>
      <c r="AZ1294">
        <v>0</v>
      </c>
      <c r="BA1294">
        <v>0</v>
      </c>
      <c r="BI1294" s="5">
        <v>44048.176388888889</v>
      </c>
      <c r="BJ1294" s="5">
        <v>44048.176388888889</v>
      </c>
      <c r="BK1294" t="s">
        <v>778</v>
      </c>
      <c r="BL1294" t="s">
        <v>778</v>
      </c>
      <c r="BN1294" t="s">
        <v>37</v>
      </c>
    </row>
    <row r="1295" spans="1:66" x14ac:dyDescent="0.2">
      <c r="A1295">
        <v>3693852</v>
      </c>
      <c r="B1295">
        <v>21883</v>
      </c>
      <c r="C1295">
        <v>523851</v>
      </c>
      <c r="D1295">
        <v>52899</v>
      </c>
      <c r="E1295">
        <v>100</v>
      </c>
      <c r="F1295" t="s">
        <v>37</v>
      </c>
      <c r="G1295">
        <v>1</v>
      </c>
      <c r="H1295" t="s">
        <v>37</v>
      </c>
      <c r="I1295" t="s">
        <v>37</v>
      </c>
      <c r="J1295" t="s">
        <v>775</v>
      </c>
      <c r="K1295" t="s">
        <v>230</v>
      </c>
      <c r="L1295" t="s">
        <v>226</v>
      </c>
      <c r="M1295" t="s">
        <v>422</v>
      </c>
      <c r="N1295" t="s">
        <v>5827</v>
      </c>
      <c r="O1295" t="s">
        <v>3359</v>
      </c>
      <c r="S1295">
        <v>0</v>
      </c>
      <c r="T1295">
        <v>0</v>
      </c>
      <c r="U1295">
        <v>0</v>
      </c>
      <c r="V1295">
        <v>0</v>
      </c>
      <c r="W1295">
        <v>16</v>
      </c>
      <c r="X1295">
        <v>0</v>
      </c>
      <c r="Y1295">
        <v>0</v>
      </c>
      <c r="Z1295">
        <v>0</v>
      </c>
      <c r="AB1295" s="5">
        <v>44026</v>
      </c>
      <c r="AC1295" s="5">
        <v>44027</v>
      </c>
      <c r="AD1295" s="5">
        <v>43983.333333333336</v>
      </c>
      <c r="AE1295" s="5">
        <v>43983.333333333336</v>
      </c>
      <c r="AG1295" s="5">
        <v>44044</v>
      </c>
      <c r="AH1295" s="5">
        <v>44044</v>
      </c>
      <c r="AK1295" s="5">
        <v>44032.333333333336</v>
      </c>
      <c r="AL1295" s="5">
        <v>44034.666666666664</v>
      </c>
      <c r="AP1295" t="s">
        <v>418</v>
      </c>
      <c r="AU1295" t="s">
        <v>5828</v>
      </c>
      <c r="AV1295" t="s">
        <v>5829</v>
      </c>
      <c r="AY1295" t="s">
        <v>37</v>
      </c>
      <c r="AZ1295">
        <v>0</v>
      </c>
      <c r="BA1295">
        <v>0</v>
      </c>
      <c r="BI1295" s="5">
        <v>44048.176388888889</v>
      </c>
      <c r="BJ1295" s="5">
        <v>44048.176388888889</v>
      </c>
      <c r="BK1295" t="s">
        <v>778</v>
      </c>
      <c r="BL1295" t="s">
        <v>778</v>
      </c>
      <c r="BN1295" t="s">
        <v>37</v>
      </c>
    </row>
    <row r="1296" spans="1:66" x14ac:dyDescent="0.2">
      <c r="A1296">
        <v>3693853</v>
      </c>
      <c r="B1296">
        <v>21883</v>
      </c>
      <c r="C1296">
        <v>523851</v>
      </c>
      <c r="D1296">
        <v>52899</v>
      </c>
      <c r="E1296">
        <v>100</v>
      </c>
      <c r="F1296" t="s">
        <v>37</v>
      </c>
      <c r="G1296">
        <v>1</v>
      </c>
      <c r="H1296" t="s">
        <v>37</v>
      </c>
      <c r="I1296" t="s">
        <v>37</v>
      </c>
      <c r="J1296" t="s">
        <v>775</v>
      </c>
      <c r="K1296" t="s">
        <v>230</v>
      </c>
      <c r="L1296" t="s">
        <v>226</v>
      </c>
      <c r="M1296" t="s">
        <v>422</v>
      </c>
      <c r="N1296" t="s">
        <v>5830</v>
      </c>
      <c r="O1296" t="s">
        <v>3363</v>
      </c>
      <c r="S1296">
        <v>0</v>
      </c>
      <c r="T1296">
        <v>16</v>
      </c>
      <c r="U1296">
        <v>0</v>
      </c>
      <c r="V1296">
        <v>16</v>
      </c>
      <c r="W1296">
        <v>8</v>
      </c>
      <c r="X1296">
        <v>0</v>
      </c>
      <c r="Y1296">
        <v>0</v>
      </c>
      <c r="Z1296">
        <v>0</v>
      </c>
      <c r="AB1296" s="5">
        <v>44030</v>
      </c>
      <c r="AC1296" s="5">
        <v>44030</v>
      </c>
      <c r="AD1296" s="5">
        <v>43983.333333333336</v>
      </c>
      <c r="AE1296" s="5">
        <v>43983.333333333336</v>
      </c>
      <c r="AG1296" s="5">
        <v>44044</v>
      </c>
      <c r="AH1296" s="5">
        <v>44044</v>
      </c>
      <c r="AK1296" s="5">
        <v>44032.333333333336</v>
      </c>
      <c r="AL1296" s="5">
        <v>44032.666666666664</v>
      </c>
      <c r="AP1296" t="s">
        <v>418</v>
      </c>
      <c r="AU1296" t="s">
        <v>5831</v>
      </c>
      <c r="AV1296" t="s">
        <v>5832</v>
      </c>
      <c r="AY1296" t="s">
        <v>37</v>
      </c>
      <c r="AZ1296">
        <v>0</v>
      </c>
      <c r="BA1296">
        <v>0</v>
      </c>
      <c r="BI1296" s="5">
        <v>44048.176388888889</v>
      </c>
      <c r="BJ1296" s="5">
        <v>44048.176388888889</v>
      </c>
      <c r="BK1296" t="s">
        <v>778</v>
      </c>
      <c r="BL1296" t="s">
        <v>778</v>
      </c>
      <c r="BN1296" t="s">
        <v>37</v>
      </c>
    </row>
    <row r="1297" spans="1:66" x14ac:dyDescent="0.2">
      <c r="A1297">
        <v>3693854</v>
      </c>
      <c r="B1297">
        <v>21883</v>
      </c>
      <c r="C1297">
        <v>523851</v>
      </c>
      <c r="D1297">
        <v>52899</v>
      </c>
      <c r="E1297">
        <v>0</v>
      </c>
      <c r="F1297" t="s">
        <v>37</v>
      </c>
      <c r="G1297">
        <v>1</v>
      </c>
      <c r="H1297" t="s">
        <v>37</v>
      </c>
      <c r="I1297" t="s">
        <v>37</v>
      </c>
      <c r="J1297" t="s">
        <v>775</v>
      </c>
      <c r="K1297" t="s">
        <v>230</v>
      </c>
      <c r="L1297" t="s">
        <v>226</v>
      </c>
      <c r="M1297" t="s">
        <v>417</v>
      </c>
      <c r="N1297" t="s">
        <v>5833</v>
      </c>
      <c r="O1297" t="s">
        <v>3367</v>
      </c>
      <c r="Q1297">
        <v>-312</v>
      </c>
      <c r="R1297">
        <v>0</v>
      </c>
      <c r="S1297">
        <v>24</v>
      </c>
      <c r="T1297">
        <v>0</v>
      </c>
      <c r="U1297">
        <v>0</v>
      </c>
      <c r="V1297">
        <v>0</v>
      </c>
      <c r="W1297">
        <v>24</v>
      </c>
      <c r="X1297">
        <v>0</v>
      </c>
      <c r="Y1297">
        <v>0</v>
      </c>
      <c r="Z1297">
        <v>0</v>
      </c>
      <c r="AD1297" s="5">
        <v>43983.333333333336</v>
      </c>
      <c r="AE1297" s="5">
        <v>43986.666666666664</v>
      </c>
      <c r="AG1297" s="5">
        <v>44046.333333333336</v>
      </c>
      <c r="AH1297" s="5">
        <v>44048.666666666664</v>
      </c>
      <c r="AI1297" s="5">
        <v>44046.333333333336</v>
      </c>
      <c r="AJ1297" s="5">
        <v>44048.666666666664</v>
      </c>
      <c r="AK1297" s="5">
        <v>44046.333333333336</v>
      </c>
      <c r="AL1297" s="5">
        <v>44048.666666666664</v>
      </c>
      <c r="AM1297" s="5">
        <v>43983.333333333336</v>
      </c>
      <c r="AN1297" s="5">
        <v>43986.666666666664</v>
      </c>
      <c r="AP1297" t="s">
        <v>418</v>
      </c>
      <c r="AU1297" t="s">
        <v>5834</v>
      </c>
      <c r="AV1297" t="s">
        <v>5835</v>
      </c>
      <c r="AY1297" t="s">
        <v>37</v>
      </c>
      <c r="AZ1297">
        <v>0</v>
      </c>
      <c r="BA1297">
        <v>0</v>
      </c>
      <c r="BI1297" s="5">
        <v>44048.176388888889</v>
      </c>
      <c r="BJ1297" s="5">
        <v>44048.176388888889</v>
      </c>
      <c r="BK1297" t="s">
        <v>778</v>
      </c>
      <c r="BL1297" t="s">
        <v>778</v>
      </c>
      <c r="BN1297" t="s">
        <v>37</v>
      </c>
    </row>
    <row r="1298" spans="1:66" x14ac:dyDescent="0.2">
      <c r="A1298">
        <v>3693855</v>
      </c>
      <c r="B1298">
        <v>21883</v>
      </c>
      <c r="C1298">
        <v>523851</v>
      </c>
      <c r="D1298">
        <v>52899</v>
      </c>
      <c r="E1298">
        <v>0</v>
      </c>
      <c r="F1298" t="s">
        <v>37</v>
      </c>
      <c r="G1298">
        <v>1</v>
      </c>
      <c r="H1298" t="s">
        <v>37</v>
      </c>
      <c r="I1298" t="s">
        <v>37</v>
      </c>
      <c r="J1298" t="s">
        <v>775</v>
      </c>
      <c r="K1298" t="s">
        <v>230</v>
      </c>
      <c r="L1298" t="s">
        <v>226</v>
      </c>
      <c r="M1298" t="s">
        <v>417</v>
      </c>
      <c r="N1298" t="s">
        <v>5836</v>
      </c>
      <c r="O1298" t="s">
        <v>3371</v>
      </c>
      <c r="Q1298">
        <v>-312</v>
      </c>
      <c r="R1298">
        <v>0</v>
      </c>
      <c r="S1298">
        <v>8</v>
      </c>
      <c r="T1298">
        <v>0</v>
      </c>
      <c r="U1298">
        <v>8</v>
      </c>
      <c r="V1298">
        <v>8</v>
      </c>
      <c r="W1298">
        <v>8</v>
      </c>
      <c r="X1298">
        <v>0</v>
      </c>
      <c r="Y1298">
        <v>0</v>
      </c>
      <c r="Z1298">
        <v>0</v>
      </c>
      <c r="AD1298" s="5">
        <v>43994.333333333336</v>
      </c>
      <c r="AE1298" s="5">
        <v>43994.666666666664</v>
      </c>
      <c r="AG1298" s="5">
        <v>44055.333333333336</v>
      </c>
      <c r="AH1298" s="5">
        <v>44055.666666666664</v>
      </c>
      <c r="AI1298" s="5">
        <v>44055.333333333336</v>
      </c>
      <c r="AJ1298" s="5">
        <v>44055.666666666664</v>
      </c>
      <c r="AK1298" s="5">
        <v>44055.333333333336</v>
      </c>
      <c r="AL1298" s="5">
        <v>44055.666666666664</v>
      </c>
      <c r="AM1298" s="5">
        <v>43994.333333333336</v>
      </c>
      <c r="AN1298" s="5">
        <v>43994.666666666664</v>
      </c>
      <c r="AP1298" t="s">
        <v>418</v>
      </c>
      <c r="AU1298" t="s">
        <v>5837</v>
      </c>
      <c r="AV1298" t="s">
        <v>5838</v>
      </c>
      <c r="AY1298" t="s">
        <v>37</v>
      </c>
      <c r="AZ1298">
        <v>0</v>
      </c>
      <c r="BA1298">
        <v>0</v>
      </c>
      <c r="BI1298" s="5">
        <v>44048.176388888889</v>
      </c>
      <c r="BJ1298" s="5">
        <v>44048.176388888889</v>
      </c>
      <c r="BK1298" t="s">
        <v>778</v>
      </c>
      <c r="BL1298" t="s">
        <v>778</v>
      </c>
      <c r="BN1298" t="s">
        <v>37</v>
      </c>
    </row>
    <row r="1299" spans="1:66" x14ac:dyDescent="0.2">
      <c r="A1299">
        <v>3693856</v>
      </c>
      <c r="B1299">
        <v>21883</v>
      </c>
      <c r="C1299">
        <v>523851</v>
      </c>
      <c r="D1299">
        <v>52899</v>
      </c>
      <c r="E1299">
        <v>100</v>
      </c>
      <c r="F1299" t="s">
        <v>37</v>
      </c>
      <c r="G1299">
        <v>1</v>
      </c>
      <c r="H1299" t="s">
        <v>37</v>
      </c>
      <c r="I1299" t="s">
        <v>37</v>
      </c>
      <c r="J1299" t="s">
        <v>775</v>
      </c>
      <c r="K1299" t="s">
        <v>230</v>
      </c>
      <c r="L1299" t="s">
        <v>226</v>
      </c>
      <c r="M1299" t="s">
        <v>422</v>
      </c>
      <c r="N1299" t="s">
        <v>5839</v>
      </c>
      <c r="O1299" t="s">
        <v>4316</v>
      </c>
      <c r="S1299">
        <v>0</v>
      </c>
      <c r="T1299">
        <v>0</v>
      </c>
      <c r="U1299">
        <v>0</v>
      </c>
      <c r="V1299">
        <v>0</v>
      </c>
      <c r="W1299">
        <v>40</v>
      </c>
      <c r="X1299">
        <v>0</v>
      </c>
      <c r="Y1299">
        <v>0</v>
      </c>
      <c r="Z1299">
        <v>0</v>
      </c>
      <c r="AB1299" s="5">
        <v>43992</v>
      </c>
      <c r="AC1299" s="5">
        <v>43992</v>
      </c>
      <c r="AD1299" s="5">
        <v>43970.333333333336</v>
      </c>
      <c r="AE1299" s="5">
        <v>43970.333333333336</v>
      </c>
      <c r="AG1299" s="5">
        <v>44044</v>
      </c>
      <c r="AH1299" s="5">
        <v>44044</v>
      </c>
      <c r="AK1299" s="5">
        <v>44004.333333333336</v>
      </c>
      <c r="AL1299" s="5">
        <v>44008.666666666664</v>
      </c>
      <c r="AP1299" t="s">
        <v>418</v>
      </c>
      <c r="AU1299" t="s">
        <v>5840</v>
      </c>
      <c r="AV1299" t="s">
        <v>5841</v>
      </c>
      <c r="AY1299" t="s">
        <v>40</v>
      </c>
      <c r="AZ1299">
        <v>0</v>
      </c>
      <c r="BA1299">
        <v>0</v>
      </c>
      <c r="BI1299" s="5">
        <v>44048.176388888889</v>
      </c>
      <c r="BJ1299" s="5">
        <v>44048.176388888889</v>
      </c>
      <c r="BK1299" t="s">
        <v>778</v>
      </c>
      <c r="BL1299" t="s">
        <v>778</v>
      </c>
      <c r="BN1299" t="s">
        <v>37</v>
      </c>
    </row>
    <row r="1300" spans="1:66" x14ac:dyDescent="0.2">
      <c r="A1300">
        <v>3693857</v>
      </c>
      <c r="B1300">
        <v>21883</v>
      </c>
      <c r="C1300">
        <v>523851</v>
      </c>
      <c r="D1300">
        <v>52895</v>
      </c>
      <c r="E1300">
        <v>100</v>
      </c>
      <c r="F1300" t="s">
        <v>37</v>
      </c>
      <c r="G1300">
        <v>1</v>
      </c>
      <c r="H1300" t="s">
        <v>37</v>
      </c>
      <c r="I1300" t="s">
        <v>37</v>
      </c>
      <c r="J1300" t="s">
        <v>775</v>
      </c>
      <c r="K1300" t="s">
        <v>230</v>
      </c>
      <c r="L1300" t="s">
        <v>226</v>
      </c>
      <c r="M1300" t="s">
        <v>422</v>
      </c>
      <c r="N1300" t="s">
        <v>5842</v>
      </c>
      <c r="O1300" t="s">
        <v>4320</v>
      </c>
      <c r="S1300">
        <v>0</v>
      </c>
      <c r="T1300">
        <v>0</v>
      </c>
      <c r="U1300">
        <v>0</v>
      </c>
      <c r="V1300">
        <v>0</v>
      </c>
      <c r="W1300">
        <v>80</v>
      </c>
      <c r="X1300">
        <v>0</v>
      </c>
      <c r="Y1300">
        <v>0</v>
      </c>
      <c r="Z1300">
        <v>0</v>
      </c>
      <c r="AA1300" s="5">
        <v>44020</v>
      </c>
      <c r="AB1300" s="5">
        <v>44020</v>
      </c>
      <c r="AC1300" s="5">
        <v>44025</v>
      </c>
      <c r="AD1300" s="5">
        <v>43983.333333333336</v>
      </c>
      <c r="AE1300" s="5">
        <v>43983.333333333336</v>
      </c>
      <c r="AG1300" s="5">
        <v>44044</v>
      </c>
      <c r="AH1300" s="5">
        <v>44044</v>
      </c>
      <c r="AK1300" s="5">
        <v>44026.333333333336</v>
      </c>
      <c r="AL1300" s="5">
        <v>44035.666666666664</v>
      </c>
      <c r="AO1300" t="s">
        <v>1523</v>
      </c>
      <c r="AP1300" t="s">
        <v>418</v>
      </c>
      <c r="AU1300" t="e" cm="1">
        <f t="array" ref="AU1300">+hjEexQ/uUW9EJDnKvWfVQ</f>
        <v>#NAME?</v>
      </c>
      <c r="AV1300" t="s">
        <v>5843</v>
      </c>
      <c r="AY1300" t="s">
        <v>37</v>
      </c>
      <c r="AZ1300">
        <v>0</v>
      </c>
      <c r="BA1300">
        <v>0</v>
      </c>
      <c r="BI1300" s="5">
        <v>44048.176388888889</v>
      </c>
      <c r="BJ1300" s="5">
        <v>44048.176388888889</v>
      </c>
      <c r="BK1300" t="s">
        <v>778</v>
      </c>
      <c r="BL1300" t="s">
        <v>778</v>
      </c>
      <c r="BN1300" t="s">
        <v>37</v>
      </c>
    </row>
    <row r="1301" spans="1:66" x14ac:dyDescent="0.2">
      <c r="A1301">
        <v>3693858</v>
      </c>
      <c r="B1301">
        <v>21883</v>
      </c>
      <c r="C1301">
        <v>523851</v>
      </c>
      <c r="D1301">
        <v>52899</v>
      </c>
      <c r="E1301">
        <v>100</v>
      </c>
      <c r="F1301" t="s">
        <v>37</v>
      </c>
      <c r="G1301">
        <v>1</v>
      </c>
      <c r="H1301" t="s">
        <v>37</v>
      </c>
      <c r="I1301" t="s">
        <v>37</v>
      </c>
      <c r="J1301" t="s">
        <v>775</v>
      </c>
      <c r="K1301" t="s">
        <v>230</v>
      </c>
      <c r="L1301" t="s">
        <v>226</v>
      </c>
      <c r="M1301" t="s">
        <v>422</v>
      </c>
      <c r="N1301" t="s">
        <v>5844</v>
      </c>
      <c r="O1301" t="s">
        <v>4324</v>
      </c>
      <c r="S1301">
        <v>0</v>
      </c>
      <c r="T1301">
        <v>16</v>
      </c>
      <c r="U1301">
        <v>0</v>
      </c>
      <c r="V1301">
        <v>16</v>
      </c>
      <c r="W1301">
        <v>16</v>
      </c>
      <c r="X1301">
        <v>0</v>
      </c>
      <c r="Y1301">
        <v>0</v>
      </c>
      <c r="Z1301">
        <v>0</v>
      </c>
      <c r="AB1301" s="5">
        <v>44035</v>
      </c>
      <c r="AC1301" s="5">
        <v>44035</v>
      </c>
      <c r="AD1301" s="5">
        <v>43983.333333333336</v>
      </c>
      <c r="AE1301" s="5">
        <v>43983.333333333336</v>
      </c>
      <c r="AG1301" s="5">
        <v>44044</v>
      </c>
      <c r="AH1301" s="5">
        <v>44044</v>
      </c>
      <c r="AK1301" s="5">
        <v>44041.333333333336</v>
      </c>
      <c r="AL1301" s="5">
        <v>44042.666666666664</v>
      </c>
      <c r="AP1301" t="s">
        <v>418</v>
      </c>
      <c r="AU1301" t="s">
        <v>5845</v>
      </c>
      <c r="AV1301" t="s">
        <v>5846</v>
      </c>
      <c r="AY1301" t="s">
        <v>37</v>
      </c>
      <c r="AZ1301">
        <v>0</v>
      </c>
      <c r="BA1301">
        <v>0</v>
      </c>
      <c r="BI1301" s="5">
        <v>44048.176388888889</v>
      </c>
      <c r="BJ1301" s="5">
        <v>44048.176388888889</v>
      </c>
      <c r="BK1301" t="s">
        <v>778</v>
      </c>
      <c r="BL1301" t="s">
        <v>778</v>
      </c>
      <c r="BN1301" t="s">
        <v>37</v>
      </c>
    </row>
    <row r="1302" spans="1:66" x14ac:dyDescent="0.2">
      <c r="A1302">
        <v>3693859</v>
      </c>
      <c r="B1302">
        <v>21883</v>
      </c>
      <c r="C1302">
        <v>523851</v>
      </c>
      <c r="D1302">
        <v>52899</v>
      </c>
      <c r="E1302">
        <v>100</v>
      </c>
      <c r="F1302" t="s">
        <v>37</v>
      </c>
      <c r="G1302">
        <v>1</v>
      </c>
      <c r="H1302" t="s">
        <v>37</v>
      </c>
      <c r="I1302" t="s">
        <v>37</v>
      </c>
      <c r="J1302" t="s">
        <v>775</v>
      </c>
      <c r="K1302" t="s">
        <v>230</v>
      </c>
      <c r="L1302" t="s">
        <v>226</v>
      </c>
      <c r="M1302" t="s">
        <v>422</v>
      </c>
      <c r="N1302" t="s">
        <v>5847</v>
      </c>
      <c r="O1302" t="s">
        <v>4328</v>
      </c>
      <c r="S1302">
        <v>0</v>
      </c>
      <c r="T1302">
        <v>32</v>
      </c>
      <c r="U1302">
        <v>0</v>
      </c>
      <c r="V1302">
        <v>32</v>
      </c>
      <c r="W1302">
        <v>32</v>
      </c>
      <c r="X1302">
        <v>0</v>
      </c>
      <c r="Y1302">
        <v>0</v>
      </c>
      <c r="Z1302">
        <v>0</v>
      </c>
      <c r="AB1302" s="5">
        <v>44039</v>
      </c>
      <c r="AC1302" s="5">
        <v>44040</v>
      </c>
      <c r="AD1302" s="5">
        <v>43983.333333333336</v>
      </c>
      <c r="AE1302" s="5">
        <v>43983.333333333336</v>
      </c>
      <c r="AG1302" s="5">
        <v>44044</v>
      </c>
      <c r="AH1302" s="5">
        <v>44044</v>
      </c>
      <c r="AK1302" s="5">
        <v>44041.333333333336</v>
      </c>
      <c r="AL1302" s="5">
        <v>44046.666666666664</v>
      </c>
      <c r="AP1302" t="s">
        <v>418</v>
      </c>
      <c r="AU1302" t="s">
        <v>5848</v>
      </c>
      <c r="AV1302" t="s">
        <v>5849</v>
      </c>
      <c r="AY1302" t="s">
        <v>37</v>
      </c>
      <c r="AZ1302">
        <v>0</v>
      </c>
      <c r="BA1302">
        <v>0</v>
      </c>
      <c r="BI1302" s="5">
        <v>44048.176388888889</v>
      </c>
      <c r="BJ1302" s="5">
        <v>44048.176388888889</v>
      </c>
      <c r="BK1302" t="s">
        <v>778</v>
      </c>
      <c r="BL1302" t="s">
        <v>778</v>
      </c>
      <c r="BN1302" t="s">
        <v>37</v>
      </c>
    </row>
    <row r="1303" spans="1:66" x14ac:dyDescent="0.2">
      <c r="A1303">
        <v>3693860</v>
      </c>
      <c r="B1303">
        <v>21883</v>
      </c>
      <c r="C1303">
        <v>523851</v>
      </c>
      <c r="D1303">
        <v>52899</v>
      </c>
      <c r="E1303">
        <v>0</v>
      </c>
      <c r="F1303" t="s">
        <v>37</v>
      </c>
      <c r="G1303">
        <v>1</v>
      </c>
      <c r="H1303" t="s">
        <v>37</v>
      </c>
      <c r="I1303" t="s">
        <v>37</v>
      </c>
      <c r="J1303" t="s">
        <v>775</v>
      </c>
      <c r="K1303" t="s">
        <v>230</v>
      </c>
      <c r="L1303" t="s">
        <v>226</v>
      </c>
      <c r="M1303" t="s">
        <v>417</v>
      </c>
      <c r="N1303" t="s">
        <v>5850</v>
      </c>
      <c r="O1303" t="s">
        <v>4332</v>
      </c>
      <c r="Q1303">
        <v>-312</v>
      </c>
      <c r="R1303">
        <v>0</v>
      </c>
      <c r="S1303">
        <v>16</v>
      </c>
      <c r="T1303">
        <v>0</v>
      </c>
      <c r="U1303">
        <v>16</v>
      </c>
      <c r="V1303">
        <v>16</v>
      </c>
      <c r="W1303">
        <v>16</v>
      </c>
      <c r="X1303">
        <v>0</v>
      </c>
      <c r="Y1303">
        <v>0</v>
      </c>
      <c r="Z1303">
        <v>0</v>
      </c>
      <c r="AD1303" s="5">
        <v>44005.333333333336</v>
      </c>
      <c r="AE1303" s="5">
        <v>44006.666666666664</v>
      </c>
      <c r="AG1303" s="5">
        <v>44069.333333333336</v>
      </c>
      <c r="AH1303" s="5">
        <v>44070.666666666664</v>
      </c>
      <c r="AI1303" s="5">
        <v>44069.333333333336</v>
      </c>
      <c r="AJ1303" s="5">
        <v>44070.666666666664</v>
      </c>
      <c r="AK1303" s="5">
        <v>44069.333333333336</v>
      </c>
      <c r="AL1303" s="5">
        <v>44070.666666666664</v>
      </c>
      <c r="AM1303" s="5">
        <v>44005.333333333336</v>
      </c>
      <c r="AN1303" s="5">
        <v>44006.666666666664</v>
      </c>
      <c r="AP1303" t="s">
        <v>418</v>
      </c>
      <c r="AU1303" t="s">
        <v>5851</v>
      </c>
      <c r="AV1303" t="s">
        <v>5852</v>
      </c>
      <c r="AY1303" t="s">
        <v>37</v>
      </c>
      <c r="AZ1303">
        <v>0</v>
      </c>
      <c r="BA1303">
        <v>0</v>
      </c>
      <c r="BI1303" s="5">
        <v>44048.176388888889</v>
      </c>
      <c r="BJ1303" s="5">
        <v>44048.176388888889</v>
      </c>
      <c r="BK1303" t="s">
        <v>778</v>
      </c>
      <c r="BL1303" t="s">
        <v>778</v>
      </c>
      <c r="BN1303" t="s">
        <v>37</v>
      </c>
    </row>
    <row r="1304" spans="1:66" x14ac:dyDescent="0.2">
      <c r="A1304">
        <v>3693861</v>
      </c>
      <c r="B1304">
        <v>21883</v>
      </c>
      <c r="C1304">
        <v>523850</v>
      </c>
      <c r="D1304">
        <v>52899</v>
      </c>
      <c r="E1304">
        <v>100</v>
      </c>
      <c r="F1304" t="s">
        <v>37</v>
      </c>
      <c r="G1304">
        <v>1</v>
      </c>
      <c r="H1304" t="s">
        <v>37</v>
      </c>
      <c r="I1304" t="s">
        <v>37</v>
      </c>
      <c r="J1304" t="s">
        <v>775</v>
      </c>
      <c r="K1304" t="s">
        <v>426</v>
      </c>
      <c r="L1304" t="s">
        <v>226</v>
      </c>
      <c r="M1304" t="s">
        <v>422</v>
      </c>
      <c r="N1304" t="s">
        <v>5853</v>
      </c>
      <c r="O1304" t="s">
        <v>5854</v>
      </c>
      <c r="S1304">
        <v>0</v>
      </c>
      <c r="T1304">
        <v>64</v>
      </c>
      <c r="U1304">
        <v>0</v>
      </c>
      <c r="V1304">
        <v>64</v>
      </c>
      <c r="W1304">
        <v>152</v>
      </c>
      <c r="X1304">
        <v>0</v>
      </c>
      <c r="Y1304">
        <v>0</v>
      </c>
      <c r="Z1304">
        <v>0</v>
      </c>
      <c r="AB1304" s="5">
        <v>43970</v>
      </c>
      <c r="AC1304" s="5">
        <v>44033</v>
      </c>
      <c r="AK1304" s="5">
        <v>43986.333333333336</v>
      </c>
      <c r="AL1304" s="5">
        <v>43992.666666666664</v>
      </c>
      <c r="AP1304" t="s">
        <v>418</v>
      </c>
      <c r="AU1304" t="s">
        <v>5855</v>
      </c>
      <c r="AV1304" t="s">
        <v>5856</v>
      </c>
      <c r="AY1304" t="s">
        <v>37</v>
      </c>
      <c r="AZ1304">
        <v>0</v>
      </c>
      <c r="BA1304">
        <v>0</v>
      </c>
      <c r="BI1304" s="5">
        <v>44048.176388888889</v>
      </c>
      <c r="BJ1304" s="5">
        <v>44048.176388888889</v>
      </c>
      <c r="BK1304" t="s">
        <v>778</v>
      </c>
      <c r="BL1304" t="s">
        <v>778</v>
      </c>
      <c r="BN1304" t="s">
        <v>37</v>
      </c>
    </row>
    <row r="1305" spans="1:66" x14ac:dyDescent="0.2">
      <c r="A1305">
        <v>3693862</v>
      </c>
      <c r="B1305">
        <v>21883</v>
      </c>
      <c r="C1305">
        <v>523850</v>
      </c>
      <c r="D1305">
        <v>52895</v>
      </c>
      <c r="E1305">
        <v>0</v>
      </c>
      <c r="F1305" t="s">
        <v>37</v>
      </c>
      <c r="G1305">
        <v>1</v>
      </c>
      <c r="H1305" t="s">
        <v>37</v>
      </c>
      <c r="I1305" t="s">
        <v>37</v>
      </c>
      <c r="J1305" t="s">
        <v>775</v>
      </c>
      <c r="K1305" t="s">
        <v>230</v>
      </c>
      <c r="L1305" t="s">
        <v>226</v>
      </c>
      <c r="M1305" t="s">
        <v>417</v>
      </c>
      <c r="N1305" t="s">
        <v>5857</v>
      </c>
      <c r="O1305" t="s">
        <v>4950</v>
      </c>
      <c r="Q1305">
        <v>-584</v>
      </c>
      <c r="R1305">
        <v>0</v>
      </c>
      <c r="S1305">
        <v>24</v>
      </c>
      <c r="T1305">
        <v>0</v>
      </c>
      <c r="U1305">
        <v>0</v>
      </c>
      <c r="V1305">
        <v>0</v>
      </c>
      <c r="W1305">
        <v>24</v>
      </c>
      <c r="X1305">
        <v>0</v>
      </c>
      <c r="Y1305">
        <v>0</v>
      </c>
      <c r="Z1305">
        <v>0</v>
      </c>
      <c r="AD1305" s="5">
        <v>43998.333333333336</v>
      </c>
      <c r="AE1305" s="5">
        <v>44000.666666666664</v>
      </c>
      <c r="AG1305" s="5">
        <v>44071.333333333336</v>
      </c>
      <c r="AH1305" s="5">
        <v>44073.666666666664</v>
      </c>
      <c r="AI1305" s="5">
        <v>44071.333333333336</v>
      </c>
      <c r="AJ1305" s="5">
        <v>44073.666666666664</v>
      </c>
      <c r="AK1305" s="5">
        <v>44071.333333333336</v>
      </c>
      <c r="AL1305" s="5">
        <v>44073.666666666664</v>
      </c>
      <c r="AM1305" s="5">
        <v>43998.333333333336</v>
      </c>
      <c r="AN1305" s="5">
        <v>44000.666666666664</v>
      </c>
      <c r="AP1305" t="s">
        <v>418</v>
      </c>
      <c r="AU1305" t="s">
        <v>5858</v>
      </c>
      <c r="AV1305" t="s">
        <v>5859</v>
      </c>
      <c r="AY1305" t="s">
        <v>40</v>
      </c>
      <c r="AZ1305">
        <v>0</v>
      </c>
      <c r="BA1305">
        <v>0</v>
      </c>
      <c r="BI1305" s="5">
        <v>44048.176388888889</v>
      </c>
      <c r="BJ1305" s="5">
        <v>44048.176388888889</v>
      </c>
      <c r="BK1305" t="s">
        <v>778</v>
      </c>
      <c r="BL1305" t="s">
        <v>778</v>
      </c>
      <c r="BN1305" t="s">
        <v>37</v>
      </c>
    </row>
    <row r="1306" spans="1:66" x14ac:dyDescent="0.2">
      <c r="A1306">
        <v>3693863</v>
      </c>
      <c r="B1306">
        <v>21883</v>
      </c>
      <c r="C1306">
        <v>523850</v>
      </c>
      <c r="D1306">
        <v>52899</v>
      </c>
      <c r="E1306">
        <v>100</v>
      </c>
      <c r="F1306" t="s">
        <v>37</v>
      </c>
      <c r="G1306">
        <v>1</v>
      </c>
      <c r="H1306" t="s">
        <v>37</v>
      </c>
      <c r="I1306" t="s">
        <v>37</v>
      </c>
      <c r="J1306" t="s">
        <v>775</v>
      </c>
      <c r="K1306" t="s">
        <v>230</v>
      </c>
      <c r="L1306" t="s">
        <v>226</v>
      </c>
      <c r="M1306" t="s">
        <v>422</v>
      </c>
      <c r="N1306" t="s">
        <v>5860</v>
      </c>
      <c r="O1306" t="s">
        <v>5861</v>
      </c>
      <c r="S1306">
        <v>0</v>
      </c>
      <c r="T1306">
        <v>24</v>
      </c>
      <c r="U1306">
        <v>0</v>
      </c>
      <c r="V1306">
        <v>24</v>
      </c>
      <c r="W1306">
        <v>16</v>
      </c>
      <c r="X1306">
        <v>0</v>
      </c>
      <c r="Y1306">
        <v>0</v>
      </c>
      <c r="Z1306">
        <v>0</v>
      </c>
      <c r="AB1306" s="5">
        <v>44039</v>
      </c>
      <c r="AC1306" s="5">
        <v>44042</v>
      </c>
      <c r="AD1306" s="5">
        <v>43970.333333333336</v>
      </c>
      <c r="AE1306" s="5">
        <v>43970.333333333336</v>
      </c>
      <c r="AG1306" s="5">
        <v>44044</v>
      </c>
      <c r="AH1306" s="5">
        <v>44044</v>
      </c>
      <c r="AK1306" s="5">
        <v>44041.333333333336</v>
      </c>
      <c r="AL1306" s="5">
        <v>44042.666666666664</v>
      </c>
      <c r="AP1306" t="s">
        <v>418</v>
      </c>
      <c r="AU1306" t="s">
        <v>5862</v>
      </c>
      <c r="AV1306" t="s">
        <v>5863</v>
      </c>
      <c r="AY1306" t="s">
        <v>40</v>
      </c>
      <c r="AZ1306">
        <v>0</v>
      </c>
      <c r="BA1306">
        <v>0</v>
      </c>
      <c r="BI1306" s="5">
        <v>44048.176388888889</v>
      </c>
      <c r="BJ1306" s="5">
        <v>44048.176388888889</v>
      </c>
      <c r="BK1306" t="s">
        <v>778</v>
      </c>
      <c r="BL1306" t="s">
        <v>778</v>
      </c>
      <c r="BN1306" t="s">
        <v>37</v>
      </c>
    </row>
    <row r="1307" spans="1:66" x14ac:dyDescent="0.2">
      <c r="A1307">
        <v>3693864</v>
      </c>
      <c r="B1307">
        <v>21883</v>
      </c>
      <c r="C1307">
        <v>523850</v>
      </c>
      <c r="D1307">
        <v>52899</v>
      </c>
      <c r="E1307">
        <v>0</v>
      </c>
      <c r="F1307" t="s">
        <v>37</v>
      </c>
      <c r="G1307">
        <v>1</v>
      </c>
      <c r="H1307" t="s">
        <v>37</v>
      </c>
      <c r="I1307" t="s">
        <v>37</v>
      </c>
      <c r="J1307" t="s">
        <v>775</v>
      </c>
      <c r="K1307" t="s">
        <v>230</v>
      </c>
      <c r="L1307" t="s">
        <v>226</v>
      </c>
      <c r="M1307" t="s">
        <v>417</v>
      </c>
      <c r="N1307" t="s">
        <v>5864</v>
      </c>
      <c r="O1307" t="s">
        <v>5865</v>
      </c>
      <c r="Q1307">
        <v>-360</v>
      </c>
      <c r="R1307">
        <v>0</v>
      </c>
      <c r="S1307">
        <v>32</v>
      </c>
      <c r="T1307">
        <v>0</v>
      </c>
      <c r="U1307">
        <v>32</v>
      </c>
      <c r="V1307">
        <v>32</v>
      </c>
      <c r="W1307">
        <v>32</v>
      </c>
      <c r="X1307">
        <v>0</v>
      </c>
      <c r="Y1307">
        <v>0</v>
      </c>
      <c r="Z1307">
        <v>0</v>
      </c>
      <c r="AD1307" s="5">
        <v>43990.333333333336</v>
      </c>
      <c r="AE1307" s="5">
        <v>43994.666666666664</v>
      </c>
      <c r="AG1307" s="5">
        <v>44061.333333333336</v>
      </c>
      <c r="AH1307" s="5">
        <v>44069.666666666664</v>
      </c>
      <c r="AI1307" s="5">
        <v>44061.333333333336</v>
      </c>
      <c r="AJ1307" s="5">
        <v>44069.666666666664</v>
      </c>
      <c r="AK1307" s="5">
        <v>44061.333333333336</v>
      </c>
      <c r="AL1307" s="5">
        <v>44069.666666666664</v>
      </c>
      <c r="AM1307" s="5">
        <v>43990.333333333336</v>
      </c>
      <c r="AN1307" s="5">
        <v>43994.666666666664</v>
      </c>
      <c r="AP1307" t="s">
        <v>418</v>
      </c>
      <c r="AU1307" t="s">
        <v>5866</v>
      </c>
      <c r="AV1307" t="s">
        <v>5867</v>
      </c>
      <c r="AY1307" t="s">
        <v>40</v>
      </c>
      <c r="AZ1307">
        <v>0</v>
      </c>
      <c r="BA1307">
        <v>0</v>
      </c>
      <c r="BI1307" s="5">
        <v>44048.176388888889</v>
      </c>
      <c r="BJ1307" s="5">
        <v>44048.176388888889</v>
      </c>
      <c r="BK1307" t="s">
        <v>778</v>
      </c>
      <c r="BL1307" t="s">
        <v>778</v>
      </c>
      <c r="BN1307" t="s">
        <v>37</v>
      </c>
    </row>
    <row r="1308" spans="1:66" x14ac:dyDescent="0.2">
      <c r="A1308">
        <v>3693865</v>
      </c>
      <c r="B1308">
        <v>21883</v>
      </c>
      <c r="C1308">
        <v>523850</v>
      </c>
      <c r="D1308">
        <v>52895</v>
      </c>
      <c r="E1308">
        <v>0</v>
      </c>
      <c r="F1308" t="s">
        <v>37</v>
      </c>
      <c r="G1308">
        <v>1</v>
      </c>
      <c r="H1308" t="s">
        <v>37</v>
      </c>
      <c r="I1308" t="s">
        <v>37</v>
      </c>
      <c r="J1308" t="s">
        <v>775</v>
      </c>
      <c r="K1308" t="s">
        <v>230</v>
      </c>
      <c r="L1308" t="s">
        <v>226</v>
      </c>
      <c r="M1308" t="s">
        <v>417</v>
      </c>
      <c r="N1308" t="s">
        <v>5868</v>
      </c>
      <c r="O1308" t="s">
        <v>2509</v>
      </c>
      <c r="Q1308">
        <v>-592</v>
      </c>
      <c r="R1308">
        <v>0</v>
      </c>
      <c r="S1308">
        <v>24</v>
      </c>
      <c r="T1308">
        <v>0</v>
      </c>
      <c r="U1308">
        <v>0</v>
      </c>
      <c r="V1308">
        <v>0</v>
      </c>
      <c r="W1308">
        <v>24</v>
      </c>
      <c r="X1308">
        <v>0</v>
      </c>
      <c r="Y1308">
        <v>0</v>
      </c>
      <c r="Z1308">
        <v>0</v>
      </c>
      <c r="AD1308" s="5">
        <v>43970.333333333336</v>
      </c>
      <c r="AE1308" s="5">
        <v>43972.666666666664</v>
      </c>
      <c r="AG1308" s="5">
        <v>44044.333333333336</v>
      </c>
      <c r="AH1308" s="5">
        <v>44046.666666666664</v>
      </c>
      <c r="AI1308" s="5">
        <v>44044.333333333336</v>
      </c>
      <c r="AJ1308" s="5">
        <v>44046.666666666664</v>
      </c>
      <c r="AK1308" s="5">
        <v>44044.333333333336</v>
      </c>
      <c r="AL1308" s="5">
        <v>44046.666666666664</v>
      </c>
      <c r="AM1308" s="5">
        <v>43970.333333333336</v>
      </c>
      <c r="AN1308" s="5">
        <v>43972.666666666664</v>
      </c>
      <c r="AP1308" t="s">
        <v>418</v>
      </c>
      <c r="AU1308" t="s">
        <v>5869</v>
      </c>
      <c r="AV1308" t="s">
        <v>5870</v>
      </c>
      <c r="AY1308" t="s">
        <v>40</v>
      </c>
      <c r="AZ1308">
        <v>0</v>
      </c>
      <c r="BA1308">
        <v>0</v>
      </c>
      <c r="BI1308" s="5">
        <v>44048.176388888889</v>
      </c>
      <c r="BJ1308" s="5">
        <v>44048.176388888889</v>
      </c>
      <c r="BK1308" t="s">
        <v>778</v>
      </c>
      <c r="BL1308" t="s">
        <v>778</v>
      </c>
      <c r="BN1308" t="s">
        <v>37</v>
      </c>
    </row>
    <row r="1309" spans="1:66" x14ac:dyDescent="0.2">
      <c r="A1309">
        <v>3693866</v>
      </c>
      <c r="B1309">
        <v>21883</v>
      </c>
      <c r="C1309">
        <v>523850</v>
      </c>
      <c r="D1309">
        <v>52899</v>
      </c>
      <c r="E1309">
        <v>100</v>
      </c>
      <c r="F1309" t="s">
        <v>37</v>
      </c>
      <c r="G1309">
        <v>1</v>
      </c>
      <c r="H1309" t="s">
        <v>37</v>
      </c>
      <c r="I1309" t="s">
        <v>37</v>
      </c>
      <c r="J1309" t="s">
        <v>775</v>
      </c>
      <c r="K1309" t="s">
        <v>230</v>
      </c>
      <c r="L1309" t="s">
        <v>226</v>
      </c>
      <c r="M1309" t="s">
        <v>422</v>
      </c>
      <c r="N1309" t="s">
        <v>5871</v>
      </c>
      <c r="O1309" t="s">
        <v>5872</v>
      </c>
      <c r="S1309">
        <v>0</v>
      </c>
      <c r="T1309">
        <v>0</v>
      </c>
      <c r="U1309">
        <v>0</v>
      </c>
      <c r="V1309">
        <v>0</v>
      </c>
      <c r="W1309">
        <v>16</v>
      </c>
      <c r="X1309">
        <v>0</v>
      </c>
      <c r="Y1309">
        <v>0</v>
      </c>
      <c r="Z1309">
        <v>0</v>
      </c>
      <c r="AB1309" s="5">
        <v>44039</v>
      </c>
      <c r="AC1309" s="5">
        <v>44041</v>
      </c>
      <c r="AD1309" s="5">
        <v>43970.333333333336</v>
      </c>
      <c r="AE1309" s="5">
        <v>43970.333333333336</v>
      </c>
      <c r="AG1309" s="5">
        <v>44044</v>
      </c>
      <c r="AH1309" s="5">
        <v>44044</v>
      </c>
      <c r="AK1309" s="5">
        <v>44041.333333333336</v>
      </c>
      <c r="AL1309" s="5">
        <v>44042.666666666664</v>
      </c>
      <c r="AP1309" t="s">
        <v>418</v>
      </c>
      <c r="AU1309" t="s">
        <v>5873</v>
      </c>
      <c r="AV1309" t="s">
        <v>5874</v>
      </c>
      <c r="AY1309" t="s">
        <v>40</v>
      </c>
      <c r="AZ1309">
        <v>0</v>
      </c>
      <c r="BA1309">
        <v>0</v>
      </c>
      <c r="BI1309" s="5">
        <v>44048.176388888889</v>
      </c>
      <c r="BJ1309" s="5">
        <v>44048.176388888889</v>
      </c>
      <c r="BK1309" t="s">
        <v>778</v>
      </c>
      <c r="BL1309" t="s">
        <v>778</v>
      </c>
      <c r="BN1309" t="s">
        <v>37</v>
      </c>
    </row>
    <row r="1310" spans="1:66" x14ac:dyDescent="0.2">
      <c r="A1310">
        <v>3693867</v>
      </c>
      <c r="B1310">
        <v>21883</v>
      </c>
      <c r="C1310">
        <v>523850</v>
      </c>
      <c r="D1310">
        <v>52899</v>
      </c>
      <c r="E1310">
        <v>100</v>
      </c>
      <c r="F1310" t="s">
        <v>37</v>
      </c>
      <c r="G1310">
        <v>1</v>
      </c>
      <c r="H1310" t="s">
        <v>37</v>
      </c>
      <c r="I1310" t="s">
        <v>37</v>
      </c>
      <c r="J1310" t="s">
        <v>775</v>
      </c>
      <c r="K1310" t="s">
        <v>230</v>
      </c>
      <c r="L1310" t="s">
        <v>226</v>
      </c>
      <c r="M1310" t="s">
        <v>422</v>
      </c>
      <c r="N1310" t="s">
        <v>5875</v>
      </c>
      <c r="O1310" t="s">
        <v>5876</v>
      </c>
      <c r="S1310">
        <v>0</v>
      </c>
      <c r="T1310">
        <v>16</v>
      </c>
      <c r="U1310">
        <v>0</v>
      </c>
      <c r="V1310">
        <v>16</v>
      </c>
      <c r="W1310">
        <v>8</v>
      </c>
      <c r="X1310">
        <v>0</v>
      </c>
      <c r="Y1310">
        <v>0</v>
      </c>
      <c r="Z1310">
        <v>0</v>
      </c>
      <c r="AB1310" s="5">
        <v>44043.333333333336</v>
      </c>
      <c r="AC1310" s="5">
        <v>44043.666666666664</v>
      </c>
      <c r="AD1310" s="5">
        <v>43970.333333333336</v>
      </c>
      <c r="AE1310" s="5">
        <v>43970.333333333336</v>
      </c>
      <c r="AG1310" s="5">
        <v>44044</v>
      </c>
      <c r="AH1310" s="5">
        <v>44044</v>
      </c>
      <c r="AK1310" s="5">
        <v>44043.333333333336</v>
      </c>
      <c r="AL1310" s="5">
        <v>44043.666666666664</v>
      </c>
      <c r="AP1310" t="s">
        <v>418</v>
      </c>
      <c r="AU1310" t="s">
        <v>5877</v>
      </c>
      <c r="AV1310" t="s">
        <v>5878</v>
      </c>
      <c r="AY1310" t="s">
        <v>40</v>
      </c>
      <c r="AZ1310">
        <v>0</v>
      </c>
      <c r="BA1310">
        <v>0</v>
      </c>
      <c r="BI1310" s="5">
        <v>44048.176388888889</v>
      </c>
      <c r="BJ1310" s="5">
        <v>44048.176388888889</v>
      </c>
      <c r="BK1310" t="s">
        <v>778</v>
      </c>
      <c r="BL1310" t="s">
        <v>778</v>
      </c>
      <c r="BN1310" t="s">
        <v>37</v>
      </c>
    </row>
    <row r="1311" spans="1:66" x14ac:dyDescent="0.2">
      <c r="A1311">
        <v>3693868</v>
      </c>
      <c r="B1311">
        <v>21883</v>
      </c>
      <c r="C1311">
        <v>523850</v>
      </c>
      <c r="D1311">
        <v>52899</v>
      </c>
      <c r="E1311">
        <v>0</v>
      </c>
      <c r="F1311" t="s">
        <v>37</v>
      </c>
      <c r="G1311">
        <v>1</v>
      </c>
      <c r="H1311" t="s">
        <v>37</v>
      </c>
      <c r="I1311" t="s">
        <v>37</v>
      </c>
      <c r="J1311" t="s">
        <v>775</v>
      </c>
      <c r="K1311" t="s">
        <v>230</v>
      </c>
      <c r="L1311" t="s">
        <v>226</v>
      </c>
      <c r="M1311" t="s">
        <v>417</v>
      </c>
      <c r="N1311" t="s">
        <v>5879</v>
      </c>
      <c r="O1311" t="s">
        <v>3351</v>
      </c>
      <c r="Q1311">
        <v>-360</v>
      </c>
      <c r="R1311">
        <v>0</v>
      </c>
      <c r="S1311">
        <v>24</v>
      </c>
      <c r="T1311">
        <v>0</v>
      </c>
      <c r="U1311">
        <v>0</v>
      </c>
      <c r="V1311">
        <v>0</v>
      </c>
      <c r="W1311">
        <v>24</v>
      </c>
      <c r="X1311">
        <v>0</v>
      </c>
      <c r="Y1311">
        <v>0</v>
      </c>
      <c r="Z1311">
        <v>0</v>
      </c>
      <c r="AD1311" s="5">
        <v>43984.333333333336</v>
      </c>
      <c r="AE1311" s="5">
        <v>43987.666666666664</v>
      </c>
      <c r="AG1311" s="5">
        <v>44055.333333333336</v>
      </c>
      <c r="AH1311" s="5">
        <v>44060.666666666664</v>
      </c>
      <c r="AI1311" s="5">
        <v>44055.333333333336</v>
      </c>
      <c r="AJ1311" s="5">
        <v>44060.666666666664</v>
      </c>
      <c r="AK1311" s="5">
        <v>44055.333333333336</v>
      </c>
      <c r="AL1311" s="5">
        <v>44060.666666666664</v>
      </c>
      <c r="AM1311" s="5">
        <v>43984.333333333336</v>
      </c>
      <c r="AN1311" s="5">
        <v>43987.666666666664</v>
      </c>
      <c r="AP1311" t="s">
        <v>418</v>
      </c>
      <c r="AU1311" t="s">
        <v>5880</v>
      </c>
      <c r="AV1311" t="s">
        <v>5881</v>
      </c>
      <c r="AY1311" t="s">
        <v>40</v>
      </c>
      <c r="AZ1311">
        <v>0</v>
      </c>
      <c r="BA1311">
        <v>0</v>
      </c>
      <c r="BI1311" s="5">
        <v>44048.176388888889</v>
      </c>
      <c r="BJ1311" s="5">
        <v>44048.176388888889</v>
      </c>
      <c r="BK1311" t="s">
        <v>778</v>
      </c>
      <c r="BL1311" t="s">
        <v>778</v>
      </c>
      <c r="BN1311" t="s">
        <v>37</v>
      </c>
    </row>
    <row r="1312" spans="1:66" x14ac:dyDescent="0.2">
      <c r="A1312">
        <v>3693869</v>
      </c>
      <c r="B1312">
        <v>21883</v>
      </c>
      <c r="C1312">
        <v>523850</v>
      </c>
      <c r="D1312">
        <v>52899</v>
      </c>
      <c r="E1312">
        <v>0</v>
      </c>
      <c r="F1312" t="s">
        <v>37</v>
      </c>
      <c r="G1312">
        <v>1</v>
      </c>
      <c r="H1312" t="s">
        <v>37</v>
      </c>
      <c r="I1312" t="s">
        <v>37</v>
      </c>
      <c r="J1312" t="s">
        <v>775</v>
      </c>
      <c r="K1312" t="s">
        <v>230</v>
      </c>
      <c r="L1312" t="s">
        <v>226</v>
      </c>
      <c r="M1312" t="s">
        <v>417</v>
      </c>
      <c r="N1312" t="s">
        <v>5882</v>
      </c>
      <c r="O1312" t="s">
        <v>3355</v>
      </c>
      <c r="Q1312">
        <v>-360</v>
      </c>
      <c r="R1312">
        <v>0</v>
      </c>
      <c r="S1312">
        <v>8</v>
      </c>
      <c r="T1312">
        <v>0</v>
      </c>
      <c r="U1312">
        <v>8</v>
      </c>
      <c r="V1312">
        <v>8</v>
      </c>
      <c r="W1312">
        <v>8</v>
      </c>
      <c r="X1312">
        <v>0</v>
      </c>
      <c r="Y1312">
        <v>0</v>
      </c>
      <c r="Z1312">
        <v>0</v>
      </c>
      <c r="AD1312" s="5">
        <v>43997.333333333336</v>
      </c>
      <c r="AE1312" s="5">
        <v>43997.666666666664</v>
      </c>
      <c r="AG1312" s="5">
        <v>44070.333333333336</v>
      </c>
      <c r="AH1312" s="5">
        <v>44070.666666666664</v>
      </c>
      <c r="AI1312" s="5">
        <v>44070.333333333336</v>
      </c>
      <c r="AJ1312" s="5">
        <v>44070.666666666664</v>
      </c>
      <c r="AK1312" s="5">
        <v>44070.333333333336</v>
      </c>
      <c r="AL1312" s="5">
        <v>44070.666666666664</v>
      </c>
      <c r="AM1312" s="5">
        <v>43997.333333333336</v>
      </c>
      <c r="AN1312" s="5">
        <v>43997.666666666664</v>
      </c>
      <c r="AP1312" t="s">
        <v>418</v>
      </c>
      <c r="AU1312" t="s">
        <v>5883</v>
      </c>
      <c r="AV1312" t="s">
        <v>5884</v>
      </c>
      <c r="AY1312" t="s">
        <v>40</v>
      </c>
      <c r="AZ1312">
        <v>0</v>
      </c>
      <c r="BA1312">
        <v>0</v>
      </c>
      <c r="BI1312" s="5">
        <v>44048.176388888889</v>
      </c>
      <c r="BJ1312" s="5">
        <v>44048.176388888889</v>
      </c>
      <c r="BK1312" t="s">
        <v>778</v>
      </c>
      <c r="BL1312" t="s">
        <v>778</v>
      </c>
      <c r="BN1312" t="s">
        <v>37</v>
      </c>
    </row>
    <row r="1313" spans="1:66" x14ac:dyDescent="0.2">
      <c r="A1313">
        <v>3693870</v>
      </c>
      <c r="B1313">
        <v>21883</v>
      </c>
      <c r="C1313">
        <v>523850</v>
      </c>
      <c r="D1313">
        <v>52899</v>
      </c>
      <c r="E1313">
        <v>100</v>
      </c>
      <c r="F1313" t="s">
        <v>37</v>
      </c>
      <c r="G1313">
        <v>1</v>
      </c>
      <c r="H1313" t="s">
        <v>37</v>
      </c>
      <c r="I1313" t="s">
        <v>37</v>
      </c>
      <c r="J1313" t="s">
        <v>775</v>
      </c>
      <c r="K1313" t="s">
        <v>230</v>
      </c>
      <c r="L1313" t="s">
        <v>226</v>
      </c>
      <c r="M1313" t="s">
        <v>422</v>
      </c>
      <c r="N1313" t="s">
        <v>5885</v>
      </c>
      <c r="O1313" t="s">
        <v>4336</v>
      </c>
      <c r="S1313">
        <v>0</v>
      </c>
      <c r="T1313">
        <v>0</v>
      </c>
      <c r="U1313">
        <v>0</v>
      </c>
      <c r="V1313">
        <v>0</v>
      </c>
      <c r="W1313">
        <v>8</v>
      </c>
      <c r="X1313">
        <v>0</v>
      </c>
      <c r="Y1313">
        <v>0</v>
      </c>
      <c r="Z1313">
        <v>0</v>
      </c>
      <c r="AB1313" s="5">
        <v>43965</v>
      </c>
      <c r="AC1313" s="5">
        <v>43965</v>
      </c>
      <c r="AD1313" s="5">
        <v>43970.333333333336</v>
      </c>
      <c r="AE1313" s="5">
        <v>43970.333333333336</v>
      </c>
      <c r="AG1313" s="5">
        <v>44044</v>
      </c>
      <c r="AH1313" s="5">
        <v>44044</v>
      </c>
      <c r="AK1313" s="5">
        <v>43983.333333333336</v>
      </c>
      <c r="AL1313" s="5">
        <v>43983.666666666664</v>
      </c>
      <c r="AP1313" t="s">
        <v>418</v>
      </c>
      <c r="AU1313" t="s">
        <v>5886</v>
      </c>
      <c r="AV1313" t="s">
        <v>5887</v>
      </c>
      <c r="AY1313" t="s">
        <v>40</v>
      </c>
      <c r="AZ1313">
        <v>0</v>
      </c>
      <c r="BA1313">
        <v>0</v>
      </c>
      <c r="BI1313" s="5">
        <v>44048.176388888889</v>
      </c>
      <c r="BJ1313" s="5">
        <v>44048.176388888889</v>
      </c>
      <c r="BK1313" t="s">
        <v>778</v>
      </c>
      <c r="BL1313" t="s">
        <v>778</v>
      </c>
      <c r="BN1313" t="s">
        <v>37</v>
      </c>
    </row>
    <row r="1314" spans="1:66" x14ac:dyDescent="0.2">
      <c r="A1314">
        <v>3693871</v>
      </c>
      <c r="B1314">
        <v>21883</v>
      </c>
      <c r="C1314">
        <v>523850</v>
      </c>
      <c r="D1314">
        <v>52895</v>
      </c>
      <c r="E1314">
        <v>100</v>
      </c>
      <c r="F1314" t="s">
        <v>37</v>
      </c>
      <c r="G1314">
        <v>1</v>
      </c>
      <c r="H1314" t="s">
        <v>37</v>
      </c>
      <c r="I1314" t="s">
        <v>37</v>
      </c>
      <c r="J1314" t="s">
        <v>775</v>
      </c>
      <c r="K1314" t="s">
        <v>230</v>
      </c>
      <c r="L1314" t="s">
        <v>226</v>
      </c>
      <c r="M1314" t="s">
        <v>422</v>
      </c>
      <c r="N1314" t="s">
        <v>5888</v>
      </c>
      <c r="O1314" t="s">
        <v>5889</v>
      </c>
      <c r="S1314">
        <v>0</v>
      </c>
      <c r="T1314">
        <v>0</v>
      </c>
      <c r="U1314">
        <v>0</v>
      </c>
      <c r="V1314">
        <v>0</v>
      </c>
      <c r="W1314">
        <v>80</v>
      </c>
      <c r="X1314">
        <v>0</v>
      </c>
      <c r="Y1314">
        <v>0</v>
      </c>
      <c r="Z1314">
        <v>0</v>
      </c>
      <c r="AB1314" s="5">
        <v>43992</v>
      </c>
      <c r="AC1314" s="5">
        <v>43999</v>
      </c>
      <c r="AD1314" s="5">
        <v>43970.333333333336</v>
      </c>
      <c r="AE1314" s="5">
        <v>43970.333333333336</v>
      </c>
      <c r="AG1314" s="5">
        <v>44044</v>
      </c>
      <c r="AH1314" s="5">
        <v>44044</v>
      </c>
      <c r="AK1314" s="5">
        <v>44006.333333333336</v>
      </c>
      <c r="AL1314" s="5">
        <v>44015.666666666664</v>
      </c>
      <c r="AP1314" t="s">
        <v>418</v>
      </c>
      <c r="AU1314" t="s">
        <v>5890</v>
      </c>
      <c r="AV1314" t="s">
        <v>5891</v>
      </c>
      <c r="AY1314" t="s">
        <v>40</v>
      </c>
      <c r="AZ1314">
        <v>0</v>
      </c>
      <c r="BA1314">
        <v>0</v>
      </c>
      <c r="BI1314" s="5">
        <v>44048.176388888889</v>
      </c>
      <c r="BJ1314" s="5">
        <v>44048.176388888889</v>
      </c>
      <c r="BK1314" t="s">
        <v>778</v>
      </c>
      <c r="BL1314" t="s">
        <v>778</v>
      </c>
      <c r="BN1314" t="s">
        <v>37</v>
      </c>
    </row>
    <row r="1315" spans="1:66" x14ac:dyDescent="0.2">
      <c r="A1315">
        <v>3693872</v>
      </c>
      <c r="B1315">
        <v>21883</v>
      </c>
      <c r="C1315">
        <v>523850</v>
      </c>
      <c r="D1315">
        <v>52899</v>
      </c>
      <c r="E1315">
        <v>0</v>
      </c>
      <c r="F1315" t="s">
        <v>37</v>
      </c>
      <c r="G1315">
        <v>1</v>
      </c>
      <c r="H1315" t="s">
        <v>37</v>
      </c>
      <c r="I1315" t="s">
        <v>37</v>
      </c>
      <c r="J1315" t="s">
        <v>775</v>
      </c>
      <c r="K1315" t="s">
        <v>230</v>
      </c>
      <c r="L1315" t="s">
        <v>226</v>
      </c>
      <c r="M1315" t="s">
        <v>417</v>
      </c>
      <c r="N1315" t="s">
        <v>5892</v>
      </c>
      <c r="O1315" t="s">
        <v>4344</v>
      </c>
      <c r="Q1315">
        <v>-360</v>
      </c>
      <c r="R1315">
        <v>0</v>
      </c>
      <c r="S1315">
        <v>16</v>
      </c>
      <c r="T1315">
        <v>0</v>
      </c>
      <c r="U1315">
        <v>16</v>
      </c>
      <c r="V1315">
        <v>16</v>
      </c>
      <c r="W1315">
        <v>16</v>
      </c>
      <c r="X1315">
        <v>0</v>
      </c>
      <c r="Y1315">
        <v>0</v>
      </c>
      <c r="Z1315">
        <v>0</v>
      </c>
      <c r="AD1315" s="5">
        <v>43973.333333333336</v>
      </c>
      <c r="AE1315" s="5">
        <v>43977.666666666664</v>
      </c>
      <c r="AG1315" s="5">
        <v>44047.333333333336</v>
      </c>
      <c r="AH1315" s="5">
        <v>44048.666666666664</v>
      </c>
      <c r="AI1315" s="5">
        <v>44047.333333333336</v>
      </c>
      <c r="AJ1315" s="5">
        <v>44048.666666666664</v>
      </c>
      <c r="AK1315" s="5">
        <v>44047.333333333336</v>
      </c>
      <c r="AL1315" s="5">
        <v>44048.666666666664</v>
      </c>
      <c r="AM1315" s="5">
        <v>43973.333333333336</v>
      </c>
      <c r="AN1315" s="5">
        <v>43977.666666666664</v>
      </c>
      <c r="AP1315" t="s">
        <v>418</v>
      </c>
      <c r="AU1315" t="s">
        <v>5893</v>
      </c>
      <c r="AV1315" t="s">
        <v>5894</v>
      </c>
      <c r="AY1315" t="s">
        <v>40</v>
      </c>
      <c r="AZ1315">
        <v>0</v>
      </c>
      <c r="BA1315">
        <v>0</v>
      </c>
      <c r="BI1315" s="5">
        <v>44048.176388888889</v>
      </c>
      <c r="BJ1315" s="5">
        <v>44048.176388888889</v>
      </c>
      <c r="BK1315" t="s">
        <v>778</v>
      </c>
      <c r="BL1315" t="s">
        <v>778</v>
      </c>
      <c r="BN1315" t="s">
        <v>37</v>
      </c>
    </row>
    <row r="1316" spans="1:66" x14ac:dyDescent="0.2">
      <c r="A1316">
        <v>3693873</v>
      </c>
      <c r="B1316">
        <v>21883</v>
      </c>
      <c r="C1316">
        <v>523850</v>
      </c>
      <c r="D1316">
        <v>52899</v>
      </c>
      <c r="E1316">
        <v>0</v>
      </c>
      <c r="F1316" t="s">
        <v>37</v>
      </c>
      <c r="G1316">
        <v>1</v>
      </c>
      <c r="H1316" t="s">
        <v>37</v>
      </c>
      <c r="I1316" t="s">
        <v>37</v>
      </c>
      <c r="J1316" t="s">
        <v>775</v>
      </c>
      <c r="K1316" t="s">
        <v>230</v>
      </c>
      <c r="L1316" t="s">
        <v>226</v>
      </c>
      <c r="M1316" t="s">
        <v>417</v>
      </c>
      <c r="N1316" t="s">
        <v>5895</v>
      </c>
      <c r="O1316" t="s">
        <v>4348</v>
      </c>
      <c r="Q1316">
        <v>-360</v>
      </c>
      <c r="R1316">
        <v>0</v>
      </c>
      <c r="S1316">
        <v>32</v>
      </c>
      <c r="T1316">
        <v>0</v>
      </c>
      <c r="U1316">
        <v>32</v>
      </c>
      <c r="V1316">
        <v>32</v>
      </c>
      <c r="W1316">
        <v>32</v>
      </c>
      <c r="X1316">
        <v>0</v>
      </c>
      <c r="Y1316">
        <v>0</v>
      </c>
      <c r="Z1316">
        <v>0</v>
      </c>
      <c r="AD1316" s="5">
        <v>43978.333333333336</v>
      </c>
      <c r="AE1316" s="5">
        <v>43983.666666666664</v>
      </c>
      <c r="AG1316" s="5">
        <v>44049.333333333336</v>
      </c>
      <c r="AH1316" s="5">
        <v>44054.666666666664</v>
      </c>
      <c r="AI1316" s="5">
        <v>44049.333333333336</v>
      </c>
      <c r="AJ1316" s="5">
        <v>44054.666666666664</v>
      </c>
      <c r="AK1316" s="5">
        <v>44049.333333333336</v>
      </c>
      <c r="AL1316" s="5">
        <v>44054.666666666664</v>
      </c>
      <c r="AM1316" s="5">
        <v>43978.333333333336</v>
      </c>
      <c r="AN1316" s="5">
        <v>43983.666666666664</v>
      </c>
      <c r="AP1316" t="s">
        <v>418</v>
      </c>
      <c r="AU1316" t="s">
        <v>5896</v>
      </c>
      <c r="AV1316" t="s">
        <v>5897</v>
      </c>
      <c r="AY1316" t="s">
        <v>40</v>
      </c>
      <c r="AZ1316">
        <v>0</v>
      </c>
      <c r="BA1316">
        <v>0</v>
      </c>
      <c r="BI1316" s="5">
        <v>44048.176388888889</v>
      </c>
      <c r="BJ1316" s="5">
        <v>44048.176388888889</v>
      </c>
      <c r="BK1316" t="s">
        <v>778</v>
      </c>
      <c r="BL1316" t="s">
        <v>778</v>
      </c>
      <c r="BN1316" t="s">
        <v>37</v>
      </c>
    </row>
    <row r="1317" spans="1:66" x14ac:dyDescent="0.2">
      <c r="A1317">
        <v>3693874</v>
      </c>
      <c r="B1317">
        <v>21883</v>
      </c>
      <c r="C1317">
        <v>523850</v>
      </c>
      <c r="D1317">
        <v>52899</v>
      </c>
      <c r="E1317">
        <v>0</v>
      </c>
      <c r="F1317" t="s">
        <v>37</v>
      </c>
      <c r="G1317">
        <v>1</v>
      </c>
      <c r="H1317" t="s">
        <v>37</v>
      </c>
      <c r="I1317" t="s">
        <v>37</v>
      </c>
      <c r="J1317" t="s">
        <v>775</v>
      </c>
      <c r="K1317" t="s">
        <v>230</v>
      </c>
      <c r="L1317" t="s">
        <v>226</v>
      </c>
      <c r="M1317" t="s">
        <v>417</v>
      </c>
      <c r="N1317" t="s">
        <v>5898</v>
      </c>
      <c r="O1317" t="s">
        <v>4352</v>
      </c>
      <c r="Q1317">
        <v>-352</v>
      </c>
      <c r="R1317">
        <v>0</v>
      </c>
      <c r="S1317">
        <v>16</v>
      </c>
      <c r="T1317">
        <v>0</v>
      </c>
      <c r="U1317">
        <v>16</v>
      </c>
      <c r="V1317">
        <v>16</v>
      </c>
      <c r="W1317">
        <v>16</v>
      </c>
      <c r="X1317">
        <v>0</v>
      </c>
      <c r="Y1317">
        <v>0</v>
      </c>
      <c r="Z1317">
        <v>0</v>
      </c>
      <c r="AD1317" s="5">
        <v>44007.333333333336</v>
      </c>
      <c r="AE1317" s="5">
        <v>44008.666666666664</v>
      </c>
      <c r="AG1317" s="5">
        <v>44078.333333333336</v>
      </c>
      <c r="AH1317" s="5">
        <v>44082.666666666664</v>
      </c>
      <c r="AI1317" s="5">
        <v>44078.333333333336</v>
      </c>
      <c r="AJ1317" s="5">
        <v>44082.666666666664</v>
      </c>
      <c r="AK1317" s="5">
        <v>44078.333333333336</v>
      </c>
      <c r="AL1317" s="5">
        <v>44082.666666666664</v>
      </c>
      <c r="AM1317" s="5">
        <v>44007.333333333336</v>
      </c>
      <c r="AN1317" s="5">
        <v>44008.666666666664</v>
      </c>
      <c r="AP1317" t="s">
        <v>418</v>
      </c>
      <c r="AU1317" t="s">
        <v>5899</v>
      </c>
      <c r="AV1317" t="s">
        <v>5900</v>
      </c>
      <c r="AY1317" t="s">
        <v>40</v>
      </c>
      <c r="AZ1317">
        <v>0</v>
      </c>
      <c r="BA1317">
        <v>0</v>
      </c>
      <c r="BI1317" s="5">
        <v>44048.176388888889</v>
      </c>
      <c r="BJ1317" s="5">
        <v>44048.176388888889</v>
      </c>
      <c r="BK1317" t="s">
        <v>778</v>
      </c>
      <c r="BL1317" t="s">
        <v>778</v>
      </c>
      <c r="BN1317" t="s">
        <v>37</v>
      </c>
    </row>
    <row r="1318" spans="1:66" x14ac:dyDescent="0.2">
      <c r="A1318">
        <v>3693875</v>
      </c>
      <c r="B1318">
        <v>21883</v>
      </c>
      <c r="C1318">
        <v>523849</v>
      </c>
      <c r="D1318">
        <v>52899</v>
      </c>
      <c r="E1318">
        <v>100</v>
      </c>
      <c r="F1318" t="s">
        <v>37</v>
      </c>
      <c r="G1318">
        <v>1</v>
      </c>
      <c r="H1318" t="s">
        <v>37</v>
      </c>
      <c r="I1318" t="s">
        <v>37</v>
      </c>
      <c r="J1318" t="s">
        <v>775</v>
      </c>
      <c r="K1318" t="s">
        <v>230</v>
      </c>
      <c r="L1318" t="s">
        <v>226</v>
      </c>
      <c r="M1318" t="s">
        <v>422</v>
      </c>
      <c r="N1318" t="s">
        <v>5901</v>
      </c>
      <c r="O1318" t="s">
        <v>5902</v>
      </c>
      <c r="S1318">
        <v>0</v>
      </c>
      <c r="T1318">
        <v>12</v>
      </c>
      <c r="U1318">
        <v>0</v>
      </c>
      <c r="V1318">
        <v>12</v>
      </c>
      <c r="W1318">
        <v>16</v>
      </c>
      <c r="X1318">
        <v>0</v>
      </c>
      <c r="Y1318">
        <v>0</v>
      </c>
      <c r="Z1318">
        <v>0</v>
      </c>
      <c r="AA1318" s="5">
        <v>44034.333333333336</v>
      </c>
      <c r="AB1318" s="5">
        <v>44034</v>
      </c>
      <c r="AC1318" s="5">
        <v>44035</v>
      </c>
      <c r="AD1318" s="5">
        <v>44005.333333333336</v>
      </c>
      <c r="AE1318" s="5">
        <v>44005.333333333336</v>
      </c>
      <c r="AG1318" s="5">
        <v>44044</v>
      </c>
      <c r="AH1318" s="5">
        <v>44044</v>
      </c>
      <c r="AK1318" s="5">
        <v>44041.333333333336</v>
      </c>
      <c r="AL1318" s="5">
        <v>44042.666666666664</v>
      </c>
      <c r="AO1318" t="s">
        <v>2336</v>
      </c>
      <c r="AP1318" t="s">
        <v>418</v>
      </c>
      <c r="AU1318" t="s">
        <v>5903</v>
      </c>
      <c r="AV1318" t="s">
        <v>5904</v>
      </c>
      <c r="AY1318" t="s">
        <v>37</v>
      </c>
      <c r="AZ1318">
        <v>0</v>
      </c>
      <c r="BA1318">
        <v>0</v>
      </c>
      <c r="BI1318" s="5">
        <v>44048.176388888889</v>
      </c>
      <c r="BJ1318" s="5">
        <v>44048.176388888889</v>
      </c>
      <c r="BK1318" t="s">
        <v>778</v>
      </c>
      <c r="BL1318" t="s">
        <v>778</v>
      </c>
      <c r="BN1318" t="s">
        <v>37</v>
      </c>
    </row>
    <row r="1319" spans="1:66" x14ac:dyDescent="0.2">
      <c r="A1319">
        <v>3693876</v>
      </c>
      <c r="B1319">
        <v>21883</v>
      </c>
      <c r="C1319">
        <v>523999</v>
      </c>
      <c r="D1319">
        <v>52899</v>
      </c>
      <c r="E1319">
        <v>100</v>
      </c>
      <c r="F1319" t="s">
        <v>37</v>
      </c>
      <c r="G1319">
        <v>1</v>
      </c>
      <c r="H1319" t="s">
        <v>37</v>
      </c>
      <c r="I1319" t="s">
        <v>37</v>
      </c>
      <c r="J1319" t="s">
        <v>775</v>
      </c>
      <c r="K1319" t="s">
        <v>230</v>
      </c>
      <c r="L1319" t="s">
        <v>226</v>
      </c>
      <c r="M1319" t="s">
        <v>422</v>
      </c>
      <c r="N1319" t="s">
        <v>5905</v>
      </c>
      <c r="O1319" t="s">
        <v>5906</v>
      </c>
      <c r="S1319">
        <v>0</v>
      </c>
      <c r="T1319">
        <v>16</v>
      </c>
      <c r="U1319">
        <v>0</v>
      </c>
      <c r="V1319">
        <v>16</v>
      </c>
      <c r="W1319">
        <v>0</v>
      </c>
      <c r="X1319">
        <v>0</v>
      </c>
      <c r="Y1319">
        <v>0</v>
      </c>
      <c r="Z1319">
        <v>0</v>
      </c>
      <c r="AB1319" s="5">
        <v>43831</v>
      </c>
      <c r="AC1319" s="5">
        <v>43831</v>
      </c>
      <c r="AD1319" s="5">
        <v>44306.666666666664</v>
      </c>
      <c r="AE1319" s="5">
        <v>44306.666666666664</v>
      </c>
      <c r="AG1319" s="5">
        <v>44044</v>
      </c>
      <c r="AH1319" s="5">
        <v>44044</v>
      </c>
      <c r="AK1319" s="5">
        <v>43994.333333333336</v>
      </c>
      <c r="AL1319" s="5">
        <v>43994.333333333336</v>
      </c>
      <c r="AP1319" t="s">
        <v>418</v>
      </c>
      <c r="AU1319" t="s">
        <v>5907</v>
      </c>
      <c r="AV1319" t="s">
        <v>5908</v>
      </c>
      <c r="AY1319" t="s">
        <v>37</v>
      </c>
      <c r="AZ1319">
        <v>0</v>
      </c>
      <c r="BA1319">
        <v>0</v>
      </c>
      <c r="BI1319" s="5">
        <v>44048.176388888889</v>
      </c>
      <c r="BJ1319" s="5">
        <v>44048.176388888889</v>
      </c>
      <c r="BK1319" t="s">
        <v>778</v>
      </c>
      <c r="BL1319" t="s">
        <v>778</v>
      </c>
      <c r="BN1319" t="s">
        <v>37</v>
      </c>
    </row>
    <row r="1320" spans="1:66" x14ac:dyDescent="0.2">
      <c r="A1320">
        <v>3693877</v>
      </c>
      <c r="B1320">
        <v>21883</v>
      </c>
      <c r="C1320">
        <v>523849</v>
      </c>
      <c r="D1320">
        <v>52899</v>
      </c>
      <c r="E1320">
        <v>0</v>
      </c>
      <c r="F1320" t="s">
        <v>37</v>
      </c>
      <c r="G1320">
        <v>1</v>
      </c>
      <c r="H1320" t="s">
        <v>37</v>
      </c>
      <c r="I1320" t="s">
        <v>37</v>
      </c>
      <c r="J1320" t="s">
        <v>775</v>
      </c>
      <c r="K1320" t="s">
        <v>230</v>
      </c>
      <c r="L1320" t="s">
        <v>226</v>
      </c>
      <c r="M1320" t="s">
        <v>417</v>
      </c>
      <c r="N1320" t="s">
        <v>5909</v>
      </c>
      <c r="O1320" t="s">
        <v>2541</v>
      </c>
      <c r="Q1320">
        <v>-136</v>
      </c>
      <c r="R1320">
        <v>72</v>
      </c>
      <c r="S1320">
        <v>48</v>
      </c>
      <c r="T1320">
        <v>0</v>
      </c>
      <c r="U1320">
        <v>0</v>
      </c>
      <c r="V1320">
        <v>0</v>
      </c>
      <c r="W1320">
        <v>48</v>
      </c>
      <c r="X1320">
        <v>0</v>
      </c>
      <c r="Y1320">
        <v>0</v>
      </c>
      <c r="Z1320">
        <v>0</v>
      </c>
      <c r="AD1320" s="5">
        <v>44019.333333333336</v>
      </c>
      <c r="AE1320" s="5">
        <v>44026.666666666664</v>
      </c>
      <c r="AG1320" s="5">
        <v>44046.333333333336</v>
      </c>
      <c r="AH1320" s="5">
        <v>44053.666666666664</v>
      </c>
      <c r="AI1320" s="5">
        <v>44046.333333333336</v>
      </c>
      <c r="AJ1320" s="5">
        <v>44053.666666666664</v>
      </c>
      <c r="AK1320" s="5">
        <v>44046.333333333336</v>
      </c>
      <c r="AL1320" s="5">
        <v>44053.666666666664</v>
      </c>
      <c r="AM1320" s="5">
        <v>44019.333333333336</v>
      </c>
      <c r="AN1320" s="5">
        <v>44026.666666666664</v>
      </c>
      <c r="AP1320" t="s">
        <v>418</v>
      </c>
      <c r="AU1320" t="s">
        <v>5910</v>
      </c>
      <c r="AV1320" t="s">
        <v>5911</v>
      </c>
      <c r="AY1320" t="s">
        <v>37</v>
      </c>
      <c r="AZ1320">
        <v>0</v>
      </c>
      <c r="BA1320">
        <v>0</v>
      </c>
      <c r="BI1320" s="5">
        <v>44048.176388888889</v>
      </c>
      <c r="BJ1320" s="5">
        <v>44048.176388888889</v>
      </c>
      <c r="BK1320" t="s">
        <v>778</v>
      </c>
      <c r="BL1320" t="s">
        <v>778</v>
      </c>
      <c r="BN1320" t="s">
        <v>37</v>
      </c>
    </row>
    <row r="1321" spans="1:66" x14ac:dyDescent="0.2">
      <c r="A1321">
        <v>3693878</v>
      </c>
      <c r="B1321">
        <v>21883</v>
      </c>
      <c r="C1321">
        <v>523849</v>
      </c>
      <c r="D1321">
        <v>52899</v>
      </c>
      <c r="E1321">
        <v>0</v>
      </c>
      <c r="F1321" t="s">
        <v>37</v>
      </c>
      <c r="G1321">
        <v>1</v>
      </c>
      <c r="H1321" t="s">
        <v>37</v>
      </c>
      <c r="I1321" t="s">
        <v>37</v>
      </c>
      <c r="J1321" t="s">
        <v>775</v>
      </c>
      <c r="K1321" t="s">
        <v>230</v>
      </c>
      <c r="L1321" t="s">
        <v>226</v>
      </c>
      <c r="M1321" t="s">
        <v>417</v>
      </c>
      <c r="N1321" t="s">
        <v>5912</v>
      </c>
      <c r="O1321" t="s">
        <v>2545</v>
      </c>
      <c r="Q1321">
        <v>-208</v>
      </c>
      <c r="R1321">
        <v>0</v>
      </c>
      <c r="S1321">
        <v>32</v>
      </c>
      <c r="T1321">
        <v>0</v>
      </c>
      <c r="U1321">
        <v>0</v>
      </c>
      <c r="V1321">
        <v>0</v>
      </c>
      <c r="W1321">
        <v>32</v>
      </c>
      <c r="X1321">
        <v>0</v>
      </c>
      <c r="Y1321">
        <v>0</v>
      </c>
      <c r="Z1321">
        <v>0</v>
      </c>
      <c r="AD1321" s="5">
        <v>44021.333333333336</v>
      </c>
      <c r="AE1321" s="5">
        <v>44026.666666666664</v>
      </c>
      <c r="AG1321" s="5">
        <v>44063.333333333336</v>
      </c>
      <c r="AH1321" s="5">
        <v>44070.666666666664</v>
      </c>
      <c r="AI1321" s="5">
        <v>44063.333333333336</v>
      </c>
      <c r="AJ1321" s="5">
        <v>44070.666666666664</v>
      </c>
      <c r="AK1321" s="5">
        <v>44063.333333333336</v>
      </c>
      <c r="AL1321" s="5">
        <v>44070.666666666664</v>
      </c>
      <c r="AM1321" s="5">
        <v>44021.333333333336</v>
      </c>
      <c r="AN1321" s="5">
        <v>44026.666666666664</v>
      </c>
      <c r="AP1321" t="s">
        <v>418</v>
      </c>
      <c r="AU1321" t="s">
        <v>5913</v>
      </c>
      <c r="AV1321" t="s">
        <v>5914</v>
      </c>
      <c r="AY1321" t="s">
        <v>37</v>
      </c>
      <c r="AZ1321">
        <v>0</v>
      </c>
      <c r="BA1321">
        <v>0</v>
      </c>
      <c r="BI1321" s="5">
        <v>44048.176388888889</v>
      </c>
      <c r="BJ1321" s="5">
        <v>44048.176388888889</v>
      </c>
      <c r="BK1321" t="s">
        <v>778</v>
      </c>
      <c r="BL1321" t="s">
        <v>778</v>
      </c>
      <c r="BN1321" t="s">
        <v>37</v>
      </c>
    </row>
    <row r="1322" spans="1:66" x14ac:dyDescent="0.2">
      <c r="A1322">
        <v>3693879</v>
      </c>
      <c r="B1322">
        <v>21883</v>
      </c>
      <c r="C1322">
        <v>523849</v>
      </c>
      <c r="D1322">
        <v>52899</v>
      </c>
      <c r="E1322">
        <v>0</v>
      </c>
      <c r="F1322" t="s">
        <v>37</v>
      </c>
      <c r="G1322">
        <v>1</v>
      </c>
      <c r="H1322" t="s">
        <v>37</v>
      </c>
      <c r="I1322" t="s">
        <v>37</v>
      </c>
      <c r="J1322" t="s">
        <v>775</v>
      </c>
      <c r="K1322" t="s">
        <v>230</v>
      </c>
      <c r="L1322" t="s">
        <v>226</v>
      </c>
      <c r="M1322" t="s">
        <v>417</v>
      </c>
      <c r="N1322" t="s">
        <v>5915</v>
      </c>
      <c r="O1322" t="s">
        <v>2549</v>
      </c>
      <c r="Q1322">
        <v>-208</v>
      </c>
      <c r="R1322">
        <v>0</v>
      </c>
      <c r="S1322">
        <v>8</v>
      </c>
      <c r="T1322">
        <v>0</v>
      </c>
      <c r="U1322">
        <v>8</v>
      </c>
      <c r="V1322">
        <v>8</v>
      </c>
      <c r="W1322">
        <v>8</v>
      </c>
      <c r="X1322">
        <v>0</v>
      </c>
      <c r="Y1322">
        <v>0</v>
      </c>
      <c r="Z1322">
        <v>0</v>
      </c>
      <c r="AD1322" s="5">
        <v>44041.333333333336</v>
      </c>
      <c r="AE1322" s="5">
        <v>44041.666666666664</v>
      </c>
      <c r="AG1322" s="5">
        <v>44084.333333333336</v>
      </c>
      <c r="AH1322" s="5">
        <v>44084.666666666664</v>
      </c>
      <c r="AI1322" s="5">
        <v>44084.333333333336</v>
      </c>
      <c r="AJ1322" s="5">
        <v>44084.666666666664</v>
      </c>
      <c r="AK1322" s="5">
        <v>44084.333333333336</v>
      </c>
      <c r="AL1322" s="5">
        <v>44084.666666666664</v>
      </c>
      <c r="AM1322" s="5">
        <v>44041.333333333336</v>
      </c>
      <c r="AN1322" s="5">
        <v>44041.666666666664</v>
      </c>
      <c r="AP1322" t="s">
        <v>418</v>
      </c>
      <c r="AU1322" t="s">
        <v>5916</v>
      </c>
      <c r="AV1322" t="s">
        <v>5917</v>
      </c>
      <c r="AY1322" t="s">
        <v>37</v>
      </c>
      <c r="AZ1322">
        <v>0</v>
      </c>
      <c r="BA1322">
        <v>0</v>
      </c>
      <c r="BI1322" s="5">
        <v>44048.176388888889</v>
      </c>
      <c r="BJ1322" s="5">
        <v>44048.176388888889</v>
      </c>
      <c r="BK1322" t="s">
        <v>778</v>
      </c>
      <c r="BL1322" t="s">
        <v>778</v>
      </c>
      <c r="BN1322" t="s">
        <v>37</v>
      </c>
    </row>
    <row r="1323" spans="1:66" x14ac:dyDescent="0.2">
      <c r="A1323">
        <v>3693880</v>
      </c>
      <c r="B1323">
        <v>21883</v>
      </c>
      <c r="C1323">
        <v>523849</v>
      </c>
      <c r="D1323">
        <v>52895</v>
      </c>
      <c r="E1323">
        <v>0</v>
      </c>
      <c r="F1323" t="s">
        <v>37</v>
      </c>
      <c r="G1323">
        <v>1</v>
      </c>
      <c r="H1323" t="s">
        <v>37</v>
      </c>
      <c r="I1323" t="s">
        <v>37</v>
      </c>
      <c r="J1323" t="s">
        <v>775</v>
      </c>
      <c r="K1323" t="s">
        <v>230</v>
      </c>
      <c r="L1323" t="s">
        <v>226</v>
      </c>
      <c r="M1323" t="s">
        <v>417</v>
      </c>
      <c r="N1323" t="s">
        <v>5918</v>
      </c>
      <c r="O1323" t="s">
        <v>2553</v>
      </c>
      <c r="Q1323">
        <v>-344</v>
      </c>
      <c r="R1323">
        <v>0</v>
      </c>
      <c r="S1323">
        <v>56</v>
      </c>
      <c r="T1323">
        <v>0</v>
      </c>
      <c r="U1323">
        <v>0</v>
      </c>
      <c r="V1323">
        <v>0</v>
      </c>
      <c r="W1323">
        <v>56</v>
      </c>
      <c r="X1323">
        <v>0</v>
      </c>
      <c r="Y1323">
        <v>0</v>
      </c>
      <c r="Z1323">
        <v>0</v>
      </c>
      <c r="AD1323" s="5">
        <v>44042.333333333336</v>
      </c>
      <c r="AE1323" s="5">
        <v>44048.666666666664</v>
      </c>
      <c r="AG1323" s="5">
        <v>44085.333333333336</v>
      </c>
      <c r="AH1323" s="5">
        <v>44091.666666666664</v>
      </c>
      <c r="AI1323" s="5">
        <v>44085.333333333336</v>
      </c>
      <c r="AJ1323" s="5">
        <v>44091.666666666664</v>
      </c>
      <c r="AK1323" s="5">
        <v>44085.333333333336</v>
      </c>
      <c r="AL1323" s="5">
        <v>44091.666666666664</v>
      </c>
      <c r="AM1323" s="5">
        <v>44042.333333333336</v>
      </c>
      <c r="AN1323" s="5">
        <v>44048.666666666664</v>
      </c>
      <c r="AP1323" t="s">
        <v>418</v>
      </c>
      <c r="AU1323" t="s">
        <v>5919</v>
      </c>
      <c r="AV1323" t="s">
        <v>5920</v>
      </c>
      <c r="AY1323" t="s">
        <v>37</v>
      </c>
      <c r="AZ1323">
        <v>0</v>
      </c>
      <c r="BA1323">
        <v>0</v>
      </c>
      <c r="BI1323" s="5">
        <v>44048.176388888889</v>
      </c>
      <c r="BJ1323" s="5">
        <v>44048.176388888889</v>
      </c>
      <c r="BK1323" t="s">
        <v>778</v>
      </c>
      <c r="BL1323" t="s">
        <v>778</v>
      </c>
      <c r="BN1323" t="s">
        <v>37</v>
      </c>
    </row>
    <row r="1324" spans="1:66" x14ac:dyDescent="0.2">
      <c r="A1324">
        <v>3693881</v>
      </c>
      <c r="B1324">
        <v>21883</v>
      </c>
      <c r="C1324">
        <v>523849</v>
      </c>
      <c r="D1324">
        <v>52899</v>
      </c>
      <c r="E1324">
        <v>100</v>
      </c>
      <c r="F1324" t="s">
        <v>37</v>
      </c>
      <c r="G1324">
        <v>1</v>
      </c>
      <c r="H1324" t="s">
        <v>37</v>
      </c>
      <c r="I1324" t="s">
        <v>37</v>
      </c>
      <c r="J1324" t="s">
        <v>775</v>
      </c>
      <c r="K1324" t="s">
        <v>230</v>
      </c>
      <c r="L1324" t="s">
        <v>226</v>
      </c>
      <c r="M1324" t="s">
        <v>422</v>
      </c>
      <c r="N1324" t="s">
        <v>5921</v>
      </c>
      <c r="O1324" t="s">
        <v>3760</v>
      </c>
      <c r="S1324">
        <v>0</v>
      </c>
      <c r="T1324">
        <v>0</v>
      </c>
      <c r="U1324">
        <v>0</v>
      </c>
      <c r="V1324">
        <v>0</v>
      </c>
      <c r="W1324">
        <v>8</v>
      </c>
      <c r="X1324">
        <v>0</v>
      </c>
      <c r="Y1324">
        <v>0</v>
      </c>
      <c r="Z1324">
        <v>0</v>
      </c>
      <c r="AB1324" s="5">
        <v>44033</v>
      </c>
      <c r="AC1324" s="5">
        <v>44033</v>
      </c>
      <c r="AD1324" s="5">
        <v>44005.333333333336</v>
      </c>
      <c r="AE1324" s="5">
        <v>44005.333333333336</v>
      </c>
      <c r="AG1324" s="5">
        <v>44044</v>
      </c>
      <c r="AH1324" s="5">
        <v>44044</v>
      </c>
      <c r="AK1324" s="5">
        <v>44041.333333333336</v>
      </c>
      <c r="AL1324" s="5">
        <v>44041.666666666664</v>
      </c>
      <c r="AP1324" t="s">
        <v>418</v>
      </c>
      <c r="AU1324" t="s">
        <v>5922</v>
      </c>
      <c r="AV1324" t="s">
        <v>5923</v>
      </c>
      <c r="AY1324" t="s">
        <v>37</v>
      </c>
      <c r="AZ1324">
        <v>0</v>
      </c>
      <c r="BA1324">
        <v>0</v>
      </c>
      <c r="BI1324" s="5">
        <v>44048.176388888889</v>
      </c>
      <c r="BJ1324" s="5">
        <v>44048.176388888889</v>
      </c>
      <c r="BK1324" t="s">
        <v>778</v>
      </c>
      <c r="BL1324" t="s">
        <v>778</v>
      </c>
      <c r="BN1324" t="s">
        <v>37</v>
      </c>
    </row>
    <row r="1325" spans="1:66" x14ac:dyDescent="0.2">
      <c r="A1325">
        <v>3693882</v>
      </c>
      <c r="B1325">
        <v>21883</v>
      </c>
      <c r="C1325">
        <v>523849</v>
      </c>
      <c r="D1325">
        <v>52899</v>
      </c>
      <c r="E1325">
        <v>100</v>
      </c>
      <c r="F1325" t="s">
        <v>37</v>
      </c>
      <c r="G1325">
        <v>1</v>
      </c>
      <c r="H1325" t="s">
        <v>37</v>
      </c>
      <c r="I1325" t="s">
        <v>37</v>
      </c>
      <c r="J1325" t="s">
        <v>775</v>
      </c>
      <c r="K1325" t="s">
        <v>230</v>
      </c>
      <c r="L1325" t="s">
        <v>226</v>
      </c>
      <c r="M1325" t="s">
        <v>422</v>
      </c>
      <c r="N1325" t="s">
        <v>5924</v>
      </c>
      <c r="O1325" t="s">
        <v>3788</v>
      </c>
      <c r="S1325">
        <v>0</v>
      </c>
      <c r="T1325">
        <v>0</v>
      </c>
      <c r="U1325">
        <v>0</v>
      </c>
      <c r="V1325">
        <v>0</v>
      </c>
      <c r="W1325">
        <v>8</v>
      </c>
      <c r="X1325">
        <v>0</v>
      </c>
      <c r="Y1325">
        <v>0</v>
      </c>
      <c r="Z1325">
        <v>0</v>
      </c>
      <c r="AB1325" s="5">
        <v>44033</v>
      </c>
      <c r="AC1325" s="5">
        <v>44033</v>
      </c>
      <c r="AD1325" s="5">
        <v>44005.333333333336</v>
      </c>
      <c r="AE1325" s="5">
        <v>44005.333333333336</v>
      </c>
      <c r="AG1325" s="5">
        <v>44044</v>
      </c>
      <c r="AH1325" s="5">
        <v>44044</v>
      </c>
      <c r="AK1325" s="5">
        <v>44041.333333333336</v>
      </c>
      <c r="AL1325" s="5">
        <v>44041.666666666664</v>
      </c>
      <c r="AP1325" t="s">
        <v>418</v>
      </c>
      <c r="AU1325" t="s">
        <v>5925</v>
      </c>
      <c r="AV1325" t="s">
        <v>5926</v>
      </c>
      <c r="AY1325" t="s">
        <v>37</v>
      </c>
      <c r="AZ1325">
        <v>0</v>
      </c>
      <c r="BA1325">
        <v>0</v>
      </c>
      <c r="BI1325" s="5">
        <v>44048.176388888889</v>
      </c>
      <c r="BJ1325" s="5">
        <v>44048.176388888889</v>
      </c>
      <c r="BK1325" t="s">
        <v>778</v>
      </c>
      <c r="BL1325" t="s">
        <v>778</v>
      </c>
      <c r="BN1325" t="s">
        <v>37</v>
      </c>
    </row>
    <row r="1326" spans="1:66" x14ac:dyDescent="0.2">
      <c r="A1326">
        <v>3693883</v>
      </c>
      <c r="B1326">
        <v>21883</v>
      </c>
      <c r="C1326">
        <v>523849</v>
      </c>
      <c r="D1326">
        <v>52899</v>
      </c>
      <c r="E1326">
        <v>0</v>
      </c>
      <c r="F1326" t="s">
        <v>37</v>
      </c>
      <c r="G1326">
        <v>1</v>
      </c>
      <c r="H1326" t="s">
        <v>37</v>
      </c>
      <c r="I1326" t="s">
        <v>37</v>
      </c>
      <c r="J1326" t="s">
        <v>775</v>
      </c>
      <c r="K1326" t="s">
        <v>230</v>
      </c>
      <c r="L1326" t="s">
        <v>226</v>
      </c>
      <c r="M1326" t="s">
        <v>417</v>
      </c>
      <c r="N1326" t="s">
        <v>5927</v>
      </c>
      <c r="O1326" t="s">
        <v>4368</v>
      </c>
      <c r="Q1326">
        <v>-208</v>
      </c>
      <c r="R1326">
        <v>0</v>
      </c>
      <c r="S1326">
        <v>32</v>
      </c>
      <c r="T1326">
        <v>0</v>
      </c>
      <c r="U1326">
        <v>32</v>
      </c>
      <c r="V1326">
        <v>32</v>
      </c>
      <c r="W1326">
        <v>32</v>
      </c>
      <c r="X1326">
        <v>0</v>
      </c>
      <c r="Y1326">
        <v>0</v>
      </c>
      <c r="Z1326">
        <v>0</v>
      </c>
      <c r="AD1326" s="5">
        <v>44005.333333333336</v>
      </c>
      <c r="AE1326" s="5">
        <v>44008.666666666664</v>
      </c>
      <c r="AG1326" s="5">
        <v>44046.333333333336</v>
      </c>
      <c r="AH1326" s="5">
        <v>44049.666666666664</v>
      </c>
      <c r="AI1326" s="5">
        <v>44046.333333333336</v>
      </c>
      <c r="AJ1326" s="5">
        <v>44049.666666666664</v>
      </c>
      <c r="AK1326" s="5">
        <v>44046.333333333336</v>
      </c>
      <c r="AL1326" s="5">
        <v>44049.666666666664</v>
      </c>
      <c r="AM1326" s="5">
        <v>44005.333333333336</v>
      </c>
      <c r="AN1326" s="5">
        <v>44008.666666666664</v>
      </c>
      <c r="AP1326" t="s">
        <v>418</v>
      </c>
      <c r="AU1326" t="s">
        <v>5928</v>
      </c>
      <c r="AV1326" t="s">
        <v>5929</v>
      </c>
      <c r="AY1326" t="s">
        <v>37</v>
      </c>
      <c r="AZ1326">
        <v>0</v>
      </c>
      <c r="BA1326">
        <v>0</v>
      </c>
      <c r="BI1326" s="5">
        <v>44048.176388888889</v>
      </c>
      <c r="BJ1326" s="5">
        <v>44048.176388888889</v>
      </c>
      <c r="BK1326" t="s">
        <v>778</v>
      </c>
      <c r="BL1326" t="s">
        <v>778</v>
      </c>
      <c r="BN1326" t="s">
        <v>37</v>
      </c>
    </row>
    <row r="1327" spans="1:66" x14ac:dyDescent="0.2">
      <c r="A1327">
        <v>3693884</v>
      </c>
      <c r="B1327">
        <v>21883</v>
      </c>
      <c r="C1327">
        <v>523849</v>
      </c>
      <c r="D1327">
        <v>52899</v>
      </c>
      <c r="E1327">
        <v>0</v>
      </c>
      <c r="F1327" t="s">
        <v>37</v>
      </c>
      <c r="G1327">
        <v>1</v>
      </c>
      <c r="H1327" t="s">
        <v>37</v>
      </c>
      <c r="I1327" t="s">
        <v>37</v>
      </c>
      <c r="J1327" t="s">
        <v>775</v>
      </c>
      <c r="K1327" t="s">
        <v>230</v>
      </c>
      <c r="L1327" t="s">
        <v>226</v>
      </c>
      <c r="M1327" t="s">
        <v>417</v>
      </c>
      <c r="N1327" t="s">
        <v>5930</v>
      </c>
      <c r="O1327" t="s">
        <v>5931</v>
      </c>
      <c r="Q1327">
        <v>-208</v>
      </c>
      <c r="R1327">
        <v>0</v>
      </c>
      <c r="S1327">
        <v>32</v>
      </c>
      <c r="T1327">
        <v>0</v>
      </c>
      <c r="U1327">
        <v>32</v>
      </c>
      <c r="V1327">
        <v>32</v>
      </c>
      <c r="W1327">
        <v>32</v>
      </c>
      <c r="X1327">
        <v>0</v>
      </c>
      <c r="Y1327">
        <v>0</v>
      </c>
      <c r="Z1327">
        <v>0</v>
      </c>
      <c r="AD1327" s="5">
        <v>44011.333333333336</v>
      </c>
      <c r="AE1327" s="5">
        <v>44014.666666666664</v>
      </c>
      <c r="AG1327" s="5">
        <v>44050.333333333336</v>
      </c>
      <c r="AH1327" s="5">
        <v>44055.666666666664</v>
      </c>
      <c r="AI1327" s="5">
        <v>44050.333333333336</v>
      </c>
      <c r="AJ1327" s="5">
        <v>44055.666666666664</v>
      </c>
      <c r="AK1327" s="5">
        <v>44050.333333333336</v>
      </c>
      <c r="AL1327" s="5">
        <v>44055.666666666664</v>
      </c>
      <c r="AM1327" s="5">
        <v>44011.333333333336</v>
      </c>
      <c r="AN1327" s="5">
        <v>44014.666666666664</v>
      </c>
      <c r="AP1327" t="s">
        <v>418</v>
      </c>
      <c r="AU1327" t="s">
        <v>5932</v>
      </c>
      <c r="AV1327" t="s">
        <v>5933</v>
      </c>
      <c r="AY1327" t="s">
        <v>37</v>
      </c>
      <c r="AZ1327">
        <v>0</v>
      </c>
      <c r="BA1327">
        <v>0</v>
      </c>
      <c r="BI1327" s="5">
        <v>44048.176388888889</v>
      </c>
      <c r="BJ1327" s="5">
        <v>44048.176388888889</v>
      </c>
      <c r="BK1327" t="s">
        <v>778</v>
      </c>
      <c r="BL1327" t="s">
        <v>778</v>
      </c>
      <c r="BN1327" t="s">
        <v>37</v>
      </c>
    </row>
    <row r="1328" spans="1:66" x14ac:dyDescent="0.2">
      <c r="A1328">
        <v>3693885</v>
      </c>
      <c r="B1328">
        <v>21883</v>
      </c>
      <c r="C1328">
        <v>523849</v>
      </c>
      <c r="D1328">
        <v>52899</v>
      </c>
      <c r="E1328">
        <v>0</v>
      </c>
      <c r="F1328" t="s">
        <v>37</v>
      </c>
      <c r="G1328">
        <v>1</v>
      </c>
      <c r="H1328" t="s">
        <v>37</v>
      </c>
      <c r="I1328" t="s">
        <v>37</v>
      </c>
      <c r="J1328" t="s">
        <v>775</v>
      </c>
      <c r="K1328" t="s">
        <v>230</v>
      </c>
      <c r="L1328" t="s">
        <v>226</v>
      </c>
      <c r="M1328" t="s">
        <v>417</v>
      </c>
      <c r="N1328" t="s">
        <v>5934</v>
      </c>
      <c r="O1328" t="s">
        <v>5935</v>
      </c>
      <c r="Q1328">
        <v>-208</v>
      </c>
      <c r="R1328">
        <v>0</v>
      </c>
      <c r="S1328">
        <v>24</v>
      </c>
      <c r="T1328">
        <v>0</v>
      </c>
      <c r="U1328">
        <v>48</v>
      </c>
      <c r="V1328">
        <v>48</v>
      </c>
      <c r="W1328">
        <v>24</v>
      </c>
      <c r="X1328">
        <v>0</v>
      </c>
      <c r="Y1328">
        <v>0</v>
      </c>
      <c r="Z1328">
        <v>0</v>
      </c>
      <c r="AD1328" s="5">
        <v>44018.333333333336</v>
      </c>
      <c r="AE1328" s="5">
        <v>44020.666666666664</v>
      </c>
      <c r="AG1328" s="5">
        <v>44057.333333333336</v>
      </c>
      <c r="AH1328" s="5">
        <v>44061.666666666664</v>
      </c>
      <c r="AI1328" s="5">
        <v>44057.333333333336</v>
      </c>
      <c r="AJ1328" s="5">
        <v>44061.666666666664</v>
      </c>
      <c r="AK1328" s="5">
        <v>44057.333333333336</v>
      </c>
      <c r="AL1328" s="5">
        <v>44061.666666666664</v>
      </c>
      <c r="AM1328" s="5">
        <v>44018.333333333336</v>
      </c>
      <c r="AN1328" s="5">
        <v>44020.666666666664</v>
      </c>
      <c r="AP1328" t="s">
        <v>418</v>
      </c>
      <c r="AU1328" t="s">
        <v>5936</v>
      </c>
      <c r="AV1328" t="s">
        <v>5937</v>
      </c>
      <c r="AY1328" t="s">
        <v>37</v>
      </c>
      <c r="AZ1328">
        <v>0</v>
      </c>
      <c r="BA1328">
        <v>0</v>
      </c>
      <c r="BI1328" s="5">
        <v>44048.176388888889</v>
      </c>
      <c r="BJ1328" s="5">
        <v>44048.176388888889</v>
      </c>
      <c r="BK1328" t="s">
        <v>778</v>
      </c>
      <c r="BL1328" t="s">
        <v>778</v>
      </c>
      <c r="BN1328" t="s">
        <v>37</v>
      </c>
    </row>
    <row r="1329" spans="1:66" x14ac:dyDescent="0.2">
      <c r="A1329">
        <v>3693886</v>
      </c>
      <c r="B1329">
        <v>21883</v>
      </c>
      <c r="C1329">
        <v>523849</v>
      </c>
      <c r="D1329">
        <v>52899</v>
      </c>
      <c r="E1329">
        <v>0</v>
      </c>
      <c r="F1329" t="s">
        <v>37</v>
      </c>
      <c r="G1329">
        <v>1</v>
      </c>
      <c r="H1329" t="s">
        <v>37</v>
      </c>
      <c r="I1329" t="s">
        <v>37</v>
      </c>
      <c r="J1329" t="s">
        <v>775</v>
      </c>
      <c r="K1329" t="s">
        <v>230</v>
      </c>
      <c r="L1329" t="s">
        <v>226</v>
      </c>
      <c r="M1329" t="s">
        <v>417</v>
      </c>
      <c r="N1329" t="s">
        <v>5938</v>
      </c>
      <c r="O1329" t="s">
        <v>4380</v>
      </c>
      <c r="Q1329">
        <v>-208</v>
      </c>
      <c r="R1329">
        <v>0</v>
      </c>
      <c r="S1329">
        <v>32</v>
      </c>
      <c r="T1329">
        <v>0</v>
      </c>
      <c r="U1329">
        <v>32</v>
      </c>
      <c r="V1329">
        <v>32</v>
      </c>
      <c r="W1329">
        <v>32</v>
      </c>
      <c r="X1329">
        <v>0</v>
      </c>
      <c r="Y1329">
        <v>0</v>
      </c>
      <c r="Z1329">
        <v>0</v>
      </c>
      <c r="AD1329" s="5">
        <v>44027.333333333336</v>
      </c>
      <c r="AE1329" s="5">
        <v>44032.666666666664</v>
      </c>
      <c r="AG1329" s="5">
        <v>44071.333333333336</v>
      </c>
      <c r="AH1329" s="5">
        <v>44076.666666666664</v>
      </c>
      <c r="AI1329" s="5">
        <v>44071.333333333336</v>
      </c>
      <c r="AJ1329" s="5">
        <v>44076.666666666664</v>
      </c>
      <c r="AK1329" s="5">
        <v>44071.333333333336</v>
      </c>
      <c r="AL1329" s="5">
        <v>44076.666666666664</v>
      </c>
      <c r="AM1329" s="5">
        <v>44027.333333333336</v>
      </c>
      <c r="AN1329" s="5">
        <v>44032.666666666664</v>
      </c>
      <c r="AP1329" t="s">
        <v>418</v>
      </c>
      <c r="AU1329" t="s">
        <v>5939</v>
      </c>
      <c r="AV1329" t="s">
        <v>5940</v>
      </c>
      <c r="AY1329" t="s">
        <v>37</v>
      </c>
      <c r="AZ1329">
        <v>0</v>
      </c>
      <c r="BA1329">
        <v>0</v>
      </c>
      <c r="BI1329" s="5">
        <v>44048.176388888889</v>
      </c>
      <c r="BJ1329" s="5">
        <v>44048.176388888889</v>
      </c>
      <c r="BK1329" t="s">
        <v>778</v>
      </c>
      <c r="BL1329" t="s">
        <v>778</v>
      </c>
      <c r="BN1329" t="s">
        <v>37</v>
      </c>
    </row>
    <row r="1330" spans="1:66" x14ac:dyDescent="0.2">
      <c r="A1330">
        <v>3693887</v>
      </c>
      <c r="B1330">
        <v>21883</v>
      </c>
      <c r="C1330">
        <v>523849</v>
      </c>
      <c r="D1330">
        <v>52899</v>
      </c>
      <c r="E1330">
        <v>0</v>
      </c>
      <c r="F1330" t="s">
        <v>37</v>
      </c>
      <c r="G1330">
        <v>1</v>
      </c>
      <c r="H1330" t="s">
        <v>37</v>
      </c>
      <c r="I1330" t="s">
        <v>37</v>
      </c>
      <c r="J1330" t="s">
        <v>775</v>
      </c>
      <c r="K1330" t="s">
        <v>230</v>
      </c>
      <c r="L1330" t="s">
        <v>226</v>
      </c>
      <c r="M1330" t="s">
        <v>417</v>
      </c>
      <c r="N1330" t="s">
        <v>5941</v>
      </c>
      <c r="O1330" t="s">
        <v>4384</v>
      </c>
      <c r="Q1330">
        <v>-208</v>
      </c>
      <c r="R1330">
        <v>0</v>
      </c>
      <c r="S1330">
        <v>32</v>
      </c>
      <c r="T1330">
        <v>0</v>
      </c>
      <c r="U1330">
        <v>32</v>
      </c>
      <c r="V1330">
        <v>32</v>
      </c>
      <c r="W1330">
        <v>32</v>
      </c>
      <c r="X1330">
        <v>0</v>
      </c>
      <c r="Y1330">
        <v>0</v>
      </c>
      <c r="Z1330">
        <v>0</v>
      </c>
      <c r="AD1330" s="5">
        <v>44034.333333333336</v>
      </c>
      <c r="AE1330" s="5">
        <v>44040.666666666664</v>
      </c>
      <c r="AG1330" s="5">
        <v>44077.333333333336</v>
      </c>
      <c r="AH1330" s="5">
        <v>44083.666666666664</v>
      </c>
      <c r="AI1330" s="5">
        <v>44077.333333333336</v>
      </c>
      <c r="AJ1330" s="5">
        <v>44083.666666666664</v>
      </c>
      <c r="AK1330" s="5">
        <v>44077.333333333336</v>
      </c>
      <c r="AL1330" s="5">
        <v>44083.666666666664</v>
      </c>
      <c r="AM1330" s="5">
        <v>44034.333333333336</v>
      </c>
      <c r="AN1330" s="5">
        <v>44040.666666666664</v>
      </c>
      <c r="AP1330" t="s">
        <v>418</v>
      </c>
      <c r="AU1330" t="s">
        <v>5942</v>
      </c>
      <c r="AV1330" t="s">
        <v>5943</v>
      </c>
      <c r="AY1330" t="s">
        <v>37</v>
      </c>
      <c r="AZ1330">
        <v>0</v>
      </c>
      <c r="BA1330">
        <v>0</v>
      </c>
      <c r="BI1330" s="5">
        <v>44048.176388888889</v>
      </c>
      <c r="BJ1330" s="5">
        <v>44048.176388888889</v>
      </c>
      <c r="BK1330" t="s">
        <v>778</v>
      </c>
      <c r="BL1330" t="s">
        <v>778</v>
      </c>
      <c r="BN1330" t="s">
        <v>37</v>
      </c>
    </row>
    <row r="1331" spans="1:66" x14ac:dyDescent="0.2">
      <c r="A1331">
        <v>3693888</v>
      </c>
      <c r="B1331">
        <v>21883</v>
      </c>
      <c r="C1331">
        <v>523849</v>
      </c>
      <c r="D1331">
        <v>52899</v>
      </c>
      <c r="E1331">
        <v>0</v>
      </c>
      <c r="F1331" t="s">
        <v>37</v>
      </c>
      <c r="G1331">
        <v>1</v>
      </c>
      <c r="H1331" t="s">
        <v>37</v>
      </c>
      <c r="I1331" t="s">
        <v>37</v>
      </c>
      <c r="J1331" t="s">
        <v>775</v>
      </c>
      <c r="K1331" t="s">
        <v>230</v>
      </c>
      <c r="L1331" t="s">
        <v>226</v>
      </c>
      <c r="M1331" t="s">
        <v>417</v>
      </c>
      <c r="N1331" t="s">
        <v>5944</v>
      </c>
      <c r="O1331" t="s">
        <v>4388</v>
      </c>
      <c r="Q1331">
        <v>-288</v>
      </c>
      <c r="R1331">
        <v>40</v>
      </c>
      <c r="S1331">
        <v>16</v>
      </c>
      <c r="T1331">
        <v>0</v>
      </c>
      <c r="U1331">
        <v>16</v>
      </c>
      <c r="V1331">
        <v>16</v>
      </c>
      <c r="W1331">
        <v>16</v>
      </c>
      <c r="X1331">
        <v>0</v>
      </c>
      <c r="Y1331">
        <v>0</v>
      </c>
      <c r="Z1331">
        <v>0</v>
      </c>
      <c r="AD1331" s="5">
        <v>44105.333333333336</v>
      </c>
      <c r="AE1331" s="5">
        <v>44109.666666666664</v>
      </c>
      <c r="AG1331" s="5">
        <v>44167.333333333336</v>
      </c>
      <c r="AH1331" s="5">
        <v>44168.666666666664</v>
      </c>
      <c r="AI1331" s="5">
        <v>44167.333333333336</v>
      </c>
      <c r="AJ1331" s="5">
        <v>44168.666666666664</v>
      </c>
      <c r="AK1331" s="5">
        <v>44167.333333333336</v>
      </c>
      <c r="AL1331" s="5">
        <v>44168.666666666664</v>
      </c>
      <c r="AM1331" s="5">
        <v>44105.333333333336</v>
      </c>
      <c r="AN1331" s="5">
        <v>44109.666666666664</v>
      </c>
      <c r="AP1331" t="s">
        <v>418</v>
      </c>
      <c r="AU1331" t="s">
        <v>5945</v>
      </c>
      <c r="AV1331" t="s">
        <v>5946</v>
      </c>
      <c r="AY1331" t="s">
        <v>37</v>
      </c>
      <c r="AZ1331">
        <v>0</v>
      </c>
      <c r="BA1331">
        <v>0</v>
      </c>
      <c r="BI1331" s="5">
        <v>44048.176388888889</v>
      </c>
      <c r="BJ1331" s="5">
        <v>44048.176388888889</v>
      </c>
      <c r="BK1331" t="s">
        <v>778</v>
      </c>
      <c r="BL1331" t="s">
        <v>778</v>
      </c>
      <c r="BN1331" t="s">
        <v>37</v>
      </c>
    </row>
    <row r="1332" spans="1:66" x14ac:dyDescent="0.2">
      <c r="A1332">
        <v>3693889</v>
      </c>
      <c r="B1332">
        <v>21883</v>
      </c>
      <c r="C1332">
        <v>523849</v>
      </c>
      <c r="D1332">
        <v>52899</v>
      </c>
      <c r="E1332">
        <v>0</v>
      </c>
      <c r="F1332" t="s">
        <v>37</v>
      </c>
      <c r="G1332">
        <v>1</v>
      </c>
      <c r="H1332" t="s">
        <v>37</v>
      </c>
      <c r="I1332" t="s">
        <v>37</v>
      </c>
      <c r="J1332" t="s">
        <v>775</v>
      </c>
      <c r="K1332" t="s">
        <v>230</v>
      </c>
      <c r="L1332" t="s">
        <v>226</v>
      </c>
      <c r="M1332" t="s">
        <v>417</v>
      </c>
      <c r="N1332" t="s">
        <v>5947</v>
      </c>
      <c r="O1332" t="s">
        <v>4392</v>
      </c>
      <c r="Q1332">
        <v>-88</v>
      </c>
      <c r="R1332">
        <v>264</v>
      </c>
      <c r="S1332">
        <v>32</v>
      </c>
      <c r="T1332">
        <v>0</v>
      </c>
      <c r="U1332">
        <v>32</v>
      </c>
      <c r="V1332">
        <v>32</v>
      </c>
      <c r="W1332">
        <v>32</v>
      </c>
      <c r="X1332">
        <v>0</v>
      </c>
      <c r="Y1332">
        <v>0</v>
      </c>
      <c r="Z1332">
        <v>0</v>
      </c>
      <c r="AD1332" s="5">
        <v>44082.333333333336</v>
      </c>
      <c r="AE1332" s="5">
        <v>44085.666666666664</v>
      </c>
      <c r="AG1332" s="5">
        <v>44098.333333333336</v>
      </c>
      <c r="AH1332" s="5">
        <v>44103.666666666664</v>
      </c>
      <c r="AI1332" s="5">
        <v>44098.333333333336</v>
      </c>
      <c r="AJ1332" s="5">
        <v>44103.666666666664</v>
      </c>
      <c r="AK1332" s="5">
        <v>44098.333333333336</v>
      </c>
      <c r="AL1332" s="5">
        <v>44103.666666666664</v>
      </c>
      <c r="AM1332" s="5">
        <v>44082.333333333336</v>
      </c>
      <c r="AN1332" s="5">
        <v>44085.666666666664</v>
      </c>
      <c r="AP1332" t="s">
        <v>418</v>
      </c>
      <c r="AU1332" t="s">
        <v>5948</v>
      </c>
      <c r="AV1332" t="s">
        <v>5949</v>
      </c>
      <c r="AY1332" t="s">
        <v>37</v>
      </c>
      <c r="AZ1332">
        <v>0</v>
      </c>
      <c r="BA1332">
        <v>0</v>
      </c>
      <c r="BI1332" s="5">
        <v>44048.176388888889</v>
      </c>
      <c r="BJ1332" s="5">
        <v>44048.176388888889</v>
      </c>
      <c r="BK1332" t="s">
        <v>778</v>
      </c>
      <c r="BL1332" t="s">
        <v>778</v>
      </c>
      <c r="BN1332" t="s">
        <v>37</v>
      </c>
    </row>
    <row r="1333" spans="1:66" x14ac:dyDescent="0.2">
      <c r="A1333">
        <v>3693890</v>
      </c>
      <c r="B1333">
        <v>21883</v>
      </c>
      <c r="C1333">
        <v>523848</v>
      </c>
      <c r="D1333">
        <v>52899</v>
      </c>
      <c r="E1333">
        <v>100</v>
      </c>
      <c r="F1333" t="s">
        <v>37</v>
      </c>
      <c r="G1333">
        <v>1</v>
      </c>
      <c r="H1333" t="s">
        <v>37</v>
      </c>
      <c r="I1333" t="s">
        <v>37</v>
      </c>
      <c r="J1333" t="s">
        <v>775</v>
      </c>
      <c r="K1333" t="s">
        <v>230</v>
      </c>
      <c r="L1333" t="s">
        <v>226</v>
      </c>
      <c r="M1333" t="s">
        <v>422</v>
      </c>
      <c r="N1333" t="s">
        <v>5950</v>
      </c>
      <c r="O1333" t="s">
        <v>5951</v>
      </c>
      <c r="S1333">
        <v>0</v>
      </c>
      <c r="T1333">
        <v>12</v>
      </c>
      <c r="U1333">
        <v>0</v>
      </c>
      <c r="V1333">
        <v>12</v>
      </c>
      <c r="W1333">
        <v>16</v>
      </c>
      <c r="X1333">
        <v>0</v>
      </c>
      <c r="Y1333">
        <v>0</v>
      </c>
      <c r="Z1333">
        <v>0</v>
      </c>
      <c r="AA1333" s="5">
        <v>44040.333333333336</v>
      </c>
      <c r="AB1333" s="5">
        <v>44040</v>
      </c>
      <c r="AC1333" s="5">
        <v>44041</v>
      </c>
      <c r="AD1333" s="5">
        <v>44006.333333333336</v>
      </c>
      <c r="AE1333" s="5">
        <v>44006.333333333336</v>
      </c>
      <c r="AG1333" s="5">
        <v>44044</v>
      </c>
      <c r="AH1333" s="5">
        <v>44044</v>
      </c>
      <c r="AK1333" s="5">
        <v>44041.333333333336</v>
      </c>
      <c r="AL1333" s="5">
        <v>44042.666666666664</v>
      </c>
      <c r="AO1333" t="s">
        <v>2336</v>
      </c>
      <c r="AP1333" t="s">
        <v>418</v>
      </c>
      <c r="AU1333" t="s">
        <v>5952</v>
      </c>
      <c r="AV1333" t="s">
        <v>5953</v>
      </c>
      <c r="AY1333" t="s">
        <v>37</v>
      </c>
      <c r="AZ1333">
        <v>0</v>
      </c>
      <c r="BA1333">
        <v>0</v>
      </c>
      <c r="BI1333" s="5">
        <v>44048.176388888889</v>
      </c>
      <c r="BJ1333" s="5">
        <v>44048.176388888889</v>
      </c>
      <c r="BK1333" t="s">
        <v>778</v>
      </c>
      <c r="BL1333" t="s">
        <v>778</v>
      </c>
      <c r="BN1333" t="s">
        <v>37</v>
      </c>
    </row>
    <row r="1334" spans="1:66" x14ac:dyDescent="0.2">
      <c r="A1334">
        <v>3693891</v>
      </c>
      <c r="B1334">
        <v>21883</v>
      </c>
      <c r="C1334">
        <v>523999</v>
      </c>
      <c r="D1334">
        <v>52899</v>
      </c>
      <c r="E1334">
        <v>100</v>
      </c>
      <c r="F1334" t="s">
        <v>37</v>
      </c>
      <c r="G1334">
        <v>1</v>
      </c>
      <c r="H1334" t="s">
        <v>37</v>
      </c>
      <c r="I1334" t="s">
        <v>37</v>
      </c>
      <c r="J1334" t="s">
        <v>775</v>
      </c>
      <c r="K1334" t="s">
        <v>230</v>
      </c>
      <c r="L1334" t="s">
        <v>226</v>
      </c>
      <c r="M1334" t="s">
        <v>422</v>
      </c>
      <c r="N1334" t="s">
        <v>5954</v>
      </c>
      <c r="O1334" t="s">
        <v>5955</v>
      </c>
      <c r="S1334">
        <v>0</v>
      </c>
      <c r="T1334">
        <v>16</v>
      </c>
      <c r="U1334">
        <v>0</v>
      </c>
      <c r="V1334">
        <v>16</v>
      </c>
      <c r="W1334">
        <v>0</v>
      </c>
      <c r="X1334">
        <v>0</v>
      </c>
      <c r="Y1334">
        <v>0</v>
      </c>
      <c r="Z1334">
        <v>0</v>
      </c>
      <c r="AB1334" s="5">
        <v>43831</v>
      </c>
      <c r="AC1334" s="5">
        <v>43831</v>
      </c>
      <c r="AD1334" s="5">
        <v>44306.666666666664</v>
      </c>
      <c r="AE1334" s="5">
        <v>44306.666666666664</v>
      </c>
      <c r="AG1334" s="5">
        <v>44044</v>
      </c>
      <c r="AH1334" s="5">
        <v>44044</v>
      </c>
      <c r="AK1334" s="5">
        <v>44011.333333333336</v>
      </c>
      <c r="AL1334" s="5">
        <v>44011.333333333336</v>
      </c>
      <c r="AP1334" t="s">
        <v>418</v>
      </c>
      <c r="AU1334" t="s">
        <v>5956</v>
      </c>
      <c r="AV1334" t="s">
        <v>5957</v>
      </c>
      <c r="AY1334" t="s">
        <v>37</v>
      </c>
      <c r="AZ1334">
        <v>0</v>
      </c>
      <c r="BA1334">
        <v>0</v>
      </c>
      <c r="BI1334" s="5">
        <v>44048.176388888889</v>
      </c>
      <c r="BJ1334" s="5">
        <v>44048.176388888889</v>
      </c>
      <c r="BK1334" t="s">
        <v>778</v>
      </c>
      <c r="BL1334" t="s">
        <v>778</v>
      </c>
      <c r="BN1334" t="s">
        <v>37</v>
      </c>
    </row>
    <row r="1335" spans="1:66" x14ac:dyDescent="0.2">
      <c r="A1335">
        <v>3693892</v>
      </c>
      <c r="B1335">
        <v>21883</v>
      </c>
      <c r="C1335">
        <v>523848</v>
      </c>
      <c r="D1335">
        <v>52899</v>
      </c>
      <c r="E1335">
        <v>0</v>
      </c>
      <c r="F1335" t="s">
        <v>37</v>
      </c>
      <c r="G1335">
        <v>1</v>
      </c>
      <c r="H1335" t="s">
        <v>37</v>
      </c>
      <c r="I1335" t="s">
        <v>37</v>
      </c>
      <c r="J1335" t="s">
        <v>775</v>
      </c>
      <c r="K1335" t="s">
        <v>230</v>
      </c>
      <c r="L1335" t="s">
        <v>226</v>
      </c>
      <c r="M1335" t="s">
        <v>417</v>
      </c>
      <c r="N1335" t="s">
        <v>5958</v>
      </c>
      <c r="O1335" t="s">
        <v>2565</v>
      </c>
      <c r="Q1335">
        <v>-128</v>
      </c>
      <c r="R1335">
        <v>40</v>
      </c>
      <c r="S1335">
        <v>48</v>
      </c>
      <c r="T1335">
        <v>0</v>
      </c>
      <c r="U1335">
        <v>0</v>
      </c>
      <c r="V1335">
        <v>0</v>
      </c>
      <c r="W1335">
        <v>48</v>
      </c>
      <c r="X1335">
        <v>0</v>
      </c>
      <c r="Y1335">
        <v>0</v>
      </c>
      <c r="Z1335">
        <v>0</v>
      </c>
      <c r="AD1335" s="5">
        <v>44020.333333333336</v>
      </c>
      <c r="AE1335" s="5">
        <v>44027.666666666664</v>
      </c>
      <c r="AG1335" s="5">
        <v>44046.333333333336</v>
      </c>
      <c r="AH1335" s="5">
        <v>44053.666666666664</v>
      </c>
      <c r="AI1335" s="5">
        <v>44046.333333333336</v>
      </c>
      <c r="AJ1335" s="5">
        <v>44053.666666666664</v>
      </c>
      <c r="AK1335" s="5">
        <v>44046.333333333336</v>
      </c>
      <c r="AL1335" s="5">
        <v>44053.666666666664</v>
      </c>
      <c r="AM1335" s="5">
        <v>44020.333333333336</v>
      </c>
      <c r="AN1335" s="5">
        <v>44027.666666666664</v>
      </c>
      <c r="AP1335" t="s">
        <v>418</v>
      </c>
      <c r="AU1335" t="s">
        <v>5959</v>
      </c>
      <c r="AV1335" t="s">
        <v>5960</v>
      </c>
      <c r="AY1335" t="s">
        <v>37</v>
      </c>
      <c r="AZ1335">
        <v>0</v>
      </c>
      <c r="BA1335">
        <v>0</v>
      </c>
      <c r="BI1335" s="5">
        <v>44048.176388888889</v>
      </c>
      <c r="BJ1335" s="5">
        <v>44048.176388888889</v>
      </c>
      <c r="BK1335" t="s">
        <v>778</v>
      </c>
      <c r="BL1335" t="s">
        <v>778</v>
      </c>
      <c r="BN1335" t="s">
        <v>37</v>
      </c>
    </row>
    <row r="1336" spans="1:66" x14ac:dyDescent="0.2">
      <c r="A1336">
        <v>3693893</v>
      </c>
      <c r="B1336">
        <v>21883</v>
      </c>
      <c r="C1336">
        <v>523848</v>
      </c>
      <c r="D1336">
        <v>52899</v>
      </c>
      <c r="E1336">
        <v>0</v>
      </c>
      <c r="F1336" t="s">
        <v>37</v>
      </c>
      <c r="G1336">
        <v>1</v>
      </c>
      <c r="H1336" t="s">
        <v>37</v>
      </c>
      <c r="I1336" t="s">
        <v>37</v>
      </c>
      <c r="J1336" t="s">
        <v>775</v>
      </c>
      <c r="K1336" t="s">
        <v>230</v>
      </c>
      <c r="L1336" t="s">
        <v>226</v>
      </c>
      <c r="M1336" t="s">
        <v>417</v>
      </c>
      <c r="N1336" t="s">
        <v>5961</v>
      </c>
      <c r="O1336" t="s">
        <v>2569</v>
      </c>
      <c r="Q1336">
        <v>-168</v>
      </c>
      <c r="R1336">
        <v>0</v>
      </c>
      <c r="S1336">
        <v>32</v>
      </c>
      <c r="T1336">
        <v>0</v>
      </c>
      <c r="U1336">
        <v>0</v>
      </c>
      <c r="V1336">
        <v>0</v>
      </c>
      <c r="W1336">
        <v>32</v>
      </c>
      <c r="X1336">
        <v>0</v>
      </c>
      <c r="Y1336">
        <v>0</v>
      </c>
      <c r="Z1336">
        <v>0</v>
      </c>
      <c r="AD1336" s="5">
        <v>44028.333333333336</v>
      </c>
      <c r="AE1336" s="5">
        <v>44034.666666666664</v>
      </c>
      <c r="AG1336" s="5">
        <v>44063.333333333336</v>
      </c>
      <c r="AH1336" s="5">
        <v>44070.666666666664</v>
      </c>
      <c r="AI1336" s="5">
        <v>44063.333333333336</v>
      </c>
      <c r="AJ1336" s="5">
        <v>44070.666666666664</v>
      </c>
      <c r="AK1336" s="5">
        <v>44063.333333333336</v>
      </c>
      <c r="AL1336" s="5">
        <v>44070.666666666664</v>
      </c>
      <c r="AM1336" s="5">
        <v>44028.333333333336</v>
      </c>
      <c r="AN1336" s="5">
        <v>44034.666666666664</v>
      </c>
      <c r="AP1336" t="s">
        <v>418</v>
      </c>
      <c r="AU1336" t="s">
        <v>5962</v>
      </c>
      <c r="AV1336" t="s">
        <v>5963</v>
      </c>
      <c r="AY1336" t="s">
        <v>37</v>
      </c>
      <c r="AZ1336">
        <v>0</v>
      </c>
      <c r="BA1336">
        <v>0</v>
      </c>
      <c r="BI1336" s="5">
        <v>44048.176388888889</v>
      </c>
      <c r="BJ1336" s="5">
        <v>44048.176388888889</v>
      </c>
      <c r="BK1336" t="s">
        <v>778</v>
      </c>
      <c r="BL1336" t="s">
        <v>778</v>
      </c>
      <c r="BN1336" t="s">
        <v>37</v>
      </c>
    </row>
    <row r="1337" spans="1:66" x14ac:dyDescent="0.2">
      <c r="A1337">
        <v>3693894</v>
      </c>
      <c r="B1337">
        <v>21883</v>
      </c>
      <c r="C1337">
        <v>523848</v>
      </c>
      <c r="D1337">
        <v>52899</v>
      </c>
      <c r="E1337">
        <v>0</v>
      </c>
      <c r="F1337" t="s">
        <v>37</v>
      </c>
      <c r="G1337">
        <v>1</v>
      </c>
      <c r="H1337" t="s">
        <v>37</v>
      </c>
      <c r="I1337" t="s">
        <v>37</v>
      </c>
      <c r="J1337" t="s">
        <v>775</v>
      </c>
      <c r="K1337" t="s">
        <v>230</v>
      </c>
      <c r="L1337" t="s">
        <v>226</v>
      </c>
      <c r="M1337" t="s">
        <v>417</v>
      </c>
      <c r="N1337" t="s">
        <v>5964</v>
      </c>
      <c r="O1337" t="s">
        <v>2573</v>
      </c>
      <c r="Q1337">
        <v>-176</v>
      </c>
      <c r="R1337">
        <v>0</v>
      </c>
      <c r="S1337">
        <v>8</v>
      </c>
      <c r="T1337">
        <v>0</v>
      </c>
      <c r="U1337">
        <v>8</v>
      </c>
      <c r="V1337">
        <v>8</v>
      </c>
      <c r="W1337">
        <v>8</v>
      </c>
      <c r="X1337">
        <v>0</v>
      </c>
      <c r="Y1337">
        <v>0</v>
      </c>
      <c r="Z1337">
        <v>0</v>
      </c>
      <c r="AD1337" s="5">
        <v>44048.333333333336</v>
      </c>
      <c r="AE1337" s="5">
        <v>44048.666666666664</v>
      </c>
      <c r="AG1337" s="5">
        <v>44085.333333333336</v>
      </c>
      <c r="AH1337" s="5">
        <v>44085.666666666664</v>
      </c>
      <c r="AI1337" s="5">
        <v>44085.333333333336</v>
      </c>
      <c r="AJ1337" s="5">
        <v>44085.666666666664</v>
      </c>
      <c r="AK1337" s="5">
        <v>44085.333333333336</v>
      </c>
      <c r="AL1337" s="5">
        <v>44085.666666666664</v>
      </c>
      <c r="AM1337" s="5">
        <v>44048.333333333336</v>
      </c>
      <c r="AN1337" s="5">
        <v>44048.666666666664</v>
      </c>
      <c r="AP1337" t="s">
        <v>418</v>
      </c>
      <c r="AU1337" t="s">
        <v>5965</v>
      </c>
      <c r="AV1337" t="s">
        <v>5966</v>
      </c>
      <c r="AY1337" t="s">
        <v>37</v>
      </c>
      <c r="AZ1337">
        <v>0</v>
      </c>
      <c r="BA1337">
        <v>0</v>
      </c>
      <c r="BI1337" s="5">
        <v>44048.176388888889</v>
      </c>
      <c r="BJ1337" s="5">
        <v>44048.176388888889</v>
      </c>
      <c r="BK1337" t="s">
        <v>778</v>
      </c>
      <c r="BL1337" t="s">
        <v>778</v>
      </c>
      <c r="BN1337" t="s">
        <v>37</v>
      </c>
    </row>
    <row r="1338" spans="1:66" x14ac:dyDescent="0.2">
      <c r="A1338">
        <v>3693895</v>
      </c>
      <c r="B1338">
        <v>21883</v>
      </c>
      <c r="C1338">
        <v>523848</v>
      </c>
      <c r="D1338">
        <v>52895</v>
      </c>
      <c r="E1338">
        <v>0</v>
      </c>
      <c r="F1338" t="s">
        <v>37</v>
      </c>
      <c r="G1338">
        <v>1</v>
      </c>
      <c r="H1338" t="s">
        <v>37</v>
      </c>
      <c r="I1338" t="s">
        <v>37</v>
      </c>
      <c r="J1338" t="s">
        <v>775</v>
      </c>
      <c r="K1338" t="s">
        <v>230</v>
      </c>
      <c r="L1338" t="s">
        <v>226</v>
      </c>
      <c r="M1338" t="s">
        <v>417</v>
      </c>
      <c r="N1338" t="s">
        <v>5967</v>
      </c>
      <c r="O1338" t="s">
        <v>2577</v>
      </c>
      <c r="Q1338">
        <v>-120</v>
      </c>
      <c r="R1338">
        <v>432</v>
      </c>
      <c r="S1338">
        <v>56</v>
      </c>
      <c r="T1338">
        <v>0</v>
      </c>
      <c r="U1338">
        <v>0</v>
      </c>
      <c r="V1338">
        <v>0</v>
      </c>
      <c r="W1338">
        <v>56</v>
      </c>
      <c r="X1338">
        <v>0</v>
      </c>
      <c r="Y1338">
        <v>0</v>
      </c>
      <c r="Z1338">
        <v>0</v>
      </c>
      <c r="AD1338" s="5">
        <v>44071.333333333336</v>
      </c>
      <c r="AE1338" s="5">
        <v>44077.666666666664</v>
      </c>
      <c r="AG1338" s="5">
        <v>44086.333333333336</v>
      </c>
      <c r="AH1338" s="5">
        <v>44092.666666666664</v>
      </c>
      <c r="AI1338" s="5">
        <v>44086.333333333336</v>
      </c>
      <c r="AJ1338" s="5">
        <v>44092.666666666664</v>
      </c>
      <c r="AK1338" s="5">
        <v>44086.333333333336</v>
      </c>
      <c r="AL1338" s="5">
        <v>44092.666666666664</v>
      </c>
      <c r="AM1338" s="5">
        <v>44071.333333333336</v>
      </c>
      <c r="AN1338" s="5">
        <v>44077.666666666664</v>
      </c>
      <c r="AP1338" t="s">
        <v>418</v>
      </c>
      <c r="AU1338" t="s">
        <v>5968</v>
      </c>
      <c r="AV1338" t="s">
        <v>5969</v>
      </c>
      <c r="AY1338" t="s">
        <v>37</v>
      </c>
      <c r="AZ1338">
        <v>0</v>
      </c>
      <c r="BA1338">
        <v>0</v>
      </c>
      <c r="BI1338" s="5">
        <v>44048.176388888889</v>
      </c>
      <c r="BJ1338" s="5">
        <v>44048.176388888889</v>
      </c>
      <c r="BK1338" t="s">
        <v>778</v>
      </c>
      <c r="BL1338" t="s">
        <v>778</v>
      </c>
      <c r="BN1338" t="s">
        <v>37</v>
      </c>
    </row>
    <row r="1339" spans="1:66" x14ac:dyDescent="0.2">
      <c r="A1339">
        <v>3693896</v>
      </c>
      <c r="B1339">
        <v>21883</v>
      </c>
      <c r="C1339">
        <v>523848</v>
      </c>
      <c r="D1339">
        <v>52899</v>
      </c>
      <c r="E1339">
        <v>100</v>
      </c>
      <c r="F1339" t="s">
        <v>37</v>
      </c>
      <c r="G1339">
        <v>1</v>
      </c>
      <c r="H1339" t="s">
        <v>37</v>
      </c>
      <c r="I1339" t="s">
        <v>37</v>
      </c>
      <c r="J1339" t="s">
        <v>775</v>
      </c>
      <c r="K1339" t="s">
        <v>230</v>
      </c>
      <c r="L1339" t="s">
        <v>226</v>
      </c>
      <c r="M1339" t="s">
        <v>422</v>
      </c>
      <c r="N1339" t="s">
        <v>5970</v>
      </c>
      <c r="O1339" t="s">
        <v>3764</v>
      </c>
      <c r="S1339">
        <v>0</v>
      </c>
      <c r="T1339">
        <v>0</v>
      </c>
      <c r="U1339">
        <v>0</v>
      </c>
      <c r="V1339">
        <v>0</v>
      </c>
      <c r="W1339">
        <v>8</v>
      </c>
      <c r="X1339">
        <v>0</v>
      </c>
      <c r="Y1339">
        <v>0</v>
      </c>
      <c r="Z1339">
        <v>0</v>
      </c>
      <c r="AB1339" s="5">
        <v>44039</v>
      </c>
      <c r="AC1339" s="5">
        <v>44039</v>
      </c>
      <c r="AD1339" s="5">
        <v>44006.333333333336</v>
      </c>
      <c r="AE1339" s="5">
        <v>44006.333333333336</v>
      </c>
      <c r="AG1339" s="5">
        <v>44044</v>
      </c>
      <c r="AH1339" s="5">
        <v>44044</v>
      </c>
      <c r="AK1339" s="5">
        <v>44041.333333333336</v>
      </c>
      <c r="AL1339" s="5">
        <v>44041.666666666664</v>
      </c>
      <c r="AP1339" t="s">
        <v>418</v>
      </c>
      <c r="AU1339" t="s">
        <v>5971</v>
      </c>
      <c r="AV1339" t="s">
        <v>5972</v>
      </c>
      <c r="AY1339" t="s">
        <v>37</v>
      </c>
      <c r="AZ1339">
        <v>0</v>
      </c>
      <c r="BA1339">
        <v>0</v>
      </c>
      <c r="BI1339" s="5">
        <v>44048.176388888889</v>
      </c>
      <c r="BJ1339" s="5">
        <v>44048.176388888889</v>
      </c>
      <c r="BK1339" t="s">
        <v>778</v>
      </c>
      <c r="BL1339" t="s">
        <v>778</v>
      </c>
      <c r="BN1339" t="s">
        <v>37</v>
      </c>
    </row>
    <row r="1340" spans="1:66" x14ac:dyDescent="0.2">
      <c r="A1340">
        <v>3693897</v>
      </c>
      <c r="B1340">
        <v>21883</v>
      </c>
      <c r="C1340">
        <v>523848</v>
      </c>
      <c r="D1340">
        <v>52899</v>
      </c>
      <c r="E1340">
        <v>100</v>
      </c>
      <c r="F1340" t="s">
        <v>37</v>
      </c>
      <c r="G1340">
        <v>1</v>
      </c>
      <c r="H1340" t="s">
        <v>37</v>
      </c>
      <c r="I1340" t="s">
        <v>37</v>
      </c>
      <c r="J1340" t="s">
        <v>775</v>
      </c>
      <c r="K1340" t="s">
        <v>230</v>
      </c>
      <c r="L1340" t="s">
        <v>226</v>
      </c>
      <c r="M1340" t="s">
        <v>422</v>
      </c>
      <c r="N1340" t="s">
        <v>5973</v>
      </c>
      <c r="O1340" t="s">
        <v>4280</v>
      </c>
      <c r="S1340">
        <v>0</v>
      </c>
      <c r="T1340">
        <v>0</v>
      </c>
      <c r="U1340">
        <v>0</v>
      </c>
      <c r="V1340">
        <v>0</v>
      </c>
      <c r="W1340">
        <v>8</v>
      </c>
      <c r="X1340">
        <v>0</v>
      </c>
      <c r="Y1340">
        <v>0</v>
      </c>
      <c r="Z1340">
        <v>0</v>
      </c>
      <c r="AB1340" s="5">
        <v>44039</v>
      </c>
      <c r="AC1340" s="5">
        <v>44039</v>
      </c>
      <c r="AD1340" s="5">
        <v>44006.333333333336</v>
      </c>
      <c r="AE1340" s="5">
        <v>44006.333333333336</v>
      </c>
      <c r="AG1340" s="5">
        <v>44044</v>
      </c>
      <c r="AH1340" s="5">
        <v>44044</v>
      </c>
      <c r="AK1340" s="5">
        <v>44041.333333333336</v>
      </c>
      <c r="AL1340" s="5">
        <v>44041.666666666664</v>
      </c>
      <c r="AP1340" t="s">
        <v>418</v>
      </c>
      <c r="AU1340" t="s">
        <v>5974</v>
      </c>
      <c r="AV1340" t="s">
        <v>5975</v>
      </c>
      <c r="AY1340" t="s">
        <v>37</v>
      </c>
      <c r="AZ1340">
        <v>0</v>
      </c>
      <c r="BA1340">
        <v>0</v>
      </c>
      <c r="BI1340" s="5">
        <v>44048.176388888889</v>
      </c>
      <c r="BJ1340" s="5">
        <v>44048.176388888889</v>
      </c>
      <c r="BK1340" t="s">
        <v>778</v>
      </c>
      <c r="BL1340" t="s">
        <v>778</v>
      </c>
      <c r="BN1340" t="s">
        <v>37</v>
      </c>
    </row>
    <row r="1341" spans="1:66" x14ac:dyDescent="0.2">
      <c r="A1341">
        <v>3693898</v>
      </c>
      <c r="B1341">
        <v>21883</v>
      </c>
      <c r="C1341">
        <v>523848</v>
      </c>
      <c r="D1341">
        <v>52899</v>
      </c>
      <c r="E1341">
        <v>0</v>
      </c>
      <c r="F1341" t="s">
        <v>37</v>
      </c>
      <c r="G1341">
        <v>1</v>
      </c>
      <c r="H1341" t="s">
        <v>37</v>
      </c>
      <c r="I1341" t="s">
        <v>37</v>
      </c>
      <c r="J1341" t="s">
        <v>775</v>
      </c>
      <c r="K1341" t="s">
        <v>230</v>
      </c>
      <c r="L1341" t="s">
        <v>226</v>
      </c>
      <c r="M1341" t="s">
        <v>417</v>
      </c>
      <c r="N1341" t="s">
        <v>5976</v>
      </c>
      <c r="O1341" t="s">
        <v>4395</v>
      </c>
      <c r="Q1341">
        <v>-168</v>
      </c>
      <c r="R1341">
        <v>0</v>
      </c>
      <c r="S1341">
        <v>32</v>
      </c>
      <c r="T1341">
        <v>0</v>
      </c>
      <c r="U1341">
        <v>32</v>
      </c>
      <c r="V1341">
        <v>32</v>
      </c>
      <c r="W1341">
        <v>32</v>
      </c>
      <c r="X1341">
        <v>0</v>
      </c>
      <c r="Y1341">
        <v>0</v>
      </c>
      <c r="Z1341">
        <v>0</v>
      </c>
      <c r="AD1341" s="5">
        <v>44012.333333333336</v>
      </c>
      <c r="AE1341" s="5">
        <v>44018.666666666664</v>
      </c>
      <c r="AG1341" s="5">
        <v>44046.333333333336</v>
      </c>
      <c r="AH1341" s="5">
        <v>44049.666666666664</v>
      </c>
      <c r="AI1341" s="5">
        <v>44046.333333333336</v>
      </c>
      <c r="AJ1341" s="5">
        <v>44049.666666666664</v>
      </c>
      <c r="AK1341" s="5">
        <v>44046.333333333336</v>
      </c>
      <c r="AL1341" s="5">
        <v>44049.666666666664</v>
      </c>
      <c r="AM1341" s="5">
        <v>44012.333333333336</v>
      </c>
      <c r="AN1341" s="5">
        <v>44018.666666666664</v>
      </c>
      <c r="AP1341" t="s">
        <v>418</v>
      </c>
      <c r="AU1341" t="s">
        <v>5977</v>
      </c>
      <c r="AV1341" t="s">
        <v>5978</v>
      </c>
      <c r="AY1341" t="s">
        <v>37</v>
      </c>
      <c r="AZ1341">
        <v>0</v>
      </c>
      <c r="BA1341">
        <v>0</v>
      </c>
      <c r="BI1341" s="5">
        <v>44048.176388888889</v>
      </c>
      <c r="BJ1341" s="5">
        <v>44048.176388888889</v>
      </c>
      <c r="BK1341" t="s">
        <v>778</v>
      </c>
      <c r="BL1341" t="s">
        <v>778</v>
      </c>
      <c r="BN1341" t="s">
        <v>37</v>
      </c>
    </row>
    <row r="1342" spans="1:66" x14ac:dyDescent="0.2">
      <c r="A1342">
        <v>3693899</v>
      </c>
      <c r="B1342">
        <v>21883</v>
      </c>
      <c r="C1342">
        <v>523848</v>
      </c>
      <c r="D1342">
        <v>52899</v>
      </c>
      <c r="E1342">
        <v>0</v>
      </c>
      <c r="F1342" t="s">
        <v>37</v>
      </c>
      <c r="G1342">
        <v>1</v>
      </c>
      <c r="H1342" t="s">
        <v>37</v>
      </c>
      <c r="I1342" t="s">
        <v>37</v>
      </c>
      <c r="J1342" t="s">
        <v>775</v>
      </c>
      <c r="K1342" t="s">
        <v>230</v>
      </c>
      <c r="L1342" t="s">
        <v>226</v>
      </c>
      <c r="M1342" t="s">
        <v>417</v>
      </c>
      <c r="N1342" t="s">
        <v>5979</v>
      </c>
      <c r="O1342" t="s">
        <v>5980</v>
      </c>
      <c r="Q1342">
        <v>-168</v>
      </c>
      <c r="R1342">
        <v>0</v>
      </c>
      <c r="S1342">
        <v>32</v>
      </c>
      <c r="T1342">
        <v>0</v>
      </c>
      <c r="U1342">
        <v>32</v>
      </c>
      <c r="V1342">
        <v>32</v>
      </c>
      <c r="W1342">
        <v>32</v>
      </c>
      <c r="X1342">
        <v>0</v>
      </c>
      <c r="Y1342">
        <v>0</v>
      </c>
      <c r="Z1342">
        <v>0</v>
      </c>
      <c r="AD1342" s="5">
        <v>44019.333333333336</v>
      </c>
      <c r="AE1342" s="5">
        <v>44022.666666666664</v>
      </c>
      <c r="AG1342" s="5">
        <v>44050.333333333336</v>
      </c>
      <c r="AH1342" s="5">
        <v>44055.666666666664</v>
      </c>
      <c r="AI1342" s="5">
        <v>44050.333333333336</v>
      </c>
      <c r="AJ1342" s="5">
        <v>44055.666666666664</v>
      </c>
      <c r="AK1342" s="5">
        <v>44050.333333333336</v>
      </c>
      <c r="AL1342" s="5">
        <v>44055.666666666664</v>
      </c>
      <c r="AM1342" s="5">
        <v>44019.333333333336</v>
      </c>
      <c r="AN1342" s="5">
        <v>44022.666666666664</v>
      </c>
      <c r="AP1342" t="s">
        <v>418</v>
      </c>
      <c r="AU1342" t="s">
        <v>5981</v>
      </c>
      <c r="AV1342" t="s">
        <v>5982</v>
      </c>
      <c r="AY1342" t="s">
        <v>37</v>
      </c>
      <c r="AZ1342">
        <v>0</v>
      </c>
      <c r="BA1342">
        <v>0</v>
      </c>
      <c r="BI1342" s="5">
        <v>44048.176388888889</v>
      </c>
      <c r="BJ1342" s="5">
        <v>44048.176388888889</v>
      </c>
      <c r="BK1342" t="s">
        <v>778</v>
      </c>
      <c r="BL1342" t="s">
        <v>778</v>
      </c>
      <c r="BN1342" t="s">
        <v>37</v>
      </c>
    </row>
    <row r="1343" spans="1:66" x14ac:dyDescent="0.2">
      <c r="A1343">
        <v>3693900</v>
      </c>
      <c r="B1343">
        <v>21883</v>
      </c>
      <c r="C1343">
        <v>523848</v>
      </c>
      <c r="D1343">
        <v>52899</v>
      </c>
      <c r="E1343">
        <v>0</v>
      </c>
      <c r="F1343" t="s">
        <v>37</v>
      </c>
      <c r="G1343">
        <v>1</v>
      </c>
      <c r="H1343" t="s">
        <v>37</v>
      </c>
      <c r="I1343" t="s">
        <v>37</v>
      </c>
      <c r="J1343" t="s">
        <v>775</v>
      </c>
      <c r="K1343" t="s">
        <v>230</v>
      </c>
      <c r="L1343" t="s">
        <v>226</v>
      </c>
      <c r="M1343" t="s">
        <v>417</v>
      </c>
      <c r="N1343" t="s">
        <v>5983</v>
      </c>
      <c r="O1343" t="s">
        <v>5984</v>
      </c>
      <c r="Q1343">
        <v>-168</v>
      </c>
      <c r="R1343">
        <v>0</v>
      </c>
      <c r="S1343">
        <v>24</v>
      </c>
      <c r="T1343">
        <v>0</v>
      </c>
      <c r="U1343">
        <v>48</v>
      </c>
      <c r="V1343">
        <v>48</v>
      </c>
      <c r="W1343">
        <v>24</v>
      </c>
      <c r="X1343">
        <v>0</v>
      </c>
      <c r="Y1343">
        <v>0</v>
      </c>
      <c r="Z1343">
        <v>0</v>
      </c>
      <c r="AD1343" s="5">
        <v>44025.333333333336</v>
      </c>
      <c r="AE1343" s="5">
        <v>44027.666666666664</v>
      </c>
      <c r="AG1343" s="5">
        <v>44057.333333333336</v>
      </c>
      <c r="AH1343" s="5">
        <v>44061.666666666664</v>
      </c>
      <c r="AI1343" s="5">
        <v>44057.333333333336</v>
      </c>
      <c r="AJ1343" s="5">
        <v>44061.666666666664</v>
      </c>
      <c r="AK1343" s="5">
        <v>44057.333333333336</v>
      </c>
      <c r="AL1343" s="5">
        <v>44061.666666666664</v>
      </c>
      <c r="AM1343" s="5">
        <v>44025.333333333336</v>
      </c>
      <c r="AN1343" s="5">
        <v>44027.666666666664</v>
      </c>
      <c r="AP1343" t="s">
        <v>418</v>
      </c>
      <c r="AU1343" t="s">
        <v>5985</v>
      </c>
      <c r="AV1343" t="s">
        <v>5986</v>
      </c>
      <c r="AY1343" t="s">
        <v>37</v>
      </c>
      <c r="AZ1343">
        <v>0</v>
      </c>
      <c r="BA1343">
        <v>0</v>
      </c>
      <c r="BI1343" s="5">
        <v>44048.176388888889</v>
      </c>
      <c r="BJ1343" s="5">
        <v>44048.176388888889</v>
      </c>
      <c r="BK1343" t="s">
        <v>778</v>
      </c>
      <c r="BL1343" t="s">
        <v>778</v>
      </c>
      <c r="BN1343" t="s">
        <v>37</v>
      </c>
    </row>
    <row r="1344" spans="1:66" x14ac:dyDescent="0.2">
      <c r="A1344">
        <v>3693901</v>
      </c>
      <c r="B1344">
        <v>21883</v>
      </c>
      <c r="C1344">
        <v>523848</v>
      </c>
      <c r="D1344">
        <v>52899</v>
      </c>
      <c r="E1344">
        <v>0</v>
      </c>
      <c r="F1344" t="s">
        <v>37</v>
      </c>
      <c r="G1344">
        <v>1</v>
      </c>
      <c r="H1344" t="s">
        <v>37</v>
      </c>
      <c r="I1344" t="s">
        <v>37</v>
      </c>
      <c r="J1344" t="s">
        <v>775</v>
      </c>
      <c r="K1344" t="s">
        <v>230</v>
      </c>
      <c r="L1344" t="s">
        <v>226</v>
      </c>
      <c r="M1344" t="s">
        <v>417</v>
      </c>
      <c r="N1344" t="s">
        <v>5987</v>
      </c>
      <c r="O1344" t="s">
        <v>4407</v>
      </c>
      <c r="Q1344">
        <v>-168</v>
      </c>
      <c r="R1344">
        <v>0</v>
      </c>
      <c r="S1344">
        <v>32</v>
      </c>
      <c r="T1344">
        <v>0</v>
      </c>
      <c r="U1344">
        <v>32</v>
      </c>
      <c r="V1344">
        <v>32</v>
      </c>
      <c r="W1344">
        <v>32</v>
      </c>
      <c r="X1344">
        <v>0</v>
      </c>
      <c r="Y1344">
        <v>0</v>
      </c>
      <c r="Z1344">
        <v>0</v>
      </c>
      <c r="AD1344" s="5">
        <v>44035.333333333336</v>
      </c>
      <c r="AE1344" s="5">
        <v>44041.666666666664</v>
      </c>
      <c r="AG1344" s="5">
        <v>44071.333333333336</v>
      </c>
      <c r="AH1344" s="5">
        <v>44076.666666666664</v>
      </c>
      <c r="AI1344" s="5">
        <v>44071.333333333336</v>
      </c>
      <c r="AJ1344" s="5">
        <v>44076.666666666664</v>
      </c>
      <c r="AK1344" s="5">
        <v>44071.333333333336</v>
      </c>
      <c r="AL1344" s="5">
        <v>44076.666666666664</v>
      </c>
      <c r="AM1344" s="5">
        <v>44035.333333333336</v>
      </c>
      <c r="AN1344" s="5">
        <v>44041.666666666664</v>
      </c>
      <c r="AP1344" t="s">
        <v>418</v>
      </c>
      <c r="AU1344" t="s">
        <v>5988</v>
      </c>
      <c r="AV1344" t="s">
        <v>5989</v>
      </c>
      <c r="AY1344" t="s">
        <v>37</v>
      </c>
      <c r="AZ1344">
        <v>0</v>
      </c>
      <c r="BA1344">
        <v>0</v>
      </c>
      <c r="BI1344" s="5">
        <v>44048.176388888889</v>
      </c>
      <c r="BJ1344" s="5">
        <v>44048.176388888889</v>
      </c>
      <c r="BK1344" t="s">
        <v>778</v>
      </c>
      <c r="BL1344" t="s">
        <v>778</v>
      </c>
      <c r="BN1344" t="s">
        <v>37</v>
      </c>
    </row>
    <row r="1345" spans="1:66" x14ac:dyDescent="0.2">
      <c r="A1345">
        <v>3693902</v>
      </c>
      <c r="B1345">
        <v>21883</v>
      </c>
      <c r="C1345">
        <v>523848</v>
      </c>
      <c r="D1345">
        <v>52899</v>
      </c>
      <c r="E1345">
        <v>0</v>
      </c>
      <c r="F1345" t="s">
        <v>37</v>
      </c>
      <c r="G1345">
        <v>1</v>
      </c>
      <c r="H1345" t="s">
        <v>37</v>
      </c>
      <c r="I1345" t="s">
        <v>37</v>
      </c>
      <c r="J1345" t="s">
        <v>775</v>
      </c>
      <c r="K1345" t="s">
        <v>230</v>
      </c>
      <c r="L1345" t="s">
        <v>226</v>
      </c>
      <c r="M1345" t="s">
        <v>417</v>
      </c>
      <c r="N1345" t="s">
        <v>5990</v>
      </c>
      <c r="O1345" t="s">
        <v>4411</v>
      </c>
      <c r="Q1345">
        <v>-168</v>
      </c>
      <c r="R1345">
        <v>8</v>
      </c>
      <c r="S1345">
        <v>32</v>
      </c>
      <c r="T1345">
        <v>0</v>
      </c>
      <c r="U1345">
        <v>32</v>
      </c>
      <c r="V1345">
        <v>32</v>
      </c>
      <c r="W1345">
        <v>32</v>
      </c>
      <c r="X1345">
        <v>0</v>
      </c>
      <c r="Y1345">
        <v>0</v>
      </c>
      <c r="Z1345">
        <v>0</v>
      </c>
      <c r="AD1345" s="5">
        <v>44042.333333333336</v>
      </c>
      <c r="AE1345" s="5">
        <v>44047.666666666664</v>
      </c>
      <c r="AG1345" s="5">
        <v>44077.333333333336</v>
      </c>
      <c r="AH1345" s="5">
        <v>44083.666666666664</v>
      </c>
      <c r="AI1345" s="5">
        <v>44077.333333333336</v>
      </c>
      <c r="AJ1345" s="5">
        <v>44083.666666666664</v>
      </c>
      <c r="AK1345" s="5">
        <v>44077.333333333336</v>
      </c>
      <c r="AL1345" s="5">
        <v>44083.666666666664</v>
      </c>
      <c r="AM1345" s="5">
        <v>44042.333333333336</v>
      </c>
      <c r="AN1345" s="5">
        <v>44047.666666666664</v>
      </c>
      <c r="AP1345" t="s">
        <v>418</v>
      </c>
      <c r="AU1345" t="s">
        <v>5991</v>
      </c>
      <c r="AV1345" t="s">
        <v>5992</v>
      </c>
      <c r="AY1345" t="s">
        <v>37</v>
      </c>
      <c r="AZ1345">
        <v>0</v>
      </c>
      <c r="BA1345">
        <v>0</v>
      </c>
      <c r="BI1345" s="5">
        <v>44048.176388888889</v>
      </c>
      <c r="BJ1345" s="5">
        <v>44048.176388888889</v>
      </c>
      <c r="BK1345" t="s">
        <v>778</v>
      </c>
      <c r="BL1345" t="s">
        <v>778</v>
      </c>
      <c r="BN1345" t="s">
        <v>37</v>
      </c>
    </row>
    <row r="1346" spans="1:66" x14ac:dyDescent="0.2">
      <c r="A1346">
        <v>3693903</v>
      </c>
      <c r="B1346">
        <v>21883</v>
      </c>
      <c r="C1346">
        <v>523848</v>
      </c>
      <c r="D1346">
        <v>52899</v>
      </c>
      <c r="E1346">
        <v>0</v>
      </c>
      <c r="F1346" t="s">
        <v>37</v>
      </c>
      <c r="G1346">
        <v>1</v>
      </c>
      <c r="H1346" t="s">
        <v>37</v>
      </c>
      <c r="I1346" t="s">
        <v>37</v>
      </c>
      <c r="J1346" t="s">
        <v>775</v>
      </c>
      <c r="K1346" t="s">
        <v>230</v>
      </c>
      <c r="L1346" t="s">
        <v>226</v>
      </c>
      <c r="M1346" t="s">
        <v>417</v>
      </c>
      <c r="N1346" t="s">
        <v>5993</v>
      </c>
      <c r="O1346" t="s">
        <v>4414</v>
      </c>
      <c r="Q1346">
        <v>-288</v>
      </c>
      <c r="R1346">
        <v>40</v>
      </c>
      <c r="S1346">
        <v>16</v>
      </c>
      <c r="T1346">
        <v>0</v>
      </c>
      <c r="U1346">
        <v>16</v>
      </c>
      <c r="V1346">
        <v>16</v>
      </c>
      <c r="W1346">
        <v>16</v>
      </c>
      <c r="X1346">
        <v>0</v>
      </c>
      <c r="Y1346">
        <v>0</v>
      </c>
      <c r="Z1346">
        <v>0</v>
      </c>
      <c r="AD1346" s="5">
        <v>44105.333333333336</v>
      </c>
      <c r="AE1346" s="5">
        <v>44109.666666666664</v>
      </c>
      <c r="AG1346" s="5">
        <v>44167.333333333336</v>
      </c>
      <c r="AH1346" s="5">
        <v>44168.666666666664</v>
      </c>
      <c r="AI1346" s="5">
        <v>44167.333333333336</v>
      </c>
      <c r="AJ1346" s="5">
        <v>44168.666666666664</v>
      </c>
      <c r="AK1346" s="5">
        <v>44167.333333333336</v>
      </c>
      <c r="AL1346" s="5">
        <v>44168.666666666664</v>
      </c>
      <c r="AM1346" s="5">
        <v>44105.333333333336</v>
      </c>
      <c r="AN1346" s="5">
        <v>44109.666666666664</v>
      </c>
      <c r="AP1346" t="s">
        <v>418</v>
      </c>
      <c r="AU1346" t="s">
        <v>5994</v>
      </c>
      <c r="AV1346" t="s">
        <v>5995</v>
      </c>
      <c r="AY1346" t="s">
        <v>37</v>
      </c>
      <c r="AZ1346">
        <v>0</v>
      </c>
      <c r="BA1346">
        <v>0</v>
      </c>
      <c r="BI1346" s="5">
        <v>44048.176388888889</v>
      </c>
      <c r="BJ1346" s="5">
        <v>44048.176388888889</v>
      </c>
      <c r="BK1346" t="s">
        <v>778</v>
      </c>
      <c r="BL1346" t="s">
        <v>778</v>
      </c>
      <c r="BN1346" t="s">
        <v>37</v>
      </c>
    </row>
    <row r="1347" spans="1:66" x14ac:dyDescent="0.2">
      <c r="A1347">
        <v>3693904</v>
      </c>
      <c r="B1347">
        <v>21883</v>
      </c>
      <c r="C1347">
        <v>523848</v>
      </c>
      <c r="D1347">
        <v>52899</v>
      </c>
      <c r="E1347">
        <v>0</v>
      </c>
      <c r="F1347" t="s">
        <v>37</v>
      </c>
      <c r="G1347">
        <v>1</v>
      </c>
      <c r="H1347" t="s">
        <v>37</v>
      </c>
      <c r="I1347" t="s">
        <v>37</v>
      </c>
      <c r="J1347" t="s">
        <v>775</v>
      </c>
      <c r="K1347" t="s">
        <v>230</v>
      </c>
      <c r="L1347" t="s">
        <v>226</v>
      </c>
      <c r="M1347" t="s">
        <v>417</v>
      </c>
      <c r="N1347" t="s">
        <v>5996</v>
      </c>
      <c r="O1347" t="s">
        <v>4418</v>
      </c>
      <c r="Q1347">
        <v>16</v>
      </c>
      <c r="R1347">
        <v>344</v>
      </c>
      <c r="S1347">
        <v>32</v>
      </c>
      <c r="T1347">
        <v>0</v>
      </c>
      <c r="U1347">
        <v>32</v>
      </c>
      <c r="V1347">
        <v>32</v>
      </c>
      <c r="W1347">
        <v>32</v>
      </c>
      <c r="X1347">
        <v>0</v>
      </c>
      <c r="Y1347">
        <v>0</v>
      </c>
      <c r="Z1347">
        <v>0</v>
      </c>
      <c r="AD1347" s="5">
        <v>44102.333333333336</v>
      </c>
      <c r="AE1347" s="5">
        <v>44109.666666666664</v>
      </c>
      <c r="AG1347" s="5">
        <v>44098.333333333336</v>
      </c>
      <c r="AH1347" s="5">
        <v>44103.666666666664</v>
      </c>
      <c r="AI1347" s="5">
        <v>44098.333333333336</v>
      </c>
      <c r="AJ1347" s="5">
        <v>44103.666666666664</v>
      </c>
      <c r="AK1347" s="5">
        <v>44098.333333333336</v>
      </c>
      <c r="AL1347" s="5">
        <v>44103.666666666664</v>
      </c>
      <c r="AM1347" s="5">
        <v>44102.333333333336</v>
      </c>
      <c r="AN1347" s="5">
        <v>44109.666666666664</v>
      </c>
      <c r="AP1347" t="s">
        <v>418</v>
      </c>
      <c r="AU1347" t="s">
        <v>5997</v>
      </c>
      <c r="AV1347" t="s">
        <v>5998</v>
      </c>
      <c r="AY1347" t="s">
        <v>37</v>
      </c>
      <c r="AZ1347">
        <v>0</v>
      </c>
      <c r="BA1347">
        <v>0</v>
      </c>
      <c r="BI1347" s="5">
        <v>44048.176388888889</v>
      </c>
      <c r="BJ1347" s="5">
        <v>44048.176388888889</v>
      </c>
      <c r="BK1347" t="s">
        <v>778</v>
      </c>
      <c r="BL1347" t="s">
        <v>778</v>
      </c>
      <c r="BN1347" t="s">
        <v>37</v>
      </c>
    </row>
    <row r="1348" spans="1:66" x14ac:dyDescent="0.2">
      <c r="A1348">
        <v>3693905</v>
      </c>
      <c r="B1348">
        <v>21883</v>
      </c>
      <c r="C1348">
        <v>523847</v>
      </c>
      <c r="D1348">
        <v>52899</v>
      </c>
      <c r="E1348">
        <v>0</v>
      </c>
      <c r="F1348" t="s">
        <v>37</v>
      </c>
      <c r="G1348">
        <v>1</v>
      </c>
      <c r="H1348" t="s">
        <v>37</v>
      </c>
      <c r="I1348" t="s">
        <v>37</v>
      </c>
      <c r="J1348" t="s">
        <v>775</v>
      </c>
      <c r="K1348" t="s">
        <v>230</v>
      </c>
      <c r="L1348" t="s">
        <v>226</v>
      </c>
      <c r="M1348" t="s">
        <v>417</v>
      </c>
      <c r="N1348" t="s">
        <v>5999</v>
      </c>
      <c r="O1348" t="s">
        <v>6000</v>
      </c>
      <c r="Q1348">
        <v>-240</v>
      </c>
      <c r="R1348">
        <v>0</v>
      </c>
      <c r="S1348">
        <v>16</v>
      </c>
      <c r="T1348">
        <v>0</v>
      </c>
      <c r="U1348">
        <v>12</v>
      </c>
      <c r="V1348">
        <v>12</v>
      </c>
      <c r="W1348">
        <v>16</v>
      </c>
      <c r="X1348">
        <v>0</v>
      </c>
      <c r="Y1348">
        <v>0</v>
      </c>
      <c r="Z1348">
        <v>0</v>
      </c>
      <c r="AA1348" s="5">
        <v>44053.333333333336</v>
      </c>
      <c r="AD1348" s="5">
        <v>44006.333333333336</v>
      </c>
      <c r="AE1348" s="5">
        <v>44007.666666666664</v>
      </c>
      <c r="AG1348" s="5">
        <v>44053.333333333336</v>
      </c>
      <c r="AH1348" s="5">
        <v>44054.666666666664</v>
      </c>
      <c r="AI1348" s="5">
        <v>44053.333333333336</v>
      </c>
      <c r="AJ1348" s="5">
        <v>44054.666666666664</v>
      </c>
      <c r="AK1348" s="5">
        <v>44053.333333333336</v>
      </c>
      <c r="AL1348" s="5">
        <v>44054.666666666664</v>
      </c>
      <c r="AM1348" s="5">
        <v>44006.333333333336</v>
      </c>
      <c r="AN1348" s="5">
        <v>44007.666666666664</v>
      </c>
      <c r="AO1348" t="s">
        <v>2336</v>
      </c>
      <c r="AP1348" t="s">
        <v>418</v>
      </c>
      <c r="AU1348" t="s">
        <v>6001</v>
      </c>
      <c r="AV1348" t="s">
        <v>6002</v>
      </c>
      <c r="AY1348" t="s">
        <v>37</v>
      </c>
      <c r="AZ1348">
        <v>0</v>
      </c>
      <c r="BA1348">
        <v>0</v>
      </c>
      <c r="BI1348" s="5">
        <v>44048.176388888889</v>
      </c>
      <c r="BJ1348" s="5">
        <v>44048.176388888889</v>
      </c>
      <c r="BK1348" t="s">
        <v>778</v>
      </c>
      <c r="BL1348" t="s">
        <v>778</v>
      </c>
      <c r="BN1348" t="s">
        <v>37</v>
      </c>
    </row>
    <row r="1349" spans="1:66" x14ac:dyDescent="0.2">
      <c r="A1349">
        <v>3693906</v>
      </c>
      <c r="B1349">
        <v>21883</v>
      </c>
      <c r="C1349">
        <v>523999</v>
      </c>
      <c r="D1349">
        <v>52899</v>
      </c>
      <c r="E1349">
        <v>100</v>
      </c>
      <c r="F1349" t="s">
        <v>37</v>
      </c>
      <c r="G1349">
        <v>1</v>
      </c>
      <c r="H1349" t="s">
        <v>37</v>
      </c>
      <c r="I1349" t="s">
        <v>37</v>
      </c>
      <c r="J1349" t="s">
        <v>775</v>
      </c>
      <c r="K1349" t="s">
        <v>230</v>
      </c>
      <c r="L1349" t="s">
        <v>226</v>
      </c>
      <c r="M1349" t="s">
        <v>422</v>
      </c>
      <c r="N1349" t="s">
        <v>6003</v>
      </c>
      <c r="O1349" t="s">
        <v>6004</v>
      </c>
      <c r="S1349">
        <v>0</v>
      </c>
      <c r="T1349">
        <v>16</v>
      </c>
      <c r="U1349">
        <v>0</v>
      </c>
      <c r="V1349">
        <v>16</v>
      </c>
      <c r="W1349">
        <v>0</v>
      </c>
      <c r="X1349">
        <v>0</v>
      </c>
      <c r="Y1349">
        <v>0</v>
      </c>
      <c r="Z1349">
        <v>0</v>
      </c>
      <c r="AB1349" s="5">
        <v>43831</v>
      </c>
      <c r="AC1349" s="5">
        <v>43831</v>
      </c>
      <c r="AD1349" s="5">
        <v>44306.666666666664</v>
      </c>
      <c r="AE1349" s="5">
        <v>44306.666666666664</v>
      </c>
      <c r="AG1349" s="5">
        <v>44044</v>
      </c>
      <c r="AH1349" s="5">
        <v>44044</v>
      </c>
      <c r="AK1349" s="5">
        <v>44027.333333333336</v>
      </c>
      <c r="AL1349" s="5">
        <v>44027.333333333336</v>
      </c>
      <c r="AP1349" t="s">
        <v>418</v>
      </c>
      <c r="AU1349" t="s">
        <v>6005</v>
      </c>
      <c r="AV1349" t="s">
        <v>6006</v>
      </c>
      <c r="AY1349" t="s">
        <v>37</v>
      </c>
      <c r="AZ1349">
        <v>0</v>
      </c>
      <c r="BA1349">
        <v>0</v>
      </c>
      <c r="BI1349" s="5">
        <v>44048.176388888889</v>
      </c>
      <c r="BJ1349" s="5">
        <v>44048.176388888889</v>
      </c>
      <c r="BK1349" t="s">
        <v>778</v>
      </c>
      <c r="BL1349" t="s">
        <v>778</v>
      </c>
      <c r="BN1349" t="s">
        <v>37</v>
      </c>
    </row>
    <row r="1350" spans="1:66" x14ac:dyDescent="0.2">
      <c r="A1350">
        <v>3693907</v>
      </c>
      <c r="B1350">
        <v>21883</v>
      </c>
      <c r="C1350">
        <v>523847</v>
      </c>
      <c r="D1350">
        <v>52899</v>
      </c>
      <c r="E1350">
        <v>0</v>
      </c>
      <c r="F1350" t="s">
        <v>37</v>
      </c>
      <c r="G1350">
        <v>1</v>
      </c>
      <c r="H1350" t="s">
        <v>37</v>
      </c>
      <c r="I1350" t="s">
        <v>37</v>
      </c>
      <c r="J1350" t="s">
        <v>775</v>
      </c>
      <c r="K1350" t="s">
        <v>230</v>
      </c>
      <c r="L1350" t="s">
        <v>226</v>
      </c>
      <c r="M1350" t="s">
        <v>417</v>
      </c>
      <c r="N1350" t="s">
        <v>6007</v>
      </c>
      <c r="O1350" t="s">
        <v>2589</v>
      </c>
      <c r="Q1350">
        <v>-168</v>
      </c>
      <c r="R1350">
        <v>24</v>
      </c>
      <c r="S1350">
        <v>48</v>
      </c>
      <c r="T1350">
        <v>0</v>
      </c>
      <c r="U1350">
        <v>0</v>
      </c>
      <c r="V1350">
        <v>0</v>
      </c>
      <c r="W1350">
        <v>48</v>
      </c>
      <c r="X1350">
        <v>0</v>
      </c>
      <c r="Y1350">
        <v>0</v>
      </c>
      <c r="Z1350">
        <v>0</v>
      </c>
      <c r="AD1350" s="5">
        <v>44022.333333333336</v>
      </c>
      <c r="AE1350" s="5">
        <v>44029.666666666664</v>
      </c>
      <c r="AG1350" s="5">
        <v>44055.333333333336</v>
      </c>
      <c r="AH1350" s="5">
        <v>44064.666666666664</v>
      </c>
      <c r="AI1350" s="5">
        <v>44055.333333333336</v>
      </c>
      <c r="AJ1350" s="5">
        <v>44064.666666666664</v>
      </c>
      <c r="AK1350" s="5">
        <v>44055.333333333336</v>
      </c>
      <c r="AL1350" s="5">
        <v>44064.666666666664</v>
      </c>
      <c r="AM1350" s="5">
        <v>44022.333333333336</v>
      </c>
      <c r="AN1350" s="5">
        <v>44029.666666666664</v>
      </c>
      <c r="AP1350" t="s">
        <v>418</v>
      </c>
      <c r="AU1350" t="s">
        <v>6008</v>
      </c>
      <c r="AV1350" t="s">
        <v>6009</v>
      </c>
      <c r="AY1350" t="s">
        <v>37</v>
      </c>
      <c r="AZ1350">
        <v>0</v>
      </c>
      <c r="BA1350">
        <v>0</v>
      </c>
      <c r="BI1350" s="5">
        <v>44048.176388888889</v>
      </c>
      <c r="BJ1350" s="5">
        <v>44048.176388888889</v>
      </c>
      <c r="BK1350" t="s">
        <v>778</v>
      </c>
      <c r="BL1350" t="s">
        <v>778</v>
      </c>
      <c r="BN1350" t="s">
        <v>37</v>
      </c>
    </row>
    <row r="1351" spans="1:66" x14ac:dyDescent="0.2">
      <c r="A1351">
        <v>3693908</v>
      </c>
      <c r="B1351">
        <v>21883</v>
      </c>
      <c r="C1351">
        <v>523847</v>
      </c>
      <c r="D1351">
        <v>52899</v>
      </c>
      <c r="E1351">
        <v>0</v>
      </c>
      <c r="F1351" t="s">
        <v>37</v>
      </c>
      <c r="G1351">
        <v>1</v>
      </c>
      <c r="H1351" t="s">
        <v>37</v>
      </c>
      <c r="I1351" t="s">
        <v>37</v>
      </c>
      <c r="J1351" t="s">
        <v>775</v>
      </c>
      <c r="K1351" t="s">
        <v>230</v>
      </c>
      <c r="L1351" t="s">
        <v>226</v>
      </c>
      <c r="M1351" t="s">
        <v>417</v>
      </c>
      <c r="N1351" t="s">
        <v>6010</v>
      </c>
      <c r="O1351" t="s">
        <v>2593</v>
      </c>
      <c r="Q1351">
        <v>-192</v>
      </c>
      <c r="R1351">
        <v>0</v>
      </c>
      <c r="S1351">
        <v>32</v>
      </c>
      <c r="T1351">
        <v>0</v>
      </c>
      <c r="U1351">
        <v>0</v>
      </c>
      <c r="V1351">
        <v>0</v>
      </c>
      <c r="W1351">
        <v>32</v>
      </c>
      <c r="X1351">
        <v>0</v>
      </c>
      <c r="Y1351">
        <v>0</v>
      </c>
      <c r="Z1351">
        <v>0</v>
      </c>
      <c r="AD1351" s="5">
        <v>44032.333333333336</v>
      </c>
      <c r="AE1351" s="5">
        <v>44036.666666666664</v>
      </c>
      <c r="AG1351" s="5">
        <v>44074.333333333336</v>
      </c>
      <c r="AH1351" s="5">
        <v>44077.666666666664</v>
      </c>
      <c r="AI1351" s="5">
        <v>44074.333333333336</v>
      </c>
      <c r="AJ1351" s="5">
        <v>44077.666666666664</v>
      </c>
      <c r="AK1351" s="5">
        <v>44074.333333333336</v>
      </c>
      <c r="AL1351" s="5">
        <v>44077.666666666664</v>
      </c>
      <c r="AM1351" s="5">
        <v>44032.333333333336</v>
      </c>
      <c r="AN1351" s="5">
        <v>44036.666666666664</v>
      </c>
      <c r="AP1351" t="s">
        <v>418</v>
      </c>
      <c r="AU1351" t="s">
        <v>6011</v>
      </c>
      <c r="AV1351" t="s">
        <v>6012</v>
      </c>
      <c r="AY1351" t="s">
        <v>37</v>
      </c>
      <c r="AZ1351">
        <v>0</v>
      </c>
      <c r="BA1351">
        <v>0</v>
      </c>
      <c r="BI1351" s="5">
        <v>44048.176388888889</v>
      </c>
      <c r="BJ1351" s="5">
        <v>44048.176388888889</v>
      </c>
      <c r="BK1351" t="s">
        <v>778</v>
      </c>
      <c r="BL1351" t="s">
        <v>778</v>
      </c>
      <c r="BN1351" t="s">
        <v>37</v>
      </c>
    </row>
    <row r="1352" spans="1:66" x14ac:dyDescent="0.2">
      <c r="A1352">
        <v>3693909</v>
      </c>
      <c r="B1352">
        <v>21883</v>
      </c>
      <c r="C1352">
        <v>523847</v>
      </c>
      <c r="D1352">
        <v>52899</v>
      </c>
      <c r="E1352">
        <v>0</v>
      </c>
      <c r="F1352" t="s">
        <v>37</v>
      </c>
      <c r="G1352">
        <v>1</v>
      </c>
      <c r="H1352" t="s">
        <v>37</v>
      </c>
      <c r="I1352" t="s">
        <v>37</v>
      </c>
      <c r="J1352" t="s">
        <v>775</v>
      </c>
      <c r="K1352" t="s">
        <v>230</v>
      </c>
      <c r="L1352" t="s">
        <v>226</v>
      </c>
      <c r="M1352" t="s">
        <v>417</v>
      </c>
      <c r="N1352" t="s">
        <v>6013</v>
      </c>
      <c r="O1352" t="s">
        <v>2597</v>
      </c>
      <c r="Q1352">
        <v>-248</v>
      </c>
      <c r="R1352">
        <v>0</v>
      </c>
      <c r="S1352">
        <v>8</v>
      </c>
      <c r="T1352">
        <v>0</v>
      </c>
      <c r="U1352">
        <v>8</v>
      </c>
      <c r="V1352">
        <v>8</v>
      </c>
      <c r="W1352">
        <v>8</v>
      </c>
      <c r="X1352">
        <v>0</v>
      </c>
      <c r="Y1352">
        <v>0</v>
      </c>
      <c r="Z1352">
        <v>0</v>
      </c>
      <c r="AD1352" s="5">
        <v>44050.333333333336</v>
      </c>
      <c r="AE1352" s="5">
        <v>44050.666666666664</v>
      </c>
      <c r="AG1352" s="5">
        <v>44103.333333333336</v>
      </c>
      <c r="AH1352" s="5">
        <v>44103.666666666664</v>
      </c>
      <c r="AI1352" s="5">
        <v>44103.333333333336</v>
      </c>
      <c r="AJ1352" s="5">
        <v>44103.666666666664</v>
      </c>
      <c r="AK1352" s="5">
        <v>44103.333333333336</v>
      </c>
      <c r="AL1352" s="5">
        <v>44103.666666666664</v>
      </c>
      <c r="AM1352" s="5">
        <v>44050.333333333336</v>
      </c>
      <c r="AN1352" s="5">
        <v>44050.666666666664</v>
      </c>
      <c r="AP1352" t="s">
        <v>418</v>
      </c>
      <c r="AU1352" t="s">
        <v>6014</v>
      </c>
      <c r="AV1352" t="s">
        <v>6015</v>
      </c>
      <c r="AY1352" t="s">
        <v>37</v>
      </c>
      <c r="AZ1352">
        <v>0</v>
      </c>
      <c r="BA1352">
        <v>0</v>
      </c>
      <c r="BI1352" s="5">
        <v>44048.176388888889</v>
      </c>
      <c r="BJ1352" s="5">
        <v>44048.176388888889</v>
      </c>
      <c r="BK1352" t="s">
        <v>778</v>
      </c>
      <c r="BL1352" t="s">
        <v>778</v>
      </c>
      <c r="BN1352" t="s">
        <v>37</v>
      </c>
    </row>
    <row r="1353" spans="1:66" x14ac:dyDescent="0.2">
      <c r="A1353">
        <v>3693910</v>
      </c>
      <c r="B1353">
        <v>21883</v>
      </c>
      <c r="C1353">
        <v>523847</v>
      </c>
      <c r="D1353">
        <v>52895</v>
      </c>
      <c r="E1353">
        <v>0</v>
      </c>
      <c r="F1353" t="s">
        <v>37</v>
      </c>
      <c r="G1353">
        <v>1</v>
      </c>
      <c r="H1353" t="s">
        <v>37</v>
      </c>
      <c r="I1353" t="s">
        <v>37</v>
      </c>
      <c r="J1353" t="s">
        <v>775</v>
      </c>
      <c r="K1353" t="s">
        <v>230</v>
      </c>
      <c r="L1353" t="s">
        <v>226</v>
      </c>
      <c r="M1353" t="s">
        <v>417</v>
      </c>
      <c r="N1353" t="s">
        <v>6016</v>
      </c>
      <c r="O1353" t="s">
        <v>2601</v>
      </c>
      <c r="Q1353">
        <v>-264</v>
      </c>
      <c r="R1353">
        <v>288</v>
      </c>
      <c r="S1353">
        <v>56</v>
      </c>
      <c r="T1353">
        <v>0</v>
      </c>
      <c r="U1353">
        <v>0</v>
      </c>
      <c r="V1353">
        <v>0</v>
      </c>
      <c r="W1353">
        <v>56</v>
      </c>
      <c r="X1353">
        <v>0</v>
      </c>
      <c r="Y1353">
        <v>0</v>
      </c>
      <c r="Z1353">
        <v>0</v>
      </c>
      <c r="AD1353" s="5">
        <v>44071.333333333336</v>
      </c>
      <c r="AE1353" s="5">
        <v>44077.666666666664</v>
      </c>
      <c r="AG1353" s="5">
        <v>44104.333333333336</v>
      </c>
      <c r="AH1353" s="5">
        <v>44110.666666666664</v>
      </c>
      <c r="AI1353" s="5">
        <v>44104.333333333336</v>
      </c>
      <c r="AJ1353" s="5">
        <v>44110.666666666664</v>
      </c>
      <c r="AK1353" s="5">
        <v>44104.333333333336</v>
      </c>
      <c r="AL1353" s="5">
        <v>44110.666666666664</v>
      </c>
      <c r="AM1353" s="5">
        <v>44071.333333333336</v>
      </c>
      <c r="AN1353" s="5">
        <v>44077.666666666664</v>
      </c>
      <c r="AP1353" t="s">
        <v>418</v>
      </c>
      <c r="AU1353" t="s">
        <v>6017</v>
      </c>
      <c r="AV1353" t="s">
        <v>6018</v>
      </c>
      <c r="AY1353" t="s">
        <v>37</v>
      </c>
      <c r="AZ1353">
        <v>0</v>
      </c>
      <c r="BA1353">
        <v>0</v>
      </c>
      <c r="BI1353" s="5">
        <v>44048.176388888889</v>
      </c>
      <c r="BJ1353" s="5">
        <v>44048.176388888889</v>
      </c>
      <c r="BK1353" t="s">
        <v>778</v>
      </c>
      <c r="BL1353" t="s">
        <v>778</v>
      </c>
      <c r="BN1353" t="s">
        <v>37</v>
      </c>
    </row>
    <row r="1354" spans="1:66" x14ac:dyDescent="0.2">
      <c r="A1354">
        <v>3693911</v>
      </c>
      <c r="B1354">
        <v>21883</v>
      </c>
      <c r="C1354">
        <v>523847</v>
      </c>
      <c r="D1354">
        <v>52899</v>
      </c>
      <c r="E1354">
        <v>0</v>
      </c>
      <c r="F1354" t="s">
        <v>37</v>
      </c>
      <c r="G1354">
        <v>1</v>
      </c>
      <c r="H1354" t="s">
        <v>37</v>
      </c>
      <c r="I1354" t="s">
        <v>37</v>
      </c>
      <c r="J1354" t="s">
        <v>775</v>
      </c>
      <c r="K1354" t="s">
        <v>230</v>
      </c>
      <c r="L1354" t="s">
        <v>226</v>
      </c>
      <c r="M1354" t="s">
        <v>417</v>
      </c>
      <c r="N1354" t="s">
        <v>6019</v>
      </c>
      <c r="O1354" t="s">
        <v>3756</v>
      </c>
      <c r="Q1354">
        <v>-208</v>
      </c>
      <c r="R1354">
        <v>32</v>
      </c>
      <c r="S1354">
        <v>8</v>
      </c>
      <c r="T1354">
        <v>0</v>
      </c>
      <c r="U1354">
        <v>0</v>
      </c>
      <c r="V1354">
        <v>0</v>
      </c>
      <c r="W1354">
        <v>8</v>
      </c>
      <c r="X1354">
        <v>0</v>
      </c>
      <c r="Y1354">
        <v>0</v>
      </c>
      <c r="Z1354">
        <v>0</v>
      </c>
      <c r="AD1354" s="5">
        <v>44005.333333333336</v>
      </c>
      <c r="AE1354" s="5">
        <v>44005.666666666664</v>
      </c>
      <c r="AG1354" s="5">
        <v>44046.333333333336</v>
      </c>
      <c r="AH1354" s="5">
        <v>44046.666666666664</v>
      </c>
      <c r="AI1354" s="5">
        <v>44046.333333333336</v>
      </c>
      <c r="AJ1354" s="5">
        <v>44046.666666666664</v>
      </c>
      <c r="AK1354" s="5">
        <v>44046.333333333336</v>
      </c>
      <c r="AL1354" s="5">
        <v>44046.666666666664</v>
      </c>
      <c r="AM1354" s="5">
        <v>44005.333333333336</v>
      </c>
      <c r="AN1354" s="5">
        <v>44005.666666666664</v>
      </c>
      <c r="AP1354" t="s">
        <v>418</v>
      </c>
      <c r="AU1354" t="s">
        <v>6020</v>
      </c>
      <c r="AV1354" t="e" cm="1">
        <f t="array" ref="AV1354">+Fekx4FuxEi42VeVh8p0aA</f>
        <v>#NAME?</v>
      </c>
      <c r="AY1354" t="s">
        <v>37</v>
      </c>
      <c r="AZ1354">
        <v>0</v>
      </c>
      <c r="BA1354">
        <v>0</v>
      </c>
      <c r="BI1354" s="5">
        <v>44048.176388888889</v>
      </c>
      <c r="BJ1354" s="5">
        <v>44048.176388888889</v>
      </c>
      <c r="BK1354" t="s">
        <v>778</v>
      </c>
      <c r="BL1354" t="s">
        <v>778</v>
      </c>
      <c r="BN1354" t="s">
        <v>37</v>
      </c>
    </row>
    <row r="1355" spans="1:66" x14ac:dyDescent="0.2">
      <c r="A1355">
        <v>3693912</v>
      </c>
      <c r="B1355">
        <v>21883</v>
      </c>
      <c r="C1355">
        <v>523847</v>
      </c>
      <c r="D1355">
        <v>52899</v>
      </c>
      <c r="E1355">
        <v>0</v>
      </c>
      <c r="F1355" t="s">
        <v>37</v>
      </c>
      <c r="G1355">
        <v>1</v>
      </c>
      <c r="H1355" t="s">
        <v>37</v>
      </c>
      <c r="I1355" t="s">
        <v>37</v>
      </c>
      <c r="J1355" t="s">
        <v>775</v>
      </c>
      <c r="K1355" t="s">
        <v>230</v>
      </c>
      <c r="L1355" t="s">
        <v>226</v>
      </c>
      <c r="M1355" t="s">
        <v>417</v>
      </c>
      <c r="N1355" t="s">
        <v>6021</v>
      </c>
      <c r="O1355" t="s">
        <v>4284</v>
      </c>
      <c r="Q1355">
        <v>-208</v>
      </c>
      <c r="R1355">
        <v>32</v>
      </c>
      <c r="S1355">
        <v>8</v>
      </c>
      <c r="T1355">
        <v>0</v>
      </c>
      <c r="U1355">
        <v>0</v>
      </c>
      <c r="V1355">
        <v>0</v>
      </c>
      <c r="W1355">
        <v>8</v>
      </c>
      <c r="X1355">
        <v>0</v>
      </c>
      <c r="Y1355">
        <v>0</v>
      </c>
      <c r="Z1355">
        <v>0</v>
      </c>
      <c r="AD1355" s="5">
        <v>44005.333333333336</v>
      </c>
      <c r="AE1355" s="5">
        <v>44005.666666666664</v>
      </c>
      <c r="AG1355" s="5">
        <v>44046.333333333336</v>
      </c>
      <c r="AH1355" s="5">
        <v>44046.666666666664</v>
      </c>
      <c r="AI1355" s="5">
        <v>44046.333333333336</v>
      </c>
      <c r="AJ1355" s="5">
        <v>44046.666666666664</v>
      </c>
      <c r="AK1355" s="5">
        <v>44046.333333333336</v>
      </c>
      <c r="AL1355" s="5">
        <v>44046.666666666664</v>
      </c>
      <c r="AM1355" s="5">
        <v>44005.333333333336</v>
      </c>
      <c r="AN1355" s="5">
        <v>44005.666666666664</v>
      </c>
      <c r="AP1355" t="s">
        <v>418</v>
      </c>
      <c r="AU1355" t="s">
        <v>6022</v>
      </c>
      <c r="AV1355" t="s">
        <v>6023</v>
      </c>
      <c r="AY1355" t="s">
        <v>37</v>
      </c>
      <c r="AZ1355">
        <v>0</v>
      </c>
      <c r="BA1355">
        <v>0</v>
      </c>
      <c r="BI1355" s="5">
        <v>44048.176388888889</v>
      </c>
      <c r="BJ1355" s="5">
        <v>44048.176388888889</v>
      </c>
      <c r="BK1355" t="s">
        <v>778</v>
      </c>
      <c r="BL1355" t="s">
        <v>778</v>
      </c>
      <c r="BN1355" t="s">
        <v>37</v>
      </c>
    </row>
    <row r="1356" spans="1:66" x14ac:dyDescent="0.2">
      <c r="A1356">
        <v>3693913</v>
      </c>
      <c r="B1356">
        <v>21883</v>
      </c>
      <c r="C1356">
        <v>523847</v>
      </c>
      <c r="D1356">
        <v>52899</v>
      </c>
      <c r="E1356">
        <v>0</v>
      </c>
      <c r="F1356" t="s">
        <v>37</v>
      </c>
      <c r="G1356">
        <v>1</v>
      </c>
      <c r="H1356" t="s">
        <v>37</v>
      </c>
      <c r="I1356" t="s">
        <v>37</v>
      </c>
      <c r="J1356" t="s">
        <v>775</v>
      </c>
      <c r="K1356" t="s">
        <v>230</v>
      </c>
      <c r="L1356" t="s">
        <v>226</v>
      </c>
      <c r="M1356" t="s">
        <v>417</v>
      </c>
      <c r="N1356" t="s">
        <v>6024</v>
      </c>
      <c r="O1356" t="s">
        <v>4422</v>
      </c>
      <c r="Q1356">
        <v>-192</v>
      </c>
      <c r="R1356">
        <v>0</v>
      </c>
      <c r="S1356">
        <v>32</v>
      </c>
      <c r="T1356">
        <v>0</v>
      </c>
      <c r="U1356">
        <v>32</v>
      </c>
      <c r="V1356">
        <v>32</v>
      </c>
      <c r="W1356">
        <v>32</v>
      </c>
      <c r="X1356">
        <v>0</v>
      </c>
      <c r="Y1356">
        <v>0</v>
      </c>
      <c r="Z1356">
        <v>0</v>
      </c>
      <c r="AD1356" s="5">
        <v>44019.333333333336</v>
      </c>
      <c r="AE1356" s="5">
        <v>44022.666666666664</v>
      </c>
      <c r="AG1356" s="5">
        <v>44055.333333333336</v>
      </c>
      <c r="AH1356" s="5">
        <v>44061.666666666664</v>
      </c>
      <c r="AI1356" s="5">
        <v>44055.333333333336</v>
      </c>
      <c r="AJ1356" s="5">
        <v>44061.666666666664</v>
      </c>
      <c r="AK1356" s="5">
        <v>44055.333333333336</v>
      </c>
      <c r="AL1356" s="5">
        <v>44061.666666666664</v>
      </c>
      <c r="AM1356" s="5">
        <v>44019.333333333336</v>
      </c>
      <c r="AN1356" s="5">
        <v>44022.666666666664</v>
      </c>
      <c r="AP1356" t="s">
        <v>418</v>
      </c>
      <c r="AU1356" t="s">
        <v>6025</v>
      </c>
      <c r="AV1356" t="s">
        <v>6026</v>
      </c>
      <c r="AY1356" t="s">
        <v>37</v>
      </c>
      <c r="AZ1356">
        <v>0</v>
      </c>
      <c r="BA1356">
        <v>0</v>
      </c>
      <c r="BI1356" s="5">
        <v>44048.176388888889</v>
      </c>
      <c r="BJ1356" s="5">
        <v>44048.176388888889</v>
      </c>
      <c r="BK1356" t="s">
        <v>778</v>
      </c>
      <c r="BL1356" t="s">
        <v>778</v>
      </c>
      <c r="BN1356" t="s">
        <v>37</v>
      </c>
    </row>
    <row r="1357" spans="1:66" x14ac:dyDescent="0.2">
      <c r="A1357">
        <v>3693914</v>
      </c>
      <c r="B1357">
        <v>21883</v>
      </c>
      <c r="C1357">
        <v>523847</v>
      </c>
      <c r="D1357">
        <v>52899</v>
      </c>
      <c r="E1357">
        <v>0</v>
      </c>
      <c r="F1357" t="s">
        <v>37</v>
      </c>
      <c r="G1357">
        <v>1</v>
      </c>
      <c r="H1357" t="s">
        <v>37</v>
      </c>
      <c r="I1357" t="s">
        <v>37</v>
      </c>
      <c r="J1357" t="s">
        <v>775</v>
      </c>
      <c r="K1357" t="s">
        <v>230</v>
      </c>
      <c r="L1357" t="s">
        <v>226</v>
      </c>
      <c r="M1357" t="s">
        <v>417</v>
      </c>
      <c r="N1357" t="s">
        <v>6027</v>
      </c>
      <c r="O1357" t="s">
        <v>6028</v>
      </c>
      <c r="Q1357">
        <v>-192</v>
      </c>
      <c r="R1357">
        <v>0</v>
      </c>
      <c r="S1357">
        <v>32</v>
      </c>
      <c r="T1357">
        <v>0</v>
      </c>
      <c r="U1357">
        <v>32</v>
      </c>
      <c r="V1357">
        <v>32</v>
      </c>
      <c r="W1357">
        <v>32</v>
      </c>
      <c r="X1357">
        <v>0</v>
      </c>
      <c r="Y1357">
        <v>0</v>
      </c>
      <c r="Z1357">
        <v>0</v>
      </c>
      <c r="AD1357" s="5">
        <v>44025.333333333336</v>
      </c>
      <c r="AE1357" s="5">
        <v>44028.666666666664</v>
      </c>
      <c r="AG1357" s="5">
        <v>44063.333333333336</v>
      </c>
      <c r="AH1357" s="5">
        <v>44070.666666666664</v>
      </c>
      <c r="AI1357" s="5">
        <v>44063.333333333336</v>
      </c>
      <c r="AJ1357" s="5">
        <v>44070.666666666664</v>
      </c>
      <c r="AK1357" s="5">
        <v>44063.333333333336</v>
      </c>
      <c r="AL1357" s="5">
        <v>44070.666666666664</v>
      </c>
      <c r="AM1357" s="5">
        <v>44025.333333333336</v>
      </c>
      <c r="AN1357" s="5">
        <v>44028.666666666664</v>
      </c>
      <c r="AP1357" t="s">
        <v>418</v>
      </c>
      <c r="AU1357" t="s">
        <v>6029</v>
      </c>
      <c r="AV1357" t="s">
        <v>6030</v>
      </c>
      <c r="AY1357" t="s">
        <v>37</v>
      </c>
      <c r="AZ1357">
        <v>0</v>
      </c>
      <c r="BA1357">
        <v>0</v>
      </c>
      <c r="BI1357" s="5">
        <v>44048.176388888889</v>
      </c>
      <c r="BJ1357" s="5">
        <v>44048.176388888889</v>
      </c>
      <c r="BK1357" t="s">
        <v>778</v>
      </c>
      <c r="BL1357" t="s">
        <v>778</v>
      </c>
      <c r="BN1357" t="s">
        <v>37</v>
      </c>
    </row>
    <row r="1358" spans="1:66" x14ac:dyDescent="0.2">
      <c r="A1358">
        <v>3693915</v>
      </c>
      <c r="B1358">
        <v>21883</v>
      </c>
      <c r="C1358">
        <v>523847</v>
      </c>
      <c r="D1358">
        <v>52899</v>
      </c>
      <c r="E1358">
        <v>0</v>
      </c>
      <c r="F1358" t="s">
        <v>37</v>
      </c>
      <c r="G1358">
        <v>1</v>
      </c>
      <c r="H1358" t="s">
        <v>37</v>
      </c>
      <c r="I1358" t="s">
        <v>37</v>
      </c>
      <c r="J1358" t="s">
        <v>775</v>
      </c>
      <c r="K1358" t="s">
        <v>230</v>
      </c>
      <c r="L1358" t="s">
        <v>226</v>
      </c>
      <c r="M1358" t="s">
        <v>417</v>
      </c>
      <c r="N1358" t="s">
        <v>6031</v>
      </c>
      <c r="O1358" t="s">
        <v>6032</v>
      </c>
      <c r="Q1358">
        <v>-192</v>
      </c>
      <c r="R1358">
        <v>0</v>
      </c>
      <c r="S1358">
        <v>8</v>
      </c>
      <c r="T1358">
        <v>0</v>
      </c>
      <c r="U1358">
        <v>48</v>
      </c>
      <c r="V1358">
        <v>48</v>
      </c>
      <c r="W1358">
        <v>8</v>
      </c>
      <c r="X1358">
        <v>0</v>
      </c>
      <c r="Y1358">
        <v>0</v>
      </c>
      <c r="Z1358">
        <v>0</v>
      </c>
      <c r="AD1358" s="5">
        <v>44029.333333333336</v>
      </c>
      <c r="AE1358" s="5">
        <v>44029.666666666664</v>
      </c>
      <c r="AG1358" s="5">
        <v>44071.333333333336</v>
      </c>
      <c r="AH1358" s="5">
        <v>44071.666666666664</v>
      </c>
      <c r="AI1358" s="5">
        <v>44071.333333333336</v>
      </c>
      <c r="AJ1358" s="5">
        <v>44071.666666666664</v>
      </c>
      <c r="AK1358" s="5">
        <v>44071.333333333336</v>
      </c>
      <c r="AL1358" s="5">
        <v>44071.666666666664</v>
      </c>
      <c r="AM1358" s="5">
        <v>44029.333333333336</v>
      </c>
      <c r="AN1358" s="5">
        <v>44029.666666666664</v>
      </c>
      <c r="AP1358" t="s">
        <v>418</v>
      </c>
      <c r="AU1358" t="s">
        <v>6033</v>
      </c>
      <c r="AV1358" t="s">
        <v>6034</v>
      </c>
      <c r="AY1358" t="s">
        <v>37</v>
      </c>
      <c r="AZ1358">
        <v>0</v>
      </c>
      <c r="BA1358">
        <v>0</v>
      </c>
      <c r="BI1358" s="5">
        <v>44048.176388888889</v>
      </c>
      <c r="BJ1358" s="5">
        <v>44048.176388888889</v>
      </c>
      <c r="BK1358" t="s">
        <v>778</v>
      </c>
      <c r="BL1358" t="s">
        <v>778</v>
      </c>
      <c r="BN1358" t="s">
        <v>37</v>
      </c>
    </row>
    <row r="1359" spans="1:66" x14ac:dyDescent="0.2">
      <c r="A1359">
        <v>3693916</v>
      </c>
      <c r="B1359">
        <v>21883</v>
      </c>
      <c r="C1359">
        <v>523847</v>
      </c>
      <c r="D1359">
        <v>52899</v>
      </c>
      <c r="E1359">
        <v>0</v>
      </c>
      <c r="F1359" t="s">
        <v>37</v>
      </c>
      <c r="G1359">
        <v>1</v>
      </c>
      <c r="H1359" t="s">
        <v>37</v>
      </c>
      <c r="I1359" t="s">
        <v>37</v>
      </c>
      <c r="J1359" t="s">
        <v>775</v>
      </c>
      <c r="K1359" t="s">
        <v>230</v>
      </c>
      <c r="L1359" t="s">
        <v>226</v>
      </c>
      <c r="M1359" t="s">
        <v>417</v>
      </c>
      <c r="N1359" t="s">
        <v>6035</v>
      </c>
      <c r="O1359" t="s">
        <v>4434</v>
      </c>
      <c r="Q1359">
        <v>-192</v>
      </c>
      <c r="R1359">
        <v>0</v>
      </c>
      <c r="S1359">
        <v>32</v>
      </c>
      <c r="T1359">
        <v>0</v>
      </c>
      <c r="U1359">
        <v>32</v>
      </c>
      <c r="V1359">
        <v>32</v>
      </c>
      <c r="W1359">
        <v>32</v>
      </c>
      <c r="X1359">
        <v>0</v>
      </c>
      <c r="Y1359">
        <v>0</v>
      </c>
      <c r="Z1359">
        <v>0</v>
      </c>
      <c r="AD1359" s="5">
        <v>44040.333333333336</v>
      </c>
      <c r="AE1359" s="5">
        <v>44043.666666666664</v>
      </c>
      <c r="AG1359" s="5">
        <v>44078.333333333336</v>
      </c>
      <c r="AH1359" s="5">
        <v>44084.666666666664</v>
      </c>
      <c r="AI1359" s="5">
        <v>44078.333333333336</v>
      </c>
      <c r="AJ1359" s="5">
        <v>44084.666666666664</v>
      </c>
      <c r="AK1359" s="5">
        <v>44078.333333333336</v>
      </c>
      <c r="AL1359" s="5">
        <v>44084.666666666664</v>
      </c>
      <c r="AM1359" s="5">
        <v>44040.333333333336</v>
      </c>
      <c r="AN1359" s="5">
        <v>44043.666666666664</v>
      </c>
      <c r="AP1359" t="s">
        <v>418</v>
      </c>
      <c r="AU1359" t="s">
        <v>6036</v>
      </c>
      <c r="AV1359" t="s">
        <v>6037</v>
      </c>
      <c r="AY1359" t="s">
        <v>37</v>
      </c>
      <c r="AZ1359">
        <v>0</v>
      </c>
      <c r="BA1359">
        <v>0</v>
      </c>
      <c r="BI1359" s="5">
        <v>44048.176388888889</v>
      </c>
      <c r="BJ1359" s="5">
        <v>44048.176388888889</v>
      </c>
      <c r="BK1359" t="s">
        <v>778</v>
      </c>
      <c r="BL1359" t="s">
        <v>778</v>
      </c>
      <c r="BN1359" t="s">
        <v>37</v>
      </c>
    </row>
    <row r="1360" spans="1:66" x14ac:dyDescent="0.2">
      <c r="A1360">
        <v>3693917</v>
      </c>
      <c r="B1360">
        <v>21883</v>
      </c>
      <c r="C1360">
        <v>523847</v>
      </c>
      <c r="D1360">
        <v>52899</v>
      </c>
      <c r="E1360">
        <v>0</v>
      </c>
      <c r="F1360" t="s">
        <v>37</v>
      </c>
      <c r="G1360">
        <v>1</v>
      </c>
      <c r="H1360" t="s">
        <v>37</v>
      </c>
      <c r="I1360" t="s">
        <v>37</v>
      </c>
      <c r="J1360" t="s">
        <v>775</v>
      </c>
      <c r="K1360" t="s">
        <v>230</v>
      </c>
      <c r="L1360" t="s">
        <v>226</v>
      </c>
      <c r="M1360" t="s">
        <v>417</v>
      </c>
      <c r="N1360" t="s">
        <v>6038</v>
      </c>
      <c r="O1360" t="s">
        <v>4438</v>
      </c>
      <c r="Q1360">
        <v>-192</v>
      </c>
      <c r="R1360">
        <v>56</v>
      </c>
      <c r="S1360">
        <v>32</v>
      </c>
      <c r="T1360">
        <v>0</v>
      </c>
      <c r="U1360">
        <v>32</v>
      </c>
      <c r="V1360">
        <v>32</v>
      </c>
      <c r="W1360">
        <v>32</v>
      </c>
      <c r="X1360">
        <v>0</v>
      </c>
      <c r="Y1360">
        <v>0</v>
      </c>
      <c r="Z1360">
        <v>0</v>
      </c>
      <c r="AD1360" s="5">
        <v>44046.333333333336</v>
      </c>
      <c r="AE1360" s="5">
        <v>44049.666666666664</v>
      </c>
      <c r="AG1360" s="5">
        <v>44085.333333333336</v>
      </c>
      <c r="AH1360" s="5">
        <v>44090.666666666664</v>
      </c>
      <c r="AI1360" s="5">
        <v>44085.333333333336</v>
      </c>
      <c r="AJ1360" s="5">
        <v>44090.666666666664</v>
      </c>
      <c r="AK1360" s="5">
        <v>44085.333333333336</v>
      </c>
      <c r="AL1360" s="5">
        <v>44090.666666666664</v>
      </c>
      <c r="AM1360" s="5">
        <v>44046.333333333336</v>
      </c>
      <c r="AN1360" s="5">
        <v>44049.666666666664</v>
      </c>
      <c r="AP1360" t="s">
        <v>418</v>
      </c>
      <c r="AU1360" t="s">
        <v>6039</v>
      </c>
      <c r="AV1360" t="s">
        <v>6040</v>
      </c>
      <c r="AY1360" t="s">
        <v>37</v>
      </c>
      <c r="AZ1360">
        <v>0</v>
      </c>
      <c r="BA1360">
        <v>0</v>
      </c>
      <c r="BI1360" s="5">
        <v>44048.176388888889</v>
      </c>
      <c r="BJ1360" s="5">
        <v>44048.176388888889</v>
      </c>
      <c r="BK1360" t="s">
        <v>778</v>
      </c>
      <c r="BL1360" t="s">
        <v>778</v>
      </c>
      <c r="BN1360" t="s">
        <v>37</v>
      </c>
    </row>
    <row r="1361" spans="1:66" x14ac:dyDescent="0.2">
      <c r="A1361">
        <v>3693918</v>
      </c>
      <c r="B1361">
        <v>21883</v>
      </c>
      <c r="C1361">
        <v>523847</v>
      </c>
      <c r="D1361">
        <v>52899</v>
      </c>
      <c r="E1361">
        <v>0</v>
      </c>
      <c r="F1361" t="s">
        <v>37</v>
      </c>
      <c r="G1361">
        <v>1</v>
      </c>
      <c r="H1361" t="s">
        <v>37</v>
      </c>
      <c r="I1361" t="s">
        <v>37</v>
      </c>
      <c r="J1361" t="s">
        <v>775</v>
      </c>
      <c r="K1361" t="s">
        <v>230</v>
      </c>
      <c r="L1361" t="s">
        <v>226</v>
      </c>
      <c r="M1361" t="s">
        <v>417</v>
      </c>
      <c r="N1361" t="s">
        <v>6041</v>
      </c>
      <c r="O1361" t="s">
        <v>4442</v>
      </c>
      <c r="Q1361">
        <v>-288</v>
      </c>
      <c r="R1361">
        <v>40</v>
      </c>
      <c r="S1361">
        <v>16</v>
      </c>
      <c r="T1361">
        <v>0</v>
      </c>
      <c r="U1361">
        <v>16</v>
      </c>
      <c r="V1361">
        <v>16</v>
      </c>
      <c r="W1361">
        <v>16</v>
      </c>
      <c r="X1361">
        <v>0</v>
      </c>
      <c r="Y1361">
        <v>0</v>
      </c>
      <c r="Z1361">
        <v>0</v>
      </c>
      <c r="AD1361" s="5">
        <v>44105.333333333336</v>
      </c>
      <c r="AE1361" s="5">
        <v>44109.666666666664</v>
      </c>
      <c r="AG1361" s="5">
        <v>44167.333333333336</v>
      </c>
      <c r="AH1361" s="5">
        <v>44168.666666666664</v>
      </c>
      <c r="AI1361" s="5">
        <v>44167.333333333336</v>
      </c>
      <c r="AJ1361" s="5">
        <v>44168.666666666664</v>
      </c>
      <c r="AK1361" s="5">
        <v>44167.333333333336</v>
      </c>
      <c r="AL1361" s="5">
        <v>44168.666666666664</v>
      </c>
      <c r="AM1361" s="5">
        <v>44105.333333333336</v>
      </c>
      <c r="AN1361" s="5">
        <v>44109.666666666664</v>
      </c>
      <c r="AP1361" t="s">
        <v>418</v>
      </c>
      <c r="AU1361" t="s">
        <v>6042</v>
      </c>
      <c r="AV1361" t="s">
        <v>6043</v>
      </c>
      <c r="AY1361" t="s">
        <v>37</v>
      </c>
      <c r="AZ1361">
        <v>0</v>
      </c>
      <c r="BA1361">
        <v>0</v>
      </c>
      <c r="BI1361" s="5">
        <v>44048.176388888889</v>
      </c>
      <c r="BJ1361" s="5">
        <v>44048.176388888889</v>
      </c>
      <c r="BK1361" t="s">
        <v>778</v>
      </c>
      <c r="BL1361" t="s">
        <v>778</v>
      </c>
      <c r="BN1361" t="s">
        <v>37</v>
      </c>
    </row>
    <row r="1362" spans="1:66" x14ac:dyDescent="0.2">
      <c r="A1362">
        <v>3693919</v>
      </c>
      <c r="B1362">
        <v>21883</v>
      </c>
      <c r="C1362">
        <v>523847</v>
      </c>
      <c r="D1362">
        <v>52899</v>
      </c>
      <c r="E1362">
        <v>0</v>
      </c>
      <c r="F1362" t="s">
        <v>37</v>
      </c>
      <c r="G1362">
        <v>1</v>
      </c>
      <c r="H1362" t="s">
        <v>37</v>
      </c>
      <c r="I1362" t="s">
        <v>37</v>
      </c>
      <c r="J1362" t="s">
        <v>775</v>
      </c>
      <c r="K1362" t="s">
        <v>230</v>
      </c>
      <c r="L1362" t="s">
        <v>226</v>
      </c>
      <c r="M1362" t="s">
        <v>417</v>
      </c>
      <c r="N1362" t="s">
        <v>6044</v>
      </c>
      <c r="O1362" t="s">
        <v>4446</v>
      </c>
      <c r="Q1362">
        <v>-72</v>
      </c>
      <c r="R1362">
        <v>256</v>
      </c>
      <c r="S1362">
        <v>32</v>
      </c>
      <c r="T1362">
        <v>0</v>
      </c>
      <c r="U1362">
        <v>32</v>
      </c>
      <c r="V1362">
        <v>32</v>
      </c>
      <c r="W1362">
        <v>32</v>
      </c>
      <c r="X1362">
        <v>0</v>
      </c>
      <c r="Y1362">
        <v>0</v>
      </c>
      <c r="Z1362">
        <v>0</v>
      </c>
      <c r="AD1362" s="5">
        <v>44102.333333333336</v>
      </c>
      <c r="AE1362" s="5">
        <v>44109.666666666664</v>
      </c>
      <c r="AG1362" s="5">
        <v>44118.333333333336</v>
      </c>
      <c r="AH1362" s="5">
        <v>44123.666666666664</v>
      </c>
      <c r="AI1362" s="5">
        <v>44118.333333333336</v>
      </c>
      <c r="AJ1362" s="5">
        <v>44123.666666666664</v>
      </c>
      <c r="AK1362" s="5">
        <v>44118.333333333336</v>
      </c>
      <c r="AL1362" s="5">
        <v>44123.666666666664</v>
      </c>
      <c r="AM1362" s="5">
        <v>44102.333333333336</v>
      </c>
      <c r="AN1362" s="5">
        <v>44109.666666666664</v>
      </c>
      <c r="AP1362" t="s">
        <v>418</v>
      </c>
      <c r="AU1362" t="s">
        <v>6045</v>
      </c>
      <c r="AV1362" t="s">
        <v>6046</v>
      </c>
      <c r="AY1362" t="s">
        <v>37</v>
      </c>
      <c r="AZ1362">
        <v>0</v>
      </c>
      <c r="BA1362">
        <v>0</v>
      </c>
      <c r="BI1362" s="5">
        <v>44048.176388888889</v>
      </c>
      <c r="BJ1362" s="5">
        <v>44048.176388888889</v>
      </c>
      <c r="BK1362" t="s">
        <v>778</v>
      </c>
      <c r="BL1362" t="s">
        <v>778</v>
      </c>
      <c r="BN1362" t="s">
        <v>37</v>
      </c>
    </row>
    <row r="1363" spans="1:66" x14ac:dyDescent="0.2">
      <c r="A1363">
        <v>3693920</v>
      </c>
      <c r="B1363">
        <v>21883</v>
      </c>
      <c r="C1363">
        <v>523846</v>
      </c>
      <c r="D1363">
        <v>52899</v>
      </c>
      <c r="E1363">
        <v>0</v>
      </c>
      <c r="F1363" t="s">
        <v>37</v>
      </c>
      <c r="G1363">
        <v>1</v>
      </c>
      <c r="H1363" t="s">
        <v>37</v>
      </c>
      <c r="I1363" t="s">
        <v>37</v>
      </c>
      <c r="J1363" t="s">
        <v>775</v>
      </c>
      <c r="K1363" t="s">
        <v>230</v>
      </c>
      <c r="L1363" t="s">
        <v>226</v>
      </c>
      <c r="M1363" t="s">
        <v>417</v>
      </c>
      <c r="N1363" t="s">
        <v>6047</v>
      </c>
      <c r="O1363" t="s">
        <v>6048</v>
      </c>
      <c r="Q1363">
        <v>-320</v>
      </c>
      <c r="R1363">
        <v>0</v>
      </c>
      <c r="S1363">
        <v>16</v>
      </c>
      <c r="T1363">
        <v>0</v>
      </c>
      <c r="U1363">
        <v>12</v>
      </c>
      <c r="V1363">
        <v>12</v>
      </c>
      <c r="W1363">
        <v>16</v>
      </c>
      <c r="X1363">
        <v>0</v>
      </c>
      <c r="Y1363">
        <v>0</v>
      </c>
      <c r="Z1363">
        <v>0</v>
      </c>
      <c r="AD1363" s="5">
        <v>44027.333333333336</v>
      </c>
      <c r="AE1363" s="5">
        <v>44028.666666666664</v>
      </c>
      <c r="AG1363" s="5">
        <v>44092.333333333336</v>
      </c>
      <c r="AH1363" s="5">
        <v>44095.666666666664</v>
      </c>
      <c r="AI1363" s="5">
        <v>44092.333333333336</v>
      </c>
      <c r="AJ1363" s="5">
        <v>44095.666666666664</v>
      </c>
      <c r="AK1363" s="5">
        <v>44092.333333333336</v>
      </c>
      <c r="AL1363" s="5">
        <v>44095.666666666664</v>
      </c>
      <c r="AM1363" s="5">
        <v>44027.333333333336</v>
      </c>
      <c r="AN1363" s="5">
        <v>44028.666666666664</v>
      </c>
      <c r="AP1363" t="s">
        <v>418</v>
      </c>
      <c r="AU1363" t="s">
        <v>6049</v>
      </c>
      <c r="AV1363" t="s">
        <v>6050</v>
      </c>
      <c r="AY1363" t="s">
        <v>37</v>
      </c>
      <c r="AZ1363">
        <v>0</v>
      </c>
      <c r="BA1363">
        <v>0</v>
      </c>
      <c r="BI1363" s="5">
        <v>44048.176388888889</v>
      </c>
      <c r="BJ1363" s="5">
        <v>44048.176388888889</v>
      </c>
      <c r="BK1363" t="s">
        <v>778</v>
      </c>
      <c r="BL1363" t="s">
        <v>778</v>
      </c>
      <c r="BN1363" t="s">
        <v>37</v>
      </c>
    </row>
    <row r="1364" spans="1:66" x14ac:dyDescent="0.2">
      <c r="A1364">
        <v>3693921</v>
      </c>
      <c r="B1364">
        <v>21883</v>
      </c>
      <c r="C1364">
        <v>523999</v>
      </c>
      <c r="D1364">
        <v>52899</v>
      </c>
      <c r="E1364">
        <v>100</v>
      </c>
      <c r="F1364" t="s">
        <v>37</v>
      </c>
      <c r="G1364">
        <v>1</v>
      </c>
      <c r="H1364" t="s">
        <v>37</v>
      </c>
      <c r="I1364" t="s">
        <v>37</v>
      </c>
      <c r="J1364" t="s">
        <v>775</v>
      </c>
      <c r="K1364" t="s">
        <v>230</v>
      </c>
      <c r="L1364" t="s">
        <v>226</v>
      </c>
      <c r="M1364" t="s">
        <v>422</v>
      </c>
      <c r="N1364" t="s">
        <v>6051</v>
      </c>
      <c r="O1364" t="s">
        <v>6052</v>
      </c>
      <c r="S1364">
        <v>0</v>
      </c>
      <c r="T1364">
        <v>16</v>
      </c>
      <c r="U1364">
        <v>0</v>
      </c>
      <c r="V1364">
        <v>16</v>
      </c>
      <c r="W1364">
        <v>0</v>
      </c>
      <c r="X1364">
        <v>0</v>
      </c>
      <c r="Y1364">
        <v>0</v>
      </c>
      <c r="Z1364">
        <v>0</v>
      </c>
      <c r="AB1364" s="5">
        <v>43831</v>
      </c>
      <c r="AC1364" s="5">
        <v>43831</v>
      </c>
      <c r="AD1364" s="5">
        <v>44306.666666666664</v>
      </c>
      <c r="AE1364" s="5">
        <v>44306.666666666664</v>
      </c>
      <c r="AG1364" s="5">
        <v>44044</v>
      </c>
      <c r="AH1364" s="5">
        <v>44044</v>
      </c>
      <c r="AK1364" s="5">
        <v>44042.333333333336</v>
      </c>
      <c r="AL1364" s="5">
        <v>44042.333333333336</v>
      </c>
      <c r="AP1364" t="s">
        <v>418</v>
      </c>
      <c r="AU1364" t="s">
        <v>6053</v>
      </c>
      <c r="AV1364" t="s">
        <v>6054</v>
      </c>
      <c r="AY1364" t="s">
        <v>37</v>
      </c>
      <c r="AZ1364">
        <v>0</v>
      </c>
      <c r="BA1364">
        <v>0</v>
      </c>
      <c r="BI1364" s="5">
        <v>44048.176388888889</v>
      </c>
      <c r="BJ1364" s="5">
        <v>44048.176388888889</v>
      </c>
      <c r="BK1364" t="s">
        <v>778</v>
      </c>
      <c r="BL1364" t="s">
        <v>778</v>
      </c>
      <c r="BN1364" t="s">
        <v>37</v>
      </c>
    </row>
    <row r="1365" spans="1:66" x14ac:dyDescent="0.2">
      <c r="A1365">
        <v>3693922</v>
      </c>
      <c r="B1365">
        <v>21883</v>
      </c>
      <c r="C1365">
        <v>523846</v>
      </c>
      <c r="D1365">
        <v>52899</v>
      </c>
      <c r="E1365">
        <v>0</v>
      </c>
      <c r="F1365" t="s">
        <v>37</v>
      </c>
      <c r="G1365">
        <v>1</v>
      </c>
      <c r="H1365" t="s">
        <v>37</v>
      </c>
      <c r="I1365" t="s">
        <v>37</v>
      </c>
      <c r="J1365" t="s">
        <v>775</v>
      </c>
      <c r="K1365" t="s">
        <v>230</v>
      </c>
      <c r="L1365" t="s">
        <v>226</v>
      </c>
      <c r="M1365" t="s">
        <v>417</v>
      </c>
      <c r="N1365" t="s">
        <v>6055</v>
      </c>
      <c r="O1365" t="s">
        <v>2613</v>
      </c>
      <c r="Q1365">
        <v>-280</v>
      </c>
      <c r="R1365">
        <v>40</v>
      </c>
      <c r="S1365">
        <v>48</v>
      </c>
      <c r="T1365">
        <v>0</v>
      </c>
      <c r="U1365">
        <v>0</v>
      </c>
      <c r="V1365">
        <v>0</v>
      </c>
      <c r="W1365">
        <v>48</v>
      </c>
      <c r="X1365">
        <v>0</v>
      </c>
      <c r="Y1365">
        <v>0</v>
      </c>
      <c r="Z1365">
        <v>0</v>
      </c>
      <c r="AD1365" s="5">
        <v>44040.333333333336</v>
      </c>
      <c r="AE1365" s="5">
        <v>44047.666666666664</v>
      </c>
      <c r="AG1365" s="5">
        <v>44096.333333333336</v>
      </c>
      <c r="AH1365" s="5">
        <v>44105.666666666664</v>
      </c>
      <c r="AI1365" s="5">
        <v>44096.333333333336</v>
      </c>
      <c r="AJ1365" s="5">
        <v>44105.666666666664</v>
      </c>
      <c r="AK1365" s="5">
        <v>44096.333333333336</v>
      </c>
      <c r="AL1365" s="5">
        <v>44105.666666666664</v>
      </c>
      <c r="AM1365" s="5">
        <v>44040.333333333336</v>
      </c>
      <c r="AN1365" s="5">
        <v>44047.666666666664</v>
      </c>
      <c r="AP1365" t="s">
        <v>418</v>
      </c>
      <c r="AU1365" t="s">
        <v>6056</v>
      </c>
      <c r="AV1365" t="s">
        <v>6057</v>
      </c>
      <c r="AY1365" t="s">
        <v>37</v>
      </c>
      <c r="AZ1365">
        <v>0</v>
      </c>
      <c r="BA1365">
        <v>0</v>
      </c>
      <c r="BI1365" s="5">
        <v>44048.176388888889</v>
      </c>
      <c r="BJ1365" s="5">
        <v>44048.176388888889</v>
      </c>
      <c r="BK1365" t="s">
        <v>778</v>
      </c>
      <c r="BL1365" t="s">
        <v>778</v>
      </c>
      <c r="BN1365" t="s">
        <v>37</v>
      </c>
    </row>
    <row r="1366" spans="1:66" x14ac:dyDescent="0.2">
      <c r="A1366">
        <v>3693923</v>
      </c>
      <c r="B1366">
        <v>21883</v>
      </c>
      <c r="C1366">
        <v>523846</v>
      </c>
      <c r="D1366">
        <v>52899</v>
      </c>
      <c r="E1366">
        <v>0</v>
      </c>
      <c r="F1366" t="s">
        <v>37</v>
      </c>
      <c r="G1366">
        <v>1</v>
      </c>
      <c r="H1366" t="s">
        <v>37</v>
      </c>
      <c r="I1366" t="s">
        <v>37</v>
      </c>
      <c r="J1366" t="s">
        <v>775</v>
      </c>
      <c r="K1366" t="s">
        <v>230</v>
      </c>
      <c r="L1366" t="s">
        <v>226</v>
      </c>
      <c r="M1366" t="s">
        <v>417</v>
      </c>
      <c r="N1366" t="s">
        <v>6058</v>
      </c>
      <c r="O1366" t="s">
        <v>2617</v>
      </c>
      <c r="Q1366">
        <v>-320</v>
      </c>
      <c r="R1366">
        <v>0</v>
      </c>
      <c r="S1366">
        <v>32</v>
      </c>
      <c r="T1366">
        <v>0</v>
      </c>
      <c r="U1366">
        <v>0</v>
      </c>
      <c r="V1366">
        <v>0</v>
      </c>
      <c r="W1366">
        <v>32</v>
      </c>
      <c r="X1366">
        <v>0</v>
      </c>
      <c r="Y1366">
        <v>0</v>
      </c>
      <c r="Z1366">
        <v>0</v>
      </c>
      <c r="AD1366" s="5">
        <v>44048.333333333336</v>
      </c>
      <c r="AE1366" s="5">
        <v>44053.666666666664</v>
      </c>
      <c r="AG1366" s="5">
        <v>44117.333333333336</v>
      </c>
      <c r="AH1366" s="5">
        <v>44120.666666666664</v>
      </c>
      <c r="AI1366" s="5">
        <v>44117.333333333336</v>
      </c>
      <c r="AJ1366" s="5">
        <v>44120.666666666664</v>
      </c>
      <c r="AK1366" s="5">
        <v>44117.333333333336</v>
      </c>
      <c r="AL1366" s="5">
        <v>44120.666666666664</v>
      </c>
      <c r="AM1366" s="5">
        <v>44048.333333333336</v>
      </c>
      <c r="AN1366" s="5">
        <v>44053.666666666664</v>
      </c>
      <c r="AP1366" t="s">
        <v>418</v>
      </c>
      <c r="AU1366" t="s">
        <v>6059</v>
      </c>
      <c r="AV1366" t="s">
        <v>6060</v>
      </c>
      <c r="AY1366" t="s">
        <v>37</v>
      </c>
      <c r="AZ1366">
        <v>0</v>
      </c>
      <c r="BA1366">
        <v>0</v>
      </c>
      <c r="BI1366" s="5">
        <v>44048.176388888889</v>
      </c>
      <c r="BJ1366" s="5">
        <v>44048.176388888889</v>
      </c>
      <c r="BK1366" t="s">
        <v>778</v>
      </c>
      <c r="BL1366" t="s">
        <v>778</v>
      </c>
      <c r="BN1366" t="s">
        <v>37</v>
      </c>
    </row>
    <row r="1367" spans="1:66" x14ac:dyDescent="0.2">
      <c r="A1367">
        <v>3693924</v>
      </c>
      <c r="B1367">
        <v>21883</v>
      </c>
      <c r="C1367">
        <v>523846</v>
      </c>
      <c r="D1367">
        <v>52899</v>
      </c>
      <c r="E1367">
        <v>0</v>
      </c>
      <c r="F1367" t="s">
        <v>37</v>
      </c>
      <c r="G1367">
        <v>1</v>
      </c>
      <c r="H1367" t="s">
        <v>37</v>
      </c>
      <c r="I1367" t="s">
        <v>37</v>
      </c>
      <c r="J1367" t="s">
        <v>775</v>
      </c>
      <c r="K1367" t="s">
        <v>230</v>
      </c>
      <c r="L1367" t="s">
        <v>226</v>
      </c>
      <c r="M1367" t="s">
        <v>417</v>
      </c>
      <c r="N1367" t="s">
        <v>6061</v>
      </c>
      <c r="O1367" t="s">
        <v>2621</v>
      </c>
      <c r="Q1367">
        <v>-352</v>
      </c>
      <c r="R1367">
        <v>0</v>
      </c>
      <c r="S1367">
        <v>8</v>
      </c>
      <c r="T1367">
        <v>0</v>
      </c>
      <c r="U1367">
        <v>8</v>
      </c>
      <c r="V1367">
        <v>8</v>
      </c>
      <c r="W1367">
        <v>8</v>
      </c>
      <c r="X1367">
        <v>0</v>
      </c>
      <c r="Y1367">
        <v>0</v>
      </c>
      <c r="Z1367">
        <v>0</v>
      </c>
      <c r="AD1367" s="5">
        <v>44070.333333333336</v>
      </c>
      <c r="AE1367" s="5">
        <v>44070.666666666664</v>
      </c>
      <c r="AG1367" s="5">
        <v>44139.333333333336</v>
      </c>
      <c r="AH1367" s="5">
        <v>44139.666666666664</v>
      </c>
      <c r="AI1367" s="5">
        <v>44139.333333333336</v>
      </c>
      <c r="AJ1367" s="5">
        <v>44139.666666666664</v>
      </c>
      <c r="AK1367" s="5">
        <v>44139.333333333336</v>
      </c>
      <c r="AL1367" s="5">
        <v>44139.666666666664</v>
      </c>
      <c r="AM1367" s="5">
        <v>44070.333333333336</v>
      </c>
      <c r="AN1367" s="5">
        <v>44070.666666666664</v>
      </c>
      <c r="AP1367" t="s">
        <v>418</v>
      </c>
      <c r="AU1367" t="s">
        <v>6062</v>
      </c>
      <c r="AV1367" t="s">
        <v>6063</v>
      </c>
      <c r="AY1367" t="s">
        <v>40</v>
      </c>
      <c r="AZ1367">
        <v>0</v>
      </c>
      <c r="BA1367">
        <v>0</v>
      </c>
      <c r="BI1367" s="5">
        <v>44048.176388888889</v>
      </c>
      <c r="BJ1367" s="5">
        <v>44048.176388888889</v>
      </c>
      <c r="BK1367" t="s">
        <v>778</v>
      </c>
      <c r="BL1367" t="s">
        <v>778</v>
      </c>
      <c r="BN1367" t="s">
        <v>37</v>
      </c>
    </row>
    <row r="1368" spans="1:66" x14ac:dyDescent="0.2">
      <c r="A1368">
        <v>3693925</v>
      </c>
      <c r="B1368">
        <v>21883</v>
      </c>
      <c r="C1368">
        <v>523846</v>
      </c>
      <c r="D1368">
        <v>52895</v>
      </c>
      <c r="E1368">
        <v>0</v>
      </c>
      <c r="F1368" t="s">
        <v>37</v>
      </c>
      <c r="G1368">
        <v>1</v>
      </c>
      <c r="H1368" t="s">
        <v>37</v>
      </c>
      <c r="I1368" t="s">
        <v>37</v>
      </c>
      <c r="J1368" t="s">
        <v>775</v>
      </c>
      <c r="K1368" t="s">
        <v>230</v>
      </c>
      <c r="L1368" t="s">
        <v>226</v>
      </c>
      <c r="M1368" t="s">
        <v>417</v>
      </c>
      <c r="N1368" t="s">
        <v>6064</v>
      </c>
      <c r="O1368" t="s">
        <v>2625</v>
      </c>
      <c r="Q1368">
        <v>-552</v>
      </c>
      <c r="R1368">
        <v>0</v>
      </c>
      <c r="S1368">
        <v>56</v>
      </c>
      <c r="T1368">
        <v>0</v>
      </c>
      <c r="U1368">
        <v>0</v>
      </c>
      <c r="V1368">
        <v>0</v>
      </c>
      <c r="W1368">
        <v>56</v>
      </c>
      <c r="X1368">
        <v>0</v>
      </c>
      <c r="Y1368">
        <v>0</v>
      </c>
      <c r="Z1368">
        <v>0</v>
      </c>
      <c r="AD1368" s="5">
        <v>44071.333333333336</v>
      </c>
      <c r="AE1368" s="5">
        <v>44077.666666666664</v>
      </c>
      <c r="AG1368" s="5">
        <v>44140.333333333336</v>
      </c>
      <c r="AH1368" s="5">
        <v>44146.666666666664</v>
      </c>
      <c r="AI1368" s="5">
        <v>44140.333333333336</v>
      </c>
      <c r="AJ1368" s="5">
        <v>44146.666666666664</v>
      </c>
      <c r="AK1368" s="5">
        <v>44140.333333333336</v>
      </c>
      <c r="AL1368" s="5">
        <v>44146.666666666664</v>
      </c>
      <c r="AM1368" s="5">
        <v>44071.333333333336</v>
      </c>
      <c r="AN1368" s="5">
        <v>44077.666666666664</v>
      </c>
      <c r="AP1368" t="s">
        <v>418</v>
      </c>
      <c r="AU1368" t="s">
        <v>6065</v>
      </c>
      <c r="AV1368" t="s">
        <v>6066</v>
      </c>
      <c r="AY1368" t="s">
        <v>40</v>
      </c>
      <c r="AZ1368">
        <v>0</v>
      </c>
      <c r="BA1368">
        <v>0</v>
      </c>
      <c r="BI1368" s="5">
        <v>44048.176388888889</v>
      </c>
      <c r="BJ1368" s="5">
        <v>44048.176388888889</v>
      </c>
      <c r="BK1368" t="s">
        <v>778</v>
      </c>
      <c r="BL1368" t="s">
        <v>778</v>
      </c>
      <c r="BN1368" t="s">
        <v>37</v>
      </c>
    </row>
    <row r="1369" spans="1:66" x14ac:dyDescent="0.2">
      <c r="A1369">
        <v>3693926</v>
      </c>
      <c r="B1369">
        <v>21883</v>
      </c>
      <c r="C1369">
        <v>523846</v>
      </c>
      <c r="D1369">
        <v>52899</v>
      </c>
      <c r="E1369">
        <v>0</v>
      </c>
      <c r="F1369" t="s">
        <v>37</v>
      </c>
      <c r="G1369">
        <v>1</v>
      </c>
      <c r="H1369" t="s">
        <v>37</v>
      </c>
      <c r="I1369" t="s">
        <v>37</v>
      </c>
      <c r="J1369" t="s">
        <v>775</v>
      </c>
      <c r="K1369" t="s">
        <v>230</v>
      </c>
      <c r="L1369" t="s">
        <v>226</v>
      </c>
      <c r="M1369" t="s">
        <v>417</v>
      </c>
      <c r="N1369" t="s">
        <v>6067</v>
      </c>
      <c r="O1369" t="s">
        <v>3752</v>
      </c>
      <c r="Q1369">
        <v>-96</v>
      </c>
      <c r="R1369">
        <v>224</v>
      </c>
      <c r="S1369">
        <v>8</v>
      </c>
      <c r="T1369">
        <v>0</v>
      </c>
      <c r="U1369">
        <v>0</v>
      </c>
      <c r="V1369">
        <v>0</v>
      </c>
      <c r="W1369">
        <v>8</v>
      </c>
      <c r="X1369">
        <v>0</v>
      </c>
      <c r="Y1369">
        <v>0</v>
      </c>
      <c r="Z1369">
        <v>0</v>
      </c>
      <c r="AD1369" s="5">
        <v>44026.333333333336</v>
      </c>
      <c r="AE1369" s="5">
        <v>44026.666666666664</v>
      </c>
      <c r="AG1369" s="5">
        <v>44046.333333333336</v>
      </c>
      <c r="AH1369" s="5">
        <v>44046.666666666664</v>
      </c>
      <c r="AI1369" s="5">
        <v>44046.333333333336</v>
      </c>
      <c r="AJ1369" s="5">
        <v>44046.666666666664</v>
      </c>
      <c r="AK1369" s="5">
        <v>44046.333333333336</v>
      </c>
      <c r="AL1369" s="5">
        <v>44046.666666666664</v>
      </c>
      <c r="AM1369" s="5">
        <v>44026.333333333336</v>
      </c>
      <c r="AN1369" s="5">
        <v>44026.666666666664</v>
      </c>
      <c r="AP1369" t="s">
        <v>418</v>
      </c>
      <c r="AU1369" t="e" cm="1">
        <f t="array" ref="AU1369">+Q0KX5OILUSd4nx9yOUErg</f>
        <v>#NAME?</v>
      </c>
      <c r="AV1369" t="s">
        <v>6068</v>
      </c>
      <c r="AY1369" t="s">
        <v>37</v>
      </c>
      <c r="AZ1369">
        <v>0</v>
      </c>
      <c r="BA1369">
        <v>0</v>
      </c>
      <c r="BI1369" s="5">
        <v>44048.176388888889</v>
      </c>
      <c r="BJ1369" s="5">
        <v>44048.176388888889</v>
      </c>
      <c r="BK1369" t="s">
        <v>778</v>
      </c>
      <c r="BL1369" t="s">
        <v>778</v>
      </c>
      <c r="BN1369" t="s">
        <v>37</v>
      </c>
    </row>
    <row r="1370" spans="1:66" x14ac:dyDescent="0.2">
      <c r="A1370">
        <v>3693927</v>
      </c>
      <c r="B1370">
        <v>21883</v>
      </c>
      <c r="C1370">
        <v>523846</v>
      </c>
      <c r="D1370">
        <v>52899</v>
      </c>
      <c r="E1370">
        <v>0</v>
      </c>
      <c r="F1370" t="s">
        <v>37</v>
      </c>
      <c r="G1370">
        <v>1</v>
      </c>
      <c r="H1370" t="s">
        <v>37</v>
      </c>
      <c r="I1370" t="s">
        <v>37</v>
      </c>
      <c r="J1370" t="s">
        <v>775</v>
      </c>
      <c r="K1370" t="s">
        <v>230</v>
      </c>
      <c r="L1370" t="s">
        <v>226</v>
      </c>
      <c r="M1370" t="s">
        <v>417</v>
      </c>
      <c r="N1370" t="s">
        <v>6069</v>
      </c>
      <c r="O1370" t="s">
        <v>4288</v>
      </c>
      <c r="Q1370">
        <v>-96</v>
      </c>
      <c r="R1370">
        <v>224</v>
      </c>
      <c r="S1370">
        <v>8</v>
      </c>
      <c r="T1370">
        <v>0</v>
      </c>
      <c r="U1370">
        <v>0</v>
      </c>
      <c r="V1370">
        <v>0</v>
      </c>
      <c r="W1370">
        <v>8</v>
      </c>
      <c r="X1370">
        <v>0</v>
      </c>
      <c r="Y1370">
        <v>0</v>
      </c>
      <c r="Z1370">
        <v>0</v>
      </c>
      <c r="AD1370" s="5">
        <v>44026.333333333336</v>
      </c>
      <c r="AE1370" s="5">
        <v>44026.666666666664</v>
      </c>
      <c r="AG1370" s="5">
        <v>44046.333333333336</v>
      </c>
      <c r="AH1370" s="5">
        <v>44046.666666666664</v>
      </c>
      <c r="AI1370" s="5">
        <v>44046.333333333336</v>
      </c>
      <c r="AJ1370" s="5">
        <v>44046.666666666664</v>
      </c>
      <c r="AK1370" s="5">
        <v>44046.333333333336</v>
      </c>
      <c r="AL1370" s="5">
        <v>44046.666666666664</v>
      </c>
      <c r="AM1370" s="5">
        <v>44026.333333333336</v>
      </c>
      <c r="AN1370" s="5">
        <v>44026.666666666664</v>
      </c>
      <c r="AP1370" t="s">
        <v>418</v>
      </c>
      <c r="AU1370" t="s">
        <v>6070</v>
      </c>
      <c r="AV1370" t="s">
        <v>6071</v>
      </c>
      <c r="AY1370" t="s">
        <v>37</v>
      </c>
      <c r="AZ1370">
        <v>0</v>
      </c>
      <c r="BA1370">
        <v>0</v>
      </c>
      <c r="BI1370" s="5">
        <v>44048.176388888889</v>
      </c>
      <c r="BJ1370" s="5">
        <v>44048.176388888889</v>
      </c>
      <c r="BK1370" t="s">
        <v>778</v>
      </c>
      <c r="BL1370" t="s">
        <v>778</v>
      </c>
      <c r="BN1370" t="s">
        <v>37</v>
      </c>
    </row>
    <row r="1371" spans="1:66" x14ac:dyDescent="0.2">
      <c r="A1371">
        <v>3693928</v>
      </c>
      <c r="B1371">
        <v>21883</v>
      </c>
      <c r="C1371">
        <v>523846</v>
      </c>
      <c r="D1371">
        <v>52899</v>
      </c>
      <c r="E1371">
        <v>0</v>
      </c>
      <c r="F1371" t="s">
        <v>37</v>
      </c>
      <c r="G1371">
        <v>1</v>
      </c>
      <c r="H1371" t="s">
        <v>37</v>
      </c>
      <c r="I1371" t="s">
        <v>37</v>
      </c>
      <c r="J1371" t="s">
        <v>775</v>
      </c>
      <c r="K1371" t="s">
        <v>230</v>
      </c>
      <c r="L1371" t="s">
        <v>226</v>
      </c>
      <c r="M1371" t="s">
        <v>417</v>
      </c>
      <c r="N1371" t="s">
        <v>6072</v>
      </c>
      <c r="O1371" t="s">
        <v>4450</v>
      </c>
      <c r="Q1371">
        <v>-320</v>
      </c>
      <c r="R1371">
        <v>0</v>
      </c>
      <c r="S1371">
        <v>32</v>
      </c>
      <c r="T1371">
        <v>0</v>
      </c>
      <c r="U1371">
        <v>32</v>
      </c>
      <c r="V1371">
        <v>32</v>
      </c>
      <c r="W1371">
        <v>32</v>
      </c>
      <c r="X1371">
        <v>0</v>
      </c>
      <c r="Y1371">
        <v>0</v>
      </c>
      <c r="Z1371">
        <v>0</v>
      </c>
      <c r="AD1371" s="5">
        <v>44029.333333333336</v>
      </c>
      <c r="AE1371" s="5">
        <v>44035.666666666664</v>
      </c>
      <c r="AG1371" s="5">
        <v>44096.333333333336</v>
      </c>
      <c r="AH1371" s="5">
        <v>44102.666666666664</v>
      </c>
      <c r="AI1371" s="5">
        <v>44096.333333333336</v>
      </c>
      <c r="AJ1371" s="5">
        <v>44102.666666666664</v>
      </c>
      <c r="AK1371" s="5">
        <v>44096.333333333336</v>
      </c>
      <c r="AL1371" s="5">
        <v>44102.666666666664</v>
      </c>
      <c r="AM1371" s="5">
        <v>44029.333333333336</v>
      </c>
      <c r="AN1371" s="5">
        <v>44035.666666666664</v>
      </c>
      <c r="AP1371" t="s">
        <v>418</v>
      </c>
      <c r="AU1371" t="s">
        <v>6073</v>
      </c>
      <c r="AV1371" t="s">
        <v>6074</v>
      </c>
      <c r="AY1371" t="s">
        <v>37</v>
      </c>
      <c r="AZ1371">
        <v>0</v>
      </c>
      <c r="BA1371">
        <v>0</v>
      </c>
      <c r="BI1371" s="5">
        <v>44048.176388888889</v>
      </c>
      <c r="BJ1371" s="5">
        <v>44048.176388888889</v>
      </c>
      <c r="BK1371" t="s">
        <v>778</v>
      </c>
      <c r="BL1371" t="s">
        <v>778</v>
      </c>
      <c r="BN1371" t="s">
        <v>37</v>
      </c>
    </row>
    <row r="1372" spans="1:66" x14ac:dyDescent="0.2">
      <c r="A1372">
        <v>3693929</v>
      </c>
      <c r="B1372">
        <v>21883</v>
      </c>
      <c r="C1372">
        <v>523846</v>
      </c>
      <c r="D1372">
        <v>52899</v>
      </c>
      <c r="E1372">
        <v>0</v>
      </c>
      <c r="F1372" t="s">
        <v>37</v>
      </c>
      <c r="G1372">
        <v>1</v>
      </c>
      <c r="H1372" t="s">
        <v>37</v>
      </c>
      <c r="I1372" t="s">
        <v>37</v>
      </c>
      <c r="J1372" t="s">
        <v>775</v>
      </c>
      <c r="K1372" t="s">
        <v>230</v>
      </c>
      <c r="L1372" t="s">
        <v>226</v>
      </c>
      <c r="M1372" t="s">
        <v>417</v>
      </c>
      <c r="N1372" t="s">
        <v>6075</v>
      </c>
      <c r="O1372" t="s">
        <v>6076</v>
      </c>
      <c r="Q1372">
        <v>-320</v>
      </c>
      <c r="R1372">
        <v>0</v>
      </c>
      <c r="S1372">
        <v>32</v>
      </c>
      <c r="T1372">
        <v>0</v>
      </c>
      <c r="U1372">
        <v>32</v>
      </c>
      <c r="V1372">
        <v>32</v>
      </c>
      <c r="W1372">
        <v>32</v>
      </c>
      <c r="X1372">
        <v>0</v>
      </c>
      <c r="Y1372">
        <v>0</v>
      </c>
      <c r="Z1372">
        <v>0</v>
      </c>
      <c r="AD1372" s="5">
        <v>44036.333333333336</v>
      </c>
      <c r="AE1372" s="5">
        <v>44042.666666666664</v>
      </c>
      <c r="AG1372" s="5">
        <v>44103.333333333336</v>
      </c>
      <c r="AH1372" s="5">
        <v>44110.666666666664</v>
      </c>
      <c r="AI1372" s="5">
        <v>44103.333333333336</v>
      </c>
      <c r="AJ1372" s="5">
        <v>44110.666666666664</v>
      </c>
      <c r="AK1372" s="5">
        <v>44103.333333333336</v>
      </c>
      <c r="AL1372" s="5">
        <v>44110.666666666664</v>
      </c>
      <c r="AM1372" s="5">
        <v>44036.333333333336</v>
      </c>
      <c r="AN1372" s="5">
        <v>44042.666666666664</v>
      </c>
      <c r="AP1372" t="s">
        <v>418</v>
      </c>
      <c r="AU1372" t="s">
        <v>6077</v>
      </c>
      <c r="AV1372" t="s">
        <v>6078</v>
      </c>
      <c r="AY1372" t="s">
        <v>37</v>
      </c>
      <c r="AZ1372">
        <v>0</v>
      </c>
      <c r="BA1372">
        <v>0</v>
      </c>
      <c r="BI1372" s="5">
        <v>44048.176388888889</v>
      </c>
      <c r="BJ1372" s="5">
        <v>44048.176388888889</v>
      </c>
      <c r="BK1372" t="s">
        <v>778</v>
      </c>
      <c r="BL1372" t="s">
        <v>778</v>
      </c>
      <c r="BN1372" t="s">
        <v>37</v>
      </c>
    </row>
    <row r="1373" spans="1:66" x14ac:dyDescent="0.2">
      <c r="A1373">
        <v>3693930</v>
      </c>
      <c r="B1373">
        <v>21883</v>
      </c>
      <c r="C1373">
        <v>523846</v>
      </c>
      <c r="D1373">
        <v>52899</v>
      </c>
      <c r="E1373">
        <v>0</v>
      </c>
      <c r="F1373" t="s">
        <v>37</v>
      </c>
      <c r="G1373">
        <v>1</v>
      </c>
      <c r="H1373" t="s">
        <v>37</v>
      </c>
      <c r="I1373" t="s">
        <v>37</v>
      </c>
      <c r="J1373" t="s">
        <v>775</v>
      </c>
      <c r="K1373" t="s">
        <v>230</v>
      </c>
      <c r="L1373" t="s">
        <v>226</v>
      </c>
      <c r="M1373" t="s">
        <v>417</v>
      </c>
      <c r="N1373" t="s">
        <v>6079</v>
      </c>
      <c r="O1373" t="s">
        <v>6080</v>
      </c>
      <c r="Q1373">
        <v>-320</v>
      </c>
      <c r="R1373">
        <v>0</v>
      </c>
      <c r="S1373">
        <v>24</v>
      </c>
      <c r="T1373">
        <v>0</v>
      </c>
      <c r="U1373">
        <v>48</v>
      </c>
      <c r="V1373">
        <v>48</v>
      </c>
      <c r="W1373">
        <v>24</v>
      </c>
      <c r="X1373">
        <v>0</v>
      </c>
      <c r="Y1373">
        <v>0</v>
      </c>
      <c r="Z1373">
        <v>0</v>
      </c>
      <c r="AD1373" s="5">
        <v>44043.333333333336</v>
      </c>
      <c r="AE1373" s="5">
        <v>44047.666666666664</v>
      </c>
      <c r="AG1373" s="5">
        <v>44111.333333333336</v>
      </c>
      <c r="AH1373" s="5">
        <v>44116.666666666664</v>
      </c>
      <c r="AI1373" s="5">
        <v>44111.333333333336</v>
      </c>
      <c r="AJ1373" s="5">
        <v>44116.666666666664</v>
      </c>
      <c r="AK1373" s="5">
        <v>44111.333333333336</v>
      </c>
      <c r="AL1373" s="5">
        <v>44116.666666666664</v>
      </c>
      <c r="AM1373" s="5">
        <v>44043.333333333336</v>
      </c>
      <c r="AN1373" s="5">
        <v>44047.666666666664</v>
      </c>
      <c r="AP1373" t="s">
        <v>418</v>
      </c>
      <c r="AU1373" t="s">
        <v>6081</v>
      </c>
      <c r="AV1373" t="s">
        <v>6082</v>
      </c>
      <c r="AY1373" t="s">
        <v>37</v>
      </c>
      <c r="AZ1373">
        <v>0</v>
      </c>
      <c r="BA1373">
        <v>0</v>
      </c>
      <c r="BI1373" s="5">
        <v>44048.176388888889</v>
      </c>
      <c r="BJ1373" s="5">
        <v>44048.176388888889</v>
      </c>
      <c r="BK1373" t="s">
        <v>778</v>
      </c>
      <c r="BL1373" t="s">
        <v>778</v>
      </c>
      <c r="BN1373" t="s">
        <v>37</v>
      </c>
    </row>
    <row r="1374" spans="1:66" x14ac:dyDescent="0.2">
      <c r="A1374">
        <v>3693931</v>
      </c>
      <c r="B1374">
        <v>21883</v>
      </c>
      <c r="C1374">
        <v>523846</v>
      </c>
      <c r="D1374">
        <v>52899</v>
      </c>
      <c r="E1374">
        <v>0</v>
      </c>
      <c r="F1374" t="s">
        <v>37</v>
      </c>
      <c r="G1374">
        <v>1</v>
      </c>
      <c r="H1374" t="s">
        <v>37</v>
      </c>
      <c r="I1374" t="s">
        <v>37</v>
      </c>
      <c r="J1374" t="s">
        <v>775</v>
      </c>
      <c r="K1374" t="s">
        <v>230</v>
      </c>
      <c r="L1374" t="s">
        <v>226</v>
      </c>
      <c r="M1374" t="s">
        <v>417</v>
      </c>
      <c r="N1374" t="s">
        <v>6083</v>
      </c>
      <c r="O1374" t="s">
        <v>4461</v>
      </c>
      <c r="Q1374">
        <v>-320</v>
      </c>
      <c r="R1374">
        <v>0</v>
      </c>
      <c r="S1374">
        <v>32</v>
      </c>
      <c r="T1374">
        <v>0</v>
      </c>
      <c r="U1374">
        <v>32</v>
      </c>
      <c r="V1374">
        <v>32</v>
      </c>
      <c r="W1374">
        <v>32</v>
      </c>
      <c r="X1374">
        <v>0</v>
      </c>
      <c r="Y1374">
        <v>0</v>
      </c>
      <c r="Z1374">
        <v>0</v>
      </c>
      <c r="AD1374" s="5">
        <v>44054.333333333336</v>
      </c>
      <c r="AE1374" s="5">
        <v>44060.666666666664</v>
      </c>
      <c r="AG1374" s="5">
        <v>44123.333333333336</v>
      </c>
      <c r="AH1374" s="5">
        <v>44126.666666666664</v>
      </c>
      <c r="AI1374" s="5">
        <v>44123.333333333336</v>
      </c>
      <c r="AJ1374" s="5">
        <v>44126.666666666664</v>
      </c>
      <c r="AK1374" s="5">
        <v>44123.333333333336</v>
      </c>
      <c r="AL1374" s="5">
        <v>44126.666666666664</v>
      </c>
      <c r="AM1374" s="5">
        <v>44054.333333333336</v>
      </c>
      <c r="AN1374" s="5">
        <v>44060.666666666664</v>
      </c>
      <c r="AP1374" t="s">
        <v>418</v>
      </c>
      <c r="AU1374" t="s">
        <v>6084</v>
      </c>
      <c r="AV1374" t="s">
        <v>6085</v>
      </c>
      <c r="AY1374" t="s">
        <v>37</v>
      </c>
      <c r="AZ1374">
        <v>0</v>
      </c>
      <c r="BA1374">
        <v>0</v>
      </c>
      <c r="BI1374" s="5">
        <v>44048.176388888889</v>
      </c>
      <c r="BJ1374" s="5">
        <v>44048.176388888889</v>
      </c>
      <c r="BK1374" t="s">
        <v>778</v>
      </c>
      <c r="BL1374" t="s">
        <v>778</v>
      </c>
      <c r="BN1374" t="s">
        <v>37</v>
      </c>
    </row>
    <row r="1375" spans="1:66" x14ac:dyDescent="0.2">
      <c r="A1375">
        <v>3693932</v>
      </c>
      <c r="B1375">
        <v>21883</v>
      </c>
      <c r="C1375">
        <v>523846</v>
      </c>
      <c r="D1375">
        <v>52899</v>
      </c>
      <c r="E1375">
        <v>0</v>
      </c>
      <c r="F1375" t="s">
        <v>37</v>
      </c>
      <c r="G1375">
        <v>1</v>
      </c>
      <c r="H1375" t="s">
        <v>37</v>
      </c>
      <c r="I1375" t="s">
        <v>37</v>
      </c>
      <c r="J1375" t="s">
        <v>775</v>
      </c>
      <c r="K1375" t="s">
        <v>230</v>
      </c>
      <c r="L1375" t="s">
        <v>226</v>
      </c>
      <c r="M1375" t="s">
        <v>417</v>
      </c>
      <c r="N1375" t="s">
        <v>6086</v>
      </c>
      <c r="O1375" t="s">
        <v>4465</v>
      </c>
      <c r="Q1375">
        <v>-320</v>
      </c>
      <c r="R1375">
        <v>32</v>
      </c>
      <c r="S1375">
        <v>32</v>
      </c>
      <c r="T1375">
        <v>0</v>
      </c>
      <c r="U1375">
        <v>32</v>
      </c>
      <c r="V1375">
        <v>32</v>
      </c>
      <c r="W1375">
        <v>32</v>
      </c>
      <c r="X1375">
        <v>0</v>
      </c>
      <c r="Y1375">
        <v>0</v>
      </c>
      <c r="Z1375">
        <v>0</v>
      </c>
      <c r="AD1375" s="5">
        <v>44061.333333333336</v>
      </c>
      <c r="AE1375" s="5">
        <v>44069.666666666664</v>
      </c>
      <c r="AG1375" s="5">
        <v>44127.333333333336</v>
      </c>
      <c r="AH1375" s="5">
        <v>44132.666666666664</v>
      </c>
      <c r="AI1375" s="5">
        <v>44127.333333333336</v>
      </c>
      <c r="AJ1375" s="5">
        <v>44132.666666666664</v>
      </c>
      <c r="AK1375" s="5">
        <v>44127.333333333336</v>
      </c>
      <c r="AL1375" s="5">
        <v>44132.666666666664</v>
      </c>
      <c r="AM1375" s="5">
        <v>44061.333333333336</v>
      </c>
      <c r="AN1375" s="5">
        <v>44069.666666666664</v>
      </c>
      <c r="AP1375" t="s">
        <v>418</v>
      </c>
      <c r="AU1375" t="s">
        <v>6087</v>
      </c>
      <c r="AV1375" t="s">
        <v>6088</v>
      </c>
      <c r="AY1375" t="s">
        <v>37</v>
      </c>
      <c r="AZ1375">
        <v>0</v>
      </c>
      <c r="BA1375">
        <v>0</v>
      </c>
      <c r="BI1375" s="5">
        <v>44048.176388888889</v>
      </c>
      <c r="BJ1375" s="5">
        <v>44048.176388888889</v>
      </c>
      <c r="BK1375" t="s">
        <v>778</v>
      </c>
      <c r="BL1375" t="s">
        <v>778</v>
      </c>
      <c r="BN1375" t="s">
        <v>37</v>
      </c>
    </row>
    <row r="1376" spans="1:66" x14ac:dyDescent="0.2">
      <c r="A1376">
        <v>3693933</v>
      </c>
      <c r="B1376">
        <v>21883</v>
      </c>
      <c r="C1376">
        <v>523846</v>
      </c>
      <c r="D1376">
        <v>52899</v>
      </c>
      <c r="E1376">
        <v>0</v>
      </c>
      <c r="F1376" t="s">
        <v>37</v>
      </c>
      <c r="G1376">
        <v>1</v>
      </c>
      <c r="H1376" t="s">
        <v>37</v>
      </c>
      <c r="I1376" t="s">
        <v>37</v>
      </c>
      <c r="J1376" t="s">
        <v>775</v>
      </c>
      <c r="K1376" t="s">
        <v>230</v>
      </c>
      <c r="L1376" t="s">
        <v>226</v>
      </c>
      <c r="M1376" t="s">
        <v>417</v>
      </c>
      <c r="N1376" t="s">
        <v>6089</v>
      </c>
      <c r="O1376" t="s">
        <v>4469</v>
      </c>
      <c r="Q1376">
        <v>-288</v>
      </c>
      <c r="R1376">
        <v>40</v>
      </c>
      <c r="S1376">
        <v>16</v>
      </c>
      <c r="T1376">
        <v>0</v>
      </c>
      <c r="U1376">
        <v>16</v>
      </c>
      <c r="V1376">
        <v>16</v>
      </c>
      <c r="W1376">
        <v>16</v>
      </c>
      <c r="X1376">
        <v>0</v>
      </c>
      <c r="Y1376">
        <v>0</v>
      </c>
      <c r="Z1376">
        <v>0</v>
      </c>
      <c r="AD1376" s="5">
        <v>44105.333333333336</v>
      </c>
      <c r="AE1376" s="5">
        <v>44109.666666666664</v>
      </c>
      <c r="AG1376" s="5">
        <v>44167.333333333336</v>
      </c>
      <c r="AH1376" s="5">
        <v>44168.666666666664</v>
      </c>
      <c r="AI1376" s="5">
        <v>44167.333333333336</v>
      </c>
      <c r="AJ1376" s="5">
        <v>44168.666666666664</v>
      </c>
      <c r="AK1376" s="5">
        <v>44167.333333333336</v>
      </c>
      <c r="AL1376" s="5">
        <v>44168.666666666664</v>
      </c>
      <c r="AM1376" s="5">
        <v>44105.333333333336</v>
      </c>
      <c r="AN1376" s="5">
        <v>44109.666666666664</v>
      </c>
      <c r="AP1376" t="s">
        <v>418</v>
      </c>
      <c r="AU1376" t="s">
        <v>6090</v>
      </c>
      <c r="AV1376" t="s">
        <v>6091</v>
      </c>
      <c r="AY1376" t="s">
        <v>37</v>
      </c>
      <c r="AZ1376">
        <v>0</v>
      </c>
      <c r="BA1376">
        <v>0</v>
      </c>
      <c r="BI1376" s="5">
        <v>44048.176388888889</v>
      </c>
      <c r="BJ1376" s="5">
        <v>44048.176388888889</v>
      </c>
      <c r="BK1376" t="s">
        <v>778</v>
      </c>
      <c r="BL1376" t="s">
        <v>778</v>
      </c>
      <c r="BN1376" t="s">
        <v>37</v>
      </c>
    </row>
    <row r="1377" spans="1:66" x14ac:dyDescent="0.2">
      <c r="A1377">
        <v>3693934</v>
      </c>
      <c r="B1377">
        <v>21883</v>
      </c>
      <c r="C1377">
        <v>523846</v>
      </c>
      <c r="D1377">
        <v>52899</v>
      </c>
      <c r="E1377">
        <v>0</v>
      </c>
      <c r="F1377" t="s">
        <v>37</v>
      </c>
      <c r="G1377">
        <v>1</v>
      </c>
      <c r="H1377" t="s">
        <v>37</v>
      </c>
      <c r="I1377" t="s">
        <v>37</v>
      </c>
      <c r="J1377" t="s">
        <v>775</v>
      </c>
      <c r="K1377" t="s">
        <v>230</v>
      </c>
      <c r="L1377" t="s">
        <v>226</v>
      </c>
      <c r="M1377" t="s">
        <v>417</v>
      </c>
      <c r="N1377" t="s">
        <v>6092</v>
      </c>
      <c r="O1377" t="s">
        <v>4473</v>
      </c>
      <c r="Q1377">
        <v>-256</v>
      </c>
      <c r="R1377">
        <v>72</v>
      </c>
      <c r="S1377">
        <v>32</v>
      </c>
      <c r="T1377">
        <v>0</v>
      </c>
      <c r="U1377">
        <v>32</v>
      </c>
      <c r="V1377">
        <v>32</v>
      </c>
      <c r="W1377">
        <v>32</v>
      </c>
      <c r="X1377">
        <v>0</v>
      </c>
      <c r="Y1377">
        <v>0</v>
      </c>
      <c r="Z1377">
        <v>0</v>
      </c>
      <c r="AD1377" s="5">
        <v>44102.333333333336</v>
      </c>
      <c r="AE1377" s="5">
        <v>44109.666666666664</v>
      </c>
      <c r="AG1377" s="5">
        <v>44152.333333333336</v>
      </c>
      <c r="AH1377" s="5">
        <v>44155.666666666664</v>
      </c>
      <c r="AI1377" s="5">
        <v>44152.333333333336</v>
      </c>
      <c r="AJ1377" s="5">
        <v>44155.666666666664</v>
      </c>
      <c r="AK1377" s="5">
        <v>44152.333333333336</v>
      </c>
      <c r="AL1377" s="5">
        <v>44155.666666666664</v>
      </c>
      <c r="AM1377" s="5">
        <v>44102.333333333336</v>
      </c>
      <c r="AN1377" s="5">
        <v>44109.666666666664</v>
      </c>
      <c r="AP1377" t="s">
        <v>418</v>
      </c>
      <c r="AU1377" t="s">
        <v>6093</v>
      </c>
      <c r="AV1377" t="s">
        <v>6094</v>
      </c>
      <c r="AY1377" t="s">
        <v>37</v>
      </c>
      <c r="AZ1377">
        <v>0</v>
      </c>
      <c r="BA1377">
        <v>0</v>
      </c>
      <c r="BI1377" s="5">
        <v>44048.176388888889</v>
      </c>
      <c r="BJ1377" s="5">
        <v>44048.176388888889</v>
      </c>
      <c r="BK1377" t="s">
        <v>778</v>
      </c>
      <c r="BL1377" t="s">
        <v>778</v>
      </c>
      <c r="BN1377" t="s">
        <v>37</v>
      </c>
    </row>
    <row r="1378" spans="1:66" x14ac:dyDescent="0.2">
      <c r="A1378">
        <v>3693935</v>
      </c>
      <c r="B1378">
        <v>21883</v>
      </c>
      <c r="C1378">
        <v>523845</v>
      </c>
      <c r="D1378">
        <v>52899</v>
      </c>
      <c r="E1378">
        <v>0</v>
      </c>
      <c r="F1378" t="s">
        <v>37</v>
      </c>
      <c r="G1378">
        <v>1</v>
      </c>
      <c r="H1378" t="s">
        <v>37</v>
      </c>
      <c r="I1378" t="s">
        <v>37</v>
      </c>
      <c r="J1378" t="s">
        <v>775</v>
      </c>
      <c r="K1378" t="s">
        <v>230</v>
      </c>
      <c r="L1378" t="s">
        <v>226</v>
      </c>
      <c r="M1378" t="s">
        <v>417</v>
      </c>
      <c r="N1378" t="s">
        <v>6095</v>
      </c>
      <c r="O1378" t="s">
        <v>6096</v>
      </c>
      <c r="Q1378">
        <v>-352</v>
      </c>
      <c r="R1378">
        <v>0</v>
      </c>
      <c r="S1378">
        <v>16</v>
      </c>
      <c r="T1378">
        <v>0</v>
      </c>
      <c r="U1378">
        <v>12</v>
      </c>
      <c r="V1378">
        <v>12</v>
      </c>
      <c r="W1378">
        <v>16</v>
      </c>
      <c r="X1378">
        <v>0</v>
      </c>
      <c r="Y1378">
        <v>0</v>
      </c>
      <c r="Z1378">
        <v>0</v>
      </c>
      <c r="AD1378" s="5">
        <v>44019.333333333336</v>
      </c>
      <c r="AE1378" s="5">
        <v>44020.666666666664</v>
      </c>
      <c r="AG1378" s="5">
        <v>44090.333333333336</v>
      </c>
      <c r="AH1378" s="5">
        <v>44091.666666666664</v>
      </c>
      <c r="AI1378" s="5">
        <v>44090.333333333336</v>
      </c>
      <c r="AJ1378" s="5">
        <v>44091.666666666664</v>
      </c>
      <c r="AK1378" s="5">
        <v>44090.333333333336</v>
      </c>
      <c r="AL1378" s="5">
        <v>44091.666666666664</v>
      </c>
      <c r="AM1378" s="5">
        <v>44019.333333333336</v>
      </c>
      <c r="AN1378" s="5">
        <v>44020.666666666664</v>
      </c>
      <c r="AP1378" t="s">
        <v>418</v>
      </c>
      <c r="AU1378" t="s">
        <v>6097</v>
      </c>
      <c r="AV1378" t="s">
        <v>6098</v>
      </c>
      <c r="AY1378" t="s">
        <v>40</v>
      </c>
      <c r="AZ1378">
        <v>0</v>
      </c>
      <c r="BA1378">
        <v>0</v>
      </c>
      <c r="BI1378" s="5">
        <v>44048.176388888889</v>
      </c>
      <c r="BJ1378" s="5">
        <v>44048.176388888889</v>
      </c>
      <c r="BK1378" t="s">
        <v>778</v>
      </c>
      <c r="BL1378" t="s">
        <v>778</v>
      </c>
      <c r="BN1378" t="s">
        <v>37</v>
      </c>
    </row>
    <row r="1379" spans="1:66" x14ac:dyDescent="0.2">
      <c r="A1379">
        <v>3693936</v>
      </c>
      <c r="B1379">
        <v>21883</v>
      </c>
      <c r="C1379">
        <v>523999</v>
      </c>
      <c r="D1379">
        <v>52899</v>
      </c>
      <c r="E1379">
        <v>100</v>
      </c>
      <c r="F1379" t="s">
        <v>37</v>
      </c>
      <c r="G1379">
        <v>1</v>
      </c>
      <c r="H1379" t="s">
        <v>37</v>
      </c>
      <c r="I1379" t="s">
        <v>37</v>
      </c>
      <c r="J1379" t="s">
        <v>775</v>
      </c>
      <c r="K1379" t="s">
        <v>230</v>
      </c>
      <c r="L1379" t="s">
        <v>226</v>
      </c>
      <c r="M1379" t="s">
        <v>422</v>
      </c>
      <c r="N1379" t="s">
        <v>6099</v>
      </c>
      <c r="O1379" t="s">
        <v>6100</v>
      </c>
      <c r="S1379">
        <v>0</v>
      </c>
      <c r="T1379">
        <v>16</v>
      </c>
      <c r="U1379">
        <v>0</v>
      </c>
      <c r="V1379">
        <v>16</v>
      </c>
      <c r="W1379">
        <v>0</v>
      </c>
      <c r="X1379">
        <v>0</v>
      </c>
      <c r="Y1379">
        <v>0</v>
      </c>
      <c r="Z1379">
        <v>0</v>
      </c>
      <c r="AB1379" s="5">
        <v>43831</v>
      </c>
      <c r="AC1379" s="5">
        <v>43831</v>
      </c>
      <c r="AD1379" s="5">
        <v>44306.666666666664</v>
      </c>
      <c r="AE1379" s="5">
        <v>44306.666666666664</v>
      </c>
      <c r="AG1379" s="5">
        <v>44044</v>
      </c>
      <c r="AH1379" s="5">
        <v>44044</v>
      </c>
      <c r="AK1379" s="5">
        <v>44071.333333333336</v>
      </c>
      <c r="AL1379" s="5">
        <v>44071.333333333336</v>
      </c>
      <c r="AP1379" t="s">
        <v>418</v>
      </c>
      <c r="AU1379" t="s">
        <v>6101</v>
      </c>
      <c r="AV1379" t="s">
        <v>6102</v>
      </c>
      <c r="AY1379" t="s">
        <v>37</v>
      </c>
      <c r="AZ1379">
        <v>0</v>
      </c>
      <c r="BA1379">
        <v>0</v>
      </c>
      <c r="BI1379" s="5">
        <v>44048.176388888889</v>
      </c>
      <c r="BJ1379" s="5">
        <v>44048.176388888889</v>
      </c>
      <c r="BK1379" t="s">
        <v>778</v>
      </c>
      <c r="BL1379" t="s">
        <v>778</v>
      </c>
      <c r="BN1379" t="s">
        <v>37</v>
      </c>
    </row>
    <row r="1380" spans="1:66" x14ac:dyDescent="0.2">
      <c r="A1380">
        <v>3693937</v>
      </c>
      <c r="B1380">
        <v>21883</v>
      </c>
      <c r="C1380">
        <v>523845</v>
      </c>
      <c r="D1380">
        <v>52899</v>
      </c>
      <c r="E1380">
        <v>0</v>
      </c>
      <c r="F1380" t="s">
        <v>37</v>
      </c>
      <c r="G1380">
        <v>1</v>
      </c>
      <c r="H1380" t="s">
        <v>37</v>
      </c>
      <c r="I1380" t="s">
        <v>37</v>
      </c>
      <c r="J1380" t="s">
        <v>775</v>
      </c>
      <c r="K1380" t="s">
        <v>230</v>
      </c>
      <c r="L1380" t="s">
        <v>226</v>
      </c>
      <c r="M1380" t="s">
        <v>417</v>
      </c>
      <c r="N1380" t="s">
        <v>6103</v>
      </c>
      <c r="O1380" t="s">
        <v>2637</v>
      </c>
      <c r="Q1380">
        <v>-280</v>
      </c>
      <c r="R1380">
        <v>72</v>
      </c>
      <c r="S1380">
        <v>48</v>
      </c>
      <c r="T1380">
        <v>0</v>
      </c>
      <c r="U1380">
        <v>0</v>
      </c>
      <c r="V1380">
        <v>0</v>
      </c>
      <c r="W1380">
        <v>48</v>
      </c>
      <c r="X1380">
        <v>0</v>
      </c>
      <c r="Y1380">
        <v>0</v>
      </c>
      <c r="Z1380">
        <v>0</v>
      </c>
      <c r="AD1380" s="5">
        <v>44035.333333333336</v>
      </c>
      <c r="AE1380" s="5">
        <v>44043.666666666664</v>
      </c>
      <c r="AG1380" s="5">
        <v>44092.333333333336</v>
      </c>
      <c r="AH1380" s="5">
        <v>44102.666666666664</v>
      </c>
      <c r="AI1380" s="5">
        <v>44092.333333333336</v>
      </c>
      <c r="AJ1380" s="5">
        <v>44102.666666666664</v>
      </c>
      <c r="AK1380" s="5">
        <v>44092.333333333336</v>
      </c>
      <c r="AL1380" s="5">
        <v>44102.666666666664</v>
      </c>
      <c r="AM1380" s="5">
        <v>44035.333333333336</v>
      </c>
      <c r="AN1380" s="5">
        <v>44043.666666666664</v>
      </c>
      <c r="AP1380" t="s">
        <v>418</v>
      </c>
      <c r="AU1380" t="s">
        <v>6104</v>
      </c>
      <c r="AV1380" t="s">
        <v>6105</v>
      </c>
      <c r="AY1380" t="s">
        <v>37</v>
      </c>
      <c r="AZ1380">
        <v>0</v>
      </c>
      <c r="BA1380">
        <v>0</v>
      </c>
      <c r="BI1380" s="5">
        <v>44048.176388888889</v>
      </c>
      <c r="BJ1380" s="5">
        <v>44048.176388888889</v>
      </c>
      <c r="BK1380" t="s">
        <v>778</v>
      </c>
      <c r="BL1380" t="s">
        <v>778</v>
      </c>
      <c r="BN1380" t="s">
        <v>37</v>
      </c>
    </row>
    <row r="1381" spans="1:66" x14ac:dyDescent="0.2">
      <c r="A1381">
        <v>3693938</v>
      </c>
      <c r="B1381">
        <v>21883</v>
      </c>
      <c r="C1381">
        <v>523845</v>
      </c>
      <c r="D1381">
        <v>52899</v>
      </c>
      <c r="E1381">
        <v>0</v>
      </c>
      <c r="F1381" t="s">
        <v>37</v>
      </c>
      <c r="G1381">
        <v>1</v>
      </c>
      <c r="H1381" t="s">
        <v>37</v>
      </c>
      <c r="I1381" t="s">
        <v>37</v>
      </c>
      <c r="J1381" t="s">
        <v>775</v>
      </c>
      <c r="K1381" t="s">
        <v>230</v>
      </c>
      <c r="L1381" t="s">
        <v>226</v>
      </c>
      <c r="M1381" t="s">
        <v>417</v>
      </c>
      <c r="N1381" t="s">
        <v>6106</v>
      </c>
      <c r="O1381" t="s">
        <v>2641</v>
      </c>
      <c r="Q1381">
        <v>-352</v>
      </c>
      <c r="R1381">
        <v>0</v>
      </c>
      <c r="S1381">
        <v>32</v>
      </c>
      <c r="T1381">
        <v>0</v>
      </c>
      <c r="U1381">
        <v>0</v>
      </c>
      <c r="V1381">
        <v>0</v>
      </c>
      <c r="W1381">
        <v>32</v>
      </c>
      <c r="X1381">
        <v>0</v>
      </c>
      <c r="Y1381">
        <v>0</v>
      </c>
      <c r="Z1381">
        <v>0</v>
      </c>
      <c r="AD1381" s="5">
        <v>44040.333333333336</v>
      </c>
      <c r="AE1381" s="5">
        <v>44043.666666666664</v>
      </c>
      <c r="AG1381" s="5">
        <v>44113.333333333336</v>
      </c>
      <c r="AH1381" s="5">
        <v>44118.666666666664</v>
      </c>
      <c r="AI1381" s="5">
        <v>44113.333333333336</v>
      </c>
      <c r="AJ1381" s="5">
        <v>44118.666666666664</v>
      </c>
      <c r="AK1381" s="5">
        <v>44113.333333333336</v>
      </c>
      <c r="AL1381" s="5">
        <v>44118.666666666664</v>
      </c>
      <c r="AM1381" s="5">
        <v>44040.333333333336</v>
      </c>
      <c r="AN1381" s="5">
        <v>44043.666666666664</v>
      </c>
      <c r="AP1381" t="s">
        <v>418</v>
      </c>
      <c r="AU1381" t="s">
        <v>6107</v>
      </c>
      <c r="AV1381" t="s">
        <v>6108</v>
      </c>
      <c r="AY1381" t="s">
        <v>40</v>
      </c>
      <c r="AZ1381">
        <v>0</v>
      </c>
      <c r="BA1381">
        <v>0</v>
      </c>
      <c r="BI1381" s="5">
        <v>44048.176388888889</v>
      </c>
      <c r="BJ1381" s="5">
        <v>44048.176388888889</v>
      </c>
      <c r="BK1381" t="s">
        <v>778</v>
      </c>
      <c r="BL1381" t="s">
        <v>778</v>
      </c>
      <c r="BN1381" t="s">
        <v>37</v>
      </c>
    </row>
    <row r="1382" spans="1:66" x14ac:dyDescent="0.2">
      <c r="A1382">
        <v>3693939</v>
      </c>
      <c r="B1382">
        <v>21883</v>
      </c>
      <c r="C1382">
        <v>523845</v>
      </c>
      <c r="D1382">
        <v>52899</v>
      </c>
      <c r="E1382">
        <v>0</v>
      </c>
      <c r="F1382" t="s">
        <v>37</v>
      </c>
      <c r="G1382">
        <v>1</v>
      </c>
      <c r="H1382" t="s">
        <v>37</v>
      </c>
      <c r="I1382" t="s">
        <v>37</v>
      </c>
      <c r="J1382" t="s">
        <v>775</v>
      </c>
      <c r="K1382" t="s">
        <v>230</v>
      </c>
      <c r="L1382" t="s">
        <v>226</v>
      </c>
      <c r="M1382" t="s">
        <v>417</v>
      </c>
      <c r="N1382" t="s">
        <v>6109</v>
      </c>
      <c r="O1382" t="s">
        <v>2645</v>
      </c>
      <c r="Q1382">
        <v>-352</v>
      </c>
      <c r="R1382">
        <v>0</v>
      </c>
      <c r="S1382">
        <v>16</v>
      </c>
      <c r="T1382">
        <v>0</v>
      </c>
      <c r="U1382">
        <v>8</v>
      </c>
      <c r="V1382">
        <v>8</v>
      </c>
      <c r="W1382">
        <v>16</v>
      </c>
      <c r="X1382">
        <v>0</v>
      </c>
      <c r="Y1382">
        <v>0</v>
      </c>
      <c r="Z1382">
        <v>0</v>
      </c>
      <c r="AD1382" s="5">
        <v>44053.333333333336</v>
      </c>
      <c r="AE1382" s="5">
        <v>44054.666666666664</v>
      </c>
      <c r="AG1382" s="5">
        <v>44126.333333333336</v>
      </c>
      <c r="AH1382" s="5">
        <v>44127.666666666664</v>
      </c>
      <c r="AI1382" s="5">
        <v>44126.333333333336</v>
      </c>
      <c r="AJ1382" s="5">
        <v>44127.666666666664</v>
      </c>
      <c r="AK1382" s="5">
        <v>44126.333333333336</v>
      </c>
      <c r="AL1382" s="5">
        <v>44127.666666666664</v>
      </c>
      <c r="AM1382" s="5">
        <v>44053.333333333336</v>
      </c>
      <c r="AN1382" s="5">
        <v>44054.666666666664</v>
      </c>
      <c r="AP1382" t="s">
        <v>418</v>
      </c>
      <c r="AU1382" t="s">
        <v>6110</v>
      </c>
      <c r="AV1382" t="s">
        <v>6111</v>
      </c>
      <c r="AY1382" t="s">
        <v>40</v>
      </c>
      <c r="AZ1382">
        <v>0</v>
      </c>
      <c r="BA1382">
        <v>0</v>
      </c>
      <c r="BI1382" s="5">
        <v>44048.176388888889</v>
      </c>
      <c r="BJ1382" s="5">
        <v>44048.176388888889</v>
      </c>
      <c r="BK1382" t="s">
        <v>778</v>
      </c>
      <c r="BL1382" t="s">
        <v>778</v>
      </c>
      <c r="BN1382" t="s">
        <v>37</v>
      </c>
    </row>
    <row r="1383" spans="1:66" x14ac:dyDescent="0.2">
      <c r="A1383">
        <v>3693940</v>
      </c>
      <c r="B1383">
        <v>21883</v>
      </c>
      <c r="C1383">
        <v>523845</v>
      </c>
      <c r="D1383">
        <v>52895</v>
      </c>
      <c r="E1383">
        <v>0</v>
      </c>
      <c r="F1383" t="s">
        <v>37</v>
      </c>
      <c r="G1383">
        <v>1</v>
      </c>
      <c r="H1383" t="s">
        <v>37</v>
      </c>
      <c r="I1383" t="s">
        <v>37</v>
      </c>
      <c r="J1383" t="s">
        <v>775</v>
      </c>
      <c r="K1383" t="s">
        <v>230</v>
      </c>
      <c r="L1383" t="s">
        <v>226</v>
      </c>
      <c r="M1383" t="s">
        <v>417</v>
      </c>
      <c r="N1383" t="s">
        <v>6112</v>
      </c>
      <c r="O1383" t="s">
        <v>2649</v>
      </c>
      <c r="Q1383">
        <v>-456</v>
      </c>
      <c r="R1383">
        <v>96</v>
      </c>
      <c r="S1383">
        <v>56</v>
      </c>
      <c r="T1383">
        <v>0</v>
      </c>
      <c r="U1383">
        <v>0</v>
      </c>
      <c r="V1383">
        <v>0</v>
      </c>
      <c r="W1383">
        <v>56</v>
      </c>
      <c r="X1383">
        <v>0</v>
      </c>
      <c r="Y1383">
        <v>0</v>
      </c>
      <c r="Z1383">
        <v>0</v>
      </c>
      <c r="AD1383" s="5">
        <v>44071.333333333336</v>
      </c>
      <c r="AE1383" s="5">
        <v>44077.666666666664</v>
      </c>
      <c r="AG1383" s="5">
        <v>44128.333333333336</v>
      </c>
      <c r="AH1383" s="5">
        <v>44134.666666666664</v>
      </c>
      <c r="AI1383" s="5">
        <v>44128.333333333336</v>
      </c>
      <c r="AJ1383" s="5">
        <v>44134.666666666664</v>
      </c>
      <c r="AK1383" s="5">
        <v>44128.333333333336</v>
      </c>
      <c r="AL1383" s="5">
        <v>44134.666666666664</v>
      </c>
      <c r="AM1383" s="5">
        <v>44071.333333333336</v>
      </c>
      <c r="AN1383" s="5">
        <v>44077.666666666664</v>
      </c>
      <c r="AP1383" t="s">
        <v>418</v>
      </c>
      <c r="AU1383" t="s">
        <v>6113</v>
      </c>
      <c r="AV1383" t="s">
        <v>6114</v>
      </c>
      <c r="AY1383" t="s">
        <v>37</v>
      </c>
      <c r="AZ1383">
        <v>0</v>
      </c>
      <c r="BA1383">
        <v>0</v>
      </c>
      <c r="BI1383" s="5">
        <v>44048.176388888889</v>
      </c>
      <c r="BJ1383" s="5">
        <v>44048.176388888889</v>
      </c>
      <c r="BK1383" t="s">
        <v>778</v>
      </c>
      <c r="BL1383" t="s">
        <v>778</v>
      </c>
      <c r="BN1383" t="s">
        <v>37</v>
      </c>
    </row>
    <row r="1384" spans="1:66" x14ac:dyDescent="0.2">
      <c r="A1384">
        <v>3693941</v>
      </c>
      <c r="B1384">
        <v>21883</v>
      </c>
      <c r="C1384">
        <v>523845</v>
      </c>
      <c r="D1384">
        <v>52899</v>
      </c>
      <c r="E1384">
        <v>0</v>
      </c>
      <c r="F1384" t="s">
        <v>37</v>
      </c>
      <c r="G1384">
        <v>1</v>
      </c>
      <c r="H1384" t="s">
        <v>37</v>
      </c>
      <c r="I1384" t="s">
        <v>37</v>
      </c>
      <c r="J1384" t="s">
        <v>775</v>
      </c>
      <c r="K1384" t="s">
        <v>230</v>
      </c>
      <c r="L1384" t="s">
        <v>226</v>
      </c>
      <c r="M1384" t="s">
        <v>417</v>
      </c>
      <c r="N1384" t="s">
        <v>6115</v>
      </c>
      <c r="O1384" t="s">
        <v>3740</v>
      </c>
      <c r="Q1384">
        <v>-160</v>
      </c>
      <c r="R1384">
        <v>192</v>
      </c>
      <c r="S1384">
        <v>8</v>
      </c>
      <c r="T1384">
        <v>0</v>
      </c>
      <c r="U1384">
        <v>0</v>
      </c>
      <c r="V1384">
        <v>0</v>
      </c>
      <c r="W1384">
        <v>8</v>
      </c>
      <c r="X1384">
        <v>0</v>
      </c>
      <c r="Y1384">
        <v>0</v>
      </c>
      <c r="Z1384">
        <v>0</v>
      </c>
      <c r="AD1384" s="5">
        <v>44018.333333333336</v>
      </c>
      <c r="AE1384" s="5">
        <v>44018.666666666664</v>
      </c>
      <c r="AG1384" s="5">
        <v>44048.333333333336</v>
      </c>
      <c r="AH1384" s="5">
        <v>44048.666666666664</v>
      </c>
      <c r="AI1384" s="5">
        <v>44048.333333333336</v>
      </c>
      <c r="AJ1384" s="5">
        <v>44048.666666666664</v>
      </c>
      <c r="AK1384" s="5">
        <v>44048.333333333336</v>
      </c>
      <c r="AL1384" s="5">
        <v>44048.666666666664</v>
      </c>
      <c r="AM1384" s="5">
        <v>44018.333333333336</v>
      </c>
      <c r="AN1384" s="5">
        <v>44018.666666666664</v>
      </c>
      <c r="AP1384" t="s">
        <v>418</v>
      </c>
      <c r="AU1384" t="s">
        <v>6116</v>
      </c>
      <c r="AV1384" t="s">
        <v>6117</v>
      </c>
      <c r="AY1384" t="s">
        <v>37</v>
      </c>
      <c r="AZ1384">
        <v>0</v>
      </c>
      <c r="BA1384">
        <v>0</v>
      </c>
      <c r="BI1384" s="5">
        <v>44048.176388888889</v>
      </c>
      <c r="BJ1384" s="5">
        <v>44048.176388888889</v>
      </c>
      <c r="BK1384" t="s">
        <v>778</v>
      </c>
      <c r="BL1384" t="s">
        <v>778</v>
      </c>
      <c r="BN1384" t="s">
        <v>37</v>
      </c>
    </row>
    <row r="1385" spans="1:66" x14ac:dyDescent="0.2">
      <c r="A1385">
        <v>3693942</v>
      </c>
      <c r="B1385">
        <v>21883</v>
      </c>
      <c r="C1385">
        <v>523845</v>
      </c>
      <c r="D1385">
        <v>52899</v>
      </c>
      <c r="E1385">
        <v>0</v>
      </c>
      <c r="F1385" t="s">
        <v>37</v>
      </c>
      <c r="G1385">
        <v>1</v>
      </c>
      <c r="H1385" t="s">
        <v>37</v>
      </c>
      <c r="I1385" t="s">
        <v>37</v>
      </c>
      <c r="J1385" t="s">
        <v>775</v>
      </c>
      <c r="K1385" t="s">
        <v>230</v>
      </c>
      <c r="L1385" t="s">
        <v>226</v>
      </c>
      <c r="M1385" t="s">
        <v>417</v>
      </c>
      <c r="N1385" t="s">
        <v>6118</v>
      </c>
      <c r="O1385" t="s">
        <v>4292</v>
      </c>
      <c r="Q1385">
        <v>-144</v>
      </c>
      <c r="R1385">
        <v>208</v>
      </c>
      <c r="S1385">
        <v>8</v>
      </c>
      <c r="T1385">
        <v>0</v>
      </c>
      <c r="U1385">
        <v>0</v>
      </c>
      <c r="V1385">
        <v>0</v>
      </c>
      <c r="W1385">
        <v>8</v>
      </c>
      <c r="X1385">
        <v>0</v>
      </c>
      <c r="Y1385">
        <v>0</v>
      </c>
      <c r="Z1385">
        <v>0</v>
      </c>
      <c r="AD1385" s="5">
        <v>44018.333333333336</v>
      </c>
      <c r="AE1385" s="5">
        <v>44018.666666666664</v>
      </c>
      <c r="AG1385" s="5">
        <v>44046.333333333336</v>
      </c>
      <c r="AH1385" s="5">
        <v>44046.666666666664</v>
      </c>
      <c r="AI1385" s="5">
        <v>44046.333333333336</v>
      </c>
      <c r="AJ1385" s="5">
        <v>44046.666666666664</v>
      </c>
      <c r="AK1385" s="5">
        <v>44046.333333333336</v>
      </c>
      <c r="AL1385" s="5">
        <v>44046.666666666664</v>
      </c>
      <c r="AM1385" s="5">
        <v>44018.333333333336</v>
      </c>
      <c r="AN1385" s="5">
        <v>44018.666666666664</v>
      </c>
      <c r="AP1385" t="s">
        <v>418</v>
      </c>
      <c r="AU1385" t="s">
        <v>6119</v>
      </c>
      <c r="AV1385" t="s">
        <v>6120</v>
      </c>
      <c r="AY1385" t="s">
        <v>37</v>
      </c>
      <c r="AZ1385">
        <v>0</v>
      </c>
      <c r="BA1385">
        <v>0</v>
      </c>
      <c r="BI1385" s="5">
        <v>44048.176388888889</v>
      </c>
      <c r="BJ1385" s="5">
        <v>44048.176388888889</v>
      </c>
      <c r="BK1385" t="s">
        <v>778</v>
      </c>
      <c r="BL1385" t="s">
        <v>778</v>
      </c>
      <c r="BN1385" t="s">
        <v>37</v>
      </c>
    </row>
    <row r="1386" spans="1:66" x14ac:dyDescent="0.2">
      <c r="A1386">
        <v>3693943</v>
      </c>
      <c r="B1386">
        <v>21883</v>
      </c>
      <c r="C1386">
        <v>523845</v>
      </c>
      <c r="D1386">
        <v>52899</v>
      </c>
      <c r="E1386">
        <v>0</v>
      </c>
      <c r="F1386" t="s">
        <v>37</v>
      </c>
      <c r="G1386">
        <v>1</v>
      </c>
      <c r="H1386" t="s">
        <v>37</v>
      </c>
      <c r="I1386" t="s">
        <v>37</v>
      </c>
      <c r="J1386" t="s">
        <v>775</v>
      </c>
      <c r="K1386" t="s">
        <v>230</v>
      </c>
      <c r="L1386" t="s">
        <v>226</v>
      </c>
      <c r="M1386" t="s">
        <v>417</v>
      </c>
      <c r="N1386" t="s">
        <v>6121</v>
      </c>
      <c r="O1386" t="s">
        <v>4477</v>
      </c>
      <c r="Q1386">
        <v>-352</v>
      </c>
      <c r="R1386">
        <v>0</v>
      </c>
      <c r="S1386">
        <v>32</v>
      </c>
      <c r="T1386">
        <v>0</v>
      </c>
      <c r="U1386">
        <v>32</v>
      </c>
      <c r="V1386">
        <v>32</v>
      </c>
      <c r="W1386">
        <v>32</v>
      </c>
      <c r="X1386">
        <v>0</v>
      </c>
      <c r="Y1386">
        <v>0</v>
      </c>
      <c r="Z1386">
        <v>0</v>
      </c>
      <c r="AD1386" s="5">
        <v>44021.333333333336</v>
      </c>
      <c r="AE1386" s="5">
        <v>44026.666666666664</v>
      </c>
      <c r="AG1386" s="5">
        <v>44092.333333333336</v>
      </c>
      <c r="AH1386" s="5">
        <v>44098.666666666664</v>
      </c>
      <c r="AI1386" s="5">
        <v>44092.333333333336</v>
      </c>
      <c r="AJ1386" s="5">
        <v>44098.666666666664</v>
      </c>
      <c r="AK1386" s="5">
        <v>44092.333333333336</v>
      </c>
      <c r="AL1386" s="5">
        <v>44098.666666666664</v>
      </c>
      <c r="AM1386" s="5">
        <v>44021.333333333336</v>
      </c>
      <c r="AN1386" s="5">
        <v>44026.666666666664</v>
      </c>
      <c r="AP1386" t="s">
        <v>418</v>
      </c>
      <c r="AU1386" t="s">
        <v>6122</v>
      </c>
      <c r="AV1386" t="s">
        <v>6123</v>
      </c>
      <c r="AY1386" t="s">
        <v>40</v>
      </c>
      <c r="AZ1386">
        <v>0</v>
      </c>
      <c r="BA1386">
        <v>0</v>
      </c>
      <c r="BI1386" s="5">
        <v>44048.176388888889</v>
      </c>
      <c r="BJ1386" s="5">
        <v>44048.176388888889</v>
      </c>
      <c r="BK1386" t="s">
        <v>778</v>
      </c>
      <c r="BL1386" t="s">
        <v>778</v>
      </c>
      <c r="BN1386" t="s">
        <v>37</v>
      </c>
    </row>
    <row r="1387" spans="1:66" x14ac:dyDescent="0.2">
      <c r="A1387">
        <v>3693944</v>
      </c>
      <c r="B1387">
        <v>21883</v>
      </c>
      <c r="C1387">
        <v>523845</v>
      </c>
      <c r="D1387">
        <v>52899</v>
      </c>
      <c r="E1387">
        <v>0</v>
      </c>
      <c r="F1387" t="s">
        <v>37</v>
      </c>
      <c r="G1387">
        <v>1</v>
      </c>
      <c r="H1387" t="s">
        <v>37</v>
      </c>
      <c r="I1387" t="s">
        <v>37</v>
      </c>
      <c r="J1387" t="s">
        <v>775</v>
      </c>
      <c r="K1387" t="s">
        <v>230</v>
      </c>
      <c r="L1387" t="s">
        <v>226</v>
      </c>
      <c r="M1387" t="s">
        <v>417</v>
      </c>
      <c r="N1387" t="s">
        <v>6124</v>
      </c>
      <c r="O1387" t="s">
        <v>6125</v>
      </c>
      <c r="Q1387">
        <v>-352</v>
      </c>
      <c r="R1387">
        <v>0</v>
      </c>
      <c r="S1387">
        <v>32</v>
      </c>
      <c r="T1387">
        <v>0</v>
      </c>
      <c r="U1387">
        <v>32</v>
      </c>
      <c r="V1387">
        <v>32</v>
      </c>
      <c r="W1387">
        <v>32</v>
      </c>
      <c r="X1387">
        <v>0</v>
      </c>
      <c r="Y1387">
        <v>0</v>
      </c>
      <c r="Z1387">
        <v>0</v>
      </c>
      <c r="AD1387" s="5">
        <v>44027.333333333336</v>
      </c>
      <c r="AE1387" s="5">
        <v>44032.666666666664</v>
      </c>
      <c r="AG1387" s="5">
        <v>44099.333333333336</v>
      </c>
      <c r="AH1387" s="5">
        <v>44105.666666666664</v>
      </c>
      <c r="AI1387" s="5">
        <v>44099.333333333336</v>
      </c>
      <c r="AJ1387" s="5">
        <v>44105.666666666664</v>
      </c>
      <c r="AK1387" s="5">
        <v>44099.333333333336</v>
      </c>
      <c r="AL1387" s="5">
        <v>44105.666666666664</v>
      </c>
      <c r="AM1387" s="5">
        <v>44027.333333333336</v>
      </c>
      <c r="AN1387" s="5">
        <v>44032.666666666664</v>
      </c>
      <c r="AP1387" t="s">
        <v>418</v>
      </c>
      <c r="AU1387" t="s">
        <v>6126</v>
      </c>
      <c r="AV1387" t="s">
        <v>6127</v>
      </c>
      <c r="AY1387" t="s">
        <v>40</v>
      </c>
      <c r="AZ1387">
        <v>0</v>
      </c>
      <c r="BA1387">
        <v>0</v>
      </c>
      <c r="BI1387" s="5">
        <v>44048.176388888889</v>
      </c>
      <c r="BJ1387" s="5">
        <v>44048.176388888889</v>
      </c>
      <c r="BK1387" t="s">
        <v>778</v>
      </c>
      <c r="BL1387" t="s">
        <v>778</v>
      </c>
      <c r="BN1387" t="s">
        <v>37</v>
      </c>
    </row>
    <row r="1388" spans="1:66" x14ac:dyDescent="0.2">
      <c r="A1388">
        <v>3693945</v>
      </c>
      <c r="B1388">
        <v>21883</v>
      </c>
      <c r="C1388">
        <v>523845</v>
      </c>
      <c r="D1388">
        <v>52899</v>
      </c>
      <c r="E1388">
        <v>0</v>
      </c>
      <c r="F1388" t="s">
        <v>37</v>
      </c>
      <c r="G1388">
        <v>1</v>
      </c>
      <c r="H1388" t="s">
        <v>37</v>
      </c>
      <c r="I1388" t="s">
        <v>37</v>
      </c>
      <c r="J1388" t="s">
        <v>775</v>
      </c>
      <c r="K1388" t="s">
        <v>230</v>
      </c>
      <c r="L1388" t="s">
        <v>226</v>
      </c>
      <c r="M1388" t="s">
        <v>417</v>
      </c>
      <c r="N1388" t="s">
        <v>6128</v>
      </c>
      <c r="O1388" t="s">
        <v>6129</v>
      </c>
      <c r="Q1388">
        <v>-352</v>
      </c>
      <c r="R1388">
        <v>0</v>
      </c>
      <c r="S1388">
        <v>24</v>
      </c>
      <c r="T1388">
        <v>0</v>
      </c>
      <c r="U1388">
        <v>48</v>
      </c>
      <c r="V1388">
        <v>48</v>
      </c>
      <c r="W1388">
        <v>24</v>
      </c>
      <c r="X1388">
        <v>0</v>
      </c>
      <c r="Y1388">
        <v>0</v>
      </c>
      <c r="Z1388">
        <v>0</v>
      </c>
      <c r="AD1388" s="5">
        <v>44034.333333333336</v>
      </c>
      <c r="AE1388" s="5">
        <v>44036.666666666664</v>
      </c>
      <c r="AG1388" s="5">
        <v>44109.333333333336</v>
      </c>
      <c r="AH1388" s="5">
        <v>44111.666666666664</v>
      </c>
      <c r="AI1388" s="5">
        <v>44109.333333333336</v>
      </c>
      <c r="AJ1388" s="5">
        <v>44111.666666666664</v>
      </c>
      <c r="AK1388" s="5">
        <v>44109.333333333336</v>
      </c>
      <c r="AL1388" s="5">
        <v>44111.666666666664</v>
      </c>
      <c r="AM1388" s="5">
        <v>44034.333333333336</v>
      </c>
      <c r="AN1388" s="5">
        <v>44036.666666666664</v>
      </c>
      <c r="AP1388" t="s">
        <v>418</v>
      </c>
      <c r="AU1388" t="s">
        <v>6130</v>
      </c>
      <c r="AV1388" t="s">
        <v>6131</v>
      </c>
      <c r="AY1388" t="s">
        <v>40</v>
      </c>
      <c r="AZ1388">
        <v>0</v>
      </c>
      <c r="BA1388">
        <v>0</v>
      </c>
      <c r="BI1388" s="5">
        <v>44048.176388888889</v>
      </c>
      <c r="BJ1388" s="5">
        <v>44048.176388888889</v>
      </c>
      <c r="BK1388" t="s">
        <v>778</v>
      </c>
      <c r="BL1388" t="s">
        <v>778</v>
      </c>
      <c r="BN1388" t="s">
        <v>37</v>
      </c>
    </row>
    <row r="1389" spans="1:66" x14ac:dyDescent="0.2">
      <c r="A1389">
        <v>3693946</v>
      </c>
      <c r="B1389">
        <v>21883</v>
      </c>
      <c r="C1389">
        <v>523845</v>
      </c>
      <c r="D1389">
        <v>52899</v>
      </c>
      <c r="E1389">
        <v>0</v>
      </c>
      <c r="F1389" t="s">
        <v>37</v>
      </c>
      <c r="G1389">
        <v>1</v>
      </c>
      <c r="H1389" t="s">
        <v>37</v>
      </c>
      <c r="I1389" t="s">
        <v>37</v>
      </c>
      <c r="J1389" t="s">
        <v>775</v>
      </c>
      <c r="K1389" t="s">
        <v>230</v>
      </c>
      <c r="L1389" t="s">
        <v>226</v>
      </c>
      <c r="M1389" t="s">
        <v>417</v>
      </c>
      <c r="N1389" t="s">
        <v>6132</v>
      </c>
      <c r="O1389" t="s">
        <v>4489</v>
      </c>
      <c r="Q1389">
        <v>-352</v>
      </c>
      <c r="R1389">
        <v>0</v>
      </c>
      <c r="S1389">
        <v>16</v>
      </c>
      <c r="T1389">
        <v>0</v>
      </c>
      <c r="U1389">
        <v>32</v>
      </c>
      <c r="V1389">
        <v>32</v>
      </c>
      <c r="W1389">
        <v>16</v>
      </c>
      <c r="X1389">
        <v>0</v>
      </c>
      <c r="Y1389">
        <v>0</v>
      </c>
      <c r="Z1389">
        <v>0</v>
      </c>
      <c r="AD1389" s="5">
        <v>44046.333333333336</v>
      </c>
      <c r="AE1389" s="5">
        <v>44047.666666666664</v>
      </c>
      <c r="AG1389" s="5">
        <v>44119.333333333336</v>
      </c>
      <c r="AH1389" s="5">
        <v>44120.666666666664</v>
      </c>
      <c r="AI1389" s="5">
        <v>44119.333333333336</v>
      </c>
      <c r="AJ1389" s="5">
        <v>44120.666666666664</v>
      </c>
      <c r="AK1389" s="5">
        <v>44119.333333333336</v>
      </c>
      <c r="AL1389" s="5">
        <v>44120.666666666664</v>
      </c>
      <c r="AM1389" s="5">
        <v>44046.333333333336</v>
      </c>
      <c r="AN1389" s="5">
        <v>44047.666666666664</v>
      </c>
      <c r="AP1389" t="s">
        <v>418</v>
      </c>
      <c r="AU1389" t="s">
        <v>6133</v>
      </c>
      <c r="AV1389" t="s">
        <v>6134</v>
      </c>
      <c r="AY1389" t="s">
        <v>40</v>
      </c>
      <c r="AZ1389">
        <v>0</v>
      </c>
      <c r="BA1389">
        <v>0</v>
      </c>
      <c r="BI1389" s="5">
        <v>44048.176388888889</v>
      </c>
      <c r="BJ1389" s="5">
        <v>44048.176388888889</v>
      </c>
      <c r="BK1389" t="s">
        <v>778</v>
      </c>
      <c r="BL1389" t="s">
        <v>778</v>
      </c>
      <c r="BN1389" t="s">
        <v>37</v>
      </c>
    </row>
    <row r="1390" spans="1:66" x14ac:dyDescent="0.2">
      <c r="A1390">
        <v>3693947</v>
      </c>
      <c r="B1390">
        <v>21883</v>
      </c>
      <c r="C1390">
        <v>523845</v>
      </c>
      <c r="D1390">
        <v>52899</v>
      </c>
      <c r="E1390">
        <v>0</v>
      </c>
      <c r="F1390" t="s">
        <v>37</v>
      </c>
      <c r="G1390">
        <v>1</v>
      </c>
      <c r="H1390" t="s">
        <v>37</v>
      </c>
      <c r="I1390" t="s">
        <v>37</v>
      </c>
      <c r="J1390" t="s">
        <v>775</v>
      </c>
      <c r="K1390" t="s">
        <v>230</v>
      </c>
      <c r="L1390" t="s">
        <v>226</v>
      </c>
      <c r="M1390" t="s">
        <v>417</v>
      </c>
      <c r="N1390" t="s">
        <v>6135</v>
      </c>
      <c r="O1390" t="s">
        <v>4493</v>
      </c>
      <c r="Q1390">
        <v>-352</v>
      </c>
      <c r="R1390">
        <v>0</v>
      </c>
      <c r="S1390">
        <v>24</v>
      </c>
      <c r="T1390">
        <v>0</v>
      </c>
      <c r="U1390">
        <v>32</v>
      </c>
      <c r="V1390">
        <v>32</v>
      </c>
      <c r="W1390">
        <v>24</v>
      </c>
      <c r="X1390">
        <v>0</v>
      </c>
      <c r="Y1390">
        <v>0</v>
      </c>
      <c r="Z1390">
        <v>0</v>
      </c>
      <c r="AD1390" s="5">
        <v>44048.333333333336</v>
      </c>
      <c r="AE1390" s="5">
        <v>44050.666666666664</v>
      </c>
      <c r="AG1390" s="5">
        <v>44123.333333333336</v>
      </c>
      <c r="AH1390" s="5">
        <v>44125.666666666664</v>
      </c>
      <c r="AI1390" s="5">
        <v>44123.333333333336</v>
      </c>
      <c r="AJ1390" s="5">
        <v>44125.666666666664</v>
      </c>
      <c r="AK1390" s="5">
        <v>44123.333333333336</v>
      </c>
      <c r="AL1390" s="5">
        <v>44125.666666666664</v>
      </c>
      <c r="AM1390" s="5">
        <v>44048.333333333336</v>
      </c>
      <c r="AN1390" s="5">
        <v>44050.666666666664</v>
      </c>
      <c r="AP1390" t="s">
        <v>418</v>
      </c>
      <c r="AU1390" t="s">
        <v>6136</v>
      </c>
      <c r="AV1390" t="s">
        <v>6137</v>
      </c>
      <c r="AY1390" t="s">
        <v>40</v>
      </c>
      <c r="AZ1390">
        <v>0</v>
      </c>
      <c r="BA1390">
        <v>0</v>
      </c>
      <c r="BI1390" s="5">
        <v>44048.176388888889</v>
      </c>
      <c r="BJ1390" s="5">
        <v>44048.176388888889</v>
      </c>
      <c r="BK1390" t="s">
        <v>778</v>
      </c>
      <c r="BL1390" t="s">
        <v>778</v>
      </c>
      <c r="BN1390" t="s">
        <v>37</v>
      </c>
    </row>
    <row r="1391" spans="1:66" x14ac:dyDescent="0.2">
      <c r="A1391">
        <v>3693948</v>
      </c>
      <c r="B1391">
        <v>21883</v>
      </c>
      <c r="C1391">
        <v>523845</v>
      </c>
      <c r="D1391">
        <v>52899</v>
      </c>
      <c r="E1391">
        <v>0</v>
      </c>
      <c r="F1391" t="s">
        <v>37</v>
      </c>
      <c r="G1391">
        <v>1</v>
      </c>
      <c r="H1391" t="s">
        <v>37</v>
      </c>
      <c r="I1391" t="s">
        <v>37</v>
      </c>
      <c r="J1391" t="s">
        <v>775</v>
      </c>
      <c r="K1391" t="s">
        <v>230</v>
      </c>
      <c r="L1391" t="s">
        <v>226</v>
      </c>
      <c r="M1391" t="s">
        <v>417</v>
      </c>
      <c r="N1391" t="s">
        <v>6138</v>
      </c>
      <c r="O1391" t="s">
        <v>4497</v>
      </c>
      <c r="Q1391">
        <v>-288</v>
      </c>
      <c r="R1391">
        <v>40</v>
      </c>
      <c r="S1391">
        <v>16</v>
      </c>
      <c r="T1391">
        <v>0</v>
      </c>
      <c r="U1391">
        <v>16</v>
      </c>
      <c r="V1391">
        <v>16</v>
      </c>
      <c r="W1391">
        <v>16</v>
      </c>
      <c r="X1391">
        <v>0</v>
      </c>
      <c r="Y1391">
        <v>0</v>
      </c>
      <c r="Z1391">
        <v>0</v>
      </c>
      <c r="AD1391" s="5">
        <v>44105.333333333336</v>
      </c>
      <c r="AE1391" s="5">
        <v>44109.666666666664</v>
      </c>
      <c r="AG1391" s="5">
        <v>44167.333333333336</v>
      </c>
      <c r="AH1391" s="5">
        <v>44168.666666666664</v>
      </c>
      <c r="AI1391" s="5">
        <v>44167.333333333336</v>
      </c>
      <c r="AJ1391" s="5">
        <v>44168.666666666664</v>
      </c>
      <c r="AK1391" s="5">
        <v>44167.333333333336</v>
      </c>
      <c r="AL1391" s="5">
        <v>44168.666666666664</v>
      </c>
      <c r="AM1391" s="5">
        <v>44105.333333333336</v>
      </c>
      <c r="AN1391" s="5">
        <v>44109.666666666664</v>
      </c>
      <c r="AP1391" t="s">
        <v>418</v>
      </c>
      <c r="AU1391" t="s">
        <v>6139</v>
      </c>
      <c r="AV1391" t="s">
        <v>6140</v>
      </c>
      <c r="AY1391" t="s">
        <v>37</v>
      </c>
      <c r="AZ1391">
        <v>0</v>
      </c>
      <c r="BA1391">
        <v>0</v>
      </c>
      <c r="BI1391" s="5">
        <v>44048.176388888889</v>
      </c>
      <c r="BJ1391" s="5">
        <v>44048.176388888889</v>
      </c>
      <c r="BK1391" t="s">
        <v>778</v>
      </c>
      <c r="BL1391" t="s">
        <v>778</v>
      </c>
      <c r="BN1391" t="s">
        <v>37</v>
      </c>
    </row>
    <row r="1392" spans="1:66" x14ac:dyDescent="0.2">
      <c r="A1392">
        <v>3693949</v>
      </c>
      <c r="B1392">
        <v>21883</v>
      </c>
      <c r="C1392">
        <v>523845</v>
      </c>
      <c r="D1392">
        <v>52899</v>
      </c>
      <c r="E1392">
        <v>0</v>
      </c>
      <c r="F1392" t="s">
        <v>37</v>
      </c>
      <c r="G1392">
        <v>1</v>
      </c>
      <c r="H1392" t="s">
        <v>37</v>
      </c>
      <c r="I1392" t="s">
        <v>37</v>
      </c>
      <c r="J1392" t="s">
        <v>775</v>
      </c>
      <c r="K1392" t="s">
        <v>230</v>
      </c>
      <c r="L1392" t="s">
        <v>226</v>
      </c>
      <c r="M1392" t="s">
        <v>417</v>
      </c>
      <c r="N1392" t="s">
        <v>6141</v>
      </c>
      <c r="O1392" t="s">
        <v>4501</v>
      </c>
      <c r="Q1392">
        <v>-200</v>
      </c>
      <c r="R1392">
        <v>128</v>
      </c>
      <c r="S1392">
        <v>32</v>
      </c>
      <c r="T1392">
        <v>0</v>
      </c>
      <c r="U1392">
        <v>32</v>
      </c>
      <c r="V1392">
        <v>32</v>
      </c>
      <c r="W1392">
        <v>32</v>
      </c>
      <c r="X1392">
        <v>0</v>
      </c>
      <c r="Y1392">
        <v>0</v>
      </c>
      <c r="Z1392">
        <v>0</v>
      </c>
      <c r="AD1392" s="5">
        <v>44102.333333333336</v>
      </c>
      <c r="AE1392" s="5">
        <v>44109.666666666664</v>
      </c>
      <c r="AG1392" s="5">
        <v>44140.333333333336</v>
      </c>
      <c r="AH1392" s="5">
        <v>44145.666666666664</v>
      </c>
      <c r="AI1392" s="5">
        <v>44140.333333333336</v>
      </c>
      <c r="AJ1392" s="5">
        <v>44145.666666666664</v>
      </c>
      <c r="AK1392" s="5">
        <v>44140.333333333336</v>
      </c>
      <c r="AL1392" s="5">
        <v>44145.666666666664</v>
      </c>
      <c r="AM1392" s="5">
        <v>44102.333333333336</v>
      </c>
      <c r="AN1392" s="5">
        <v>44109.666666666664</v>
      </c>
      <c r="AP1392" t="s">
        <v>418</v>
      </c>
      <c r="AU1392" t="s">
        <v>6142</v>
      </c>
      <c r="AV1392" t="s">
        <v>6143</v>
      </c>
      <c r="AY1392" t="s">
        <v>37</v>
      </c>
      <c r="AZ1392">
        <v>0</v>
      </c>
      <c r="BA1392">
        <v>0</v>
      </c>
      <c r="BI1392" s="5">
        <v>44048.176388888889</v>
      </c>
      <c r="BJ1392" s="5">
        <v>44048.176388888889</v>
      </c>
      <c r="BK1392" t="s">
        <v>778</v>
      </c>
      <c r="BL1392" t="s">
        <v>778</v>
      </c>
      <c r="BN1392" t="s">
        <v>37</v>
      </c>
    </row>
    <row r="1393" spans="1:66" x14ac:dyDescent="0.2">
      <c r="A1393">
        <v>3693950</v>
      </c>
      <c r="B1393">
        <v>21883</v>
      </c>
      <c r="C1393">
        <v>523844</v>
      </c>
      <c r="D1393">
        <v>52899</v>
      </c>
      <c r="E1393">
        <v>0</v>
      </c>
      <c r="F1393" t="s">
        <v>37</v>
      </c>
      <c r="G1393">
        <v>1</v>
      </c>
      <c r="H1393" t="s">
        <v>37</v>
      </c>
      <c r="I1393" t="s">
        <v>37</v>
      </c>
      <c r="J1393" t="s">
        <v>775</v>
      </c>
      <c r="K1393" t="s">
        <v>230</v>
      </c>
      <c r="L1393" t="s">
        <v>226</v>
      </c>
      <c r="M1393" t="s">
        <v>417</v>
      </c>
      <c r="N1393" t="s">
        <v>6144</v>
      </c>
      <c r="O1393" t="s">
        <v>6145</v>
      </c>
      <c r="Q1393">
        <v>-312</v>
      </c>
      <c r="R1393">
        <v>0</v>
      </c>
      <c r="S1393">
        <v>16</v>
      </c>
      <c r="T1393">
        <v>0</v>
      </c>
      <c r="U1393">
        <v>12</v>
      </c>
      <c r="V1393">
        <v>12</v>
      </c>
      <c r="W1393">
        <v>16</v>
      </c>
      <c r="X1393">
        <v>0</v>
      </c>
      <c r="Y1393">
        <v>0</v>
      </c>
      <c r="Z1393">
        <v>0</v>
      </c>
      <c r="AD1393" s="5">
        <v>44008.333333333336</v>
      </c>
      <c r="AE1393" s="5">
        <v>44011.666666666664</v>
      </c>
      <c r="AG1393" s="5">
        <v>44074.333333333336</v>
      </c>
      <c r="AH1393" s="5">
        <v>44075.666666666664</v>
      </c>
      <c r="AI1393" s="5">
        <v>44074.333333333336</v>
      </c>
      <c r="AJ1393" s="5">
        <v>44075.666666666664</v>
      </c>
      <c r="AK1393" s="5">
        <v>44074.333333333336</v>
      </c>
      <c r="AL1393" s="5">
        <v>44075.666666666664</v>
      </c>
      <c r="AM1393" s="5">
        <v>44008.333333333336</v>
      </c>
      <c r="AN1393" s="5">
        <v>44011.666666666664</v>
      </c>
      <c r="AP1393" t="s">
        <v>418</v>
      </c>
      <c r="AU1393" t="s">
        <v>6146</v>
      </c>
      <c r="AV1393" t="s">
        <v>6147</v>
      </c>
      <c r="AY1393" t="s">
        <v>37</v>
      </c>
      <c r="AZ1393">
        <v>0</v>
      </c>
      <c r="BA1393">
        <v>0</v>
      </c>
      <c r="BI1393" s="5">
        <v>44048.176388888889</v>
      </c>
      <c r="BJ1393" s="5">
        <v>44048.176388888889</v>
      </c>
      <c r="BK1393" t="s">
        <v>778</v>
      </c>
      <c r="BL1393" t="s">
        <v>778</v>
      </c>
      <c r="BN1393" t="s">
        <v>37</v>
      </c>
    </row>
    <row r="1394" spans="1:66" x14ac:dyDescent="0.2">
      <c r="A1394">
        <v>3693951</v>
      </c>
      <c r="B1394">
        <v>21883</v>
      </c>
      <c r="C1394">
        <v>523999</v>
      </c>
      <c r="D1394">
        <v>52899</v>
      </c>
      <c r="E1394">
        <v>100</v>
      </c>
      <c r="F1394" t="s">
        <v>37</v>
      </c>
      <c r="G1394">
        <v>1</v>
      </c>
      <c r="H1394" t="s">
        <v>37</v>
      </c>
      <c r="I1394" t="s">
        <v>37</v>
      </c>
      <c r="J1394" t="s">
        <v>775</v>
      </c>
      <c r="K1394" t="s">
        <v>230</v>
      </c>
      <c r="L1394" t="s">
        <v>226</v>
      </c>
      <c r="M1394" t="s">
        <v>422</v>
      </c>
      <c r="N1394" t="s">
        <v>6148</v>
      </c>
      <c r="O1394" t="s">
        <v>6149</v>
      </c>
      <c r="S1394">
        <v>0</v>
      </c>
      <c r="T1394">
        <v>16</v>
      </c>
      <c r="U1394">
        <v>0</v>
      </c>
      <c r="V1394">
        <v>16</v>
      </c>
      <c r="W1394">
        <v>0</v>
      </c>
      <c r="X1394">
        <v>0</v>
      </c>
      <c r="Y1394">
        <v>0</v>
      </c>
      <c r="Z1394">
        <v>0</v>
      </c>
      <c r="AB1394" s="5">
        <v>43831</v>
      </c>
      <c r="AC1394" s="5">
        <v>43831</v>
      </c>
      <c r="AD1394" s="5">
        <v>44306.666666666664</v>
      </c>
      <c r="AE1394" s="5">
        <v>44306.666666666664</v>
      </c>
      <c r="AG1394" s="5">
        <v>44044</v>
      </c>
      <c r="AH1394" s="5">
        <v>44044</v>
      </c>
      <c r="AK1394" s="5">
        <v>44053.333333333336</v>
      </c>
      <c r="AL1394" s="5">
        <v>44053.333333333336</v>
      </c>
      <c r="AP1394" t="s">
        <v>418</v>
      </c>
      <c r="AU1394" t="s">
        <v>6150</v>
      </c>
      <c r="AV1394" t="s">
        <v>6151</v>
      </c>
      <c r="AY1394" t="s">
        <v>37</v>
      </c>
      <c r="AZ1394">
        <v>0</v>
      </c>
      <c r="BA1394">
        <v>0</v>
      </c>
      <c r="BI1394" s="5">
        <v>44048.176388888889</v>
      </c>
      <c r="BJ1394" s="5">
        <v>44048.176388888889</v>
      </c>
      <c r="BK1394" t="s">
        <v>778</v>
      </c>
      <c r="BL1394" t="s">
        <v>778</v>
      </c>
      <c r="BN1394" t="s">
        <v>37</v>
      </c>
    </row>
    <row r="1395" spans="1:66" x14ac:dyDescent="0.2">
      <c r="A1395">
        <v>3693952</v>
      </c>
      <c r="B1395">
        <v>21883</v>
      </c>
      <c r="C1395">
        <v>523844</v>
      </c>
      <c r="D1395">
        <v>52899</v>
      </c>
      <c r="E1395">
        <v>0</v>
      </c>
      <c r="F1395" t="s">
        <v>37</v>
      </c>
      <c r="G1395">
        <v>1</v>
      </c>
      <c r="H1395" t="s">
        <v>37</v>
      </c>
      <c r="I1395" t="s">
        <v>37</v>
      </c>
      <c r="J1395" t="s">
        <v>775</v>
      </c>
      <c r="K1395" t="s">
        <v>230</v>
      </c>
      <c r="L1395" t="s">
        <v>226</v>
      </c>
      <c r="M1395" t="s">
        <v>417</v>
      </c>
      <c r="N1395" t="s">
        <v>6152</v>
      </c>
      <c r="O1395" t="s">
        <v>2661</v>
      </c>
      <c r="Q1395">
        <v>-232</v>
      </c>
      <c r="R1395">
        <v>40</v>
      </c>
      <c r="S1395">
        <v>48</v>
      </c>
      <c r="T1395">
        <v>0</v>
      </c>
      <c r="U1395">
        <v>0</v>
      </c>
      <c r="V1395">
        <v>0</v>
      </c>
      <c r="W1395">
        <v>48</v>
      </c>
      <c r="X1395">
        <v>0</v>
      </c>
      <c r="Y1395">
        <v>0</v>
      </c>
      <c r="Z1395">
        <v>0</v>
      </c>
      <c r="AD1395" s="5">
        <v>44027.333333333336</v>
      </c>
      <c r="AE1395" s="5">
        <v>44035.666666666664</v>
      </c>
      <c r="AG1395" s="5">
        <v>44076.333333333336</v>
      </c>
      <c r="AH1395" s="5">
        <v>44084.666666666664</v>
      </c>
      <c r="AI1395" s="5">
        <v>44076.333333333336</v>
      </c>
      <c r="AJ1395" s="5">
        <v>44084.666666666664</v>
      </c>
      <c r="AK1395" s="5">
        <v>44076.333333333336</v>
      </c>
      <c r="AL1395" s="5">
        <v>44084.666666666664</v>
      </c>
      <c r="AM1395" s="5">
        <v>44027.333333333336</v>
      </c>
      <c r="AN1395" s="5">
        <v>44035.666666666664</v>
      </c>
      <c r="AP1395" t="s">
        <v>418</v>
      </c>
      <c r="AU1395" t="s">
        <v>6153</v>
      </c>
      <c r="AV1395" t="s">
        <v>6154</v>
      </c>
      <c r="AY1395" t="s">
        <v>37</v>
      </c>
      <c r="AZ1395">
        <v>0</v>
      </c>
      <c r="BA1395">
        <v>0</v>
      </c>
      <c r="BI1395" s="5">
        <v>44048.176388888889</v>
      </c>
      <c r="BJ1395" s="5">
        <v>44048.176388888889</v>
      </c>
      <c r="BK1395" t="s">
        <v>778</v>
      </c>
      <c r="BL1395" t="s">
        <v>778</v>
      </c>
      <c r="BN1395" t="s">
        <v>37</v>
      </c>
    </row>
    <row r="1396" spans="1:66" x14ac:dyDescent="0.2">
      <c r="A1396">
        <v>3693953</v>
      </c>
      <c r="B1396">
        <v>21883</v>
      </c>
      <c r="C1396">
        <v>523844</v>
      </c>
      <c r="D1396">
        <v>52899</v>
      </c>
      <c r="E1396">
        <v>0</v>
      </c>
      <c r="F1396" t="s">
        <v>37</v>
      </c>
      <c r="G1396">
        <v>1</v>
      </c>
      <c r="H1396" t="s">
        <v>37</v>
      </c>
      <c r="I1396" t="s">
        <v>37</v>
      </c>
      <c r="J1396" t="s">
        <v>775</v>
      </c>
      <c r="K1396" t="s">
        <v>230</v>
      </c>
      <c r="L1396" t="s">
        <v>226</v>
      </c>
      <c r="M1396" t="s">
        <v>417</v>
      </c>
      <c r="N1396" t="s">
        <v>6155</v>
      </c>
      <c r="O1396" t="s">
        <v>2665</v>
      </c>
      <c r="Q1396">
        <v>-272</v>
      </c>
      <c r="R1396">
        <v>0</v>
      </c>
      <c r="S1396">
        <v>32</v>
      </c>
      <c r="T1396">
        <v>0</v>
      </c>
      <c r="U1396">
        <v>0</v>
      </c>
      <c r="V1396">
        <v>0</v>
      </c>
      <c r="W1396">
        <v>32</v>
      </c>
      <c r="X1396">
        <v>0</v>
      </c>
      <c r="Y1396">
        <v>0</v>
      </c>
      <c r="Z1396">
        <v>0</v>
      </c>
      <c r="AD1396" s="5">
        <v>44036.333333333336</v>
      </c>
      <c r="AE1396" s="5">
        <v>44042.666666666664</v>
      </c>
      <c r="AG1396" s="5">
        <v>44092.333333333336</v>
      </c>
      <c r="AH1396" s="5">
        <v>44098.666666666664</v>
      </c>
      <c r="AI1396" s="5">
        <v>44092.333333333336</v>
      </c>
      <c r="AJ1396" s="5">
        <v>44098.666666666664</v>
      </c>
      <c r="AK1396" s="5">
        <v>44092.333333333336</v>
      </c>
      <c r="AL1396" s="5">
        <v>44098.666666666664</v>
      </c>
      <c r="AM1396" s="5">
        <v>44036.333333333336</v>
      </c>
      <c r="AN1396" s="5">
        <v>44042.666666666664</v>
      </c>
      <c r="AP1396" t="s">
        <v>418</v>
      </c>
      <c r="AU1396" t="s">
        <v>6156</v>
      </c>
      <c r="AV1396" t="s">
        <v>6157</v>
      </c>
      <c r="AY1396" t="s">
        <v>37</v>
      </c>
      <c r="AZ1396">
        <v>0</v>
      </c>
      <c r="BA1396">
        <v>0</v>
      </c>
      <c r="BI1396" s="5">
        <v>44048.176388888889</v>
      </c>
      <c r="BJ1396" s="5">
        <v>44048.176388888889</v>
      </c>
      <c r="BK1396" t="s">
        <v>778</v>
      </c>
      <c r="BL1396" t="s">
        <v>778</v>
      </c>
      <c r="BN1396" t="s">
        <v>37</v>
      </c>
    </row>
    <row r="1397" spans="1:66" x14ac:dyDescent="0.2">
      <c r="A1397">
        <v>3693954</v>
      </c>
      <c r="B1397">
        <v>21883</v>
      </c>
      <c r="C1397">
        <v>523844</v>
      </c>
      <c r="D1397">
        <v>52899</v>
      </c>
      <c r="E1397">
        <v>0</v>
      </c>
      <c r="F1397" t="s">
        <v>37</v>
      </c>
      <c r="G1397">
        <v>1</v>
      </c>
      <c r="H1397" t="s">
        <v>37</v>
      </c>
      <c r="I1397" t="s">
        <v>37</v>
      </c>
      <c r="J1397" t="s">
        <v>775</v>
      </c>
      <c r="K1397" t="s">
        <v>230</v>
      </c>
      <c r="L1397" t="s">
        <v>226</v>
      </c>
      <c r="M1397" t="s">
        <v>417</v>
      </c>
      <c r="N1397" t="s">
        <v>6158</v>
      </c>
      <c r="O1397" t="s">
        <v>2669</v>
      </c>
      <c r="Q1397">
        <v>-352</v>
      </c>
      <c r="R1397">
        <v>0</v>
      </c>
      <c r="S1397">
        <v>16</v>
      </c>
      <c r="T1397">
        <v>0</v>
      </c>
      <c r="U1397">
        <v>8</v>
      </c>
      <c r="V1397">
        <v>8</v>
      </c>
      <c r="W1397">
        <v>16</v>
      </c>
      <c r="X1397">
        <v>0</v>
      </c>
      <c r="Y1397">
        <v>0</v>
      </c>
      <c r="Z1397">
        <v>0</v>
      </c>
      <c r="AD1397" s="5">
        <v>44055.333333333336</v>
      </c>
      <c r="AE1397" s="5">
        <v>44057.666666666664</v>
      </c>
      <c r="AG1397" s="5">
        <v>44130.333333333336</v>
      </c>
      <c r="AH1397" s="5">
        <v>44131.666666666664</v>
      </c>
      <c r="AI1397" s="5">
        <v>44130.333333333336</v>
      </c>
      <c r="AJ1397" s="5">
        <v>44131.666666666664</v>
      </c>
      <c r="AK1397" s="5">
        <v>44130.333333333336</v>
      </c>
      <c r="AL1397" s="5">
        <v>44131.666666666664</v>
      </c>
      <c r="AM1397" s="5">
        <v>44055.333333333336</v>
      </c>
      <c r="AN1397" s="5">
        <v>44057.666666666664</v>
      </c>
      <c r="AP1397" t="s">
        <v>418</v>
      </c>
      <c r="AU1397" t="s">
        <v>6159</v>
      </c>
      <c r="AV1397" t="s">
        <v>6160</v>
      </c>
      <c r="AY1397" t="s">
        <v>40</v>
      </c>
      <c r="AZ1397">
        <v>0</v>
      </c>
      <c r="BA1397">
        <v>0</v>
      </c>
      <c r="BI1397" s="5">
        <v>44048.176388888889</v>
      </c>
      <c r="BJ1397" s="5">
        <v>44048.176388888889</v>
      </c>
      <c r="BK1397" t="s">
        <v>778</v>
      </c>
      <c r="BL1397" t="s">
        <v>778</v>
      </c>
      <c r="BN1397" t="s">
        <v>37</v>
      </c>
    </row>
    <row r="1398" spans="1:66" x14ac:dyDescent="0.2">
      <c r="A1398">
        <v>3693955</v>
      </c>
      <c r="B1398">
        <v>21883</v>
      </c>
      <c r="C1398">
        <v>523844</v>
      </c>
      <c r="D1398">
        <v>52895</v>
      </c>
      <c r="E1398">
        <v>0</v>
      </c>
      <c r="F1398" t="s">
        <v>37</v>
      </c>
      <c r="G1398">
        <v>1</v>
      </c>
      <c r="H1398" t="s">
        <v>37</v>
      </c>
      <c r="I1398" t="s">
        <v>37</v>
      </c>
      <c r="J1398" t="s">
        <v>775</v>
      </c>
      <c r="K1398" t="s">
        <v>230</v>
      </c>
      <c r="L1398" t="s">
        <v>226</v>
      </c>
      <c r="M1398" t="s">
        <v>417</v>
      </c>
      <c r="N1398" t="s">
        <v>6161</v>
      </c>
      <c r="O1398" t="s">
        <v>2673</v>
      </c>
      <c r="Q1398">
        <v>-488</v>
      </c>
      <c r="R1398">
        <v>64</v>
      </c>
      <c r="S1398">
        <v>56</v>
      </c>
      <c r="T1398">
        <v>0</v>
      </c>
      <c r="U1398">
        <v>0</v>
      </c>
      <c r="V1398">
        <v>0</v>
      </c>
      <c r="W1398">
        <v>56</v>
      </c>
      <c r="X1398">
        <v>0</v>
      </c>
      <c r="Y1398">
        <v>0</v>
      </c>
      <c r="Z1398">
        <v>0</v>
      </c>
      <c r="AD1398" s="5">
        <v>44071.333333333336</v>
      </c>
      <c r="AE1398" s="5">
        <v>44077.666666666664</v>
      </c>
      <c r="AG1398" s="5">
        <v>44132.333333333336</v>
      </c>
      <c r="AH1398" s="5">
        <v>44138.666666666664</v>
      </c>
      <c r="AI1398" s="5">
        <v>44132.333333333336</v>
      </c>
      <c r="AJ1398" s="5">
        <v>44138.666666666664</v>
      </c>
      <c r="AK1398" s="5">
        <v>44132.333333333336</v>
      </c>
      <c r="AL1398" s="5">
        <v>44138.666666666664</v>
      </c>
      <c r="AM1398" s="5">
        <v>44071.333333333336</v>
      </c>
      <c r="AN1398" s="5">
        <v>44077.666666666664</v>
      </c>
      <c r="AP1398" t="s">
        <v>418</v>
      </c>
      <c r="AU1398" t="s">
        <v>6162</v>
      </c>
      <c r="AV1398" t="s">
        <v>6163</v>
      </c>
      <c r="AY1398" t="s">
        <v>37</v>
      </c>
      <c r="AZ1398">
        <v>0</v>
      </c>
      <c r="BA1398">
        <v>0</v>
      </c>
      <c r="BI1398" s="5">
        <v>44048.176388888889</v>
      </c>
      <c r="BJ1398" s="5">
        <v>44048.176388888889</v>
      </c>
      <c r="BK1398" t="s">
        <v>778</v>
      </c>
      <c r="BL1398" t="s">
        <v>778</v>
      </c>
      <c r="BN1398" t="s">
        <v>37</v>
      </c>
    </row>
    <row r="1399" spans="1:66" x14ac:dyDescent="0.2">
      <c r="A1399">
        <v>3693956</v>
      </c>
      <c r="B1399">
        <v>21883</v>
      </c>
      <c r="C1399">
        <v>523844</v>
      </c>
      <c r="D1399">
        <v>52899</v>
      </c>
      <c r="E1399">
        <v>0</v>
      </c>
      <c r="F1399" t="s">
        <v>37</v>
      </c>
      <c r="G1399">
        <v>1</v>
      </c>
      <c r="H1399" t="s">
        <v>37</v>
      </c>
      <c r="I1399" t="s">
        <v>37</v>
      </c>
      <c r="J1399" t="s">
        <v>775</v>
      </c>
      <c r="K1399" t="s">
        <v>230</v>
      </c>
      <c r="L1399" t="s">
        <v>226</v>
      </c>
      <c r="M1399" t="s">
        <v>417</v>
      </c>
      <c r="N1399" t="s">
        <v>6164</v>
      </c>
      <c r="O1399" t="s">
        <v>3744</v>
      </c>
      <c r="Q1399">
        <v>-312</v>
      </c>
      <c r="R1399">
        <v>0</v>
      </c>
      <c r="S1399">
        <v>8</v>
      </c>
      <c r="T1399">
        <v>0</v>
      </c>
      <c r="U1399">
        <v>0</v>
      </c>
      <c r="V1399">
        <v>0</v>
      </c>
      <c r="W1399">
        <v>8</v>
      </c>
      <c r="X1399">
        <v>0</v>
      </c>
      <c r="Y1399">
        <v>0</v>
      </c>
      <c r="Z1399">
        <v>0</v>
      </c>
      <c r="AD1399" s="5">
        <v>44007.333333333336</v>
      </c>
      <c r="AE1399" s="5">
        <v>44007.666666666664</v>
      </c>
      <c r="AG1399" s="5">
        <v>44071.333333333336</v>
      </c>
      <c r="AH1399" s="5">
        <v>44071.666666666664</v>
      </c>
      <c r="AI1399" s="5">
        <v>44071.333333333336</v>
      </c>
      <c r="AJ1399" s="5">
        <v>44071.666666666664</v>
      </c>
      <c r="AK1399" s="5">
        <v>44071.333333333336</v>
      </c>
      <c r="AL1399" s="5">
        <v>44071.666666666664</v>
      </c>
      <c r="AM1399" s="5">
        <v>44007.333333333336</v>
      </c>
      <c r="AN1399" s="5">
        <v>44007.666666666664</v>
      </c>
      <c r="AP1399" t="s">
        <v>418</v>
      </c>
      <c r="AU1399" t="s">
        <v>6165</v>
      </c>
      <c r="AV1399" t="s">
        <v>6166</v>
      </c>
      <c r="AY1399" t="s">
        <v>37</v>
      </c>
      <c r="AZ1399">
        <v>0</v>
      </c>
      <c r="BA1399">
        <v>0</v>
      </c>
      <c r="BI1399" s="5">
        <v>44048.176388888889</v>
      </c>
      <c r="BJ1399" s="5">
        <v>44048.176388888889</v>
      </c>
      <c r="BK1399" t="s">
        <v>778</v>
      </c>
      <c r="BL1399" t="s">
        <v>778</v>
      </c>
      <c r="BN1399" t="s">
        <v>37</v>
      </c>
    </row>
    <row r="1400" spans="1:66" x14ac:dyDescent="0.2">
      <c r="A1400">
        <v>3693957</v>
      </c>
      <c r="B1400">
        <v>21883</v>
      </c>
      <c r="C1400">
        <v>523844</v>
      </c>
      <c r="D1400">
        <v>52899</v>
      </c>
      <c r="E1400">
        <v>0</v>
      </c>
      <c r="F1400" t="s">
        <v>37</v>
      </c>
      <c r="G1400">
        <v>1</v>
      </c>
      <c r="H1400" t="s">
        <v>37</v>
      </c>
      <c r="I1400" t="s">
        <v>37</v>
      </c>
      <c r="J1400" t="s">
        <v>775</v>
      </c>
      <c r="K1400" t="s">
        <v>230</v>
      </c>
      <c r="L1400" t="s">
        <v>226</v>
      </c>
      <c r="M1400" t="s">
        <v>417</v>
      </c>
      <c r="N1400" t="s">
        <v>6167</v>
      </c>
      <c r="O1400" t="s">
        <v>4356</v>
      </c>
      <c r="Q1400">
        <v>-208</v>
      </c>
      <c r="R1400">
        <v>104</v>
      </c>
      <c r="S1400">
        <v>8</v>
      </c>
      <c r="T1400">
        <v>0</v>
      </c>
      <c r="U1400">
        <v>0</v>
      </c>
      <c r="V1400">
        <v>0</v>
      </c>
      <c r="W1400">
        <v>8</v>
      </c>
      <c r="X1400">
        <v>0</v>
      </c>
      <c r="Y1400">
        <v>0</v>
      </c>
      <c r="Z1400">
        <v>0</v>
      </c>
      <c r="AD1400" s="5">
        <v>44007.333333333336</v>
      </c>
      <c r="AE1400" s="5">
        <v>44007.666666666664</v>
      </c>
      <c r="AG1400" s="5">
        <v>44048.333333333336</v>
      </c>
      <c r="AH1400" s="5">
        <v>44048.666666666664</v>
      </c>
      <c r="AI1400" s="5">
        <v>44048.333333333336</v>
      </c>
      <c r="AJ1400" s="5">
        <v>44048.666666666664</v>
      </c>
      <c r="AK1400" s="5">
        <v>44048.333333333336</v>
      </c>
      <c r="AL1400" s="5">
        <v>44048.666666666664</v>
      </c>
      <c r="AM1400" s="5">
        <v>44007.333333333336</v>
      </c>
      <c r="AN1400" s="5">
        <v>44007.666666666664</v>
      </c>
      <c r="AP1400" t="s">
        <v>418</v>
      </c>
      <c r="AU1400" t="s">
        <v>6168</v>
      </c>
      <c r="AV1400" t="s">
        <v>6169</v>
      </c>
      <c r="AY1400" t="s">
        <v>37</v>
      </c>
      <c r="AZ1400">
        <v>0</v>
      </c>
      <c r="BA1400">
        <v>0</v>
      </c>
      <c r="BI1400" s="5">
        <v>44048.176388888889</v>
      </c>
      <c r="BJ1400" s="5">
        <v>44048.176388888889</v>
      </c>
      <c r="BK1400" t="s">
        <v>778</v>
      </c>
      <c r="BL1400" t="s">
        <v>778</v>
      </c>
      <c r="BN1400" t="s">
        <v>37</v>
      </c>
    </row>
    <row r="1401" spans="1:66" x14ac:dyDescent="0.2">
      <c r="A1401">
        <v>3693958</v>
      </c>
      <c r="B1401">
        <v>21883</v>
      </c>
      <c r="C1401">
        <v>523844</v>
      </c>
      <c r="D1401">
        <v>52899</v>
      </c>
      <c r="E1401">
        <v>0</v>
      </c>
      <c r="F1401" t="s">
        <v>37</v>
      </c>
      <c r="G1401">
        <v>1</v>
      </c>
      <c r="H1401" t="s">
        <v>37</v>
      </c>
      <c r="I1401" t="s">
        <v>37</v>
      </c>
      <c r="J1401" t="s">
        <v>775</v>
      </c>
      <c r="K1401" t="s">
        <v>230</v>
      </c>
      <c r="L1401" t="s">
        <v>226</v>
      </c>
      <c r="M1401" t="s">
        <v>417</v>
      </c>
      <c r="N1401" t="s">
        <v>6170</v>
      </c>
      <c r="O1401" t="s">
        <v>4505</v>
      </c>
      <c r="Q1401">
        <v>-288</v>
      </c>
      <c r="R1401">
        <v>40</v>
      </c>
      <c r="S1401">
        <v>16</v>
      </c>
      <c r="T1401">
        <v>0</v>
      </c>
      <c r="U1401">
        <v>16</v>
      </c>
      <c r="V1401">
        <v>16</v>
      </c>
      <c r="W1401">
        <v>16</v>
      </c>
      <c r="X1401">
        <v>0</v>
      </c>
      <c r="Y1401">
        <v>0</v>
      </c>
      <c r="Z1401">
        <v>0</v>
      </c>
      <c r="AD1401" s="5">
        <v>44105.333333333336</v>
      </c>
      <c r="AE1401" s="5">
        <v>44109.666666666664</v>
      </c>
      <c r="AG1401" s="5">
        <v>44167.333333333336</v>
      </c>
      <c r="AH1401" s="5">
        <v>44168.666666666664</v>
      </c>
      <c r="AI1401" s="5">
        <v>44167.333333333336</v>
      </c>
      <c r="AJ1401" s="5">
        <v>44168.666666666664</v>
      </c>
      <c r="AK1401" s="5">
        <v>44167.333333333336</v>
      </c>
      <c r="AL1401" s="5">
        <v>44168.666666666664</v>
      </c>
      <c r="AM1401" s="5">
        <v>44105.333333333336</v>
      </c>
      <c r="AN1401" s="5">
        <v>44109.666666666664</v>
      </c>
      <c r="AP1401" t="s">
        <v>418</v>
      </c>
      <c r="AU1401" t="s">
        <v>6171</v>
      </c>
      <c r="AV1401" t="s">
        <v>6172</v>
      </c>
      <c r="AY1401" t="s">
        <v>37</v>
      </c>
      <c r="AZ1401">
        <v>0</v>
      </c>
      <c r="BA1401">
        <v>0</v>
      </c>
      <c r="BI1401" s="5">
        <v>44048.176388888889</v>
      </c>
      <c r="BJ1401" s="5">
        <v>44048.176388888889</v>
      </c>
      <c r="BK1401" t="s">
        <v>778</v>
      </c>
      <c r="BL1401" t="s">
        <v>778</v>
      </c>
      <c r="BN1401" t="s">
        <v>37</v>
      </c>
    </row>
    <row r="1402" spans="1:66" x14ac:dyDescent="0.2">
      <c r="A1402">
        <v>3693959</v>
      </c>
      <c r="B1402">
        <v>21883</v>
      </c>
      <c r="C1402">
        <v>523844</v>
      </c>
      <c r="D1402">
        <v>52899</v>
      </c>
      <c r="E1402">
        <v>0</v>
      </c>
      <c r="F1402" t="s">
        <v>37</v>
      </c>
      <c r="G1402">
        <v>1</v>
      </c>
      <c r="H1402" t="s">
        <v>37</v>
      </c>
      <c r="I1402" t="s">
        <v>37</v>
      </c>
      <c r="J1402" t="s">
        <v>775</v>
      </c>
      <c r="K1402" t="s">
        <v>230</v>
      </c>
      <c r="L1402" t="s">
        <v>226</v>
      </c>
      <c r="M1402" t="s">
        <v>417</v>
      </c>
      <c r="N1402" t="s">
        <v>6173</v>
      </c>
      <c r="O1402" t="s">
        <v>4509</v>
      </c>
      <c r="Q1402">
        <v>-216</v>
      </c>
      <c r="R1402">
        <v>112</v>
      </c>
      <c r="S1402">
        <v>32</v>
      </c>
      <c r="T1402">
        <v>0</v>
      </c>
      <c r="U1402">
        <v>32</v>
      </c>
      <c r="V1402">
        <v>32</v>
      </c>
      <c r="W1402">
        <v>32</v>
      </c>
      <c r="X1402">
        <v>0</v>
      </c>
      <c r="Y1402">
        <v>0</v>
      </c>
      <c r="Z1402">
        <v>0</v>
      </c>
      <c r="AD1402" s="5">
        <v>44102.333333333336</v>
      </c>
      <c r="AE1402" s="5">
        <v>44109.666666666664</v>
      </c>
      <c r="AG1402" s="5">
        <v>44144.333333333336</v>
      </c>
      <c r="AH1402" s="5">
        <v>44148.666666666664</v>
      </c>
      <c r="AI1402" s="5">
        <v>44144.333333333336</v>
      </c>
      <c r="AJ1402" s="5">
        <v>44148.666666666664</v>
      </c>
      <c r="AK1402" s="5">
        <v>44144.333333333336</v>
      </c>
      <c r="AL1402" s="5">
        <v>44148.666666666664</v>
      </c>
      <c r="AM1402" s="5">
        <v>44102.333333333336</v>
      </c>
      <c r="AN1402" s="5">
        <v>44109.666666666664</v>
      </c>
      <c r="AP1402" t="s">
        <v>418</v>
      </c>
      <c r="AU1402" t="s">
        <v>6174</v>
      </c>
      <c r="AV1402" t="s">
        <v>6175</v>
      </c>
      <c r="AY1402" t="s">
        <v>37</v>
      </c>
      <c r="AZ1402">
        <v>0</v>
      </c>
      <c r="BA1402">
        <v>0</v>
      </c>
      <c r="BI1402" s="5">
        <v>44048.176388888889</v>
      </c>
      <c r="BJ1402" s="5">
        <v>44048.176388888889</v>
      </c>
      <c r="BK1402" t="s">
        <v>778</v>
      </c>
      <c r="BL1402" t="s">
        <v>778</v>
      </c>
      <c r="BN1402" t="s">
        <v>37</v>
      </c>
    </row>
    <row r="1403" spans="1:66" x14ac:dyDescent="0.2">
      <c r="A1403">
        <v>3693960</v>
      </c>
      <c r="B1403">
        <v>21883</v>
      </c>
      <c r="C1403">
        <v>523844</v>
      </c>
      <c r="D1403">
        <v>52899</v>
      </c>
      <c r="E1403">
        <v>0</v>
      </c>
      <c r="F1403" t="s">
        <v>37</v>
      </c>
      <c r="G1403">
        <v>1</v>
      </c>
      <c r="H1403" t="s">
        <v>37</v>
      </c>
      <c r="I1403" t="s">
        <v>37</v>
      </c>
      <c r="J1403" t="s">
        <v>775</v>
      </c>
      <c r="K1403" t="s">
        <v>230</v>
      </c>
      <c r="L1403" t="s">
        <v>226</v>
      </c>
      <c r="M1403" t="s">
        <v>417</v>
      </c>
      <c r="N1403" t="s">
        <v>6176</v>
      </c>
      <c r="O1403" t="s">
        <v>4513</v>
      </c>
      <c r="Q1403">
        <v>-272</v>
      </c>
      <c r="R1403">
        <v>0</v>
      </c>
      <c r="S1403">
        <v>32</v>
      </c>
      <c r="T1403">
        <v>0</v>
      </c>
      <c r="U1403">
        <v>32</v>
      </c>
      <c r="V1403">
        <v>32</v>
      </c>
      <c r="W1403">
        <v>32</v>
      </c>
      <c r="X1403">
        <v>0</v>
      </c>
      <c r="Y1403">
        <v>0</v>
      </c>
      <c r="Z1403">
        <v>0</v>
      </c>
      <c r="AD1403" s="5">
        <v>44020.333333333336</v>
      </c>
      <c r="AE1403" s="5">
        <v>44025.666666666664</v>
      </c>
      <c r="AG1403" s="5">
        <v>44076.333333333336</v>
      </c>
      <c r="AH1403" s="5">
        <v>44082.666666666664</v>
      </c>
      <c r="AI1403" s="5">
        <v>44076.333333333336</v>
      </c>
      <c r="AJ1403" s="5">
        <v>44082.666666666664</v>
      </c>
      <c r="AK1403" s="5">
        <v>44076.333333333336</v>
      </c>
      <c r="AL1403" s="5">
        <v>44082.666666666664</v>
      </c>
      <c r="AM1403" s="5">
        <v>44020.333333333336</v>
      </c>
      <c r="AN1403" s="5">
        <v>44025.666666666664</v>
      </c>
      <c r="AP1403" t="s">
        <v>418</v>
      </c>
      <c r="AU1403" t="s">
        <v>6177</v>
      </c>
      <c r="AV1403" t="s">
        <v>6178</v>
      </c>
      <c r="AY1403" t="s">
        <v>37</v>
      </c>
      <c r="AZ1403">
        <v>0</v>
      </c>
      <c r="BA1403">
        <v>0</v>
      </c>
      <c r="BI1403" s="5">
        <v>44048.176388888889</v>
      </c>
      <c r="BJ1403" s="5">
        <v>44048.176388888889</v>
      </c>
      <c r="BK1403" t="s">
        <v>778</v>
      </c>
      <c r="BL1403" t="s">
        <v>778</v>
      </c>
      <c r="BN1403" t="s">
        <v>37</v>
      </c>
    </row>
    <row r="1404" spans="1:66" x14ac:dyDescent="0.2">
      <c r="A1404">
        <v>3693961</v>
      </c>
      <c r="B1404">
        <v>21883</v>
      </c>
      <c r="C1404">
        <v>523844</v>
      </c>
      <c r="D1404">
        <v>52899</v>
      </c>
      <c r="E1404">
        <v>0</v>
      </c>
      <c r="F1404" t="s">
        <v>37</v>
      </c>
      <c r="G1404">
        <v>1</v>
      </c>
      <c r="H1404" t="s">
        <v>37</v>
      </c>
      <c r="I1404" t="s">
        <v>37</v>
      </c>
      <c r="J1404" t="s">
        <v>775</v>
      </c>
      <c r="K1404" t="s">
        <v>230</v>
      </c>
      <c r="L1404" t="s">
        <v>226</v>
      </c>
      <c r="M1404" t="s">
        <v>417</v>
      </c>
      <c r="N1404" t="s">
        <v>6179</v>
      </c>
      <c r="O1404" t="s">
        <v>6180</v>
      </c>
      <c r="Q1404">
        <v>-272</v>
      </c>
      <c r="R1404">
        <v>0</v>
      </c>
      <c r="S1404">
        <v>32</v>
      </c>
      <c r="T1404">
        <v>0</v>
      </c>
      <c r="U1404">
        <v>32</v>
      </c>
      <c r="V1404">
        <v>32</v>
      </c>
      <c r="W1404">
        <v>32</v>
      </c>
      <c r="X1404">
        <v>0</v>
      </c>
      <c r="Y1404">
        <v>0</v>
      </c>
      <c r="Z1404">
        <v>0</v>
      </c>
      <c r="AD1404" s="5">
        <v>44026.333333333336</v>
      </c>
      <c r="AE1404" s="5">
        <v>44029.666666666664</v>
      </c>
      <c r="AG1404" s="5">
        <v>44083.333333333336</v>
      </c>
      <c r="AH1404" s="5">
        <v>44088.666666666664</v>
      </c>
      <c r="AI1404" s="5">
        <v>44083.333333333336</v>
      </c>
      <c r="AJ1404" s="5">
        <v>44088.666666666664</v>
      </c>
      <c r="AK1404" s="5">
        <v>44083.333333333336</v>
      </c>
      <c r="AL1404" s="5">
        <v>44088.666666666664</v>
      </c>
      <c r="AM1404" s="5">
        <v>44026.333333333336</v>
      </c>
      <c r="AN1404" s="5">
        <v>44029.666666666664</v>
      </c>
      <c r="AP1404" t="s">
        <v>418</v>
      </c>
      <c r="AU1404" t="s">
        <v>6181</v>
      </c>
      <c r="AV1404" t="s">
        <v>6182</v>
      </c>
      <c r="AY1404" t="s">
        <v>37</v>
      </c>
      <c r="AZ1404">
        <v>0</v>
      </c>
      <c r="BA1404">
        <v>0</v>
      </c>
      <c r="BI1404" s="5">
        <v>44048.176388888889</v>
      </c>
      <c r="BJ1404" s="5">
        <v>44048.176388888889</v>
      </c>
      <c r="BK1404" t="s">
        <v>778</v>
      </c>
      <c r="BL1404" t="s">
        <v>778</v>
      </c>
      <c r="BN1404" t="s">
        <v>37</v>
      </c>
    </row>
    <row r="1405" spans="1:66" x14ac:dyDescent="0.2">
      <c r="A1405">
        <v>3693962</v>
      </c>
      <c r="B1405">
        <v>21883</v>
      </c>
      <c r="C1405">
        <v>523844</v>
      </c>
      <c r="D1405">
        <v>52899</v>
      </c>
      <c r="E1405">
        <v>0</v>
      </c>
      <c r="F1405" t="s">
        <v>37</v>
      </c>
      <c r="G1405">
        <v>1</v>
      </c>
      <c r="H1405" t="s">
        <v>37</v>
      </c>
      <c r="I1405" t="s">
        <v>37</v>
      </c>
      <c r="J1405" t="s">
        <v>775</v>
      </c>
      <c r="K1405" t="s">
        <v>230</v>
      </c>
      <c r="L1405" t="s">
        <v>226</v>
      </c>
      <c r="M1405" t="s">
        <v>417</v>
      </c>
      <c r="N1405" t="s">
        <v>6183</v>
      </c>
      <c r="O1405" t="s">
        <v>6184</v>
      </c>
      <c r="Q1405">
        <v>-272</v>
      </c>
      <c r="R1405">
        <v>0</v>
      </c>
      <c r="S1405">
        <v>24</v>
      </c>
      <c r="T1405">
        <v>0</v>
      </c>
      <c r="U1405">
        <v>48</v>
      </c>
      <c r="V1405">
        <v>48</v>
      </c>
      <c r="W1405">
        <v>24</v>
      </c>
      <c r="X1405">
        <v>0</v>
      </c>
      <c r="Y1405">
        <v>0</v>
      </c>
      <c r="Z1405">
        <v>0</v>
      </c>
      <c r="AD1405" s="5">
        <v>44032.333333333336</v>
      </c>
      <c r="AE1405" s="5">
        <v>44035.666666666664</v>
      </c>
      <c r="AG1405" s="5">
        <v>44089.333333333336</v>
      </c>
      <c r="AH1405" s="5">
        <v>44091.666666666664</v>
      </c>
      <c r="AI1405" s="5">
        <v>44089.333333333336</v>
      </c>
      <c r="AJ1405" s="5">
        <v>44091.666666666664</v>
      </c>
      <c r="AK1405" s="5">
        <v>44089.333333333336</v>
      </c>
      <c r="AL1405" s="5">
        <v>44091.666666666664</v>
      </c>
      <c r="AM1405" s="5">
        <v>44032.333333333336</v>
      </c>
      <c r="AN1405" s="5">
        <v>44035.666666666664</v>
      </c>
      <c r="AP1405" t="s">
        <v>418</v>
      </c>
      <c r="AU1405" t="s">
        <v>6185</v>
      </c>
      <c r="AV1405" t="s">
        <v>6186</v>
      </c>
      <c r="AY1405" t="s">
        <v>37</v>
      </c>
      <c r="AZ1405">
        <v>0</v>
      </c>
      <c r="BA1405">
        <v>0</v>
      </c>
      <c r="BI1405" s="5">
        <v>44048.176388888889</v>
      </c>
      <c r="BJ1405" s="5">
        <v>44048.176388888889</v>
      </c>
      <c r="BK1405" t="s">
        <v>778</v>
      </c>
      <c r="BL1405" t="s">
        <v>778</v>
      </c>
      <c r="BN1405" t="s">
        <v>37</v>
      </c>
    </row>
    <row r="1406" spans="1:66" x14ac:dyDescent="0.2">
      <c r="A1406">
        <v>3693963</v>
      </c>
      <c r="B1406">
        <v>21883</v>
      </c>
      <c r="C1406">
        <v>523844</v>
      </c>
      <c r="D1406">
        <v>52899</v>
      </c>
      <c r="E1406">
        <v>0</v>
      </c>
      <c r="F1406" t="s">
        <v>37</v>
      </c>
      <c r="G1406">
        <v>1</v>
      </c>
      <c r="H1406" t="s">
        <v>37</v>
      </c>
      <c r="I1406" t="s">
        <v>37</v>
      </c>
      <c r="J1406" t="s">
        <v>775</v>
      </c>
      <c r="K1406" t="s">
        <v>230</v>
      </c>
      <c r="L1406" t="s">
        <v>226</v>
      </c>
      <c r="M1406" t="s">
        <v>417</v>
      </c>
      <c r="N1406" t="s">
        <v>6187</v>
      </c>
      <c r="O1406" t="s">
        <v>4525</v>
      </c>
      <c r="Q1406">
        <v>-272</v>
      </c>
      <c r="R1406">
        <v>0</v>
      </c>
      <c r="S1406">
        <v>32</v>
      </c>
      <c r="T1406">
        <v>0</v>
      </c>
      <c r="U1406">
        <v>32</v>
      </c>
      <c r="V1406">
        <v>32</v>
      </c>
      <c r="W1406">
        <v>32</v>
      </c>
      <c r="X1406">
        <v>0</v>
      </c>
      <c r="Y1406">
        <v>0</v>
      </c>
      <c r="Z1406">
        <v>0</v>
      </c>
      <c r="AD1406" s="5">
        <v>44043.333333333336</v>
      </c>
      <c r="AE1406" s="5">
        <v>44048.666666666664</v>
      </c>
      <c r="AG1406" s="5">
        <v>44099.333333333336</v>
      </c>
      <c r="AH1406" s="5">
        <v>44105.666666666664</v>
      </c>
      <c r="AI1406" s="5">
        <v>44099.333333333336</v>
      </c>
      <c r="AJ1406" s="5">
        <v>44105.666666666664</v>
      </c>
      <c r="AK1406" s="5">
        <v>44099.333333333336</v>
      </c>
      <c r="AL1406" s="5">
        <v>44105.666666666664</v>
      </c>
      <c r="AM1406" s="5">
        <v>44043.333333333336</v>
      </c>
      <c r="AN1406" s="5">
        <v>44048.666666666664</v>
      </c>
      <c r="AP1406" t="s">
        <v>418</v>
      </c>
      <c r="AU1406" t="s">
        <v>6188</v>
      </c>
      <c r="AV1406" t="s">
        <v>6189</v>
      </c>
      <c r="AY1406" t="s">
        <v>37</v>
      </c>
      <c r="AZ1406">
        <v>0</v>
      </c>
      <c r="BA1406">
        <v>0</v>
      </c>
      <c r="BI1406" s="5">
        <v>44048.176388888889</v>
      </c>
      <c r="BJ1406" s="5">
        <v>44048.176388888889</v>
      </c>
      <c r="BK1406" t="s">
        <v>778</v>
      </c>
      <c r="BL1406" t="s">
        <v>778</v>
      </c>
      <c r="BN1406" t="s">
        <v>37</v>
      </c>
    </row>
    <row r="1407" spans="1:66" x14ac:dyDescent="0.2">
      <c r="A1407">
        <v>3693964</v>
      </c>
      <c r="B1407">
        <v>21883</v>
      </c>
      <c r="C1407">
        <v>523844</v>
      </c>
      <c r="D1407">
        <v>52899</v>
      </c>
      <c r="E1407">
        <v>0</v>
      </c>
      <c r="F1407" t="s">
        <v>37</v>
      </c>
      <c r="G1407">
        <v>1</v>
      </c>
      <c r="H1407" t="s">
        <v>37</v>
      </c>
      <c r="I1407" t="s">
        <v>37</v>
      </c>
      <c r="J1407" t="s">
        <v>775</v>
      </c>
      <c r="K1407" t="s">
        <v>230</v>
      </c>
      <c r="L1407" t="s">
        <v>226</v>
      </c>
      <c r="M1407" t="s">
        <v>417</v>
      </c>
      <c r="N1407" t="s">
        <v>6190</v>
      </c>
      <c r="O1407" t="s">
        <v>4529</v>
      </c>
      <c r="Q1407">
        <v>-272</v>
      </c>
      <c r="R1407">
        <v>80</v>
      </c>
      <c r="S1407">
        <v>32</v>
      </c>
      <c r="T1407">
        <v>0</v>
      </c>
      <c r="U1407">
        <v>32</v>
      </c>
      <c r="V1407">
        <v>32</v>
      </c>
      <c r="W1407">
        <v>32</v>
      </c>
      <c r="X1407">
        <v>0</v>
      </c>
      <c r="Y1407">
        <v>0</v>
      </c>
      <c r="Z1407">
        <v>0</v>
      </c>
      <c r="AD1407" s="5">
        <v>44049.333333333336</v>
      </c>
      <c r="AE1407" s="5">
        <v>44054.666666666664</v>
      </c>
      <c r="AG1407" s="5">
        <v>44109.333333333336</v>
      </c>
      <c r="AH1407" s="5">
        <v>44113.666666666664</v>
      </c>
      <c r="AI1407" s="5">
        <v>44109.333333333336</v>
      </c>
      <c r="AJ1407" s="5">
        <v>44113.666666666664</v>
      </c>
      <c r="AK1407" s="5">
        <v>44109.333333333336</v>
      </c>
      <c r="AL1407" s="5">
        <v>44113.666666666664</v>
      </c>
      <c r="AM1407" s="5">
        <v>44049.333333333336</v>
      </c>
      <c r="AN1407" s="5">
        <v>44054.666666666664</v>
      </c>
      <c r="AP1407" t="s">
        <v>418</v>
      </c>
      <c r="AU1407" t="e" cm="1">
        <f t="array" ref="AU1407">+IIjKCWfTEC3/RjjTT3c2g</f>
        <v>#NAME?</v>
      </c>
      <c r="AV1407" t="s">
        <v>6191</v>
      </c>
      <c r="AY1407" t="s">
        <v>37</v>
      </c>
      <c r="AZ1407">
        <v>0</v>
      </c>
      <c r="BA1407">
        <v>0</v>
      </c>
      <c r="BI1407" s="5">
        <v>44048.176388888889</v>
      </c>
      <c r="BJ1407" s="5">
        <v>44048.176388888889</v>
      </c>
      <c r="BK1407" t="s">
        <v>778</v>
      </c>
      <c r="BL1407" t="s">
        <v>778</v>
      </c>
      <c r="BN1407" t="s">
        <v>37</v>
      </c>
    </row>
    <row r="1408" spans="1:66" x14ac:dyDescent="0.2">
      <c r="A1408">
        <v>3693965</v>
      </c>
      <c r="B1408">
        <v>21883</v>
      </c>
      <c r="C1408">
        <v>523843</v>
      </c>
      <c r="D1408">
        <v>52899</v>
      </c>
      <c r="E1408">
        <v>0</v>
      </c>
      <c r="F1408" t="s">
        <v>37</v>
      </c>
      <c r="G1408">
        <v>1</v>
      </c>
      <c r="H1408" t="s">
        <v>37</v>
      </c>
      <c r="I1408" t="s">
        <v>37</v>
      </c>
      <c r="J1408" t="s">
        <v>775</v>
      </c>
      <c r="K1408" t="s">
        <v>230</v>
      </c>
      <c r="L1408" t="s">
        <v>226</v>
      </c>
      <c r="M1408" t="s">
        <v>417</v>
      </c>
      <c r="N1408" t="s">
        <v>6192</v>
      </c>
      <c r="O1408" t="s">
        <v>6193</v>
      </c>
      <c r="Q1408">
        <v>-352</v>
      </c>
      <c r="R1408">
        <v>0</v>
      </c>
      <c r="S1408">
        <v>16</v>
      </c>
      <c r="T1408">
        <v>0</v>
      </c>
      <c r="U1408">
        <v>12</v>
      </c>
      <c r="V1408">
        <v>12</v>
      </c>
      <c r="W1408">
        <v>16</v>
      </c>
      <c r="X1408">
        <v>0</v>
      </c>
      <c r="Y1408">
        <v>0</v>
      </c>
      <c r="Z1408">
        <v>0</v>
      </c>
      <c r="AD1408" s="5">
        <v>44012.333333333336</v>
      </c>
      <c r="AE1408" s="5">
        <v>44013.666666666664</v>
      </c>
      <c r="AG1408" s="5">
        <v>44084.333333333336</v>
      </c>
      <c r="AH1408" s="5">
        <v>44085.666666666664</v>
      </c>
      <c r="AI1408" s="5">
        <v>44084.333333333336</v>
      </c>
      <c r="AJ1408" s="5">
        <v>44085.666666666664</v>
      </c>
      <c r="AK1408" s="5">
        <v>44084.333333333336</v>
      </c>
      <c r="AL1408" s="5">
        <v>44085.666666666664</v>
      </c>
      <c r="AM1408" s="5">
        <v>44012.333333333336</v>
      </c>
      <c r="AN1408" s="5">
        <v>44013.666666666664</v>
      </c>
      <c r="AP1408" t="s">
        <v>418</v>
      </c>
      <c r="AU1408" t="s">
        <v>6194</v>
      </c>
      <c r="AV1408" t="s">
        <v>6195</v>
      </c>
      <c r="AY1408" t="s">
        <v>40</v>
      </c>
      <c r="AZ1408">
        <v>0</v>
      </c>
      <c r="BA1408">
        <v>0</v>
      </c>
      <c r="BI1408" s="5">
        <v>44048.176388888889</v>
      </c>
      <c r="BJ1408" s="5">
        <v>44048.176388888889</v>
      </c>
      <c r="BK1408" t="s">
        <v>778</v>
      </c>
      <c r="BL1408" t="s">
        <v>778</v>
      </c>
      <c r="BN1408" t="s">
        <v>37</v>
      </c>
    </row>
    <row r="1409" spans="1:66" x14ac:dyDescent="0.2">
      <c r="A1409">
        <v>3693966</v>
      </c>
      <c r="B1409">
        <v>21883</v>
      </c>
      <c r="C1409">
        <v>523999</v>
      </c>
      <c r="D1409">
        <v>52899</v>
      </c>
      <c r="E1409">
        <v>100</v>
      </c>
      <c r="F1409" t="s">
        <v>37</v>
      </c>
      <c r="G1409">
        <v>1</v>
      </c>
      <c r="H1409" t="s">
        <v>37</v>
      </c>
      <c r="I1409" t="s">
        <v>37</v>
      </c>
      <c r="J1409" t="s">
        <v>775</v>
      </c>
      <c r="K1409" t="s">
        <v>230</v>
      </c>
      <c r="L1409" t="s">
        <v>226</v>
      </c>
      <c r="M1409" t="s">
        <v>422</v>
      </c>
      <c r="N1409" t="s">
        <v>6196</v>
      </c>
      <c r="O1409" t="s">
        <v>6197</v>
      </c>
      <c r="S1409">
        <v>0</v>
      </c>
      <c r="T1409">
        <v>16</v>
      </c>
      <c r="U1409">
        <v>0</v>
      </c>
      <c r="V1409">
        <v>16</v>
      </c>
      <c r="W1409">
        <v>0</v>
      </c>
      <c r="X1409">
        <v>0</v>
      </c>
      <c r="Y1409">
        <v>0</v>
      </c>
      <c r="Z1409">
        <v>0</v>
      </c>
      <c r="AB1409" s="5">
        <v>43831</v>
      </c>
      <c r="AC1409" s="5">
        <v>43831</v>
      </c>
      <c r="AD1409" s="5">
        <v>44306.666666666664</v>
      </c>
      <c r="AE1409" s="5">
        <v>44306.666666666664</v>
      </c>
      <c r="AG1409" s="5">
        <v>44044</v>
      </c>
      <c r="AH1409" s="5">
        <v>44044</v>
      </c>
      <c r="AK1409" s="5">
        <v>44055.333333333336</v>
      </c>
      <c r="AL1409" s="5">
        <v>44055.333333333336</v>
      </c>
      <c r="AP1409" t="s">
        <v>418</v>
      </c>
      <c r="AU1409" t="s">
        <v>6198</v>
      </c>
      <c r="AV1409" t="s">
        <v>6199</v>
      </c>
      <c r="AY1409" t="s">
        <v>37</v>
      </c>
      <c r="AZ1409">
        <v>0</v>
      </c>
      <c r="BA1409">
        <v>0</v>
      </c>
      <c r="BI1409" s="5">
        <v>44048.176388888889</v>
      </c>
      <c r="BJ1409" s="5">
        <v>44048.176388888889</v>
      </c>
      <c r="BK1409" t="s">
        <v>778</v>
      </c>
      <c r="BL1409" t="s">
        <v>778</v>
      </c>
      <c r="BN1409" t="s">
        <v>37</v>
      </c>
    </row>
    <row r="1410" spans="1:66" x14ac:dyDescent="0.2">
      <c r="A1410">
        <v>3693967</v>
      </c>
      <c r="B1410">
        <v>21883</v>
      </c>
      <c r="C1410">
        <v>523843</v>
      </c>
      <c r="D1410">
        <v>52899</v>
      </c>
      <c r="E1410">
        <v>0</v>
      </c>
      <c r="F1410" t="s">
        <v>37</v>
      </c>
      <c r="G1410">
        <v>1</v>
      </c>
      <c r="H1410" t="s">
        <v>37</v>
      </c>
      <c r="I1410" t="s">
        <v>37</v>
      </c>
      <c r="J1410" t="s">
        <v>775</v>
      </c>
      <c r="K1410" t="s">
        <v>230</v>
      </c>
      <c r="L1410" t="s">
        <v>226</v>
      </c>
      <c r="M1410" t="s">
        <v>417</v>
      </c>
      <c r="N1410" t="s">
        <v>6200</v>
      </c>
      <c r="O1410" t="s">
        <v>2685</v>
      </c>
      <c r="Q1410">
        <v>-232</v>
      </c>
      <c r="R1410">
        <v>64</v>
      </c>
      <c r="S1410">
        <v>48</v>
      </c>
      <c r="T1410">
        <v>0</v>
      </c>
      <c r="U1410">
        <v>0</v>
      </c>
      <c r="V1410">
        <v>0</v>
      </c>
      <c r="W1410">
        <v>48</v>
      </c>
      <c r="X1410">
        <v>0</v>
      </c>
      <c r="Y1410">
        <v>0</v>
      </c>
      <c r="Z1410">
        <v>0</v>
      </c>
      <c r="AD1410" s="5">
        <v>44040.333333333336</v>
      </c>
      <c r="AE1410" s="5">
        <v>44047.666666666664</v>
      </c>
      <c r="AG1410" s="5">
        <v>44088.333333333336</v>
      </c>
      <c r="AH1410" s="5">
        <v>44095.666666666664</v>
      </c>
      <c r="AI1410" s="5">
        <v>44088.333333333336</v>
      </c>
      <c r="AJ1410" s="5">
        <v>44095.666666666664</v>
      </c>
      <c r="AK1410" s="5">
        <v>44088.333333333336</v>
      </c>
      <c r="AL1410" s="5">
        <v>44095.666666666664</v>
      </c>
      <c r="AM1410" s="5">
        <v>44040.333333333336</v>
      </c>
      <c r="AN1410" s="5">
        <v>44047.666666666664</v>
      </c>
      <c r="AP1410" t="s">
        <v>418</v>
      </c>
      <c r="AU1410" t="s">
        <v>6201</v>
      </c>
      <c r="AV1410" t="s">
        <v>6202</v>
      </c>
      <c r="AY1410" t="s">
        <v>37</v>
      </c>
      <c r="AZ1410">
        <v>0</v>
      </c>
      <c r="BA1410">
        <v>0</v>
      </c>
      <c r="BI1410" s="5">
        <v>44048.176388888889</v>
      </c>
      <c r="BJ1410" s="5">
        <v>44048.176388888889</v>
      </c>
      <c r="BK1410" t="s">
        <v>778</v>
      </c>
      <c r="BL1410" t="s">
        <v>778</v>
      </c>
      <c r="BN1410" t="s">
        <v>37</v>
      </c>
    </row>
    <row r="1411" spans="1:66" x14ac:dyDescent="0.2">
      <c r="A1411">
        <v>3693968</v>
      </c>
      <c r="B1411">
        <v>21883</v>
      </c>
      <c r="C1411">
        <v>523843</v>
      </c>
      <c r="D1411">
        <v>52899</v>
      </c>
      <c r="E1411">
        <v>0</v>
      </c>
      <c r="F1411" t="s">
        <v>37</v>
      </c>
      <c r="G1411">
        <v>1</v>
      </c>
      <c r="H1411" t="s">
        <v>37</v>
      </c>
      <c r="I1411" t="s">
        <v>37</v>
      </c>
      <c r="J1411" t="s">
        <v>775</v>
      </c>
      <c r="K1411" t="s">
        <v>230</v>
      </c>
      <c r="L1411" t="s">
        <v>226</v>
      </c>
      <c r="M1411" t="s">
        <v>417</v>
      </c>
      <c r="N1411" t="s">
        <v>6203</v>
      </c>
      <c r="O1411" t="s">
        <v>2689</v>
      </c>
      <c r="Q1411">
        <v>-296</v>
      </c>
      <c r="R1411">
        <v>0</v>
      </c>
      <c r="S1411">
        <v>24</v>
      </c>
      <c r="T1411">
        <v>0</v>
      </c>
      <c r="U1411">
        <v>0</v>
      </c>
      <c r="V1411">
        <v>0</v>
      </c>
      <c r="W1411">
        <v>24</v>
      </c>
      <c r="X1411">
        <v>0</v>
      </c>
      <c r="Y1411">
        <v>0</v>
      </c>
      <c r="Z1411">
        <v>0</v>
      </c>
      <c r="AD1411" s="5">
        <v>44042.333333333336</v>
      </c>
      <c r="AE1411" s="5">
        <v>44046.666666666664</v>
      </c>
      <c r="AG1411" s="5">
        <v>44103.333333333336</v>
      </c>
      <c r="AH1411" s="5">
        <v>44109.666666666664</v>
      </c>
      <c r="AI1411" s="5">
        <v>44103.333333333336</v>
      </c>
      <c r="AJ1411" s="5">
        <v>44109.666666666664</v>
      </c>
      <c r="AK1411" s="5">
        <v>44103.333333333336</v>
      </c>
      <c r="AL1411" s="5">
        <v>44109.666666666664</v>
      </c>
      <c r="AM1411" s="5">
        <v>44042.333333333336</v>
      </c>
      <c r="AN1411" s="5">
        <v>44046.666666666664</v>
      </c>
      <c r="AP1411" t="s">
        <v>418</v>
      </c>
      <c r="AU1411" t="s">
        <v>6204</v>
      </c>
      <c r="AV1411" t="s">
        <v>6205</v>
      </c>
      <c r="AY1411" t="s">
        <v>37</v>
      </c>
      <c r="AZ1411">
        <v>0</v>
      </c>
      <c r="BA1411">
        <v>0</v>
      </c>
      <c r="BI1411" s="5">
        <v>44048.176388888889</v>
      </c>
      <c r="BJ1411" s="5">
        <v>44048.176388888889</v>
      </c>
      <c r="BK1411" t="s">
        <v>778</v>
      </c>
      <c r="BL1411" t="s">
        <v>778</v>
      </c>
      <c r="BN1411" t="s">
        <v>37</v>
      </c>
    </row>
    <row r="1412" spans="1:66" x14ac:dyDescent="0.2">
      <c r="A1412">
        <v>3693969</v>
      </c>
      <c r="B1412">
        <v>21883</v>
      </c>
      <c r="C1412">
        <v>523843</v>
      </c>
      <c r="D1412">
        <v>52899</v>
      </c>
      <c r="E1412">
        <v>0</v>
      </c>
      <c r="F1412" t="s">
        <v>37</v>
      </c>
      <c r="G1412">
        <v>1</v>
      </c>
      <c r="H1412" t="s">
        <v>37</v>
      </c>
      <c r="I1412" t="s">
        <v>37</v>
      </c>
      <c r="J1412" t="s">
        <v>775</v>
      </c>
      <c r="K1412" t="s">
        <v>230</v>
      </c>
      <c r="L1412" t="s">
        <v>226</v>
      </c>
      <c r="M1412" t="s">
        <v>417</v>
      </c>
      <c r="N1412" t="s">
        <v>6206</v>
      </c>
      <c r="O1412" t="s">
        <v>2693</v>
      </c>
      <c r="Q1412">
        <v>-352</v>
      </c>
      <c r="R1412">
        <v>0</v>
      </c>
      <c r="S1412">
        <v>16</v>
      </c>
      <c r="T1412">
        <v>0</v>
      </c>
      <c r="U1412">
        <v>8</v>
      </c>
      <c r="V1412">
        <v>8</v>
      </c>
      <c r="W1412">
        <v>16</v>
      </c>
      <c r="X1412">
        <v>0</v>
      </c>
      <c r="Y1412">
        <v>0</v>
      </c>
      <c r="Z1412">
        <v>0</v>
      </c>
      <c r="AD1412" s="5">
        <v>44060.333333333336</v>
      </c>
      <c r="AE1412" s="5">
        <v>44061.666666666664</v>
      </c>
      <c r="AG1412" s="5">
        <v>44132.333333333336</v>
      </c>
      <c r="AH1412" s="5">
        <v>44133.666666666664</v>
      </c>
      <c r="AI1412" s="5">
        <v>44132.333333333336</v>
      </c>
      <c r="AJ1412" s="5">
        <v>44133.666666666664</v>
      </c>
      <c r="AK1412" s="5">
        <v>44132.333333333336</v>
      </c>
      <c r="AL1412" s="5">
        <v>44133.666666666664</v>
      </c>
      <c r="AM1412" s="5">
        <v>44060.333333333336</v>
      </c>
      <c r="AN1412" s="5">
        <v>44061.666666666664</v>
      </c>
      <c r="AP1412" t="s">
        <v>418</v>
      </c>
      <c r="AU1412" t="s">
        <v>6207</v>
      </c>
      <c r="AV1412" t="s">
        <v>6208</v>
      </c>
      <c r="AY1412" t="s">
        <v>40</v>
      </c>
      <c r="AZ1412">
        <v>0</v>
      </c>
      <c r="BA1412">
        <v>0</v>
      </c>
      <c r="BI1412" s="5">
        <v>44048.176388888889</v>
      </c>
      <c r="BJ1412" s="5">
        <v>44048.176388888889</v>
      </c>
      <c r="BK1412" t="s">
        <v>778</v>
      </c>
      <c r="BL1412" t="s">
        <v>778</v>
      </c>
      <c r="BN1412" t="s">
        <v>37</v>
      </c>
    </row>
    <row r="1413" spans="1:66" x14ac:dyDescent="0.2">
      <c r="A1413">
        <v>3693970</v>
      </c>
      <c r="B1413">
        <v>21883</v>
      </c>
      <c r="C1413">
        <v>523843</v>
      </c>
      <c r="D1413">
        <v>52895</v>
      </c>
      <c r="E1413">
        <v>0</v>
      </c>
      <c r="F1413" t="s">
        <v>37</v>
      </c>
      <c r="G1413">
        <v>1</v>
      </c>
      <c r="H1413" t="s">
        <v>37</v>
      </c>
      <c r="I1413" t="s">
        <v>37</v>
      </c>
      <c r="J1413" t="s">
        <v>775</v>
      </c>
      <c r="K1413" t="s">
        <v>230</v>
      </c>
      <c r="L1413" t="s">
        <v>226</v>
      </c>
      <c r="M1413" t="s">
        <v>417</v>
      </c>
      <c r="N1413" t="s">
        <v>6209</v>
      </c>
      <c r="O1413" t="s">
        <v>2697</v>
      </c>
      <c r="Q1413">
        <v>-504</v>
      </c>
      <c r="R1413">
        <v>48</v>
      </c>
      <c r="S1413">
        <v>56</v>
      </c>
      <c r="T1413">
        <v>0</v>
      </c>
      <c r="U1413">
        <v>0</v>
      </c>
      <c r="V1413">
        <v>0</v>
      </c>
      <c r="W1413">
        <v>56</v>
      </c>
      <c r="X1413">
        <v>0</v>
      </c>
      <c r="Y1413">
        <v>0</v>
      </c>
      <c r="Z1413">
        <v>0</v>
      </c>
      <c r="AD1413" s="5">
        <v>44071.333333333336</v>
      </c>
      <c r="AE1413" s="5">
        <v>44077.666666666664</v>
      </c>
      <c r="AG1413" s="5">
        <v>44134.333333333336</v>
      </c>
      <c r="AH1413" s="5">
        <v>44140.666666666664</v>
      </c>
      <c r="AI1413" s="5">
        <v>44134.333333333336</v>
      </c>
      <c r="AJ1413" s="5">
        <v>44140.666666666664</v>
      </c>
      <c r="AK1413" s="5">
        <v>44134.333333333336</v>
      </c>
      <c r="AL1413" s="5">
        <v>44140.666666666664</v>
      </c>
      <c r="AM1413" s="5">
        <v>44071.333333333336</v>
      </c>
      <c r="AN1413" s="5">
        <v>44077.666666666664</v>
      </c>
      <c r="AP1413" t="s">
        <v>418</v>
      </c>
      <c r="AU1413" t="s">
        <v>6210</v>
      </c>
      <c r="AV1413" t="s">
        <v>6211</v>
      </c>
      <c r="AY1413" t="s">
        <v>37</v>
      </c>
      <c r="AZ1413">
        <v>0</v>
      </c>
      <c r="BA1413">
        <v>0</v>
      </c>
      <c r="BI1413" s="5">
        <v>44048.176388888889</v>
      </c>
      <c r="BJ1413" s="5">
        <v>44048.176388888889</v>
      </c>
      <c r="BK1413" t="s">
        <v>778</v>
      </c>
      <c r="BL1413" t="s">
        <v>778</v>
      </c>
      <c r="BN1413" t="s">
        <v>37</v>
      </c>
    </row>
    <row r="1414" spans="1:66" x14ac:dyDescent="0.2">
      <c r="A1414">
        <v>3693971</v>
      </c>
      <c r="B1414">
        <v>21883</v>
      </c>
      <c r="C1414">
        <v>523843</v>
      </c>
      <c r="D1414">
        <v>52899</v>
      </c>
      <c r="E1414">
        <v>0</v>
      </c>
      <c r="F1414" t="s">
        <v>37</v>
      </c>
      <c r="G1414">
        <v>1</v>
      </c>
      <c r="H1414" t="s">
        <v>37</v>
      </c>
      <c r="I1414" t="s">
        <v>37</v>
      </c>
      <c r="J1414" t="s">
        <v>775</v>
      </c>
      <c r="K1414" t="s">
        <v>230</v>
      </c>
      <c r="L1414" t="s">
        <v>226</v>
      </c>
      <c r="M1414" t="s">
        <v>417</v>
      </c>
      <c r="N1414" t="s">
        <v>6212</v>
      </c>
      <c r="O1414" t="s">
        <v>3748</v>
      </c>
      <c r="Q1414">
        <v>-352</v>
      </c>
      <c r="R1414">
        <v>0</v>
      </c>
      <c r="S1414">
        <v>8</v>
      </c>
      <c r="T1414">
        <v>0</v>
      </c>
      <c r="U1414">
        <v>0</v>
      </c>
      <c r="V1414">
        <v>0</v>
      </c>
      <c r="W1414">
        <v>8</v>
      </c>
      <c r="X1414">
        <v>0</v>
      </c>
      <c r="Y1414">
        <v>0</v>
      </c>
      <c r="Z1414">
        <v>0</v>
      </c>
      <c r="AD1414" s="5">
        <v>44011.333333333336</v>
      </c>
      <c r="AE1414" s="5">
        <v>44011.666666666664</v>
      </c>
      <c r="AG1414" s="5">
        <v>44083.333333333336</v>
      </c>
      <c r="AH1414" s="5">
        <v>44083.666666666664</v>
      </c>
      <c r="AI1414" s="5">
        <v>44083.333333333336</v>
      </c>
      <c r="AJ1414" s="5">
        <v>44083.666666666664</v>
      </c>
      <c r="AK1414" s="5">
        <v>44083.333333333336</v>
      </c>
      <c r="AL1414" s="5">
        <v>44083.666666666664</v>
      </c>
      <c r="AM1414" s="5">
        <v>44011.333333333336</v>
      </c>
      <c r="AN1414" s="5">
        <v>44011.666666666664</v>
      </c>
      <c r="AP1414" t="s">
        <v>418</v>
      </c>
      <c r="AU1414" t="s">
        <v>6213</v>
      </c>
      <c r="AV1414" t="s">
        <v>6214</v>
      </c>
      <c r="AY1414" t="s">
        <v>40</v>
      </c>
      <c r="AZ1414">
        <v>0</v>
      </c>
      <c r="BA1414">
        <v>0</v>
      </c>
      <c r="BI1414" s="5">
        <v>44048.176388888889</v>
      </c>
      <c r="BJ1414" s="5">
        <v>44048.176388888889</v>
      </c>
      <c r="BK1414" t="s">
        <v>778</v>
      </c>
      <c r="BL1414" t="s">
        <v>778</v>
      </c>
      <c r="BN1414" t="s">
        <v>37</v>
      </c>
    </row>
    <row r="1415" spans="1:66" x14ac:dyDescent="0.2">
      <c r="A1415">
        <v>3693972</v>
      </c>
      <c r="B1415">
        <v>21883</v>
      </c>
      <c r="C1415">
        <v>523843</v>
      </c>
      <c r="D1415">
        <v>52899</v>
      </c>
      <c r="E1415">
        <v>0</v>
      </c>
      <c r="F1415" t="s">
        <v>37</v>
      </c>
      <c r="G1415">
        <v>1</v>
      </c>
      <c r="H1415" t="s">
        <v>37</v>
      </c>
      <c r="I1415" t="s">
        <v>37</v>
      </c>
      <c r="J1415" t="s">
        <v>775</v>
      </c>
      <c r="K1415" t="s">
        <v>230</v>
      </c>
      <c r="L1415" t="s">
        <v>226</v>
      </c>
      <c r="M1415" t="s">
        <v>417</v>
      </c>
      <c r="N1415" t="s">
        <v>6215</v>
      </c>
      <c r="O1415" t="s">
        <v>4360</v>
      </c>
      <c r="Q1415">
        <v>-296</v>
      </c>
      <c r="R1415">
        <v>56</v>
      </c>
      <c r="S1415">
        <v>8</v>
      </c>
      <c r="T1415">
        <v>0</v>
      </c>
      <c r="U1415">
        <v>0</v>
      </c>
      <c r="V1415">
        <v>0</v>
      </c>
      <c r="W1415">
        <v>8</v>
      </c>
      <c r="X1415">
        <v>0</v>
      </c>
      <c r="Y1415">
        <v>0</v>
      </c>
      <c r="Z1415">
        <v>0</v>
      </c>
      <c r="AD1415" s="5">
        <v>44011.333333333336</v>
      </c>
      <c r="AE1415" s="5">
        <v>44011.666666666664</v>
      </c>
      <c r="AG1415" s="5">
        <v>44071.333333333336</v>
      </c>
      <c r="AH1415" s="5">
        <v>44071.666666666664</v>
      </c>
      <c r="AI1415" s="5">
        <v>44071.333333333336</v>
      </c>
      <c r="AJ1415" s="5">
        <v>44071.666666666664</v>
      </c>
      <c r="AK1415" s="5">
        <v>44071.333333333336</v>
      </c>
      <c r="AL1415" s="5">
        <v>44071.666666666664</v>
      </c>
      <c r="AM1415" s="5">
        <v>44011.333333333336</v>
      </c>
      <c r="AN1415" s="5">
        <v>44011.666666666664</v>
      </c>
      <c r="AP1415" t="s">
        <v>418</v>
      </c>
      <c r="AU1415" t="s">
        <v>6216</v>
      </c>
      <c r="AV1415" t="s">
        <v>6217</v>
      </c>
      <c r="AY1415" t="s">
        <v>37</v>
      </c>
      <c r="AZ1415">
        <v>0</v>
      </c>
      <c r="BA1415">
        <v>0</v>
      </c>
      <c r="BI1415" s="5">
        <v>44048.176388888889</v>
      </c>
      <c r="BJ1415" s="5">
        <v>44048.176388888889</v>
      </c>
      <c r="BK1415" t="s">
        <v>778</v>
      </c>
      <c r="BL1415" t="s">
        <v>778</v>
      </c>
      <c r="BN1415" t="s">
        <v>37</v>
      </c>
    </row>
    <row r="1416" spans="1:66" x14ac:dyDescent="0.2">
      <c r="A1416">
        <v>3693973</v>
      </c>
      <c r="B1416">
        <v>21883</v>
      </c>
      <c r="C1416">
        <v>523843</v>
      </c>
      <c r="D1416">
        <v>52899</v>
      </c>
      <c r="E1416">
        <v>0</v>
      </c>
      <c r="F1416" t="s">
        <v>37</v>
      </c>
      <c r="G1416">
        <v>1</v>
      </c>
      <c r="H1416" t="s">
        <v>37</v>
      </c>
      <c r="I1416" t="s">
        <v>37</v>
      </c>
      <c r="J1416" t="s">
        <v>775</v>
      </c>
      <c r="K1416" t="s">
        <v>230</v>
      </c>
      <c r="L1416" t="s">
        <v>226</v>
      </c>
      <c r="M1416" t="s">
        <v>417</v>
      </c>
      <c r="N1416" t="s">
        <v>6218</v>
      </c>
      <c r="O1416" t="s">
        <v>4533</v>
      </c>
      <c r="Q1416">
        <v>-288</v>
      </c>
      <c r="R1416">
        <v>40</v>
      </c>
      <c r="S1416">
        <v>16</v>
      </c>
      <c r="T1416">
        <v>0</v>
      </c>
      <c r="U1416">
        <v>16</v>
      </c>
      <c r="V1416">
        <v>16</v>
      </c>
      <c r="W1416">
        <v>16</v>
      </c>
      <c r="X1416">
        <v>0</v>
      </c>
      <c r="Y1416">
        <v>0</v>
      </c>
      <c r="Z1416">
        <v>0</v>
      </c>
      <c r="AD1416" s="5">
        <v>44105.333333333336</v>
      </c>
      <c r="AE1416" s="5">
        <v>44109.666666666664</v>
      </c>
      <c r="AG1416" s="5">
        <v>44167.333333333336</v>
      </c>
      <c r="AH1416" s="5">
        <v>44168.666666666664</v>
      </c>
      <c r="AI1416" s="5">
        <v>44167.333333333336</v>
      </c>
      <c r="AJ1416" s="5">
        <v>44168.666666666664</v>
      </c>
      <c r="AK1416" s="5">
        <v>44167.333333333336</v>
      </c>
      <c r="AL1416" s="5">
        <v>44168.666666666664</v>
      </c>
      <c r="AM1416" s="5">
        <v>44105.333333333336</v>
      </c>
      <c r="AN1416" s="5">
        <v>44109.666666666664</v>
      </c>
      <c r="AP1416" t="s">
        <v>418</v>
      </c>
      <c r="AU1416" t="s">
        <v>6219</v>
      </c>
      <c r="AV1416" t="s">
        <v>6220</v>
      </c>
      <c r="AY1416" t="s">
        <v>37</v>
      </c>
      <c r="AZ1416">
        <v>0</v>
      </c>
      <c r="BA1416">
        <v>0</v>
      </c>
      <c r="BI1416" s="5">
        <v>44048.176388888889</v>
      </c>
      <c r="BJ1416" s="5">
        <v>44048.176388888889</v>
      </c>
      <c r="BK1416" t="s">
        <v>778</v>
      </c>
      <c r="BL1416" t="s">
        <v>778</v>
      </c>
      <c r="BN1416" t="s">
        <v>37</v>
      </c>
    </row>
    <row r="1417" spans="1:66" x14ac:dyDescent="0.2">
      <c r="A1417">
        <v>3693974</v>
      </c>
      <c r="B1417">
        <v>21883</v>
      </c>
      <c r="C1417">
        <v>523843</v>
      </c>
      <c r="D1417">
        <v>52899</v>
      </c>
      <c r="E1417">
        <v>0</v>
      </c>
      <c r="F1417" t="s">
        <v>37</v>
      </c>
      <c r="G1417">
        <v>1</v>
      </c>
      <c r="H1417" t="s">
        <v>37</v>
      </c>
      <c r="I1417" t="s">
        <v>37</v>
      </c>
      <c r="J1417" t="s">
        <v>775</v>
      </c>
      <c r="K1417" t="s">
        <v>230</v>
      </c>
      <c r="L1417" t="s">
        <v>226</v>
      </c>
      <c r="M1417" t="s">
        <v>417</v>
      </c>
      <c r="N1417" t="s">
        <v>6221</v>
      </c>
      <c r="O1417" t="s">
        <v>4537</v>
      </c>
      <c r="Q1417">
        <v>-232</v>
      </c>
      <c r="R1417">
        <v>96</v>
      </c>
      <c r="S1417">
        <v>32</v>
      </c>
      <c r="T1417">
        <v>0</v>
      </c>
      <c r="U1417">
        <v>32</v>
      </c>
      <c r="V1417">
        <v>32</v>
      </c>
      <c r="W1417">
        <v>32</v>
      </c>
      <c r="X1417">
        <v>0</v>
      </c>
      <c r="Y1417">
        <v>0</v>
      </c>
      <c r="Z1417">
        <v>0</v>
      </c>
      <c r="AD1417" s="5">
        <v>44102.333333333336</v>
      </c>
      <c r="AE1417" s="5">
        <v>44109.666666666664</v>
      </c>
      <c r="AG1417" s="5">
        <v>44147.333333333336</v>
      </c>
      <c r="AH1417" s="5">
        <v>44152.666666666664</v>
      </c>
      <c r="AI1417" s="5">
        <v>44147.333333333336</v>
      </c>
      <c r="AJ1417" s="5">
        <v>44152.666666666664</v>
      </c>
      <c r="AK1417" s="5">
        <v>44147.333333333336</v>
      </c>
      <c r="AL1417" s="5">
        <v>44152.666666666664</v>
      </c>
      <c r="AM1417" s="5">
        <v>44102.333333333336</v>
      </c>
      <c r="AN1417" s="5">
        <v>44109.666666666664</v>
      </c>
      <c r="AP1417" t="s">
        <v>418</v>
      </c>
      <c r="AU1417" t="s">
        <v>6222</v>
      </c>
      <c r="AV1417" t="s">
        <v>6223</v>
      </c>
      <c r="AY1417" t="s">
        <v>37</v>
      </c>
      <c r="AZ1417">
        <v>0</v>
      </c>
      <c r="BA1417">
        <v>0</v>
      </c>
      <c r="BI1417" s="5">
        <v>44048.176388888889</v>
      </c>
      <c r="BJ1417" s="5">
        <v>44048.176388888889</v>
      </c>
      <c r="BK1417" t="s">
        <v>778</v>
      </c>
      <c r="BL1417" t="s">
        <v>778</v>
      </c>
      <c r="BN1417" t="s">
        <v>37</v>
      </c>
    </row>
    <row r="1418" spans="1:66" x14ac:dyDescent="0.2">
      <c r="A1418">
        <v>3693975</v>
      </c>
      <c r="B1418">
        <v>21883</v>
      </c>
      <c r="C1418">
        <v>523843</v>
      </c>
      <c r="D1418">
        <v>52899</v>
      </c>
      <c r="E1418">
        <v>0</v>
      </c>
      <c r="F1418" t="s">
        <v>37</v>
      </c>
      <c r="G1418">
        <v>1</v>
      </c>
      <c r="H1418" t="s">
        <v>37</v>
      </c>
      <c r="I1418" t="s">
        <v>37</v>
      </c>
      <c r="J1418" t="s">
        <v>775</v>
      </c>
      <c r="K1418" t="s">
        <v>230</v>
      </c>
      <c r="L1418" t="s">
        <v>226</v>
      </c>
      <c r="M1418" t="s">
        <v>417</v>
      </c>
      <c r="N1418" t="s">
        <v>6224</v>
      </c>
      <c r="O1418" t="s">
        <v>4541</v>
      </c>
      <c r="Q1418">
        <v>-296</v>
      </c>
      <c r="R1418">
        <v>0</v>
      </c>
      <c r="S1418">
        <v>32</v>
      </c>
      <c r="T1418">
        <v>0</v>
      </c>
      <c r="U1418">
        <v>32</v>
      </c>
      <c r="V1418">
        <v>32</v>
      </c>
      <c r="W1418">
        <v>32</v>
      </c>
      <c r="X1418">
        <v>0</v>
      </c>
      <c r="Y1418">
        <v>0</v>
      </c>
      <c r="Z1418">
        <v>0</v>
      </c>
      <c r="AD1418" s="5">
        <v>44047.333333333336</v>
      </c>
      <c r="AE1418" s="5">
        <v>44050.666666666664</v>
      </c>
      <c r="AG1418" s="5">
        <v>44110.333333333336</v>
      </c>
      <c r="AH1418" s="5">
        <v>44116.666666666664</v>
      </c>
      <c r="AI1418" s="5">
        <v>44110.333333333336</v>
      </c>
      <c r="AJ1418" s="5">
        <v>44116.666666666664</v>
      </c>
      <c r="AK1418" s="5">
        <v>44110.333333333336</v>
      </c>
      <c r="AL1418" s="5">
        <v>44116.666666666664</v>
      </c>
      <c r="AM1418" s="5">
        <v>44047.333333333336</v>
      </c>
      <c r="AN1418" s="5">
        <v>44050.666666666664</v>
      </c>
      <c r="AP1418" t="s">
        <v>418</v>
      </c>
      <c r="AU1418" t="s">
        <v>6225</v>
      </c>
      <c r="AV1418" t="s">
        <v>6226</v>
      </c>
      <c r="AY1418" t="s">
        <v>37</v>
      </c>
      <c r="AZ1418">
        <v>0</v>
      </c>
      <c r="BA1418">
        <v>0</v>
      </c>
      <c r="BI1418" s="5">
        <v>44048.176388888889</v>
      </c>
      <c r="BJ1418" s="5">
        <v>44048.176388888889</v>
      </c>
      <c r="BK1418" t="s">
        <v>778</v>
      </c>
      <c r="BL1418" t="s">
        <v>778</v>
      </c>
      <c r="BN1418" t="s">
        <v>37</v>
      </c>
    </row>
    <row r="1419" spans="1:66" x14ac:dyDescent="0.2">
      <c r="A1419">
        <v>3693976</v>
      </c>
      <c r="B1419">
        <v>21883</v>
      </c>
      <c r="C1419">
        <v>523843</v>
      </c>
      <c r="D1419">
        <v>52899</v>
      </c>
      <c r="E1419">
        <v>0</v>
      </c>
      <c r="F1419" t="s">
        <v>37</v>
      </c>
      <c r="G1419">
        <v>1</v>
      </c>
      <c r="H1419" t="s">
        <v>37</v>
      </c>
      <c r="I1419" t="s">
        <v>37</v>
      </c>
      <c r="J1419" t="s">
        <v>775</v>
      </c>
      <c r="K1419" t="s">
        <v>230</v>
      </c>
      <c r="L1419" t="s">
        <v>226</v>
      </c>
      <c r="M1419" t="s">
        <v>417</v>
      </c>
      <c r="N1419" t="s">
        <v>6227</v>
      </c>
      <c r="O1419" t="s">
        <v>4545</v>
      </c>
      <c r="Q1419">
        <v>-296</v>
      </c>
      <c r="R1419">
        <v>56</v>
      </c>
      <c r="S1419">
        <v>32</v>
      </c>
      <c r="T1419">
        <v>0</v>
      </c>
      <c r="U1419">
        <v>32</v>
      </c>
      <c r="V1419">
        <v>32</v>
      </c>
      <c r="W1419">
        <v>32</v>
      </c>
      <c r="X1419">
        <v>0</v>
      </c>
      <c r="Y1419">
        <v>0</v>
      </c>
      <c r="Z1419">
        <v>0</v>
      </c>
      <c r="AD1419" s="5">
        <v>44053.333333333336</v>
      </c>
      <c r="AE1419" s="5">
        <v>44057.666666666664</v>
      </c>
      <c r="AG1419" s="5">
        <v>44117.333333333336</v>
      </c>
      <c r="AH1419" s="5">
        <v>44120.666666666664</v>
      </c>
      <c r="AI1419" s="5">
        <v>44117.333333333336</v>
      </c>
      <c r="AJ1419" s="5">
        <v>44120.666666666664</v>
      </c>
      <c r="AK1419" s="5">
        <v>44117.333333333336</v>
      </c>
      <c r="AL1419" s="5">
        <v>44120.666666666664</v>
      </c>
      <c r="AM1419" s="5">
        <v>44053.333333333336</v>
      </c>
      <c r="AN1419" s="5">
        <v>44057.666666666664</v>
      </c>
      <c r="AP1419" t="s">
        <v>418</v>
      </c>
      <c r="AU1419" t="s">
        <v>6228</v>
      </c>
      <c r="AV1419" t="s">
        <v>6229</v>
      </c>
      <c r="AY1419" t="s">
        <v>37</v>
      </c>
      <c r="AZ1419">
        <v>0</v>
      </c>
      <c r="BA1419">
        <v>0</v>
      </c>
      <c r="BI1419" s="5">
        <v>44048.176388888889</v>
      </c>
      <c r="BJ1419" s="5">
        <v>44048.176388888889</v>
      </c>
      <c r="BK1419" t="s">
        <v>778</v>
      </c>
      <c r="BL1419" t="s">
        <v>778</v>
      </c>
      <c r="BN1419" t="s">
        <v>37</v>
      </c>
    </row>
    <row r="1420" spans="1:66" x14ac:dyDescent="0.2">
      <c r="A1420">
        <v>3693977</v>
      </c>
      <c r="B1420">
        <v>21883</v>
      </c>
      <c r="C1420">
        <v>523843</v>
      </c>
      <c r="D1420">
        <v>52899</v>
      </c>
      <c r="E1420">
        <v>0</v>
      </c>
      <c r="F1420" t="s">
        <v>37</v>
      </c>
      <c r="G1420">
        <v>1</v>
      </c>
      <c r="H1420" t="s">
        <v>37</v>
      </c>
      <c r="I1420" t="s">
        <v>37</v>
      </c>
      <c r="J1420" t="s">
        <v>775</v>
      </c>
      <c r="K1420" t="s">
        <v>230</v>
      </c>
      <c r="L1420" t="s">
        <v>226</v>
      </c>
      <c r="M1420" t="s">
        <v>417</v>
      </c>
      <c r="N1420" t="s">
        <v>6230</v>
      </c>
      <c r="O1420" t="s">
        <v>4549</v>
      </c>
      <c r="Q1420">
        <v>-296</v>
      </c>
      <c r="R1420">
        <v>0</v>
      </c>
      <c r="S1420">
        <v>24</v>
      </c>
      <c r="T1420">
        <v>0</v>
      </c>
      <c r="U1420">
        <v>32</v>
      </c>
      <c r="V1420">
        <v>32</v>
      </c>
      <c r="W1420">
        <v>24</v>
      </c>
      <c r="X1420">
        <v>0</v>
      </c>
      <c r="Y1420">
        <v>0</v>
      </c>
      <c r="Z1420">
        <v>0</v>
      </c>
      <c r="AD1420" s="5">
        <v>44026.333333333336</v>
      </c>
      <c r="AE1420" s="5">
        <v>44028.666666666664</v>
      </c>
      <c r="AG1420" s="5">
        <v>44088.333333333336</v>
      </c>
      <c r="AH1420" s="5">
        <v>44090.666666666664</v>
      </c>
      <c r="AI1420" s="5">
        <v>44088.333333333336</v>
      </c>
      <c r="AJ1420" s="5">
        <v>44090.666666666664</v>
      </c>
      <c r="AK1420" s="5">
        <v>44088.333333333336</v>
      </c>
      <c r="AL1420" s="5">
        <v>44090.666666666664</v>
      </c>
      <c r="AM1420" s="5">
        <v>44026.333333333336</v>
      </c>
      <c r="AN1420" s="5">
        <v>44028.666666666664</v>
      </c>
      <c r="AP1420" t="s">
        <v>418</v>
      </c>
      <c r="AU1420" t="s">
        <v>6231</v>
      </c>
      <c r="AV1420" t="s">
        <v>6232</v>
      </c>
      <c r="AY1420" t="s">
        <v>37</v>
      </c>
      <c r="AZ1420">
        <v>0</v>
      </c>
      <c r="BA1420">
        <v>0</v>
      </c>
      <c r="BI1420" s="5">
        <v>44048.176388888889</v>
      </c>
      <c r="BJ1420" s="5">
        <v>44048.176388888889</v>
      </c>
      <c r="BK1420" t="s">
        <v>778</v>
      </c>
      <c r="BL1420" t="s">
        <v>778</v>
      </c>
      <c r="BN1420" t="s">
        <v>37</v>
      </c>
    </row>
    <row r="1421" spans="1:66" x14ac:dyDescent="0.2">
      <c r="A1421">
        <v>3693978</v>
      </c>
      <c r="B1421">
        <v>21883</v>
      </c>
      <c r="C1421">
        <v>523843</v>
      </c>
      <c r="D1421">
        <v>52899</v>
      </c>
      <c r="E1421">
        <v>0</v>
      </c>
      <c r="F1421" t="s">
        <v>37</v>
      </c>
      <c r="G1421">
        <v>1</v>
      </c>
      <c r="H1421" t="s">
        <v>37</v>
      </c>
      <c r="I1421" t="s">
        <v>37</v>
      </c>
      <c r="J1421" t="s">
        <v>775</v>
      </c>
      <c r="K1421" t="s">
        <v>230</v>
      </c>
      <c r="L1421" t="s">
        <v>226</v>
      </c>
      <c r="M1421" t="s">
        <v>417</v>
      </c>
      <c r="N1421" t="s">
        <v>6233</v>
      </c>
      <c r="O1421" t="s">
        <v>6234</v>
      </c>
      <c r="Q1421">
        <v>-296</v>
      </c>
      <c r="R1421">
        <v>0</v>
      </c>
      <c r="S1421">
        <v>32</v>
      </c>
      <c r="T1421">
        <v>0</v>
      </c>
      <c r="U1421">
        <v>32</v>
      </c>
      <c r="V1421">
        <v>32</v>
      </c>
      <c r="W1421">
        <v>32</v>
      </c>
      <c r="X1421">
        <v>0</v>
      </c>
      <c r="Y1421">
        <v>0</v>
      </c>
      <c r="Z1421">
        <v>0</v>
      </c>
      <c r="AD1421" s="5">
        <v>44029.333333333336</v>
      </c>
      <c r="AE1421" s="5">
        <v>44035.666666666664</v>
      </c>
      <c r="AG1421" s="5">
        <v>44091.333333333336</v>
      </c>
      <c r="AH1421" s="5">
        <v>44096.666666666664</v>
      </c>
      <c r="AI1421" s="5">
        <v>44091.333333333336</v>
      </c>
      <c r="AJ1421" s="5">
        <v>44096.666666666664</v>
      </c>
      <c r="AK1421" s="5">
        <v>44091.333333333336</v>
      </c>
      <c r="AL1421" s="5">
        <v>44096.666666666664</v>
      </c>
      <c r="AM1421" s="5">
        <v>44029.333333333336</v>
      </c>
      <c r="AN1421" s="5">
        <v>44035.666666666664</v>
      </c>
      <c r="AP1421" t="s">
        <v>418</v>
      </c>
      <c r="AU1421" t="s">
        <v>6235</v>
      </c>
      <c r="AV1421" t="s">
        <v>6236</v>
      </c>
      <c r="AY1421" t="s">
        <v>37</v>
      </c>
      <c r="AZ1421">
        <v>0</v>
      </c>
      <c r="BA1421">
        <v>0</v>
      </c>
      <c r="BI1421" s="5">
        <v>44048.176388888889</v>
      </c>
      <c r="BJ1421" s="5">
        <v>44048.176388888889</v>
      </c>
      <c r="BK1421" t="s">
        <v>778</v>
      </c>
      <c r="BL1421" t="s">
        <v>778</v>
      </c>
      <c r="BN1421" t="s">
        <v>37</v>
      </c>
    </row>
    <row r="1422" spans="1:66" x14ac:dyDescent="0.2">
      <c r="A1422">
        <v>3693979</v>
      </c>
      <c r="B1422">
        <v>21883</v>
      </c>
      <c r="C1422">
        <v>523843</v>
      </c>
      <c r="D1422">
        <v>52899</v>
      </c>
      <c r="E1422">
        <v>0</v>
      </c>
      <c r="F1422" t="s">
        <v>37</v>
      </c>
      <c r="G1422">
        <v>1</v>
      </c>
      <c r="H1422" t="s">
        <v>37</v>
      </c>
      <c r="I1422" t="s">
        <v>37</v>
      </c>
      <c r="J1422" t="s">
        <v>775</v>
      </c>
      <c r="K1422" t="s">
        <v>230</v>
      </c>
      <c r="L1422" t="s">
        <v>226</v>
      </c>
      <c r="M1422" t="s">
        <v>417</v>
      </c>
      <c r="N1422" t="s">
        <v>6237</v>
      </c>
      <c r="O1422" t="s">
        <v>6238</v>
      </c>
      <c r="Q1422">
        <v>-296</v>
      </c>
      <c r="R1422">
        <v>0</v>
      </c>
      <c r="S1422">
        <v>24</v>
      </c>
      <c r="T1422">
        <v>0</v>
      </c>
      <c r="U1422">
        <v>48</v>
      </c>
      <c r="V1422">
        <v>48</v>
      </c>
      <c r="W1422">
        <v>24</v>
      </c>
      <c r="X1422">
        <v>0</v>
      </c>
      <c r="Y1422">
        <v>0</v>
      </c>
      <c r="Z1422">
        <v>0</v>
      </c>
      <c r="AD1422" s="5">
        <v>44036.333333333336</v>
      </c>
      <c r="AE1422" s="5">
        <v>44041.666666666664</v>
      </c>
      <c r="AG1422" s="5">
        <v>44098.333333333336</v>
      </c>
      <c r="AH1422" s="5">
        <v>44102.666666666664</v>
      </c>
      <c r="AI1422" s="5">
        <v>44098.333333333336</v>
      </c>
      <c r="AJ1422" s="5">
        <v>44102.666666666664</v>
      </c>
      <c r="AK1422" s="5">
        <v>44098.333333333336</v>
      </c>
      <c r="AL1422" s="5">
        <v>44102.666666666664</v>
      </c>
      <c r="AM1422" s="5">
        <v>44036.333333333336</v>
      </c>
      <c r="AN1422" s="5">
        <v>44041.666666666664</v>
      </c>
      <c r="AP1422" t="s">
        <v>418</v>
      </c>
      <c r="AU1422" t="s">
        <v>6239</v>
      </c>
      <c r="AV1422" t="s">
        <v>6240</v>
      </c>
      <c r="AY1422" t="s">
        <v>37</v>
      </c>
      <c r="AZ1422">
        <v>0</v>
      </c>
      <c r="BA1422">
        <v>0</v>
      </c>
      <c r="BI1422" s="5">
        <v>44048.176388888889</v>
      </c>
      <c r="BJ1422" s="5">
        <v>44048.176388888889</v>
      </c>
      <c r="BK1422" t="s">
        <v>778</v>
      </c>
      <c r="BL1422" t="s">
        <v>778</v>
      </c>
      <c r="BN1422" t="s">
        <v>37</v>
      </c>
    </row>
    <row r="1423" spans="1:66" x14ac:dyDescent="0.2">
      <c r="A1423">
        <v>3693980</v>
      </c>
      <c r="B1423">
        <v>21883</v>
      </c>
      <c r="C1423">
        <v>523842</v>
      </c>
      <c r="D1423">
        <v>52899</v>
      </c>
      <c r="E1423">
        <v>0</v>
      </c>
      <c r="F1423" t="s">
        <v>37</v>
      </c>
      <c r="G1423">
        <v>1</v>
      </c>
      <c r="H1423" t="s">
        <v>37</v>
      </c>
      <c r="I1423" t="s">
        <v>37</v>
      </c>
      <c r="J1423" t="s">
        <v>775</v>
      </c>
      <c r="K1423" t="s">
        <v>230</v>
      </c>
      <c r="L1423" t="s">
        <v>226</v>
      </c>
      <c r="M1423" t="s">
        <v>417</v>
      </c>
      <c r="N1423" t="s">
        <v>6241</v>
      </c>
      <c r="O1423" t="s">
        <v>6242</v>
      </c>
      <c r="Q1423">
        <v>-352</v>
      </c>
      <c r="R1423">
        <v>0</v>
      </c>
      <c r="S1423">
        <v>16</v>
      </c>
      <c r="T1423">
        <v>0</v>
      </c>
      <c r="U1423">
        <v>12</v>
      </c>
      <c r="V1423">
        <v>12</v>
      </c>
      <c r="W1423">
        <v>16</v>
      </c>
      <c r="X1423">
        <v>0</v>
      </c>
      <c r="Y1423">
        <v>0</v>
      </c>
      <c r="Z1423">
        <v>0</v>
      </c>
      <c r="AD1423" s="5">
        <v>44014.333333333336</v>
      </c>
      <c r="AE1423" s="5">
        <v>44018.666666666664</v>
      </c>
      <c r="AG1423" s="5">
        <v>44088.333333333336</v>
      </c>
      <c r="AH1423" s="5">
        <v>44089.666666666664</v>
      </c>
      <c r="AI1423" s="5">
        <v>44088.333333333336</v>
      </c>
      <c r="AJ1423" s="5">
        <v>44089.666666666664</v>
      </c>
      <c r="AK1423" s="5">
        <v>44088.333333333336</v>
      </c>
      <c r="AL1423" s="5">
        <v>44089.666666666664</v>
      </c>
      <c r="AM1423" s="5">
        <v>44014.333333333336</v>
      </c>
      <c r="AN1423" s="5">
        <v>44018.666666666664</v>
      </c>
      <c r="AP1423" t="s">
        <v>418</v>
      </c>
      <c r="AU1423" t="s">
        <v>6243</v>
      </c>
      <c r="AV1423" t="s">
        <v>6244</v>
      </c>
      <c r="AY1423" t="s">
        <v>40</v>
      </c>
      <c r="AZ1423">
        <v>0</v>
      </c>
      <c r="BA1423">
        <v>0</v>
      </c>
      <c r="BI1423" s="5">
        <v>44048.176388888889</v>
      </c>
      <c r="BJ1423" s="5">
        <v>44048.176388888889</v>
      </c>
      <c r="BK1423" t="s">
        <v>778</v>
      </c>
      <c r="BL1423" t="s">
        <v>778</v>
      </c>
      <c r="BN1423" t="s">
        <v>37</v>
      </c>
    </row>
    <row r="1424" spans="1:66" x14ac:dyDescent="0.2">
      <c r="A1424">
        <v>3693981</v>
      </c>
      <c r="B1424">
        <v>21883</v>
      </c>
      <c r="C1424">
        <v>523999</v>
      </c>
      <c r="D1424">
        <v>52899</v>
      </c>
      <c r="E1424">
        <v>100</v>
      </c>
      <c r="F1424" t="s">
        <v>37</v>
      </c>
      <c r="G1424">
        <v>1</v>
      </c>
      <c r="H1424" t="s">
        <v>37</v>
      </c>
      <c r="I1424" t="s">
        <v>37</v>
      </c>
      <c r="J1424" t="s">
        <v>775</v>
      </c>
      <c r="K1424" t="s">
        <v>230</v>
      </c>
      <c r="L1424" t="s">
        <v>226</v>
      </c>
      <c r="M1424" t="s">
        <v>422</v>
      </c>
      <c r="N1424" t="s">
        <v>6245</v>
      </c>
      <c r="O1424" t="s">
        <v>6246</v>
      </c>
      <c r="S1424">
        <v>0</v>
      </c>
      <c r="T1424">
        <v>16</v>
      </c>
      <c r="U1424">
        <v>0</v>
      </c>
      <c r="V1424">
        <v>16</v>
      </c>
      <c r="W1424">
        <v>0</v>
      </c>
      <c r="X1424">
        <v>0</v>
      </c>
      <c r="Y1424">
        <v>0</v>
      </c>
      <c r="Z1424">
        <v>0</v>
      </c>
      <c r="AB1424" s="5">
        <v>43831</v>
      </c>
      <c r="AC1424" s="5">
        <v>43831</v>
      </c>
      <c r="AD1424" s="5">
        <v>44306.666666666664</v>
      </c>
      <c r="AE1424" s="5">
        <v>44306.666666666664</v>
      </c>
      <c r="AG1424" s="5">
        <v>44044</v>
      </c>
      <c r="AH1424" s="5">
        <v>44044</v>
      </c>
      <c r="AK1424" s="5">
        <v>44060.333333333336</v>
      </c>
      <c r="AL1424" s="5">
        <v>44060.333333333336</v>
      </c>
      <c r="AP1424" t="s">
        <v>418</v>
      </c>
      <c r="AU1424" t="s">
        <v>6247</v>
      </c>
      <c r="AV1424" t="s">
        <v>6248</v>
      </c>
      <c r="AY1424" t="s">
        <v>37</v>
      </c>
      <c r="AZ1424">
        <v>0</v>
      </c>
      <c r="BA1424">
        <v>0</v>
      </c>
      <c r="BI1424" s="5">
        <v>44048.176388888889</v>
      </c>
      <c r="BJ1424" s="5">
        <v>44048.176388888889</v>
      </c>
      <c r="BK1424" t="s">
        <v>778</v>
      </c>
      <c r="BL1424" t="s">
        <v>778</v>
      </c>
      <c r="BN1424" t="s">
        <v>37</v>
      </c>
    </row>
    <row r="1425" spans="1:66" x14ac:dyDescent="0.2">
      <c r="A1425">
        <v>3693982</v>
      </c>
      <c r="B1425">
        <v>21883</v>
      </c>
      <c r="C1425">
        <v>523842</v>
      </c>
      <c r="D1425">
        <v>52899</v>
      </c>
      <c r="E1425">
        <v>0</v>
      </c>
      <c r="F1425" t="s">
        <v>37</v>
      </c>
      <c r="G1425">
        <v>1</v>
      </c>
      <c r="H1425" t="s">
        <v>37</v>
      </c>
      <c r="I1425" t="s">
        <v>37</v>
      </c>
      <c r="J1425" t="s">
        <v>775</v>
      </c>
      <c r="K1425" t="s">
        <v>230</v>
      </c>
      <c r="L1425" t="s">
        <v>226</v>
      </c>
      <c r="M1425" t="s">
        <v>417</v>
      </c>
      <c r="N1425" t="s">
        <v>6249</v>
      </c>
      <c r="O1425" t="s">
        <v>2709</v>
      </c>
      <c r="Q1425">
        <v>-264</v>
      </c>
      <c r="R1425">
        <v>32</v>
      </c>
      <c r="S1425">
        <v>48</v>
      </c>
      <c r="T1425">
        <v>0</v>
      </c>
      <c r="U1425">
        <v>0</v>
      </c>
      <c r="V1425">
        <v>0</v>
      </c>
      <c r="W1425">
        <v>48</v>
      </c>
      <c r="X1425">
        <v>0</v>
      </c>
      <c r="Y1425">
        <v>0</v>
      </c>
      <c r="Z1425">
        <v>0</v>
      </c>
      <c r="AD1425" s="5">
        <v>44035.333333333336</v>
      </c>
      <c r="AE1425" s="5">
        <v>44043.666666666664</v>
      </c>
      <c r="AG1425" s="5">
        <v>44090.333333333336</v>
      </c>
      <c r="AH1425" s="5">
        <v>44098.666666666664</v>
      </c>
      <c r="AI1425" s="5">
        <v>44090.333333333336</v>
      </c>
      <c r="AJ1425" s="5">
        <v>44098.666666666664</v>
      </c>
      <c r="AK1425" s="5">
        <v>44090.333333333336</v>
      </c>
      <c r="AL1425" s="5">
        <v>44098.666666666664</v>
      </c>
      <c r="AM1425" s="5">
        <v>44035.333333333336</v>
      </c>
      <c r="AN1425" s="5">
        <v>44043.666666666664</v>
      </c>
      <c r="AP1425" t="s">
        <v>418</v>
      </c>
      <c r="AU1425" t="s">
        <v>6250</v>
      </c>
      <c r="AV1425" t="s">
        <v>6251</v>
      </c>
      <c r="AY1425" t="s">
        <v>37</v>
      </c>
      <c r="AZ1425">
        <v>0</v>
      </c>
      <c r="BA1425">
        <v>0</v>
      </c>
      <c r="BI1425" s="5">
        <v>44048.176388888889</v>
      </c>
      <c r="BJ1425" s="5">
        <v>44048.176388888889</v>
      </c>
      <c r="BK1425" t="s">
        <v>778</v>
      </c>
      <c r="BL1425" t="s">
        <v>778</v>
      </c>
      <c r="BN1425" t="s">
        <v>37</v>
      </c>
    </row>
    <row r="1426" spans="1:66" x14ac:dyDescent="0.2">
      <c r="A1426">
        <v>3693983</v>
      </c>
      <c r="B1426">
        <v>21883</v>
      </c>
      <c r="C1426">
        <v>523842</v>
      </c>
      <c r="D1426">
        <v>52899</v>
      </c>
      <c r="E1426">
        <v>0</v>
      </c>
      <c r="F1426" t="s">
        <v>37</v>
      </c>
      <c r="G1426">
        <v>1</v>
      </c>
      <c r="H1426" t="s">
        <v>37</v>
      </c>
      <c r="I1426" t="s">
        <v>37</v>
      </c>
      <c r="J1426" t="s">
        <v>775</v>
      </c>
      <c r="K1426" t="s">
        <v>230</v>
      </c>
      <c r="L1426" t="s">
        <v>226</v>
      </c>
      <c r="M1426" t="s">
        <v>417</v>
      </c>
      <c r="N1426" t="s">
        <v>6252</v>
      </c>
      <c r="O1426" t="s">
        <v>2713</v>
      </c>
      <c r="Q1426">
        <v>-296</v>
      </c>
      <c r="R1426">
        <v>0</v>
      </c>
      <c r="S1426">
        <v>24</v>
      </c>
      <c r="T1426">
        <v>0</v>
      </c>
      <c r="U1426">
        <v>0</v>
      </c>
      <c r="V1426">
        <v>0</v>
      </c>
      <c r="W1426">
        <v>24</v>
      </c>
      <c r="X1426">
        <v>0</v>
      </c>
      <c r="Y1426">
        <v>0</v>
      </c>
      <c r="Z1426">
        <v>0</v>
      </c>
      <c r="AD1426" s="5">
        <v>44046.333333333336</v>
      </c>
      <c r="AE1426" s="5">
        <v>44048.666666666664</v>
      </c>
      <c r="AG1426" s="5">
        <v>44109.333333333336</v>
      </c>
      <c r="AH1426" s="5">
        <v>44111.666666666664</v>
      </c>
      <c r="AI1426" s="5">
        <v>44109.333333333336</v>
      </c>
      <c r="AJ1426" s="5">
        <v>44111.666666666664</v>
      </c>
      <c r="AK1426" s="5">
        <v>44109.333333333336</v>
      </c>
      <c r="AL1426" s="5">
        <v>44111.666666666664</v>
      </c>
      <c r="AM1426" s="5">
        <v>44046.333333333336</v>
      </c>
      <c r="AN1426" s="5">
        <v>44048.666666666664</v>
      </c>
      <c r="AP1426" t="s">
        <v>418</v>
      </c>
      <c r="AU1426" t="s">
        <v>6253</v>
      </c>
      <c r="AV1426" t="s">
        <v>6254</v>
      </c>
      <c r="AY1426" t="s">
        <v>37</v>
      </c>
      <c r="AZ1426">
        <v>0</v>
      </c>
      <c r="BA1426">
        <v>0</v>
      </c>
      <c r="BI1426" s="5">
        <v>44048.176388888889</v>
      </c>
      <c r="BJ1426" s="5">
        <v>44048.176388888889</v>
      </c>
      <c r="BK1426" t="s">
        <v>778</v>
      </c>
      <c r="BL1426" t="s">
        <v>778</v>
      </c>
      <c r="BN1426" t="s">
        <v>37</v>
      </c>
    </row>
    <row r="1427" spans="1:66" x14ac:dyDescent="0.2">
      <c r="A1427">
        <v>3693984</v>
      </c>
      <c r="B1427">
        <v>21883</v>
      </c>
      <c r="C1427">
        <v>523842</v>
      </c>
      <c r="D1427">
        <v>52899</v>
      </c>
      <c r="E1427">
        <v>0</v>
      </c>
      <c r="F1427" t="s">
        <v>37</v>
      </c>
      <c r="G1427">
        <v>1</v>
      </c>
      <c r="H1427" t="s">
        <v>37</v>
      </c>
      <c r="I1427" t="s">
        <v>37</v>
      </c>
      <c r="J1427" t="s">
        <v>775</v>
      </c>
      <c r="K1427" t="s">
        <v>230</v>
      </c>
      <c r="L1427" t="s">
        <v>226</v>
      </c>
      <c r="M1427" t="s">
        <v>417</v>
      </c>
      <c r="N1427" t="s">
        <v>6255</v>
      </c>
      <c r="O1427" t="s">
        <v>2717</v>
      </c>
      <c r="Q1427">
        <v>-352</v>
      </c>
      <c r="R1427">
        <v>0</v>
      </c>
      <c r="S1427">
        <v>16</v>
      </c>
      <c r="T1427">
        <v>0</v>
      </c>
      <c r="U1427">
        <v>8</v>
      </c>
      <c r="V1427">
        <v>8</v>
      </c>
      <c r="W1427">
        <v>16</v>
      </c>
      <c r="X1427">
        <v>0</v>
      </c>
      <c r="Y1427">
        <v>0</v>
      </c>
      <c r="Z1427">
        <v>0</v>
      </c>
      <c r="AD1427" s="5">
        <v>44063.333333333336</v>
      </c>
      <c r="AE1427" s="5">
        <v>44064.666666666664</v>
      </c>
      <c r="AG1427" s="5">
        <v>44134.333333333336</v>
      </c>
      <c r="AH1427" s="5">
        <v>44137.666666666664</v>
      </c>
      <c r="AI1427" s="5">
        <v>44134.333333333336</v>
      </c>
      <c r="AJ1427" s="5">
        <v>44137.666666666664</v>
      </c>
      <c r="AK1427" s="5">
        <v>44134.333333333336</v>
      </c>
      <c r="AL1427" s="5">
        <v>44137.666666666664</v>
      </c>
      <c r="AM1427" s="5">
        <v>44063.333333333336</v>
      </c>
      <c r="AN1427" s="5">
        <v>44064.666666666664</v>
      </c>
      <c r="AP1427" t="s">
        <v>418</v>
      </c>
      <c r="AU1427" t="s">
        <v>6256</v>
      </c>
      <c r="AV1427" t="s">
        <v>6257</v>
      </c>
      <c r="AY1427" t="s">
        <v>40</v>
      </c>
      <c r="AZ1427">
        <v>0</v>
      </c>
      <c r="BA1427">
        <v>0</v>
      </c>
      <c r="BI1427" s="5">
        <v>44048.176388888889</v>
      </c>
      <c r="BJ1427" s="5">
        <v>44048.176388888889</v>
      </c>
      <c r="BK1427" t="s">
        <v>778</v>
      </c>
      <c r="BL1427" t="s">
        <v>778</v>
      </c>
      <c r="BN1427" t="s">
        <v>37</v>
      </c>
    </row>
    <row r="1428" spans="1:66" x14ac:dyDescent="0.2">
      <c r="A1428">
        <v>3693985</v>
      </c>
      <c r="B1428">
        <v>21883</v>
      </c>
      <c r="C1428">
        <v>523842</v>
      </c>
      <c r="D1428">
        <v>52895</v>
      </c>
      <c r="E1428">
        <v>0</v>
      </c>
      <c r="F1428" t="s">
        <v>37</v>
      </c>
      <c r="G1428">
        <v>1</v>
      </c>
      <c r="H1428" t="s">
        <v>37</v>
      </c>
      <c r="I1428" t="s">
        <v>37</v>
      </c>
      <c r="J1428" t="s">
        <v>775</v>
      </c>
      <c r="K1428" t="s">
        <v>230</v>
      </c>
      <c r="L1428" t="s">
        <v>226</v>
      </c>
      <c r="M1428" t="s">
        <v>417</v>
      </c>
      <c r="N1428" t="s">
        <v>6258</v>
      </c>
      <c r="O1428" t="s">
        <v>2721</v>
      </c>
      <c r="Q1428">
        <v>-536</v>
      </c>
      <c r="R1428">
        <v>16</v>
      </c>
      <c r="S1428">
        <v>56</v>
      </c>
      <c r="T1428">
        <v>0</v>
      </c>
      <c r="U1428">
        <v>0</v>
      </c>
      <c r="V1428">
        <v>0</v>
      </c>
      <c r="W1428">
        <v>56</v>
      </c>
      <c r="X1428">
        <v>0</v>
      </c>
      <c r="Y1428">
        <v>0</v>
      </c>
      <c r="Z1428">
        <v>0</v>
      </c>
      <c r="AD1428" s="5">
        <v>44071.333333333336</v>
      </c>
      <c r="AE1428" s="5">
        <v>44077.666666666664</v>
      </c>
      <c r="AG1428" s="5">
        <v>44138.333333333336</v>
      </c>
      <c r="AH1428" s="5">
        <v>44144.666666666664</v>
      </c>
      <c r="AI1428" s="5">
        <v>44138.333333333336</v>
      </c>
      <c r="AJ1428" s="5">
        <v>44144.666666666664</v>
      </c>
      <c r="AK1428" s="5">
        <v>44138.333333333336</v>
      </c>
      <c r="AL1428" s="5">
        <v>44144.666666666664</v>
      </c>
      <c r="AM1428" s="5">
        <v>44071.333333333336</v>
      </c>
      <c r="AN1428" s="5">
        <v>44077.666666666664</v>
      </c>
      <c r="AP1428" t="s">
        <v>418</v>
      </c>
      <c r="AU1428" t="s">
        <v>6259</v>
      </c>
      <c r="AV1428" t="s">
        <v>6260</v>
      </c>
      <c r="AY1428" t="s">
        <v>37</v>
      </c>
      <c r="AZ1428">
        <v>0</v>
      </c>
      <c r="BA1428">
        <v>0</v>
      </c>
      <c r="BI1428" s="5">
        <v>44048.176388888889</v>
      </c>
      <c r="BJ1428" s="5">
        <v>44048.176388888889</v>
      </c>
      <c r="BK1428" t="s">
        <v>778</v>
      </c>
      <c r="BL1428" t="s">
        <v>778</v>
      </c>
      <c r="BN1428" t="s">
        <v>37</v>
      </c>
    </row>
    <row r="1429" spans="1:66" x14ac:dyDescent="0.2">
      <c r="A1429">
        <v>3693986</v>
      </c>
      <c r="B1429">
        <v>21883</v>
      </c>
      <c r="C1429">
        <v>523842</v>
      </c>
      <c r="D1429">
        <v>52899</v>
      </c>
      <c r="E1429">
        <v>0</v>
      </c>
      <c r="F1429" t="s">
        <v>37</v>
      </c>
      <c r="G1429">
        <v>1</v>
      </c>
      <c r="H1429" t="s">
        <v>37</v>
      </c>
      <c r="I1429" t="s">
        <v>37</v>
      </c>
      <c r="J1429" t="s">
        <v>775</v>
      </c>
      <c r="K1429" t="s">
        <v>230</v>
      </c>
      <c r="L1429" t="s">
        <v>226</v>
      </c>
      <c r="M1429" t="s">
        <v>417</v>
      </c>
      <c r="N1429" t="s">
        <v>6261</v>
      </c>
      <c r="O1429" t="s">
        <v>3776</v>
      </c>
      <c r="Q1429">
        <v>-160</v>
      </c>
      <c r="R1429">
        <v>192</v>
      </c>
      <c r="S1429">
        <v>8</v>
      </c>
      <c r="T1429">
        <v>0</v>
      </c>
      <c r="U1429">
        <v>0</v>
      </c>
      <c r="V1429">
        <v>0</v>
      </c>
      <c r="W1429">
        <v>8</v>
      </c>
      <c r="X1429">
        <v>0</v>
      </c>
      <c r="Y1429">
        <v>0</v>
      </c>
      <c r="Z1429">
        <v>0</v>
      </c>
      <c r="AD1429" s="5">
        <v>44013.333333333336</v>
      </c>
      <c r="AE1429" s="5">
        <v>44013.666666666664</v>
      </c>
      <c r="AG1429" s="5">
        <v>44046.333333333336</v>
      </c>
      <c r="AH1429" s="5">
        <v>44046.666666666664</v>
      </c>
      <c r="AI1429" s="5">
        <v>44046.333333333336</v>
      </c>
      <c r="AJ1429" s="5">
        <v>44046.666666666664</v>
      </c>
      <c r="AK1429" s="5">
        <v>44046.333333333336</v>
      </c>
      <c r="AL1429" s="5">
        <v>44046.666666666664</v>
      </c>
      <c r="AM1429" s="5">
        <v>44013.333333333336</v>
      </c>
      <c r="AN1429" s="5">
        <v>44013.666666666664</v>
      </c>
      <c r="AP1429" t="s">
        <v>418</v>
      </c>
      <c r="AU1429" t="s">
        <v>6262</v>
      </c>
      <c r="AV1429" t="s">
        <v>6263</v>
      </c>
      <c r="AY1429" t="s">
        <v>37</v>
      </c>
      <c r="AZ1429">
        <v>0</v>
      </c>
      <c r="BA1429">
        <v>0</v>
      </c>
      <c r="BI1429" s="5">
        <v>44048.176388888889</v>
      </c>
      <c r="BJ1429" s="5">
        <v>44048.176388888889</v>
      </c>
      <c r="BK1429" t="s">
        <v>778</v>
      </c>
      <c r="BL1429" t="s">
        <v>778</v>
      </c>
      <c r="BN1429" t="s">
        <v>37</v>
      </c>
    </row>
    <row r="1430" spans="1:66" x14ac:dyDescent="0.2">
      <c r="A1430">
        <v>3693987</v>
      </c>
      <c r="B1430">
        <v>21883</v>
      </c>
      <c r="C1430">
        <v>523842</v>
      </c>
      <c r="D1430">
        <v>52899</v>
      </c>
      <c r="E1430">
        <v>0</v>
      </c>
      <c r="F1430" t="s">
        <v>37</v>
      </c>
      <c r="G1430">
        <v>1</v>
      </c>
      <c r="H1430" t="s">
        <v>37</v>
      </c>
      <c r="I1430" t="s">
        <v>37</v>
      </c>
      <c r="J1430" t="s">
        <v>775</v>
      </c>
      <c r="K1430" t="s">
        <v>230</v>
      </c>
      <c r="L1430" t="s">
        <v>226</v>
      </c>
      <c r="M1430" t="s">
        <v>417</v>
      </c>
      <c r="N1430" t="s">
        <v>6264</v>
      </c>
      <c r="O1430" t="s">
        <v>4364</v>
      </c>
      <c r="Q1430">
        <v>-336</v>
      </c>
      <c r="R1430">
        <v>16</v>
      </c>
      <c r="S1430">
        <v>8</v>
      </c>
      <c r="T1430">
        <v>0</v>
      </c>
      <c r="U1430">
        <v>0</v>
      </c>
      <c r="V1430">
        <v>0</v>
      </c>
      <c r="W1430">
        <v>8</v>
      </c>
      <c r="X1430">
        <v>0</v>
      </c>
      <c r="Y1430">
        <v>0</v>
      </c>
      <c r="Z1430">
        <v>0</v>
      </c>
      <c r="AD1430" s="5">
        <v>44013.333333333336</v>
      </c>
      <c r="AE1430" s="5">
        <v>44013.666666666664</v>
      </c>
      <c r="AG1430" s="5">
        <v>44083.333333333336</v>
      </c>
      <c r="AH1430" s="5">
        <v>44083.666666666664</v>
      </c>
      <c r="AI1430" s="5">
        <v>44083.333333333336</v>
      </c>
      <c r="AJ1430" s="5">
        <v>44083.666666666664</v>
      </c>
      <c r="AK1430" s="5">
        <v>44083.333333333336</v>
      </c>
      <c r="AL1430" s="5">
        <v>44083.666666666664</v>
      </c>
      <c r="AM1430" s="5">
        <v>44013.333333333336</v>
      </c>
      <c r="AN1430" s="5">
        <v>44013.666666666664</v>
      </c>
      <c r="AP1430" t="s">
        <v>418</v>
      </c>
      <c r="AU1430" t="s">
        <v>6265</v>
      </c>
      <c r="AV1430" t="s">
        <v>6266</v>
      </c>
      <c r="AY1430" t="s">
        <v>37</v>
      </c>
      <c r="AZ1430">
        <v>0</v>
      </c>
      <c r="BA1430">
        <v>0</v>
      </c>
      <c r="BI1430" s="5">
        <v>44048.176388888889</v>
      </c>
      <c r="BJ1430" s="5">
        <v>44048.176388888889</v>
      </c>
      <c r="BK1430" t="s">
        <v>778</v>
      </c>
      <c r="BL1430" t="s">
        <v>778</v>
      </c>
      <c r="BN1430" t="s">
        <v>37</v>
      </c>
    </row>
    <row r="1431" spans="1:66" x14ac:dyDescent="0.2">
      <c r="A1431">
        <v>3693988</v>
      </c>
      <c r="B1431">
        <v>21883</v>
      </c>
      <c r="C1431">
        <v>523842</v>
      </c>
      <c r="D1431">
        <v>52899</v>
      </c>
      <c r="E1431">
        <v>0</v>
      </c>
      <c r="F1431" t="s">
        <v>37</v>
      </c>
      <c r="G1431">
        <v>1</v>
      </c>
      <c r="H1431" t="s">
        <v>37</v>
      </c>
      <c r="I1431" t="s">
        <v>37</v>
      </c>
      <c r="J1431" t="s">
        <v>775</v>
      </c>
      <c r="K1431" t="s">
        <v>230</v>
      </c>
      <c r="L1431" t="s">
        <v>226</v>
      </c>
      <c r="M1431" t="s">
        <v>417</v>
      </c>
      <c r="N1431" t="s">
        <v>6267</v>
      </c>
      <c r="O1431" t="s">
        <v>4561</v>
      </c>
      <c r="Q1431">
        <v>-288</v>
      </c>
      <c r="R1431">
        <v>40</v>
      </c>
      <c r="S1431">
        <v>16</v>
      </c>
      <c r="T1431">
        <v>0</v>
      </c>
      <c r="U1431">
        <v>16</v>
      </c>
      <c r="V1431">
        <v>16</v>
      </c>
      <c r="W1431">
        <v>16</v>
      </c>
      <c r="X1431">
        <v>0</v>
      </c>
      <c r="Y1431">
        <v>0</v>
      </c>
      <c r="Z1431">
        <v>0</v>
      </c>
      <c r="AD1431" s="5">
        <v>44105.333333333336</v>
      </c>
      <c r="AE1431" s="5">
        <v>44109.666666666664</v>
      </c>
      <c r="AG1431" s="5">
        <v>44167.333333333336</v>
      </c>
      <c r="AH1431" s="5">
        <v>44168.666666666664</v>
      </c>
      <c r="AI1431" s="5">
        <v>44167.333333333336</v>
      </c>
      <c r="AJ1431" s="5">
        <v>44168.666666666664</v>
      </c>
      <c r="AK1431" s="5">
        <v>44167.333333333336</v>
      </c>
      <c r="AL1431" s="5">
        <v>44168.666666666664</v>
      </c>
      <c r="AM1431" s="5">
        <v>44105.333333333336</v>
      </c>
      <c r="AN1431" s="5">
        <v>44109.666666666664</v>
      </c>
      <c r="AP1431" t="s">
        <v>418</v>
      </c>
      <c r="AU1431" t="s">
        <v>6268</v>
      </c>
      <c r="AV1431" t="s">
        <v>6269</v>
      </c>
      <c r="AY1431" t="s">
        <v>37</v>
      </c>
      <c r="AZ1431">
        <v>0</v>
      </c>
      <c r="BA1431">
        <v>0</v>
      </c>
      <c r="BI1431" s="5">
        <v>44048.176388888889</v>
      </c>
      <c r="BJ1431" s="5">
        <v>44048.176388888889</v>
      </c>
      <c r="BK1431" t="s">
        <v>778</v>
      </c>
      <c r="BL1431" t="s">
        <v>778</v>
      </c>
      <c r="BN1431" t="s">
        <v>37</v>
      </c>
    </row>
    <row r="1432" spans="1:66" x14ac:dyDescent="0.2">
      <c r="A1432">
        <v>3693989</v>
      </c>
      <c r="B1432">
        <v>21883</v>
      </c>
      <c r="C1432">
        <v>523842</v>
      </c>
      <c r="D1432">
        <v>52899</v>
      </c>
      <c r="E1432">
        <v>0</v>
      </c>
      <c r="F1432" t="s">
        <v>37</v>
      </c>
      <c r="G1432">
        <v>1</v>
      </c>
      <c r="H1432" t="s">
        <v>37</v>
      </c>
      <c r="I1432" t="s">
        <v>37</v>
      </c>
      <c r="J1432" t="s">
        <v>775</v>
      </c>
      <c r="K1432" t="s">
        <v>230</v>
      </c>
      <c r="L1432" t="s">
        <v>226</v>
      </c>
      <c r="M1432" t="s">
        <v>417</v>
      </c>
      <c r="N1432" t="s">
        <v>6270</v>
      </c>
      <c r="O1432" t="s">
        <v>4565</v>
      </c>
      <c r="Q1432">
        <v>-240</v>
      </c>
      <c r="R1432">
        <v>88</v>
      </c>
      <c r="S1432">
        <v>32</v>
      </c>
      <c r="T1432">
        <v>0</v>
      </c>
      <c r="U1432">
        <v>32</v>
      </c>
      <c r="V1432">
        <v>32</v>
      </c>
      <c r="W1432">
        <v>32</v>
      </c>
      <c r="X1432">
        <v>0</v>
      </c>
      <c r="Y1432">
        <v>0</v>
      </c>
      <c r="Z1432">
        <v>0</v>
      </c>
      <c r="AD1432" s="5">
        <v>44102.333333333336</v>
      </c>
      <c r="AE1432" s="5">
        <v>44109.666666666664</v>
      </c>
      <c r="AG1432" s="5">
        <v>44148.333333333336</v>
      </c>
      <c r="AH1432" s="5">
        <v>44153.666666666664</v>
      </c>
      <c r="AI1432" s="5">
        <v>44148.333333333336</v>
      </c>
      <c r="AJ1432" s="5">
        <v>44153.666666666664</v>
      </c>
      <c r="AK1432" s="5">
        <v>44148.333333333336</v>
      </c>
      <c r="AL1432" s="5">
        <v>44153.666666666664</v>
      </c>
      <c r="AM1432" s="5">
        <v>44102.333333333336</v>
      </c>
      <c r="AN1432" s="5">
        <v>44109.666666666664</v>
      </c>
      <c r="AP1432" t="s">
        <v>418</v>
      </c>
      <c r="AU1432" t="s">
        <v>6271</v>
      </c>
      <c r="AV1432" t="s">
        <v>6272</v>
      </c>
      <c r="AY1432" t="s">
        <v>37</v>
      </c>
      <c r="AZ1432">
        <v>0</v>
      </c>
      <c r="BA1432">
        <v>0</v>
      </c>
      <c r="BI1432" s="5">
        <v>44048.176388888889</v>
      </c>
      <c r="BJ1432" s="5">
        <v>44048.176388888889</v>
      </c>
      <c r="BK1432" t="s">
        <v>778</v>
      </c>
      <c r="BL1432" t="s">
        <v>778</v>
      </c>
      <c r="BN1432" t="s">
        <v>37</v>
      </c>
    </row>
    <row r="1433" spans="1:66" x14ac:dyDescent="0.2">
      <c r="A1433">
        <v>3693990</v>
      </c>
      <c r="B1433">
        <v>21883</v>
      </c>
      <c r="C1433">
        <v>523842</v>
      </c>
      <c r="D1433">
        <v>52899</v>
      </c>
      <c r="E1433">
        <v>0</v>
      </c>
      <c r="F1433" t="s">
        <v>37</v>
      </c>
      <c r="G1433">
        <v>1</v>
      </c>
      <c r="H1433" t="s">
        <v>37</v>
      </c>
      <c r="I1433" t="s">
        <v>37</v>
      </c>
      <c r="J1433" t="s">
        <v>775</v>
      </c>
      <c r="K1433" t="s">
        <v>230</v>
      </c>
      <c r="L1433" t="s">
        <v>226</v>
      </c>
      <c r="M1433" t="s">
        <v>417</v>
      </c>
      <c r="N1433" t="s">
        <v>6273</v>
      </c>
      <c r="O1433" t="s">
        <v>4569</v>
      </c>
      <c r="Q1433">
        <v>-296</v>
      </c>
      <c r="R1433">
        <v>0</v>
      </c>
      <c r="S1433">
        <v>24</v>
      </c>
      <c r="T1433">
        <v>0</v>
      </c>
      <c r="U1433">
        <v>32</v>
      </c>
      <c r="V1433">
        <v>32</v>
      </c>
      <c r="W1433">
        <v>24</v>
      </c>
      <c r="X1433">
        <v>0</v>
      </c>
      <c r="Y1433">
        <v>0</v>
      </c>
      <c r="Z1433">
        <v>0</v>
      </c>
      <c r="AD1433" s="5">
        <v>44028.333333333336</v>
      </c>
      <c r="AE1433" s="5">
        <v>44032.666666666664</v>
      </c>
      <c r="AG1433" s="5">
        <v>44090.333333333336</v>
      </c>
      <c r="AH1433" s="5">
        <v>44092.666666666664</v>
      </c>
      <c r="AI1433" s="5">
        <v>44090.333333333336</v>
      </c>
      <c r="AJ1433" s="5">
        <v>44092.666666666664</v>
      </c>
      <c r="AK1433" s="5">
        <v>44090.333333333336</v>
      </c>
      <c r="AL1433" s="5">
        <v>44092.666666666664</v>
      </c>
      <c r="AM1433" s="5">
        <v>44028.333333333336</v>
      </c>
      <c r="AN1433" s="5">
        <v>44032.666666666664</v>
      </c>
      <c r="AP1433" t="s">
        <v>418</v>
      </c>
      <c r="AU1433" t="s">
        <v>6274</v>
      </c>
      <c r="AV1433" t="s">
        <v>6275</v>
      </c>
      <c r="AY1433" t="s">
        <v>37</v>
      </c>
      <c r="AZ1433">
        <v>0</v>
      </c>
      <c r="BA1433">
        <v>0</v>
      </c>
      <c r="BI1433" s="5">
        <v>44048.176388888889</v>
      </c>
      <c r="BJ1433" s="5">
        <v>44048.176388888889</v>
      </c>
      <c r="BK1433" t="s">
        <v>778</v>
      </c>
      <c r="BL1433" t="s">
        <v>778</v>
      </c>
      <c r="BN1433" t="s">
        <v>37</v>
      </c>
    </row>
    <row r="1434" spans="1:66" x14ac:dyDescent="0.2">
      <c r="A1434">
        <v>3693991</v>
      </c>
      <c r="B1434">
        <v>21883</v>
      </c>
      <c r="C1434">
        <v>523842</v>
      </c>
      <c r="D1434">
        <v>52899</v>
      </c>
      <c r="E1434">
        <v>0</v>
      </c>
      <c r="F1434" t="s">
        <v>37</v>
      </c>
      <c r="G1434">
        <v>1</v>
      </c>
      <c r="H1434" t="s">
        <v>37</v>
      </c>
      <c r="I1434" t="s">
        <v>37</v>
      </c>
      <c r="J1434" t="s">
        <v>775</v>
      </c>
      <c r="K1434" t="s">
        <v>230</v>
      </c>
      <c r="L1434" t="s">
        <v>226</v>
      </c>
      <c r="M1434" t="s">
        <v>417</v>
      </c>
      <c r="N1434" t="s">
        <v>6276</v>
      </c>
      <c r="O1434" t="s">
        <v>6277</v>
      </c>
      <c r="Q1434">
        <v>-296</v>
      </c>
      <c r="R1434">
        <v>0</v>
      </c>
      <c r="S1434">
        <v>32</v>
      </c>
      <c r="T1434">
        <v>0</v>
      </c>
      <c r="U1434">
        <v>32</v>
      </c>
      <c r="V1434">
        <v>32</v>
      </c>
      <c r="W1434">
        <v>32</v>
      </c>
      <c r="X1434">
        <v>0</v>
      </c>
      <c r="Y1434">
        <v>0</v>
      </c>
      <c r="Z1434">
        <v>0</v>
      </c>
      <c r="AD1434" s="5">
        <v>44034.333333333336</v>
      </c>
      <c r="AE1434" s="5">
        <v>44040.666666666664</v>
      </c>
      <c r="AG1434" s="5">
        <v>44095.333333333336</v>
      </c>
      <c r="AH1434" s="5">
        <v>44099.666666666664</v>
      </c>
      <c r="AI1434" s="5">
        <v>44095.333333333336</v>
      </c>
      <c r="AJ1434" s="5">
        <v>44099.666666666664</v>
      </c>
      <c r="AK1434" s="5">
        <v>44095.333333333336</v>
      </c>
      <c r="AL1434" s="5">
        <v>44099.666666666664</v>
      </c>
      <c r="AM1434" s="5">
        <v>44034.333333333336</v>
      </c>
      <c r="AN1434" s="5">
        <v>44040.666666666664</v>
      </c>
      <c r="AP1434" t="s">
        <v>418</v>
      </c>
      <c r="AU1434" t="s">
        <v>6278</v>
      </c>
      <c r="AV1434" t="s">
        <v>6279</v>
      </c>
      <c r="AY1434" t="s">
        <v>37</v>
      </c>
      <c r="AZ1434">
        <v>0</v>
      </c>
      <c r="BA1434">
        <v>0</v>
      </c>
      <c r="BI1434" s="5">
        <v>44048.176388888889</v>
      </c>
      <c r="BJ1434" s="5">
        <v>44048.176388888889</v>
      </c>
      <c r="BK1434" t="s">
        <v>778</v>
      </c>
      <c r="BL1434" t="s">
        <v>778</v>
      </c>
      <c r="BN1434" t="s">
        <v>37</v>
      </c>
    </row>
    <row r="1435" spans="1:66" x14ac:dyDescent="0.2">
      <c r="A1435">
        <v>3693992</v>
      </c>
      <c r="B1435">
        <v>21883</v>
      </c>
      <c r="C1435">
        <v>523842</v>
      </c>
      <c r="D1435">
        <v>52899</v>
      </c>
      <c r="E1435">
        <v>0</v>
      </c>
      <c r="F1435" t="s">
        <v>37</v>
      </c>
      <c r="G1435">
        <v>1</v>
      </c>
      <c r="H1435" t="s">
        <v>37</v>
      </c>
      <c r="I1435" t="s">
        <v>37</v>
      </c>
      <c r="J1435" t="s">
        <v>775</v>
      </c>
      <c r="K1435" t="s">
        <v>230</v>
      </c>
      <c r="L1435" t="s">
        <v>226</v>
      </c>
      <c r="M1435" t="s">
        <v>417</v>
      </c>
      <c r="N1435" t="s">
        <v>6280</v>
      </c>
      <c r="O1435" t="s">
        <v>6281</v>
      </c>
      <c r="Q1435">
        <v>-296</v>
      </c>
      <c r="R1435">
        <v>0</v>
      </c>
      <c r="S1435">
        <v>24</v>
      </c>
      <c r="T1435">
        <v>0</v>
      </c>
      <c r="U1435">
        <v>48</v>
      </c>
      <c r="V1435">
        <v>48</v>
      </c>
      <c r="W1435">
        <v>24</v>
      </c>
      <c r="X1435">
        <v>0</v>
      </c>
      <c r="Y1435">
        <v>0</v>
      </c>
      <c r="Z1435">
        <v>0</v>
      </c>
      <c r="AD1435" s="5">
        <v>44041.333333333336</v>
      </c>
      <c r="AE1435" s="5">
        <v>44043.666666666664</v>
      </c>
      <c r="AG1435" s="5">
        <v>44102.333333333336</v>
      </c>
      <c r="AH1435" s="5">
        <v>44105.666666666664</v>
      </c>
      <c r="AI1435" s="5">
        <v>44102.333333333336</v>
      </c>
      <c r="AJ1435" s="5">
        <v>44105.666666666664</v>
      </c>
      <c r="AK1435" s="5">
        <v>44102.333333333336</v>
      </c>
      <c r="AL1435" s="5">
        <v>44105.666666666664</v>
      </c>
      <c r="AM1435" s="5">
        <v>44041.333333333336</v>
      </c>
      <c r="AN1435" s="5">
        <v>44043.666666666664</v>
      </c>
      <c r="AP1435" t="s">
        <v>418</v>
      </c>
      <c r="AU1435" t="s">
        <v>6282</v>
      </c>
      <c r="AV1435" t="s">
        <v>6283</v>
      </c>
      <c r="AY1435" t="s">
        <v>37</v>
      </c>
      <c r="AZ1435">
        <v>0</v>
      </c>
      <c r="BA1435">
        <v>0</v>
      </c>
      <c r="BI1435" s="5">
        <v>44048.176388888889</v>
      </c>
      <c r="BJ1435" s="5">
        <v>44048.176388888889</v>
      </c>
      <c r="BK1435" t="s">
        <v>778</v>
      </c>
      <c r="BL1435" t="s">
        <v>778</v>
      </c>
      <c r="BN1435" t="s">
        <v>37</v>
      </c>
    </row>
    <row r="1436" spans="1:66" x14ac:dyDescent="0.2">
      <c r="A1436">
        <v>3693993</v>
      </c>
      <c r="B1436">
        <v>21883</v>
      </c>
      <c r="C1436">
        <v>523842</v>
      </c>
      <c r="D1436">
        <v>52899</v>
      </c>
      <c r="E1436">
        <v>0</v>
      </c>
      <c r="F1436" t="s">
        <v>37</v>
      </c>
      <c r="G1436">
        <v>1</v>
      </c>
      <c r="H1436" t="s">
        <v>37</v>
      </c>
      <c r="I1436" t="s">
        <v>37</v>
      </c>
      <c r="J1436" t="s">
        <v>775</v>
      </c>
      <c r="K1436" t="s">
        <v>230</v>
      </c>
      <c r="L1436" t="s">
        <v>226</v>
      </c>
      <c r="M1436" t="s">
        <v>417</v>
      </c>
      <c r="N1436" t="s">
        <v>6284</v>
      </c>
      <c r="O1436" t="s">
        <v>4581</v>
      </c>
      <c r="Q1436">
        <v>-296</v>
      </c>
      <c r="R1436">
        <v>0</v>
      </c>
      <c r="S1436">
        <v>32</v>
      </c>
      <c r="T1436">
        <v>0</v>
      </c>
      <c r="U1436">
        <v>32</v>
      </c>
      <c r="V1436">
        <v>32</v>
      </c>
      <c r="W1436">
        <v>32</v>
      </c>
      <c r="X1436">
        <v>0</v>
      </c>
      <c r="Y1436">
        <v>0</v>
      </c>
      <c r="Z1436">
        <v>0</v>
      </c>
      <c r="AD1436" s="5">
        <v>44049.333333333336</v>
      </c>
      <c r="AE1436" s="5">
        <v>44054.666666666664</v>
      </c>
      <c r="AG1436" s="5">
        <v>44113.333333333336</v>
      </c>
      <c r="AH1436" s="5">
        <v>44118.666666666664</v>
      </c>
      <c r="AI1436" s="5">
        <v>44113.333333333336</v>
      </c>
      <c r="AJ1436" s="5">
        <v>44118.666666666664</v>
      </c>
      <c r="AK1436" s="5">
        <v>44113.333333333336</v>
      </c>
      <c r="AL1436" s="5">
        <v>44118.666666666664</v>
      </c>
      <c r="AM1436" s="5">
        <v>44049.333333333336</v>
      </c>
      <c r="AN1436" s="5">
        <v>44054.666666666664</v>
      </c>
      <c r="AP1436" t="s">
        <v>418</v>
      </c>
      <c r="AU1436" t="s">
        <v>6285</v>
      </c>
      <c r="AV1436" t="s">
        <v>6286</v>
      </c>
      <c r="AY1436" t="s">
        <v>37</v>
      </c>
      <c r="AZ1436">
        <v>0</v>
      </c>
      <c r="BA1436">
        <v>0</v>
      </c>
      <c r="BI1436" s="5">
        <v>44048.176388888889</v>
      </c>
      <c r="BJ1436" s="5">
        <v>44048.176388888889</v>
      </c>
      <c r="BK1436" t="s">
        <v>778</v>
      </c>
      <c r="BL1436" t="s">
        <v>778</v>
      </c>
      <c r="BN1436" t="s">
        <v>37</v>
      </c>
    </row>
    <row r="1437" spans="1:66" x14ac:dyDescent="0.2">
      <c r="A1437">
        <v>3693994</v>
      </c>
      <c r="B1437">
        <v>21883</v>
      </c>
      <c r="C1437">
        <v>523842</v>
      </c>
      <c r="D1437">
        <v>52899</v>
      </c>
      <c r="E1437">
        <v>0</v>
      </c>
      <c r="F1437" t="s">
        <v>37</v>
      </c>
      <c r="G1437">
        <v>1</v>
      </c>
      <c r="H1437" t="s">
        <v>37</v>
      </c>
      <c r="I1437" t="s">
        <v>37</v>
      </c>
      <c r="J1437" t="s">
        <v>775</v>
      </c>
      <c r="K1437" t="s">
        <v>230</v>
      </c>
      <c r="L1437" t="s">
        <v>226</v>
      </c>
      <c r="M1437" t="s">
        <v>417</v>
      </c>
      <c r="N1437" t="s">
        <v>6287</v>
      </c>
      <c r="O1437" t="s">
        <v>4585</v>
      </c>
      <c r="Q1437">
        <v>-296</v>
      </c>
      <c r="R1437">
        <v>0</v>
      </c>
      <c r="S1437">
        <v>32</v>
      </c>
      <c r="T1437">
        <v>0</v>
      </c>
      <c r="U1437">
        <v>32</v>
      </c>
      <c r="V1437">
        <v>32</v>
      </c>
      <c r="W1437">
        <v>32</v>
      </c>
      <c r="X1437">
        <v>0</v>
      </c>
      <c r="Y1437">
        <v>0</v>
      </c>
      <c r="Z1437">
        <v>0</v>
      </c>
      <c r="AD1437" s="5">
        <v>44055.333333333336</v>
      </c>
      <c r="AE1437" s="5">
        <v>44061.666666666664</v>
      </c>
      <c r="AG1437" s="5">
        <v>44119.333333333336</v>
      </c>
      <c r="AH1437" s="5">
        <v>44124.666666666664</v>
      </c>
      <c r="AI1437" s="5">
        <v>44119.333333333336</v>
      </c>
      <c r="AJ1437" s="5">
        <v>44124.666666666664</v>
      </c>
      <c r="AK1437" s="5">
        <v>44119.333333333336</v>
      </c>
      <c r="AL1437" s="5">
        <v>44124.666666666664</v>
      </c>
      <c r="AM1437" s="5">
        <v>44055.333333333336</v>
      </c>
      <c r="AN1437" s="5">
        <v>44061.666666666664</v>
      </c>
      <c r="AP1437" t="s">
        <v>418</v>
      </c>
      <c r="AU1437" t="s">
        <v>6288</v>
      </c>
      <c r="AV1437" t="s">
        <v>6289</v>
      </c>
      <c r="AY1437" t="s">
        <v>37</v>
      </c>
      <c r="AZ1437">
        <v>0</v>
      </c>
      <c r="BA1437">
        <v>0</v>
      </c>
      <c r="BI1437" s="5">
        <v>44048.176388888889</v>
      </c>
      <c r="BJ1437" s="5">
        <v>44048.176388888889</v>
      </c>
      <c r="BK1437" t="s">
        <v>778</v>
      </c>
      <c r="BL1437" t="s">
        <v>778</v>
      </c>
      <c r="BN1437" t="s">
        <v>37</v>
      </c>
    </row>
    <row r="1438" spans="1:66" x14ac:dyDescent="0.2">
      <c r="A1438">
        <v>3693995</v>
      </c>
      <c r="B1438">
        <v>21883</v>
      </c>
      <c r="C1438">
        <v>523841</v>
      </c>
      <c r="D1438">
        <v>52897</v>
      </c>
      <c r="E1438">
        <v>0</v>
      </c>
      <c r="F1438" t="s">
        <v>37</v>
      </c>
      <c r="G1438">
        <v>1</v>
      </c>
      <c r="H1438" t="s">
        <v>37</v>
      </c>
      <c r="I1438" t="s">
        <v>37</v>
      </c>
      <c r="J1438" t="s">
        <v>775</v>
      </c>
      <c r="K1438" t="s">
        <v>230</v>
      </c>
      <c r="L1438" t="s">
        <v>226</v>
      </c>
      <c r="M1438" t="s">
        <v>417</v>
      </c>
      <c r="N1438" t="s">
        <v>6290</v>
      </c>
      <c r="O1438" t="s">
        <v>6291</v>
      </c>
      <c r="Q1438">
        <v>-240</v>
      </c>
      <c r="R1438">
        <v>16</v>
      </c>
      <c r="S1438">
        <v>32</v>
      </c>
      <c r="T1438">
        <v>0</v>
      </c>
      <c r="U1438">
        <v>0</v>
      </c>
      <c r="V1438">
        <v>0</v>
      </c>
      <c r="W1438">
        <v>32</v>
      </c>
      <c r="X1438">
        <v>4</v>
      </c>
      <c r="Y1438">
        <v>0</v>
      </c>
      <c r="Z1438">
        <v>4</v>
      </c>
      <c r="AD1438" s="5">
        <v>44088.333333333336</v>
      </c>
      <c r="AE1438" s="5">
        <v>44092.666666666664</v>
      </c>
      <c r="AG1438" s="5">
        <v>44155.333333333336</v>
      </c>
      <c r="AH1438" s="5">
        <v>44160.666666666664</v>
      </c>
      <c r="AI1438" s="5">
        <v>44155.333333333336</v>
      </c>
      <c r="AJ1438" s="5">
        <v>44160.666666666664</v>
      </c>
      <c r="AK1438" s="5">
        <v>44155.333333333336</v>
      </c>
      <c r="AL1438" s="5">
        <v>44160.666666666664</v>
      </c>
      <c r="AM1438" s="5">
        <v>44088.333333333336</v>
      </c>
      <c r="AN1438" s="5">
        <v>44092.666666666664</v>
      </c>
      <c r="AP1438" t="s">
        <v>418</v>
      </c>
      <c r="AU1438" t="s">
        <v>6292</v>
      </c>
      <c r="AV1438" t="s">
        <v>6293</v>
      </c>
      <c r="AY1438" t="s">
        <v>40</v>
      </c>
      <c r="AZ1438">
        <v>0</v>
      </c>
      <c r="BA1438">
        <v>0</v>
      </c>
      <c r="BI1438" s="5">
        <v>44048.176388888889</v>
      </c>
      <c r="BJ1438" s="5">
        <v>44048.176388888889</v>
      </c>
      <c r="BK1438" t="s">
        <v>778</v>
      </c>
      <c r="BL1438" t="s">
        <v>778</v>
      </c>
      <c r="BN1438" t="s">
        <v>37</v>
      </c>
    </row>
    <row r="1439" spans="1:66" x14ac:dyDescent="0.2">
      <c r="A1439">
        <v>3693996</v>
      </c>
      <c r="B1439">
        <v>21883</v>
      </c>
      <c r="C1439">
        <v>523959</v>
      </c>
      <c r="D1439">
        <v>52899</v>
      </c>
      <c r="E1439">
        <v>0</v>
      </c>
      <c r="F1439" t="s">
        <v>37</v>
      </c>
      <c r="G1439">
        <v>1</v>
      </c>
      <c r="H1439" t="s">
        <v>37</v>
      </c>
      <c r="I1439" t="s">
        <v>37</v>
      </c>
      <c r="J1439" t="s">
        <v>775</v>
      </c>
      <c r="K1439" t="s">
        <v>230</v>
      </c>
      <c r="L1439" t="s">
        <v>226</v>
      </c>
      <c r="M1439" t="s">
        <v>417</v>
      </c>
      <c r="N1439" t="s">
        <v>6294</v>
      </c>
      <c r="O1439" t="s">
        <v>6295</v>
      </c>
      <c r="Q1439">
        <v>-328</v>
      </c>
      <c r="R1439">
        <v>0</v>
      </c>
      <c r="S1439">
        <v>24</v>
      </c>
      <c r="T1439">
        <v>0</v>
      </c>
      <c r="U1439">
        <v>0</v>
      </c>
      <c r="V1439">
        <v>0</v>
      </c>
      <c r="W1439">
        <v>24</v>
      </c>
      <c r="X1439">
        <v>0</v>
      </c>
      <c r="Y1439">
        <v>0</v>
      </c>
      <c r="Z1439">
        <v>0</v>
      </c>
      <c r="AD1439" s="5">
        <v>44110.333333333336</v>
      </c>
      <c r="AE1439" s="5">
        <v>44113.666666666664</v>
      </c>
      <c r="AG1439" s="5">
        <v>44179.333333333336</v>
      </c>
      <c r="AH1439" s="5">
        <v>44181.666666666664</v>
      </c>
      <c r="AI1439" s="5">
        <v>44179.333333333336</v>
      </c>
      <c r="AJ1439" s="5">
        <v>44181.666666666664</v>
      </c>
      <c r="AK1439" s="5">
        <v>44179.333333333336</v>
      </c>
      <c r="AL1439" s="5">
        <v>44181.666666666664</v>
      </c>
      <c r="AM1439" s="5">
        <v>44110.333333333336</v>
      </c>
      <c r="AN1439" s="5">
        <v>44113.666666666664</v>
      </c>
      <c r="AP1439" t="s">
        <v>418</v>
      </c>
      <c r="AU1439" t="s">
        <v>6296</v>
      </c>
      <c r="AV1439" t="s">
        <v>6297</v>
      </c>
      <c r="AY1439" t="s">
        <v>40</v>
      </c>
      <c r="AZ1439">
        <v>0</v>
      </c>
      <c r="BA1439">
        <v>0</v>
      </c>
      <c r="BI1439" s="5">
        <v>44048.176388888889</v>
      </c>
      <c r="BJ1439" s="5">
        <v>44048.176388888889</v>
      </c>
      <c r="BK1439" t="s">
        <v>778</v>
      </c>
      <c r="BL1439" t="s">
        <v>778</v>
      </c>
      <c r="BN1439" t="s">
        <v>37</v>
      </c>
    </row>
    <row r="1440" spans="1:66" x14ac:dyDescent="0.2">
      <c r="A1440">
        <v>3693997</v>
      </c>
      <c r="B1440">
        <v>21883</v>
      </c>
      <c r="C1440">
        <v>523855</v>
      </c>
      <c r="D1440">
        <v>52899</v>
      </c>
      <c r="E1440">
        <v>100</v>
      </c>
      <c r="F1440" t="s">
        <v>37</v>
      </c>
      <c r="G1440">
        <v>1</v>
      </c>
      <c r="H1440" t="s">
        <v>37</v>
      </c>
      <c r="I1440" t="s">
        <v>37</v>
      </c>
      <c r="J1440" t="s">
        <v>775</v>
      </c>
      <c r="K1440" t="s">
        <v>230</v>
      </c>
      <c r="L1440" t="s">
        <v>226</v>
      </c>
      <c r="M1440" t="s">
        <v>422</v>
      </c>
      <c r="N1440" t="s">
        <v>6298</v>
      </c>
      <c r="O1440" t="s">
        <v>6299</v>
      </c>
      <c r="S1440">
        <v>0</v>
      </c>
      <c r="T1440">
        <v>32</v>
      </c>
      <c r="U1440">
        <v>0</v>
      </c>
      <c r="V1440">
        <v>32</v>
      </c>
      <c r="W1440">
        <v>24</v>
      </c>
      <c r="X1440">
        <v>0</v>
      </c>
      <c r="Y1440">
        <v>0</v>
      </c>
      <c r="Z1440">
        <v>0</v>
      </c>
      <c r="AB1440" s="5">
        <v>43966</v>
      </c>
      <c r="AC1440" s="5">
        <v>43977</v>
      </c>
      <c r="AD1440" s="5">
        <v>44005.333333333336</v>
      </c>
      <c r="AE1440" s="5">
        <v>44005.333333333336</v>
      </c>
      <c r="AG1440" s="5">
        <v>44044</v>
      </c>
      <c r="AH1440" s="5">
        <v>44044</v>
      </c>
      <c r="AK1440" s="5">
        <v>43978.333333333336</v>
      </c>
      <c r="AL1440" s="5">
        <v>43980.666666666664</v>
      </c>
      <c r="AP1440" t="s">
        <v>418</v>
      </c>
      <c r="AU1440" t="s">
        <v>6300</v>
      </c>
      <c r="AV1440" t="s">
        <v>6301</v>
      </c>
      <c r="AY1440" t="s">
        <v>37</v>
      </c>
      <c r="AZ1440">
        <v>0</v>
      </c>
      <c r="BA1440">
        <v>0</v>
      </c>
      <c r="BI1440" s="5">
        <v>44048.176388888889</v>
      </c>
      <c r="BJ1440" s="5">
        <v>44048.176388888889</v>
      </c>
      <c r="BK1440" t="s">
        <v>778</v>
      </c>
      <c r="BL1440" t="s">
        <v>778</v>
      </c>
      <c r="BN1440" t="s">
        <v>37</v>
      </c>
    </row>
    <row r="1441" spans="1:66" x14ac:dyDescent="0.2">
      <c r="A1441">
        <v>3693998</v>
      </c>
      <c r="B1441">
        <v>21883</v>
      </c>
      <c r="C1441">
        <v>523854</v>
      </c>
      <c r="D1441">
        <v>52899</v>
      </c>
      <c r="E1441">
        <v>100</v>
      </c>
      <c r="F1441" t="s">
        <v>37</v>
      </c>
      <c r="G1441">
        <v>1</v>
      </c>
      <c r="H1441" t="s">
        <v>37</v>
      </c>
      <c r="I1441" t="s">
        <v>37</v>
      </c>
      <c r="J1441" t="s">
        <v>775</v>
      </c>
      <c r="K1441" t="s">
        <v>230</v>
      </c>
      <c r="L1441" t="s">
        <v>226</v>
      </c>
      <c r="M1441" t="s">
        <v>422</v>
      </c>
      <c r="N1441" t="s">
        <v>6302</v>
      </c>
      <c r="O1441" t="s">
        <v>6303</v>
      </c>
      <c r="S1441">
        <v>0</v>
      </c>
      <c r="T1441">
        <v>32</v>
      </c>
      <c r="U1441">
        <v>0</v>
      </c>
      <c r="V1441">
        <v>32</v>
      </c>
      <c r="W1441">
        <v>24</v>
      </c>
      <c r="X1441">
        <v>0</v>
      </c>
      <c r="Y1441">
        <v>0</v>
      </c>
      <c r="Z1441">
        <v>0</v>
      </c>
      <c r="AB1441" s="5">
        <v>43997</v>
      </c>
      <c r="AC1441" s="5">
        <v>44000</v>
      </c>
      <c r="AD1441" s="5">
        <v>44005.333333333336</v>
      </c>
      <c r="AE1441" s="5">
        <v>44005.333333333336</v>
      </c>
      <c r="AG1441" s="5">
        <v>44044</v>
      </c>
      <c r="AH1441" s="5">
        <v>44044</v>
      </c>
      <c r="AK1441" s="5">
        <v>44004.333333333336</v>
      </c>
      <c r="AL1441" s="5">
        <v>44006.666666666664</v>
      </c>
      <c r="AP1441" t="s">
        <v>418</v>
      </c>
      <c r="AU1441" t="s">
        <v>6304</v>
      </c>
      <c r="AV1441" t="s">
        <v>6305</v>
      </c>
      <c r="AY1441" t="s">
        <v>37</v>
      </c>
      <c r="AZ1441">
        <v>0</v>
      </c>
      <c r="BA1441">
        <v>0</v>
      </c>
      <c r="BI1441" s="5">
        <v>44048.176388888889</v>
      </c>
      <c r="BJ1441" s="5">
        <v>44048.176388888889</v>
      </c>
      <c r="BK1441" t="s">
        <v>778</v>
      </c>
      <c r="BL1441" t="s">
        <v>778</v>
      </c>
      <c r="BN1441" t="s">
        <v>37</v>
      </c>
    </row>
    <row r="1442" spans="1:66" x14ac:dyDescent="0.2">
      <c r="A1442">
        <v>3693999</v>
      </c>
      <c r="B1442">
        <v>21883</v>
      </c>
      <c r="C1442">
        <v>523853</v>
      </c>
      <c r="D1442">
        <v>52899</v>
      </c>
      <c r="E1442">
        <v>100</v>
      </c>
      <c r="F1442" t="s">
        <v>37</v>
      </c>
      <c r="G1442">
        <v>1</v>
      </c>
      <c r="H1442" t="s">
        <v>37</v>
      </c>
      <c r="I1442" t="s">
        <v>37</v>
      </c>
      <c r="J1442" t="s">
        <v>775</v>
      </c>
      <c r="K1442" t="s">
        <v>230</v>
      </c>
      <c r="L1442" t="s">
        <v>226</v>
      </c>
      <c r="M1442" t="s">
        <v>422</v>
      </c>
      <c r="N1442" t="s">
        <v>6306</v>
      </c>
      <c r="O1442" t="s">
        <v>6307</v>
      </c>
      <c r="S1442">
        <v>0</v>
      </c>
      <c r="T1442">
        <v>32</v>
      </c>
      <c r="U1442">
        <v>0</v>
      </c>
      <c r="V1442">
        <v>32</v>
      </c>
      <c r="W1442">
        <v>24</v>
      </c>
      <c r="X1442">
        <v>0</v>
      </c>
      <c r="Y1442">
        <v>0</v>
      </c>
      <c r="Z1442">
        <v>0</v>
      </c>
      <c r="AB1442" s="5">
        <v>44007</v>
      </c>
      <c r="AC1442" s="5">
        <v>44008</v>
      </c>
      <c r="AD1442" s="5">
        <v>44018.333333333336</v>
      </c>
      <c r="AE1442" s="5">
        <v>44018.333333333336</v>
      </c>
      <c r="AG1442" s="5">
        <v>44044</v>
      </c>
      <c r="AH1442" s="5">
        <v>44044</v>
      </c>
      <c r="AK1442" s="5">
        <v>44011.333333333336</v>
      </c>
      <c r="AL1442" s="5">
        <v>44013.666666666664</v>
      </c>
      <c r="AP1442" t="s">
        <v>418</v>
      </c>
      <c r="AU1442" t="s">
        <v>6308</v>
      </c>
      <c r="AV1442" t="s">
        <v>6309</v>
      </c>
      <c r="AY1442" t="s">
        <v>37</v>
      </c>
      <c r="AZ1442">
        <v>0</v>
      </c>
      <c r="BA1442">
        <v>0</v>
      </c>
      <c r="BI1442" s="5">
        <v>44048.176388888889</v>
      </c>
      <c r="BJ1442" s="5">
        <v>44048.176388888889</v>
      </c>
      <c r="BK1442" t="s">
        <v>778</v>
      </c>
      <c r="BL1442" t="s">
        <v>778</v>
      </c>
      <c r="BN1442" t="s">
        <v>37</v>
      </c>
    </row>
    <row r="1443" spans="1:66" x14ac:dyDescent="0.2">
      <c r="A1443">
        <v>3694000</v>
      </c>
      <c r="B1443">
        <v>21883</v>
      </c>
      <c r="C1443">
        <v>523859</v>
      </c>
      <c r="D1443">
        <v>52899</v>
      </c>
      <c r="E1443">
        <v>100</v>
      </c>
      <c r="F1443" t="s">
        <v>37</v>
      </c>
      <c r="G1443">
        <v>1</v>
      </c>
      <c r="H1443" t="s">
        <v>37</v>
      </c>
      <c r="I1443" t="s">
        <v>37</v>
      </c>
      <c r="J1443" t="s">
        <v>775</v>
      </c>
      <c r="K1443" t="s">
        <v>230</v>
      </c>
      <c r="L1443" t="s">
        <v>226</v>
      </c>
      <c r="M1443" t="s">
        <v>422</v>
      </c>
      <c r="N1443" t="s">
        <v>6310</v>
      </c>
      <c r="O1443" t="s">
        <v>3892</v>
      </c>
      <c r="S1443">
        <v>0</v>
      </c>
      <c r="T1443">
        <v>8</v>
      </c>
      <c r="U1443">
        <v>0</v>
      </c>
      <c r="V1443">
        <v>8</v>
      </c>
      <c r="W1443">
        <v>8</v>
      </c>
      <c r="X1443">
        <v>0</v>
      </c>
      <c r="Y1443">
        <v>0</v>
      </c>
      <c r="Z1443">
        <v>0</v>
      </c>
      <c r="AB1443" s="5">
        <v>43832</v>
      </c>
      <c r="AC1443" s="5">
        <v>43833</v>
      </c>
      <c r="AD1443" s="5">
        <v>43970.333333333336</v>
      </c>
      <c r="AE1443" s="5">
        <v>43970.333333333336</v>
      </c>
      <c r="AG1443" s="5">
        <v>44044</v>
      </c>
      <c r="AH1443" s="5">
        <v>44044</v>
      </c>
      <c r="AK1443" s="5">
        <v>43832.333333333336</v>
      </c>
      <c r="AL1443" s="5">
        <v>43832.666666666664</v>
      </c>
      <c r="AP1443" t="s">
        <v>418</v>
      </c>
      <c r="AU1443" t="s">
        <v>6311</v>
      </c>
      <c r="AV1443" t="s">
        <v>6312</v>
      </c>
      <c r="AY1443" t="s">
        <v>40</v>
      </c>
      <c r="AZ1443">
        <v>0</v>
      </c>
      <c r="BA1443">
        <v>0</v>
      </c>
      <c r="BI1443" s="5">
        <v>44048.176388888889</v>
      </c>
      <c r="BJ1443" s="5">
        <v>44048.176388888889</v>
      </c>
      <c r="BK1443" t="s">
        <v>778</v>
      </c>
      <c r="BL1443" t="s">
        <v>778</v>
      </c>
      <c r="BN1443" t="s">
        <v>37</v>
      </c>
    </row>
    <row r="1444" spans="1:66" x14ac:dyDescent="0.2">
      <c r="A1444">
        <v>3694001</v>
      </c>
      <c r="B1444">
        <v>21883</v>
      </c>
      <c r="C1444">
        <v>523859</v>
      </c>
      <c r="D1444">
        <v>52899</v>
      </c>
      <c r="E1444">
        <v>100</v>
      </c>
      <c r="F1444" t="s">
        <v>37</v>
      </c>
      <c r="G1444">
        <v>1</v>
      </c>
      <c r="H1444" t="s">
        <v>37</v>
      </c>
      <c r="I1444" t="s">
        <v>37</v>
      </c>
      <c r="J1444" t="s">
        <v>775</v>
      </c>
      <c r="K1444" t="s">
        <v>230</v>
      </c>
      <c r="L1444" t="s">
        <v>226</v>
      </c>
      <c r="M1444" t="s">
        <v>422</v>
      </c>
      <c r="N1444" t="s">
        <v>6313</v>
      </c>
      <c r="O1444" t="s">
        <v>3896</v>
      </c>
      <c r="S1444">
        <v>0</v>
      </c>
      <c r="T1444">
        <v>0</v>
      </c>
      <c r="U1444">
        <v>0</v>
      </c>
      <c r="V1444">
        <v>0</v>
      </c>
      <c r="W1444">
        <v>8</v>
      </c>
      <c r="X1444">
        <v>0</v>
      </c>
      <c r="Y1444">
        <v>0</v>
      </c>
      <c r="Z1444">
        <v>0</v>
      </c>
      <c r="AB1444" s="5">
        <v>43832</v>
      </c>
      <c r="AC1444" s="5">
        <v>43832</v>
      </c>
      <c r="AD1444" s="5">
        <v>43970.333333333336</v>
      </c>
      <c r="AE1444" s="5">
        <v>43970.333333333336</v>
      </c>
      <c r="AG1444" s="5">
        <v>44044</v>
      </c>
      <c r="AH1444" s="5">
        <v>44044</v>
      </c>
      <c r="AK1444" s="5">
        <v>43832.333333333336</v>
      </c>
      <c r="AL1444" s="5">
        <v>43832.666666666664</v>
      </c>
      <c r="AP1444" t="s">
        <v>418</v>
      </c>
      <c r="AU1444" t="s">
        <v>6314</v>
      </c>
      <c r="AV1444" t="s">
        <v>6315</v>
      </c>
      <c r="AY1444" t="s">
        <v>40</v>
      </c>
      <c r="AZ1444">
        <v>0</v>
      </c>
      <c r="BA1444">
        <v>0</v>
      </c>
      <c r="BI1444" s="5">
        <v>44048.176388888889</v>
      </c>
      <c r="BJ1444" s="5">
        <v>44048.176388888889</v>
      </c>
      <c r="BK1444" t="s">
        <v>778</v>
      </c>
      <c r="BL1444" t="s">
        <v>778</v>
      </c>
      <c r="BN1444" t="s">
        <v>37</v>
      </c>
    </row>
    <row r="1445" spans="1:66" x14ac:dyDescent="0.2">
      <c r="A1445">
        <v>3694002</v>
      </c>
      <c r="B1445">
        <v>21883</v>
      </c>
      <c r="C1445">
        <v>523859</v>
      </c>
      <c r="D1445">
        <v>52899</v>
      </c>
      <c r="E1445">
        <v>100</v>
      </c>
      <c r="F1445" t="s">
        <v>37</v>
      </c>
      <c r="G1445">
        <v>1</v>
      </c>
      <c r="H1445" t="s">
        <v>37</v>
      </c>
      <c r="I1445" t="s">
        <v>37</v>
      </c>
      <c r="J1445" t="s">
        <v>775</v>
      </c>
      <c r="K1445" t="s">
        <v>230</v>
      </c>
      <c r="L1445" t="s">
        <v>226</v>
      </c>
      <c r="M1445" t="s">
        <v>422</v>
      </c>
      <c r="N1445" t="s">
        <v>6316</v>
      </c>
      <c r="O1445" t="s">
        <v>3900</v>
      </c>
      <c r="S1445">
        <v>0</v>
      </c>
      <c r="T1445">
        <v>8</v>
      </c>
      <c r="U1445">
        <v>0</v>
      </c>
      <c r="V1445">
        <v>8</v>
      </c>
      <c r="W1445">
        <v>8</v>
      </c>
      <c r="X1445">
        <v>0</v>
      </c>
      <c r="Y1445">
        <v>0</v>
      </c>
      <c r="Z1445">
        <v>0</v>
      </c>
      <c r="AB1445" s="5">
        <v>43836</v>
      </c>
      <c r="AC1445" s="5">
        <v>43836</v>
      </c>
      <c r="AD1445" s="5">
        <v>43970.333333333336</v>
      </c>
      <c r="AE1445" s="5">
        <v>43970.333333333336</v>
      </c>
      <c r="AG1445" s="5">
        <v>44044</v>
      </c>
      <c r="AH1445" s="5">
        <v>44044</v>
      </c>
      <c r="AK1445" s="5">
        <v>43832.333333333336</v>
      </c>
      <c r="AL1445" s="5">
        <v>43832.666666666664</v>
      </c>
      <c r="AP1445" t="s">
        <v>418</v>
      </c>
      <c r="AU1445" t="s">
        <v>6317</v>
      </c>
      <c r="AV1445" t="s">
        <v>6318</v>
      </c>
      <c r="AY1445" t="s">
        <v>40</v>
      </c>
      <c r="AZ1445">
        <v>0</v>
      </c>
      <c r="BA1445">
        <v>0</v>
      </c>
      <c r="BI1445" s="5">
        <v>44048.176388888889</v>
      </c>
      <c r="BJ1445" s="5">
        <v>44048.176388888889</v>
      </c>
      <c r="BK1445" t="s">
        <v>778</v>
      </c>
      <c r="BL1445" t="s">
        <v>778</v>
      </c>
      <c r="BN1445" t="s">
        <v>37</v>
      </c>
    </row>
    <row r="1446" spans="1:66" x14ac:dyDescent="0.2">
      <c r="A1446">
        <v>3694003</v>
      </c>
      <c r="B1446">
        <v>21883</v>
      </c>
      <c r="C1446">
        <v>523859</v>
      </c>
      <c r="D1446">
        <v>52895</v>
      </c>
      <c r="E1446">
        <v>100</v>
      </c>
      <c r="F1446" t="s">
        <v>37</v>
      </c>
      <c r="G1446">
        <v>1</v>
      </c>
      <c r="H1446" t="s">
        <v>37</v>
      </c>
      <c r="I1446" t="s">
        <v>37</v>
      </c>
      <c r="J1446" t="s">
        <v>775</v>
      </c>
      <c r="K1446" t="s">
        <v>230</v>
      </c>
      <c r="L1446" t="s">
        <v>226</v>
      </c>
      <c r="M1446" t="s">
        <v>422</v>
      </c>
      <c r="N1446" t="s">
        <v>6319</v>
      </c>
      <c r="O1446" t="s">
        <v>3904</v>
      </c>
      <c r="S1446">
        <v>0</v>
      </c>
      <c r="T1446">
        <v>0</v>
      </c>
      <c r="U1446">
        <v>0</v>
      </c>
      <c r="V1446">
        <v>0</v>
      </c>
      <c r="W1446">
        <v>16</v>
      </c>
      <c r="X1446">
        <v>0</v>
      </c>
      <c r="Y1446">
        <v>0</v>
      </c>
      <c r="Z1446">
        <v>0</v>
      </c>
      <c r="AB1446" s="5">
        <v>43836</v>
      </c>
      <c r="AC1446" s="5">
        <v>43840</v>
      </c>
      <c r="AD1446" s="5">
        <v>43970.333333333336</v>
      </c>
      <c r="AE1446" s="5">
        <v>43970.333333333336</v>
      </c>
      <c r="AG1446" s="5">
        <v>44044</v>
      </c>
      <c r="AH1446" s="5">
        <v>44044</v>
      </c>
      <c r="AK1446" s="5">
        <v>43831.333333333336</v>
      </c>
      <c r="AL1446" s="5">
        <v>43832.666666666664</v>
      </c>
      <c r="AP1446" t="s">
        <v>418</v>
      </c>
      <c r="AU1446" t="s">
        <v>6320</v>
      </c>
      <c r="AV1446" t="s">
        <v>6321</v>
      </c>
      <c r="AY1446" t="s">
        <v>40</v>
      </c>
      <c r="AZ1446">
        <v>0</v>
      </c>
      <c r="BA1446">
        <v>0</v>
      </c>
      <c r="BI1446" s="5">
        <v>44048.176388888889</v>
      </c>
      <c r="BJ1446" s="5">
        <v>44048.176388888889</v>
      </c>
      <c r="BK1446" t="s">
        <v>778</v>
      </c>
      <c r="BL1446" t="s">
        <v>778</v>
      </c>
      <c r="BN1446" t="s">
        <v>37</v>
      </c>
    </row>
    <row r="1447" spans="1:66" x14ac:dyDescent="0.2">
      <c r="A1447">
        <v>3694004</v>
      </c>
      <c r="B1447">
        <v>21883</v>
      </c>
      <c r="C1447">
        <v>523859</v>
      </c>
      <c r="D1447">
        <v>52899</v>
      </c>
      <c r="E1447">
        <v>100</v>
      </c>
      <c r="F1447" t="s">
        <v>37</v>
      </c>
      <c r="G1447">
        <v>1</v>
      </c>
      <c r="H1447" t="s">
        <v>37</v>
      </c>
      <c r="I1447" t="s">
        <v>37</v>
      </c>
      <c r="J1447" t="s">
        <v>775</v>
      </c>
      <c r="K1447" t="s">
        <v>230</v>
      </c>
      <c r="L1447" t="s">
        <v>226</v>
      </c>
      <c r="M1447" t="s">
        <v>422</v>
      </c>
      <c r="N1447" t="s">
        <v>6322</v>
      </c>
      <c r="O1447" t="s">
        <v>3908</v>
      </c>
      <c r="S1447">
        <v>0</v>
      </c>
      <c r="T1447">
        <v>8</v>
      </c>
      <c r="U1447">
        <v>0</v>
      </c>
      <c r="V1447">
        <v>8</v>
      </c>
      <c r="W1447">
        <v>8</v>
      </c>
      <c r="X1447">
        <v>0</v>
      </c>
      <c r="Y1447">
        <v>0</v>
      </c>
      <c r="Z1447">
        <v>0</v>
      </c>
      <c r="AB1447" s="5">
        <v>43843</v>
      </c>
      <c r="AC1447" s="5">
        <v>43844</v>
      </c>
      <c r="AD1447" s="5">
        <v>43970.333333333336</v>
      </c>
      <c r="AE1447" s="5">
        <v>43970.333333333336</v>
      </c>
      <c r="AG1447" s="5">
        <v>44044</v>
      </c>
      <c r="AH1447" s="5">
        <v>44044</v>
      </c>
      <c r="AK1447" s="5">
        <v>43832.333333333336</v>
      </c>
      <c r="AL1447" s="5">
        <v>43832.666666666664</v>
      </c>
      <c r="AP1447" t="s">
        <v>418</v>
      </c>
      <c r="AU1447" t="s">
        <v>6323</v>
      </c>
      <c r="AV1447" t="s">
        <v>6324</v>
      </c>
      <c r="AY1447" t="s">
        <v>40</v>
      </c>
      <c r="AZ1447">
        <v>0</v>
      </c>
      <c r="BA1447">
        <v>0</v>
      </c>
      <c r="BI1447" s="5">
        <v>44048.176388888889</v>
      </c>
      <c r="BJ1447" s="5">
        <v>44048.176388888889</v>
      </c>
      <c r="BK1447" t="s">
        <v>778</v>
      </c>
      <c r="BL1447" t="s">
        <v>778</v>
      </c>
      <c r="BN1447" t="s">
        <v>37</v>
      </c>
    </row>
    <row r="1448" spans="1:66" x14ac:dyDescent="0.2">
      <c r="A1448">
        <v>3694005</v>
      </c>
      <c r="B1448">
        <v>21883</v>
      </c>
      <c r="C1448">
        <v>523859</v>
      </c>
      <c r="D1448">
        <v>52899</v>
      </c>
      <c r="E1448">
        <v>100</v>
      </c>
      <c r="F1448" t="s">
        <v>37</v>
      </c>
      <c r="G1448">
        <v>1</v>
      </c>
      <c r="H1448" t="s">
        <v>37</v>
      </c>
      <c r="I1448" t="s">
        <v>37</v>
      </c>
      <c r="J1448" t="s">
        <v>775</v>
      </c>
      <c r="K1448" t="s">
        <v>230</v>
      </c>
      <c r="L1448" t="s">
        <v>226</v>
      </c>
      <c r="M1448" t="s">
        <v>422</v>
      </c>
      <c r="N1448" t="s">
        <v>6325</v>
      </c>
      <c r="O1448" t="s">
        <v>3912</v>
      </c>
      <c r="S1448">
        <v>0</v>
      </c>
      <c r="T1448">
        <v>8</v>
      </c>
      <c r="U1448">
        <v>0</v>
      </c>
      <c r="V1448">
        <v>8</v>
      </c>
      <c r="W1448">
        <v>8</v>
      </c>
      <c r="X1448">
        <v>0</v>
      </c>
      <c r="Y1448">
        <v>0</v>
      </c>
      <c r="Z1448">
        <v>0</v>
      </c>
      <c r="AB1448" s="5">
        <v>43851</v>
      </c>
      <c r="AC1448" s="5">
        <v>43853</v>
      </c>
      <c r="AD1448" s="5">
        <v>43970.333333333336</v>
      </c>
      <c r="AE1448" s="5">
        <v>43970.333333333336</v>
      </c>
      <c r="AG1448" s="5">
        <v>44044</v>
      </c>
      <c r="AH1448" s="5">
        <v>44044</v>
      </c>
      <c r="AK1448" s="5">
        <v>43832.333333333336</v>
      </c>
      <c r="AL1448" s="5">
        <v>43832.666666666664</v>
      </c>
      <c r="AP1448" t="s">
        <v>418</v>
      </c>
      <c r="AU1448" t="s">
        <v>6326</v>
      </c>
      <c r="AV1448" t="s">
        <v>6327</v>
      </c>
      <c r="AY1448" t="s">
        <v>40</v>
      </c>
      <c r="AZ1448">
        <v>0</v>
      </c>
      <c r="BA1448">
        <v>0</v>
      </c>
      <c r="BI1448" s="5">
        <v>44048.176388888889</v>
      </c>
      <c r="BJ1448" s="5">
        <v>44048.176388888889</v>
      </c>
      <c r="BK1448" t="s">
        <v>778</v>
      </c>
      <c r="BL1448" t="s">
        <v>778</v>
      </c>
      <c r="BN1448" t="s">
        <v>37</v>
      </c>
    </row>
    <row r="1449" spans="1:66" x14ac:dyDescent="0.2">
      <c r="A1449">
        <v>3694006</v>
      </c>
      <c r="B1449">
        <v>21883</v>
      </c>
      <c r="C1449">
        <v>523859</v>
      </c>
      <c r="D1449">
        <v>52899</v>
      </c>
      <c r="E1449">
        <v>100</v>
      </c>
      <c r="F1449" t="s">
        <v>37</v>
      </c>
      <c r="G1449">
        <v>1</v>
      </c>
      <c r="H1449" t="s">
        <v>37</v>
      </c>
      <c r="I1449" t="s">
        <v>37</v>
      </c>
      <c r="J1449" t="s">
        <v>775</v>
      </c>
      <c r="K1449" t="s">
        <v>230</v>
      </c>
      <c r="L1449" t="s">
        <v>226</v>
      </c>
      <c r="M1449" t="s">
        <v>422</v>
      </c>
      <c r="N1449" t="s">
        <v>6328</v>
      </c>
      <c r="O1449" t="s">
        <v>3916</v>
      </c>
      <c r="S1449">
        <v>0</v>
      </c>
      <c r="T1449">
        <v>0</v>
      </c>
      <c r="U1449">
        <v>0</v>
      </c>
      <c r="V1449">
        <v>0</v>
      </c>
      <c r="W1449">
        <v>8</v>
      </c>
      <c r="X1449">
        <v>0</v>
      </c>
      <c r="Y1449">
        <v>0</v>
      </c>
      <c r="Z1449">
        <v>0</v>
      </c>
      <c r="AB1449" s="5">
        <v>43852</v>
      </c>
      <c r="AC1449" s="5">
        <v>43852</v>
      </c>
      <c r="AD1449" s="5">
        <v>43970.333333333336</v>
      </c>
      <c r="AE1449" s="5">
        <v>43970.333333333336</v>
      </c>
      <c r="AG1449" s="5">
        <v>44044</v>
      </c>
      <c r="AH1449" s="5">
        <v>44044</v>
      </c>
      <c r="AK1449" s="5">
        <v>43832.333333333336</v>
      </c>
      <c r="AL1449" s="5">
        <v>43832.666666666664</v>
      </c>
      <c r="AP1449" t="s">
        <v>418</v>
      </c>
      <c r="AU1449" t="s">
        <v>6329</v>
      </c>
      <c r="AV1449" t="s">
        <v>6330</v>
      </c>
      <c r="AY1449" t="s">
        <v>40</v>
      </c>
      <c r="AZ1449">
        <v>0</v>
      </c>
      <c r="BA1449">
        <v>0</v>
      </c>
      <c r="BI1449" s="5">
        <v>44048.176388888889</v>
      </c>
      <c r="BJ1449" s="5">
        <v>44048.176388888889</v>
      </c>
      <c r="BK1449" t="s">
        <v>778</v>
      </c>
      <c r="BL1449" t="s">
        <v>778</v>
      </c>
      <c r="BN1449" t="s">
        <v>37</v>
      </c>
    </row>
    <row r="1450" spans="1:66" x14ac:dyDescent="0.2">
      <c r="A1450">
        <v>3694007</v>
      </c>
      <c r="B1450">
        <v>21883</v>
      </c>
      <c r="C1450">
        <v>523859</v>
      </c>
      <c r="D1450">
        <v>52899</v>
      </c>
      <c r="E1450">
        <v>100</v>
      </c>
      <c r="F1450" t="s">
        <v>37</v>
      </c>
      <c r="G1450">
        <v>1</v>
      </c>
      <c r="H1450" t="s">
        <v>37</v>
      </c>
      <c r="I1450" t="s">
        <v>37</v>
      </c>
      <c r="J1450" t="s">
        <v>775</v>
      </c>
      <c r="K1450" t="s">
        <v>230</v>
      </c>
      <c r="L1450" t="s">
        <v>226</v>
      </c>
      <c r="M1450" t="s">
        <v>422</v>
      </c>
      <c r="N1450" t="s">
        <v>6331</v>
      </c>
      <c r="O1450" t="s">
        <v>3920</v>
      </c>
      <c r="S1450">
        <v>0</v>
      </c>
      <c r="T1450">
        <v>8</v>
      </c>
      <c r="U1450">
        <v>0</v>
      </c>
      <c r="V1450">
        <v>8</v>
      </c>
      <c r="W1450">
        <v>8</v>
      </c>
      <c r="X1450">
        <v>0</v>
      </c>
      <c r="Y1450">
        <v>0</v>
      </c>
      <c r="Z1450">
        <v>0</v>
      </c>
      <c r="AB1450" s="5">
        <v>43859</v>
      </c>
      <c r="AC1450" s="5">
        <v>43859</v>
      </c>
      <c r="AD1450" s="5">
        <v>43970.333333333336</v>
      </c>
      <c r="AE1450" s="5">
        <v>43970.333333333336</v>
      </c>
      <c r="AG1450" s="5">
        <v>44044</v>
      </c>
      <c r="AH1450" s="5">
        <v>44044</v>
      </c>
      <c r="AK1450" s="5">
        <v>43832.333333333336</v>
      </c>
      <c r="AL1450" s="5">
        <v>43832.666666666664</v>
      </c>
      <c r="AP1450" t="s">
        <v>418</v>
      </c>
      <c r="AU1450" t="s">
        <v>6332</v>
      </c>
      <c r="AV1450" t="s">
        <v>6333</v>
      </c>
      <c r="AY1450" t="s">
        <v>40</v>
      </c>
      <c r="AZ1450">
        <v>0</v>
      </c>
      <c r="BA1450">
        <v>0</v>
      </c>
      <c r="BI1450" s="5">
        <v>44048.176388888889</v>
      </c>
      <c r="BJ1450" s="5">
        <v>44048.176388888889</v>
      </c>
      <c r="BK1450" t="s">
        <v>778</v>
      </c>
      <c r="BL1450" t="s">
        <v>778</v>
      </c>
      <c r="BN1450" t="s">
        <v>37</v>
      </c>
    </row>
    <row r="1451" spans="1:66" x14ac:dyDescent="0.2">
      <c r="A1451">
        <v>3694008</v>
      </c>
      <c r="B1451">
        <v>21883</v>
      </c>
      <c r="C1451">
        <v>523859</v>
      </c>
      <c r="D1451">
        <v>52895</v>
      </c>
      <c r="E1451">
        <v>100</v>
      </c>
      <c r="F1451" t="s">
        <v>37</v>
      </c>
      <c r="G1451">
        <v>1</v>
      </c>
      <c r="H1451" t="s">
        <v>37</v>
      </c>
      <c r="I1451" t="s">
        <v>37</v>
      </c>
      <c r="J1451" t="s">
        <v>775</v>
      </c>
      <c r="K1451" t="s">
        <v>230</v>
      </c>
      <c r="L1451" t="s">
        <v>226</v>
      </c>
      <c r="M1451" t="s">
        <v>422</v>
      </c>
      <c r="N1451" t="s">
        <v>6334</v>
      </c>
      <c r="O1451" t="s">
        <v>3924</v>
      </c>
      <c r="S1451">
        <v>0</v>
      </c>
      <c r="T1451">
        <v>0</v>
      </c>
      <c r="U1451">
        <v>0</v>
      </c>
      <c r="V1451">
        <v>0</v>
      </c>
      <c r="W1451">
        <v>16</v>
      </c>
      <c r="X1451">
        <v>0</v>
      </c>
      <c r="Y1451">
        <v>0</v>
      </c>
      <c r="Z1451">
        <v>0</v>
      </c>
      <c r="AB1451" s="5">
        <v>43859</v>
      </c>
      <c r="AC1451" s="5">
        <v>43863.666666666664</v>
      </c>
      <c r="AD1451" s="5">
        <v>43970.333333333336</v>
      </c>
      <c r="AE1451" s="5">
        <v>43970.333333333336</v>
      </c>
      <c r="AG1451" s="5">
        <v>44044</v>
      </c>
      <c r="AH1451" s="5">
        <v>44044</v>
      </c>
      <c r="AK1451" s="5">
        <v>43831.333333333336</v>
      </c>
      <c r="AL1451" s="5">
        <v>43832.666666666664</v>
      </c>
      <c r="AP1451" t="s">
        <v>418</v>
      </c>
      <c r="AU1451" t="s">
        <v>6335</v>
      </c>
      <c r="AV1451" t="s">
        <v>6336</v>
      </c>
      <c r="AY1451" t="s">
        <v>40</v>
      </c>
      <c r="AZ1451">
        <v>0</v>
      </c>
      <c r="BA1451">
        <v>0</v>
      </c>
      <c r="BI1451" s="5">
        <v>44048.176388888889</v>
      </c>
      <c r="BJ1451" s="5">
        <v>44048.176388888889</v>
      </c>
      <c r="BK1451" t="s">
        <v>778</v>
      </c>
      <c r="BL1451" t="s">
        <v>778</v>
      </c>
      <c r="BN1451" t="s">
        <v>37</v>
      </c>
    </row>
    <row r="1452" spans="1:66" x14ac:dyDescent="0.2">
      <c r="A1452">
        <v>3694009</v>
      </c>
      <c r="B1452">
        <v>21883</v>
      </c>
      <c r="C1452">
        <v>523859</v>
      </c>
      <c r="D1452">
        <v>52899</v>
      </c>
      <c r="E1452">
        <v>100</v>
      </c>
      <c r="F1452" t="s">
        <v>37</v>
      </c>
      <c r="G1452">
        <v>1</v>
      </c>
      <c r="H1452" t="s">
        <v>37</v>
      </c>
      <c r="I1452" t="s">
        <v>37</v>
      </c>
      <c r="J1452" t="s">
        <v>775</v>
      </c>
      <c r="K1452" t="s">
        <v>230</v>
      </c>
      <c r="L1452" t="s">
        <v>226</v>
      </c>
      <c r="M1452" t="s">
        <v>422</v>
      </c>
      <c r="N1452" t="s">
        <v>6337</v>
      </c>
      <c r="O1452" t="s">
        <v>3928</v>
      </c>
      <c r="S1452">
        <v>0</v>
      </c>
      <c r="T1452">
        <v>8</v>
      </c>
      <c r="U1452">
        <v>0</v>
      </c>
      <c r="V1452">
        <v>8</v>
      </c>
      <c r="W1452">
        <v>8</v>
      </c>
      <c r="X1452">
        <v>0</v>
      </c>
      <c r="Y1452">
        <v>0</v>
      </c>
      <c r="Z1452">
        <v>0</v>
      </c>
      <c r="AB1452" s="5">
        <v>43864.333333333336</v>
      </c>
      <c r="AC1452" s="5">
        <v>43865</v>
      </c>
      <c r="AD1452" s="5">
        <v>43970.333333333336</v>
      </c>
      <c r="AE1452" s="5">
        <v>43970.333333333336</v>
      </c>
      <c r="AG1452" s="5">
        <v>44044</v>
      </c>
      <c r="AH1452" s="5">
        <v>44044</v>
      </c>
      <c r="AK1452" s="5">
        <v>43864.333333333336</v>
      </c>
      <c r="AL1452" s="5">
        <v>43864.666666666664</v>
      </c>
      <c r="AP1452" t="s">
        <v>418</v>
      </c>
      <c r="AU1452" t="e" cm="1">
        <f t="array" ref="AU1452">+bUGxNbJQEiNncbhRVfteg</f>
        <v>#NAME?</v>
      </c>
      <c r="AV1452" t="s">
        <v>6338</v>
      </c>
      <c r="AY1452" t="s">
        <v>40</v>
      </c>
      <c r="AZ1452">
        <v>0</v>
      </c>
      <c r="BA1452">
        <v>0</v>
      </c>
      <c r="BI1452" s="5">
        <v>44048.176388888889</v>
      </c>
      <c r="BJ1452" s="5">
        <v>44048.176388888889</v>
      </c>
      <c r="BK1452" t="s">
        <v>778</v>
      </c>
      <c r="BL1452" t="s">
        <v>778</v>
      </c>
      <c r="BN1452" t="s">
        <v>37</v>
      </c>
    </row>
    <row r="1453" spans="1:66" x14ac:dyDescent="0.2">
      <c r="A1453">
        <v>3694010</v>
      </c>
      <c r="B1453">
        <v>21883</v>
      </c>
      <c r="C1453">
        <v>523859</v>
      </c>
      <c r="D1453">
        <v>52897</v>
      </c>
      <c r="E1453">
        <v>100</v>
      </c>
      <c r="F1453" t="s">
        <v>37</v>
      </c>
      <c r="G1453">
        <v>1</v>
      </c>
      <c r="H1453" t="s">
        <v>37</v>
      </c>
      <c r="I1453" t="s">
        <v>37</v>
      </c>
      <c r="J1453" t="s">
        <v>775</v>
      </c>
      <c r="K1453" t="s">
        <v>230</v>
      </c>
      <c r="L1453" t="s">
        <v>226</v>
      </c>
      <c r="M1453" t="s">
        <v>422</v>
      </c>
      <c r="N1453" t="s">
        <v>6339</v>
      </c>
      <c r="O1453" t="s">
        <v>6340</v>
      </c>
      <c r="S1453">
        <v>0</v>
      </c>
      <c r="T1453">
        <v>0</v>
      </c>
      <c r="U1453">
        <v>0</v>
      </c>
      <c r="V1453">
        <v>0</v>
      </c>
      <c r="W1453">
        <v>40</v>
      </c>
      <c r="X1453">
        <v>0</v>
      </c>
      <c r="Y1453">
        <v>0</v>
      </c>
      <c r="Z1453">
        <v>0</v>
      </c>
      <c r="AB1453" s="5">
        <v>43880</v>
      </c>
      <c r="AC1453" s="5">
        <v>43883</v>
      </c>
      <c r="AD1453" s="5">
        <v>43970.333333333336</v>
      </c>
      <c r="AE1453" s="5">
        <v>43970.333333333336</v>
      </c>
      <c r="AG1453" s="5">
        <v>44044</v>
      </c>
      <c r="AH1453" s="5">
        <v>44044</v>
      </c>
      <c r="AK1453" s="5">
        <v>43865.333333333336</v>
      </c>
      <c r="AL1453" s="5">
        <v>43874.666666666664</v>
      </c>
      <c r="AP1453" t="s">
        <v>418</v>
      </c>
      <c r="AU1453" t="s">
        <v>6341</v>
      </c>
      <c r="AV1453" t="s">
        <v>6342</v>
      </c>
      <c r="AY1453" t="s">
        <v>40</v>
      </c>
      <c r="AZ1453">
        <v>0</v>
      </c>
      <c r="BA1453">
        <v>0</v>
      </c>
      <c r="BI1453" s="5">
        <v>44048.176388888889</v>
      </c>
      <c r="BJ1453" s="5">
        <v>44048.176388888889</v>
      </c>
      <c r="BK1453" t="s">
        <v>778</v>
      </c>
      <c r="BL1453" t="s">
        <v>778</v>
      </c>
      <c r="BN1453" t="s">
        <v>37</v>
      </c>
    </row>
    <row r="1454" spans="1:66" x14ac:dyDescent="0.2">
      <c r="A1454">
        <v>3694011</v>
      </c>
      <c r="B1454">
        <v>21883</v>
      </c>
      <c r="C1454">
        <v>523841</v>
      </c>
      <c r="D1454">
        <v>52899</v>
      </c>
      <c r="E1454">
        <v>0</v>
      </c>
      <c r="F1454" t="s">
        <v>37</v>
      </c>
      <c r="G1454">
        <v>1</v>
      </c>
      <c r="H1454" t="s">
        <v>37</v>
      </c>
      <c r="I1454" t="s">
        <v>37</v>
      </c>
      <c r="J1454" t="s">
        <v>775</v>
      </c>
      <c r="K1454" t="s">
        <v>230</v>
      </c>
      <c r="L1454" t="s">
        <v>226</v>
      </c>
      <c r="M1454" t="s">
        <v>417</v>
      </c>
      <c r="N1454" t="s">
        <v>6343</v>
      </c>
      <c r="O1454" t="s">
        <v>3892</v>
      </c>
      <c r="Q1454">
        <v>-56</v>
      </c>
      <c r="R1454">
        <v>0</v>
      </c>
      <c r="S1454">
        <v>8</v>
      </c>
      <c r="T1454">
        <v>0</v>
      </c>
      <c r="U1454">
        <v>8</v>
      </c>
      <c r="V1454">
        <v>8</v>
      </c>
      <c r="W1454">
        <v>8</v>
      </c>
      <c r="X1454">
        <v>0</v>
      </c>
      <c r="Y1454">
        <v>0</v>
      </c>
      <c r="Z1454">
        <v>0</v>
      </c>
      <c r="AD1454" s="5">
        <v>44047.333333333336</v>
      </c>
      <c r="AE1454" s="5">
        <v>44047.666666666664</v>
      </c>
      <c r="AG1454" s="5">
        <v>44057.333333333336</v>
      </c>
      <c r="AH1454" s="5">
        <v>44057.666666666664</v>
      </c>
      <c r="AI1454" s="5">
        <v>44057.333333333336</v>
      </c>
      <c r="AJ1454" s="5">
        <v>44057.666666666664</v>
      </c>
      <c r="AK1454" s="5">
        <v>44057.333333333336</v>
      </c>
      <c r="AL1454" s="5">
        <v>44057.666666666664</v>
      </c>
      <c r="AM1454" s="5">
        <v>44047.333333333336</v>
      </c>
      <c r="AN1454" s="5">
        <v>44047.666666666664</v>
      </c>
      <c r="AP1454" t="s">
        <v>418</v>
      </c>
      <c r="AU1454" t="s">
        <v>6344</v>
      </c>
      <c r="AV1454" t="s">
        <v>6345</v>
      </c>
      <c r="AY1454" t="s">
        <v>37</v>
      </c>
      <c r="AZ1454">
        <v>0</v>
      </c>
      <c r="BA1454">
        <v>0</v>
      </c>
      <c r="BI1454" s="5">
        <v>44048.176388888889</v>
      </c>
      <c r="BJ1454" s="5">
        <v>44048.176388888889</v>
      </c>
      <c r="BK1454" t="s">
        <v>778</v>
      </c>
      <c r="BL1454" t="s">
        <v>778</v>
      </c>
      <c r="BN1454" t="s">
        <v>37</v>
      </c>
    </row>
    <row r="1455" spans="1:66" x14ac:dyDescent="0.2">
      <c r="A1455">
        <v>3694012</v>
      </c>
      <c r="B1455">
        <v>21883</v>
      </c>
      <c r="C1455">
        <v>523841</v>
      </c>
      <c r="D1455">
        <v>52899</v>
      </c>
      <c r="E1455">
        <v>0</v>
      </c>
      <c r="F1455" t="s">
        <v>37</v>
      </c>
      <c r="G1455">
        <v>1</v>
      </c>
      <c r="H1455" t="s">
        <v>37</v>
      </c>
      <c r="I1455" t="s">
        <v>37</v>
      </c>
      <c r="J1455" t="s">
        <v>775</v>
      </c>
      <c r="K1455" t="s">
        <v>230</v>
      </c>
      <c r="L1455" t="s">
        <v>226</v>
      </c>
      <c r="M1455" t="s">
        <v>417</v>
      </c>
      <c r="N1455" t="s">
        <v>6346</v>
      </c>
      <c r="O1455" t="s">
        <v>3896</v>
      </c>
      <c r="Q1455">
        <v>-56</v>
      </c>
      <c r="R1455">
        <v>152</v>
      </c>
      <c r="S1455">
        <v>8</v>
      </c>
      <c r="T1455">
        <v>0</v>
      </c>
      <c r="U1455">
        <v>0</v>
      </c>
      <c r="V1455">
        <v>0</v>
      </c>
      <c r="W1455">
        <v>8</v>
      </c>
      <c r="X1455">
        <v>0</v>
      </c>
      <c r="Y1455">
        <v>0</v>
      </c>
      <c r="Z1455">
        <v>0</v>
      </c>
      <c r="AD1455" s="5">
        <v>44048.333333333336</v>
      </c>
      <c r="AE1455" s="5">
        <v>44048.666666666664</v>
      </c>
      <c r="AG1455" s="5">
        <v>44060.333333333336</v>
      </c>
      <c r="AH1455" s="5">
        <v>44060.666666666664</v>
      </c>
      <c r="AI1455" s="5">
        <v>44060.333333333336</v>
      </c>
      <c r="AJ1455" s="5">
        <v>44060.666666666664</v>
      </c>
      <c r="AK1455" s="5">
        <v>44060.333333333336</v>
      </c>
      <c r="AL1455" s="5">
        <v>44060.666666666664</v>
      </c>
      <c r="AM1455" s="5">
        <v>44048.333333333336</v>
      </c>
      <c r="AN1455" s="5">
        <v>44048.666666666664</v>
      </c>
      <c r="AP1455" t="s">
        <v>418</v>
      </c>
      <c r="AU1455" t="s">
        <v>6347</v>
      </c>
      <c r="AV1455" t="s">
        <v>6348</v>
      </c>
      <c r="AY1455" t="s">
        <v>37</v>
      </c>
      <c r="AZ1455">
        <v>0</v>
      </c>
      <c r="BA1455">
        <v>0</v>
      </c>
      <c r="BI1455" s="5">
        <v>44048.176388888889</v>
      </c>
      <c r="BJ1455" s="5">
        <v>44048.176388888889</v>
      </c>
      <c r="BK1455" t="s">
        <v>778</v>
      </c>
      <c r="BL1455" t="s">
        <v>778</v>
      </c>
      <c r="BN1455" t="s">
        <v>37</v>
      </c>
    </row>
    <row r="1456" spans="1:66" x14ac:dyDescent="0.2">
      <c r="A1456">
        <v>3694013</v>
      </c>
      <c r="B1456">
        <v>21883</v>
      </c>
      <c r="C1456">
        <v>523841</v>
      </c>
      <c r="D1456">
        <v>52899</v>
      </c>
      <c r="E1456">
        <v>0</v>
      </c>
      <c r="F1456" t="s">
        <v>37</v>
      </c>
      <c r="G1456">
        <v>1</v>
      </c>
      <c r="H1456" t="s">
        <v>37</v>
      </c>
      <c r="I1456" t="s">
        <v>37</v>
      </c>
      <c r="J1456" t="s">
        <v>775</v>
      </c>
      <c r="K1456" t="s">
        <v>230</v>
      </c>
      <c r="L1456" t="s">
        <v>226</v>
      </c>
      <c r="M1456" t="s">
        <v>417</v>
      </c>
      <c r="N1456" t="s">
        <v>6349</v>
      </c>
      <c r="O1456" t="s">
        <v>3900</v>
      </c>
      <c r="Q1456">
        <v>-208</v>
      </c>
      <c r="R1456">
        <v>0</v>
      </c>
      <c r="S1456">
        <v>8</v>
      </c>
      <c r="T1456">
        <v>0</v>
      </c>
      <c r="U1456">
        <v>8</v>
      </c>
      <c r="V1456">
        <v>8</v>
      </c>
      <c r="W1456">
        <v>8</v>
      </c>
      <c r="X1456">
        <v>0</v>
      </c>
      <c r="Y1456">
        <v>0</v>
      </c>
      <c r="Z1456">
        <v>0</v>
      </c>
      <c r="AD1456" s="5">
        <v>44049.333333333336</v>
      </c>
      <c r="AE1456" s="5">
        <v>44049.666666666664</v>
      </c>
      <c r="AG1456" s="5">
        <v>44092.333333333336</v>
      </c>
      <c r="AH1456" s="5">
        <v>44092.666666666664</v>
      </c>
      <c r="AI1456" s="5">
        <v>44092.333333333336</v>
      </c>
      <c r="AJ1456" s="5">
        <v>44092.666666666664</v>
      </c>
      <c r="AK1456" s="5">
        <v>44092.333333333336</v>
      </c>
      <c r="AL1456" s="5">
        <v>44092.666666666664</v>
      </c>
      <c r="AM1456" s="5">
        <v>44049.333333333336</v>
      </c>
      <c r="AN1456" s="5">
        <v>44049.666666666664</v>
      </c>
      <c r="AP1456" t="s">
        <v>418</v>
      </c>
      <c r="AU1456" t="s">
        <v>6350</v>
      </c>
      <c r="AV1456" t="s">
        <v>6351</v>
      </c>
      <c r="AY1456" t="s">
        <v>37</v>
      </c>
      <c r="AZ1456">
        <v>0</v>
      </c>
      <c r="BA1456">
        <v>0</v>
      </c>
      <c r="BI1456" s="5">
        <v>44048.176388888889</v>
      </c>
      <c r="BJ1456" s="5">
        <v>44048.176388888889</v>
      </c>
      <c r="BK1456" t="s">
        <v>778</v>
      </c>
      <c r="BL1456" t="s">
        <v>778</v>
      </c>
      <c r="BN1456" t="s">
        <v>37</v>
      </c>
    </row>
    <row r="1457" spans="1:66" x14ac:dyDescent="0.2">
      <c r="A1457">
        <v>3694014</v>
      </c>
      <c r="B1457">
        <v>21883</v>
      </c>
      <c r="C1457">
        <v>523841</v>
      </c>
      <c r="D1457">
        <v>52895</v>
      </c>
      <c r="E1457">
        <v>0</v>
      </c>
      <c r="F1457" t="s">
        <v>37</v>
      </c>
      <c r="G1457">
        <v>1</v>
      </c>
      <c r="H1457" t="s">
        <v>37</v>
      </c>
      <c r="I1457" t="s">
        <v>37</v>
      </c>
      <c r="J1457" t="s">
        <v>775</v>
      </c>
      <c r="K1457" t="s">
        <v>230</v>
      </c>
      <c r="L1457" t="s">
        <v>226</v>
      </c>
      <c r="M1457" t="s">
        <v>417</v>
      </c>
      <c r="N1457" t="s">
        <v>6352</v>
      </c>
      <c r="O1457" t="s">
        <v>3904</v>
      </c>
      <c r="Q1457">
        <v>-136</v>
      </c>
      <c r="R1457">
        <v>0</v>
      </c>
      <c r="S1457">
        <v>16</v>
      </c>
      <c r="T1457">
        <v>0</v>
      </c>
      <c r="U1457">
        <v>0</v>
      </c>
      <c r="V1457">
        <v>0</v>
      </c>
      <c r="W1457">
        <v>16</v>
      </c>
      <c r="X1457">
        <v>0</v>
      </c>
      <c r="Y1457">
        <v>0</v>
      </c>
      <c r="Z1457">
        <v>0</v>
      </c>
      <c r="AD1457" s="5">
        <v>44076.333333333336</v>
      </c>
      <c r="AE1457" s="5">
        <v>44077.666666666664</v>
      </c>
      <c r="AG1457" s="5">
        <v>44093.333333333336</v>
      </c>
      <c r="AH1457" s="5">
        <v>44094.666666666664</v>
      </c>
      <c r="AI1457" s="5">
        <v>44093.333333333336</v>
      </c>
      <c r="AJ1457" s="5">
        <v>44094.666666666664</v>
      </c>
      <c r="AK1457" s="5">
        <v>44093.333333333336</v>
      </c>
      <c r="AL1457" s="5">
        <v>44094.666666666664</v>
      </c>
      <c r="AM1457" s="5">
        <v>44076.333333333336</v>
      </c>
      <c r="AN1457" s="5">
        <v>44077.666666666664</v>
      </c>
      <c r="AP1457" t="s">
        <v>418</v>
      </c>
      <c r="AU1457" t="s">
        <v>6353</v>
      </c>
      <c r="AV1457" t="s">
        <v>6354</v>
      </c>
      <c r="AY1457" t="s">
        <v>37</v>
      </c>
      <c r="AZ1457">
        <v>0</v>
      </c>
      <c r="BA1457">
        <v>0</v>
      </c>
      <c r="BI1457" s="5">
        <v>44048.176388888889</v>
      </c>
      <c r="BJ1457" s="5">
        <v>44048.176388888889</v>
      </c>
      <c r="BK1457" t="s">
        <v>778</v>
      </c>
      <c r="BL1457" t="s">
        <v>778</v>
      </c>
      <c r="BN1457" t="s">
        <v>37</v>
      </c>
    </row>
    <row r="1458" spans="1:66" x14ac:dyDescent="0.2">
      <c r="A1458">
        <v>3694015</v>
      </c>
      <c r="B1458">
        <v>21883</v>
      </c>
      <c r="C1458">
        <v>523841</v>
      </c>
      <c r="D1458">
        <v>52899</v>
      </c>
      <c r="E1458">
        <v>0</v>
      </c>
      <c r="F1458" t="s">
        <v>37</v>
      </c>
      <c r="G1458">
        <v>1</v>
      </c>
      <c r="H1458" t="s">
        <v>37</v>
      </c>
      <c r="I1458" t="s">
        <v>37</v>
      </c>
      <c r="J1458" t="s">
        <v>775</v>
      </c>
      <c r="K1458" t="s">
        <v>230</v>
      </c>
      <c r="L1458" t="s">
        <v>226</v>
      </c>
      <c r="M1458" t="s">
        <v>417</v>
      </c>
      <c r="N1458" t="s">
        <v>6355</v>
      </c>
      <c r="O1458" t="s">
        <v>3908</v>
      </c>
      <c r="Q1458">
        <v>-48</v>
      </c>
      <c r="R1458">
        <v>304</v>
      </c>
      <c r="S1458">
        <v>8</v>
      </c>
      <c r="T1458">
        <v>0</v>
      </c>
      <c r="U1458">
        <v>8</v>
      </c>
      <c r="V1458">
        <v>8</v>
      </c>
      <c r="W1458">
        <v>8</v>
      </c>
      <c r="X1458">
        <v>0</v>
      </c>
      <c r="Y1458">
        <v>0</v>
      </c>
      <c r="Z1458">
        <v>0</v>
      </c>
      <c r="AD1458" s="5">
        <v>44085.333333333336</v>
      </c>
      <c r="AE1458" s="5">
        <v>44085.666666666664</v>
      </c>
      <c r="AG1458" s="5">
        <v>44095.333333333336</v>
      </c>
      <c r="AH1458" s="5">
        <v>44095.666666666664</v>
      </c>
      <c r="AI1458" s="5">
        <v>44095.333333333336</v>
      </c>
      <c r="AJ1458" s="5">
        <v>44095.666666666664</v>
      </c>
      <c r="AK1458" s="5">
        <v>44095.333333333336</v>
      </c>
      <c r="AL1458" s="5">
        <v>44095.666666666664</v>
      </c>
      <c r="AM1458" s="5">
        <v>44085.333333333336</v>
      </c>
      <c r="AN1458" s="5">
        <v>44085.666666666664</v>
      </c>
      <c r="AP1458" t="s">
        <v>418</v>
      </c>
      <c r="AU1458" t="s">
        <v>6356</v>
      </c>
      <c r="AV1458" t="s">
        <v>6357</v>
      </c>
      <c r="AY1458" t="s">
        <v>37</v>
      </c>
      <c r="AZ1458">
        <v>0</v>
      </c>
      <c r="BA1458">
        <v>0</v>
      </c>
      <c r="BI1458" s="5">
        <v>44048.176388888889</v>
      </c>
      <c r="BJ1458" s="5">
        <v>44048.176388888889</v>
      </c>
      <c r="BK1458" t="s">
        <v>778</v>
      </c>
      <c r="BL1458" t="s">
        <v>778</v>
      </c>
      <c r="BN1458" t="s">
        <v>37</v>
      </c>
    </row>
    <row r="1459" spans="1:66" x14ac:dyDescent="0.2">
      <c r="A1459">
        <v>3694016</v>
      </c>
      <c r="B1459">
        <v>21883</v>
      </c>
      <c r="C1459">
        <v>523841</v>
      </c>
      <c r="D1459">
        <v>52899</v>
      </c>
      <c r="E1459">
        <v>0</v>
      </c>
      <c r="F1459" t="s">
        <v>37</v>
      </c>
      <c r="G1459">
        <v>1</v>
      </c>
      <c r="H1459" t="s">
        <v>37</v>
      </c>
      <c r="I1459" t="s">
        <v>37</v>
      </c>
      <c r="J1459" t="s">
        <v>775</v>
      </c>
      <c r="K1459" t="s">
        <v>230</v>
      </c>
      <c r="L1459" t="s">
        <v>226</v>
      </c>
      <c r="M1459" t="s">
        <v>417</v>
      </c>
      <c r="N1459" t="s">
        <v>6358</v>
      </c>
      <c r="O1459" t="s">
        <v>3912</v>
      </c>
      <c r="Q1459">
        <v>-296</v>
      </c>
      <c r="R1459">
        <v>0</v>
      </c>
      <c r="S1459">
        <v>8</v>
      </c>
      <c r="T1459">
        <v>0</v>
      </c>
      <c r="U1459">
        <v>8</v>
      </c>
      <c r="V1459">
        <v>8</v>
      </c>
      <c r="W1459">
        <v>8</v>
      </c>
      <c r="X1459">
        <v>0</v>
      </c>
      <c r="Y1459">
        <v>0</v>
      </c>
      <c r="Z1459">
        <v>0</v>
      </c>
      <c r="AD1459" s="5">
        <v>44063.333333333336</v>
      </c>
      <c r="AE1459" s="5">
        <v>44063.666666666664</v>
      </c>
      <c r="AG1459" s="5">
        <v>44125.333333333336</v>
      </c>
      <c r="AH1459" s="5">
        <v>44125.666666666664</v>
      </c>
      <c r="AI1459" s="5">
        <v>44125.333333333336</v>
      </c>
      <c r="AJ1459" s="5">
        <v>44125.666666666664</v>
      </c>
      <c r="AK1459" s="5">
        <v>44125.333333333336</v>
      </c>
      <c r="AL1459" s="5">
        <v>44125.666666666664</v>
      </c>
      <c r="AM1459" s="5">
        <v>44063.333333333336</v>
      </c>
      <c r="AN1459" s="5">
        <v>44063.666666666664</v>
      </c>
      <c r="AP1459" t="s">
        <v>418</v>
      </c>
      <c r="AU1459" t="s">
        <v>6359</v>
      </c>
      <c r="AV1459" t="s">
        <v>6360</v>
      </c>
      <c r="AY1459" t="s">
        <v>37</v>
      </c>
      <c r="AZ1459">
        <v>0</v>
      </c>
      <c r="BA1459">
        <v>0</v>
      </c>
      <c r="BI1459" s="5">
        <v>44048.176388888889</v>
      </c>
      <c r="BJ1459" s="5">
        <v>44048.176388888889</v>
      </c>
      <c r="BK1459" t="s">
        <v>778</v>
      </c>
      <c r="BL1459" t="s">
        <v>778</v>
      </c>
      <c r="BN1459" t="s">
        <v>37</v>
      </c>
    </row>
    <row r="1460" spans="1:66" x14ac:dyDescent="0.2">
      <c r="A1460">
        <v>3694017</v>
      </c>
      <c r="B1460">
        <v>21883</v>
      </c>
      <c r="C1460">
        <v>523841</v>
      </c>
      <c r="D1460">
        <v>52899</v>
      </c>
      <c r="E1460">
        <v>0</v>
      </c>
      <c r="F1460" t="s">
        <v>37</v>
      </c>
      <c r="G1460">
        <v>1</v>
      </c>
      <c r="H1460" t="s">
        <v>37</v>
      </c>
      <c r="I1460" t="s">
        <v>37</v>
      </c>
      <c r="J1460" t="s">
        <v>775</v>
      </c>
      <c r="K1460" t="s">
        <v>230</v>
      </c>
      <c r="L1460" t="s">
        <v>226</v>
      </c>
      <c r="M1460" t="s">
        <v>417</v>
      </c>
      <c r="N1460" t="s">
        <v>6361</v>
      </c>
      <c r="O1460" t="s">
        <v>3916</v>
      </c>
      <c r="Q1460">
        <v>-296</v>
      </c>
      <c r="R1460">
        <v>56</v>
      </c>
      <c r="S1460">
        <v>8</v>
      </c>
      <c r="T1460">
        <v>0</v>
      </c>
      <c r="U1460">
        <v>0</v>
      </c>
      <c r="V1460">
        <v>0</v>
      </c>
      <c r="W1460">
        <v>8</v>
      </c>
      <c r="X1460">
        <v>0</v>
      </c>
      <c r="Y1460">
        <v>0</v>
      </c>
      <c r="Z1460">
        <v>0</v>
      </c>
      <c r="AD1460" s="5">
        <v>44064.333333333336</v>
      </c>
      <c r="AE1460" s="5">
        <v>44064.666666666664</v>
      </c>
      <c r="AG1460" s="5">
        <v>44126.333333333336</v>
      </c>
      <c r="AH1460" s="5">
        <v>44126.666666666664</v>
      </c>
      <c r="AI1460" s="5">
        <v>44126.333333333336</v>
      </c>
      <c r="AJ1460" s="5">
        <v>44126.666666666664</v>
      </c>
      <c r="AK1460" s="5">
        <v>44126.333333333336</v>
      </c>
      <c r="AL1460" s="5">
        <v>44126.666666666664</v>
      </c>
      <c r="AM1460" s="5">
        <v>44064.333333333336</v>
      </c>
      <c r="AN1460" s="5">
        <v>44064.666666666664</v>
      </c>
      <c r="AP1460" t="s">
        <v>418</v>
      </c>
      <c r="AU1460" t="s">
        <v>6362</v>
      </c>
      <c r="AV1460" t="s">
        <v>6363</v>
      </c>
      <c r="AY1460" t="s">
        <v>37</v>
      </c>
      <c r="AZ1460">
        <v>0</v>
      </c>
      <c r="BA1460">
        <v>0</v>
      </c>
      <c r="BI1460" s="5">
        <v>44048.176388888889</v>
      </c>
      <c r="BJ1460" s="5">
        <v>44048.176388888889</v>
      </c>
      <c r="BK1460" t="s">
        <v>778</v>
      </c>
      <c r="BL1460" t="s">
        <v>778</v>
      </c>
      <c r="BN1460" t="s">
        <v>37</v>
      </c>
    </row>
    <row r="1461" spans="1:66" x14ac:dyDescent="0.2">
      <c r="A1461">
        <v>3694018</v>
      </c>
      <c r="B1461">
        <v>21883</v>
      </c>
      <c r="C1461">
        <v>523841</v>
      </c>
      <c r="D1461">
        <v>52899</v>
      </c>
      <c r="E1461">
        <v>0</v>
      </c>
      <c r="F1461" t="s">
        <v>37</v>
      </c>
      <c r="G1461">
        <v>1</v>
      </c>
      <c r="H1461" t="s">
        <v>37</v>
      </c>
      <c r="I1461" t="s">
        <v>37</v>
      </c>
      <c r="J1461" t="s">
        <v>775</v>
      </c>
      <c r="K1461" t="s">
        <v>230</v>
      </c>
      <c r="L1461" t="s">
        <v>226</v>
      </c>
      <c r="M1461" t="s">
        <v>417</v>
      </c>
      <c r="N1461" t="s">
        <v>6364</v>
      </c>
      <c r="O1461" t="s">
        <v>3920</v>
      </c>
      <c r="Q1461">
        <v>-352</v>
      </c>
      <c r="R1461">
        <v>0</v>
      </c>
      <c r="S1461">
        <v>8</v>
      </c>
      <c r="T1461">
        <v>0</v>
      </c>
      <c r="U1461">
        <v>8</v>
      </c>
      <c r="V1461">
        <v>8</v>
      </c>
      <c r="W1461">
        <v>8</v>
      </c>
      <c r="X1461">
        <v>0</v>
      </c>
      <c r="Y1461">
        <v>0</v>
      </c>
      <c r="Z1461">
        <v>0</v>
      </c>
      <c r="AD1461" s="5">
        <v>44069.333333333336</v>
      </c>
      <c r="AE1461" s="5">
        <v>44069.666666666664</v>
      </c>
      <c r="AG1461" s="5">
        <v>44138.333333333336</v>
      </c>
      <c r="AH1461" s="5">
        <v>44138.666666666664</v>
      </c>
      <c r="AI1461" s="5">
        <v>44138.333333333336</v>
      </c>
      <c r="AJ1461" s="5">
        <v>44138.666666666664</v>
      </c>
      <c r="AK1461" s="5">
        <v>44138.333333333336</v>
      </c>
      <c r="AL1461" s="5">
        <v>44138.666666666664</v>
      </c>
      <c r="AM1461" s="5">
        <v>44069.333333333336</v>
      </c>
      <c r="AN1461" s="5">
        <v>44069.666666666664</v>
      </c>
      <c r="AP1461" t="s">
        <v>418</v>
      </c>
      <c r="AU1461" t="s">
        <v>6365</v>
      </c>
      <c r="AV1461" t="s">
        <v>6366</v>
      </c>
      <c r="AY1461" t="s">
        <v>40</v>
      </c>
      <c r="AZ1461">
        <v>0</v>
      </c>
      <c r="BA1461">
        <v>0</v>
      </c>
      <c r="BI1461" s="5">
        <v>44048.176388888889</v>
      </c>
      <c r="BJ1461" s="5">
        <v>44048.176388888889</v>
      </c>
      <c r="BK1461" t="s">
        <v>778</v>
      </c>
      <c r="BL1461" t="s">
        <v>778</v>
      </c>
      <c r="BN1461" t="s">
        <v>37</v>
      </c>
    </row>
    <row r="1462" spans="1:66" x14ac:dyDescent="0.2">
      <c r="A1462">
        <v>3694019</v>
      </c>
      <c r="B1462">
        <v>21883</v>
      </c>
      <c r="C1462">
        <v>523841</v>
      </c>
      <c r="D1462">
        <v>52895</v>
      </c>
      <c r="E1462">
        <v>0</v>
      </c>
      <c r="F1462" t="s">
        <v>37</v>
      </c>
      <c r="G1462">
        <v>1</v>
      </c>
      <c r="H1462" t="s">
        <v>37</v>
      </c>
      <c r="I1462" t="s">
        <v>37</v>
      </c>
      <c r="J1462" t="s">
        <v>775</v>
      </c>
      <c r="K1462" t="s">
        <v>230</v>
      </c>
      <c r="L1462" t="s">
        <v>226</v>
      </c>
      <c r="M1462" t="s">
        <v>417</v>
      </c>
      <c r="N1462" t="s">
        <v>6367</v>
      </c>
      <c r="O1462" t="s">
        <v>3924</v>
      </c>
      <c r="Q1462">
        <v>-504</v>
      </c>
      <c r="R1462">
        <v>0</v>
      </c>
      <c r="S1462">
        <v>16</v>
      </c>
      <c r="T1462">
        <v>0</v>
      </c>
      <c r="U1462">
        <v>0</v>
      </c>
      <c r="V1462">
        <v>0</v>
      </c>
      <c r="W1462">
        <v>16</v>
      </c>
      <c r="X1462">
        <v>0</v>
      </c>
      <c r="Y1462">
        <v>0</v>
      </c>
      <c r="Z1462">
        <v>0</v>
      </c>
      <c r="AD1462" s="5">
        <v>44076.333333333336</v>
      </c>
      <c r="AE1462" s="5">
        <v>44077.666666666664</v>
      </c>
      <c r="AG1462" s="5">
        <v>44139.333333333336</v>
      </c>
      <c r="AH1462" s="5">
        <v>44140.666666666664</v>
      </c>
      <c r="AI1462" s="5">
        <v>44139.333333333336</v>
      </c>
      <c r="AJ1462" s="5">
        <v>44140.666666666664</v>
      </c>
      <c r="AK1462" s="5">
        <v>44139.333333333336</v>
      </c>
      <c r="AL1462" s="5">
        <v>44140.666666666664</v>
      </c>
      <c r="AM1462" s="5">
        <v>44076.333333333336</v>
      </c>
      <c r="AN1462" s="5">
        <v>44077.666666666664</v>
      </c>
      <c r="AP1462" t="s">
        <v>418</v>
      </c>
      <c r="AU1462" t="s">
        <v>6368</v>
      </c>
      <c r="AV1462" t="s">
        <v>6369</v>
      </c>
      <c r="AY1462" t="s">
        <v>37</v>
      </c>
      <c r="AZ1462">
        <v>0</v>
      </c>
      <c r="BA1462">
        <v>0</v>
      </c>
      <c r="BI1462" s="5">
        <v>44048.176388888889</v>
      </c>
      <c r="BJ1462" s="5">
        <v>44048.176388888889</v>
      </c>
      <c r="BK1462" t="s">
        <v>778</v>
      </c>
      <c r="BL1462" t="s">
        <v>778</v>
      </c>
      <c r="BN1462" t="s">
        <v>37</v>
      </c>
    </row>
    <row r="1463" spans="1:66" x14ac:dyDescent="0.2">
      <c r="A1463">
        <v>3694020</v>
      </c>
      <c r="B1463">
        <v>21883</v>
      </c>
      <c r="C1463">
        <v>523841</v>
      </c>
      <c r="D1463">
        <v>52899</v>
      </c>
      <c r="E1463">
        <v>0</v>
      </c>
      <c r="F1463" t="s">
        <v>37</v>
      </c>
      <c r="G1463">
        <v>1</v>
      </c>
      <c r="H1463" t="s">
        <v>37</v>
      </c>
      <c r="I1463" t="s">
        <v>37</v>
      </c>
      <c r="J1463" t="s">
        <v>775</v>
      </c>
      <c r="K1463" t="s">
        <v>230</v>
      </c>
      <c r="L1463" t="s">
        <v>226</v>
      </c>
      <c r="M1463" t="s">
        <v>417</v>
      </c>
      <c r="N1463" t="s">
        <v>6370</v>
      </c>
      <c r="O1463" t="s">
        <v>3928</v>
      </c>
      <c r="Q1463">
        <v>-288</v>
      </c>
      <c r="R1463">
        <v>64</v>
      </c>
      <c r="S1463">
        <v>8</v>
      </c>
      <c r="T1463">
        <v>0</v>
      </c>
      <c r="U1463">
        <v>8</v>
      </c>
      <c r="V1463">
        <v>8</v>
      </c>
      <c r="W1463">
        <v>8</v>
      </c>
      <c r="X1463">
        <v>0</v>
      </c>
      <c r="Y1463">
        <v>0</v>
      </c>
      <c r="Z1463">
        <v>0</v>
      </c>
      <c r="AD1463" s="5">
        <v>44085.333333333336</v>
      </c>
      <c r="AE1463" s="5">
        <v>44085.666666666664</v>
      </c>
      <c r="AG1463" s="5">
        <v>44141.333333333336</v>
      </c>
      <c r="AH1463" s="5">
        <v>44141.666666666664</v>
      </c>
      <c r="AI1463" s="5">
        <v>44141.333333333336</v>
      </c>
      <c r="AJ1463" s="5">
        <v>44141.666666666664</v>
      </c>
      <c r="AK1463" s="5">
        <v>44141.333333333336</v>
      </c>
      <c r="AL1463" s="5">
        <v>44141.666666666664</v>
      </c>
      <c r="AM1463" s="5">
        <v>44085.333333333336</v>
      </c>
      <c r="AN1463" s="5">
        <v>44085.666666666664</v>
      </c>
      <c r="AP1463" t="s">
        <v>418</v>
      </c>
      <c r="AU1463" t="s">
        <v>6371</v>
      </c>
      <c r="AV1463" t="s">
        <v>6372</v>
      </c>
      <c r="AY1463" t="s">
        <v>37</v>
      </c>
      <c r="AZ1463">
        <v>0</v>
      </c>
      <c r="BA1463">
        <v>0</v>
      </c>
      <c r="BI1463" s="5">
        <v>44048.176388888889</v>
      </c>
      <c r="BJ1463" s="5">
        <v>44048.176388888889</v>
      </c>
      <c r="BK1463" t="s">
        <v>778</v>
      </c>
      <c r="BL1463" t="s">
        <v>778</v>
      </c>
      <c r="BN1463" t="s">
        <v>37</v>
      </c>
    </row>
    <row r="1464" spans="1:66" x14ac:dyDescent="0.2">
      <c r="A1464">
        <v>3694021</v>
      </c>
      <c r="B1464">
        <v>21883</v>
      </c>
      <c r="C1464">
        <v>523906</v>
      </c>
      <c r="D1464">
        <v>52899</v>
      </c>
      <c r="E1464">
        <v>0</v>
      </c>
      <c r="F1464" t="s">
        <v>37</v>
      </c>
      <c r="G1464">
        <v>1</v>
      </c>
      <c r="H1464" t="s">
        <v>37</v>
      </c>
      <c r="I1464" t="s">
        <v>37</v>
      </c>
      <c r="J1464" t="s">
        <v>775</v>
      </c>
      <c r="K1464" t="s">
        <v>230</v>
      </c>
      <c r="L1464" t="s">
        <v>226</v>
      </c>
      <c r="M1464" t="s">
        <v>417</v>
      </c>
      <c r="N1464" t="s">
        <v>6373</v>
      </c>
      <c r="O1464" t="s">
        <v>6374</v>
      </c>
      <c r="Q1464">
        <v>-280</v>
      </c>
      <c r="R1464">
        <v>0</v>
      </c>
      <c r="S1464">
        <v>16</v>
      </c>
      <c r="T1464">
        <v>0</v>
      </c>
      <c r="U1464">
        <v>0</v>
      </c>
      <c r="V1464">
        <v>0</v>
      </c>
      <c r="W1464">
        <v>16</v>
      </c>
      <c r="X1464">
        <v>0</v>
      </c>
      <c r="Y1464">
        <v>0</v>
      </c>
      <c r="Z1464">
        <v>0</v>
      </c>
      <c r="AD1464" s="5">
        <v>44125.333333333336</v>
      </c>
      <c r="AE1464" s="5">
        <v>44126.666666666664</v>
      </c>
      <c r="AG1464" s="5">
        <v>44186.333333333336</v>
      </c>
      <c r="AH1464" s="5">
        <v>44187.666666666664</v>
      </c>
      <c r="AI1464" s="5">
        <v>44186.333333333336</v>
      </c>
      <c r="AJ1464" s="5">
        <v>44187.666666666664</v>
      </c>
      <c r="AK1464" s="5">
        <v>44186.333333333336</v>
      </c>
      <c r="AL1464" s="5">
        <v>44187.666666666664</v>
      </c>
      <c r="AM1464" s="5">
        <v>44125.333333333336</v>
      </c>
      <c r="AN1464" s="5">
        <v>44126.666666666664</v>
      </c>
      <c r="AP1464" t="s">
        <v>418</v>
      </c>
      <c r="AU1464" t="s">
        <v>6375</v>
      </c>
      <c r="AV1464" t="s">
        <v>6376</v>
      </c>
      <c r="AY1464" t="s">
        <v>40</v>
      </c>
      <c r="AZ1464">
        <v>0</v>
      </c>
      <c r="BA1464">
        <v>0</v>
      </c>
      <c r="BI1464" s="5">
        <v>44048.176388888889</v>
      </c>
      <c r="BJ1464" s="5">
        <v>44048.176388888889</v>
      </c>
      <c r="BK1464" t="s">
        <v>778</v>
      </c>
      <c r="BL1464" t="s">
        <v>778</v>
      </c>
      <c r="BN1464" t="s">
        <v>37</v>
      </c>
    </row>
    <row r="1465" spans="1:66" x14ac:dyDescent="0.2">
      <c r="A1465">
        <v>3694022</v>
      </c>
      <c r="B1465">
        <v>21883</v>
      </c>
      <c r="C1465">
        <v>523906</v>
      </c>
      <c r="D1465">
        <v>52899</v>
      </c>
      <c r="E1465">
        <v>0</v>
      </c>
      <c r="F1465" t="s">
        <v>37</v>
      </c>
      <c r="G1465">
        <v>1</v>
      </c>
      <c r="H1465" t="s">
        <v>37</v>
      </c>
      <c r="I1465" t="s">
        <v>37</v>
      </c>
      <c r="J1465" t="s">
        <v>775</v>
      </c>
      <c r="K1465" t="s">
        <v>230</v>
      </c>
      <c r="L1465" t="s">
        <v>226</v>
      </c>
      <c r="M1465" t="s">
        <v>417</v>
      </c>
      <c r="N1465" t="s">
        <v>6377</v>
      </c>
      <c r="O1465" t="s">
        <v>6378</v>
      </c>
      <c r="Q1465">
        <v>-280</v>
      </c>
      <c r="R1465">
        <v>24</v>
      </c>
      <c r="S1465">
        <v>8</v>
      </c>
      <c r="T1465">
        <v>0</v>
      </c>
      <c r="U1465">
        <v>0</v>
      </c>
      <c r="V1465">
        <v>0</v>
      </c>
      <c r="W1465">
        <v>8</v>
      </c>
      <c r="X1465">
        <v>0</v>
      </c>
      <c r="Y1465">
        <v>0</v>
      </c>
      <c r="Z1465">
        <v>0</v>
      </c>
      <c r="AD1465" s="5">
        <v>44127.333333333336</v>
      </c>
      <c r="AE1465" s="5">
        <v>44127.666666666664</v>
      </c>
      <c r="AG1465" s="5">
        <v>44188.333333333336</v>
      </c>
      <c r="AH1465" s="5">
        <v>44188.666666666664</v>
      </c>
      <c r="AI1465" s="5">
        <v>44188.333333333336</v>
      </c>
      <c r="AJ1465" s="5">
        <v>44188.666666666664</v>
      </c>
      <c r="AK1465" s="5">
        <v>44188.333333333336</v>
      </c>
      <c r="AL1465" s="5">
        <v>44188.666666666664</v>
      </c>
      <c r="AM1465" s="5">
        <v>44127.333333333336</v>
      </c>
      <c r="AN1465" s="5">
        <v>44127.666666666664</v>
      </c>
      <c r="AP1465" t="s">
        <v>418</v>
      </c>
      <c r="AU1465" t="s">
        <v>6379</v>
      </c>
      <c r="AV1465" t="s">
        <v>6380</v>
      </c>
      <c r="AY1465" t="s">
        <v>40</v>
      </c>
      <c r="AZ1465">
        <v>0</v>
      </c>
      <c r="BA1465">
        <v>0</v>
      </c>
      <c r="BI1465" s="5">
        <v>44048.176388888889</v>
      </c>
      <c r="BJ1465" s="5">
        <v>44048.176388888889</v>
      </c>
      <c r="BK1465" t="s">
        <v>778</v>
      </c>
      <c r="BL1465" t="s">
        <v>778</v>
      </c>
      <c r="BN1465" t="s">
        <v>37</v>
      </c>
    </row>
    <row r="1466" spans="1:66" x14ac:dyDescent="0.2">
      <c r="A1466">
        <v>3694023</v>
      </c>
      <c r="B1466">
        <v>21883</v>
      </c>
      <c r="C1466">
        <v>523999</v>
      </c>
      <c r="D1466">
        <v>52897</v>
      </c>
      <c r="E1466">
        <v>100</v>
      </c>
      <c r="F1466" t="s">
        <v>37</v>
      </c>
      <c r="G1466">
        <v>1</v>
      </c>
      <c r="H1466" t="s">
        <v>37</v>
      </c>
      <c r="I1466" t="s">
        <v>37</v>
      </c>
      <c r="J1466" t="s">
        <v>775</v>
      </c>
      <c r="K1466" t="s">
        <v>230</v>
      </c>
      <c r="L1466" t="s">
        <v>226</v>
      </c>
      <c r="M1466" t="s">
        <v>422</v>
      </c>
      <c r="N1466" t="s">
        <v>6381</v>
      </c>
      <c r="O1466" t="s">
        <v>6382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0</v>
      </c>
      <c r="AB1466" s="5">
        <v>43497</v>
      </c>
      <c r="AC1466" s="5">
        <v>43497</v>
      </c>
      <c r="AD1466" s="5">
        <v>44306.666666666664</v>
      </c>
      <c r="AE1466" s="5">
        <v>44306.666666666664</v>
      </c>
      <c r="AG1466" s="5">
        <v>44044</v>
      </c>
      <c r="AH1466" s="5">
        <v>44044</v>
      </c>
      <c r="AK1466" s="5">
        <v>43497.333333333336</v>
      </c>
      <c r="AL1466" s="5">
        <v>43497.333333333336</v>
      </c>
      <c r="AP1466" t="s">
        <v>418</v>
      </c>
      <c r="AU1466" t="s">
        <v>6383</v>
      </c>
      <c r="AV1466" t="s">
        <v>6384</v>
      </c>
      <c r="AY1466" t="s">
        <v>37</v>
      </c>
      <c r="AZ1466">
        <v>0</v>
      </c>
      <c r="BA1466">
        <v>0</v>
      </c>
      <c r="BI1466" s="5">
        <v>44048.176388888889</v>
      </c>
      <c r="BJ1466" s="5">
        <v>44048.176388888889</v>
      </c>
      <c r="BK1466" t="s">
        <v>778</v>
      </c>
      <c r="BL1466" t="s">
        <v>778</v>
      </c>
      <c r="BN1466" t="s">
        <v>37</v>
      </c>
    </row>
    <row r="1467" spans="1:66" x14ac:dyDescent="0.2">
      <c r="A1467">
        <v>3694024</v>
      </c>
      <c r="B1467">
        <v>21883</v>
      </c>
      <c r="C1467">
        <v>523999</v>
      </c>
      <c r="D1467">
        <v>52897</v>
      </c>
      <c r="E1467">
        <v>100</v>
      </c>
      <c r="F1467" t="s">
        <v>37</v>
      </c>
      <c r="G1467">
        <v>1</v>
      </c>
      <c r="H1467" t="s">
        <v>37</v>
      </c>
      <c r="I1467" t="s">
        <v>37</v>
      </c>
      <c r="J1467" t="s">
        <v>775</v>
      </c>
      <c r="K1467" t="s">
        <v>230</v>
      </c>
      <c r="L1467" t="s">
        <v>226</v>
      </c>
      <c r="M1467" t="s">
        <v>422</v>
      </c>
      <c r="N1467" t="s">
        <v>6385</v>
      </c>
      <c r="O1467" t="s">
        <v>6386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  <c r="AB1467" s="5">
        <v>43497</v>
      </c>
      <c r="AC1467" s="5">
        <v>43497</v>
      </c>
      <c r="AD1467" s="5">
        <v>44306.666666666664</v>
      </c>
      <c r="AE1467" s="5">
        <v>44306.666666666664</v>
      </c>
      <c r="AG1467" s="5">
        <v>44044</v>
      </c>
      <c r="AH1467" s="5">
        <v>44044</v>
      </c>
      <c r="AK1467" s="5">
        <v>43497.333333333336</v>
      </c>
      <c r="AL1467" s="5">
        <v>43497.333333333336</v>
      </c>
      <c r="AP1467" t="s">
        <v>418</v>
      </c>
      <c r="AU1467" t="s">
        <v>6387</v>
      </c>
      <c r="AV1467" t="s">
        <v>6388</v>
      </c>
      <c r="AY1467" t="s">
        <v>37</v>
      </c>
      <c r="AZ1467">
        <v>0</v>
      </c>
      <c r="BA1467">
        <v>0</v>
      </c>
      <c r="BI1467" s="5">
        <v>44048.176388888889</v>
      </c>
      <c r="BJ1467" s="5">
        <v>44048.176388888889</v>
      </c>
      <c r="BK1467" t="s">
        <v>778</v>
      </c>
      <c r="BL1467" t="s">
        <v>778</v>
      </c>
      <c r="BN1467" t="s">
        <v>37</v>
      </c>
    </row>
    <row r="1468" spans="1:66" x14ac:dyDescent="0.2">
      <c r="A1468">
        <v>3694025</v>
      </c>
      <c r="B1468">
        <v>21883</v>
      </c>
      <c r="C1468">
        <v>523999</v>
      </c>
      <c r="D1468">
        <v>52897</v>
      </c>
      <c r="E1468">
        <v>100</v>
      </c>
      <c r="F1468" t="s">
        <v>37</v>
      </c>
      <c r="G1468">
        <v>1</v>
      </c>
      <c r="H1468" t="s">
        <v>37</v>
      </c>
      <c r="I1468" t="s">
        <v>37</v>
      </c>
      <c r="J1468" t="s">
        <v>775</v>
      </c>
      <c r="K1468" t="s">
        <v>230</v>
      </c>
      <c r="L1468" t="s">
        <v>226</v>
      </c>
      <c r="M1468" t="s">
        <v>422</v>
      </c>
      <c r="N1468" t="s">
        <v>6389</v>
      </c>
      <c r="O1468" t="s">
        <v>6390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B1468" s="5">
        <v>43497</v>
      </c>
      <c r="AC1468" s="5">
        <v>43497</v>
      </c>
      <c r="AD1468" s="5">
        <v>44306.666666666664</v>
      </c>
      <c r="AE1468" s="5">
        <v>44306.666666666664</v>
      </c>
      <c r="AG1468" s="5">
        <v>44044</v>
      </c>
      <c r="AH1468" s="5">
        <v>44044</v>
      </c>
      <c r="AK1468" s="5">
        <v>43497.333333333336</v>
      </c>
      <c r="AL1468" s="5">
        <v>43497.333333333336</v>
      </c>
      <c r="AP1468" t="s">
        <v>418</v>
      </c>
      <c r="AU1468" t="s">
        <v>6391</v>
      </c>
      <c r="AV1468" t="s">
        <v>6392</v>
      </c>
      <c r="AY1468" t="s">
        <v>37</v>
      </c>
      <c r="AZ1468">
        <v>0</v>
      </c>
      <c r="BA1468">
        <v>0</v>
      </c>
      <c r="BI1468" s="5">
        <v>44048.176388888889</v>
      </c>
      <c r="BJ1468" s="5">
        <v>44048.176388888889</v>
      </c>
      <c r="BK1468" t="s">
        <v>778</v>
      </c>
      <c r="BL1468" t="s">
        <v>778</v>
      </c>
      <c r="BN1468" t="s">
        <v>37</v>
      </c>
    </row>
    <row r="1469" spans="1:66" x14ac:dyDescent="0.2">
      <c r="A1469">
        <v>3694026</v>
      </c>
      <c r="B1469">
        <v>21883</v>
      </c>
      <c r="C1469">
        <v>523999</v>
      </c>
      <c r="D1469">
        <v>52897</v>
      </c>
      <c r="E1469">
        <v>100</v>
      </c>
      <c r="F1469" t="s">
        <v>37</v>
      </c>
      <c r="G1469">
        <v>1</v>
      </c>
      <c r="H1469" t="s">
        <v>37</v>
      </c>
      <c r="I1469" t="s">
        <v>37</v>
      </c>
      <c r="J1469" t="s">
        <v>775</v>
      </c>
      <c r="K1469" t="s">
        <v>230</v>
      </c>
      <c r="L1469" t="s">
        <v>226</v>
      </c>
      <c r="M1469" t="s">
        <v>422</v>
      </c>
      <c r="N1469" t="s">
        <v>6393</v>
      </c>
      <c r="O1469" t="s">
        <v>6394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0</v>
      </c>
      <c r="AB1469" s="5">
        <v>43497</v>
      </c>
      <c r="AC1469" s="5">
        <v>43497</v>
      </c>
      <c r="AD1469" s="5">
        <v>44306.666666666664</v>
      </c>
      <c r="AE1469" s="5">
        <v>44306.666666666664</v>
      </c>
      <c r="AG1469" s="5">
        <v>44044</v>
      </c>
      <c r="AH1469" s="5">
        <v>44044</v>
      </c>
      <c r="AK1469" s="5">
        <v>43497.333333333336</v>
      </c>
      <c r="AL1469" s="5">
        <v>43497.333333333336</v>
      </c>
      <c r="AP1469" t="s">
        <v>418</v>
      </c>
      <c r="AU1469" t="s">
        <v>6395</v>
      </c>
      <c r="AV1469" t="s">
        <v>6396</v>
      </c>
      <c r="AY1469" t="s">
        <v>37</v>
      </c>
      <c r="AZ1469">
        <v>0</v>
      </c>
      <c r="BA1469">
        <v>0</v>
      </c>
      <c r="BI1469" s="5">
        <v>44048.176388888889</v>
      </c>
      <c r="BJ1469" s="5">
        <v>44048.176388888889</v>
      </c>
      <c r="BK1469" t="s">
        <v>778</v>
      </c>
      <c r="BL1469" t="s">
        <v>778</v>
      </c>
      <c r="BN1469" t="s">
        <v>37</v>
      </c>
    </row>
    <row r="1470" spans="1:66" x14ac:dyDescent="0.2">
      <c r="A1470">
        <v>3694027</v>
      </c>
      <c r="B1470">
        <v>21883</v>
      </c>
      <c r="C1470">
        <v>523999</v>
      </c>
      <c r="D1470">
        <v>52897</v>
      </c>
      <c r="E1470">
        <v>100</v>
      </c>
      <c r="F1470" t="s">
        <v>37</v>
      </c>
      <c r="G1470">
        <v>1</v>
      </c>
      <c r="H1470" t="s">
        <v>37</v>
      </c>
      <c r="I1470" t="s">
        <v>37</v>
      </c>
      <c r="J1470" t="s">
        <v>775</v>
      </c>
      <c r="K1470" t="s">
        <v>230</v>
      </c>
      <c r="L1470" t="s">
        <v>226</v>
      </c>
      <c r="M1470" t="s">
        <v>422</v>
      </c>
      <c r="N1470" t="s">
        <v>6397</v>
      </c>
      <c r="O1470" t="s">
        <v>6398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0</v>
      </c>
      <c r="AB1470" s="5">
        <v>43497</v>
      </c>
      <c r="AC1470" s="5">
        <v>43497</v>
      </c>
      <c r="AD1470" s="5">
        <v>44306.666666666664</v>
      </c>
      <c r="AE1470" s="5">
        <v>44306.666666666664</v>
      </c>
      <c r="AG1470" s="5">
        <v>44044</v>
      </c>
      <c r="AH1470" s="5">
        <v>44044</v>
      </c>
      <c r="AK1470" s="5">
        <v>43497.333333333336</v>
      </c>
      <c r="AL1470" s="5">
        <v>43497.333333333336</v>
      </c>
      <c r="AP1470" t="s">
        <v>418</v>
      </c>
      <c r="AU1470" t="s">
        <v>6399</v>
      </c>
      <c r="AV1470" t="s">
        <v>6400</v>
      </c>
      <c r="AY1470" t="s">
        <v>37</v>
      </c>
      <c r="AZ1470">
        <v>0</v>
      </c>
      <c r="BA1470">
        <v>0</v>
      </c>
      <c r="BI1470" s="5">
        <v>44048.176388888889</v>
      </c>
      <c r="BJ1470" s="5">
        <v>44048.176388888889</v>
      </c>
      <c r="BK1470" t="s">
        <v>778</v>
      </c>
      <c r="BL1470" t="s">
        <v>778</v>
      </c>
      <c r="BN1470" t="s">
        <v>37</v>
      </c>
    </row>
    <row r="1471" spans="1:66" x14ac:dyDescent="0.2">
      <c r="A1471">
        <v>3694028</v>
      </c>
      <c r="B1471">
        <v>21883</v>
      </c>
      <c r="C1471">
        <v>523999</v>
      </c>
      <c r="D1471">
        <v>52897</v>
      </c>
      <c r="E1471">
        <v>100</v>
      </c>
      <c r="F1471" t="s">
        <v>37</v>
      </c>
      <c r="G1471">
        <v>1</v>
      </c>
      <c r="H1471" t="s">
        <v>37</v>
      </c>
      <c r="I1471" t="s">
        <v>37</v>
      </c>
      <c r="J1471" t="s">
        <v>775</v>
      </c>
      <c r="K1471" t="s">
        <v>230</v>
      </c>
      <c r="L1471" t="s">
        <v>226</v>
      </c>
      <c r="M1471" t="s">
        <v>422</v>
      </c>
      <c r="N1471" t="s">
        <v>6401</v>
      </c>
      <c r="O1471" t="s">
        <v>6402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  <c r="AB1471" s="5">
        <v>43497</v>
      </c>
      <c r="AC1471" s="5">
        <v>43497</v>
      </c>
      <c r="AD1471" s="5">
        <v>44306.666666666664</v>
      </c>
      <c r="AE1471" s="5">
        <v>44306.666666666664</v>
      </c>
      <c r="AG1471" s="5">
        <v>44044</v>
      </c>
      <c r="AH1471" s="5">
        <v>44044</v>
      </c>
      <c r="AK1471" s="5">
        <v>43497.333333333336</v>
      </c>
      <c r="AL1471" s="5">
        <v>43497.333333333336</v>
      </c>
      <c r="AP1471" t="s">
        <v>418</v>
      </c>
      <c r="AU1471" t="s">
        <v>6403</v>
      </c>
      <c r="AV1471" t="s">
        <v>6404</v>
      </c>
      <c r="AY1471" t="s">
        <v>37</v>
      </c>
      <c r="AZ1471">
        <v>0</v>
      </c>
      <c r="BA1471">
        <v>0</v>
      </c>
      <c r="BI1471" s="5">
        <v>44048.176388888889</v>
      </c>
      <c r="BJ1471" s="5">
        <v>44048.176388888889</v>
      </c>
      <c r="BK1471" t="s">
        <v>778</v>
      </c>
      <c r="BL1471" t="s">
        <v>778</v>
      </c>
      <c r="BN1471" t="s">
        <v>37</v>
      </c>
    </row>
    <row r="1472" spans="1:66" x14ac:dyDescent="0.2">
      <c r="A1472">
        <v>3694029</v>
      </c>
      <c r="B1472">
        <v>21883</v>
      </c>
      <c r="C1472">
        <v>523906</v>
      </c>
      <c r="D1472">
        <v>52897</v>
      </c>
      <c r="E1472">
        <v>0</v>
      </c>
      <c r="F1472" t="s">
        <v>37</v>
      </c>
      <c r="G1472">
        <v>1</v>
      </c>
      <c r="H1472" t="s">
        <v>37</v>
      </c>
      <c r="I1472" t="s">
        <v>37</v>
      </c>
      <c r="J1472" t="s">
        <v>775</v>
      </c>
      <c r="K1472" t="s">
        <v>230</v>
      </c>
      <c r="L1472" t="s">
        <v>226</v>
      </c>
      <c r="M1472" t="s">
        <v>417</v>
      </c>
      <c r="N1472" t="s">
        <v>6405</v>
      </c>
      <c r="O1472" t="s">
        <v>6406</v>
      </c>
      <c r="Q1472">
        <v>-216</v>
      </c>
      <c r="R1472">
        <v>64</v>
      </c>
      <c r="S1472">
        <v>56</v>
      </c>
      <c r="T1472">
        <v>0</v>
      </c>
      <c r="U1472">
        <v>0</v>
      </c>
      <c r="V1472">
        <v>0</v>
      </c>
      <c r="W1472">
        <v>56</v>
      </c>
      <c r="X1472">
        <v>10</v>
      </c>
      <c r="Y1472">
        <v>0</v>
      </c>
      <c r="Z1472">
        <v>10</v>
      </c>
      <c r="AD1472" s="5">
        <v>44132.333333333336</v>
      </c>
      <c r="AE1472" s="5">
        <v>44147.666666666664</v>
      </c>
      <c r="AG1472" s="5">
        <v>44214.333333333336</v>
      </c>
      <c r="AH1472" s="5">
        <v>44229.666666666664</v>
      </c>
      <c r="AI1472" s="5">
        <v>44214.333333333336</v>
      </c>
      <c r="AJ1472" s="5">
        <v>44229.666666666664</v>
      </c>
      <c r="AK1472" s="5">
        <v>44214.333333333336</v>
      </c>
      <c r="AL1472" s="5">
        <v>44229.666666666664</v>
      </c>
      <c r="AM1472" s="5">
        <v>44132.333333333336</v>
      </c>
      <c r="AN1472" s="5">
        <v>44147.666666666664</v>
      </c>
      <c r="AP1472" t="s">
        <v>418</v>
      </c>
      <c r="AU1472" t="s">
        <v>6407</v>
      </c>
      <c r="AV1472" t="s">
        <v>6408</v>
      </c>
      <c r="AY1472" t="s">
        <v>40</v>
      </c>
      <c r="AZ1472">
        <v>0</v>
      </c>
      <c r="BA1472">
        <v>0</v>
      </c>
      <c r="BI1472" s="5">
        <v>44048.176388888889</v>
      </c>
      <c r="BJ1472" s="5">
        <v>44048.176388888889</v>
      </c>
      <c r="BK1472" t="s">
        <v>778</v>
      </c>
      <c r="BL1472" t="s">
        <v>778</v>
      </c>
      <c r="BN1472" t="s">
        <v>37</v>
      </c>
    </row>
    <row r="1473" spans="1:66" x14ac:dyDescent="0.2">
      <c r="A1473">
        <v>3694030</v>
      </c>
      <c r="B1473">
        <v>21883</v>
      </c>
      <c r="C1473">
        <v>523906</v>
      </c>
      <c r="D1473">
        <v>52897</v>
      </c>
      <c r="E1473">
        <v>0</v>
      </c>
      <c r="F1473" t="s">
        <v>37</v>
      </c>
      <c r="G1473">
        <v>1</v>
      </c>
      <c r="H1473" t="s">
        <v>37</v>
      </c>
      <c r="I1473" t="s">
        <v>37</v>
      </c>
      <c r="J1473" t="s">
        <v>775</v>
      </c>
      <c r="K1473" t="s">
        <v>230</v>
      </c>
      <c r="L1473" t="s">
        <v>226</v>
      </c>
      <c r="M1473" t="s">
        <v>417</v>
      </c>
      <c r="N1473" t="s">
        <v>6409</v>
      </c>
      <c r="O1473" t="s">
        <v>6410</v>
      </c>
      <c r="Q1473">
        <v>-184</v>
      </c>
      <c r="R1473">
        <v>32</v>
      </c>
      <c r="S1473">
        <v>8</v>
      </c>
      <c r="T1473">
        <v>0</v>
      </c>
      <c r="U1473">
        <v>0</v>
      </c>
      <c r="V1473">
        <v>0</v>
      </c>
      <c r="W1473">
        <v>8</v>
      </c>
      <c r="X1473">
        <v>0</v>
      </c>
      <c r="Y1473">
        <v>0</v>
      </c>
      <c r="Z1473">
        <v>0</v>
      </c>
      <c r="AD1473" s="5">
        <v>44130.333333333336</v>
      </c>
      <c r="AE1473" s="5">
        <v>44130.666666666664</v>
      </c>
      <c r="AG1473" s="5">
        <v>44200.333333333336</v>
      </c>
      <c r="AH1473" s="5">
        <v>44200.666666666664</v>
      </c>
      <c r="AI1473" s="5">
        <v>44200.333333333336</v>
      </c>
      <c r="AJ1473" s="5">
        <v>44200.666666666664</v>
      </c>
      <c r="AK1473" s="5">
        <v>44200.333333333336</v>
      </c>
      <c r="AL1473" s="5">
        <v>44200.666666666664</v>
      </c>
      <c r="AM1473" s="5">
        <v>44130.333333333336</v>
      </c>
      <c r="AN1473" s="5">
        <v>44130.666666666664</v>
      </c>
      <c r="AP1473" t="s">
        <v>418</v>
      </c>
      <c r="AU1473" t="s">
        <v>6411</v>
      </c>
      <c r="AV1473" t="s">
        <v>6412</v>
      </c>
      <c r="AY1473" t="s">
        <v>40</v>
      </c>
      <c r="AZ1473">
        <v>0</v>
      </c>
      <c r="BA1473">
        <v>0</v>
      </c>
      <c r="BI1473" s="5">
        <v>44048.176388888889</v>
      </c>
      <c r="BJ1473" s="5">
        <v>44048.176388888889</v>
      </c>
      <c r="BK1473" t="s">
        <v>778</v>
      </c>
      <c r="BL1473" t="s">
        <v>778</v>
      </c>
      <c r="BN1473" t="s">
        <v>37</v>
      </c>
    </row>
    <row r="1474" spans="1:66" x14ac:dyDescent="0.2">
      <c r="A1474">
        <v>3694031</v>
      </c>
      <c r="B1474">
        <v>21883</v>
      </c>
      <c r="C1474">
        <v>523906</v>
      </c>
      <c r="D1474">
        <v>52898</v>
      </c>
      <c r="E1474">
        <v>0</v>
      </c>
      <c r="F1474" t="s">
        <v>37</v>
      </c>
      <c r="G1474">
        <v>1</v>
      </c>
      <c r="H1474" t="s">
        <v>37</v>
      </c>
      <c r="I1474" t="s">
        <v>37</v>
      </c>
      <c r="J1474" t="s">
        <v>775</v>
      </c>
      <c r="K1474" t="s">
        <v>230</v>
      </c>
      <c r="L1474" t="s">
        <v>226</v>
      </c>
      <c r="M1474" t="s">
        <v>417</v>
      </c>
      <c r="N1474" t="s">
        <v>6413</v>
      </c>
      <c r="O1474" t="s">
        <v>6414</v>
      </c>
      <c r="Q1474">
        <v>-64</v>
      </c>
      <c r="R1474">
        <v>0</v>
      </c>
      <c r="S1474">
        <v>8</v>
      </c>
      <c r="T1474">
        <v>0</v>
      </c>
      <c r="U1474">
        <v>0</v>
      </c>
      <c r="V1474">
        <v>0</v>
      </c>
      <c r="W1474">
        <v>8</v>
      </c>
      <c r="X1474">
        <v>0</v>
      </c>
      <c r="Y1474">
        <v>0</v>
      </c>
      <c r="Z1474">
        <v>0</v>
      </c>
      <c r="AD1474" s="5">
        <v>44148.333333333336</v>
      </c>
      <c r="AE1474" s="5">
        <v>44148.666666666664</v>
      </c>
      <c r="AG1474" s="5">
        <v>44256.333333333336</v>
      </c>
      <c r="AH1474" s="5">
        <v>44256.666666666664</v>
      </c>
      <c r="AI1474" s="5">
        <v>44256.333333333336</v>
      </c>
      <c r="AJ1474" s="5">
        <v>44256.666666666664</v>
      </c>
      <c r="AK1474" s="5">
        <v>44256.333333333336</v>
      </c>
      <c r="AL1474" s="5">
        <v>44256.666666666664</v>
      </c>
      <c r="AM1474" s="5">
        <v>44148.333333333336</v>
      </c>
      <c r="AN1474" s="5">
        <v>44148.666666666664</v>
      </c>
      <c r="AP1474" t="s">
        <v>418</v>
      </c>
      <c r="AU1474" t="s">
        <v>6415</v>
      </c>
      <c r="AV1474" t="s">
        <v>6416</v>
      </c>
      <c r="AY1474" t="s">
        <v>40</v>
      </c>
      <c r="AZ1474">
        <v>0</v>
      </c>
      <c r="BA1474">
        <v>0</v>
      </c>
      <c r="BI1474" s="5">
        <v>44048.176388888889</v>
      </c>
      <c r="BJ1474" s="5">
        <v>44048.176388888889</v>
      </c>
      <c r="BK1474" t="s">
        <v>778</v>
      </c>
      <c r="BL1474" t="s">
        <v>778</v>
      </c>
      <c r="BN1474" t="s">
        <v>37</v>
      </c>
    </row>
    <row r="1475" spans="1:66" x14ac:dyDescent="0.2">
      <c r="A1475">
        <v>3694032</v>
      </c>
      <c r="B1475">
        <v>21883</v>
      </c>
      <c r="C1475">
        <v>523906</v>
      </c>
      <c r="D1475">
        <v>52899</v>
      </c>
      <c r="E1475">
        <v>0</v>
      </c>
      <c r="F1475" t="s">
        <v>37</v>
      </c>
      <c r="G1475">
        <v>1</v>
      </c>
      <c r="H1475" t="s">
        <v>37</v>
      </c>
      <c r="I1475" t="s">
        <v>37</v>
      </c>
      <c r="J1475" t="s">
        <v>775</v>
      </c>
      <c r="K1475" t="s">
        <v>230</v>
      </c>
      <c r="L1475" t="s">
        <v>226</v>
      </c>
      <c r="M1475" t="s">
        <v>417</v>
      </c>
      <c r="N1475" t="s">
        <v>6417</v>
      </c>
      <c r="O1475" t="s">
        <v>6418</v>
      </c>
      <c r="Q1475">
        <v>-440</v>
      </c>
      <c r="R1475">
        <v>0</v>
      </c>
      <c r="S1475">
        <v>16</v>
      </c>
      <c r="T1475">
        <v>0</v>
      </c>
      <c r="U1475">
        <v>0</v>
      </c>
      <c r="V1475">
        <v>0</v>
      </c>
      <c r="W1475">
        <v>16</v>
      </c>
      <c r="X1475">
        <v>0</v>
      </c>
      <c r="Y1475">
        <v>0</v>
      </c>
      <c r="Z1475">
        <v>0</v>
      </c>
      <c r="AD1475" s="5">
        <v>44155.333333333336</v>
      </c>
      <c r="AE1475" s="5">
        <v>44159.666666666664</v>
      </c>
      <c r="AG1475" s="5">
        <v>44257.333333333336</v>
      </c>
      <c r="AH1475" s="5">
        <v>44258.666666666664</v>
      </c>
      <c r="AI1475" s="5">
        <v>44257.333333333336</v>
      </c>
      <c r="AJ1475" s="5">
        <v>44258.666666666664</v>
      </c>
      <c r="AK1475" s="5">
        <v>44257.333333333336</v>
      </c>
      <c r="AL1475" s="5">
        <v>44258.666666666664</v>
      </c>
      <c r="AM1475" s="5">
        <v>44155.333333333336</v>
      </c>
      <c r="AN1475" s="5">
        <v>44159.666666666664</v>
      </c>
      <c r="AP1475" t="s">
        <v>418</v>
      </c>
      <c r="AU1475" t="s">
        <v>6419</v>
      </c>
      <c r="AV1475" t="s">
        <v>6420</v>
      </c>
      <c r="AY1475" t="s">
        <v>40</v>
      </c>
      <c r="AZ1475">
        <v>0</v>
      </c>
      <c r="BA1475">
        <v>0</v>
      </c>
      <c r="BI1475" s="5">
        <v>44048.176388888889</v>
      </c>
      <c r="BJ1475" s="5">
        <v>44048.176388888889</v>
      </c>
      <c r="BK1475" t="s">
        <v>778</v>
      </c>
      <c r="BL1475" t="s">
        <v>778</v>
      </c>
      <c r="BN1475" t="s">
        <v>37</v>
      </c>
    </row>
    <row r="1476" spans="1:66" x14ac:dyDescent="0.2">
      <c r="A1476">
        <v>3694033</v>
      </c>
      <c r="B1476">
        <v>21883</v>
      </c>
      <c r="C1476">
        <v>523905</v>
      </c>
      <c r="D1476">
        <v>52899</v>
      </c>
      <c r="E1476">
        <v>0</v>
      </c>
      <c r="F1476" t="s">
        <v>37</v>
      </c>
      <c r="G1476">
        <v>1</v>
      </c>
      <c r="H1476" t="s">
        <v>37</v>
      </c>
      <c r="I1476" t="s">
        <v>37</v>
      </c>
      <c r="J1476" t="s">
        <v>775</v>
      </c>
      <c r="K1476" t="s">
        <v>230</v>
      </c>
      <c r="L1476" t="s">
        <v>226</v>
      </c>
      <c r="M1476" t="s">
        <v>417</v>
      </c>
      <c r="N1476" t="s">
        <v>6421</v>
      </c>
      <c r="O1476" t="s">
        <v>6422</v>
      </c>
      <c r="Q1476">
        <v>-328</v>
      </c>
      <c r="R1476">
        <v>0</v>
      </c>
      <c r="S1476">
        <v>16</v>
      </c>
      <c r="T1476">
        <v>0</v>
      </c>
      <c r="U1476">
        <v>0</v>
      </c>
      <c r="V1476">
        <v>0</v>
      </c>
      <c r="W1476">
        <v>16</v>
      </c>
      <c r="X1476">
        <v>0</v>
      </c>
      <c r="Y1476">
        <v>0</v>
      </c>
      <c r="Z1476">
        <v>0</v>
      </c>
      <c r="AD1476" s="5">
        <v>44117.333333333336</v>
      </c>
      <c r="AE1476" s="5">
        <v>44118.666666666664</v>
      </c>
      <c r="AG1476" s="5">
        <v>44186.333333333336</v>
      </c>
      <c r="AH1476" s="5">
        <v>44187.666666666664</v>
      </c>
      <c r="AI1476" s="5">
        <v>44186.333333333336</v>
      </c>
      <c r="AJ1476" s="5">
        <v>44187.666666666664</v>
      </c>
      <c r="AK1476" s="5">
        <v>44186.333333333336</v>
      </c>
      <c r="AL1476" s="5">
        <v>44187.666666666664</v>
      </c>
      <c r="AM1476" s="5">
        <v>44117.333333333336</v>
      </c>
      <c r="AN1476" s="5">
        <v>44118.666666666664</v>
      </c>
      <c r="AP1476" t="s">
        <v>418</v>
      </c>
      <c r="AU1476" t="s">
        <v>6423</v>
      </c>
      <c r="AV1476" t="s">
        <v>6424</v>
      </c>
      <c r="AY1476" t="s">
        <v>40</v>
      </c>
      <c r="AZ1476">
        <v>0</v>
      </c>
      <c r="BA1476">
        <v>0</v>
      </c>
      <c r="BI1476" s="5">
        <v>44048.176388888889</v>
      </c>
      <c r="BJ1476" s="5">
        <v>44048.176388888889</v>
      </c>
      <c r="BK1476" t="s">
        <v>778</v>
      </c>
      <c r="BL1476" t="s">
        <v>778</v>
      </c>
      <c r="BN1476" t="s">
        <v>37</v>
      </c>
    </row>
    <row r="1477" spans="1:66" x14ac:dyDescent="0.2">
      <c r="A1477">
        <v>3694034</v>
      </c>
      <c r="B1477">
        <v>21883</v>
      </c>
      <c r="C1477">
        <v>523905</v>
      </c>
      <c r="D1477">
        <v>52899</v>
      </c>
      <c r="E1477">
        <v>0</v>
      </c>
      <c r="F1477" t="s">
        <v>37</v>
      </c>
      <c r="G1477">
        <v>1</v>
      </c>
      <c r="H1477" t="s">
        <v>37</v>
      </c>
      <c r="I1477" t="s">
        <v>37</v>
      </c>
      <c r="J1477" t="s">
        <v>775</v>
      </c>
      <c r="K1477" t="s">
        <v>230</v>
      </c>
      <c r="L1477" t="s">
        <v>226</v>
      </c>
      <c r="M1477" t="s">
        <v>417</v>
      </c>
      <c r="N1477" t="s">
        <v>6425</v>
      </c>
      <c r="O1477" t="s">
        <v>6426</v>
      </c>
      <c r="Q1477">
        <v>-328</v>
      </c>
      <c r="R1477">
        <v>24</v>
      </c>
      <c r="S1477">
        <v>8</v>
      </c>
      <c r="T1477">
        <v>0</v>
      </c>
      <c r="U1477">
        <v>0</v>
      </c>
      <c r="V1477">
        <v>0</v>
      </c>
      <c r="W1477">
        <v>8</v>
      </c>
      <c r="X1477">
        <v>0</v>
      </c>
      <c r="Y1477">
        <v>0</v>
      </c>
      <c r="Z1477">
        <v>0</v>
      </c>
      <c r="AD1477" s="5">
        <v>44119.333333333336</v>
      </c>
      <c r="AE1477" s="5">
        <v>44119.666666666664</v>
      </c>
      <c r="AG1477" s="5">
        <v>44188.333333333336</v>
      </c>
      <c r="AH1477" s="5">
        <v>44188.666666666664</v>
      </c>
      <c r="AI1477" s="5">
        <v>44188.333333333336</v>
      </c>
      <c r="AJ1477" s="5">
        <v>44188.666666666664</v>
      </c>
      <c r="AK1477" s="5">
        <v>44188.333333333336</v>
      </c>
      <c r="AL1477" s="5">
        <v>44188.666666666664</v>
      </c>
      <c r="AM1477" s="5">
        <v>44119.333333333336</v>
      </c>
      <c r="AN1477" s="5">
        <v>44119.666666666664</v>
      </c>
      <c r="AP1477" t="s">
        <v>418</v>
      </c>
      <c r="AU1477" t="s">
        <v>6427</v>
      </c>
      <c r="AV1477" t="s">
        <v>6428</v>
      </c>
      <c r="AY1477" t="s">
        <v>40</v>
      </c>
      <c r="AZ1477">
        <v>0</v>
      </c>
      <c r="BA1477">
        <v>0</v>
      </c>
      <c r="BI1477" s="5">
        <v>44048.176388888889</v>
      </c>
      <c r="BJ1477" s="5">
        <v>44048.176388888889</v>
      </c>
      <c r="BK1477" t="s">
        <v>778</v>
      </c>
      <c r="BL1477" t="s">
        <v>778</v>
      </c>
      <c r="BN1477" t="s">
        <v>37</v>
      </c>
    </row>
    <row r="1478" spans="1:66" x14ac:dyDescent="0.2">
      <c r="A1478">
        <v>3694035</v>
      </c>
      <c r="B1478">
        <v>21883</v>
      </c>
      <c r="C1478">
        <v>523999</v>
      </c>
      <c r="D1478">
        <v>52897</v>
      </c>
      <c r="E1478">
        <v>100</v>
      </c>
      <c r="F1478" t="s">
        <v>37</v>
      </c>
      <c r="G1478">
        <v>1</v>
      </c>
      <c r="H1478" t="s">
        <v>37</v>
      </c>
      <c r="I1478" t="s">
        <v>37</v>
      </c>
      <c r="J1478" t="s">
        <v>775</v>
      </c>
      <c r="K1478" t="s">
        <v>230</v>
      </c>
      <c r="L1478" t="s">
        <v>226</v>
      </c>
      <c r="M1478" t="s">
        <v>422</v>
      </c>
      <c r="N1478" t="s">
        <v>6429</v>
      </c>
      <c r="O1478" t="s">
        <v>6430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B1478" s="5">
        <v>43497</v>
      </c>
      <c r="AC1478" s="5">
        <v>43497</v>
      </c>
      <c r="AD1478" s="5">
        <v>44306.666666666664</v>
      </c>
      <c r="AE1478" s="5">
        <v>44306.666666666664</v>
      </c>
      <c r="AG1478" s="5">
        <v>44044</v>
      </c>
      <c r="AH1478" s="5">
        <v>44044</v>
      </c>
      <c r="AK1478" s="5">
        <v>43497.333333333336</v>
      </c>
      <c r="AL1478" s="5">
        <v>43497.333333333336</v>
      </c>
      <c r="AP1478" t="s">
        <v>418</v>
      </c>
      <c r="AU1478" t="s">
        <v>6431</v>
      </c>
      <c r="AV1478" t="s">
        <v>6432</v>
      </c>
      <c r="AY1478" t="s">
        <v>37</v>
      </c>
      <c r="AZ1478">
        <v>0</v>
      </c>
      <c r="BA1478">
        <v>0</v>
      </c>
      <c r="BI1478" s="5">
        <v>44048.176388888889</v>
      </c>
      <c r="BJ1478" s="5">
        <v>44048.176388888889</v>
      </c>
      <c r="BK1478" t="s">
        <v>778</v>
      </c>
      <c r="BL1478" t="s">
        <v>778</v>
      </c>
      <c r="BN1478" t="s">
        <v>37</v>
      </c>
    </row>
    <row r="1479" spans="1:66" x14ac:dyDescent="0.2">
      <c r="A1479">
        <v>3694036</v>
      </c>
      <c r="B1479">
        <v>21883</v>
      </c>
      <c r="C1479">
        <v>523999</v>
      </c>
      <c r="D1479">
        <v>52897</v>
      </c>
      <c r="E1479">
        <v>100</v>
      </c>
      <c r="F1479" t="s">
        <v>37</v>
      </c>
      <c r="G1479">
        <v>1</v>
      </c>
      <c r="H1479" t="s">
        <v>37</v>
      </c>
      <c r="I1479" t="s">
        <v>37</v>
      </c>
      <c r="J1479" t="s">
        <v>775</v>
      </c>
      <c r="K1479" t="s">
        <v>230</v>
      </c>
      <c r="L1479" t="s">
        <v>226</v>
      </c>
      <c r="M1479" t="s">
        <v>422</v>
      </c>
      <c r="N1479" t="s">
        <v>6433</v>
      </c>
      <c r="O1479" t="s">
        <v>6434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B1479" s="5">
        <v>43497</v>
      </c>
      <c r="AC1479" s="5">
        <v>43497</v>
      </c>
      <c r="AD1479" s="5">
        <v>44306.666666666664</v>
      </c>
      <c r="AE1479" s="5">
        <v>44306.666666666664</v>
      </c>
      <c r="AG1479" s="5">
        <v>44044</v>
      </c>
      <c r="AH1479" s="5">
        <v>44044</v>
      </c>
      <c r="AK1479" s="5">
        <v>43497.333333333336</v>
      </c>
      <c r="AL1479" s="5">
        <v>43497.333333333336</v>
      </c>
      <c r="AP1479" t="s">
        <v>418</v>
      </c>
      <c r="AU1479" t="s">
        <v>6435</v>
      </c>
      <c r="AV1479" t="s">
        <v>6436</v>
      </c>
      <c r="AY1479" t="s">
        <v>37</v>
      </c>
      <c r="AZ1479">
        <v>0</v>
      </c>
      <c r="BA1479">
        <v>0</v>
      </c>
      <c r="BI1479" s="5">
        <v>44048.176388888889</v>
      </c>
      <c r="BJ1479" s="5">
        <v>44048.176388888889</v>
      </c>
      <c r="BK1479" t="s">
        <v>778</v>
      </c>
      <c r="BL1479" t="s">
        <v>778</v>
      </c>
      <c r="BN1479" t="s">
        <v>37</v>
      </c>
    </row>
    <row r="1480" spans="1:66" x14ac:dyDescent="0.2">
      <c r="A1480">
        <v>3694037</v>
      </c>
      <c r="B1480">
        <v>21883</v>
      </c>
      <c r="C1480">
        <v>523999</v>
      </c>
      <c r="D1480">
        <v>52898</v>
      </c>
      <c r="E1480">
        <v>100</v>
      </c>
      <c r="F1480" t="s">
        <v>37</v>
      </c>
      <c r="G1480">
        <v>1</v>
      </c>
      <c r="H1480" t="s">
        <v>37</v>
      </c>
      <c r="I1480" t="s">
        <v>37</v>
      </c>
      <c r="J1480" t="s">
        <v>775</v>
      </c>
      <c r="K1480" t="s">
        <v>230</v>
      </c>
      <c r="L1480" t="s">
        <v>226</v>
      </c>
      <c r="M1480" t="s">
        <v>422</v>
      </c>
      <c r="N1480" t="s">
        <v>6437</v>
      </c>
      <c r="O1480" t="s">
        <v>6438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0</v>
      </c>
      <c r="AB1480" s="5">
        <v>43497</v>
      </c>
      <c r="AC1480" s="5">
        <v>43497</v>
      </c>
      <c r="AD1480" s="5">
        <v>44306.666666666664</v>
      </c>
      <c r="AE1480" s="5">
        <v>44306.666666666664</v>
      </c>
      <c r="AG1480" s="5">
        <v>44044</v>
      </c>
      <c r="AH1480" s="5">
        <v>44044</v>
      </c>
      <c r="AK1480" s="5">
        <v>43525.333333333336</v>
      </c>
      <c r="AL1480" s="5">
        <v>43525.333333333336</v>
      </c>
      <c r="AP1480" t="s">
        <v>418</v>
      </c>
      <c r="AU1480" t="s">
        <v>6439</v>
      </c>
      <c r="AV1480" t="s">
        <v>6440</v>
      </c>
      <c r="AY1480" t="s">
        <v>37</v>
      </c>
      <c r="AZ1480">
        <v>0</v>
      </c>
      <c r="BA1480">
        <v>0</v>
      </c>
      <c r="BI1480" s="5">
        <v>44048.176388888889</v>
      </c>
      <c r="BJ1480" s="5">
        <v>44048.176388888889</v>
      </c>
      <c r="BK1480" t="s">
        <v>778</v>
      </c>
      <c r="BL1480" t="s">
        <v>778</v>
      </c>
      <c r="BN1480" t="s">
        <v>37</v>
      </c>
    </row>
    <row r="1481" spans="1:66" x14ac:dyDescent="0.2">
      <c r="A1481">
        <v>3694038</v>
      </c>
      <c r="B1481">
        <v>21883</v>
      </c>
      <c r="C1481">
        <v>523999</v>
      </c>
      <c r="D1481">
        <v>52897</v>
      </c>
      <c r="E1481">
        <v>100</v>
      </c>
      <c r="F1481" t="s">
        <v>37</v>
      </c>
      <c r="G1481">
        <v>1</v>
      </c>
      <c r="H1481" t="s">
        <v>37</v>
      </c>
      <c r="I1481" t="s">
        <v>37</v>
      </c>
      <c r="J1481" t="s">
        <v>775</v>
      </c>
      <c r="K1481" t="s">
        <v>230</v>
      </c>
      <c r="L1481" t="s">
        <v>226</v>
      </c>
      <c r="M1481" t="s">
        <v>422</v>
      </c>
      <c r="N1481" t="s">
        <v>6441</v>
      </c>
      <c r="O1481" t="s">
        <v>6442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  <c r="AB1481" s="5">
        <v>43497</v>
      </c>
      <c r="AC1481" s="5">
        <v>43497</v>
      </c>
      <c r="AD1481" s="5">
        <v>44306.666666666664</v>
      </c>
      <c r="AE1481" s="5">
        <v>44306.666666666664</v>
      </c>
      <c r="AG1481" s="5">
        <v>44044</v>
      </c>
      <c r="AH1481" s="5">
        <v>44044</v>
      </c>
      <c r="AK1481" s="5">
        <v>43497.333333333336</v>
      </c>
      <c r="AL1481" s="5">
        <v>43497.333333333336</v>
      </c>
      <c r="AP1481" t="s">
        <v>418</v>
      </c>
      <c r="AU1481" t="s">
        <v>6443</v>
      </c>
      <c r="AV1481" t="s">
        <v>6444</v>
      </c>
      <c r="AY1481" t="s">
        <v>37</v>
      </c>
      <c r="AZ1481">
        <v>0</v>
      </c>
      <c r="BA1481">
        <v>0</v>
      </c>
      <c r="BI1481" s="5">
        <v>44048.176388888889</v>
      </c>
      <c r="BJ1481" s="5">
        <v>44048.176388888889</v>
      </c>
      <c r="BK1481" t="s">
        <v>778</v>
      </c>
      <c r="BL1481" t="s">
        <v>778</v>
      </c>
      <c r="BN1481" t="s">
        <v>37</v>
      </c>
    </row>
    <row r="1482" spans="1:66" x14ac:dyDescent="0.2">
      <c r="A1482">
        <v>3694039</v>
      </c>
      <c r="B1482">
        <v>21883</v>
      </c>
      <c r="C1482">
        <v>523999</v>
      </c>
      <c r="D1482">
        <v>52897</v>
      </c>
      <c r="E1482">
        <v>100</v>
      </c>
      <c r="F1482" t="s">
        <v>37</v>
      </c>
      <c r="G1482">
        <v>1</v>
      </c>
      <c r="H1482" t="s">
        <v>37</v>
      </c>
      <c r="I1482" t="s">
        <v>37</v>
      </c>
      <c r="J1482" t="s">
        <v>775</v>
      </c>
      <c r="K1482" t="s">
        <v>230</v>
      </c>
      <c r="L1482" t="s">
        <v>226</v>
      </c>
      <c r="M1482" t="s">
        <v>422</v>
      </c>
      <c r="N1482" t="s">
        <v>6445</v>
      </c>
      <c r="O1482" t="s">
        <v>6446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B1482" s="5">
        <v>43497</v>
      </c>
      <c r="AC1482" s="5">
        <v>43497</v>
      </c>
      <c r="AD1482" s="5">
        <v>44306.666666666664</v>
      </c>
      <c r="AE1482" s="5">
        <v>44306.666666666664</v>
      </c>
      <c r="AG1482" s="5">
        <v>44044</v>
      </c>
      <c r="AH1482" s="5">
        <v>44044</v>
      </c>
      <c r="AK1482" s="5">
        <v>43497.333333333336</v>
      </c>
      <c r="AL1482" s="5">
        <v>43497.333333333336</v>
      </c>
      <c r="AP1482" t="s">
        <v>418</v>
      </c>
      <c r="AU1482" t="s">
        <v>6447</v>
      </c>
      <c r="AV1482" t="e" cm="1">
        <f t="array" ref="AV1482">++CkaIUqfEOknbV8uzfZXw</f>
        <v>#NAME?</v>
      </c>
      <c r="AY1482" t="s">
        <v>37</v>
      </c>
      <c r="AZ1482">
        <v>0</v>
      </c>
      <c r="BA1482">
        <v>0</v>
      </c>
      <c r="BI1482" s="5">
        <v>44048.176388888889</v>
      </c>
      <c r="BJ1482" s="5">
        <v>44048.176388888889</v>
      </c>
      <c r="BK1482" t="s">
        <v>778</v>
      </c>
      <c r="BL1482" t="s">
        <v>778</v>
      </c>
      <c r="BN1482" t="s">
        <v>37</v>
      </c>
    </row>
    <row r="1483" spans="1:66" x14ac:dyDescent="0.2">
      <c r="A1483">
        <v>3694040</v>
      </c>
      <c r="B1483">
        <v>21883</v>
      </c>
      <c r="C1483">
        <v>523999</v>
      </c>
      <c r="D1483">
        <v>52897</v>
      </c>
      <c r="E1483">
        <v>100</v>
      </c>
      <c r="F1483" t="s">
        <v>37</v>
      </c>
      <c r="G1483">
        <v>1</v>
      </c>
      <c r="H1483" t="s">
        <v>37</v>
      </c>
      <c r="I1483" t="s">
        <v>37</v>
      </c>
      <c r="J1483" t="s">
        <v>775</v>
      </c>
      <c r="K1483" t="s">
        <v>230</v>
      </c>
      <c r="L1483" t="s">
        <v>226</v>
      </c>
      <c r="M1483" t="s">
        <v>422</v>
      </c>
      <c r="N1483" t="s">
        <v>6448</v>
      </c>
      <c r="O1483" t="s">
        <v>6449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0</v>
      </c>
      <c r="AB1483" s="5">
        <v>43497</v>
      </c>
      <c r="AC1483" s="5">
        <v>43497</v>
      </c>
      <c r="AD1483" s="5">
        <v>44306.666666666664</v>
      </c>
      <c r="AE1483" s="5">
        <v>44306.666666666664</v>
      </c>
      <c r="AG1483" s="5">
        <v>44044</v>
      </c>
      <c r="AH1483" s="5">
        <v>44044</v>
      </c>
      <c r="AK1483" s="5">
        <v>43497.333333333336</v>
      </c>
      <c r="AL1483" s="5">
        <v>43497.333333333336</v>
      </c>
      <c r="AP1483" t="s">
        <v>418</v>
      </c>
      <c r="AU1483" t="s">
        <v>6450</v>
      </c>
      <c r="AV1483" t="s">
        <v>6451</v>
      </c>
      <c r="AY1483" t="s">
        <v>37</v>
      </c>
      <c r="AZ1483">
        <v>0</v>
      </c>
      <c r="BA1483">
        <v>0</v>
      </c>
      <c r="BI1483" s="5">
        <v>44048.176388888889</v>
      </c>
      <c r="BJ1483" s="5">
        <v>44048.176388888889</v>
      </c>
      <c r="BK1483" t="s">
        <v>778</v>
      </c>
      <c r="BL1483" t="s">
        <v>778</v>
      </c>
      <c r="BN1483" t="s">
        <v>37</v>
      </c>
    </row>
    <row r="1484" spans="1:66" x14ac:dyDescent="0.2">
      <c r="A1484">
        <v>3694041</v>
      </c>
      <c r="B1484">
        <v>21883</v>
      </c>
      <c r="C1484">
        <v>523905</v>
      </c>
      <c r="D1484">
        <v>52897</v>
      </c>
      <c r="E1484">
        <v>0</v>
      </c>
      <c r="F1484" t="s">
        <v>37</v>
      </c>
      <c r="G1484">
        <v>1</v>
      </c>
      <c r="H1484" t="s">
        <v>37</v>
      </c>
      <c r="I1484" t="s">
        <v>37</v>
      </c>
      <c r="J1484" t="s">
        <v>775</v>
      </c>
      <c r="K1484" t="s">
        <v>230</v>
      </c>
      <c r="L1484" t="s">
        <v>226</v>
      </c>
      <c r="M1484" t="s">
        <v>417</v>
      </c>
      <c r="N1484" t="s">
        <v>6452</v>
      </c>
      <c r="O1484" t="s">
        <v>6453</v>
      </c>
      <c r="Q1484">
        <v>-216</v>
      </c>
      <c r="R1484">
        <v>0</v>
      </c>
      <c r="S1484">
        <v>32</v>
      </c>
      <c r="T1484">
        <v>0</v>
      </c>
      <c r="U1484">
        <v>0</v>
      </c>
      <c r="V1484">
        <v>0</v>
      </c>
      <c r="W1484">
        <v>32</v>
      </c>
      <c r="X1484">
        <v>10</v>
      </c>
      <c r="Y1484">
        <v>0</v>
      </c>
      <c r="Z1484">
        <v>10</v>
      </c>
      <c r="AD1484" s="5">
        <v>44124.333333333336</v>
      </c>
      <c r="AE1484" s="5">
        <v>44130.666666666664</v>
      </c>
      <c r="AG1484" s="5">
        <v>44201.333333333336</v>
      </c>
      <c r="AH1484" s="5">
        <v>44208.666666666664</v>
      </c>
      <c r="AI1484" s="5">
        <v>44201.333333333336</v>
      </c>
      <c r="AJ1484" s="5">
        <v>44208.666666666664</v>
      </c>
      <c r="AK1484" s="5">
        <v>44201.333333333336</v>
      </c>
      <c r="AL1484" s="5">
        <v>44208.666666666664</v>
      </c>
      <c r="AM1484" s="5">
        <v>44124.333333333336</v>
      </c>
      <c r="AN1484" s="5">
        <v>44130.666666666664</v>
      </c>
      <c r="AP1484" t="s">
        <v>418</v>
      </c>
      <c r="AU1484" t="s">
        <v>6454</v>
      </c>
      <c r="AV1484" t="s">
        <v>6455</v>
      </c>
      <c r="AY1484" t="s">
        <v>40</v>
      </c>
      <c r="AZ1484">
        <v>0</v>
      </c>
      <c r="BA1484">
        <v>0</v>
      </c>
      <c r="BI1484" s="5">
        <v>44048.176388888889</v>
      </c>
      <c r="BJ1484" s="5">
        <v>44048.176388888889</v>
      </c>
      <c r="BK1484" t="s">
        <v>778</v>
      </c>
      <c r="BL1484" t="s">
        <v>778</v>
      </c>
      <c r="BN1484" t="s">
        <v>37</v>
      </c>
    </row>
    <row r="1485" spans="1:66" x14ac:dyDescent="0.2">
      <c r="A1485">
        <v>3694042</v>
      </c>
      <c r="B1485">
        <v>21883</v>
      </c>
      <c r="C1485">
        <v>523905</v>
      </c>
      <c r="D1485">
        <v>52897</v>
      </c>
      <c r="E1485">
        <v>0</v>
      </c>
      <c r="F1485" t="s">
        <v>37</v>
      </c>
      <c r="G1485">
        <v>1</v>
      </c>
      <c r="H1485" t="s">
        <v>37</v>
      </c>
      <c r="I1485" t="s">
        <v>37</v>
      </c>
      <c r="J1485" t="s">
        <v>775</v>
      </c>
      <c r="K1485" t="s">
        <v>230</v>
      </c>
      <c r="L1485" t="s">
        <v>226</v>
      </c>
      <c r="M1485" t="s">
        <v>417</v>
      </c>
      <c r="N1485" t="s">
        <v>6456</v>
      </c>
      <c r="O1485" t="s">
        <v>6457</v>
      </c>
      <c r="Q1485">
        <v>-216</v>
      </c>
      <c r="R1485">
        <v>0</v>
      </c>
      <c r="S1485">
        <v>8</v>
      </c>
      <c r="T1485">
        <v>0</v>
      </c>
      <c r="U1485">
        <v>0</v>
      </c>
      <c r="V1485">
        <v>0</v>
      </c>
      <c r="W1485">
        <v>8</v>
      </c>
      <c r="X1485">
        <v>0</v>
      </c>
      <c r="Y1485">
        <v>0</v>
      </c>
      <c r="Z1485">
        <v>0</v>
      </c>
      <c r="AD1485" s="5">
        <v>44120.333333333336</v>
      </c>
      <c r="AE1485" s="5">
        <v>44120.666666666664</v>
      </c>
      <c r="AG1485" s="5">
        <v>44200.333333333336</v>
      </c>
      <c r="AH1485" s="5">
        <v>44200.666666666664</v>
      </c>
      <c r="AI1485" s="5">
        <v>44200.333333333336</v>
      </c>
      <c r="AJ1485" s="5">
        <v>44200.666666666664</v>
      </c>
      <c r="AK1485" s="5">
        <v>44200.333333333336</v>
      </c>
      <c r="AL1485" s="5">
        <v>44200.666666666664</v>
      </c>
      <c r="AM1485" s="5">
        <v>44120.333333333336</v>
      </c>
      <c r="AN1485" s="5">
        <v>44120.666666666664</v>
      </c>
      <c r="AP1485" t="s">
        <v>418</v>
      </c>
      <c r="AU1485" t="s">
        <v>6458</v>
      </c>
      <c r="AV1485" t="s">
        <v>6459</v>
      </c>
      <c r="AY1485" t="s">
        <v>40</v>
      </c>
      <c r="AZ1485">
        <v>0</v>
      </c>
      <c r="BA1485">
        <v>0</v>
      </c>
      <c r="BI1485" s="5">
        <v>44048.176388888889</v>
      </c>
      <c r="BJ1485" s="5">
        <v>44048.176388888889</v>
      </c>
      <c r="BK1485" t="s">
        <v>778</v>
      </c>
      <c r="BL1485" t="s">
        <v>778</v>
      </c>
      <c r="BN1485" t="s">
        <v>37</v>
      </c>
    </row>
    <row r="1486" spans="1:66" x14ac:dyDescent="0.2">
      <c r="A1486">
        <v>3694043</v>
      </c>
      <c r="B1486">
        <v>21883</v>
      </c>
      <c r="C1486">
        <v>523905</v>
      </c>
      <c r="D1486">
        <v>52898</v>
      </c>
      <c r="E1486">
        <v>0</v>
      </c>
      <c r="F1486" t="s">
        <v>37</v>
      </c>
      <c r="G1486">
        <v>1</v>
      </c>
      <c r="H1486" t="s">
        <v>37</v>
      </c>
      <c r="I1486" t="s">
        <v>37</v>
      </c>
      <c r="J1486" t="s">
        <v>775</v>
      </c>
      <c r="K1486" t="s">
        <v>230</v>
      </c>
      <c r="L1486" t="s">
        <v>226</v>
      </c>
      <c r="M1486" t="s">
        <v>417</v>
      </c>
      <c r="N1486" t="s">
        <v>6460</v>
      </c>
      <c r="O1486" t="s">
        <v>6461</v>
      </c>
      <c r="Q1486">
        <v>-64</v>
      </c>
      <c r="R1486">
        <v>0</v>
      </c>
      <c r="S1486">
        <v>8</v>
      </c>
      <c r="T1486">
        <v>0</v>
      </c>
      <c r="U1486">
        <v>0</v>
      </c>
      <c r="V1486">
        <v>0</v>
      </c>
      <c r="W1486">
        <v>8</v>
      </c>
      <c r="X1486">
        <v>0</v>
      </c>
      <c r="Y1486">
        <v>0</v>
      </c>
      <c r="Z1486">
        <v>0</v>
      </c>
      <c r="AD1486" s="5">
        <v>44148.333333333336</v>
      </c>
      <c r="AE1486" s="5">
        <v>44148.666666666664</v>
      </c>
      <c r="AG1486" s="5">
        <v>44256.333333333336</v>
      </c>
      <c r="AH1486" s="5">
        <v>44256.666666666664</v>
      </c>
      <c r="AI1486" s="5">
        <v>44256.333333333336</v>
      </c>
      <c r="AJ1486" s="5">
        <v>44256.666666666664</v>
      </c>
      <c r="AK1486" s="5">
        <v>44256.333333333336</v>
      </c>
      <c r="AL1486" s="5">
        <v>44256.666666666664</v>
      </c>
      <c r="AM1486" s="5">
        <v>44148.333333333336</v>
      </c>
      <c r="AN1486" s="5">
        <v>44148.666666666664</v>
      </c>
      <c r="AP1486" t="s">
        <v>418</v>
      </c>
      <c r="AU1486" t="s">
        <v>6462</v>
      </c>
      <c r="AV1486" t="s">
        <v>6463</v>
      </c>
      <c r="AY1486" t="s">
        <v>40</v>
      </c>
      <c r="AZ1486">
        <v>0</v>
      </c>
      <c r="BA1486">
        <v>0</v>
      </c>
      <c r="BI1486" s="5">
        <v>44048.176388888889</v>
      </c>
      <c r="BJ1486" s="5">
        <v>44048.176388888889</v>
      </c>
      <c r="BK1486" t="s">
        <v>778</v>
      </c>
      <c r="BL1486" t="s">
        <v>778</v>
      </c>
      <c r="BN1486" t="s">
        <v>37</v>
      </c>
    </row>
    <row r="1487" spans="1:66" x14ac:dyDescent="0.2">
      <c r="A1487">
        <v>3694044</v>
      </c>
      <c r="B1487">
        <v>21883</v>
      </c>
      <c r="C1487">
        <v>523905</v>
      </c>
      <c r="D1487">
        <v>52899</v>
      </c>
      <c r="E1487">
        <v>0</v>
      </c>
      <c r="F1487" t="s">
        <v>37</v>
      </c>
      <c r="G1487">
        <v>1</v>
      </c>
      <c r="H1487" t="s">
        <v>37</v>
      </c>
      <c r="I1487" t="s">
        <v>37</v>
      </c>
      <c r="J1487" t="s">
        <v>775</v>
      </c>
      <c r="K1487" t="s">
        <v>230</v>
      </c>
      <c r="L1487" t="s">
        <v>226</v>
      </c>
      <c r="M1487" t="s">
        <v>417</v>
      </c>
      <c r="N1487" t="s">
        <v>6464</v>
      </c>
      <c r="O1487" t="s">
        <v>6465</v>
      </c>
      <c r="Q1487">
        <v>-440</v>
      </c>
      <c r="R1487">
        <v>0</v>
      </c>
      <c r="S1487">
        <v>16</v>
      </c>
      <c r="T1487">
        <v>0</v>
      </c>
      <c r="U1487">
        <v>0</v>
      </c>
      <c r="V1487">
        <v>0</v>
      </c>
      <c r="W1487">
        <v>16</v>
      </c>
      <c r="X1487">
        <v>0</v>
      </c>
      <c r="Y1487">
        <v>0</v>
      </c>
      <c r="Z1487">
        <v>0</v>
      </c>
      <c r="AD1487" s="5">
        <v>44155.333333333336</v>
      </c>
      <c r="AE1487" s="5">
        <v>44159.666666666664</v>
      </c>
      <c r="AG1487" s="5">
        <v>44257.333333333336</v>
      </c>
      <c r="AH1487" s="5">
        <v>44258.666666666664</v>
      </c>
      <c r="AI1487" s="5">
        <v>44257.333333333336</v>
      </c>
      <c r="AJ1487" s="5">
        <v>44258.666666666664</v>
      </c>
      <c r="AK1487" s="5">
        <v>44257.333333333336</v>
      </c>
      <c r="AL1487" s="5">
        <v>44258.666666666664</v>
      </c>
      <c r="AM1487" s="5">
        <v>44155.333333333336</v>
      </c>
      <c r="AN1487" s="5">
        <v>44159.666666666664</v>
      </c>
      <c r="AP1487" t="s">
        <v>418</v>
      </c>
      <c r="AU1487" t="s">
        <v>6466</v>
      </c>
      <c r="AV1487" t="s">
        <v>6467</v>
      </c>
      <c r="AY1487" t="s">
        <v>40</v>
      </c>
      <c r="AZ1487">
        <v>0</v>
      </c>
      <c r="BA1487">
        <v>0</v>
      </c>
      <c r="BI1487" s="5">
        <v>44048.176388888889</v>
      </c>
      <c r="BJ1487" s="5">
        <v>44048.176388888889</v>
      </c>
      <c r="BK1487" t="s">
        <v>778</v>
      </c>
      <c r="BL1487" t="s">
        <v>778</v>
      </c>
      <c r="BN1487" t="s">
        <v>37</v>
      </c>
    </row>
    <row r="1488" spans="1:66" x14ac:dyDescent="0.2">
      <c r="A1488">
        <v>3694045</v>
      </c>
      <c r="B1488">
        <v>21883</v>
      </c>
      <c r="C1488">
        <v>523891</v>
      </c>
      <c r="D1488">
        <v>52899</v>
      </c>
      <c r="E1488">
        <v>100</v>
      </c>
      <c r="F1488" t="s">
        <v>37</v>
      </c>
      <c r="G1488">
        <v>1</v>
      </c>
      <c r="H1488" t="s">
        <v>37</v>
      </c>
      <c r="I1488" t="s">
        <v>37</v>
      </c>
      <c r="J1488" t="s">
        <v>775</v>
      </c>
      <c r="K1488" t="s">
        <v>230</v>
      </c>
      <c r="L1488" t="s">
        <v>226</v>
      </c>
      <c r="M1488" t="s">
        <v>422</v>
      </c>
      <c r="N1488" t="s">
        <v>6468</v>
      </c>
      <c r="O1488" t="s">
        <v>6299</v>
      </c>
      <c r="S1488">
        <v>0</v>
      </c>
      <c r="T1488">
        <v>0</v>
      </c>
      <c r="U1488">
        <v>0</v>
      </c>
      <c r="V1488">
        <v>0</v>
      </c>
      <c r="W1488">
        <v>8</v>
      </c>
      <c r="X1488">
        <v>0</v>
      </c>
      <c r="Y1488">
        <v>0</v>
      </c>
      <c r="Z1488">
        <v>0</v>
      </c>
      <c r="AB1488" s="5">
        <v>43347.333333333336</v>
      </c>
      <c r="AC1488" s="5">
        <v>43347.666666666664</v>
      </c>
      <c r="AD1488" s="5">
        <v>43970.333333333336</v>
      </c>
      <c r="AE1488" s="5">
        <v>43970.333333333336</v>
      </c>
      <c r="AG1488" s="5">
        <v>44044</v>
      </c>
      <c r="AH1488" s="5">
        <v>44044</v>
      </c>
      <c r="AK1488" s="5">
        <v>43349.333333333336</v>
      </c>
      <c r="AL1488" s="5">
        <v>43349.666666666664</v>
      </c>
      <c r="AP1488" t="s">
        <v>418</v>
      </c>
      <c r="AU1488" t="s">
        <v>6469</v>
      </c>
      <c r="AV1488" t="s">
        <v>6470</v>
      </c>
      <c r="AY1488" t="s">
        <v>40</v>
      </c>
      <c r="AZ1488">
        <v>0</v>
      </c>
      <c r="BA1488">
        <v>0</v>
      </c>
      <c r="BI1488" s="5">
        <v>44048.176388888889</v>
      </c>
      <c r="BJ1488" s="5">
        <v>44048.176388888889</v>
      </c>
      <c r="BK1488" t="s">
        <v>778</v>
      </c>
      <c r="BL1488" t="s">
        <v>778</v>
      </c>
      <c r="BN1488" t="s">
        <v>37</v>
      </c>
    </row>
    <row r="1489" spans="1:66" x14ac:dyDescent="0.2">
      <c r="A1489">
        <v>3694046</v>
      </c>
      <c r="B1489">
        <v>21883</v>
      </c>
      <c r="C1489">
        <v>523890</v>
      </c>
      <c r="D1489">
        <v>52899</v>
      </c>
      <c r="E1489">
        <v>100</v>
      </c>
      <c r="F1489" t="s">
        <v>37</v>
      </c>
      <c r="G1489">
        <v>1</v>
      </c>
      <c r="H1489" t="s">
        <v>37</v>
      </c>
      <c r="I1489" t="s">
        <v>37</v>
      </c>
      <c r="J1489" t="s">
        <v>775</v>
      </c>
      <c r="K1489" t="s">
        <v>230</v>
      </c>
      <c r="L1489" t="s">
        <v>226</v>
      </c>
      <c r="M1489" t="s">
        <v>422</v>
      </c>
      <c r="N1489" t="s">
        <v>6471</v>
      </c>
      <c r="O1489" t="s">
        <v>6303</v>
      </c>
      <c r="S1489">
        <v>0</v>
      </c>
      <c r="T1489">
        <v>0</v>
      </c>
      <c r="U1489">
        <v>0</v>
      </c>
      <c r="V1489">
        <v>0</v>
      </c>
      <c r="W1489">
        <v>8</v>
      </c>
      <c r="X1489">
        <v>0</v>
      </c>
      <c r="Y1489">
        <v>0</v>
      </c>
      <c r="Z1489">
        <v>0</v>
      </c>
      <c r="AB1489" s="5">
        <v>43370.333333333336</v>
      </c>
      <c r="AC1489" s="5">
        <v>43371.666666666664</v>
      </c>
      <c r="AD1489" s="5">
        <v>43970.333333333336</v>
      </c>
      <c r="AE1489" s="5">
        <v>43970.333333333336</v>
      </c>
      <c r="AG1489" s="5">
        <v>44044</v>
      </c>
      <c r="AH1489" s="5">
        <v>44044</v>
      </c>
      <c r="AK1489" s="5">
        <v>43362.333333333336</v>
      </c>
      <c r="AL1489" s="5">
        <v>43362.666666666664</v>
      </c>
      <c r="AP1489" t="s">
        <v>418</v>
      </c>
      <c r="AU1489" t="s">
        <v>6472</v>
      </c>
      <c r="AV1489" t="s">
        <v>6473</v>
      </c>
      <c r="AY1489" t="s">
        <v>40</v>
      </c>
      <c r="AZ1489">
        <v>0</v>
      </c>
      <c r="BA1489">
        <v>0</v>
      </c>
      <c r="BI1489" s="5">
        <v>44048.176388888889</v>
      </c>
      <c r="BJ1489" s="5">
        <v>44048.176388888889</v>
      </c>
      <c r="BK1489" t="s">
        <v>778</v>
      </c>
      <c r="BL1489" t="s">
        <v>778</v>
      </c>
      <c r="BN1489" t="s">
        <v>37</v>
      </c>
    </row>
    <row r="1490" spans="1:66" x14ac:dyDescent="0.2">
      <c r="A1490">
        <v>3694047</v>
      </c>
      <c r="B1490">
        <v>21883</v>
      </c>
      <c r="C1490">
        <v>523889</v>
      </c>
      <c r="D1490">
        <v>52899</v>
      </c>
      <c r="E1490">
        <v>100</v>
      </c>
      <c r="F1490" t="s">
        <v>37</v>
      </c>
      <c r="G1490">
        <v>1</v>
      </c>
      <c r="H1490" t="s">
        <v>37</v>
      </c>
      <c r="I1490" t="s">
        <v>37</v>
      </c>
      <c r="J1490" t="s">
        <v>775</v>
      </c>
      <c r="K1490" t="s">
        <v>230</v>
      </c>
      <c r="L1490" t="s">
        <v>226</v>
      </c>
      <c r="M1490" t="s">
        <v>422</v>
      </c>
      <c r="N1490" t="s">
        <v>6474</v>
      </c>
      <c r="O1490" t="s">
        <v>6307</v>
      </c>
      <c r="S1490">
        <v>0</v>
      </c>
      <c r="T1490">
        <v>16</v>
      </c>
      <c r="U1490">
        <v>0</v>
      </c>
      <c r="V1490">
        <v>16</v>
      </c>
      <c r="W1490">
        <v>8</v>
      </c>
      <c r="X1490">
        <v>0</v>
      </c>
      <c r="Y1490">
        <v>0</v>
      </c>
      <c r="Z1490">
        <v>0</v>
      </c>
      <c r="AB1490" s="5">
        <v>43376</v>
      </c>
      <c r="AC1490" s="5">
        <v>43376</v>
      </c>
      <c r="AD1490" s="5">
        <v>43970.333333333336</v>
      </c>
      <c r="AE1490" s="5">
        <v>43970.333333333336</v>
      </c>
      <c r="AG1490" s="5">
        <v>44044</v>
      </c>
      <c r="AH1490" s="5">
        <v>44044</v>
      </c>
      <c r="AK1490" s="5">
        <v>43374.333333333336</v>
      </c>
      <c r="AL1490" s="5">
        <v>43374.666666666664</v>
      </c>
      <c r="AP1490" t="s">
        <v>418</v>
      </c>
      <c r="AU1490" t="s">
        <v>6475</v>
      </c>
      <c r="AV1490" t="s">
        <v>6476</v>
      </c>
      <c r="AY1490" t="s">
        <v>40</v>
      </c>
      <c r="AZ1490">
        <v>16</v>
      </c>
      <c r="BA1490">
        <v>0</v>
      </c>
      <c r="BI1490" s="5">
        <v>44048.176388888889</v>
      </c>
      <c r="BJ1490" s="5">
        <v>44048.176388888889</v>
      </c>
      <c r="BK1490" t="s">
        <v>778</v>
      </c>
      <c r="BL1490" t="s">
        <v>778</v>
      </c>
      <c r="BN1490" t="s">
        <v>37</v>
      </c>
    </row>
    <row r="1491" spans="1:66" x14ac:dyDescent="0.2">
      <c r="A1491">
        <v>3694048</v>
      </c>
      <c r="B1491">
        <v>21883</v>
      </c>
      <c r="C1491">
        <v>523873</v>
      </c>
      <c r="D1491">
        <v>52899</v>
      </c>
      <c r="E1491">
        <v>100</v>
      </c>
      <c r="F1491" t="s">
        <v>37</v>
      </c>
      <c r="G1491">
        <v>1</v>
      </c>
      <c r="H1491" t="s">
        <v>37</v>
      </c>
      <c r="I1491" t="s">
        <v>37</v>
      </c>
      <c r="J1491" t="s">
        <v>775</v>
      </c>
      <c r="K1491" t="s">
        <v>230</v>
      </c>
      <c r="L1491" t="s">
        <v>226</v>
      </c>
      <c r="M1491" t="s">
        <v>422</v>
      </c>
      <c r="N1491" t="s">
        <v>6477</v>
      </c>
      <c r="O1491" t="s">
        <v>6299</v>
      </c>
      <c r="S1491">
        <v>0</v>
      </c>
      <c r="T1491">
        <v>16</v>
      </c>
      <c r="U1491">
        <v>0</v>
      </c>
      <c r="V1491">
        <v>16</v>
      </c>
      <c r="W1491">
        <v>16</v>
      </c>
      <c r="X1491">
        <v>0</v>
      </c>
      <c r="Y1491">
        <v>0</v>
      </c>
      <c r="Z1491">
        <v>0</v>
      </c>
      <c r="AB1491" s="5">
        <v>43742</v>
      </c>
      <c r="AC1491" s="5">
        <v>43742</v>
      </c>
      <c r="AD1491" s="5">
        <v>43970.333333333336</v>
      </c>
      <c r="AE1491" s="5">
        <v>43970.333333333336</v>
      </c>
      <c r="AG1491" s="5">
        <v>44044</v>
      </c>
      <c r="AH1491" s="5">
        <v>44044</v>
      </c>
      <c r="AK1491" s="5">
        <v>43770.333333333336</v>
      </c>
      <c r="AL1491" s="5">
        <v>43773.666666666664</v>
      </c>
      <c r="AP1491" t="s">
        <v>418</v>
      </c>
      <c r="AU1491" t="e" cm="1">
        <f t="array" ref="AU1491">+OjqBIsZpkaSdn4HrUm15g</f>
        <v>#NAME?</v>
      </c>
      <c r="AV1491" t="s">
        <v>6478</v>
      </c>
      <c r="AY1491" t="s">
        <v>40</v>
      </c>
      <c r="AZ1491">
        <v>0</v>
      </c>
      <c r="BA1491">
        <v>0</v>
      </c>
      <c r="BI1491" s="5">
        <v>44048.176388888889</v>
      </c>
      <c r="BJ1491" s="5">
        <v>44048.176388888889</v>
      </c>
      <c r="BK1491" t="s">
        <v>778</v>
      </c>
      <c r="BL1491" t="s">
        <v>778</v>
      </c>
      <c r="BN1491" t="s">
        <v>37</v>
      </c>
    </row>
    <row r="1492" spans="1:66" x14ac:dyDescent="0.2">
      <c r="A1492">
        <v>3694049</v>
      </c>
      <c r="B1492">
        <v>21883</v>
      </c>
      <c r="C1492">
        <v>523872</v>
      </c>
      <c r="D1492">
        <v>52899</v>
      </c>
      <c r="E1492">
        <v>100</v>
      </c>
      <c r="F1492" t="s">
        <v>37</v>
      </c>
      <c r="G1492">
        <v>1</v>
      </c>
      <c r="H1492" t="s">
        <v>37</v>
      </c>
      <c r="I1492" t="s">
        <v>37</v>
      </c>
      <c r="J1492" t="s">
        <v>775</v>
      </c>
      <c r="K1492" t="s">
        <v>230</v>
      </c>
      <c r="L1492" t="s">
        <v>226</v>
      </c>
      <c r="M1492" t="s">
        <v>422</v>
      </c>
      <c r="N1492" t="s">
        <v>6479</v>
      </c>
      <c r="O1492" t="s">
        <v>6303</v>
      </c>
      <c r="S1492">
        <v>0</v>
      </c>
      <c r="T1492">
        <v>16</v>
      </c>
      <c r="U1492">
        <v>0</v>
      </c>
      <c r="V1492">
        <v>16</v>
      </c>
      <c r="W1492">
        <v>16</v>
      </c>
      <c r="X1492">
        <v>0</v>
      </c>
      <c r="Y1492">
        <v>0</v>
      </c>
      <c r="Z1492">
        <v>0</v>
      </c>
      <c r="AB1492" s="5">
        <v>43749</v>
      </c>
      <c r="AC1492" s="5">
        <v>43749</v>
      </c>
      <c r="AD1492" s="5">
        <v>43970.333333333336</v>
      </c>
      <c r="AE1492" s="5">
        <v>43970.333333333336</v>
      </c>
      <c r="AG1492" s="5">
        <v>44044</v>
      </c>
      <c r="AH1492" s="5">
        <v>44044</v>
      </c>
      <c r="AK1492" s="5">
        <v>43770.333333333336</v>
      </c>
      <c r="AL1492" s="5">
        <v>43773.666666666664</v>
      </c>
      <c r="AP1492" t="s">
        <v>418</v>
      </c>
      <c r="AU1492" t="s">
        <v>6480</v>
      </c>
      <c r="AV1492" t="s">
        <v>6481</v>
      </c>
      <c r="AY1492" t="s">
        <v>40</v>
      </c>
      <c r="AZ1492">
        <v>0</v>
      </c>
      <c r="BA1492">
        <v>0</v>
      </c>
      <c r="BI1492" s="5">
        <v>44048.176388888889</v>
      </c>
      <c r="BJ1492" s="5">
        <v>44048.176388888889</v>
      </c>
      <c r="BK1492" t="s">
        <v>778</v>
      </c>
      <c r="BL1492" t="s">
        <v>778</v>
      </c>
      <c r="BN1492" t="s">
        <v>37</v>
      </c>
    </row>
    <row r="1493" spans="1:66" x14ac:dyDescent="0.2">
      <c r="A1493">
        <v>3694050</v>
      </c>
      <c r="B1493">
        <v>21883</v>
      </c>
      <c r="C1493">
        <v>523871</v>
      </c>
      <c r="D1493">
        <v>52899</v>
      </c>
      <c r="E1493">
        <v>100</v>
      </c>
      <c r="F1493" t="s">
        <v>37</v>
      </c>
      <c r="G1493">
        <v>1</v>
      </c>
      <c r="H1493" t="s">
        <v>37</v>
      </c>
      <c r="I1493" t="s">
        <v>37</v>
      </c>
      <c r="J1493" t="s">
        <v>775</v>
      </c>
      <c r="K1493" t="s">
        <v>230</v>
      </c>
      <c r="L1493" t="s">
        <v>226</v>
      </c>
      <c r="M1493" t="s">
        <v>422</v>
      </c>
      <c r="N1493" t="s">
        <v>6482</v>
      </c>
      <c r="O1493" t="s">
        <v>6307</v>
      </c>
      <c r="S1493">
        <v>0</v>
      </c>
      <c r="T1493">
        <v>16</v>
      </c>
      <c r="U1493">
        <v>0</v>
      </c>
      <c r="V1493">
        <v>16</v>
      </c>
      <c r="W1493">
        <v>16</v>
      </c>
      <c r="X1493">
        <v>0</v>
      </c>
      <c r="Y1493">
        <v>0</v>
      </c>
      <c r="Z1493">
        <v>0</v>
      </c>
      <c r="AB1493" s="5">
        <v>43763</v>
      </c>
      <c r="AC1493" s="5">
        <v>43763</v>
      </c>
      <c r="AD1493" s="5">
        <v>43970.333333333336</v>
      </c>
      <c r="AE1493" s="5">
        <v>43970.333333333336</v>
      </c>
      <c r="AG1493" s="5">
        <v>44044</v>
      </c>
      <c r="AH1493" s="5">
        <v>44044</v>
      </c>
      <c r="AK1493" s="5">
        <v>43770.333333333336</v>
      </c>
      <c r="AL1493" s="5">
        <v>43773.666666666664</v>
      </c>
      <c r="AP1493" t="s">
        <v>418</v>
      </c>
      <c r="AU1493" t="s">
        <v>6483</v>
      </c>
      <c r="AV1493" t="s">
        <v>6484</v>
      </c>
      <c r="AY1493" t="s">
        <v>40</v>
      </c>
      <c r="AZ1493">
        <v>0</v>
      </c>
      <c r="BA1493">
        <v>0</v>
      </c>
      <c r="BI1493" s="5">
        <v>44048.176388888889</v>
      </c>
      <c r="BJ1493" s="5">
        <v>44048.176388888889</v>
      </c>
      <c r="BK1493" t="s">
        <v>778</v>
      </c>
      <c r="BL1493" t="s">
        <v>778</v>
      </c>
      <c r="BN1493" t="s">
        <v>37</v>
      </c>
    </row>
    <row r="1494" spans="1:66" x14ac:dyDescent="0.2">
      <c r="A1494">
        <v>3694051</v>
      </c>
      <c r="B1494">
        <v>21883</v>
      </c>
      <c r="C1494">
        <v>523852</v>
      </c>
      <c r="D1494">
        <v>52899</v>
      </c>
      <c r="E1494">
        <v>100</v>
      </c>
      <c r="F1494" t="s">
        <v>37</v>
      </c>
      <c r="G1494">
        <v>1</v>
      </c>
      <c r="H1494" t="s">
        <v>37</v>
      </c>
      <c r="I1494" t="s">
        <v>37</v>
      </c>
      <c r="J1494" t="s">
        <v>775</v>
      </c>
      <c r="K1494" t="s">
        <v>230</v>
      </c>
      <c r="L1494" t="s">
        <v>226</v>
      </c>
      <c r="M1494" t="s">
        <v>422</v>
      </c>
      <c r="N1494" t="s">
        <v>6485</v>
      </c>
      <c r="O1494" t="s">
        <v>6486</v>
      </c>
      <c r="S1494">
        <v>0</v>
      </c>
      <c r="T1494">
        <v>48</v>
      </c>
      <c r="U1494">
        <v>0</v>
      </c>
      <c r="V1494">
        <v>48</v>
      </c>
      <c r="W1494">
        <v>32</v>
      </c>
      <c r="X1494">
        <v>0</v>
      </c>
      <c r="Y1494">
        <v>0</v>
      </c>
      <c r="Z1494">
        <v>0</v>
      </c>
      <c r="AB1494" s="5">
        <v>44032</v>
      </c>
      <c r="AC1494" s="5">
        <v>44033</v>
      </c>
      <c r="AD1494" s="5">
        <v>44005.333333333336</v>
      </c>
      <c r="AE1494" s="5">
        <v>44005.333333333336</v>
      </c>
      <c r="AG1494" s="5">
        <v>44044</v>
      </c>
      <c r="AH1494" s="5">
        <v>44044</v>
      </c>
      <c r="AK1494" s="5">
        <v>44036.333333333336</v>
      </c>
      <c r="AL1494" s="5">
        <v>44042.666666666664</v>
      </c>
      <c r="AP1494" t="s">
        <v>418</v>
      </c>
      <c r="AU1494" t="s">
        <v>6487</v>
      </c>
      <c r="AV1494" t="s">
        <v>6488</v>
      </c>
      <c r="AY1494" t="s">
        <v>37</v>
      </c>
      <c r="AZ1494">
        <v>0</v>
      </c>
      <c r="BA1494">
        <v>0</v>
      </c>
      <c r="BI1494" s="5">
        <v>44048.176388888889</v>
      </c>
      <c r="BJ1494" s="5">
        <v>44048.176388888889</v>
      </c>
      <c r="BK1494" t="s">
        <v>778</v>
      </c>
      <c r="BL1494" t="s">
        <v>778</v>
      </c>
      <c r="BN1494" t="s">
        <v>37</v>
      </c>
    </row>
    <row r="1495" spans="1:66" x14ac:dyDescent="0.2">
      <c r="A1495">
        <v>3694052</v>
      </c>
      <c r="B1495">
        <v>21883</v>
      </c>
      <c r="C1495">
        <v>523851</v>
      </c>
      <c r="D1495">
        <v>52899</v>
      </c>
      <c r="E1495">
        <v>0</v>
      </c>
      <c r="F1495" t="s">
        <v>37</v>
      </c>
      <c r="G1495">
        <v>1</v>
      </c>
      <c r="H1495" t="s">
        <v>37</v>
      </c>
      <c r="I1495" t="s">
        <v>37</v>
      </c>
      <c r="J1495" t="s">
        <v>775</v>
      </c>
      <c r="K1495" t="s">
        <v>230</v>
      </c>
      <c r="L1495" t="s">
        <v>226</v>
      </c>
      <c r="M1495" t="s">
        <v>417</v>
      </c>
      <c r="N1495" t="s">
        <v>6489</v>
      </c>
      <c r="O1495" t="s">
        <v>6490</v>
      </c>
      <c r="Q1495">
        <v>-312</v>
      </c>
      <c r="R1495">
        <v>0</v>
      </c>
      <c r="S1495">
        <v>32</v>
      </c>
      <c r="T1495">
        <v>0</v>
      </c>
      <c r="U1495">
        <v>48</v>
      </c>
      <c r="V1495">
        <v>48</v>
      </c>
      <c r="W1495">
        <v>32</v>
      </c>
      <c r="X1495">
        <v>0</v>
      </c>
      <c r="Y1495">
        <v>0</v>
      </c>
      <c r="Z1495">
        <v>0</v>
      </c>
      <c r="AD1495" s="5">
        <v>43998.333333333336</v>
      </c>
      <c r="AE1495" s="5">
        <v>44004.666666666664</v>
      </c>
      <c r="AG1495" s="5">
        <v>44060.333333333336</v>
      </c>
      <c r="AH1495" s="5">
        <v>44064.666666666664</v>
      </c>
      <c r="AI1495" s="5">
        <v>44060.333333333336</v>
      </c>
      <c r="AJ1495" s="5">
        <v>44064.666666666664</v>
      </c>
      <c r="AK1495" s="5">
        <v>44060.333333333336</v>
      </c>
      <c r="AL1495" s="5">
        <v>44064.666666666664</v>
      </c>
      <c r="AM1495" s="5">
        <v>43998.333333333336</v>
      </c>
      <c r="AN1495" s="5">
        <v>44004.666666666664</v>
      </c>
      <c r="AP1495" t="s">
        <v>418</v>
      </c>
      <c r="AU1495" t="s">
        <v>6491</v>
      </c>
      <c r="AV1495" t="s">
        <v>6492</v>
      </c>
      <c r="AY1495" t="s">
        <v>37</v>
      </c>
      <c r="AZ1495">
        <v>0</v>
      </c>
      <c r="BA1495">
        <v>0</v>
      </c>
      <c r="BI1495" s="5">
        <v>44048.176388888889</v>
      </c>
      <c r="BJ1495" s="5">
        <v>44048.176388888889</v>
      </c>
      <c r="BK1495" t="s">
        <v>778</v>
      </c>
      <c r="BL1495" t="s">
        <v>778</v>
      </c>
      <c r="BN1495" t="s">
        <v>37</v>
      </c>
    </row>
    <row r="1496" spans="1:66" x14ac:dyDescent="0.2">
      <c r="A1496">
        <v>3694053</v>
      </c>
      <c r="B1496">
        <v>21883</v>
      </c>
      <c r="C1496">
        <v>523850</v>
      </c>
      <c r="D1496">
        <v>52899</v>
      </c>
      <c r="E1496">
        <v>0</v>
      </c>
      <c r="F1496" t="s">
        <v>37</v>
      </c>
      <c r="G1496">
        <v>1</v>
      </c>
      <c r="H1496" t="s">
        <v>37</v>
      </c>
      <c r="I1496" t="s">
        <v>37</v>
      </c>
      <c r="J1496" t="s">
        <v>775</v>
      </c>
      <c r="K1496" t="s">
        <v>230</v>
      </c>
      <c r="L1496" t="s">
        <v>226</v>
      </c>
      <c r="M1496" t="s">
        <v>417</v>
      </c>
      <c r="N1496" t="s">
        <v>6493</v>
      </c>
      <c r="O1496" t="s">
        <v>6494</v>
      </c>
      <c r="Q1496">
        <v>-352</v>
      </c>
      <c r="R1496">
        <v>0</v>
      </c>
      <c r="S1496">
        <v>32</v>
      </c>
      <c r="T1496">
        <v>0</v>
      </c>
      <c r="U1496">
        <v>48</v>
      </c>
      <c r="V1496">
        <v>48</v>
      </c>
      <c r="W1496">
        <v>32</v>
      </c>
      <c r="X1496">
        <v>0</v>
      </c>
      <c r="Y1496">
        <v>0</v>
      </c>
      <c r="Z1496">
        <v>0</v>
      </c>
      <c r="AD1496" s="5">
        <v>44001.333333333336</v>
      </c>
      <c r="AE1496" s="5">
        <v>44006.666666666664</v>
      </c>
      <c r="AG1496" s="5">
        <v>44074.333333333336</v>
      </c>
      <c r="AH1496" s="5">
        <v>44077.666666666664</v>
      </c>
      <c r="AI1496" s="5">
        <v>44074.333333333336</v>
      </c>
      <c r="AJ1496" s="5">
        <v>44077.666666666664</v>
      </c>
      <c r="AK1496" s="5">
        <v>44074.333333333336</v>
      </c>
      <c r="AL1496" s="5">
        <v>44077.666666666664</v>
      </c>
      <c r="AM1496" s="5">
        <v>44001.333333333336</v>
      </c>
      <c r="AN1496" s="5">
        <v>44006.666666666664</v>
      </c>
      <c r="AP1496" t="s">
        <v>418</v>
      </c>
      <c r="AU1496" t="s">
        <v>6495</v>
      </c>
      <c r="AV1496" t="s">
        <v>6496</v>
      </c>
      <c r="AY1496" t="s">
        <v>40</v>
      </c>
      <c r="AZ1496">
        <v>0</v>
      </c>
      <c r="BA1496">
        <v>0</v>
      </c>
      <c r="BI1496" s="5">
        <v>44048.176388888889</v>
      </c>
      <c r="BJ1496" s="5">
        <v>44048.176388888889</v>
      </c>
      <c r="BK1496" t="s">
        <v>778</v>
      </c>
      <c r="BL1496" t="s">
        <v>778</v>
      </c>
      <c r="BN1496" t="s">
        <v>37</v>
      </c>
    </row>
    <row r="1497" spans="1:66" x14ac:dyDescent="0.2">
      <c r="A1497">
        <v>3694054</v>
      </c>
      <c r="B1497">
        <v>21883</v>
      </c>
      <c r="C1497">
        <v>523932</v>
      </c>
      <c r="D1497">
        <v>52899</v>
      </c>
      <c r="E1497">
        <v>100</v>
      </c>
      <c r="F1497" t="s">
        <v>37</v>
      </c>
      <c r="G1497">
        <v>1</v>
      </c>
      <c r="H1497" t="s">
        <v>37</v>
      </c>
      <c r="I1497" t="s">
        <v>37</v>
      </c>
      <c r="J1497" t="s">
        <v>775</v>
      </c>
      <c r="K1497" t="s">
        <v>230</v>
      </c>
      <c r="L1497" t="s">
        <v>226</v>
      </c>
      <c r="M1497" t="s">
        <v>422</v>
      </c>
      <c r="N1497" t="s">
        <v>6497</v>
      </c>
      <c r="O1497" t="s">
        <v>6498</v>
      </c>
      <c r="S1497">
        <v>0</v>
      </c>
      <c r="T1497">
        <v>0</v>
      </c>
      <c r="U1497">
        <v>0</v>
      </c>
      <c r="V1497">
        <v>0</v>
      </c>
      <c r="W1497">
        <v>120</v>
      </c>
      <c r="X1497">
        <v>0</v>
      </c>
      <c r="Y1497">
        <v>0</v>
      </c>
      <c r="Z1497">
        <v>0</v>
      </c>
      <c r="AB1497" s="5">
        <v>43627</v>
      </c>
      <c r="AC1497" s="5">
        <v>43677</v>
      </c>
      <c r="AD1497" s="5">
        <v>43993.333333333336</v>
      </c>
      <c r="AE1497" s="5">
        <v>43993.333333333336</v>
      </c>
      <c r="AG1497" s="5">
        <v>44044</v>
      </c>
      <c r="AH1497" s="5">
        <v>44044</v>
      </c>
      <c r="AK1497" s="5">
        <v>43678.333333333336</v>
      </c>
      <c r="AL1497" s="5">
        <v>43703.666666666664</v>
      </c>
      <c r="AP1497" t="s">
        <v>418</v>
      </c>
      <c r="AU1497" t="s">
        <v>6499</v>
      </c>
      <c r="AV1497" t="s">
        <v>6500</v>
      </c>
      <c r="AY1497" t="s">
        <v>40</v>
      </c>
      <c r="AZ1497">
        <v>0</v>
      </c>
      <c r="BA1497">
        <v>0</v>
      </c>
      <c r="BI1497" s="5">
        <v>44048.176388888889</v>
      </c>
      <c r="BJ1497" s="5">
        <v>44048.176388888889</v>
      </c>
      <c r="BK1497" t="s">
        <v>778</v>
      </c>
      <c r="BL1497" t="s">
        <v>778</v>
      </c>
      <c r="BN1497" t="s">
        <v>37</v>
      </c>
    </row>
    <row r="1498" spans="1:66" x14ac:dyDescent="0.2">
      <c r="A1498">
        <v>3694055</v>
      </c>
      <c r="B1498">
        <v>21883</v>
      </c>
      <c r="C1498">
        <v>523937</v>
      </c>
      <c r="D1498">
        <v>52899</v>
      </c>
      <c r="E1498">
        <v>100</v>
      </c>
      <c r="F1498" t="s">
        <v>37</v>
      </c>
      <c r="G1498">
        <v>1</v>
      </c>
      <c r="H1498" t="s">
        <v>37</v>
      </c>
      <c r="I1498" t="s">
        <v>37</v>
      </c>
      <c r="J1498" t="s">
        <v>775</v>
      </c>
      <c r="K1498" t="s">
        <v>230</v>
      </c>
      <c r="L1498" t="s">
        <v>226</v>
      </c>
      <c r="M1498" t="s">
        <v>422</v>
      </c>
      <c r="N1498" t="s">
        <v>6501</v>
      </c>
      <c r="O1498" t="s">
        <v>6502</v>
      </c>
      <c r="S1498">
        <v>0</v>
      </c>
      <c r="T1498">
        <v>0</v>
      </c>
      <c r="U1498">
        <v>0</v>
      </c>
      <c r="V1498">
        <v>0</v>
      </c>
      <c r="W1498">
        <v>120</v>
      </c>
      <c r="X1498">
        <v>0</v>
      </c>
      <c r="Y1498">
        <v>0</v>
      </c>
      <c r="Z1498">
        <v>0</v>
      </c>
      <c r="AB1498" s="5">
        <v>43327.333333333336</v>
      </c>
      <c r="AC1498" s="5">
        <v>43413</v>
      </c>
      <c r="AD1498" s="5">
        <v>43970.333333333336</v>
      </c>
      <c r="AE1498" s="5">
        <v>43970.333333333336</v>
      </c>
      <c r="AG1498" s="5">
        <v>44044</v>
      </c>
      <c r="AH1498" s="5">
        <v>44044</v>
      </c>
      <c r="AK1498" s="5">
        <v>43347.333333333336</v>
      </c>
      <c r="AL1498" s="5">
        <v>43369.666666666664</v>
      </c>
      <c r="AP1498" t="s">
        <v>418</v>
      </c>
      <c r="AU1498" t="s">
        <v>6503</v>
      </c>
      <c r="AV1498" t="s">
        <v>6504</v>
      </c>
      <c r="AY1498" t="s">
        <v>40</v>
      </c>
      <c r="AZ1498">
        <v>0</v>
      </c>
      <c r="BA1498">
        <v>0</v>
      </c>
      <c r="BI1498" s="5">
        <v>44048.176388888889</v>
      </c>
      <c r="BJ1498" s="5">
        <v>44048.176388888889</v>
      </c>
      <c r="BK1498" t="s">
        <v>778</v>
      </c>
      <c r="BL1498" t="s">
        <v>778</v>
      </c>
      <c r="BN1498" t="s">
        <v>37</v>
      </c>
    </row>
    <row r="1499" spans="1:66" x14ac:dyDescent="0.2">
      <c r="A1499">
        <v>3694056</v>
      </c>
      <c r="B1499">
        <v>21883</v>
      </c>
      <c r="C1499">
        <v>524012</v>
      </c>
      <c r="D1499">
        <v>52899</v>
      </c>
      <c r="E1499">
        <v>100</v>
      </c>
      <c r="F1499" t="s">
        <v>37</v>
      </c>
      <c r="G1499">
        <v>1</v>
      </c>
      <c r="H1499" t="s">
        <v>37</v>
      </c>
      <c r="I1499" t="s">
        <v>37</v>
      </c>
      <c r="J1499" t="s">
        <v>775</v>
      </c>
      <c r="K1499" t="s">
        <v>230</v>
      </c>
      <c r="L1499" t="s">
        <v>226</v>
      </c>
      <c r="M1499" t="s">
        <v>422</v>
      </c>
      <c r="N1499" t="s">
        <v>6505</v>
      </c>
      <c r="O1499" t="s">
        <v>6506</v>
      </c>
      <c r="S1499">
        <v>0</v>
      </c>
      <c r="T1499">
        <v>0</v>
      </c>
      <c r="U1499">
        <v>0</v>
      </c>
      <c r="V1499">
        <v>0</v>
      </c>
      <c r="W1499">
        <v>136</v>
      </c>
      <c r="X1499">
        <v>0</v>
      </c>
      <c r="Y1499">
        <v>0</v>
      </c>
      <c r="Z1499">
        <v>0</v>
      </c>
      <c r="AB1499" s="5">
        <v>43662</v>
      </c>
      <c r="AC1499" s="5">
        <v>43684</v>
      </c>
      <c r="AD1499" s="5">
        <v>43970.333333333336</v>
      </c>
      <c r="AE1499" s="5">
        <v>43970.333333333336</v>
      </c>
      <c r="AG1499" s="5">
        <v>44044</v>
      </c>
      <c r="AH1499" s="5">
        <v>44044</v>
      </c>
      <c r="AK1499" s="5">
        <v>43678.333333333336</v>
      </c>
      <c r="AL1499" s="5">
        <v>43705.666666666664</v>
      </c>
      <c r="AP1499" t="s">
        <v>418</v>
      </c>
      <c r="AU1499" t="s">
        <v>1922</v>
      </c>
      <c r="AV1499" t="s">
        <v>6507</v>
      </c>
      <c r="AY1499" t="s">
        <v>40</v>
      </c>
      <c r="AZ1499">
        <v>0</v>
      </c>
      <c r="BA1499">
        <v>0</v>
      </c>
      <c r="BI1499" s="5">
        <v>44048.176388888889</v>
      </c>
      <c r="BJ1499" s="5">
        <v>44048.176388888889</v>
      </c>
      <c r="BK1499" t="s">
        <v>778</v>
      </c>
      <c r="BL1499" t="s">
        <v>778</v>
      </c>
      <c r="BN1499" t="s">
        <v>37</v>
      </c>
    </row>
    <row r="1500" spans="1:66" x14ac:dyDescent="0.2">
      <c r="A1500">
        <v>3694057</v>
      </c>
      <c r="B1500">
        <v>21883</v>
      </c>
      <c r="C1500">
        <v>523888</v>
      </c>
      <c r="D1500">
        <v>52899</v>
      </c>
      <c r="E1500">
        <v>100</v>
      </c>
      <c r="F1500" t="s">
        <v>37</v>
      </c>
      <c r="G1500">
        <v>1</v>
      </c>
      <c r="H1500" t="s">
        <v>37</v>
      </c>
      <c r="I1500" t="s">
        <v>37</v>
      </c>
      <c r="J1500" t="s">
        <v>775</v>
      </c>
      <c r="K1500" t="s">
        <v>230</v>
      </c>
      <c r="L1500" t="s">
        <v>226</v>
      </c>
      <c r="M1500" t="s">
        <v>422</v>
      </c>
      <c r="N1500" t="s">
        <v>6508</v>
      </c>
      <c r="O1500" t="s">
        <v>6509</v>
      </c>
      <c r="S1500">
        <v>0</v>
      </c>
      <c r="T1500">
        <v>0</v>
      </c>
      <c r="U1500">
        <v>0</v>
      </c>
      <c r="V1500">
        <v>0</v>
      </c>
      <c r="W1500">
        <v>8</v>
      </c>
      <c r="X1500">
        <v>0</v>
      </c>
      <c r="Y1500">
        <v>0</v>
      </c>
      <c r="Z1500">
        <v>0</v>
      </c>
      <c r="AB1500" s="5">
        <v>43341.333333333336</v>
      </c>
      <c r="AC1500" s="5">
        <v>43350.666666666664</v>
      </c>
      <c r="AD1500" s="5">
        <v>43970.333333333336</v>
      </c>
      <c r="AE1500" s="5">
        <v>43970.333333333336</v>
      </c>
      <c r="AG1500" s="5">
        <v>44044</v>
      </c>
      <c r="AH1500" s="5">
        <v>44044</v>
      </c>
      <c r="AK1500" s="5">
        <v>43349.333333333336</v>
      </c>
      <c r="AL1500" s="5">
        <v>43349.666666666664</v>
      </c>
      <c r="AP1500" t="s">
        <v>418</v>
      </c>
      <c r="AU1500" t="s">
        <v>6510</v>
      </c>
      <c r="AV1500" t="s">
        <v>6511</v>
      </c>
      <c r="AY1500" t="s">
        <v>40</v>
      </c>
      <c r="AZ1500">
        <v>0</v>
      </c>
      <c r="BA1500">
        <v>0</v>
      </c>
      <c r="BI1500" s="5">
        <v>44048.176388888889</v>
      </c>
      <c r="BJ1500" s="5">
        <v>44048.176388888889</v>
      </c>
      <c r="BK1500" t="s">
        <v>778</v>
      </c>
      <c r="BL1500" t="s">
        <v>778</v>
      </c>
      <c r="BN1500" t="s">
        <v>37</v>
      </c>
    </row>
    <row r="1501" spans="1:66" x14ac:dyDescent="0.2">
      <c r="A1501">
        <v>3694058</v>
      </c>
      <c r="B1501">
        <v>21883</v>
      </c>
      <c r="C1501">
        <v>523999</v>
      </c>
      <c r="D1501">
        <v>52899</v>
      </c>
      <c r="E1501">
        <v>100</v>
      </c>
      <c r="F1501" t="s">
        <v>37</v>
      </c>
      <c r="G1501">
        <v>1</v>
      </c>
      <c r="H1501" t="s">
        <v>37</v>
      </c>
      <c r="I1501" t="s">
        <v>37</v>
      </c>
      <c r="J1501" t="s">
        <v>775</v>
      </c>
      <c r="K1501" t="s">
        <v>230</v>
      </c>
      <c r="L1501" t="s">
        <v>226</v>
      </c>
      <c r="M1501" t="s">
        <v>422</v>
      </c>
      <c r="N1501" t="s">
        <v>6512</v>
      </c>
      <c r="O1501" t="s">
        <v>6513</v>
      </c>
      <c r="S1501">
        <v>0</v>
      </c>
      <c r="T1501">
        <v>0</v>
      </c>
      <c r="U1501">
        <v>0</v>
      </c>
      <c r="V1501">
        <v>0</v>
      </c>
      <c r="W1501">
        <v>40</v>
      </c>
      <c r="X1501">
        <v>0</v>
      </c>
      <c r="Y1501">
        <v>0</v>
      </c>
      <c r="Z1501">
        <v>0</v>
      </c>
      <c r="AB1501" s="5">
        <v>43598</v>
      </c>
      <c r="AC1501" s="5">
        <v>43598</v>
      </c>
      <c r="AD1501" s="5">
        <v>44306.666666666664</v>
      </c>
      <c r="AE1501" s="5">
        <v>44306.666666666664</v>
      </c>
      <c r="AG1501" s="5">
        <v>44044</v>
      </c>
      <c r="AH1501" s="5">
        <v>44044</v>
      </c>
      <c r="AK1501" s="5">
        <v>43586.333333333336</v>
      </c>
      <c r="AL1501" s="5">
        <v>43592.666666666664</v>
      </c>
      <c r="AP1501" t="s">
        <v>418</v>
      </c>
      <c r="AU1501" t="s">
        <v>6514</v>
      </c>
      <c r="AV1501" t="s">
        <v>6515</v>
      </c>
      <c r="AY1501" t="s">
        <v>37</v>
      </c>
      <c r="AZ1501">
        <v>0</v>
      </c>
      <c r="BA1501">
        <v>0</v>
      </c>
      <c r="BI1501" s="5">
        <v>44048.176388888889</v>
      </c>
      <c r="BJ1501" s="5">
        <v>44048.176388888889</v>
      </c>
      <c r="BK1501" t="s">
        <v>778</v>
      </c>
      <c r="BL1501" t="s">
        <v>778</v>
      </c>
      <c r="BN1501" t="s">
        <v>37</v>
      </c>
    </row>
    <row r="1502" spans="1:66" x14ac:dyDescent="0.2">
      <c r="A1502">
        <v>3694059</v>
      </c>
      <c r="B1502">
        <v>21883</v>
      </c>
      <c r="C1502">
        <v>523972</v>
      </c>
      <c r="D1502">
        <v>52899</v>
      </c>
      <c r="E1502">
        <v>100</v>
      </c>
      <c r="F1502" t="s">
        <v>37</v>
      </c>
      <c r="G1502">
        <v>1</v>
      </c>
      <c r="H1502" t="s">
        <v>37</v>
      </c>
      <c r="I1502" t="s">
        <v>37</v>
      </c>
      <c r="J1502" t="s">
        <v>775</v>
      </c>
      <c r="K1502" t="s">
        <v>230</v>
      </c>
      <c r="L1502" t="s">
        <v>226</v>
      </c>
      <c r="M1502" t="s">
        <v>422</v>
      </c>
      <c r="N1502" t="s">
        <v>6516</v>
      </c>
      <c r="O1502" t="s">
        <v>6517</v>
      </c>
      <c r="S1502">
        <v>0</v>
      </c>
      <c r="T1502">
        <v>0</v>
      </c>
      <c r="U1502">
        <v>0</v>
      </c>
      <c r="V1502">
        <v>0</v>
      </c>
      <c r="W1502">
        <v>64</v>
      </c>
      <c r="X1502">
        <v>0</v>
      </c>
      <c r="Y1502">
        <v>0</v>
      </c>
      <c r="Z1502">
        <v>0</v>
      </c>
      <c r="AB1502" s="5">
        <v>43241.333333333336</v>
      </c>
      <c r="AC1502" s="5">
        <v>43251.666666666664</v>
      </c>
      <c r="AD1502" s="5">
        <v>43970.333333333336</v>
      </c>
      <c r="AE1502" s="5">
        <v>43970.333333333336</v>
      </c>
      <c r="AG1502" s="5">
        <v>44044</v>
      </c>
      <c r="AH1502" s="5">
        <v>44044</v>
      </c>
      <c r="AK1502" s="5">
        <v>43241.333333333336</v>
      </c>
      <c r="AL1502" s="5">
        <v>43251.666666666664</v>
      </c>
      <c r="AP1502" t="s">
        <v>418</v>
      </c>
      <c r="AU1502" t="s">
        <v>6518</v>
      </c>
      <c r="AV1502" t="s">
        <v>6519</v>
      </c>
      <c r="AY1502" t="s">
        <v>40</v>
      </c>
      <c r="AZ1502">
        <v>0</v>
      </c>
      <c r="BA1502">
        <v>0</v>
      </c>
      <c r="BI1502" s="5">
        <v>44048.176388888889</v>
      </c>
      <c r="BJ1502" s="5">
        <v>44048.176388888889</v>
      </c>
      <c r="BK1502" t="s">
        <v>778</v>
      </c>
      <c r="BL1502" t="s">
        <v>778</v>
      </c>
      <c r="BN1502" t="s">
        <v>37</v>
      </c>
    </row>
    <row r="1503" spans="1:66" x14ac:dyDescent="0.2">
      <c r="A1503">
        <v>3694060</v>
      </c>
      <c r="B1503">
        <v>21883</v>
      </c>
      <c r="C1503">
        <v>523939</v>
      </c>
      <c r="D1503">
        <v>52899</v>
      </c>
      <c r="E1503">
        <v>100</v>
      </c>
      <c r="F1503" t="s">
        <v>37</v>
      </c>
      <c r="G1503">
        <v>1</v>
      </c>
      <c r="H1503" t="s">
        <v>37</v>
      </c>
      <c r="I1503" t="s">
        <v>37</v>
      </c>
      <c r="J1503" t="s">
        <v>775</v>
      </c>
      <c r="K1503" t="s">
        <v>230</v>
      </c>
      <c r="L1503" t="s">
        <v>420</v>
      </c>
      <c r="M1503" t="s">
        <v>422</v>
      </c>
      <c r="N1503" t="s">
        <v>6520</v>
      </c>
      <c r="O1503" t="s">
        <v>6521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  <c r="AB1503" s="5">
        <v>43507</v>
      </c>
      <c r="AC1503" s="5">
        <v>43507</v>
      </c>
      <c r="AD1503" s="5">
        <v>44306.666666666664</v>
      </c>
      <c r="AE1503" s="5">
        <v>44306.666666666664</v>
      </c>
      <c r="AG1503" s="5">
        <v>44044</v>
      </c>
      <c r="AH1503" s="5">
        <v>44044</v>
      </c>
      <c r="AK1503" s="5">
        <v>43528.333333333336</v>
      </c>
      <c r="AL1503" s="5">
        <v>43528.333333333336</v>
      </c>
      <c r="AP1503" t="s">
        <v>418</v>
      </c>
      <c r="AU1503" t="s">
        <v>6522</v>
      </c>
      <c r="AY1503" t="s">
        <v>37</v>
      </c>
      <c r="AZ1503">
        <v>0</v>
      </c>
      <c r="BA1503">
        <v>0</v>
      </c>
      <c r="BI1503" s="5">
        <v>44048.176388888889</v>
      </c>
      <c r="BJ1503" s="5">
        <v>44048.176388888889</v>
      </c>
      <c r="BK1503" t="s">
        <v>778</v>
      </c>
      <c r="BL1503" t="s">
        <v>778</v>
      </c>
      <c r="BN1503" t="s">
        <v>37</v>
      </c>
    </row>
    <row r="1504" spans="1:66" x14ac:dyDescent="0.2">
      <c r="A1504">
        <v>3694061</v>
      </c>
      <c r="B1504">
        <v>21883</v>
      </c>
      <c r="C1504">
        <v>523939</v>
      </c>
      <c r="D1504">
        <v>52899</v>
      </c>
      <c r="E1504">
        <v>100</v>
      </c>
      <c r="F1504" t="s">
        <v>37</v>
      </c>
      <c r="G1504">
        <v>1</v>
      </c>
      <c r="H1504" t="s">
        <v>37</v>
      </c>
      <c r="I1504" t="s">
        <v>37</v>
      </c>
      <c r="J1504" t="s">
        <v>775</v>
      </c>
      <c r="K1504" t="s">
        <v>419</v>
      </c>
      <c r="L1504" t="s">
        <v>420</v>
      </c>
      <c r="M1504" t="s">
        <v>422</v>
      </c>
      <c r="N1504" t="s">
        <v>6523</v>
      </c>
      <c r="O1504" t="s">
        <v>6524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  <c r="AB1504" s="5">
        <v>43276</v>
      </c>
      <c r="AC1504" s="5">
        <v>43276</v>
      </c>
      <c r="AD1504" s="5">
        <v>44069.333333333336</v>
      </c>
      <c r="AE1504" s="5">
        <v>44069.333333333336</v>
      </c>
      <c r="AG1504" s="5">
        <v>44044</v>
      </c>
      <c r="AH1504" s="5">
        <v>44044</v>
      </c>
      <c r="AK1504" s="5">
        <v>43528.333333333336</v>
      </c>
      <c r="AL1504" s="5">
        <v>43528.333333333336</v>
      </c>
      <c r="AP1504" t="s">
        <v>418</v>
      </c>
      <c r="AU1504" t="s">
        <v>6525</v>
      </c>
      <c r="AY1504" t="s">
        <v>37</v>
      </c>
      <c r="AZ1504">
        <v>0</v>
      </c>
      <c r="BA1504">
        <v>0</v>
      </c>
      <c r="BI1504" s="5">
        <v>44048.176388888889</v>
      </c>
      <c r="BJ1504" s="5">
        <v>44048.176388888889</v>
      </c>
      <c r="BK1504" t="s">
        <v>778</v>
      </c>
      <c r="BL1504" t="s">
        <v>778</v>
      </c>
      <c r="BN1504" t="s">
        <v>37</v>
      </c>
    </row>
    <row r="1505" spans="1:66" x14ac:dyDescent="0.2">
      <c r="A1505">
        <v>3694062</v>
      </c>
      <c r="B1505">
        <v>21883</v>
      </c>
      <c r="C1505">
        <v>523999</v>
      </c>
      <c r="D1505">
        <v>52899</v>
      </c>
      <c r="E1505">
        <v>100</v>
      </c>
      <c r="F1505" t="s">
        <v>37</v>
      </c>
      <c r="G1505">
        <v>1</v>
      </c>
      <c r="H1505" t="s">
        <v>37</v>
      </c>
      <c r="I1505" t="s">
        <v>37</v>
      </c>
      <c r="J1505" t="s">
        <v>775</v>
      </c>
      <c r="K1505" t="s">
        <v>230</v>
      </c>
      <c r="L1505" t="s">
        <v>226</v>
      </c>
      <c r="M1505" t="s">
        <v>422</v>
      </c>
      <c r="N1505" t="s">
        <v>6526</v>
      </c>
      <c r="O1505" t="s">
        <v>6527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0</v>
      </c>
      <c r="AB1505" s="5">
        <v>43586</v>
      </c>
      <c r="AC1505" s="5">
        <v>43586</v>
      </c>
      <c r="AD1505" s="5">
        <v>44306.666666666664</v>
      </c>
      <c r="AE1505" s="5">
        <v>44306.666666666664</v>
      </c>
      <c r="AG1505" s="5">
        <v>44044</v>
      </c>
      <c r="AH1505" s="5">
        <v>44044</v>
      </c>
      <c r="AK1505" s="5">
        <v>43619.333333333336</v>
      </c>
      <c r="AL1505" s="5">
        <v>43619.333333333336</v>
      </c>
      <c r="AP1505" t="s">
        <v>418</v>
      </c>
      <c r="AU1505" t="s">
        <v>6528</v>
      </c>
      <c r="AY1505" t="s">
        <v>37</v>
      </c>
      <c r="AZ1505">
        <v>0</v>
      </c>
      <c r="BA1505">
        <v>0</v>
      </c>
      <c r="BI1505" s="5">
        <v>44048.176388888889</v>
      </c>
      <c r="BJ1505" s="5">
        <v>44048.176388888889</v>
      </c>
      <c r="BK1505" t="s">
        <v>778</v>
      </c>
      <c r="BL1505" t="s">
        <v>778</v>
      </c>
      <c r="BN1505" t="s">
        <v>37</v>
      </c>
    </row>
    <row r="1506" spans="1:66" x14ac:dyDescent="0.2">
      <c r="A1506">
        <v>3694063</v>
      </c>
      <c r="B1506">
        <v>21883</v>
      </c>
      <c r="C1506">
        <v>523936</v>
      </c>
      <c r="D1506">
        <v>52899</v>
      </c>
      <c r="E1506">
        <v>100</v>
      </c>
      <c r="F1506" t="s">
        <v>37</v>
      </c>
      <c r="G1506">
        <v>1</v>
      </c>
      <c r="H1506" t="s">
        <v>37</v>
      </c>
      <c r="I1506" t="s">
        <v>37</v>
      </c>
      <c r="J1506" t="s">
        <v>775</v>
      </c>
      <c r="K1506" t="s">
        <v>230</v>
      </c>
      <c r="L1506" t="s">
        <v>226</v>
      </c>
      <c r="M1506" t="s">
        <v>422</v>
      </c>
      <c r="N1506" t="s">
        <v>6529</v>
      </c>
      <c r="O1506" t="s">
        <v>6530</v>
      </c>
      <c r="S1506">
        <v>0</v>
      </c>
      <c r="T1506">
        <v>0</v>
      </c>
      <c r="U1506">
        <v>0</v>
      </c>
      <c r="V1506">
        <v>0</v>
      </c>
      <c r="W1506">
        <v>80</v>
      </c>
      <c r="X1506">
        <v>0</v>
      </c>
      <c r="Y1506">
        <v>0</v>
      </c>
      <c r="Z1506">
        <v>0</v>
      </c>
      <c r="AB1506" s="5">
        <v>43500</v>
      </c>
      <c r="AC1506" s="5">
        <v>43571</v>
      </c>
      <c r="AD1506" s="5">
        <v>43970.333333333336</v>
      </c>
      <c r="AE1506" s="5">
        <v>43970.333333333336</v>
      </c>
      <c r="AG1506" s="5">
        <v>44044</v>
      </c>
      <c r="AH1506" s="5">
        <v>44044</v>
      </c>
      <c r="AK1506" s="5">
        <v>43623.333333333336</v>
      </c>
      <c r="AL1506" s="5">
        <v>43640.666666666664</v>
      </c>
      <c r="AP1506" t="s">
        <v>418</v>
      </c>
      <c r="AU1506" t="s">
        <v>6531</v>
      </c>
      <c r="AY1506" t="s">
        <v>40</v>
      </c>
      <c r="AZ1506">
        <v>0</v>
      </c>
      <c r="BA1506">
        <v>0</v>
      </c>
      <c r="BI1506" s="5">
        <v>44048.176388888889</v>
      </c>
      <c r="BJ1506" s="5">
        <v>44048.176388888889</v>
      </c>
      <c r="BK1506" t="s">
        <v>778</v>
      </c>
      <c r="BL1506" t="s">
        <v>778</v>
      </c>
      <c r="BN1506" t="s">
        <v>37</v>
      </c>
    </row>
    <row r="1507" spans="1:66" x14ac:dyDescent="0.2">
      <c r="A1507">
        <v>3694064</v>
      </c>
      <c r="B1507">
        <v>21883</v>
      </c>
      <c r="C1507">
        <v>523946</v>
      </c>
      <c r="D1507">
        <v>52899</v>
      </c>
      <c r="E1507">
        <v>100</v>
      </c>
      <c r="F1507" t="s">
        <v>37</v>
      </c>
      <c r="G1507">
        <v>1</v>
      </c>
      <c r="H1507" t="s">
        <v>37</v>
      </c>
      <c r="I1507" t="s">
        <v>37</v>
      </c>
      <c r="J1507" t="s">
        <v>775</v>
      </c>
      <c r="K1507" t="s">
        <v>230</v>
      </c>
      <c r="L1507" t="s">
        <v>226</v>
      </c>
      <c r="M1507" t="s">
        <v>422</v>
      </c>
      <c r="N1507" t="s">
        <v>6532</v>
      </c>
      <c r="O1507" t="s">
        <v>6533</v>
      </c>
      <c r="S1507">
        <v>0</v>
      </c>
      <c r="T1507">
        <v>0</v>
      </c>
      <c r="U1507">
        <v>0</v>
      </c>
      <c r="V1507">
        <v>0</v>
      </c>
      <c r="W1507">
        <v>120</v>
      </c>
      <c r="X1507">
        <v>0</v>
      </c>
      <c r="Y1507">
        <v>0</v>
      </c>
      <c r="Z1507">
        <v>0</v>
      </c>
      <c r="AB1507" s="5">
        <v>43180.333333333336</v>
      </c>
      <c r="AC1507" s="5">
        <v>43249.666666666664</v>
      </c>
      <c r="AD1507" s="5">
        <v>43970.333333333336</v>
      </c>
      <c r="AE1507" s="5">
        <v>43970.333333333336</v>
      </c>
      <c r="AG1507" s="5">
        <v>44044</v>
      </c>
      <c r="AH1507" s="5">
        <v>44044</v>
      </c>
      <c r="AK1507" s="5">
        <v>43193.333333333336</v>
      </c>
      <c r="AL1507" s="5">
        <v>43215.666666666664</v>
      </c>
      <c r="AP1507" t="s">
        <v>418</v>
      </c>
      <c r="AU1507" t="s">
        <v>6534</v>
      </c>
      <c r="AY1507" t="s">
        <v>40</v>
      </c>
      <c r="AZ1507">
        <v>0</v>
      </c>
      <c r="BA1507">
        <v>0</v>
      </c>
      <c r="BI1507" s="5">
        <v>44048.176388888889</v>
      </c>
      <c r="BJ1507" s="5">
        <v>44048.176388888889</v>
      </c>
      <c r="BK1507" t="s">
        <v>778</v>
      </c>
      <c r="BL1507" t="s">
        <v>778</v>
      </c>
      <c r="BN1507" t="s">
        <v>37</v>
      </c>
    </row>
    <row r="1508" spans="1:66" x14ac:dyDescent="0.2">
      <c r="A1508">
        <v>3694065</v>
      </c>
      <c r="B1508">
        <v>21883</v>
      </c>
      <c r="C1508">
        <v>523946</v>
      </c>
      <c r="D1508">
        <v>52899</v>
      </c>
      <c r="E1508">
        <v>100</v>
      </c>
      <c r="F1508" t="s">
        <v>37</v>
      </c>
      <c r="G1508">
        <v>1</v>
      </c>
      <c r="H1508" t="s">
        <v>37</v>
      </c>
      <c r="I1508" t="s">
        <v>37</v>
      </c>
      <c r="J1508" t="s">
        <v>775</v>
      </c>
      <c r="K1508" t="s">
        <v>230</v>
      </c>
      <c r="L1508" t="s">
        <v>226</v>
      </c>
      <c r="M1508" t="s">
        <v>422</v>
      </c>
      <c r="N1508" t="s">
        <v>6535</v>
      </c>
      <c r="O1508" t="s">
        <v>6536</v>
      </c>
      <c r="S1508">
        <v>0</v>
      </c>
      <c r="T1508">
        <v>0</v>
      </c>
      <c r="U1508">
        <v>0</v>
      </c>
      <c r="V1508">
        <v>0</v>
      </c>
      <c r="W1508">
        <v>240</v>
      </c>
      <c r="X1508">
        <v>0</v>
      </c>
      <c r="Y1508">
        <v>0</v>
      </c>
      <c r="Z1508">
        <v>0</v>
      </c>
      <c r="AB1508" s="5">
        <v>43304.333333333336</v>
      </c>
      <c r="AC1508" s="5">
        <v>43383</v>
      </c>
      <c r="AD1508" s="5">
        <v>43970.333333333336</v>
      </c>
      <c r="AE1508" s="5">
        <v>43970.333333333336</v>
      </c>
      <c r="AG1508" s="5">
        <v>44044</v>
      </c>
      <c r="AH1508" s="5">
        <v>44044</v>
      </c>
      <c r="AK1508" s="5">
        <v>43313.333333333336</v>
      </c>
      <c r="AL1508" s="5">
        <v>43363.666666666664</v>
      </c>
      <c r="AP1508" t="s">
        <v>418</v>
      </c>
      <c r="AU1508" t="s">
        <v>6537</v>
      </c>
      <c r="AY1508" t="s">
        <v>40</v>
      </c>
      <c r="AZ1508">
        <v>0</v>
      </c>
      <c r="BA1508">
        <v>0</v>
      </c>
      <c r="BI1508" s="5">
        <v>44048.176388888889</v>
      </c>
      <c r="BJ1508" s="5">
        <v>44048.176388888889</v>
      </c>
      <c r="BK1508" t="s">
        <v>778</v>
      </c>
      <c r="BL1508" t="s">
        <v>778</v>
      </c>
      <c r="BN1508" t="s">
        <v>37</v>
      </c>
    </row>
    <row r="1509" spans="1:66" x14ac:dyDescent="0.2">
      <c r="A1509">
        <v>3694066</v>
      </c>
      <c r="B1509">
        <v>21883</v>
      </c>
      <c r="C1509">
        <v>523983</v>
      </c>
      <c r="D1509">
        <v>52895</v>
      </c>
      <c r="E1509">
        <v>100</v>
      </c>
      <c r="F1509" t="s">
        <v>37</v>
      </c>
      <c r="G1509">
        <v>1</v>
      </c>
      <c r="H1509" t="s">
        <v>37</v>
      </c>
      <c r="I1509" t="s">
        <v>37</v>
      </c>
      <c r="J1509" t="s">
        <v>775</v>
      </c>
      <c r="K1509" t="s">
        <v>230</v>
      </c>
      <c r="L1509" t="s">
        <v>226</v>
      </c>
      <c r="M1509" t="s">
        <v>422</v>
      </c>
      <c r="N1509" t="s">
        <v>6538</v>
      </c>
      <c r="O1509" t="s">
        <v>6539</v>
      </c>
      <c r="S1509">
        <v>0</v>
      </c>
      <c r="T1509">
        <v>0</v>
      </c>
      <c r="U1509">
        <v>0</v>
      </c>
      <c r="V1509">
        <v>0</v>
      </c>
      <c r="W1509">
        <v>240</v>
      </c>
      <c r="X1509">
        <v>0</v>
      </c>
      <c r="Y1509">
        <v>0</v>
      </c>
      <c r="Z1509">
        <v>0</v>
      </c>
      <c r="AB1509" s="5">
        <v>43416</v>
      </c>
      <c r="AC1509" s="5">
        <v>43571</v>
      </c>
      <c r="AD1509" s="5">
        <v>43970.333333333336</v>
      </c>
      <c r="AE1509" s="5">
        <v>43970.333333333336</v>
      </c>
      <c r="AG1509" s="5">
        <v>44044</v>
      </c>
      <c r="AH1509" s="5">
        <v>44044</v>
      </c>
      <c r="AK1509" s="5">
        <v>43497.333333333336</v>
      </c>
      <c r="AL1509" s="5">
        <v>43526.666666666664</v>
      </c>
      <c r="AP1509" t="s">
        <v>418</v>
      </c>
      <c r="AU1509" t="s">
        <v>6540</v>
      </c>
      <c r="AY1509" t="s">
        <v>40</v>
      </c>
      <c r="AZ1509">
        <v>0</v>
      </c>
      <c r="BA1509">
        <v>0</v>
      </c>
      <c r="BI1509" s="5">
        <v>44048.176388888889</v>
      </c>
      <c r="BJ1509" s="5">
        <v>44048.176388888889</v>
      </c>
      <c r="BK1509" t="s">
        <v>778</v>
      </c>
      <c r="BL1509" t="s">
        <v>778</v>
      </c>
      <c r="BN1509" t="s">
        <v>37</v>
      </c>
    </row>
    <row r="1510" spans="1:66" x14ac:dyDescent="0.2">
      <c r="A1510">
        <v>3694067</v>
      </c>
      <c r="B1510">
        <v>21883</v>
      </c>
      <c r="C1510">
        <v>523937</v>
      </c>
      <c r="D1510">
        <v>52899</v>
      </c>
      <c r="E1510">
        <v>100</v>
      </c>
      <c r="F1510" t="s">
        <v>37</v>
      </c>
      <c r="G1510">
        <v>1</v>
      </c>
      <c r="H1510" t="s">
        <v>37</v>
      </c>
      <c r="I1510" t="s">
        <v>37</v>
      </c>
      <c r="J1510" t="s">
        <v>775</v>
      </c>
      <c r="K1510" t="s">
        <v>230</v>
      </c>
      <c r="L1510" t="s">
        <v>226</v>
      </c>
      <c r="M1510" t="s">
        <v>422</v>
      </c>
      <c r="N1510" t="s">
        <v>6541</v>
      </c>
      <c r="O1510" t="s">
        <v>6542</v>
      </c>
      <c r="S1510">
        <v>0</v>
      </c>
      <c r="T1510">
        <v>0</v>
      </c>
      <c r="U1510">
        <v>0</v>
      </c>
      <c r="V1510">
        <v>0</v>
      </c>
      <c r="W1510">
        <v>64</v>
      </c>
      <c r="X1510">
        <v>0</v>
      </c>
      <c r="Y1510">
        <v>0</v>
      </c>
      <c r="Z1510">
        <v>0</v>
      </c>
      <c r="AB1510" s="5">
        <v>43588</v>
      </c>
      <c r="AC1510" s="5">
        <v>43594</v>
      </c>
      <c r="AD1510" s="5">
        <v>44159.666666666664</v>
      </c>
      <c r="AE1510" s="5">
        <v>44159.666666666664</v>
      </c>
      <c r="AG1510" s="5">
        <v>44044</v>
      </c>
      <c r="AH1510" s="5">
        <v>44044</v>
      </c>
      <c r="AK1510" s="5">
        <v>43619.333333333336</v>
      </c>
      <c r="AL1510" s="5">
        <v>43630.666666666664</v>
      </c>
      <c r="AP1510" t="s">
        <v>418</v>
      </c>
      <c r="AU1510" t="s">
        <v>6543</v>
      </c>
      <c r="AY1510" t="s">
        <v>37</v>
      </c>
      <c r="AZ1510">
        <v>0</v>
      </c>
      <c r="BA1510">
        <v>0</v>
      </c>
      <c r="BI1510" s="5">
        <v>44048.176388888889</v>
      </c>
      <c r="BJ1510" s="5">
        <v>44048.176388888889</v>
      </c>
      <c r="BK1510" t="s">
        <v>778</v>
      </c>
      <c r="BL1510" t="s">
        <v>778</v>
      </c>
      <c r="BN1510" t="s">
        <v>37</v>
      </c>
    </row>
    <row r="1511" spans="1:66" x14ac:dyDescent="0.2">
      <c r="A1511">
        <v>3694068</v>
      </c>
      <c r="B1511">
        <v>21883</v>
      </c>
      <c r="C1511">
        <v>523937</v>
      </c>
      <c r="D1511">
        <v>52899</v>
      </c>
      <c r="E1511">
        <v>100</v>
      </c>
      <c r="F1511" t="s">
        <v>37</v>
      </c>
      <c r="G1511">
        <v>1</v>
      </c>
      <c r="H1511" t="s">
        <v>37</v>
      </c>
      <c r="I1511" t="s">
        <v>37</v>
      </c>
      <c r="J1511" t="s">
        <v>775</v>
      </c>
      <c r="K1511" t="s">
        <v>230</v>
      </c>
      <c r="L1511" t="s">
        <v>226</v>
      </c>
      <c r="M1511" t="s">
        <v>422</v>
      </c>
      <c r="N1511" t="s">
        <v>6544</v>
      </c>
      <c r="O1511" t="s">
        <v>6545</v>
      </c>
      <c r="S1511">
        <v>0</v>
      </c>
      <c r="T1511">
        <v>0</v>
      </c>
      <c r="U1511">
        <v>0</v>
      </c>
      <c r="V1511">
        <v>0</v>
      </c>
      <c r="W1511">
        <v>16</v>
      </c>
      <c r="X1511">
        <v>0</v>
      </c>
      <c r="Y1511">
        <v>0</v>
      </c>
      <c r="Z1511">
        <v>0</v>
      </c>
      <c r="AB1511" s="5">
        <v>43658</v>
      </c>
      <c r="AC1511" s="5">
        <v>43658</v>
      </c>
      <c r="AD1511" s="5">
        <v>44159.666666666664</v>
      </c>
      <c r="AE1511" s="5">
        <v>44159.666666666664</v>
      </c>
      <c r="AG1511" s="5">
        <v>44044</v>
      </c>
      <c r="AH1511" s="5">
        <v>44044</v>
      </c>
      <c r="AK1511" s="5">
        <v>43678.333333333336</v>
      </c>
      <c r="AL1511" s="5">
        <v>43679.666666666664</v>
      </c>
      <c r="AP1511" t="s">
        <v>418</v>
      </c>
      <c r="AU1511" t="s">
        <v>6546</v>
      </c>
      <c r="AY1511" t="s">
        <v>37</v>
      </c>
      <c r="AZ1511">
        <v>0</v>
      </c>
      <c r="BA1511">
        <v>0</v>
      </c>
      <c r="BI1511" s="5">
        <v>44048.176388888889</v>
      </c>
      <c r="BJ1511" s="5">
        <v>44048.176388888889</v>
      </c>
      <c r="BK1511" t="s">
        <v>778</v>
      </c>
      <c r="BL1511" t="s">
        <v>778</v>
      </c>
      <c r="BN1511" t="s">
        <v>37</v>
      </c>
    </row>
    <row r="1512" spans="1:66" x14ac:dyDescent="0.2">
      <c r="A1512">
        <v>3694069</v>
      </c>
      <c r="B1512">
        <v>21883</v>
      </c>
      <c r="C1512">
        <v>523935</v>
      </c>
      <c r="D1512">
        <v>52899</v>
      </c>
      <c r="E1512">
        <v>100</v>
      </c>
      <c r="F1512" t="s">
        <v>37</v>
      </c>
      <c r="G1512">
        <v>1</v>
      </c>
      <c r="H1512" t="s">
        <v>37</v>
      </c>
      <c r="I1512" t="s">
        <v>37</v>
      </c>
      <c r="J1512" t="s">
        <v>775</v>
      </c>
      <c r="K1512" t="s">
        <v>230</v>
      </c>
      <c r="L1512" t="s">
        <v>226</v>
      </c>
      <c r="M1512" t="s">
        <v>422</v>
      </c>
      <c r="N1512" t="s">
        <v>6547</v>
      </c>
      <c r="O1512" t="s">
        <v>6548</v>
      </c>
      <c r="S1512">
        <v>0</v>
      </c>
      <c r="T1512">
        <v>0</v>
      </c>
      <c r="U1512">
        <v>0</v>
      </c>
      <c r="V1512">
        <v>0</v>
      </c>
      <c r="W1512">
        <v>88</v>
      </c>
      <c r="X1512">
        <v>0</v>
      </c>
      <c r="Y1512">
        <v>0</v>
      </c>
      <c r="Z1512">
        <v>0</v>
      </c>
      <c r="AB1512" s="5">
        <v>43878</v>
      </c>
      <c r="AC1512" s="5">
        <v>43978</v>
      </c>
      <c r="AD1512" s="5">
        <v>44153.333333333336</v>
      </c>
      <c r="AE1512" s="5">
        <v>44153.333333333336</v>
      </c>
      <c r="AG1512" s="5">
        <v>44044</v>
      </c>
      <c r="AH1512" s="5">
        <v>44044</v>
      </c>
      <c r="AK1512" s="5">
        <v>43978.333333333336</v>
      </c>
      <c r="AL1512" s="5">
        <v>43994.666666666664</v>
      </c>
      <c r="AP1512" t="s">
        <v>418</v>
      </c>
      <c r="AU1512" t="s">
        <v>6549</v>
      </c>
      <c r="AV1512" t="s">
        <v>6550</v>
      </c>
      <c r="AY1512" t="s">
        <v>37</v>
      </c>
      <c r="AZ1512">
        <v>0</v>
      </c>
      <c r="BA1512">
        <v>0</v>
      </c>
      <c r="BI1512" s="5">
        <v>44048.176388888889</v>
      </c>
      <c r="BJ1512" s="5">
        <v>44048.176388888889</v>
      </c>
      <c r="BK1512" t="s">
        <v>778</v>
      </c>
      <c r="BL1512" t="s">
        <v>778</v>
      </c>
      <c r="BN1512" t="s">
        <v>37</v>
      </c>
    </row>
    <row r="1513" spans="1:66" x14ac:dyDescent="0.2">
      <c r="A1513">
        <v>3694070</v>
      </c>
      <c r="B1513">
        <v>21883</v>
      </c>
      <c r="C1513">
        <v>523935</v>
      </c>
      <c r="D1513">
        <v>52899</v>
      </c>
      <c r="E1513">
        <v>0</v>
      </c>
      <c r="F1513" t="s">
        <v>37</v>
      </c>
      <c r="G1513">
        <v>1</v>
      </c>
      <c r="H1513" t="s">
        <v>37</v>
      </c>
      <c r="I1513" t="s">
        <v>37</v>
      </c>
      <c r="J1513" t="s">
        <v>775</v>
      </c>
      <c r="K1513" t="s">
        <v>230</v>
      </c>
      <c r="L1513" t="s">
        <v>226</v>
      </c>
      <c r="M1513" t="s">
        <v>417</v>
      </c>
      <c r="N1513" t="s">
        <v>6551</v>
      </c>
      <c r="O1513" t="s">
        <v>6552</v>
      </c>
      <c r="Q1513">
        <v>536</v>
      </c>
      <c r="R1513">
        <v>976</v>
      </c>
      <c r="S1513">
        <v>32</v>
      </c>
      <c r="T1513">
        <v>0</v>
      </c>
      <c r="U1513">
        <v>0</v>
      </c>
      <c r="V1513">
        <v>0</v>
      </c>
      <c r="W1513">
        <v>32</v>
      </c>
      <c r="X1513">
        <v>0</v>
      </c>
      <c r="Y1513">
        <v>0</v>
      </c>
      <c r="Z1513">
        <v>0</v>
      </c>
      <c r="AD1513" s="5">
        <v>44153.333333333336</v>
      </c>
      <c r="AE1513" s="5">
        <v>44159.666666666664</v>
      </c>
      <c r="AG1513" s="5">
        <v>44046.333333333336</v>
      </c>
      <c r="AH1513" s="5">
        <v>44049.666666666664</v>
      </c>
      <c r="AI1513" s="5">
        <v>44046.333333333336</v>
      </c>
      <c r="AJ1513" s="5">
        <v>44049.666666666664</v>
      </c>
      <c r="AK1513" s="5">
        <v>44046.333333333336</v>
      </c>
      <c r="AL1513" s="5">
        <v>44049.666666666664</v>
      </c>
      <c r="AM1513" s="5">
        <v>44153.333333333336</v>
      </c>
      <c r="AN1513" s="5">
        <v>44159.666666666664</v>
      </c>
      <c r="AP1513" t="s">
        <v>418</v>
      </c>
      <c r="AU1513" t="s">
        <v>6553</v>
      </c>
      <c r="AV1513" t="s">
        <v>6554</v>
      </c>
      <c r="AY1513" t="s">
        <v>37</v>
      </c>
      <c r="AZ1513">
        <v>0</v>
      </c>
      <c r="BA1513">
        <v>0</v>
      </c>
      <c r="BI1513" s="5">
        <v>44048.176388888889</v>
      </c>
      <c r="BJ1513" s="5">
        <v>44048.176388888889</v>
      </c>
      <c r="BK1513" t="s">
        <v>778</v>
      </c>
      <c r="BL1513" t="s">
        <v>778</v>
      </c>
      <c r="BN1513" t="s">
        <v>37</v>
      </c>
    </row>
    <row r="1514" spans="1:66" x14ac:dyDescent="0.2">
      <c r="A1514">
        <v>3694071</v>
      </c>
      <c r="B1514">
        <v>21883</v>
      </c>
      <c r="C1514">
        <v>523999</v>
      </c>
      <c r="D1514">
        <v>52899</v>
      </c>
      <c r="E1514">
        <v>100</v>
      </c>
      <c r="F1514" t="s">
        <v>37</v>
      </c>
      <c r="G1514">
        <v>1</v>
      </c>
      <c r="H1514" t="s">
        <v>37</v>
      </c>
      <c r="I1514" t="s">
        <v>37</v>
      </c>
      <c r="J1514" t="s">
        <v>775</v>
      </c>
      <c r="K1514" t="s">
        <v>230</v>
      </c>
      <c r="L1514" t="s">
        <v>226</v>
      </c>
      <c r="M1514" t="s">
        <v>422</v>
      </c>
      <c r="N1514" t="s">
        <v>6555</v>
      </c>
      <c r="O1514" t="s">
        <v>6556</v>
      </c>
      <c r="S1514">
        <v>0</v>
      </c>
      <c r="T1514">
        <v>0</v>
      </c>
      <c r="U1514">
        <v>0</v>
      </c>
      <c r="V1514">
        <v>0</v>
      </c>
      <c r="W1514">
        <v>88</v>
      </c>
      <c r="X1514">
        <v>0</v>
      </c>
      <c r="Y1514">
        <v>0</v>
      </c>
      <c r="Z1514">
        <v>0</v>
      </c>
      <c r="AB1514" s="5">
        <v>43830</v>
      </c>
      <c r="AC1514" s="5">
        <v>43830</v>
      </c>
      <c r="AD1514" s="5">
        <v>44306.666666666664</v>
      </c>
      <c r="AE1514" s="5">
        <v>44306.666666666664</v>
      </c>
      <c r="AG1514" s="5">
        <v>44044</v>
      </c>
      <c r="AH1514" s="5">
        <v>44044</v>
      </c>
      <c r="AK1514" s="5">
        <v>43832.333333333336</v>
      </c>
      <c r="AL1514" s="5">
        <v>43847.666666666664</v>
      </c>
      <c r="AP1514" t="s">
        <v>418</v>
      </c>
      <c r="AU1514" t="s">
        <v>6557</v>
      </c>
      <c r="AV1514" t="s">
        <v>6550</v>
      </c>
      <c r="AY1514" t="s">
        <v>37</v>
      </c>
      <c r="AZ1514">
        <v>0</v>
      </c>
      <c r="BA1514">
        <v>0</v>
      </c>
      <c r="BI1514" s="5">
        <v>44048.176388888889</v>
      </c>
      <c r="BJ1514" s="5">
        <v>44048.176388888889</v>
      </c>
      <c r="BK1514" t="s">
        <v>778</v>
      </c>
      <c r="BL1514" t="s">
        <v>778</v>
      </c>
      <c r="BN1514" t="s">
        <v>37</v>
      </c>
    </row>
    <row r="1515" spans="1:66" x14ac:dyDescent="0.2">
      <c r="A1515">
        <v>3694072</v>
      </c>
      <c r="B1515">
        <v>21883</v>
      </c>
      <c r="C1515">
        <v>523933</v>
      </c>
      <c r="D1515">
        <v>52899</v>
      </c>
      <c r="E1515">
        <v>0</v>
      </c>
      <c r="F1515" t="s">
        <v>37</v>
      </c>
      <c r="G1515">
        <v>1</v>
      </c>
      <c r="H1515" t="s">
        <v>37</v>
      </c>
      <c r="I1515" t="s">
        <v>37</v>
      </c>
      <c r="J1515" t="s">
        <v>775</v>
      </c>
      <c r="K1515" t="s">
        <v>230</v>
      </c>
      <c r="L1515" t="s">
        <v>226</v>
      </c>
      <c r="M1515" t="s">
        <v>417</v>
      </c>
      <c r="N1515" t="s">
        <v>6558</v>
      </c>
      <c r="O1515" t="s">
        <v>6559</v>
      </c>
      <c r="Q1515">
        <v>536</v>
      </c>
      <c r="R1515">
        <v>976</v>
      </c>
      <c r="S1515">
        <v>32</v>
      </c>
      <c r="T1515">
        <v>0</v>
      </c>
      <c r="U1515">
        <v>0</v>
      </c>
      <c r="V1515">
        <v>0</v>
      </c>
      <c r="W1515">
        <v>32</v>
      </c>
      <c r="X1515">
        <v>0</v>
      </c>
      <c r="Y1515">
        <v>0</v>
      </c>
      <c r="Z1515">
        <v>0</v>
      </c>
      <c r="AD1515" s="5">
        <v>44153.333333333336</v>
      </c>
      <c r="AE1515" s="5">
        <v>44159.666666666664</v>
      </c>
      <c r="AG1515" s="5">
        <v>44046.333333333336</v>
      </c>
      <c r="AH1515" s="5">
        <v>44049.666666666664</v>
      </c>
      <c r="AI1515" s="5">
        <v>44046.333333333336</v>
      </c>
      <c r="AJ1515" s="5">
        <v>44049.666666666664</v>
      </c>
      <c r="AK1515" s="5">
        <v>44046.333333333336</v>
      </c>
      <c r="AL1515" s="5">
        <v>44049.666666666664</v>
      </c>
      <c r="AM1515" s="5">
        <v>44153.333333333336</v>
      </c>
      <c r="AN1515" s="5">
        <v>44159.666666666664</v>
      </c>
      <c r="AP1515" t="s">
        <v>418</v>
      </c>
      <c r="AU1515" t="s">
        <v>6560</v>
      </c>
      <c r="AV1515" t="s">
        <v>6554</v>
      </c>
      <c r="AY1515" t="s">
        <v>37</v>
      </c>
      <c r="AZ1515">
        <v>0</v>
      </c>
      <c r="BA1515">
        <v>0</v>
      </c>
      <c r="BI1515" s="5">
        <v>44048.176388888889</v>
      </c>
      <c r="BJ1515" s="5">
        <v>44048.176388888889</v>
      </c>
      <c r="BK1515" t="s">
        <v>778</v>
      </c>
      <c r="BL1515" t="s">
        <v>778</v>
      </c>
      <c r="BN1515" t="s">
        <v>37</v>
      </c>
    </row>
    <row r="1516" spans="1:66" x14ac:dyDescent="0.2">
      <c r="A1516">
        <v>3694073</v>
      </c>
      <c r="B1516">
        <v>21883</v>
      </c>
      <c r="C1516">
        <v>523932</v>
      </c>
      <c r="D1516">
        <v>52899</v>
      </c>
      <c r="E1516">
        <v>0</v>
      </c>
      <c r="F1516" t="s">
        <v>37</v>
      </c>
      <c r="G1516">
        <v>1</v>
      </c>
      <c r="H1516" t="s">
        <v>37</v>
      </c>
      <c r="I1516" t="s">
        <v>37</v>
      </c>
      <c r="J1516" t="s">
        <v>775</v>
      </c>
      <c r="K1516" t="s">
        <v>230</v>
      </c>
      <c r="L1516" t="s">
        <v>226</v>
      </c>
      <c r="M1516" t="s">
        <v>417</v>
      </c>
      <c r="N1516" t="s">
        <v>6561</v>
      </c>
      <c r="O1516" t="s">
        <v>6562</v>
      </c>
      <c r="Q1516">
        <v>256</v>
      </c>
      <c r="R1516">
        <v>0</v>
      </c>
      <c r="S1516">
        <v>64</v>
      </c>
      <c r="T1516">
        <v>0</v>
      </c>
      <c r="U1516">
        <v>0</v>
      </c>
      <c r="V1516">
        <v>0</v>
      </c>
      <c r="W1516">
        <v>64</v>
      </c>
      <c r="X1516">
        <v>0</v>
      </c>
      <c r="Y1516">
        <v>0</v>
      </c>
      <c r="Z1516">
        <v>0</v>
      </c>
      <c r="AD1516" s="5">
        <v>44098.333333333336</v>
      </c>
      <c r="AE1516" s="5">
        <v>44111.666666666664</v>
      </c>
      <c r="AG1516" s="5">
        <v>44046.333333333336</v>
      </c>
      <c r="AH1516" s="5">
        <v>44055.666666666664</v>
      </c>
      <c r="AI1516" s="5">
        <v>44046.333333333336</v>
      </c>
      <c r="AJ1516" s="5">
        <v>44055.666666666664</v>
      </c>
      <c r="AK1516" s="5">
        <v>44046.333333333336</v>
      </c>
      <c r="AL1516" s="5">
        <v>44055.666666666664</v>
      </c>
      <c r="AM1516" s="5">
        <v>44098.333333333336</v>
      </c>
      <c r="AN1516" s="5">
        <v>44111.666666666664</v>
      </c>
      <c r="AP1516" t="s">
        <v>418</v>
      </c>
      <c r="AU1516" t="s">
        <v>6563</v>
      </c>
      <c r="AV1516" t="s">
        <v>6564</v>
      </c>
      <c r="AY1516" t="s">
        <v>37</v>
      </c>
      <c r="AZ1516">
        <v>0</v>
      </c>
      <c r="BA1516">
        <v>0</v>
      </c>
      <c r="BI1516" s="5">
        <v>44048.176388888889</v>
      </c>
      <c r="BJ1516" s="5">
        <v>44048.176388888889</v>
      </c>
      <c r="BK1516" t="s">
        <v>778</v>
      </c>
      <c r="BL1516" t="s">
        <v>778</v>
      </c>
      <c r="BN1516" t="s">
        <v>37</v>
      </c>
    </row>
    <row r="1517" spans="1:66" x14ac:dyDescent="0.2">
      <c r="A1517">
        <v>3694074</v>
      </c>
      <c r="B1517">
        <v>21883</v>
      </c>
      <c r="C1517">
        <v>523932</v>
      </c>
      <c r="D1517">
        <v>52899</v>
      </c>
      <c r="E1517">
        <v>0</v>
      </c>
      <c r="F1517" t="s">
        <v>37</v>
      </c>
      <c r="G1517">
        <v>1</v>
      </c>
      <c r="H1517" t="s">
        <v>37</v>
      </c>
      <c r="I1517" t="s">
        <v>37</v>
      </c>
      <c r="J1517" t="s">
        <v>775</v>
      </c>
      <c r="K1517" t="s">
        <v>230</v>
      </c>
      <c r="L1517" t="s">
        <v>226</v>
      </c>
      <c r="M1517" t="s">
        <v>417</v>
      </c>
      <c r="N1517" t="s">
        <v>6565</v>
      </c>
      <c r="O1517" t="s">
        <v>6566</v>
      </c>
      <c r="Q1517">
        <v>256</v>
      </c>
      <c r="R1517">
        <v>584</v>
      </c>
      <c r="S1517">
        <v>16</v>
      </c>
      <c r="T1517">
        <v>0</v>
      </c>
      <c r="U1517">
        <v>0</v>
      </c>
      <c r="V1517">
        <v>0</v>
      </c>
      <c r="W1517">
        <v>16</v>
      </c>
      <c r="X1517">
        <v>0</v>
      </c>
      <c r="Y1517">
        <v>0</v>
      </c>
      <c r="Z1517">
        <v>0</v>
      </c>
      <c r="AD1517" s="5">
        <v>44113.333333333336</v>
      </c>
      <c r="AE1517" s="5">
        <v>44116.666666666664</v>
      </c>
      <c r="AG1517" s="5">
        <v>44057.333333333336</v>
      </c>
      <c r="AH1517" s="5">
        <v>44060.666666666664</v>
      </c>
      <c r="AI1517" s="5">
        <v>44057.333333333336</v>
      </c>
      <c r="AJ1517" s="5">
        <v>44060.666666666664</v>
      </c>
      <c r="AK1517" s="5">
        <v>44057.333333333336</v>
      </c>
      <c r="AL1517" s="5">
        <v>44060.666666666664</v>
      </c>
      <c r="AM1517" s="5">
        <v>44113.333333333336</v>
      </c>
      <c r="AN1517" s="5">
        <v>44116.666666666664</v>
      </c>
      <c r="AP1517" t="s">
        <v>418</v>
      </c>
      <c r="AU1517" t="s">
        <v>6567</v>
      </c>
      <c r="AV1517" t="s">
        <v>6568</v>
      </c>
      <c r="AY1517" t="s">
        <v>37</v>
      </c>
      <c r="AZ1517">
        <v>0</v>
      </c>
      <c r="BA1517">
        <v>0</v>
      </c>
      <c r="BI1517" s="5">
        <v>44048.176388888889</v>
      </c>
      <c r="BJ1517" s="5">
        <v>44048.176388888889</v>
      </c>
      <c r="BK1517" t="s">
        <v>778</v>
      </c>
      <c r="BL1517" t="s">
        <v>778</v>
      </c>
      <c r="BN1517" t="s">
        <v>37</v>
      </c>
    </row>
    <row r="1518" spans="1:66" x14ac:dyDescent="0.2">
      <c r="A1518">
        <v>3694075</v>
      </c>
      <c r="B1518">
        <v>21883</v>
      </c>
      <c r="C1518">
        <v>523931</v>
      </c>
      <c r="D1518">
        <v>52899</v>
      </c>
      <c r="E1518">
        <v>0</v>
      </c>
      <c r="F1518" t="s">
        <v>37</v>
      </c>
      <c r="G1518">
        <v>1</v>
      </c>
      <c r="H1518" t="s">
        <v>37</v>
      </c>
      <c r="I1518" t="s">
        <v>37</v>
      </c>
      <c r="J1518" t="s">
        <v>775</v>
      </c>
      <c r="K1518" t="s">
        <v>230</v>
      </c>
      <c r="L1518" t="s">
        <v>226</v>
      </c>
      <c r="M1518" t="s">
        <v>417</v>
      </c>
      <c r="N1518" t="s">
        <v>6569</v>
      </c>
      <c r="O1518" t="s">
        <v>6570</v>
      </c>
      <c r="Q1518">
        <v>256</v>
      </c>
      <c r="R1518">
        <v>0</v>
      </c>
      <c r="S1518">
        <v>64</v>
      </c>
      <c r="T1518">
        <v>0</v>
      </c>
      <c r="U1518">
        <v>0</v>
      </c>
      <c r="V1518">
        <v>0</v>
      </c>
      <c r="W1518">
        <v>64</v>
      </c>
      <c r="X1518">
        <v>0</v>
      </c>
      <c r="Y1518">
        <v>0</v>
      </c>
      <c r="Z1518">
        <v>0</v>
      </c>
      <c r="AD1518" s="5">
        <v>44098.333333333336</v>
      </c>
      <c r="AE1518" s="5">
        <v>44111.666666666664</v>
      </c>
      <c r="AG1518" s="5">
        <v>44046.333333333336</v>
      </c>
      <c r="AH1518" s="5">
        <v>44055.666666666664</v>
      </c>
      <c r="AI1518" s="5">
        <v>44046.333333333336</v>
      </c>
      <c r="AJ1518" s="5">
        <v>44055.666666666664</v>
      </c>
      <c r="AK1518" s="5">
        <v>44046.333333333336</v>
      </c>
      <c r="AL1518" s="5">
        <v>44055.666666666664</v>
      </c>
      <c r="AM1518" s="5">
        <v>44098.333333333336</v>
      </c>
      <c r="AN1518" s="5">
        <v>44111.666666666664</v>
      </c>
      <c r="AP1518" t="s">
        <v>418</v>
      </c>
      <c r="AU1518" t="s">
        <v>6571</v>
      </c>
      <c r="AV1518" t="s">
        <v>6564</v>
      </c>
      <c r="AY1518" t="s">
        <v>37</v>
      </c>
      <c r="AZ1518">
        <v>0</v>
      </c>
      <c r="BA1518">
        <v>0</v>
      </c>
      <c r="BI1518" s="5">
        <v>44048.176388888889</v>
      </c>
      <c r="BJ1518" s="5">
        <v>44048.176388888889</v>
      </c>
      <c r="BK1518" t="s">
        <v>778</v>
      </c>
      <c r="BL1518" t="s">
        <v>778</v>
      </c>
      <c r="BN1518" t="s">
        <v>37</v>
      </c>
    </row>
    <row r="1519" spans="1:66" x14ac:dyDescent="0.2">
      <c r="A1519">
        <v>3694076</v>
      </c>
      <c r="B1519">
        <v>21883</v>
      </c>
      <c r="C1519">
        <v>523931</v>
      </c>
      <c r="D1519">
        <v>52899</v>
      </c>
      <c r="E1519">
        <v>0</v>
      </c>
      <c r="F1519" t="s">
        <v>37</v>
      </c>
      <c r="G1519">
        <v>1</v>
      </c>
      <c r="H1519" t="s">
        <v>37</v>
      </c>
      <c r="I1519" t="s">
        <v>37</v>
      </c>
      <c r="J1519" t="s">
        <v>775</v>
      </c>
      <c r="K1519" t="s">
        <v>230</v>
      </c>
      <c r="L1519" t="s">
        <v>226</v>
      </c>
      <c r="M1519" t="s">
        <v>417</v>
      </c>
      <c r="N1519" t="s">
        <v>6572</v>
      </c>
      <c r="O1519" t="s">
        <v>6573</v>
      </c>
      <c r="Q1519">
        <v>256</v>
      </c>
      <c r="R1519">
        <v>584</v>
      </c>
      <c r="S1519">
        <v>16</v>
      </c>
      <c r="T1519">
        <v>0</v>
      </c>
      <c r="U1519">
        <v>0</v>
      </c>
      <c r="V1519">
        <v>0</v>
      </c>
      <c r="W1519">
        <v>16</v>
      </c>
      <c r="X1519">
        <v>0</v>
      </c>
      <c r="Y1519">
        <v>0</v>
      </c>
      <c r="Z1519">
        <v>0</v>
      </c>
      <c r="AD1519" s="5">
        <v>44113.333333333336</v>
      </c>
      <c r="AE1519" s="5">
        <v>44116.666666666664</v>
      </c>
      <c r="AG1519" s="5">
        <v>44057.333333333336</v>
      </c>
      <c r="AH1519" s="5">
        <v>44060.666666666664</v>
      </c>
      <c r="AI1519" s="5">
        <v>44057.333333333336</v>
      </c>
      <c r="AJ1519" s="5">
        <v>44060.666666666664</v>
      </c>
      <c r="AK1519" s="5">
        <v>44057.333333333336</v>
      </c>
      <c r="AL1519" s="5">
        <v>44060.666666666664</v>
      </c>
      <c r="AM1519" s="5">
        <v>44113.333333333336</v>
      </c>
      <c r="AN1519" s="5">
        <v>44116.666666666664</v>
      </c>
      <c r="AP1519" t="s">
        <v>418</v>
      </c>
      <c r="AU1519" t="s">
        <v>6574</v>
      </c>
      <c r="AV1519" t="s">
        <v>6568</v>
      </c>
      <c r="AY1519" t="s">
        <v>37</v>
      </c>
      <c r="AZ1519">
        <v>0</v>
      </c>
      <c r="BA1519">
        <v>0</v>
      </c>
      <c r="BI1519" s="5">
        <v>44048.176388888889</v>
      </c>
      <c r="BJ1519" s="5">
        <v>44048.176388888889</v>
      </c>
      <c r="BK1519" t="s">
        <v>778</v>
      </c>
      <c r="BL1519" t="s">
        <v>778</v>
      </c>
      <c r="BN1519" t="s">
        <v>37</v>
      </c>
    </row>
    <row r="1520" spans="1:66" x14ac:dyDescent="0.2">
      <c r="A1520">
        <v>3694077</v>
      </c>
      <c r="B1520">
        <v>21883</v>
      </c>
      <c r="C1520">
        <v>523953</v>
      </c>
      <c r="D1520">
        <v>52899</v>
      </c>
      <c r="E1520">
        <v>0</v>
      </c>
      <c r="F1520" t="s">
        <v>37</v>
      </c>
      <c r="G1520">
        <v>1</v>
      </c>
      <c r="H1520" t="s">
        <v>37</v>
      </c>
      <c r="I1520" t="s">
        <v>37</v>
      </c>
      <c r="J1520" t="s">
        <v>775</v>
      </c>
      <c r="K1520" t="s">
        <v>230</v>
      </c>
      <c r="L1520" t="s">
        <v>226</v>
      </c>
      <c r="M1520" t="s">
        <v>421</v>
      </c>
      <c r="N1520" t="s">
        <v>6575</v>
      </c>
      <c r="O1520" t="s">
        <v>6576</v>
      </c>
      <c r="Q1520">
        <v>168</v>
      </c>
      <c r="R1520">
        <v>0</v>
      </c>
      <c r="S1520">
        <v>136</v>
      </c>
      <c r="T1520">
        <v>0</v>
      </c>
      <c r="U1520">
        <v>0</v>
      </c>
      <c r="V1520">
        <v>0</v>
      </c>
      <c r="W1520">
        <v>88</v>
      </c>
      <c r="X1520">
        <v>0</v>
      </c>
      <c r="Y1520">
        <v>0</v>
      </c>
      <c r="Z1520">
        <v>0</v>
      </c>
      <c r="AB1520" s="5">
        <v>43992</v>
      </c>
      <c r="AD1520" s="5">
        <v>44082.333333333336</v>
      </c>
      <c r="AE1520" s="5">
        <v>44109.666666666664</v>
      </c>
      <c r="AG1520" s="5">
        <v>44046.333333333336</v>
      </c>
      <c r="AH1520" s="5">
        <v>44074.666666666664</v>
      </c>
      <c r="AI1520" s="5">
        <v>44046.333333333336</v>
      </c>
      <c r="AJ1520" s="5">
        <v>44074.666666666664</v>
      </c>
      <c r="AK1520" s="5">
        <v>43997.333333333336</v>
      </c>
      <c r="AL1520" s="5">
        <v>44012.666666666664</v>
      </c>
      <c r="AM1520" s="5">
        <v>44082.333333333336</v>
      </c>
      <c r="AN1520" s="5">
        <v>44109.666666666664</v>
      </c>
      <c r="AP1520" t="s">
        <v>418</v>
      </c>
      <c r="AU1520" t="s">
        <v>6577</v>
      </c>
      <c r="AY1520" t="s">
        <v>37</v>
      </c>
      <c r="AZ1520">
        <v>0</v>
      </c>
      <c r="BA1520">
        <v>0</v>
      </c>
      <c r="BI1520" s="5">
        <v>44048.176388888889</v>
      </c>
      <c r="BJ1520" s="5">
        <v>44048.176388888889</v>
      </c>
      <c r="BK1520" t="s">
        <v>778</v>
      </c>
      <c r="BL1520" t="s">
        <v>778</v>
      </c>
      <c r="BN1520" t="s">
        <v>37</v>
      </c>
    </row>
    <row r="1521" spans="1:66" x14ac:dyDescent="0.2">
      <c r="A1521">
        <v>3694078</v>
      </c>
      <c r="B1521">
        <v>21883</v>
      </c>
      <c r="C1521">
        <v>523953</v>
      </c>
      <c r="D1521">
        <v>52899</v>
      </c>
      <c r="E1521">
        <v>0</v>
      </c>
      <c r="F1521" t="s">
        <v>37</v>
      </c>
      <c r="G1521">
        <v>1</v>
      </c>
      <c r="H1521" t="s">
        <v>37</v>
      </c>
      <c r="I1521" t="s">
        <v>37</v>
      </c>
      <c r="J1521" t="s">
        <v>775</v>
      </c>
      <c r="K1521" t="s">
        <v>230</v>
      </c>
      <c r="L1521" t="s">
        <v>226</v>
      </c>
      <c r="M1521" t="s">
        <v>417</v>
      </c>
      <c r="N1521" t="s">
        <v>6578</v>
      </c>
      <c r="O1521" t="s">
        <v>6579</v>
      </c>
      <c r="Q1521">
        <v>168</v>
      </c>
      <c r="R1521">
        <v>496</v>
      </c>
      <c r="S1521">
        <v>32</v>
      </c>
      <c r="T1521">
        <v>0</v>
      </c>
      <c r="U1521">
        <v>0</v>
      </c>
      <c r="V1521">
        <v>0</v>
      </c>
      <c r="W1521">
        <v>32</v>
      </c>
      <c r="X1521">
        <v>0</v>
      </c>
      <c r="Y1521">
        <v>0</v>
      </c>
      <c r="Z1521">
        <v>0</v>
      </c>
      <c r="AD1521" s="5">
        <v>44110.333333333336</v>
      </c>
      <c r="AE1521" s="5">
        <v>44116.666666666664</v>
      </c>
      <c r="AG1521" s="5">
        <v>44075.333333333336</v>
      </c>
      <c r="AH1521" s="5">
        <v>44078.666666666664</v>
      </c>
      <c r="AI1521" s="5">
        <v>44075.333333333336</v>
      </c>
      <c r="AJ1521" s="5">
        <v>44078.666666666664</v>
      </c>
      <c r="AK1521" s="5">
        <v>44075.333333333336</v>
      </c>
      <c r="AL1521" s="5">
        <v>44078.666666666664</v>
      </c>
      <c r="AM1521" s="5">
        <v>44110.333333333336</v>
      </c>
      <c r="AN1521" s="5">
        <v>44116.666666666664</v>
      </c>
      <c r="AP1521" t="s">
        <v>418</v>
      </c>
      <c r="AU1521" t="s">
        <v>6580</v>
      </c>
      <c r="AY1521" t="s">
        <v>37</v>
      </c>
      <c r="AZ1521">
        <v>0</v>
      </c>
      <c r="BA1521">
        <v>0</v>
      </c>
      <c r="BI1521" s="5">
        <v>44048.176388888889</v>
      </c>
      <c r="BJ1521" s="5">
        <v>44048.176388888889</v>
      </c>
      <c r="BK1521" t="s">
        <v>778</v>
      </c>
      <c r="BL1521" t="s">
        <v>778</v>
      </c>
      <c r="BN1521" t="s">
        <v>37</v>
      </c>
    </row>
    <row r="1522" spans="1:66" x14ac:dyDescent="0.2">
      <c r="A1522">
        <v>3694079</v>
      </c>
      <c r="B1522">
        <v>21883</v>
      </c>
      <c r="C1522">
        <v>523953</v>
      </c>
      <c r="D1522">
        <v>52899</v>
      </c>
      <c r="E1522">
        <v>100</v>
      </c>
      <c r="F1522" t="s">
        <v>37</v>
      </c>
      <c r="G1522">
        <v>1</v>
      </c>
      <c r="H1522" t="s">
        <v>37</v>
      </c>
      <c r="I1522" t="s">
        <v>37</v>
      </c>
      <c r="J1522" t="s">
        <v>775</v>
      </c>
      <c r="K1522" t="s">
        <v>230</v>
      </c>
      <c r="L1522" t="s">
        <v>226</v>
      </c>
      <c r="M1522" t="s">
        <v>422</v>
      </c>
      <c r="N1522" t="s">
        <v>6581</v>
      </c>
      <c r="O1522" t="s">
        <v>6582</v>
      </c>
      <c r="S1522">
        <v>0</v>
      </c>
      <c r="T1522">
        <v>0</v>
      </c>
      <c r="U1522">
        <v>0</v>
      </c>
      <c r="V1522">
        <v>0</v>
      </c>
      <c r="W1522">
        <v>24</v>
      </c>
      <c r="X1522">
        <v>0</v>
      </c>
      <c r="Y1522">
        <v>0</v>
      </c>
      <c r="Z1522">
        <v>0</v>
      </c>
      <c r="AB1522" s="5">
        <v>43570</v>
      </c>
      <c r="AC1522" s="5">
        <v>43570</v>
      </c>
      <c r="AD1522" s="5">
        <v>44099.333333333336</v>
      </c>
      <c r="AE1522" s="5">
        <v>44099.333333333336</v>
      </c>
      <c r="AG1522" s="5">
        <v>44044</v>
      </c>
      <c r="AH1522" s="5">
        <v>44044</v>
      </c>
      <c r="AK1522" s="5">
        <v>44019.333333333336</v>
      </c>
      <c r="AL1522" s="5">
        <v>44021.666666666664</v>
      </c>
      <c r="AP1522" t="s">
        <v>418</v>
      </c>
      <c r="AU1522" t="s">
        <v>6583</v>
      </c>
      <c r="AY1522" t="s">
        <v>37</v>
      </c>
      <c r="AZ1522">
        <v>0</v>
      </c>
      <c r="BA1522">
        <v>0</v>
      </c>
      <c r="BI1522" s="5">
        <v>44048.176388888889</v>
      </c>
      <c r="BJ1522" s="5">
        <v>44048.176388888889</v>
      </c>
      <c r="BK1522" t="s">
        <v>778</v>
      </c>
      <c r="BL1522" t="s">
        <v>778</v>
      </c>
      <c r="BN1522" t="s">
        <v>37</v>
      </c>
    </row>
    <row r="1523" spans="1:66" x14ac:dyDescent="0.2">
      <c r="A1523">
        <v>3694080</v>
      </c>
      <c r="B1523">
        <v>21883</v>
      </c>
      <c r="C1523">
        <v>523953</v>
      </c>
      <c r="D1523">
        <v>52899</v>
      </c>
      <c r="E1523">
        <v>0</v>
      </c>
      <c r="F1523" t="s">
        <v>37</v>
      </c>
      <c r="G1523">
        <v>1</v>
      </c>
      <c r="H1523" t="s">
        <v>37</v>
      </c>
      <c r="I1523" t="s">
        <v>37</v>
      </c>
      <c r="J1523" t="s">
        <v>775</v>
      </c>
      <c r="K1523" t="s">
        <v>230</v>
      </c>
      <c r="L1523" t="s">
        <v>226</v>
      </c>
      <c r="M1523" t="s">
        <v>417</v>
      </c>
      <c r="N1523" t="s">
        <v>6584</v>
      </c>
      <c r="O1523" t="s">
        <v>6585</v>
      </c>
      <c r="Q1523">
        <v>264</v>
      </c>
      <c r="R1523">
        <v>0</v>
      </c>
      <c r="S1523">
        <v>56</v>
      </c>
      <c r="T1523">
        <v>0</v>
      </c>
      <c r="U1523">
        <v>0</v>
      </c>
      <c r="V1523">
        <v>0</v>
      </c>
      <c r="W1523">
        <v>56</v>
      </c>
      <c r="X1523">
        <v>0</v>
      </c>
      <c r="Y1523">
        <v>0</v>
      </c>
      <c r="Z1523">
        <v>0</v>
      </c>
      <c r="AD1523" s="5">
        <v>44099.333333333336</v>
      </c>
      <c r="AE1523" s="5">
        <v>44111.666666666664</v>
      </c>
      <c r="AG1523" s="5">
        <v>44046.333333333336</v>
      </c>
      <c r="AH1523" s="5">
        <v>44054.666666666664</v>
      </c>
      <c r="AI1523" s="5">
        <v>44046.333333333336</v>
      </c>
      <c r="AJ1523" s="5">
        <v>44054.666666666664</v>
      </c>
      <c r="AK1523" s="5">
        <v>44046.333333333336</v>
      </c>
      <c r="AL1523" s="5">
        <v>44054.666666666664</v>
      </c>
      <c r="AM1523" s="5">
        <v>44099.333333333336</v>
      </c>
      <c r="AN1523" s="5">
        <v>44111.666666666664</v>
      </c>
      <c r="AP1523" t="s">
        <v>418</v>
      </c>
      <c r="AU1523" t="s">
        <v>6586</v>
      </c>
      <c r="AY1523" t="s">
        <v>37</v>
      </c>
      <c r="AZ1523">
        <v>0</v>
      </c>
      <c r="BA1523">
        <v>0</v>
      </c>
      <c r="BI1523" s="5">
        <v>44048.176388888889</v>
      </c>
      <c r="BJ1523" s="5">
        <v>44048.176388888889</v>
      </c>
      <c r="BK1523" t="s">
        <v>778</v>
      </c>
      <c r="BL1523" t="s">
        <v>778</v>
      </c>
      <c r="BN1523" t="s">
        <v>37</v>
      </c>
    </row>
    <row r="1524" spans="1:66" x14ac:dyDescent="0.2">
      <c r="A1524">
        <v>3694081</v>
      </c>
      <c r="B1524">
        <v>21883</v>
      </c>
      <c r="C1524">
        <v>523953</v>
      </c>
      <c r="D1524">
        <v>52899</v>
      </c>
      <c r="E1524">
        <v>0</v>
      </c>
      <c r="F1524" t="s">
        <v>37</v>
      </c>
      <c r="G1524">
        <v>1</v>
      </c>
      <c r="H1524" t="s">
        <v>37</v>
      </c>
      <c r="I1524" t="s">
        <v>37</v>
      </c>
      <c r="J1524" t="s">
        <v>775</v>
      </c>
      <c r="K1524" t="s">
        <v>230</v>
      </c>
      <c r="L1524" t="s">
        <v>226</v>
      </c>
      <c r="M1524" t="s">
        <v>417</v>
      </c>
      <c r="N1524" t="s">
        <v>6587</v>
      </c>
      <c r="O1524" t="s">
        <v>6588</v>
      </c>
      <c r="Q1524">
        <v>264</v>
      </c>
      <c r="R1524">
        <v>592</v>
      </c>
      <c r="S1524">
        <v>16</v>
      </c>
      <c r="T1524">
        <v>0</v>
      </c>
      <c r="U1524">
        <v>0</v>
      </c>
      <c r="V1524">
        <v>0</v>
      </c>
      <c r="W1524">
        <v>16</v>
      </c>
      <c r="X1524">
        <v>0</v>
      </c>
      <c r="Y1524">
        <v>0</v>
      </c>
      <c r="Z1524">
        <v>0</v>
      </c>
      <c r="AD1524" s="5">
        <v>44113.333333333336</v>
      </c>
      <c r="AE1524" s="5">
        <v>44116.666666666664</v>
      </c>
      <c r="AG1524" s="5">
        <v>44055.333333333336</v>
      </c>
      <c r="AH1524" s="5">
        <v>44057.666666666664</v>
      </c>
      <c r="AI1524" s="5">
        <v>44055.333333333336</v>
      </c>
      <c r="AJ1524" s="5">
        <v>44057.666666666664</v>
      </c>
      <c r="AK1524" s="5">
        <v>44055.333333333336</v>
      </c>
      <c r="AL1524" s="5">
        <v>44057.666666666664</v>
      </c>
      <c r="AM1524" s="5">
        <v>44113.333333333336</v>
      </c>
      <c r="AN1524" s="5">
        <v>44116.666666666664</v>
      </c>
      <c r="AP1524" t="s">
        <v>418</v>
      </c>
      <c r="AU1524" t="s">
        <v>6589</v>
      </c>
      <c r="AY1524" t="s">
        <v>37</v>
      </c>
      <c r="AZ1524">
        <v>0</v>
      </c>
      <c r="BA1524">
        <v>0</v>
      </c>
      <c r="BI1524" s="5">
        <v>44048.176388888889</v>
      </c>
      <c r="BJ1524" s="5">
        <v>44048.176388888889</v>
      </c>
      <c r="BK1524" t="s">
        <v>778</v>
      </c>
      <c r="BL1524" t="s">
        <v>778</v>
      </c>
      <c r="BN1524" t="s">
        <v>37</v>
      </c>
    </row>
    <row r="1525" spans="1:66" x14ac:dyDescent="0.2">
      <c r="A1525">
        <v>3694082</v>
      </c>
      <c r="B1525">
        <v>21883</v>
      </c>
      <c r="C1525">
        <v>523931</v>
      </c>
      <c r="D1525">
        <v>52899</v>
      </c>
      <c r="E1525">
        <v>0</v>
      </c>
      <c r="F1525" t="s">
        <v>37</v>
      </c>
      <c r="G1525">
        <v>1</v>
      </c>
      <c r="H1525" t="s">
        <v>37</v>
      </c>
      <c r="I1525" t="s">
        <v>37</v>
      </c>
      <c r="J1525" t="s">
        <v>775</v>
      </c>
      <c r="K1525" t="s">
        <v>230</v>
      </c>
      <c r="L1525" t="s">
        <v>226</v>
      </c>
      <c r="M1525" t="s">
        <v>417</v>
      </c>
      <c r="N1525" t="s">
        <v>6590</v>
      </c>
      <c r="O1525" t="s">
        <v>6591</v>
      </c>
      <c r="Q1525">
        <v>-280</v>
      </c>
      <c r="R1525">
        <v>0</v>
      </c>
      <c r="S1525">
        <v>8</v>
      </c>
      <c r="T1525">
        <v>0</v>
      </c>
      <c r="U1525">
        <v>0</v>
      </c>
      <c r="V1525">
        <v>0</v>
      </c>
      <c r="W1525">
        <v>8</v>
      </c>
      <c r="X1525">
        <v>0</v>
      </c>
      <c r="Y1525">
        <v>0</v>
      </c>
      <c r="Z1525">
        <v>0</v>
      </c>
      <c r="AD1525" s="5">
        <v>44069.333333333336</v>
      </c>
      <c r="AE1525" s="5">
        <v>44069.666666666664</v>
      </c>
      <c r="AG1525" s="5">
        <v>44125.333333333336</v>
      </c>
      <c r="AH1525" s="5">
        <v>44125.666666666664</v>
      </c>
      <c r="AI1525" s="5">
        <v>44125.333333333336</v>
      </c>
      <c r="AJ1525" s="5">
        <v>44125.666666666664</v>
      </c>
      <c r="AK1525" s="5">
        <v>44125.333333333336</v>
      </c>
      <c r="AL1525" s="5">
        <v>44125.666666666664</v>
      </c>
      <c r="AM1525" s="5">
        <v>44069.333333333336</v>
      </c>
      <c r="AN1525" s="5">
        <v>44069.666666666664</v>
      </c>
      <c r="AP1525" t="s">
        <v>418</v>
      </c>
      <c r="AU1525" t="s">
        <v>6592</v>
      </c>
      <c r="AY1525" t="s">
        <v>37</v>
      </c>
      <c r="AZ1525">
        <v>0</v>
      </c>
      <c r="BA1525">
        <v>0</v>
      </c>
      <c r="BI1525" s="5">
        <v>44048.176388888889</v>
      </c>
      <c r="BJ1525" s="5">
        <v>44048.176388888889</v>
      </c>
      <c r="BK1525" t="s">
        <v>778</v>
      </c>
      <c r="BL1525" t="s">
        <v>778</v>
      </c>
      <c r="BN1525" t="s">
        <v>37</v>
      </c>
    </row>
    <row r="1526" spans="1:66" x14ac:dyDescent="0.2">
      <c r="A1526">
        <v>3694083</v>
      </c>
      <c r="B1526">
        <v>21883</v>
      </c>
      <c r="C1526">
        <v>523935</v>
      </c>
      <c r="D1526">
        <v>52899</v>
      </c>
      <c r="E1526">
        <v>100</v>
      </c>
      <c r="F1526" t="s">
        <v>37</v>
      </c>
      <c r="G1526">
        <v>1</v>
      </c>
      <c r="H1526" t="s">
        <v>37</v>
      </c>
      <c r="I1526" t="s">
        <v>37</v>
      </c>
      <c r="J1526" t="s">
        <v>775</v>
      </c>
      <c r="K1526" t="s">
        <v>230</v>
      </c>
      <c r="L1526" t="s">
        <v>226</v>
      </c>
      <c r="M1526" t="s">
        <v>422</v>
      </c>
      <c r="N1526" t="s">
        <v>6593</v>
      </c>
      <c r="O1526" t="s">
        <v>6594</v>
      </c>
      <c r="S1526">
        <v>0</v>
      </c>
      <c r="T1526">
        <v>216</v>
      </c>
      <c r="U1526">
        <v>0</v>
      </c>
      <c r="V1526">
        <v>216</v>
      </c>
      <c r="W1526">
        <v>216</v>
      </c>
      <c r="X1526">
        <v>0</v>
      </c>
      <c r="Y1526">
        <v>0</v>
      </c>
      <c r="Z1526">
        <v>0</v>
      </c>
      <c r="AB1526" s="5">
        <v>43367.333333333336</v>
      </c>
      <c r="AC1526" s="5">
        <v>43376</v>
      </c>
      <c r="AD1526" s="5">
        <v>44114.333333333336</v>
      </c>
      <c r="AE1526" s="5">
        <v>44114.333333333336</v>
      </c>
      <c r="AG1526" s="5">
        <v>44044</v>
      </c>
      <c r="AH1526" s="5">
        <v>44044</v>
      </c>
      <c r="AK1526" s="5">
        <v>43388.333333333336</v>
      </c>
      <c r="AL1526" s="5">
        <v>43433.666666666664</v>
      </c>
      <c r="AP1526" t="s">
        <v>418</v>
      </c>
      <c r="AU1526" t="s">
        <v>6595</v>
      </c>
      <c r="AV1526" t="s">
        <v>6596</v>
      </c>
      <c r="AY1526" t="s">
        <v>37</v>
      </c>
      <c r="AZ1526">
        <v>216</v>
      </c>
      <c r="BA1526">
        <v>0</v>
      </c>
      <c r="BI1526" s="5">
        <v>44048.176388888889</v>
      </c>
      <c r="BJ1526" s="5">
        <v>44048.176388888889</v>
      </c>
      <c r="BK1526" t="s">
        <v>778</v>
      </c>
      <c r="BL1526" t="s">
        <v>778</v>
      </c>
      <c r="BN1526" t="s">
        <v>37</v>
      </c>
    </row>
    <row r="1527" spans="1:66" x14ac:dyDescent="0.2">
      <c r="A1527">
        <v>3694084</v>
      </c>
      <c r="B1527">
        <v>21883</v>
      </c>
      <c r="C1527">
        <v>523935</v>
      </c>
      <c r="D1527">
        <v>52899</v>
      </c>
      <c r="E1527">
        <v>100</v>
      </c>
      <c r="F1527" t="s">
        <v>37</v>
      </c>
      <c r="G1527">
        <v>1</v>
      </c>
      <c r="H1527" t="s">
        <v>37</v>
      </c>
      <c r="I1527" t="s">
        <v>37</v>
      </c>
      <c r="J1527" t="s">
        <v>775</v>
      </c>
      <c r="K1527" t="s">
        <v>230</v>
      </c>
      <c r="L1527" t="s">
        <v>226</v>
      </c>
      <c r="M1527" t="s">
        <v>422</v>
      </c>
      <c r="N1527" t="s">
        <v>6597</v>
      </c>
      <c r="O1527" t="s">
        <v>6598</v>
      </c>
      <c r="S1527">
        <v>0</v>
      </c>
      <c r="T1527">
        <v>176</v>
      </c>
      <c r="U1527">
        <v>0</v>
      </c>
      <c r="V1527">
        <v>176</v>
      </c>
      <c r="W1527">
        <v>176</v>
      </c>
      <c r="X1527">
        <v>0</v>
      </c>
      <c r="Y1527">
        <v>0</v>
      </c>
      <c r="Z1527">
        <v>0</v>
      </c>
      <c r="AB1527" s="5">
        <v>43363.333333333336</v>
      </c>
      <c r="AC1527" s="5">
        <v>43388</v>
      </c>
      <c r="AD1527" s="5">
        <v>44117.333333333336</v>
      </c>
      <c r="AE1527" s="5">
        <v>44117.333333333336</v>
      </c>
      <c r="AG1527" s="5">
        <v>44044</v>
      </c>
      <c r="AH1527" s="5">
        <v>44044</v>
      </c>
      <c r="AK1527" s="5">
        <v>43493.333333333336</v>
      </c>
      <c r="AL1527" s="5">
        <v>43528.666666666664</v>
      </c>
      <c r="AP1527" t="s">
        <v>418</v>
      </c>
      <c r="AU1527" t="s">
        <v>6599</v>
      </c>
      <c r="AV1527" t="s">
        <v>6600</v>
      </c>
      <c r="AY1527" t="s">
        <v>37</v>
      </c>
      <c r="AZ1527">
        <v>176</v>
      </c>
      <c r="BA1527">
        <v>0</v>
      </c>
      <c r="BI1527" s="5">
        <v>44048.176388888889</v>
      </c>
      <c r="BJ1527" s="5">
        <v>44048.176388888889</v>
      </c>
      <c r="BK1527" t="s">
        <v>778</v>
      </c>
      <c r="BL1527" t="s">
        <v>778</v>
      </c>
      <c r="BN1527" t="s">
        <v>37</v>
      </c>
    </row>
    <row r="1528" spans="1:66" x14ac:dyDescent="0.2">
      <c r="A1528">
        <v>3694085</v>
      </c>
      <c r="B1528">
        <v>21883</v>
      </c>
      <c r="C1528">
        <v>523935</v>
      </c>
      <c r="D1528">
        <v>52899</v>
      </c>
      <c r="E1528">
        <v>100</v>
      </c>
      <c r="F1528" t="s">
        <v>37</v>
      </c>
      <c r="G1528">
        <v>1</v>
      </c>
      <c r="H1528" t="s">
        <v>37</v>
      </c>
      <c r="I1528" t="s">
        <v>37</v>
      </c>
      <c r="J1528" t="s">
        <v>775</v>
      </c>
      <c r="K1528" t="s">
        <v>230</v>
      </c>
      <c r="L1528" t="s">
        <v>226</v>
      </c>
      <c r="M1528" t="s">
        <v>422</v>
      </c>
      <c r="N1528" t="s">
        <v>6601</v>
      </c>
      <c r="O1528" t="s">
        <v>6602</v>
      </c>
      <c r="S1528">
        <v>0</v>
      </c>
      <c r="T1528">
        <v>256</v>
      </c>
      <c r="U1528">
        <v>0</v>
      </c>
      <c r="V1528">
        <v>256</v>
      </c>
      <c r="W1528">
        <v>256</v>
      </c>
      <c r="X1528">
        <v>0</v>
      </c>
      <c r="Y1528">
        <v>0</v>
      </c>
      <c r="Z1528">
        <v>0</v>
      </c>
      <c r="AB1528" s="5">
        <v>43479</v>
      </c>
      <c r="AC1528" s="5">
        <v>43523</v>
      </c>
      <c r="AD1528" s="5">
        <v>44117.333333333336</v>
      </c>
      <c r="AE1528" s="5">
        <v>44117.333333333336</v>
      </c>
      <c r="AG1528" s="5">
        <v>44044</v>
      </c>
      <c r="AH1528" s="5">
        <v>44044</v>
      </c>
      <c r="AK1528" s="5">
        <v>43497.333333333336</v>
      </c>
      <c r="AL1528" s="5">
        <v>43549.666666666664</v>
      </c>
      <c r="AP1528" t="s">
        <v>418</v>
      </c>
      <c r="AU1528" t="s">
        <v>6603</v>
      </c>
      <c r="AV1528" t="s">
        <v>6604</v>
      </c>
      <c r="AY1528" t="s">
        <v>37</v>
      </c>
      <c r="AZ1528">
        <v>256</v>
      </c>
      <c r="BA1528">
        <v>0</v>
      </c>
      <c r="BI1528" s="5">
        <v>44048.176388888889</v>
      </c>
      <c r="BJ1528" s="5">
        <v>44048.176388888889</v>
      </c>
      <c r="BK1528" t="s">
        <v>778</v>
      </c>
      <c r="BL1528" t="s">
        <v>778</v>
      </c>
      <c r="BN1528" t="s">
        <v>37</v>
      </c>
    </row>
    <row r="1529" spans="1:66" x14ac:dyDescent="0.2">
      <c r="A1529">
        <v>3694086</v>
      </c>
      <c r="B1529">
        <v>21883</v>
      </c>
      <c r="C1529">
        <v>523937</v>
      </c>
      <c r="D1529">
        <v>52899</v>
      </c>
      <c r="E1529">
        <v>100</v>
      </c>
      <c r="F1529" t="s">
        <v>37</v>
      </c>
      <c r="G1529">
        <v>1</v>
      </c>
      <c r="H1529" t="s">
        <v>37</v>
      </c>
      <c r="I1529" t="s">
        <v>37</v>
      </c>
      <c r="J1529" t="s">
        <v>775</v>
      </c>
      <c r="K1529" t="s">
        <v>230</v>
      </c>
      <c r="L1529" t="s">
        <v>226</v>
      </c>
      <c r="M1529" t="s">
        <v>422</v>
      </c>
      <c r="N1529" t="s">
        <v>6605</v>
      </c>
      <c r="O1529" t="s">
        <v>6606</v>
      </c>
      <c r="S1529">
        <v>0</v>
      </c>
      <c r="T1529">
        <v>216</v>
      </c>
      <c r="U1529">
        <v>0</v>
      </c>
      <c r="V1529">
        <v>216</v>
      </c>
      <c r="W1529">
        <v>216</v>
      </c>
      <c r="X1529">
        <v>0</v>
      </c>
      <c r="Y1529">
        <v>0</v>
      </c>
      <c r="Z1529">
        <v>0</v>
      </c>
      <c r="AB1529" s="5">
        <v>43277.333333333336</v>
      </c>
      <c r="AC1529" s="5">
        <v>43329.666666666664</v>
      </c>
      <c r="AD1529" s="5">
        <v>43970.333333333336</v>
      </c>
      <c r="AE1529" s="5">
        <v>43970.333333333336</v>
      </c>
      <c r="AG1529" s="5">
        <v>44044</v>
      </c>
      <c r="AH1529" s="5">
        <v>44044</v>
      </c>
      <c r="AK1529" s="5">
        <v>43276.333333333336</v>
      </c>
      <c r="AL1529" s="5">
        <v>43319.666666666664</v>
      </c>
      <c r="AP1529" t="s">
        <v>418</v>
      </c>
      <c r="AU1529" t="s">
        <v>6607</v>
      </c>
      <c r="AV1529" t="s">
        <v>6608</v>
      </c>
      <c r="AY1529" t="s">
        <v>40</v>
      </c>
      <c r="AZ1529">
        <v>216</v>
      </c>
      <c r="BA1529">
        <v>0</v>
      </c>
      <c r="BI1529" s="5">
        <v>44048.176388888889</v>
      </c>
      <c r="BJ1529" s="5">
        <v>44048.176388888889</v>
      </c>
      <c r="BK1529" t="s">
        <v>778</v>
      </c>
      <c r="BL1529" t="s">
        <v>778</v>
      </c>
      <c r="BN1529" t="s">
        <v>37</v>
      </c>
    </row>
    <row r="1530" spans="1:66" x14ac:dyDescent="0.2">
      <c r="A1530">
        <v>3694087</v>
      </c>
      <c r="B1530">
        <v>21883</v>
      </c>
      <c r="C1530">
        <v>523936</v>
      </c>
      <c r="D1530">
        <v>52899</v>
      </c>
      <c r="E1530">
        <v>100</v>
      </c>
      <c r="F1530" t="s">
        <v>37</v>
      </c>
      <c r="G1530">
        <v>1</v>
      </c>
      <c r="H1530" t="s">
        <v>37</v>
      </c>
      <c r="I1530" t="s">
        <v>37</v>
      </c>
      <c r="J1530" t="s">
        <v>775</v>
      </c>
      <c r="K1530" t="s">
        <v>230</v>
      </c>
      <c r="L1530" t="s">
        <v>226</v>
      </c>
      <c r="M1530" t="s">
        <v>422</v>
      </c>
      <c r="N1530" t="s">
        <v>6609</v>
      </c>
      <c r="O1530" t="s">
        <v>6610</v>
      </c>
      <c r="S1530">
        <v>0</v>
      </c>
      <c r="T1530">
        <v>232</v>
      </c>
      <c r="U1530">
        <v>0</v>
      </c>
      <c r="V1530">
        <v>232</v>
      </c>
      <c r="W1530">
        <v>232</v>
      </c>
      <c r="X1530">
        <v>0</v>
      </c>
      <c r="Y1530">
        <v>0</v>
      </c>
      <c r="Z1530">
        <v>0</v>
      </c>
      <c r="AB1530" s="5">
        <v>43542</v>
      </c>
      <c r="AC1530" s="5">
        <v>43605</v>
      </c>
      <c r="AD1530" s="5">
        <v>44117.333333333336</v>
      </c>
      <c r="AE1530" s="5">
        <v>44117.333333333336</v>
      </c>
      <c r="AG1530" s="5">
        <v>44044</v>
      </c>
      <c r="AH1530" s="5">
        <v>44044</v>
      </c>
      <c r="AK1530" s="5">
        <v>43556.333333333336</v>
      </c>
      <c r="AL1530" s="5">
        <v>43602.666666666664</v>
      </c>
      <c r="AP1530" t="s">
        <v>418</v>
      </c>
      <c r="AU1530" t="s">
        <v>6611</v>
      </c>
      <c r="AV1530" t="s">
        <v>6612</v>
      </c>
      <c r="AY1530" t="s">
        <v>37</v>
      </c>
      <c r="AZ1530">
        <v>56</v>
      </c>
      <c r="BA1530">
        <v>0</v>
      </c>
      <c r="BI1530" s="5">
        <v>44048.176388888889</v>
      </c>
      <c r="BJ1530" s="5">
        <v>44048.176388888889</v>
      </c>
      <c r="BK1530" t="s">
        <v>778</v>
      </c>
      <c r="BL1530" t="s">
        <v>778</v>
      </c>
      <c r="BN1530" t="s">
        <v>37</v>
      </c>
    </row>
    <row r="1531" spans="1:66" x14ac:dyDescent="0.2">
      <c r="A1531">
        <v>3694088</v>
      </c>
      <c r="B1531">
        <v>21883</v>
      </c>
      <c r="C1531">
        <v>523936</v>
      </c>
      <c r="D1531">
        <v>52899</v>
      </c>
      <c r="E1531">
        <v>100</v>
      </c>
      <c r="F1531" t="s">
        <v>37</v>
      </c>
      <c r="G1531">
        <v>1</v>
      </c>
      <c r="H1531" t="s">
        <v>37</v>
      </c>
      <c r="I1531" t="s">
        <v>37</v>
      </c>
      <c r="J1531" t="s">
        <v>775</v>
      </c>
      <c r="K1531" t="s">
        <v>230</v>
      </c>
      <c r="L1531" t="s">
        <v>226</v>
      </c>
      <c r="M1531" t="s">
        <v>422</v>
      </c>
      <c r="N1531" t="s">
        <v>6613</v>
      </c>
      <c r="O1531" t="s">
        <v>6614</v>
      </c>
      <c r="S1531">
        <v>0</v>
      </c>
      <c r="T1531">
        <v>232</v>
      </c>
      <c r="U1531">
        <v>0</v>
      </c>
      <c r="V1531">
        <v>232</v>
      </c>
      <c r="W1531">
        <v>232</v>
      </c>
      <c r="X1531">
        <v>0</v>
      </c>
      <c r="Y1531">
        <v>0</v>
      </c>
      <c r="Z1531">
        <v>0</v>
      </c>
      <c r="AB1531" s="5">
        <v>43297.333333333336</v>
      </c>
      <c r="AC1531" s="5">
        <v>43329.666666666664</v>
      </c>
      <c r="AD1531" s="5">
        <v>43970.333333333336</v>
      </c>
      <c r="AE1531" s="5">
        <v>43970.333333333336</v>
      </c>
      <c r="AG1531" s="5">
        <v>44044</v>
      </c>
      <c r="AH1531" s="5">
        <v>44044</v>
      </c>
      <c r="AK1531" s="5">
        <v>43283.333333333336</v>
      </c>
      <c r="AL1531" s="5">
        <v>43328.666666666664</v>
      </c>
      <c r="AP1531" t="s">
        <v>418</v>
      </c>
      <c r="AU1531" t="s">
        <v>6615</v>
      </c>
      <c r="AV1531" t="s">
        <v>6616</v>
      </c>
      <c r="AY1531" t="s">
        <v>40</v>
      </c>
      <c r="AZ1531">
        <v>232</v>
      </c>
      <c r="BA1531">
        <v>0</v>
      </c>
      <c r="BI1531" s="5">
        <v>44048.176388888889</v>
      </c>
      <c r="BJ1531" s="5">
        <v>44048.176388888889</v>
      </c>
      <c r="BK1531" t="s">
        <v>778</v>
      </c>
      <c r="BL1531" t="s">
        <v>778</v>
      </c>
      <c r="BN1531" t="s">
        <v>37</v>
      </c>
    </row>
    <row r="1532" spans="1:66" x14ac:dyDescent="0.2">
      <c r="A1532">
        <v>3694089</v>
      </c>
      <c r="B1532">
        <v>21883</v>
      </c>
      <c r="C1532">
        <v>523993</v>
      </c>
      <c r="D1532">
        <v>52899</v>
      </c>
      <c r="E1532">
        <v>100</v>
      </c>
      <c r="F1532" t="s">
        <v>37</v>
      </c>
      <c r="G1532">
        <v>1</v>
      </c>
      <c r="H1532" t="s">
        <v>37</v>
      </c>
      <c r="I1532" t="s">
        <v>37</v>
      </c>
      <c r="J1532" t="s">
        <v>775</v>
      </c>
      <c r="K1532" t="s">
        <v>230</v>
      </c>
      <c r="L1532" t="s">
        <v>226</v>
      </c>
      <c r="M1532" t="s">
        <v>422</v>
      </c>
      <c r="N1532" t="s">
        <v>6617</v>
      </c>
      <c r="O1532" t="s">
        <v>6618</v>
      </c>
      <c r="S1532">
        <v>0</v>
      </c>
      <c r="T1532">
        <v>0</v>
      </c>
      <c r="U1532">
        <v>0</v>
      </c>
      <c r="V1532">
        <v>0</v>
      </c>
      <c r="W1532">
        <v>8</v>
      </c>
      <c r="X1532">
        <v>0</v>
      </c>
      <c r="Y1532">
        <v>0</v>
      </c>
      <c r="Z1532">
        <v>0</v>
      </c>
      <c r="AB1532" s="5">
        <v>43263</v>
      </c>
      <c r="AC1532" s="5">
        <v>43263.666666666664</v>
      </c>
      <c r="AD1532" s="5">
        <v>43970.333333333336</v>
      </c>
      <c r="AE1532" s="5">
        <v>43970.333333333336</v>
      </c>
      <c r="AG1532" s="5">
        <v>44044</v>
      </c>
      <c r="AH1532" s="5">
        <v>44044</v>
      </c>
      <c r="AK1532" s="5">
        <v>43283.333333333336</v>
      </c>
      <c r="AL1532" s="5">
        <v>43283.666666666664</v>
      </c>
      <c r="AP1532" t="s">
        <v>418</v>
      </c>
      <c r="AU1532" t="s">
        <v>6619</v>
      </c>
      <c r="AY1532" t="s">
        <v>40</v>
      </c>
      <c r="AZ1532">
        <v>0</v>
      </c>
      <c r="BA1532">
        <v>0</v>
      </c>
      <c r="BI1532" s="5">
        <v>44048.176388888889</v>
      </c>
      <c r="BJ1532" s="5">
        <v>44048.176388888889</v>
      </c>
      <c r="BK1532" t="s">
        <v>778</v>
      </c>
      <c r="BL1532" t="s">
        <v>778</v>
      </c>
      <c r="BN1532" t="s">
        <v>37</v>
      </c>
    </row>
    <row r="1533" spans="1:66" x14ac:dyDescent="0.2">
      <c r="A1533">
        <v>3694090</v>
      </c>
      <c r="B1533">
        <v>21883</v>
      </c>
      <c r="C1533">
        <v>523969</v>
      </c>
      <c r="D1533">
        <v>52899</v>
      </c>
      <c r="E1533">
        <v>100</v>
      </c>
      <c r="F1533" t="s">
        <v>37</v>
      </c>
      <c r="G1533">
        <v>1</v>
      </c>
      <c r="H1533" t="s">
        <v>37</v>
      </c>
      <c r="I1533" t="s">
        <v>37</v>
      </c>
      <c r="J1533" t="s">
        <v>775</v>
      </c>
      <c r="K1533" t="s">
        <v>230</v>
      </c>
      <c r="L1533" t="s">
        <v>226</v>
      </c>
      <c r="M1533" t="s">
        <v>422</v>
      </c>
      <c r="N1533" t="s">
        <v>6620</v>
      </c>
      <c r="O1533" t="s">
        <v>6621</v>
      </c>
      <c r="S1533">
        <v>0</v>
      </c>
      <c r="T1533">
        <v>0</v>
      </c>
      <c r="U1533">
        <v>0</v>
      </c>
      <c r="V1533">
        <v>0</v>
      </c>
      <c r="W1533">
        <v>32</v>
      </c>
      <c r="X1533">
        <v>0</v>
      </c>
      <c r="Y1533">
        <v>0</v>
      </c>
      <c r="Z1533">
        <v>0</v>
      </c>
      <c r="AB1533" s="5">
        <v>43325.333333333336</v>
      </c>
      <c r="AC1533" s="5">
        <v>43329.666666666664</v>
      </c>
      <c r="AD1533" s="5">
        <v>43970.333333333336</v>
      </c>
      <c r="AE1533" s="5">
        <v>43970.333333333336</v>
      </c>
      <c r="AG1533" s="5">
        <v>44044</v>
      </c>
      <c r="AH1533" s="5">
        <v>44044</v>
      </c>
      <c r="AK1533" s="5">
        <v>43347.333333333336</v>
      </c>
      <c r="AL1533" s="5">
        <v>43350.666666666664</v>
      </c>
      <c r="AP1533" t="s">
        <v>418</v>
      </c>
      <c r="AU1533" t="s">
        <v>6622</v>
      </c>
      <c r="AY1533" t="s">
        <v>40</v>
      </c>
      <c r="AZ1533">
        <v>0</v>
      </c>
      <c r="BA1533">
        <v>0</v>
      </c>
      <c r="BI1533" s="5">
        <v>44048.176388888889</v>
      </c>
      <c r="BJ1533" s="5">
        <v>44048.176388888889</v>
      </c>
      <c r="BK1533" t="s">
        <v>778</v>
      </c>
      <c r="BL1533" t="s">
        <v>778</v>
      </c>
      <c r="BN1533" t="s">
        <v>37</v>
      </c>
    </row>
    <row r="1534" spans="1:66" x14ac:dyDescent="0.2">
      <c r="A1534">
        <v>3694091</v>
      </c>
      <c r="B1534">
        <v>21883</v>
      </c>
      <c r="C1534">
        <v>523892</v>
      </c>
      <c r="D1534">
        <v>52899</v>
      </c>
      <c r="E1534">
        <v>100</v>
      </c>
      <c r="F1534" t="s">
        <v>37</v>
      </c>
      <c r="G1534">
        <v>1</v>
      </c>
      <c r="H1534" t="s">
        <v>37</v>
      </c>
      <c r="I1534" t="s">
        <v>37</v>
      </c>
      <c r="J1534" t="s">
        <v>775</v>
      </c>
      <c r="K1534" t="s">
        <v>230</v>
      </c>
      <c r="L1534" t="s">
        <v>226</v>
      </c>
      <c r="M1534" t="s">
        <v>422</v>
      </c>
      <c r="N1534" t="s">
        <v>6623</v>
      </c>
      <c r="O1534" t="s">
        <v>6624</v>
      </c>
      <c r="S1534">
        <v>0</v>
      </c>
      <c r="T1534">
        <v>0</v>
      </c>
      <c r="U1534">
        <v>0</v>
      </c>
      <c r="V1534">
        <v>0</v>
      </c>
      <c r="W1534">
        <v>24</v>
      </c>
      <c r="X1534">
        <v>0</v>
      </c>
      <c r="Y1534">
        <v>0</v>
      </c>
      <c r="Z1534">
        <v>0</v>
      </c>
      <c r="AB1534" s="5">
        <v>43325.333333333336</v>
      </c>
      <c r="AC1534" s="5">
        <v>43326.666666666664</v>
      </c>
      <c r="AD1534" s="5">
        <v>43970.333333333336</v>
      </c>
      <c r="AE1534" s="5">
        <v>43970.333333333336</v>
      </c>
      <c r="AG1534" s="5">
        <v>44044</v>
      </c>
      <c r="AH1534" s="5">
        <v>44044</v>
      </c>
      <c r="AK1534" s="5">
        <v>43347.333333333336</v>
      </c>
      <c r="AL1534" s="5">
        <v>43349.666666666664</v>
      </c>
      <c r="AP1534" t="s">
        <v>418</v>
      </c>
      <c r="AU1534" t="s">
        <v>6625</v>
      </c>
      <c r="AY1534" t="s">
        <v>40</v>
      </c>
      <c r="AZ1534">
        <v>0</v>
      </c>
      <c r="BA1534">
        <v>0</v>
      </c>
      <c r="BI1534" s="5">
        <v>44048.176388888889</v>
      </c>
      <c r="BJ1534" s="5">
        <v>44048.176388888889</v>
      </c>
      <c r="BK1534" t="s">
        <v>778</v>
      </c>
      <c r="BL1534" t="s">
        <v>778</v>
      </c>
      <c r="BN1534" t="s">
        <v>37</v>
      </c>
    </row>
    <row r="1535" spans="1:66" x14ac:dyDescent="0.2">
      <c r="A1535">
        <v>3694092</v>
      </c>
      <c r="B1535">
        <v>21883</v>
      </c>
      <c r="C1535">
        <v>523891</v>
      </c>
      <c r="D1535">
        <v>52899</v>
      </c>
      <c r="E1535">
        <v>100</v>
      </c>
      <c r="F1535" t="s">
        <v>37</v>
      </c>
      <c r="G1535">
        <v>1</v>
      </c>
      <c r="H1535" t="s">
        <v>37</v>
      </c>
      <c r="I1535" t="s">
        <v>37</v>
      </c>
      <c r="J1535" t="s">
        <v>775</v>
      </c>
      <c r="K1535" t="s">
        <v>230</v>
      </c>
      <c r="L1535" t="s">
        <v>226</v>
      </c>
      <c r="M1535" t="s">
        <v>422</v>
      </c>
      <c r="N1535" t="s">
        <v>6626</v>
      </c>
      <c r="O1535" t="s">
        <v>6627</v>
      </c>
      <c r="S1535">
        <v>0</v>
      </c>
      <c r="T1535">
        <v>0</v>
      </c>
      <c r="U1535">
        <v>0</v>
      </c>
      <c r="V1535">
        <v>0</v>
      </c>
      <c r="W1535">
        <v>24</v>
      </c>
      <c r="X1535">
        <v>0</v>
      </c>
      <c r="Y1535">
        <v>0</v>
      </c>
      <c r="Z1535">
        <v>0</v>
      </c>
      <c r="AB1535" s="5">
        <v>43320.333333333336</v>
      </c>
      <c r="AC1535" s="5">
        <v>43322.666666666664</v>
      </c>
      <c r="AD1535" s="5">
        <v>43970.333333333336</v>
      </c>
      <c r="AE1535" s="5">
        <v>43970.333333333336</v>
      </c>
      <c r="AG1535" s="5">
        <v>44044</v>
      </c>
      <c r="AH1535" s="5">
        <v>44044</v>
      </c>
      <c r="AK1535" s="5">
        <v>43347.333333333336</v>
      </c>
      <c r="AL1535" s="5">
        <v>43349.666666666664</v>
      </c>
      <c r="AP1535" t="s">
        <v>418</v>
      </c>
      <c r="AU1535" t="s">
        <v>6628</v>
      </c>
      <c r="AY1535" t="s">
        <v>40</v>
      </c>
      <c r="AZ1535">
        <v>0</v>
      </c>
      <c r="BA1535">
        <v>0</v>
      </c>
      <c r="BI1535" s="5">
        <v>44048.176388888889</v>
      </c>
      <c r="BJ1535" s="5">
        <v>44048.176388888889</v>
      </c>
      <c r="BK1535" t="s">
        <v>778</v>
      </c>
      <c r="BL1535" t="s">
        <v>778</v>
      </c>
      <c r="BN1535" t="s">
        <v>37</v>
      </c>
    </row>
    <row r="1536" spans="1:66" x14ac:dyDescent="0.2">
      <c r="A1536">
        <v>3694093</v>
      </c>
      <c r="B1536">
        <v>21883</v>
      </c>
      <c r="C1536">
        <v>523890</v>
      </c>
      <c r="D1536">
        <v>52899</v>
      </c>
      <c r="E1536">
        <v>100</v>
      </c>
      <c r="F1536" t="s">
        <v>37</v>
      </c>
      <c r="G1536">
        <v>1</v>
      </c>
      <c r="H1536" t="s">
        <v>37</v>
      </c>
      <c r="I1536" t="s">
        <v>37</v>
      </c>
      <c r="J1536" t="s">
        <v>775</v>
      </c>
      <c r="K1536" t="s">
        <v>230</v>
      </c>
      <c r="L1536" t="s">
        <v>226</v>
      </c>
      <c r="M1536" t="s">
        <v>422</v>
      </c>
      <c r="N1536" t="s">
        <v>6629</v>
      </c>
      <c r="O1536" t="s">
        <v>6630</v>
      </c>
      <c r="S1536">
        <v>0</v>
      </c>
      <c r="T1536">
        <v>0</v>
      </c>
      <c r="U1536">
        <v>0</v>
      </c>
      <c r="V1536">
        <v>0</v>
      </c>
      <c r="W1536">
        <v>24</v>
      </c>
      <c r="X1536">
        <v>0</v>
      </c>
      <c r="Y1536">
        <v>0</v>
      </c>
      <c r="Z1536">
        <v>0</v>
      </c>
      <c r="AB1536" s="5">
        <v>43326.333333333336</v>
      </c>
      <c r="AC1536" s="5">
        <v>43354.666666666664</v>
      </c>
      <c r="AD1536" s="5">
        <v>43970.333333333336</v>
      </c>
      <c r="AE1536" s="5">
        <v>43970.333333333336</v>
      </c>
      <c r="AG1536" s="5">
        <v>44044</v>
      </c>
      <c r="AH1536" s="5">
        <v>44044</v>
      </c>
      <c r="AK1536" s="5">
        <v>43350.333333333336</v>
      </c>
      <c r="AL1536" s="5">
        <v>43354.666666666664</v>
      </c>
      <c r="AP1536" t="s">
        <v>418</v>
      </c>
      <c r="AU1536" t="s">
        <v>6631</v>
      </c>
      <c r="AY1536" t="s">
        <v>40</v>
      </c>
      <c r="AZ1536">
        <v>0</v>
      </c>
      <c r="BA1536">
        <v>0</v>
      </c>
      <c r="BI1536" s="5">
        <v>44048.176388888889</v>
      </c>
      <c r="BJ1536" s="5">
        <v>44048.176388888889</v>
      </c>
      <c r="BK1536" t="s">
        <v>778</v>
      </c>
      <c r="BL1536" t="s">
        <v>778</v>
      </c>
      <c r="BN1536" t="s">
        <v>37</v>
      </c>
    </row>
    <row r="1537" spans="1:66" x14ac:dyDescent="0.2">
      <c r="A1537">
        <v>3694094</v>
      </c>
      <c r="B1537">
        <v>21883</v>
      </c>
      <c r="C1537">
        <v>523889</v>
      </c>
      <c r="D1537">
        <v>52899</v>
      </c>
      <c r="E1537">
        <v>100</v>
      </c>
      <c r="F1537" t="s">
        <v>37</v>
      </c>
      <c r="G1537">
        <v>1</v>
      </c>
      <c r="H1537" t="s">
        <v>37</v>
      </c>
      <c r="I1537" t="s">
        <v>37</v>
      </c>
      <c r="J1537" t="s">
        <v>775</v>
      </c>
      <c r="K1537" t="s">
        <v>230</v>
      </c>
      <c r="L1537" t="s">
        <v>226</v>
      </c>
      <c r="M1537" t="s">
        <v>422</v>
      </c>
      <c r="N1537" t="s">
        <v>6632</v>
      </c>
      <c r="O1537" t="s">
        <v>6633</v>
      </c>
      <c r="S1537">
        <v>0</v>
      </c>
      <c r="T1537">
        <v>0</v>
      </c>
      <c r="U1537">
        <v>0</v>
      </c>
      <c r="V1537">
        <v>0</v>
      </c>
      <c r="W1537">
        <v>24</v>
      </c>
      <c r="X1537">
        <v>0</v>
      </c>
      <c r="Y1537">
        <v>0</v>
      </c>
      <c r="Z1537">
        <v>0</v>
      </c>
      <c r="AB1537" s="5">
        <v>43364.333333333336</v>
      </c>
      <c r="AC1537" s="5">
        <v>43369.666666666664</v>
      </c>
      <c r="AD1537" s="5">
        <v>43970.333333333336</v>
      </c>
      <c r="AE1537" s="5">
        <v>43970.333333333336</v>
      </c>
      <c r="AG1537" s="5">
        <v>44044</v>
      </c>
      <c r="AH1537" s="5">
        <v>44044</v>
      </c>
      <c r="AK1537" s="5">
        <v>43354.333333333336</v>
      </c>
      <c r="AL1537" s="5">
        <v>43360.666666666664</v>
      </c>
      <c r="AP1537" t="s">
        <v>418</v>
      </c>
      <c r="AU1537" t="s">
        <v>6634</v>
      </c>
      <c r="AY1537" t="s">
        <v>40</v>
      </c>
      <c r="AZ1537">
        <v>0</v>
      </c>
      <c r="BA1537">
        <v>0</v>
      </c>
      <c r="BI1537" s="5">
        <v>44048.176388888889</v>
      </c>
      <c r="BJ1537" s="5">
        <v>44048.176388888889</v>
      </c>
      <c r="BK1537" t="s">
        <v>778</v>
      </c>
      <c r="BL1537" t="s">
        <v>778</v>
      </c>
      <c r="BN1537" t="s">
        <v>37</v>
      </c>
    </row>
    <row r="1538" spans="1:66" x14ac:dyDescent="0.2">
      <c r="A1538">
        <v>3694095</v>
      </c>
      <c r="B1538">
        <v>21883</v>
      </c>
      <c r="C1538">
        <v>523983</v>
      </c>
      <c r="D1538">
        <v>52899</v>
      </c>
      <c r="E1538">
        <v>100</v>
      </c>
      <c r="F1538" t="s">
        <v>37</v>
      </c>
      <c r="G1538">
        <v>1</v>
      </c>
      <c r="H1538" t="s">
        <v>37</v>
      </c>
      <c r="I1538" t="s">
        <v>37</v>
      </c>
      <c r="J1538" t="s">
        <v>775</v>
      </c>
      <c r="K1538" t="s">
        <v>230</v>
      </c>
      <c r="L1538" t="s">
        <v>226</v>
      </c>
      <c r="M1538" t="s">
        <v>422</v>
      </c>
      <c r="N1538" t="s">
        <v>6635</v>
      </c>
      <c r="O1538" t="s">
        <v>6636</v>
      </c>
      <c r="S1538">
        <v>0</v>
      </c>
      <c r="T1538">
        <v>0</v>
      </c>
      <c r="U1538">
        <v>0</v>
      </c>
      <c r="V1538">
        <v>0</v>
      </c>
      <c r="W1538">
        <v>120</v>
      </c>
      <c r="X1538">
        <v>0</v>
      </c>
      <c r="Y1538">
        <v>0</v>
      </c>
      <c r="Z1538">
        <v>0</v>
      </c>
      <c r="AB1538" s="5">
        <v>43489</v>
      </c>
      <c r="AC1538" s="5">
        <v>43517</v>
      </c>
      <c r="AD1538" s="5">
        <v>43970.333333333336</v>
      </c>
      <c r="AE1538" s="5">
        <v>43970.333333333336</v>
      </c>
      <c r="AG1538" s="5">
        <v>44044</v>
      </c>
      <c r="AH1538" s="5">
        <v>44044</v>
      </c>
      <c r="AK1538" s="5">
        <v>43497.333333333336</v>
      </c>
      <c r="AL1538" s="5">
        <v>43518.666666666664</v>
      </c>
      <c r="AP1538" t="s">
        <v>418</v>
      </c>
      <c r="AU1538" t="s">
        <v>6637</v>
      </c>
      <c r="AY1538" t="s">
        <v>40</v>
      </c>
      <c r="AZ1538">
        <v>0</v>
      </c>
      <c r="BA1538">
        <v>0</v>
      </c>
      <c r="BI1538" s="5">
        <v>44048.176388888889</v>
      </c>
      <c r="BJ1538" s="5">
        <v>44048.176388888889</v>
      </c>
      <c r="BK1538" t="s">
        <v>778</v>
      </c>
      <c r="BL1538" t="s">
        <v>778</v>
      </c>
      <c r="BN1538" t="s">
        <v>37</v>
      </c>
    </row>
    <row r="1539" spans="1:66" x14ac:dyDescent="0.2">
      <c r="A1539">
        <v>3694096</v>
      </c>
      <c r="B1539">
        <v>21883</v>
      </c>
      <c r="C1539">
        <v>523887</v>
      </c>
      <c r="D1539">
        <v>52899</v>
      </c>
      <c r="E1539">
        <v>100</v>
      </c>
      <c r="F1539" t="s">
        <v>37</v>
      </c>
      <c r="G1539">
        <v>1</v>
      </c>
      <c r="H1539" t="s">
        <v>37</v>
      </c>
      <c r="I1539" t="s">
        <v>37</v>
      </c>
      <c r="J1539" t="s">
        <v>775</v>
      </c>
      <c r="K1539" t="s">
        <v>230</v>
      </c>
      <c r="L1539" t="s">
        <v>226</v>
      </c>
      <c r="M1539" t="s">
        <v>422</v>
      </c>
      <c r="N1539" t="s">
        <v>6638</v>
      </c>
      <c r="O1539" t="s">
        <v>6639</v>
      </c>
      <c r="S1539">
        <v>0</v>
      </c>
      <c r="T1539">
        <v>0</v>
      </c>
      <c r="U1539">
        <v>0</v>
      </c>
      <c r="V1539">
        <v>0</v>
      </c>
      <c r="W1539">
        <v>8</v>
      </c>
      <c r="X1539">
        <v>0</v>
      </c>
      <c r="Y1539">
        <v>0</v>
      </c>
      <c r="Z1539">
        <v>0</v>
      </c>
      <c r="AB1539" s="5">
        <v>43312.333333333336</v>
      </c>
      <c r="AC1539" s="5">
        <v>43318.666666666664</v>
      </c>
      <c r="AD1539" s="5">
        <v>43970.333333333336</v>
      </c>
      <c r="AE1539" s="5">
        <v>43970.333333333336</v>
      </c>
      <c r="AG1539" s="5">
        <v>44044</v>
      </c>
      <c r="AH1539" s="5">
        <v>44044</v>
      </c>
      <c r="AK1539" s="5">
        <v>43313.333333333336</v>
      </c>
      <c r="AL1539" s="5">
        <v>43313.666666666664</v>
      </c>
      <c r="AP1539" t="s">
        <v>418</v>
      </c>
      <c r="AU1539" t="s">
        <v>6640</v>
      </c>
      <c r="AY1539" t="s">
        <v>40</v>
      </c>
      <c r="AZ1539">
        <v>0</v>
      </c>
      <c r="BA1539">
        <v>0</v>
      </c>
      <c r="BI1539" s="5">
        <v>44048.176388888889</v>
      </c>
      <c r="BJ1539" s="5">
        <v>44048.176388888889</v>
      </c>
      <c r="BK1539" t="s">
        <v>778</v>
      </c>
      <c r="BL1539" t="s">
        <v>778</v>
      </c>
      <c r="BN1539" t="s">
        <v>37</v>
      </c>
    </row>
    <row r="1540" spans="1:66" x14ac:dyDescent="0.2">
      <c r="A1540">
        <v>3694097</v>
      </c>
      <c r="B1540">
        <v>21883</v>
      </c>
      <c r="C1540">
        <v>523887</v>
      </c>
      <c r="D1540">
        <v>52899</v>
      </c>
      <c r="E1540">
        <v>100</v>
      </c>
      <c r="F1540" t="s">
        <v>37</v>
      </c>
      <c r="G1540">
        <v>1</v>
      </c>
      <c r="H1540" t="s">
        <v>37</v>
      </c>
      <c r="I1540" t="s">
        <v>37</v>
      </c>
      <c r="J1540" t="s">
        <v>775</v>
      </c>
      <c r="K1540" t="s">
        <v>230</v>
      </c>
      <c r="L1540" t="s">
        <v>226</v>
      </c>
      <c r="M1540" t="s">
        <v>422</v>
      </c>
      <c r="N1540" t="s">
        <v>6641</v>
      </c>
      <c r="O1540" t="s">
        <v>6642</v>
      </c>
      <c r="S1540">
        <v>0</v>
      </c>
      <c r="T1540">
        <v>64</v>
      </c>
      <c r="U1540">
        <v>0</v>
      </c>
      <c r="V1540">
        <v>64</v>
      </c>
      <c r="W1540">
        <v>64</v>
      </c>
      <c r="X1540">
        <v>0</v>
      </c>
      <c r="Y1540">
        <v>0</v>
      </c>
      <c r="Z1540">
        <v>0</v>
      </c>
      <c r="AB1540" s="5">
        <v>43318.333333333336</v>
      </c>
      <c r="AC1540" s="5">
        <v>43342.666666666664</v>
      </c>
      <c r="AD1540" s="5">
        <v>43970.333333333336</v>
      </c>
      <c r="AE1540" s="5">
        <v>43970.333333333336</v>
      </c>
      <c r="AG1540" s="5">
        <v>44044</v>
      </c>
      <c r="AH1540" s="5">
        <v>44044</v>
      </c>
      <c r="AK1540" s="5">
        <v>43348.333333333336</v>
      </c>
      <c r="AL1540" s="5">
        <v>43361.666666666664</v>
      </c>
      <c r="AP1540" t="s">
        <v>418</v>
      </c>
      <c r="AU1540" t="s">
        <v>6643</v>
      </c>
      <c r="AV1540" t="s">
        <v>2475</v>
      </c>
      <c r="AY1540" t="s">
        <v>40</v>
      </c>
      <c r="AZ1540">
        <v>64</v>
      </c>
      <c r="BA1540">
        <v>0</v>
      </c>
      <c r="BI1540" s="5">
        <v>44048.176388888889</v>
      </c>
      <c r="BJ1540" s="5">
        <v>44048.176388888889</v>
      </c>
      <c r="BK1540" t="s">
        <v>778</v>
      </c>
      <c r="BL1540" t="s">
        <v>778</v>
      </c>
      <c r="BN1540" t="s">
        <v>37</v>
      </c>
    </row>
    <row r="1541" spans="1:66" x14ac:dyDescent="0.2">
      <c r="A1541">
        <v>3694098</v>
      </c>
      <c r="B1541">
        <v>21883</v>
      </c>
      <c r="C1541">
        <v>523936</v>
      </c>
      <c r="D1541">
        <v>52899</v>
      </c>
      <c r="E1541">
        <v>100</v>
      </c>
      <c r="F1541" t="s">
        <v>37</v>
      </c>
      <c r="G1541">
        <v>1</v>
      </c>
      <c r="H1541" t="s">
        <v>37</v>
      </c>
      <c r="I1541" t="s">
        <v>37</v>
      </c>
      <c r="J1541" t="s">
        <v>775</v>
      </c>
      <c r="K1541" t="s">
        <v>230</v>
      </c>
      <c r="L1541" t="s">
        <v>226</v>
      </c>
      <c r="M1541" t="s">
        <v>422</v>
      </c>
      <c r="N1541" t="s">
        <v>6644</v>
      </c>
      <c r="O1541" t="s">
        <v>6645</v>
      </c>
      <c r="S1541">
        <v>0</v>
      </c>
      <c r="T1541">
        <v>0</v>
      </c>
      <c r="U1541">
        <v>0</v>
      </c>
      <c r="V1541">
        <v>0</v>
      </c>
      <c r="W1541">
        <v>80</v>
      </c>
      <c r="X1541">
        <v>0</v>
      </c>
      <c r="Y1541">
        <v>0</v>
      </c>
      <c r="Z1541">
        <v>0</v>
      </c>
      <c r="AB1541" s="5">
        <v>43340.333333333336</v>
      </c>
      <c r="AC1541" s="5">
        <v>43349.666666666664</v>
      </c>
      <c r="AD1541" s="5">
        <v>44117.333333333336</v>
      </c>
      <c r="AE1541" s="5">
        <v>44117.333333333336</v>
      </c>
      <c r="AG1541" s="5">
        <v>44044</v>
      </c>
      <c r="AH1541" s="5">
        <v>44044</v>
      </c>
      <c r="AK1541" s="5">
        <v>43347.333333333336</v>
      </c>
      <c r="AL1541" s="5">
        <v>43362.666666666664</v>
      </c>
      <c r="AP1541" t="s">
        <v>418</v>
      </c>
      <c r="AU1541" t="s">
        <v>6646</v>
      </c>
      <c r="AY1541" t="s">
        <v>37</v>
      </c>
      <c r="AZ1541">
        <v>0</v>
      </c>
      <c r="BA1541">
        <v>0</v>
      </c>
      <c r="BI1541" s="5">
        <v>44048.176388888889</v>
      </c>
      <c r="BJ1541" s="5">
        <v>44048.176388888889</v>
      </c>
      <c r="BK1541" t="s">
        <v>778</v>
      </c>
      <c r="BL1541" t="s">
        <v>778</v>
      </c>
      <c r="BN1541" t="s">
        <v>37</v>
      </c>
    </row>
    <row r="1542" spans="1:66" x14ac:dyDescent="0.2">
      <c r="A1542">
        <v>3694099</v>
      </c>
      <c r="B1542">
        <v>21883</v>
      </c>
      <c r="C1542">
        <v>523837</v>
      </c>
      <c r="D1542">
        <v>52895</v>
      </c>
      <c r="E1542">
        <v>100</v>
      </c>
      <c r="F1542" t="s">
        <v>37</v>
      </c>
      <c r="G1542">
        <v>1</v>
      </c>
      <c r="H1542" t="s">
        <v>37</v>
      </c>
      <c r="I1542" t="s">
        <v>37</v>
      </c>
      <c r="J1542" t="s">
        <v>775</v>
      </c>
      <c r="K1542" t="s">
        <v>230</v>
      </c>
      <c r="L1542" t="s">
        <v>226</v>
      </c>
      <c r="M1542" t="s">
        <v>422</v>
      </c>
      <c r="N1542" t="s">
        <v>6647</v>
      </c>
      <c r="O1542" t="s">
        <v>6648</v>
      </c>
      <c r="S1542">
        <v>0</v>
      </c>
      <c r="T1542">
        <v>0</v>
      </c>
      <c r="U1542">
        <v>0</v>
      </c>
      <c r="V1542">
        <v>0</v>
      </c>
      <c r="W1542">
        <v>56</v>
      </c>
      <c r="X1542">
        <v>0</v>
      </c>
      <c r="Y1542">
        <v>0</v>
      </c>
      <c r="Z1542">
        <v>0</v>
      </c>
      <c r="AA1542" s="5">
        <v>43354.333333333336</v>
      </c>
      <c r="AB1542" s="5">
        <v>43354.333333333336</v>
      </c>
      <c r="AC1542" s="5">
        <v>43360.666666666664</v>
      </c>
      <c r="AD1542" s="5">
        <v>43970.333333333336</v>
      </c>
      <c r="AE1542" s="5">
        <v>43970.333333333336</v>
      </c>
      <c r="AG1542" s="5">
        <v>44044</v>
      </c>
      <c r="AH1542" s="5">
        <v>44044</v>
      </c>
      <c r="AK1542" s="5">
        <v>43354.333333333336</v>
      </c>
      <c r="AL1542" s="5">
        <v>43360.666666666664</v>
      </c>
      <c r="AO1542" t="s">
        <v>1523</v>
      </c>
      <c r="AP1542" t="s">
        <v>418</v>
      </c>
      <c r="AU1542" t="s">
        <v>6649</v>
      </c>
      <c r="AV1542" t="s">
        <v>6650</v>
      </c>
      <c r="AY1542" t="s">
        <v>40</v>
      </c>
      <c r="AZ1542">
        <v>0</v>
      </c>
      <c r="BA1542">
        <v>0</v>
      </c>
      <c r="BI1542" s="5">
        <v>44048.176388888889</v>
      </c>
      <c r="BJ1542" s="5">
        <v>44048.176388888889</v>
      </c>
      <c r="BK1542" t="s">
        <v>778</v>
      </c>
      <c r="BL1542" t="s">
        <v>778</v>
      </c>
      <c r="BN1542" t="s">
        <v>37</v>
      </c>
    </row>
    <row r="1543" spans="1:66" x14ac:dyDescent="0.2">
      <c r="A1543">
        <v>3694100</v>
      </c>
      <c r="B1543">
        <v>21883</v>
      </c>
      <c r="C1543">
        <v>523887</v>
      </c>
      <c r="D1543">
        <v>9358</v>
      </c>
      <c r="E1543">
        <v>100</v>
      </c>
      <c r="F1543" t="s">
        <v>37</v>
      </c>
      <c r="G1543">
        <v>1</v>
      </c>
      <c r="H1543" t="s">
        <v>37</v>
      </c>
      <c r="I1543" t="s">
        <v>37</v>
      </c>
      <c r="J1543" t="s">
        <v>775</v>
      </c>
      <c r="K1543" t="s">
        <v>230</v>
      </c>
      <c r="L1543" t="s">
        <v>226</v>
      </c>
      <c r="M1543" t="s">
        <v>422</v>
      </c>
      <c r="N1543" t="s">
        <v>6651</v>
      </c>
      <c r="O1543" t="s">
        <v>6652</v>
      </c>
      <c r="S1543">
        <v>0</v>
      </c>
      <c r="T1543">
        <v>0</v>
      </c>
      <c r="U1543">
        <v>0</v>
      </c>
      <c r="V1543">
        <v>0</v>
      </c>
      <c r="W1543">
        <v>56</v>
      </c>
      <c r="X1543">
        <v>0</v>
      </c>
      <c r="Y1543">
        <v>0</v>
      </c>
      <c r="Z1543">
        <v>0</v>
      </c>
      <c r="AB1543" s="5">
        <v>43377</v>
      </c>
      <c r="AC1543" s="5">
        <v>43383</v>
      </c>
      <c r="AD1543" s="5">
        <v>43970.333333333336</v>
      </c>
      <c r="AE1543" s="5">
        <v>43970.333333333336</v>
      </c>
      <c r="AG1543" s="5">
        <v>44044</v>
      </c>
      <c r="AH1543" s="5">
        <v>44044</v>
      </c>
      <c r="AK1543" s="5">
        <v>43374.333333333336</v>
      </c>
      <c r="AL1543" s="5">
        <v>43382.708333333336</v>
      </c>
      <c r="AP1543" t="s">
        <v>418</v>
      </c>
      <c r="AU1543" t="s">
        <v>6653</v>
      </c>
      <c r="AV1543" t="s">
        <v>6654</v>
      </c>
      <c r="AY1543" t="s">
        <v>40</v>
      </c>
      <c r="AZ1543">
        <v>0</v>
      </c>
      <c r="BA1543">
        <v>0</v>
      </c>
      <c r="BI1543" s="5">
        <v>44048.176388888889</v>
      </c>
      <c r="BJ1543" s="5">
        <v>44048.176388888889</v>
      </c>
      <c r="BK1543" t="s">
        <v>778</v>
      </c>
      <c r="BL1543" t="s">
        <v>778</v>
      </c>
      <c r="BN1543" t="s">
        <v>37</v>
      </c>
    </row>
    <row r="1544" spans="1:66" x14ac:dyDescent="0.2">
      <c r="A1544">
        <v>3694101</v>
      </c>
      <c r="B1544">
        <v>21883</v>
      </c>
      <c r="C1544">
        <v>523887</v>
      </c>
      <c r="D1544">
        <v>9358</v>
      </c>
      <c r="E1544">
        <v>100</v>
      </c>
      <c r="F1544" t="s">
        <v>37</v>
      </c>
      <c r="G1544">
        <v>1</v>
      </c>
      <c r="H1544" t="s">
        <v>37</v>
      </c>
      <c r="I1544" t="s">
        <v>37</v>
      </c>
      <c r="J1544" t="s">
        <v>775</v>
      </c>
      <c r="K1544" t="s">
        <v>230</v>
      </c>
      <c r="L1544" t="s">
        <v>226</v>
      </c>
      <c r="M1544" t="s">
        <v>422</v>
      </c>
      <c r="N1544" t="s">
        <v>6655</v>
      </c>
      <c r="O1544" t="s">
        <v>6656</v>
      </c>
      <c r="S1544">
        <v>0</v>
      </c>
      <c r="T1544">
        <v>0</v>
      </c>
      <c r="U1544">
        <v>0</v>
      </c>
      <c r="V1544">
        <v>0</v>
      </c>
      <c r="W1544">
        <v>8</v>
      </c>
      <c r="X1544">
        <v>0</v>
      </c>
      <c r="Y1544">
        <v>0</v>
      </c>
      <c r="Z1544">
        <v>0</v>
      </c>
      <c r="AB1544" s="5">
        <v>43398</v>
      </c>
      <c r="AC1544" s="5">
        <v>43398</v>
      </c>
      <c r="AD1544" s="5">
        <v>43970.333333333336</v>
      </c>
      <c r="AE1544" s="5">
        <v>43970.333333333336</v>
      </c>
      <c r="AG1544" s="5">
        <v>44044</v>
      </c>
      <c r="AH1544" s="5">
        <v>44044</v>
      </c>
      <c r="AK1544" s="5">
        <v>43405.333333333336</v>
      </c>
      <c r="AL1544" s="5">
        <v>43405.708333333336</v>
      </c>
      <c r="AP1544" t="s">
        <v>418</v>
      </c>
      <c r="AU1544" t="s">
        <v>6657</v>
      </c>
      <c r="AV1544" t="s">
        <v>6658</v>
      </c>
      <c r="AY1544" t="s">
        <v>40</v>
      </c>
      <c r="AZ1544">
        <v>0</v>
      </c>
      <c r="BA1544">
        <v>0</v>
      </c>
      <c r="BI1544" s="5">
        <v>44048.176388888889</v>
      </c>
      <c r="BJ1544" s="5">
        <v>44048.176388888889</v>
      </c>
      <c r="BK1544" t="s">
        <v>778</v>
      </c>
      <c r="BL1544" t="s">
        <v>778</v>
      </c>
      <c r="BN1544" t="s">
        <v>37</v>
      </c>
    </row>
    <row r="1545" spans="1:66" x14ac:dyDescent="0.2">
      <c r="A1545">
        <v>3694102</v>
      </c>
      <c r="B1545">
        <v>21883</v>
      </c>
      <c r="C1545">
        <v>523887</v>
      </c>
      <c r="D1545">
        <v>9358</v>
      </c>
      <c r="E1545">
        <v>100</v>
      </c>
      <c r="F1545" t="s">
        <v>37</v>
      </c>
      <c r="G1545">
        <v>1</v>
      </c>
      <c r="H1545" t="s">
        <v>37</v>
      </c>
      <c r="I1545" t="s">
        <v>37</v>
      </c>
      <c r="J1545" t="s">
        <v>775</v>
      </c>
      <c r="K1545" t="s">
        <v>230</v>
      </c>
      <c r="L1545" t="s">
        <v>226</v>
      </c>
      <c r="M1545" t="s">
        <v>422</v>
      </c>
      <c r="N1545" t="s">
        <v>6659</v>
      </c>
      <c r="O1545" t="s">
        <v>6660</v>
      </c>
      <c r="S1545">
        <v>0</v>
      </c>
      <c r="T1545">
        <v>0</v>
      </c>
      <c r="U1545">
        <v>0</v>
      </c>
      <c r="V1545">
        <v>0</v>
      </c>
      <c r="W1545">
        <v>8</v>
      </c>
      <c r="X1545">
        <v>0</v>
      </c>
      <c r="Y1545">
        <v>0</v>
      </c>
      <c r="Z1545">
        <v>0</v>
      </c>
      <c r="AB1545" s="5">
        <v>43402</v>
      </c>
      <c r="AC1545" s="5">
        <v>43402</v>
      </c>
      <c r="AD1545" s="5">
        <v>43970.333333333336</v>
      </c>
      <c r="AE1545" s="5">
        <v>43970.333333333336</v>
      </c>
      <c r="AG1545" s="5">
        <v>44044</v>
      </c>
      <c r="AH1545" s="5">
        <v>44044</v>
      </c>
      <c r="AK1545" s="5">
        <v>43405.333333333336</v>
      </c>
      <c r="AL1545" s="5">
        <v>43405.708333333336</v>
      </c>
      <c r="AP1545" t="s">
        <v>418</v>
      </c>
      <c r="AU1545" t="s">
        <v>6661</v>
      </c>
      <c r="AV1545" t="s">
        <v>6662</v>
      </c>
      <c r="AY1545" t="s">
        <v>40</v>
      </c>
      <c r="AZ1545">
        <v>0</v>
      </c>
      <c r="BA1545">
        <v>0</v>
      </c>
      <c r="BI1545" s="5">
        <v>44048.176388888889</v>
      </c>
      <c r="BJ1545" s="5">
        <v>44048.176388888889</v>
      </c>
      <c r="BK1545" t="s">
        <v>778</v>
      </c>
      <c r="BL1545" t="s">
        <v>778</v>
      </c>
      <c r="BN1545" t="s">
        <v>37</v>
      </c>
    </row>
    <row r="1546" spans="1:66" x14ac:dyDescent="0.2">
      <c r="A1546">
        <v>3694103</v>
      </c>
      <c r="B1546">
        <v>21883</v>
      </c>
      <c r="C1546">
        <v>523887</v>
      </c>
      <c r="D1546">
        <v>9358</v>
      </c>
      <c r="E1546">
        <v>100</v>
      </c>
      <c r="F1546" t="s">
        <v>37</v>
      </c>
      <c r="G1546">
        <v>1</v>
      </c>
      <c r="H1546" t="s">
        <v>37</v>
      </c>
      <c r="I1546" t="s">
        <v>37</v>
      </c>
      <c r="J1546" t="s">
        <v>775</v>
      </c>
      <c r="K1546" t="s">
        <v>230</v>
      </c>
      <c r="L1546" t="s">
        <v>226</v>
      </c>
      <c r="M1546" t="s">
        <v>422</v>
      </c>
      <c r="N1546" t="s">
        <v>6663</v>
      </c>
      <c r="O1546" t="s">
        <v>6664</v>
      </c>
      <c r="S1546">
        <v>0</v>
      </c>
      <c r="T1546">
        <v>0</v>
      </c>
      <c r="U1546">
        <v>0</v>
      </c>
      <c r="V1546">
        <v>0</v>
      </c>
      <c r="W1546">
        <v>8</v>
      </c>
      <c r="X1546">
        <v>0</v>
      </c>
      <c r="Y1546">
        <v>0</v>
      </c>
      <c r="Z1546">
        <v>0</v>
      </c>
      <c r="AB1546" s="5">
        <v>43404</v>
      </c>
      <c r="AC1546" s="5">
        <v>43404</v>
      </c>
      <c r="AD1546" s="5">
        <v>43970.333333333336</v>
      </c>
      <c r="AE1546" s="5">
        <v>43970.333333333336</v>
      </c>
      <c r="AG1546" s="5">
        <v>44044</v>
      </c>
      <c r="AH1546" s="5">
        <v>44044</v>
      </c>
      <c r="AK1546" s="5">
        <v>43405.333333333336</v>
      </c>
      <c r="AL1546" s="5">
        <v>43405.708333333336</v>
      </c>
      <c r="AP1546" t="s">
        <v>418</v>
      </c>
      <c r="AU1546" t="s">
        <v>6665</v>
      </c>
      <c r="AV1546" t="s">
        <v>6666</v>
      </c>
      <c r="AY1546" t="s">
        <v>40</v>
      </c>
      <c r="AZ1546">
        <v>0</v>
      </c>
      <c r="BA1546">
        <v>0</v>
      </c>
      <c r="BI1546" s="5">
        <v>44048.176388888889</v>
      </c>
      <c r="BJ1546" s="5">
        <v>44048.176388888889</v>
      </c>
      <c r="BK1546" t="s">
        <v>778</v>
      </c>
      <c r="BL1546" t="s">
        <v>778</v>
      </c>
      <c r="BN1546" t="s">
        <v>37</v>
      </c>
    </row>
    <row r="1547" spans="1:66" x14ac:dyDescent="0.2">
      <c r="A1547">
        <v>3694104</v>
      </c>
      <c r="B1547">
        <v>21883</v>
      </c>
      <c r="C1547">
        <v>523887</v>
      </c>
      <c r="D1547">
        <v>9358</v>
      </c>
      <c r="E1547">
        <v>100</v>
      </c>
      <c r="F1547" t="s">
        <v>37</v>
      </c>
      <c r="G1547">
        <v>1</v>
      </c>
      <c r="H1547" t="s">
        <v>37</v>
      </c>
      <c r="I1547" t="s">
        <v>37</v>
      </c>
      <c r="J1547" t="s">
        <v>775</v>
      </c>
      <c r="K1547" t="s">
        <v>230</v>
      </c>
      <c r="L1547" t="s">
        <v>226</v>
      </c>
      <c r="M1547" t="s">
        <v>422</v>
      </c>
      <c r="N1547" t="s">
        <v>6667</v>
      </c>
      <c r="O1547" t="s">
        <v>6668</v>
      </c>
      <c r="S1547">
        <v>0</v>
      </c>
      <c r="T1547">
        <v>0</v>
      </c>
      <c r="U1547">
        <v>0</v>
      </c>
      <c r="V1547">
        <v>0</v>
      </c>
      <c r="W1547">
        <v>8</v>
      </c>
      <c r="X1547">
        <v>0</v>
      </c>
      <c r="Y1547">
        <v>0</v>
      </c>
      <c r="Z1547">
        <v>0</v>
      </c>
      <c r="AB1547" s="5">
        <v>43404</v>
      </c>
      <c r="AC1547" s="5">
        <v>43405</v>
      </c>
      <c r="AD1547" s="5">
        <v>43970.333333333336</v>
      </c>
      <c r="AE1547" s="5">
        <v>43970.333333333336</v>
      </c>
      <c r="AG1547" s="5">
        <v>44044</v>
      </c>
      <c r="AH1547" s="5">
        <v>44044</v>
      </c>
      <c r="AK1547" s="5">
        <v>43437.333333333336</v>
      </c>
      <c r="AL1547" s="5">
        <v>43437.708333333336</v>
      </c>
      <c r="AP1547" t="s">
        <v>418</v>
      </c>
      <c r="AU1547" t="s">
        <v>6669</v>
      </c>
      <c r="AV1547" t="s">
        <v>6670</v>
      </c>
      <c r="AY1547" t="s">
        <v>40</v>
      </c>
      <c r="AZ1547">
        <v>0</v>
      </c>
      <c r="BA1547">
        <v>0</v>
      </c>
      <c r="BI1547" s="5">
        <v>44048.176388888889</v>
      </c>
      <c r="BJ1547" s="5">
        <v>44048.176388888889</v>
      </c>
      <c r="BK1547" t="s">
        <v>778</v>
      </c>
      <c r="BL1547" t="s">
        <v>778</v>
      </c>
      <c r="BN1547" t="s">
        <v>37</v>
      </c>
    </row>
    <row r="1548" spans="1:66" x14ac:dyDescent="0.2">
      <c r="A1548">
        <v>3694105</v>
      </c>
      <c r="B1548">
        <v>21883</v>
      </c>
      <c r="C1548">
        <v>523887</v>
      </c>
      <c r="D1548">
        <v>9358</v>
      </c>
      <c r="E1548">
        <v>100</v>
      </c>
      <c r="F1548" t="s">
        <v>37</v>
      </c>
      <c r="G1548">
        <v>1</v>
      </c>
      <c r="H1548" t="s">
        <v>37</v>
      </c>
      <c r="I1548" t="s">
        <v>37</v>
      </c>
      <c r="J1548" t="s">
        <v>775</v>
      </c>
      <c r="K1548" t="s">
        <v>230</v>
      </c>
      <c r="L1548" t="s">
        <v>226</v>
      </c>
      <c r="M1548" t="s">
        <v>422</v>
      </c>
      <c r="N1548" t="s">
        <v>6671</v>
      </c>
      <c r="O1548" t="s">
        <v>6672</v>
      </c>
      <c r="S1548">
        <v>0</v>
      </c>
      <c r="T1548">
        <v>0</v>
      </c>
      <c r="U1548">
        <v>0</v>
      </c>
      <c r="V1548">
        <v>0</v>
      </c>
      <c r="W1548">
        <v>8</v>
      </c>
      <c r="X1548">
        <v>0</v>
      </c>
      <c r="Y1548">
        <v>0</v>
      </c>
      <c r="Z1548">
        <v>0</v>
      </c>
      <c r="AB1548" s="5">
        <v>43406</v>
      </c>
      <c r="AC1548" s="5">
        <v>43406</v>
      </c>
      <c r="AD1548" s="5">
        <v>43970.333333333336</v>
      </c>
      <c r="AE1548" s="5">
        <v>43970.333333333336</v>
      </c>
      <c r="AG1548" s="5">
        <v>44044</v>
      </c>
      <c r="AH1548" s="5">
        <v>44044</v>
      </c>
      <c r="AK1548" s="5">
        <v>43437.333333333336</v>
      </c>
      <c r="AL1548" s="5">
        <v>43437.708333333336</v>
      </c>
      <c r="AP1548" t="s">
        <v>418</v>
      </c>
      <c r="AU1548" t="s">
        <v>6673</v>
      </c>
      <c r="AV1548" t="s">
        <v>6674</v>
      </c>
      <c r="AY1548" t="s">
        <v>40</v>
      </c>
      <c r="AZ1548">
        <v>0</v>
      </c>
      <c r="BA1548">
        <v>0</v>
      </c>
      <c r="BI1548" s="5">
        <v>44048.176388888889</v>
      </c>
      <c r="BJ1548" s="5">
        <v>44048.176388888889</v>
      </c>
      <c r="BK1548" t="s">
        <v>778</v>
      </c>
      <c r="BL1548" t="s">
        <v>778</v>
      </c>
      <c r="BN1548" t="s">
        <v>37</v>
      </c>
    </row>
    <row r="1549" spans="1:66" x14ac:dyDescent="0.2">
      <c r="A1549">
        <v>3694106</v>
      </c>
      <c r="B1549">
        <v>21883</v>
      </c>
      <c r="C1549">
        <v>523837</v>
      </c>
      <c r="D1549">
        <v>52895</v>
      </c>
      <c r="E1549">
        <v>100</v>
      </c>
      <c r="F1549" t="s">
        <v>37</v>
      </c>
      <c r="G1549">
        <v>1</v>
      </c>
      <c r="H1549" t="s">
        <v>37</v>
      </c>
      <c r="I1549" t="s">
        <v>37</v>
      </c>
      <c r="J1549" t="s">
        <v>775</v>
      </c>
      <c r="K1549" t="s">
        <v>230</v>
      </c>
      <c r="L1549" t="s">
        <v>226</v>
      </c>
      <c r="M1549" t="s">
        <v>422</v>
      </c>
      <c r="N1549" t="s">
        <v>6675</v>
      </c>
      <c r="O1549" t="s">
        <v>6676</v>
      </c>
      <c r="S1549">
        <v>0</v>
      </c>
      <c r="T1549">
        <v>0</v>
      </c>
      <c r="U1549">
        <v>0</v>
      </c>
      <c r="V1549">
        <v>0</v>
      </c>
      <c r="W1549">
        <v>80</v>
      </c>
      <c r="X1549">
        <v>0</v>
      </c>
      <c r="Y1549">
        <v>0</v>
      </c>
      <c r="Z1549">
        <v>0</v>
      </c>
      <c r="AB1549" s="5">
        <v>43384</v>
      </c>
      <c r="AC1549" s="5">
        <v>43394</v>
      </c>
      <c r="AD1549" s="5">
        <v>43970.333333333336</v>
      </c>
      <c r="AE1549" s="5">
        <v>43970.333333333336</v>
      </c>
      <c r="AG1549" s="5">
        <v>44044</v>
      </c>
      <c r="AH1549" s="5">
        <v>44044</v>
      </c>
      <c r="AK1549" s="5">
        <v>43409.333333333336</v>
      </c>
      <c r="AL1549" s="5">
        <v>43418.666666666664</v>
      </c>
      <c r="AP1549" t="s">
        <v>418</v>
      </c>
      <c r="AU1549" t="s">
        <v>6677</v>
      </c>
      <c r="AY1549" t="s">
        <v>40</v>
      </c>
      <c r="AZ1549">
        <v>0</v>
      </c>
      <c r="BA1549">
        <v>0</v>
      </c>
      <c r="BI1549" s="5">
        <v>44048.176388888889</v>
      </c>
      <c r="BJ1549" s="5">
        <v>44048.176388888889</v>
      </c>
      <c r="BK1549" t="s">
        <v>778</v>
      </c>
      <c r="BL1549" t="s">
        <v>778</v>
      </c>
      <c r="BN1549" t="s">
        <v>37</v>
      </c>
    </row>
    <row r="1550" spans="1:66" x14ac:dyDescent="0.2">
      <c r="A1550">
        <v>3694107</v>
      </c>
      <c r="B1550">
        <v>21883</v>
      </c>
      <c r="C1550">
        <v>523887</v>
      </c>
      <c r="D1550">
        <v>52899</v>
      </c>
      <c r="E1550">
        <v>100</v>
      </c>
      <c r="F1550" t="s">
        <v>37</v>
      </c>
      <c r="G1550">
        <v>1</v>
      </c>
      <c r="H1550" t="s">
        <v>37</v>
      </c>
      <c r="I1550" t="s">
        <v>37</v>
      </c>
      <c r="J1550" t="s">
        <v>775</v>
      </c>
      <c r="K1550" t="s">
        <v>230</v>
      </c>
      <c r="L1550" t="s">
        <v>226</v>
      </c>
      <c r="M1550" t="s">
        <v>422</v>
      </c>
      <c r="N1550" t="s">
        <v>6678</v>
      </c>
      <c r="O1550" t="s">
        <v>6679</v>
      </c>
      <c r="S1550">
        <v>0</v>
      </c>
      <c r="T1550">
        <v>0</v>
      </c>
      <c r="U1550">
        <v>0</v>
      </c>
      <c r="V1550">
        <v>0</v>
      </c>
      <c r="W1550">
        <v>24</v>
      </c>
      <c r="X1550">
        <v>0</v>
      </c>
      <c r="Y1550">
        <v>0</v>
      </c>
      <c r="Z1550">
        <v>0</v>
      </c>
      <c r="AB1550" s="5">
        <v>43395</v>
      </c>
      <c r="AC1550" s="5">
        <v>43397</v>
      </c>
      <c r="AD1550" s="5">
        <v>43970.333333333336</v>
      </c>
      <c r="AE1550" s="5">
        <v>43970.333333333336</v>
      </c>
      <c r="AG1550" s="5">
        <v>44044</v>
      </c>
      <c r="AH1550" s="5">
        <v>44044</v>
      </c>
      <c r="AK1550" s="5">
        <v>43406.333333333336</v>
      </c>
      <c r="AL1550" s="5">
        <v>43410.666666666664</v>
      </c>
      <c r="AP1550" t="s">
        <v>418</v>
      </c>
      <c r="AU1550" t="s">
        <v>6680</v>
      </c>
      <c r="AY1550" t="s">
        <v>40</v>
      </c>
      <c r="AZ1550">
        <v>0</v>
      </c>
      <c r="BA1550">
        <v>0</v>
      </c>
      <c r="BI1550" s="5">
        <v>44048.176388888889</v>
      </c>
      <c r="BJ1550" s="5">
        <v>44048.176388888889</v>
      </c>
      <c r="BK1550" t="s">
        <v>778</v>
      </c>
      <c r="BL1550" t="s">
        <v>778</v>
      </c>
      <c r="BN1550" t="s">
        <v>37</v>
      </c>
    </row>
    <row r="1551" spans="1:66" x14ac:dyDescent="0.2">
      <c r="A1551">
        <v>3694108</v>
      </c>
      <c r="B1551">
        <v>21883</v>
      </c>
      <c r="C1551">
        <v>523936</v>
      </c>
      <c r="D1551">
        <v>52899</v>
      </c>
      <c r="E1551">
        <v>100</v>
      </c>
      <c r="F1551" t="s">
        <v>37</v>
      </c>
      <c r="G1551">
        <v>1</v>
      </c>
      <c r="H1551" t="s">
        <v>37</v>
      </c>
      <c r="I1551" t="s">
        <v>37</v>
      </c>
      <c r="J1551" t="s">
        <v>775</v>
      </c>
      <c r="K1551" t="s">
        <v>230</v>
      </c>
      <c r="L1551" t="s">
        <v>226</v>
      </c>
      <c r="M1551" t="s">
        <v>422</v>
      </c>
      <c r="N1551" t="s">
        <v>6681</v>
      </c>
      <c r="O1551" t="s">
        <v>6682</v>
      </c>
      <c r="S1551">
        <v>0</v>
      </c>
      <c r="T1551">
        <v>0</v>
      </c>
      <c r="U1551">
        <v>0</v>
      </c>
      <c r="V1551">
        <v>0</v>
      </c>
      <c r="W1551">
        <v>64</v>
      </c>
      <c r="X1551">
        <v>0</v>
      </c>
      <c r="Y1551">
        <v>0</v>
      </c>
      <c r="Z1551">
        <v>0</v>
      </c>
      <c r="AB1551" s="5">
        <v>43395</v>
      </c>
      <c r="AC1551" s="5">
        <v>43409</v>
      </c>
      <c r="AD1551" s="5">
        <v>43970.333333333336</v>
      </c>
      <c r="AE1551" s="5">
        <v>43970.333333333336</v>
      </c>
      <c r="AG1551" s="5">
        <v>44044</v>
      </c>
      <c r="AH1551" s="5">
        <v>44044</v>
      </c>
      <c r="AK1551" s="5">
        <v>43406.333333333336</v>
      </c>
      <c r="AL1551" s="5">
        <v>43419.666666666664</v>
      </c>
      <c r="AP1551" t="s">
        <v>418</v>
      </c>
      <c r="AU1551" t="s">
        <v>6683</v>
      </c>
      <c r="AY1551" t="s">
        <v>40</v>
      </c>
      <c r="AZ1551">
        <v>0</v>
      </c>
      <c r="BA1551">
        <v>0</v>
      </c>
      <c r="BI1551" s="5">
        <v>44048.176388888889</v>
      </c>
      <c r="BJ1551" s="5">
        <v>44048.176388888889</v>
      </c>
      <c r="BK1551" t="s">
        <v>778</v>
      </c>
      <c r="BL1551" t="s">
        <v>778</v>
      </c>
      <c r="BN1551" t="s">
        <v>37</v>
      </c>
    </row>
    <row r="1552" spans="1:66" x14ac:dyDescent="0.2">
      <c r="A1552">
        <v>3694109</v>
      </c>
      <c r="B1552">
        <v>21883</v>
      </c>
      <c r="C1552">
        <v>523937</v>
      </c>
      <c r="D1552">
        <v>52899</v>
      </c>
      <c r="E1552">
        <v>100</v>
      </c>
      <c r="F1552" t="s">
        <v>37</v>
      </c>
      <c r="G1552">
        <v>1</v>
      </c>
      <c r="H1552" t="s">
        <v>37</v>
      </c>
      <c r="I1552" t="s">
        <v>37</v>
      </c>
      <c r="J1552" t="s">
        <v>775</v>
      </c>
      <c r="K1552" t="s">
        <v>230</v>
      </c>
      <c r="L1552" t="s">
        <v>226</v>
      </c>
      <c r="M1552" t="s">
        <v>422</v>
      </c>
      <c r="N1552" t="s">
        <v>6684</v>
      </c>
      <c r="O1552" t="s">
        <v>6685</v>
      </c>
      <c r="S1552">
        <v>0</v>
      </c>
      <c r="T1552">
        <v>0</v>
      </c>
      <c r="U1552">
        <v>0</v>
      </c>
      <c r="V1552">
        <v>0</v>
      </c>
      <c r="W1552">
        <v>200</v>
      </c>
      <c r="X1552">
        <v>0</v>
      </c>
      <c r="Y1552">
        <v>0</v>
      </c>
      <c r="Z1552">
        <v>0</v>
      </c>
      <c r="AA1552" s="5">
        <v>43535.333333333336</v>
      </c>
      <c r="AB1552" s="5">
        <v>43501</v>
      </c>
      <c r="AC1552" s="5">
        <v>43501</v>
      </c>
      <c r="AD1552" s="5">
        <v>43970.333333333336</v>
      </c>
      <c r="AE1552" s="5">
        <v>43970.333333333336</v>
      </c>
      <c r="AG1552" s="5">
        <v>44044</v>
      </c>
      <c r="AH1552" s="5">
        <v>44044</v>
      </c>
      <c r="AK1552" s="5">
        <v>43535.333333333336</v>
      </c>
      <c r="AL1552" s="5">
        <v>43570.666666666664</v>
      </c>
      <c r="AO1552" t="s">
        <v>2336</v>
      </c>
      <c r="AP1552" t="s">
        <v>418</v>
      </c>
      <c r="AU1552" t="s">
        <v>6686</v>
      </c>
      <c r="AY1552" t="s">
        <v>40</v>
      </c>
      <c r="AZ1552">
        <v>0</v>
      </c>
      <c r="BA1552">
        <v>0</v>
      </c>
      <c r="BI1552" s="5">
        <v>44048.176388888889</v>
      </c>
      <c r="BJ1552" s="5">
        <v>44048.176388888889</v>
      </c>
      <c r="BK1552" t="s">
        <v>778</v>
      </c>
      <c r="BL1552" t="s">
        <v>778</v>
      </c>
      <c r="BN1552" t="s">
        <v>37</v>
      </c>
    </row>
    <row r="1553" spans="1:66" x14ac:dyDescent="0.2">
      <c r="A1553">
        <v>3694110</v>
      </c>
      <c r="B1553">
        <v>21883</v>
      </c>
      <c r="C1553">
        <v>523837</v>
      </c>
      <c r="D1553">
        <v>52895</v>
      </c>
      <c r="E1553">
        <v>100</v>
      </c>
      <c r="F1553" t="s">
        <v>37</v>
      </c>
      <c r="G1553">
        <v>1</v>
      </c>
      <c r="H1553" t="s">
        <v>37</v>
      </c>
      <c r="I1553" t="s">
        <v>37</v>
      </c>
      <c r="J1553" t="s">
        <v>775</v>
      </c>
      <c r="K1553" t="s">
        <v>230</v>
      </c>
      <c r="L1553" t="s">
        <v>226</v>
      </c>
      <c r="M1553" t="s">
        <v>422</v>
      </c>
      <c r="N1553" t="s">
        <v>6687</v>
      </c>
      <c r="O1553" t="s">
        <v>6688</v>
      </c>
      <c r="S1553">
        <v>0</v>
      </c>
      <c r="T1553">
        <v>0</v>
      </c>
      <c r="U1553">
        <v>0</v>
      </c>
      <c r="V1553">
        <v>0</v>
      </c>
      <c r="W1553">
        <v>80</v>
      </c>
      <c r="X1553">
        <v>0</v>
      </c>
      <c r="Y1553">
        <v>0</v>
      </c>
      <c r="Z1553">
        <v>0</v>
      </c>
      <c r="AA1553" s="5">
        <v>43442.333333333336</v>
      </c>
      <c r="AB1553" s="5">
        <v>43442</v>
      </c>
      <c r="AC1553" s="5">
        <v>43450</v>
      </c>
      <c r="AD1553" s="5">
        <v>43970.333333333336</v>
      </c>
      <c r="AE1553" s="5">
        <v>43970.333333333336</v>
      </c>
      <c r="AG1553" s="5">
        <v>44044</v>
      </c>
      <c r="AH1553" s="5">
        <v>44044</v>
      </c>
      <c r="AK1553" s="5">
        <v>43466.333333333336</v>
      </c>
      <c r="AL1553" s="5">
        <v>43475.666666666664</v>
      </c>
      <c r="AO1553" t="s">
        <v>1523</v>
      </c>
      <c r="AP1553" t="s">
        <v>418</v>
      </c>
      <c r="AU1553" t="s">
        <v>6689</v>
      </c>
      <c r="AY1553" t="s">
        <v>40</v>
      </c>
      <c r="AZ1553">
        <v>0</v>
      </c>
      <c r="BA1553">
        <v>0</v>
      </c>
      <c r="BI1553" s="5">
        <v>44048.176388888889</v>
      </c>
      <c r="BJ1553" s="5">
        <v>44048.176388888889</v>
      </c>
      <c r="BK1553" t="s">
        <v>778</v>
      </c>
      <c r="BL1553" t="s">
        <v>778</v>
      </c>
      <c r="BN1553" t="s">
        <v>37</v>
      </c>
    </row>
    <row r="1554" spans="1:66" x14ac:dyDescent="0.2">
      <c r="A1554">
        <v>3694111</v>
      </c>
      <c r="B1554">
        <v>21883</v>
      </c>
      <c r="C1554">
        <v>523937</v>
      </c>
      <c r="D1554">
        <v>52897</v>
      </c>
      <c r="E1554">
        <v>100</v>
      </c>
      <c r="F1554" t="s">
        <v>37</v>
      </c>
      <c r="G1554">
        <v>1</v>
      </c>
      <c r="H1554" t="s">
        <v>37</v>
      </c>
      <c r="I1554" t="s">
        <v>37</v>
      </c>
      <c r="J1554" t="s">
        <v>775</v>
      </c>
      <c r="K1554" t="s">
        <v>230</v>
      </c>
      <c r="L1554" t="s">
        <v>226</v>
      </c>
      <c r="M1554" t="s">
        <v>422</v>
      </c>
      <c r="N1554" t="s">
        <v>6690</v>
      </c>
      <c r="O1554" t="s">
        <v>6691</v>
      </c>
      <c r="S1554">
        <v>0</v>
      </c>
      <c r="T1554">
        <v>0</v>
      </c>
      <c r="U1554">
        <v>0</v>
      </c>
      <c r="V1554">
        <v>0</v>
      </c>
      <c r="W1554">
        <v>328</v>
      </c>
      <c r="X1554">
        <v>0</v>
      </c>
      <c r="Y1554">
        <v>0</v>
      </c>
      <c r="Z1554">
        <v>0</v>
      </c>
      <c r="AB1554" s="5">
        <v>43501</v>
      </c>
      <c r="AC1554" s="5">
        <v>43564</v>
      </c>
      <c r="AD1554" s="5">
        <v>43970.333333333336</v>
      </c>
      <c r="AE1554" s="5">
        <v>43970.333333333336</v>
      </c>
      <c r="AG1554" s="5">
        <v>44044</v>
      </c>
      <c r="AH1554" s="5">
        <v>44044</v>
      </c>
      <c r="AK1554" s="5">
        <v>43528.333333333336</v>
      </c>
      <c r="AL1554" s="5">
        <v>43614.666666666664</v>
      </c>
      <c r="AP1554" t="s">
        <v>418</v>
      </c>
      <c r="AU1554" t="s">
        <v>6692</v>
      </c>
      <c r="AY1554" t="s">
        <v>40</v>
      </c>
      <c r="AZ1554">
        <v>0</v>
      </c>
      <c r="BA1554">
        <v>0</v>
      </c>
      <c r="BI1554" s="5">
        <v>44048.176388888889</v>
      </c>
      <c r="BJ1554" s="5">
        <v>44048.176388888889</v>
      </c>
      <c r="BK1554" t="s">
        <v>778</v>
      </c>
      <c r="BL1554" t="s">
        <v>778</v>
      </c>
      <c r="BN1554" t="s">
        <v>37</v>
      </c>
    </row>
    <row r="1555" spans="1:66" x14ac:dyDescent="0.2">
      <c r="A1555">
        <v>3694112</v>
      </c>
      <c r="B1555">
        <v>21883</v>
      </c>
      <c r="C1555">
        <v>523937</v>
      </c>
      <c r="D1555">
        <v>52897</v>
      </c>
      <c r="E1555">
        <v>100</v>
      </c>
      <c r="F1555" t="s">
        <v>37</v>
      </c>
      <c r="G1555">
        <v>1</v>
      </c>
      <c r="H1555" t="s">
        <v>37</v>
      </c>
      <c r="I1555" t="s">
        <v>37</v>
      </c>
      <c r="J1555" t="s">
        <v>775</v>
      </c>
      <c r="K1555" t="s">
        <v>230</v>
      </c>
      <c r="L1555" t="s">
        <v>226</v>
      </c>
      <c r="M1555" t="s">
        <v>422</v>
      </c>
      <c r="N1555" t="s">
        <v>6693</v>
      </c>
      <c r="O1555" t="s">
        <v>6694</v>
      </c>
      <c r="S1555">
        <v>0</v>
      </c>
      <c r="T1555">
        <v>0</v>
      </c>
      <c r="U1555">
        <v>0</v>
      </c>
      <c r="V1555">
        <v>0</v>
      </c>
      <c r="W1555">
        <v>16</v>
      </c>
      <c r="X1555">
        <v>0</v>
      </c>
      <c r="Y1555">
        <v>0</v>
      </c>
      <c r="Z1555">
        <v>0</v>
      </c>
      <c r="AB1555" s="5">
        <v>43565</v>
      </c>
      <c r="AC1555" s="5">
        <v>43584</v>
      </c>
      <c r="AD1555" s="5">
        <v>43970.333333333336</v>
      </c>
      <c r="AE1555" s="5">
        <v>43970.333333333336</v>
      </c>
      <c r="AG1555" s="5">
        <v>44044</v>
      </c>
      <c r="AH1555" s="5">
        <v>44044</v>
      </c>
      <c r="AK1555" s="5">
        <v>43586.333333333336</v>
      </c>
      <c r="AL1555" s="5">
        <v>43587.666666666664</v>
      </c>
      <c r="AP1555" t="s">
        <v>418</v>
      </c>
      <c r="AU1555" t="s">
        <v>6695</v>
      </c>
      <c r="AY1555" t="s">
        <v>40</v>
      </c>
      <c r="AZ1555">
        <v>0</v>
      </c>
      <c r="BA1555">
        <v>0</v>
      </c>
      <c r="BI1555" s="5">
        <v>44048.176388888889</v>
      </c>
      <c r="BJ1555" s="5">
        <v>44048.176388888889</v>
      </c>
      <c r="BK1555" t="s">
        <v>778</v>
      </c>
      <c r="BL1555" t="s">
        <v>778</v>
      </c>
      <c r="BN1555" t="s">
        <v>37</v>
      </c>
    </row>
    <row r="1556" spans="1:66" x14ac:dyDescent="0.2">
      <c r="A1556">
        <v>3694113</v>
      </c>
      <c r="B1556">
        <v>21883</v>
      </c>
      <c r="C1556">
        <v>523937</v>
      </c>
      <c r="D1556">
        <v>52898</v>
      </c>
      <c r="E1556">
        <v>100</v>
      </c>
      <c r="F1556" t="s">
        <v>37</v>
      </c>
      <c r="G1556">
        <v>1</v>
      </c>
      <c r="H1556" t="s">
        <v>37</v>
      </c>
      <c r="I1556" t="s">
        <v>37</v>
      </c>
      <c r="J1556" t="s">
        <v>775</v>
      </c>
      <c r="K1556" t="s">
        <v>230</v>
      </c>
      <c r="L1556" t="s">
        <v>226</v>
      </c>
      <c r="M1556" t="s">
        <v>422</v>
      </c>
      <c r="N1556" t="s">
        <v>6696</v>
      </c>
      <c r="O1556" t="s">
        <v>3511</v>
      </c>
      <c r="S1556">
        <v>0</v>
      </c>
      <c r="T1556">
        <v>0</v>
      </c>
      <c r="U1556">
        <v>0</v>
      </c>
      <c r="V1556">
        <v>0</v>
      </c>
      <c r="W1556">
        <v>40</v>
      </c>
      <c r="X1556">
        <v>0</v>
      </c>
      <c r="Y1556">
        <v>0</v>
      </c>
      <c r="Z1556">
        <v>0</v>
      </c>
      <c r="AB1556" s="5">
        <v>43580</v>
      </c>
      <c r="AC1556" s="5">
        <v>43585</v>
      </c>
      <c r="AD1556" s="5">
        <v>43970.333333333336</v>
      </c>
      <c r="AE1556" s="5">
        <v>43970.333333333336</v>
      </c>
      <c r="AG1556" s="5">
        <v>44044</v>
      </c>
      <c r="AH1556" s="5">
        <v>44044</v>
      </c>
      <c r="AK1556" s="5">
        <v>43586.333333333336</v>
      </c>
      <c r="AL1556" s="5">
        <v>43594.666666666664</v>
      </c>
      <c r="AP1556" t="s">
        <v>418</v>
      </c>
      <c r="AU1556" t="s">
        <v>6697</v>
      </c>
      <c r="AY1556" t="s">
        <v>40</v>
      </c>
      <c r="AZ1556">
        <v>0</v>
      </c>
      <c r="BA1556">
        <v>0</v>
      </c>
      <c r="BI1556" s="5">
        <v>44048.176388888889</v>
      </c>
      <c r="BJ1556" s="5">
        <v>44048.176388888889</v>
      </c>
      <c r="BK1556" t="s">
        <v>778</v>
      </c>
      <c r="BL1556" t="s">
        <v>778</v>
      </c>
      <c r="BN1556" t="s">
        <v>37</v>
      </c>
    </row>
    <row r="1557" spans="1:66" x14ac:dyDescent="0.2">
      <c r="A1557">
        <v>3694114</v>
      </c>
      <c r="B1557">
        <v>21883</v>
      </c>
      <c r="C1557">
        <v>523937</v>
      </c>
      <c r="D1557">
        <v>52895</v>
      </c>
      <c r="E1557">
        <v>100</v>
      </c>
      <c r="F1557" t="s">
        <v>37</v>
      </c>
      <c r="G1557">
        <v>1</v>
      </c>
      <c r="H1557" t="s">
        <v>37</v>
      </c>
      <c r="I1557" t="s">
        <v>37</v>
      </c>
      <c r="J1557" t="s">
        <v>775</v>
      </c>
      <c r="K1557" t="s">
        <v>230</v>
      </c>
      <c r="L1557" t="s">
        <v>226</v>
      </c>
      <c r="M1557" t="s">
        <v>422</v>
      </c>
      <c r="N1557" t="s">
        <v>6698</v>
      </c>
      <c r="O1557" t="s">
        <v>6699</v>
      </c>
      <c r="S1557">
        <v>0</v>
      </c>
      <c r="T1557">
        <v>0</v>
      </c>
      <c r="U1557">
        <v>0</v>
      </c>
      <c r="V1557">
        <v>0</v>
      </c>
      <c r="W1557">
        <v>56</v>
      </c>
      <c r="X1557">
        <v>0</v>
      </c>
      <c r="Y1557">
        <v>0</v>
      </c>
      <c r="Z1557">
        <v>0</v>
      </c>
      <c r="AB1557" s="5">
        <v>43585</v>
      </c>
      <c r="AC1557" s="5">
        <v>43591</v>
      </c>
      <c r="AD1557" s="5">
        <v>43970.333333333336</v>
      </c>
      <c r="AE1557" s="5">
        <v>43970.333333333336</v>
      </c>
      <c r="AG1557" s="5">
        <v>44044</v>
      </c>
      <c r="AH1557" s="5">
        <v>44044</v>
      </c>
      <c r="AK1557" s="5">
        <v>43586.333333333336</v>
      </c>
      <c r="AL1557" s="5">
        <v>43592.666666666664</v>
      </c>
      <c r="AP1557" t="s">
        <v>418</v>
      </c>
      <c r="AU1557" t="s">
        <v>6700</v>
      </c>
      <c r="AY1557" t="s">
        <v>40</v>
      </c>
      <c r="AZ1557">
        <v>0</v>
      </c>
      <c r="BA1557">
        <v>0</v>
      </c>
      <c r="BI1557" s="5">
        <v>44048.176388888889</v>
      </c>
      <c r="BJ1557" s="5">
        <v>44048.176388888889</v>
      </c>
      <c r="BK1557" t="s">
        <v>778</v>
      </c>
      <c r="BL1557" t="s">
        <v>778</v>
      </c>
      <c r="BN1557" t="s">
        <v>37</v>
      </c>
    </row>
    <row r="1558" spans="1:66" x14ac:dyDescent="0.2">
      <c r="A1558">
        <v>3694115</v>
      </c>
      <c r="B1558">
        <v>21883</v>
      </c>
      <c r="C1558">
        <v>523937</v>
      </c>
      <c r="D1558">
        <v>52897</v>
      </c>
      <c r="E1558">
        <v>100</v>
      </c>
      <c r="F1558" t="s">
        <v>37</v>
      </c>
      <c r="G1558">
        <v>1</v>
      </c>
      <c r="H1558" t="s">
        <v>37</v>
      </c>
      <c r="I1558" t="s">
        <v>37</v>
      </c>
      <c r="J1558" t="s">
        <v>775</v>
      </c>
      <c r="K1558" t="s">
        <v>230</v>
      </c>
      <c r="L1558" t="s">
        <v>226</v>
      </c>
      <c r="M1558" t="s">
        <v>422</v>
      </c>
      <c r="N1558" t="s">
        <v>6701</v>
      </c>
      <c r="O1558" t="s">
        <v>6702</v>
      </c>
      <c r="S1558">
        <v>0</v>
      </c>
      <c r="T1558">
        <v>0</v>
      </c>
      <c r="U1558">
        <v>0</v>
      </c>
      <c r="V1558">
        <v>0</v>
      </c>
      <c r="W1558">
        <v>32</v>
      </c>
      <c r="X1558">
        <v>0</v>
      </c>
      <c r="Y1558">
        <v>0</v>
      </c>
      <c r="Z1558">
        <v>0</v>
      </c>
      <c r="AB1558" s="5">
        <v>43587</v>
      </c>
      <c r="AC1558" s="5">
        <v>43594</v>
      </c>
      <c r="AD1558" s="5">
        <v>43970.333333333336</v>
      </c>
      <c r="AE1558" s="5">
        <v>43970.333333333336</v>
      </c>
      <c r="AG1558" s="5">
        <v>44044</v>
      </c>
      <c r="AH1558" s="5">
        <v>44044</v>
      </c>
      <c r="AK1558" s="5">
        <v>43619.333333333336</v>
      </c>
      <c r="AL1558" s="5">
        <v>43623.666666666664</v>
      </c>
      <c r="AP1558" t="s">
        <v>418</v>
      </c>
      <c r="AU1558" t="s">
        <v>6703</v>
      </c>
      <c r="AY1558" t="s">
        <v>40</v>
      </c>
      <c r="AZ1558">
        <v>0</v>
      </c>
      <c r="BA1558">
        <v>0</v>
      </c>
      <c r="BI1558" s="5">
        <v>44048.176388888889</v>
      </c>
      <c r="BJ1558" s="5">
        <v>44048.176388888889</v>
      </c>
      <c r="BK1558" t="s">
        <v>778</v>
      </c>
      <c r="BL1558" t="s">
        <v>778</v>
      </c>
      <c r="BN1558" t="s">
        <v>37</v>
      </c>
    </row>
    <row r="1559" spans="1:66" x14ac:dyDescent="0.2">
      <c r="A1559">
        <v>3694116</v>
      </c>
      <c r="B1559">
        <v>21883</v>
      </c>
      <c r="C1559">
        <v>523937</v>
      </c>
      <c r="D1559">
        <v>52898</v>
      </c>
      <c r="E1559">
        <v>100</v>
      </c>
      <c r="F1559" t="s">
        <v>37</v>
      </c>
      <c r="G1559">
        <v>1</v>
      </c>
      <c r="H1559" t="s">
        <v>37</v>
      </c>
      <c r="I1559" t="s">
        <v>37</v>
      </c>
      <c r="J1559" t="s">
        <v>775</v>
      </c>
      <c r="K1559" t="s">
        <v>230</v>
      </c>
      <c r="L1559" t="s">
        <v>226</v>
      </c>
      <c r="M1559" t="s">
        <v>422</v>
      </c>
      <c r="N1559" t="s">
        <v>6704</v>
      </c>
      <c r="O1559" t="s">
        <v>6705</v>
      </c>
      <c r="S1559">
        <v>0</v>
      </c>
      <c r="T1559">
        <v>0</v>
      </c>
      <c r="U1559">
        <v>0</v>
      </c>
      <c r="V1559">
        <v>0</v>
      </c>
      <c r="W1559">
        <v>40</v>
      </c>
      <c r="X1559">
        <v>0</v>
      </c>
      <c r="Y1559">
        <v>0</v>
      </c>
      <c r="Z1559">
        <v>0</v>
      </c>
      <c r="AB1559" s="5">
        <v>43598</v>
      </c>
      <c r="AC1559" s="5">
        <v>43607</v>
      </c>
      <c r="AD1559" s="5">
        <v>43970.333333333336</v>
      </c>
      <c r="AE1559" s="5">
        <v>43970.333333333336</v>
      </c>
      <c r="AG1559" s="5">
        <v>44044</v>
      </c>
      <c r="AH1559" s="5">
        <v>44044</v>
      </c>
      <c r="AK1559" s="5">
        <v>43619.333333333336</v>
      </c>
      <c r="AL1559" s="5">
        <v>43626.666666666664</v>
      </c>
      <c r="AP1559" t="s">
        <v>418</v>
      </c>
      <c r="AU1559" t="s">
        <v>6706</v>
      </c>
      <c r="AY1559" t="s">
        <v>40</v>
      </c>
      <c r="AZ1559">
        <v>0</v>
      </c>
      <c r="BA1559">
        <v>0</v>
      </c>
      <c r="BI1559" s="5">
        <v>44048.176388888889</v>
      </c>
      <c r="BJ1559" s="5">
        <v>44048.176388888889</v>
      </c>
      <c r="BK1559" t="s">
        <v>778</v>
      </c>
      <c r="BL1559" t="s">
        <v>778</v>
      </c>
      <c r="BN1559" t="s">
        <v>37</v>
      </c>
    </row>
    <row r="1560" spans="1:66" x14ac:dyDescent="0.2">
      <c r="A1560">
        <v>3694117</v>
      </c>
      <c r="B1560">
        <v>21883</v>
      </c>
      <c r="C1560">
        <v>523937</v>
      </c>
      <c r="D1560">
        <v>52895</v>
      </c>
      <c r="E1560">
        <v>100</v>
      </c>
      <c r="F1560" t="s">
        <v>37</v>
      </c>
      <c r="G1560">
        <v>1</v>
      </c>
      <c r="H1560" t="s">
        <v>37</v>
      </c>
      <c r="I1560" t="s">
        <v>37</v>
      </c>
      <c r="J1560" t="s">
        <v>775</v>
      </c>
      <c r="K1560" t="s">
        <v>230</v>
      </c>
      <c r="L1560" t="s">
        <v>226</v>
      </c>
      <c r="M1560" t="s">
        <v>422</v>
      </c>
      <c r="N1560" t="s">
        <v>6707</v>
      </c>
      <c r="O1560" t="s">
        <v>6708</v>
      </c>
      <c r="S1560">
        <v>0</v>
      </c>
      <c r="T1560">
        <v>0</v>
      </c>
      <c r="U1560">
        <v>0</v>
      </c>
      <c r="V1560">
        <v>0</v>
      </c>
      <c r="W1560">
        <v>56</v>
      </c>
      <c r="X1560">
        <v>0</v>
      </c>
      <c r="Y1560">
        <v>0</v>
      </c>
      <c r="Z1560">
        <v>0</v>
      </c>
      <c r="AB1560" s="5">
        <v>43598</v>
      </c>
      <c r="AC1560" s="5">
        <v>43609</v>
      </c>
      <c r="AD1560" s="5">
        <v>43970.333333333336</v>
      </c>
      <c r="AE1560" s="5">
        <v>43970.333333333336</v>
      </c>
      <c r="AG1560" s="5">
        <v>44044</v>
      </c>
      <c r="AH1560" s="5">
        <v>44044</v>
      </c>
      <c r="AK1560" s="5">
        <v>43617.333333333336</v>
      </c>
      <c r="AL1560" s="5">
        <v>43623.666666666664</v>
      </c>
      <c r="AP1560" t="s">
        <v>418</v>
      </c>
      <c r="AU1560" t="s">
        <v>6709</v>
      </c>
      <c r="AY1560" t="s">
        <v>40</v>
      </c>
      <c r="AZ1560">
        <v>0</v>
      </c>
      <c r="BA1560">
        <v>0</v>
      </c>
      <c r="BI1560" s="5">
        <v>44048.176388888889</v>
      </c>
      <c r="BJ1560" s="5">
        <v>44048.176388888889</v>
      </c>
      <c r="BK1560" t="s">
        <v>778</v>
      </c>
      <c r="BL1560" t="s">
        <v>778</v>
      </c>
      <c r="BN1560" t="s">
        <v>37</v>
      </c>
    </row>
    <row r="1561" spans="1:66" x14ac:dyDescent="0.2">
      <c r="A1561">
        <v>3694118</v>
      </c>
      <c r="B1561">
        <v>21883</v>
      </c>
      <c r="C1561">
        <v>523937</v>
      </c>
      <c r="D1561">
        <v>52897</v>
      </c>
      <c r="E1561">
        <v>100</v>
      </c>
      <c r="F1561" t="s">
        <v>37</v>
      </c>
      <c r="G1561">
        <v>1</v>
      </c>
      <c r="H1561" t="s">
        <v>37</v>
      </c>
      <c r="I1561" t="s">
        <v>37</v>
      </c>
      <c r="J1561" t="s">
        <v>775</v>
      </c>
      <c r="K1561" t="s">
        <v>230</v>
      </c>
      <c r="L1561" t="s">
        <v>226</v>
      </c>
      <c r="M1561" t="s">
        <v>422</v>
      </c>
      <c r="N1561" t="s">
        <v>6710</v>
      </c>
      <c r="O1561" t="s">
        <v>6711</v>
      </c>
      <c r="S1561">
        <v>0</v>
      </c>
      <c r="T1561">
        <v>0</v>
      </c>
      <c r="U1561">
        <v>0</v>
      </c>
      <c r="V1561">
        <v>0</v>
      </c>
      <c r="W1561">
        <v>8</v>
      </c>
      <c r="X1561">
        <v>0</v>
      </c>
      <c r="Y1561">
        <v>0</v>
      </c>
      <c r="Z1561">
        <v>0</v>
      </c>
      <c r="AB1561" s="5">
        <v>43629</v>
      </c>
      <c r="AC1561" s="5">
        <v>43633</v>
      </c>
      <c r="AD1561" s="5">
        <v>43970.333333333336</v>
      </c>
      <c r="AE1561" s="5">
        <v>43970.333333333336</v>
      </c>
      <c r="AG1561" s="5">
        <v>44044</v>
      </c>
      <c r="AH1561" s="5">
        <v>44044</v>
      </c>
      <c r="AK1561" s="5">
        <v>43647.333333333336</v>
      </c>
      <c r="AL1561" s="5">
        <v>43647.666666666664</v>
      </c>
      <c r="AP1561" t="s">
        <v>418</v>
      </c>
      <c r="AU1561" t="s">
        <v>6712</v>
      </c>
      <c r="AY1561" t="s">
        <v>40</v>
      </c>
      <c r="AZ1561">
        <v>0</v>
      </c>
      <c r="BA1561">
        <v>0</v>
      </c>
      <c r="BI1561" s="5">
        <v>44048.176388888889</v>
      </c>
      <c r="BJ1561" s="5">
        <v>44048.176388888889</v>
      </c>
      <c r="BK1561" t="s">
        <v>778</v>
      </c>
      <c r="BL1561" t="s">
        <v>778</v>
      </c>
      <c r="BN1561" t="s">
        <v>37</v>
      </c>
    </row>
    <row r="1562" spans="1:66" x14ac:dyDescent="0.2">
      <c r="A1562">
        <v>3694119</v>
      </c>
      <c r="B1562">
        <v>21883</v>
      </c>
      <c r="C1562">
        <v>523937</v>
      </c>
      <c r="D1562">
        <v>52899</v>
      </c>
      <c r="E1562">
        <v>100</v>
      </c>
      <c r="F1562" t="s">
        <v>37</v>
      </c>
      <c r="G1562">
        <v>1</v>
      </c>
      <c r="H1562" t="s">
        <v>37</v>
      </c>
      <c r="I1562" t="s">
        <v>37</v>
      </c>
      <c r="J1562" t="s">
        <v>775</v>
      </c>
      <c r="K1562" t="s">
        <v>230</v>
      </c>
      <c r="L1562" t="s">
        <v>226</v>
      </c>
      <c r="M1562" t="s">
        <v>422</v>
      </c>
      <c r="N1562" t="s">
        <v>6713</v>
      </c>
      <c r="O1562" t="s">
        <v>6714</v>
      </c>
      <c r="S1562">
        <v>0</v>
      </c>
      <c r="T1562">
        <v>0</v>
      </c>
      <c r="U1562">
        <v>0</v>
      </c>
      <c r="V1562">
        <v>0</v>
      </c>
      <c r="W1562">
        <v>16</v>
      </c>
      <c r="X1562">
        <v>0</v>
      </c>
      <c r="Y1562">
        <v>0</v>
      </c>
      <c r="Z1562">
        <v>0</v>
      </c>
      <c r="AB1562" s="5">
        <v>43635</v>
      </c>
      <c r="AC1562" s="5">
        <v>43637</v>
      </c>
      <c r="AD1562" s="5">
        <v>43970.333333333336</v>
      </c>
      <c r="AE1562" s="5">
        <v>43970.333333333336</v>
      </c>
      <c r="AG1562" s="5">
        <v>44044</v>
      </c>
      <c r="AH1562" s="5">
        <v>44044</v>
      </c>
      <c r="AK1562" s="5">
        <v>43647.333333333336</v>
      </c>
      <c r="AL1562" s="5">
        <v>43648.666666666664</v>
      </c>
      <c r="AP1562" t="s">
        <v>418</v>
      </c>
      <c r="AU1562" t="s">
        <v>6715</v>
      </c>
      <c r="AY1562" t="s">
        <v>40</v>
      </c>
      <c r="AZ1562">
        <v>0</v>
      </c>
      <c r="BA1562">
        <v>0</v>
      </c>
      <c r="BI1562" s="5">
        <v>44048.176388888889</v>
      </c>
      <c r="BJ1562" s="5">
        <v>44048.176388888889</v>
      </c>
      <c r="BK1562" t="s">
        <v>778</v>
      </c>
      <c r="BL1562" t="s">
        <v>778</v>
      </c>
      <c r="BN1562" t="s">
        <v>37</v>
      </c>
    </row>
    <row r="1563" spans="1:66" x14ac:dyDescent="0.2">
      <c r="A1563">
        <v>3694120</v>
      </c>
      <c r="B1563">
        <v>21883</v>
      </c>
      <c r="C1563">
        <v>523937</v>
      </c>
      <c r="D1563">
        <v>52898</v>
      </c>
      <c r="E1563">
        <v>100</v>
      </c>
      <c r="F1563" t="s">
        <v>37</v>
      </c>
      <c r="G1563">
        <v>1</v>
      </c>
      <c r="H1563" t="s">
        <v>37</v>
      </c>
      <c r="I1563" t="s">
        <v>37</v>
      </c>
      <c r="J1563" t="s">
        <v>775</v>
      </c>
      <c r="K1563" t="s">
        <v>230</v>
      </c>
      <c r="L1563" t="s">
        <v>226</v>
      </c>
      <c r="M1563" t="s">
        <v>422</v>
      </c>
      <c r="N1563" t="s">
        <v>6716</v>
      </c>
      <c r="O1563" t="s">
        <v>6717</v>
      </c>
      <c r="S1563">
        <v>0</v>
      </c>
      <c r="T1563">
        <v>0</v>
      </c>
      <c r="U1563">
        <v>0</v>
      </c>
      <c r="V1563">
        <v>0</v>
      </c>
      <c r="W1563">
        <v>32</v>
      </c>
      <c r="X1563">
        <v>0</v>
      </c>
      <c r="Y1563">
        <v>0</v>
      </c>
      <c r="Z1563">
        <v>0</v>
      </c>
      <c r="AB1563" s="5">
        <v>43644</v>
      </c>
      <c r="AC1563" s="5">
        <v>43647</v>
      </c>
      <c r="AD1563" s="5">
        <v>43970.333333333336</v>
      </c>
      <c r="AE1563" s="5">
        <v>43970.333333333336</v>
      </c>
      <c r="AG1563" s="5">
        <v>44044</v>
      </c>
      <c r="AH1563" s="5">
        <v>44044</v>
      </c>
      <c r="AK1563" s="5">
        <v>43647.333333333336</v>
      </c>
      <c r="AL1563" s="5">
        <v>43654.666666666664</v>
      </c>
      <c r="AP1563" t="s">
        <v>418</v>
      </c>
      <c r="AU1563" t="s">
        <v>6718</v>
      </c>
      <c r="AY1563" t="s">
        <v>40</v>
      </c>
      <c r="AZ1563">
        <v>0</v>
      </c>
      <c r="BA1563">
        <v>0</v>
      </c>
      <c r="BI1563" s="5">
        <v>44048.176388888889</v>
      </c>
      <c r="BJ1563" s="5">
        <v>44048.176388888889</v>
      </c>
      <c r="BK1563" t="s">
        <v>778</v>
      </c>
      <c r="BL1563" t="s">
        <v>778</v>
      </c>
      <c r="BN1563" t="s">
        <v>37</v>
      </c>
    </row>
    <row r="1564" spans="1:66" x14ac:dyDescent="0.2">
      <c r="A1564">
        <v>3694121</v>
      </c>
      <c r="B1564">
        <v>21883</v>
      </c>
      <c r="C1564">
        <v>523937</v>
      </c>
      <c r="D1564">
        <v>52898</v>
      </c>
      <c r="E1564">
        <v>100</v>
      </c>
      <c r="F1564" t="s">
        <v>37</v>
      </c>
      <c r="G1564">
        <v>1</v>
      </c>
      <c r="H1564" t="s">
        <v>37</v>
      </c>
      <c r="I1564" t="s">
        <v>37</v>
      </c>
      <c r="J1564" t="s">
        <v>775</v>
      </c>
      <c r="K1564" t="s">
        <v>230</v>
      </c>
      <c r="L1564" t="s">
        <v>226</v>
      </c>
      <c r="M1564" t="s">
        <v>422</v>
      </c>
      <c r="N1564" t="s">
        <v>6719</v>
      </c>
      <c r="O1564" t="s">
        <v>6720</v>
      </c>
      <c r="S1564">
        <v>0</v>
      </c>
      <c r="T1564">
        <v>0</v>
      </c>
      <c r="U1564">
        <v>0</v>
      </c>
      <c r="V1564">
        <v>0</v>
      </c>
      <c r="W1564">
        <v>16</v>
      </c>
      <c r="X1564">
        <v>0</v>
      </c>
      <c r="Y1564">
        <v>0</v>
      </c>
      <c r="Z1564">
        <v>0</v>
      </c>
      <c r="AB1564" s="5">
        <v>43648</v>
      </c>
      <c r="AC1564" s="5">
        <v>43649</v>
      </c>
      <c r="AD1564" s="5">
        <v>43970.333333333336</v>
      </c>
      <c r="AE1564" s="5">
        <v>43970.333333333336</v>
      </c>
      <c r="AG1564" s="5">
        <v>44044</v>
      </c>
      <c r="AH1564" s="5">
        <v>44044</v>
      </c>
      <c r="AK1564" s="5">
        <v>43678.333333333336</v>
      </c>
      <c r="AL1564" s="5">
        <v>43679.666666666664</v>
      </c>
      <c r="AP1564" t="s">
        <v>418</v>
      </c>
      <c r="AU1564" t="s">
        <v>6721</v>
      </c>
      <c r="AY1564" t="s">
        <v>40</v>
      </c>
      <c r="AZ1564">
        <v>0</v>
      </c>
      <c r="BA1564">
        <v>0</v>
      </c>
      <c r="BI1564" s="5">
        <v>44048.176388888889</v>
      </c>
      <c r="BJ1564" s="5">
        <v>44048.176388888889</v>
      </c>
      <c r="BK1564" t="s">
        <v>778</v>
      </c>
      <c r="BL1564" t="s">
        <v>778</v>
      </c>
      <c r="BN1564" t="s">
        <v>37</v>
      </c>
    </row>
    <row r="1565" spans="1:66" x14ac:dyDescent="0.2">
      <c r="A1565">
        <v>3694122</v>
      </c>
      <c r="B1565">
        <v>21883</v>
      </c>
      <c r="C1565">
        <v>523937</v>
      </c>
      <c r="D1565">
        <v>52899</v>
      </c>
      <c r="E1565">
        <v>100</v>
      </c>
      <c r="F1565" t="s">
        <v>37</v>
      </c>
      <c r="G1565">
        <v>1</v>
      </c>
      <c r="H1565" t="s">
        <v>37</v>
      </c>
      <c r="I1565" t="s">
        <v>37</v>
      </c>
      <c r="J1565" t="s">
        <v>775</v>
      </c>
      <c r="K1565" t="s">
        <v>230</v>
      </c>
      <c r="L1565" t="s">
        <v>226</v>
      </c>
      <c r="M1565" t="s">
        <v>422</v>
      </c>
      <c r="N1565" t="s">
        <v>6722</v>
      </c>
      <c r="O1565" t="s">
        <v>6723</v>
      </c>
      <c r="S1565">
        <v>0</v>
      </c>
      <c r="T1565">
        <v>0</v>
      </c>
      <c r="U1565">
        <v>0</v>
      </c>
      <c r="V1565">
        <v>0</v>
      </c>
      <c r="W1565">
        <v>24</v>
      </c>
      <c r="X1565">
        <v>0</v>
      </c>
      <c r="Y1565">
        <v>0</v>
      </c>
      <c r="Z1565">
        <v>0</v>
      </c>
      <c r="AB1565" s="5">
        <v>43658</v>
      </c>
      <c r="AC1565" s="5">
        <v>43659</v>
      </c>
      <c r="AD1565" s="5">
        <v>43970.333333333336</v>
      </c>
      <c r="AE1565" s="5">
        <v>43970.333333333336</v>
      </c>
      <c r="AG1565" s="5">
        <v>44044</v>
      </c>
      <c r="AH1565" s="5">
        <v>44044</v>
      </c>
      <c r="AK1565" s="5">
        <v>43678.333333333336</v>
      </c>
      <c r="AL1565" s="5">
        <v>43683.666666666664</v>
      </c>
      <c r="AP1565" t="s">
        <v>418</v>
      </c>
      <c r="AU1565" t="s">
        <v>6724</v>
      </c>
      <c r="AY1565" t="s">
        <v>40</v>
      </c>
      <c r="AZ1565">
        <v>0</v>
      </c>
      <c r="BA1565">
        <v>0</v>
      </c>
      <c r="BI1565" s="5">
        <v>44048.176388888889</v>
      </c>
      <c r="BJ1565" s="5">
        <v>44048.176388888889</v>
      </c>
      <c r="BK1565" t="s">
        <v>778</v>
      </c>
      <c r="BL1565" t="s">
        <v>778</v>
      </c>
      <c r="BN1565" t="s">
        <v>37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616E2-CAAA-458F-AEBA-DE1CD74C5C60}">
  <sheetPr codeName="Sheet15"/>
  <dimension ref="A1:D7039"/>
  <sheetViews>
    <sheetView workbookViewId="0"/>
  </sheetViews>
  <sheetFormatPr defaultRowHeight="14.25" x14ac:dyDescent="0.2"/>
  <sheetData>
    <row r="1" spans="1:4" x14ac:dyDescent="0.2">
      <c r="A1" t="s">
        <v>428</v>
      </c>
    </row>
    <row r="2" spans="1:4" x14ac:dyDescent="0.2">
      <c r="A2" t="s">
        <v>141</v>
      </c>
      <c r="B2" t="s">
        <v>4</v>
      </c>
      <c r="C2" t="s">
        <v>2</v>
      </c>
      <c r="D2" t="s">
        <v>20</v>
      </c>
    </row>
    <row r="3" spans="1:4" x14ac:dyDescent="0.2">
      <c r="A3">
        <v>3692569</v>
      </c>
      <c r="B3">
        <v>30063</v>
      </c>
      <c r="C3">
        <v>302377</v>
      </c>
      <c r="D3">
        <v>21883</v>
      </c>
    </row>
    <row r="4" spans="1:4" x14ac:dyDescent="0.2">
      <c r="A4">
        <v>3692569</v>
      </c>
      <c r="B4">
        <v>30064</v>
      </c>
      <c r="C4">
        <v>302412</v>
      </c>
      <c r="D4">
        <v>21883</v>
      </c>
    </row>
    <row r="5" spans="1:4" x14ac:dyDescent="0.2">
      <c r="A5">
        <v>3692570</v>
      </c>
      <c r="B5">
        <v>30063</v>
      </c>
      <c r="C5">
        <v>302377</v>
      </c>
      <c r="D5">
        <v>21883</v>
      </c>
    </row>
    <row r="6" spans="1:4" x14ac:dyDescent="0.2">
      <c r="A6">
        <v>3692571</v>
      </c>
      <c r="B6">
        <v>30063</v>
      </c>
      <c r="C6">
        <v>302377</v>
      </c>
      <c r="D6">
        <v>21883</v>
      </c>
    </row>
    <row r="7" spans="1:4" x14ac:dyDescent="0.2">
      <c r="A7">
        <v>3692571</v>
      </c>
      <c r="B7">
        <v>30064</v>
      </c>
      <c r="C7">
        <v>302412</v>
      </c>
      <c r="D7">
        <v>21883</v>
      </c>
    </row>
    <row r="8" spans="1:4" x14ac:dyDescent="0.2">
      <c r="A8">
        <v>3692572</v>
      </c>
      <c r="B8">
        <v>30064</v>
      </c>
      <c r="C8">
        <v>302388</v>
      </c>
      <c r="D8">
        <v>21883</v>
      </c>
    </row>
    <row r="9" spans="1:4" x14ac:dyDescent="0.2">
      <c r="A9">
        <v>3692609</v>
      </c>
      <c r="B9">
        <v>30064</v>
      </c>
      <c r="C9">
        <v>302411</v>
      </c>
      <c r="D9">
        <v>21883</v>
      </c>
    </row>
    <row r="10" spans="1:4" x14ac:dyDescent="0.2">
      <c r="A10">
        <v>3692610</v>
      </c>
      <c r="B10">
        <v>30064</v>
      </c>
      <c r="C10">
        <v>302380</v>
      </c>
      <c r="D10">
        <v>21883</v>
      </c>
    </row>
    <row r="11" spans="1:4" x14ac:dyDescent="0.2">
      <c r="A11">
        <v>3692611</v>
      </c>
      <c r="B11">
        <v>30064</v>
      </c>
      <c r="C11">
        <v>302411</v>
      </c>
      <c r="D11">
        <v>21883</v>
      </c>
    </row>
    <row r="12" spans="1:4" x14ac:dyDescent="0.2">
      <c r="A12">
        <v>3692612</v>
      </c>
      <c r="B12">
        <v>30061</v>
      </c>
      <c r="C12">
        <v>302346</v>
      </c>
      <c r="D12">
        <v>21883</v>
      </c>
    </row>
    <row r="13" spans="1:4" x14ac:dyDescent="0.2">
      <c r="A13">
        <v>3692612</v>
      </c>
      <c r="B13">
        <v>30062</v>
      </c>
      <c r="C13">
        <v>302355</v>
      </c>
      <c r="D13">
        <v>21883</v>
      </c>
    </row>
    <row r="14" spans="1:4" x14ac:dyDescent="0.2">
      <c r="A14">
        <v>3692612</v>
      </c>
      <c r="B14">
        <v>30063</v>
      </c>
      <c r="C14">
        <v>302356</v>
      </c>
      <c r="D14">
        <v>21883</v>
      </c>
    </row>
    <row r="15" spans="1:4" x14ac:dyDescent="0.2">
      <c r="A15">
        <v>3692612</v>
      </c>
      <c r="B15">
        <v>30064</v>
      </c>
      <c r="C15">
        <v>302385</v>
      </c>
      <c r="D15">
        <v>21883</v>
      </c>
    </row>
    <row r="16" spans="1:4" x14ac:dyDescent="0.2">
      <c r="A16">
        <v>3692612</v>
      </c>
      <c r="B16">
        <v>30065</v>
      </c>
      <c r="C16">
        <v>302373</v>
      </c>
      <c r="D16">
        <v>21883</v>
      </c>
    </row>
    <row r="17" spans="1:4" x14ac:dyDescent="0.2">
      <c r="A17">
        <v>3692613</v>
      </c>
      <c r="B17">
        <v>30061</v>
      </c>
      <c r="C17">
        <v>302346</v>
      </c>
      <c r="D17">
        <v>21883</v>
      </c>
    </row>
    <row r="18" spans="1:4" x14ac:dyDescent="0.2">
      <c r="A18">
        <v>3692613</v>
      </c>
      <c r="B18">
        <v>30062</v>
      </c>
      <c r="C18">
        <v>302355</v>
      </c>
      <c r="D18">
        <v>21883</v>
      </c>
    </row>
    <row r="19" spans="1:4" x14ac:dyDescent="0.2">
      <c r="A19">
        <v>3692613</v>
      </c>
      <c r="B19">
        <v>30063</v>
      </c>
      <c r="C19">
        <v>302356</v>
      </c>
      <c r="D19">
        <v>21883</v>
      </c>
    </row>
    <row r="20" spans="1:4" x14ac:dyDescent="0.2">
      <c r="A20">
        <v>3692613</v>
      </c>
      <c r="B20">
        <v>30064</v>
      </c>
      <c r="C20">
        <v>302385</v>
      </c>
      <c r="D20">
        <v>21883</v>
      </c>
    </row>
    <row r="21" spans="1:4" x14ac:dyDescent="0.2">
      <c r="A21">
        <v>3692613</v>
      </c>
      <c r="B21">
        <v>30065</v>
      </c>
      <c r="C21">
        <v>302373</v>
      </c>
      <c r="D21">
        <v>21883</v>
      </c>
    </row>
    <row r="22" spans="1:4" x14ac:dyDescent="0.2">
      <c r="A22">
        <v>3692613</v>
      </c>
      <c r="B22">
        <v>30066</v>
      </c>
      <c r="C22">
        <v>302400</v>
      </c>
      <c r="D22">
        <v>21883</v>
      </c>
    </row>
    <row r="23" spans="1:4" x14ac:dyDescent="0.2">
      <c r="A23">
        <v>3692614</v>
      </c>
      <c r="B23">
        <v>30061</v>
      </c>
      <c r="C23">
        <v>302346</v>
      </c>
      <c r="D23">
        <v>21883</v>
      </c>
    </row>
    <row r="24" spans="1:4" x14ac:dyDescent="0.2">
      <c r="A24">
        <v>3692614</v>
      </c>
      <c r="B24">
        <v>30062</v>
      </c>
      <c r="C24">
        <v>302355</v>
      </c>
      <c r="D24">
        <v>21883</v>
      </c>
    </row>
    <row r="25" spans="1:4" x14ac:dyDescent="0.2">
      <c r="A25">
        <v>3692614</v>
      </c>
      <c r="B25">
        <v>30063</v>
      </c>
      <c r="C25">
        <v>302356</v>
      </c>
      <c r="D25">
        <v>21883</v>
      </c>
    </row>
    <row r="26" spans="1:4" x14ac:dyDescent="0.2">
      <c r="A26">
        <v>3692614</v>
      </c>
      <c r="B26">
        <v>30064</v>
      </c>
      <c r="C26">
        <v>302411</v>
      </c>
      <c r="D26">
        <v>21883</v>
      </c>
    </row>
    <row r="27" spans="1:4" x14ac:dyDescent="0.2">
      <c r="A27">
        <v>3692614</v>
      </c>
      <c r="B27">
        <v>30065</v>
      </c>
      <c r="C27">
        <v>302373</v>
      </c>
      <c r="D27">
        <v>21883</v>
      </c>
    </row>
    <row r="28" spans="1:4" x14ac:dyDescent="0.2">
      <c r="A28">
        <v>3692614</v>
      </c>
      <c r="B28">
        <v>30066</v>
      </c>
      <c r="C28">
        <v>302400</v>
      </c>
      <c r="D28">
        <v>21883</v>
      </c>
    </row>
    <row r="29" spans="1:4" x14ac:dyDescent="0.2">
      <c r="A29">
        <v>3692615</v>
      </c>
      <c r="B29">
        <v>30061</v>
      </c>
      <c r="C29">
        <v>302346</v>
      </c>
      <c r="D29">
        <v>21883</v>
      </c>
    </row>
    <row r="30" spans="1:4" x14ac:dyDescent="0.2">
      <c r="A30">
        <v>3692615</v>
      </c>
      <c r="B30">
        <v>30062</v>
      </c>
      <c r="C30">
        <v>302355</v>
      </c>
      <c r="D30">
        <v>21883</v>
      </c>
    </row>
    <row r="31" spans="1:4" x14ac:dyDescent="0.2">
      <c r="A31">
        <v>3692615</v>
      </c>
      <c r="B31">
        <v>30063</v>
      </c>
      <c r="C31">
        <v>302356</v>
      </c>
      <c r="D31">
        <v>21883</v>
      </c>
    </row>
    <row r="32" spans="1:4" x14ac:dyDescent="0.2">
      <c r="A32">
        <v>3692615</v>
      </c>
      <c r="B32">
        <v>30064</v>
      </c>
      <c r="C32">
        <v>302380</v>
      </c>
      <c r="D32">
        <v>21883</v>
      </c>
    </row>
    <row r="33" spans="1:4" x14ac:dyDescent="0.2">
      <c r="A33">
        <v>3692615</v>
      </c>
      <c r="B33">
        <v>30065</v>
      </c>
      <c r="C33">
        <v>302373</v>
      </c>
      <c r="D33">
        <v>21883</v>
      </c>
    </row>
    <row r="34" spans="1:4" x14ac:dyDescent="0.2">
      <c r="A34">
        <v>3692615</v>
      </c>
      <c r="B34">
        <v>30066</v>
      </c>
      <c r="C34">
        <v>302400</v>
      </c>
      <c r="D34">
        <v>21883</v>
      </c>
    </row>
    <row r="35" spans="1:4" x14ac:dyDescent="0.2">
      <c r="A35">
        <v>3692616</v>
      </c>
      <c r="B35">
        <v>30063</v>
      </c>
      <c r="C35">
        <v>302356</v>
      </c>
      <c r="D35">
        <v>21883</v>
      </c>
    </row>
    <row r="36" spans="1:4" x14ac:dyDescent="0.2">
      <c r="A36">
        <v>3692616</v>
      </c>
      <c r="B36">
        <v>30064</v>
      </c>
      <c r="C36">
        <v>302398</v>
      </c>
      <c r="D36">
        <v>21883</v>
      </c>
    </row>
    <row r="37" spans="1:4" x14ac:dyDescent="0.2">
      <c r="A37">
        <v>3692616</v>
      </c>
      <c r="B37">
        <v>30065</v>
      </c>
      <c r="C37">
        <v>302372</v>
      </c>
      <c r="D37">
        <v>21883</v>
      </c>
    </row>
    <row r="38" spans="1:4" x14ac:dyDescent="0.2">
      <c r="A38">
        <v>3692616</v>
      </c>
      <c r="B38">
        <v>30066</v>
      </c>
      <c r="C38">
        <v>302400</v>
      </c>
      <c r="D38">
        <v>21883</v>
      </c>
    </row>
    <row r="39" spans="1:4" x14ac:dyDescent="0.2">
      <c r="A39">
        <v>3692617</v>
      </c>
      <c r="B39">
        <v>30061</v>
      </c>
      <c r="C39">
        <v>302346</v>
      </c>
      <c r="D39">
        <v>21883</v>
      </c>
    </row>
    <row r="40" spans="1:4" x14ac:dyDescent="0.2">
      <c r="A40">
        <v>3692617</v>
      </c>
      <c r="B40">
        <v>30062</v>
      </c>
      <c r="C40">
        <v>302355</v>
      </c>
      <c r="D40">
        <v>21883</v>
      </c>
    </row>
    <row r="41" spans="1:4" x14ac:dyDescent="0.2">
      <c r="A41">
        <v>3692617</v>
      </c>
      <c r="B41">
        <v>30063</v>
      </c>
      <c r="C41">
        <v>302356</v>
      </c>
      <c r="D41">
        <v>21883</v>
      </c>
    </row>
    <row r="42" spans="1:4" x14ac:dyDescent="0.2">
      <c r="A42">
        <v>3692617</v>
      </c>
      <c r="B42">
        <v>30064</v>
      </c>
      <c r="C42">
        <v>302379</v>
      </c>
      <c r="D42">
        <v>21883</v>
      </c>
    </row>
    <row r="43" spans="1:4" x14ac:dyDescent="0.2">
      <c r="A43">
        <v>3692617</v>
      </c>
      <c r="B43">
        <v>30065</v>
      </c>
      <c r="C43">
        <v>302373</v>
      </c>
      <c r="D43">
        <v>21883</v>
      </c>
    </row>
    <row r="44" spans="1:4" x14ac:dyDescent="0.2">
      <c r="A44">
        <v>3692617</v>
      </c>
      <c r="B44">
        <v>30066</v>
      </c>
      <c r="C44">
        <v>302400</v>
      </c>
      <c r="D44">
        <v>21883</v>
      </c>
    </row>
    <row r="45" spans="1:4" x14ac:dyDescent="0.2">
      <c r="A45">
        <v>3692618</v>
      </c>
      <c r="B45">
        <v>30064</v>
      </c>
      <c r="C45">
        <v>302421</v>
      </c>
      <c r="D45">
        <v>21883</v>
      </c>
    </row>
    <row r="46" spans="1:4" x14ac:dyDescent="0.2">
      <c r="A46">
        <v>3692619</v>
      </c>
      <c r="B46">
        <v>30064</v>
      </c>
      <c r="C46">
        <v>302379</v>
      </c>
      <c r="D46">
        <v>21883</v>
      </c>
    </row>
    <row r="47" spans="1:4" x14ac:dyDescent="0.2">
      <c r="A47">
        <v>3692620</v>
      </c>
      <c r="B47">
        <v>30064</v>
      </c>
      <c r="C47">
        <v>302392</v>
      </c>
      <c r="D47">
        <v>21883</v>
      </c>
    </row>
    <row r="48" spans="1:4" x14ac:dyDescent="0.2">
      <c r="A48">
        <v>3692621</v>
      </c>
      <c r="B48">
        <v>30064</v>
      </c>
      <c r="C48">
        <v>302379</v>
      </c>
      <c r="D48">
        <v>21883</v>
      </c>
    </row>
    <row r="49" spans="1:4" x14ac:dyDescent="0.2">
      <c r="A49">
        <v>3692622</v>
      </c>
      <c r="B49">
        <v>30064</v>
      </c>
      <c r="C49">
        <v>302398</v>
      </c>
      <c r="D49">
        <v>21883</v>
      </c>
    </row>
    <row r="50" spans="1:4" x14ac:dyDescent="0.2">
      <c r="A50">
        <v>3692623</v>
      </c>
      <c r="B50">
        <v>30064</v>
      </c>
      <c r="C50">
        <v>302335</v>
      </c>
      <c r="D50">
        <v>21883</v>
      </c>
    </row>
    <row r="51" spans="1:4" x14ac:dyDescent="0.2">
      <c r="A51">
        <v>3692624</v>
      </c>
      <c r="B51">
        <v>30064</v>
      </c>
      <c r="C51">
        <v>302379</v>
      </c>
      <c r="D51">
        <v>21883</v>
      </c>
    </row>
    <row r="52" spans="1:4" x14ac:dyDescent="0.2">
      <c r="A52">
        <v>3692625</v>
      </c>
      <c r="B52">
        <v>30064</v>
      </c>
      <c r="C52">
        <v>302379</v>
      </c>
      <c r="D52">
        <v>21883</v>
      </c>
    </row>
    <row r="53" spans="1:4" x14ac:dyDescent="0.2">
      <c r="A53">
        <v>3692626</v>
      </c>
      <c r="B53">
        <v>30064</v>
      </c>
      <c r="C53">
        <v>302380</v>
      </c>
      <c r="D53">
        <v>21883</v>
      </c>
    </row>
    <row r="54" spans="1:4" x14ac:dyDescent="0.2">
      <c r="A54">
        <v>3692628</v>
      </c>
      <c r="B54">
        <v>30064</v>
      </c>
      <c r="C54">
        <v>302380</v>
      </c>
      <c r="D54">
        <v>21883</v>
      </c>
    </row>
    <row r="55" spans="1:4" x14ac:dyDescent="0.2">
      <c r="A55">
        <v>3692629</v>
      </c>
      <c r="B55">
        <v>30064</v>
      </c>
      <c r="C55">
        <v>302385</v>
      </c>
      <c r="D55">
        <v>21883</v>
      </c>
    </row>
    <row r="56" spans="1:4" x14ac:dyDescent="0.2">
      <c r="A56">
        <v>3692630</v>
      </c>
      <c r="B56">
        <v>30064</v>
      </c>
      <c r="C56">
        <v>302384</v>
      </c>
      <c r="D56">
        <v>21883</v>
      </c>
    </row>
    <row r="57" spans="1:4" x14ac:dyDescent="0.2">
      <c r="A57">
        <v>3692631</v>
      </c>
      <c r="B57">
        <v>30064</v>
      </c>
      <c r="C57">
        <v>302392</v>
      </c>
      <c r="D57">
        <v>21883</v>
      </c>
    </row>
    <row r="58" spans="1:4" x14ac:dyDescent="0.2">
      <c r="A58">
        <v>3692634</v>
      </c>
      <c r="B58">
        <v>30064</v>
      </c>
      <c r="C58">
        <v>302418</v>
      </c>
      <c r="D58">
        <v>21883</v>
      </c>
    </row>
    <row r="59" spans="1:4" x14ac:dyDescent="0.2">
      <c r="A59">
        <v>3692635</v>
      </c>
      <c r="B59">
        <v>30064</v>
      </c>
      <c r="C59">
        <v>302418</v>
      </c>
      <c r="D59">
        <v>21883</v>
      </c>
    </row>
    <row r="60" spans="1:4" x14ac:dyDescent="0.2">
      <c r="A60">
        <v>3692636</v>
      </c>
      <c r="B60">
        <v>30064</v>
      </c>
      <c r="C60">
        <v>302382</v>
      </c>
      <c r="D60">
        <v>21883</v>
      </c>
    </row>
    <row r="61" spans="1:4" x14ac:dyDescent="0.2">
      <c r="A61">
        <v>3692637</v>
      </c>
      <c r="B61">
        <v>30064</v>
      </c>
      <c r="C61">
        <v>302382</v>
      </c>
      <c r="D61">
        <v>21883</v>
      </c>
    </row>
    <row r="62" spans="1:4" x14ac:dyDescent="0.2">
      <c r="A62">
        <v>3692638</v>
      </c>
      <c r="B62">
        <v>30064</v>
      </c>
      <c r="C62">
        <v>302381</v>
      </c>
      <c r="D62">
        <v>21883</v>
      </c>
    </row>
    <row r="63" spans="1:4" x14ac:dyDescent="0.2">
      <c r="A63">
        <v>3692639</v>
      </c>
      <c r="B63">
        <v>30064</v>
      </c>
      <c r="C63">
        <v>302381</v>
      </c>
      <c r="D63">
        <v>21883</v>
      </c>
    </row>
    <row r="64" spans="1:4" x14ac:dyDescent="0.2">
      <c r="A64">
        <v>3692640</v>
      </c>
      <c r="B64">
        <v>30064</v>
      </c>
      <c r="C64">
        <v>302381</v>
      </c>
      <c r="D64">
        <v>21883</v>
      </c>
    </row>
    <row r="65" spans="1:4" x14ac:dyDescent="0.2">
      <c r="A65">
        <v>3692641</v>
      </c>
      <c r="B65">
        <v>30064</v>
      </c>
      <c r="C65">
        <v>302381</v>
      </c>
      <c r="D65">
        <v>21883</v>
      </c>
    </row>
    <row r="66" spans="1:4" x14ac:dyDescent="0.2">
      <c r="A66">
        <v>3692642</v>
      </c>
      <c r="B66">
        <v>30064</v>
      </c>
      <c r="C66">
        <v>302381</v>
      </c>
      <c r="D66">
        <v>21883</v>
      </c>
    </row>
    <row r="67" spans="1:4" x14ac:dyDescent="0.2">
      <c r="A67">
        <v>3692643</v>
      </c>
      <c r="B67">
        <v>30064</v>
      </c>
      <c r="C67">
        <v>302381</v>
      </c>
      <c r="D67">
        <v>21883</v>
      </c>
    </row>
    <row r="68" spans="1:4" x14ac:dyDescent="0.2">
      <c r="A68">
        <v>3692644</v>
      </c>
      <c r="B68">
        <v>30064</v>
      </c>
      <c r="C68">
        <v>302381</v>
      </c>
      <c r="D68">
        <v>21883</v>
      </c>
    </row>
    <row r="69" spans="1:4" x14ac:dyDescent="0.2">
      <c r="A69">
        <v>3692645</v>
      </c>
      <c r="B69">
        <v>30064</v>
      </c>
      <c r="C69">
        <v>302381</v>
      </c>
      <c r="D69">
        <v>21883</v>
      </c>
    </row>
    <row r="70" spans="1:4" x14ac:dyDescent="0.2">
      <c r="A70">
        <v>3692646</v>
      </c>
      <c r="B70">
        <v>30064</v>
      </c>
      <c r="C70">
        <v>302381</v>
      </c>
      <c r="D70">
        <v>21883</v>
      </c>
    </row>
    <row r="71" spans="1:4" x14ac:dyDescent="0.2">
      <c r="A71">
        <v>3692647</v>
      </c>
      <c r="B71">
        <v>30064</v>
      </c>
      <c r="C71">
        <v>302381</v>
      </c>
      <c r="D71">
        <v>21883</v>
      </c>
    </row>
    <row r="72" spans="1:4" x14ac:dyDescent="0.2">
      <c r="A72">
        <v>3692648</v>
      </c>
      <c r="B72">
        <v>30064</v>
      </c>
      <c r="C72">
        <v>302381</v>
      </c>
      <c r="D72">
        <v>21883</v>
      </c>
    </row>
    <row r="73" spans="1:4" x14ac:dyDescent="0.2">
      <c r="A73">
        <v>3692649</v>
      </c>
      <c r="B73">
        <v>30061</v>
      </c>
      <c r="C73">
        <v>302352</v>
      </c>
      <c r="D73">
        <v>21883</v>
      </c>
    </row>
    <row r="74" spans="1:4" x14ac:dyDescent="0.2">
      <c r="A74">
        <v>3692649</v>
      </c>
      <c r="B74">
        <v>30062</v>
      </c>
      <c r="C74">
        <v>302355</v>
      </c>
      <c r="D74">
        <v>21883</v>
      </c>
    </row>
    <row r="75" spans="1:4" x14ac:dyDescent="0.2">
      <c r="A75">
        <v>3692649</v>
      </c>
      <c r="B75">
        <v>30063</v>
      </c>
      <c r="C75">
        <v>302356</v>
      </c>
      <c r="D75">
        <v>21883</v>
      </c>
    </row>
    <row r="76" spans="1:4" x14ac:dyDescent="0.2">
      <c r="A76">
        <v>3692649</v>
      </c>
      <c r="B76">
        <v>30064</v>
      </c>
      <c r="C76">
        <v>302389</v>
      </c>
      <c r="D76">
        <v>21883</v>
      </c>
    </row>
    <row r="77" spans="1:4" x14ac:dyDescent="0.2">
      <c r="A77">
        <v>3692649</v>
      </c>
      <c r="B77">
        <v>30065</v>
      </c>
      <c r="C77">
        <v>302372</v>
      </c>
      <c r="D77">
        <v>21883</v>
      </c>
    </row>
    <row r="78" spans="1:4" x14ac:dyDescent="0.2">
      <c r="A78">
        <v>3692650</v>
      </c>
      <c r="B78">
        <v>30064</v>
      </c>
      <c r="C78">
        <v>302411</v>
      </c>
      <c r="D78">
        <v>21883</v>
      </c>
    </row>
    <row r="79" spans="1:4" x14ac:dyDescent="0.2">
      <c r="A79">
        <v>3692651</v>
      </c>
      <c r="B79">
        <v>30064</v>
      </c>
      <c r="C79">
        <v>302411</v>
      </c>
      <c r="D79">
        <v>21883</v>
      </c>
    </row>
    <row r="80" spans="1:4" x14ac:dyDescent="0.2">
      <c r="A80">
        <v>3692652</v>
      </c>
      <c r="B80">
        <v>30064</v>
      </c>
      <c r="C80">
        <v>302411</v>
      </c>
      <c r="D80">
        <v>21883</v>
      </c>
    </row>
    <row r="81" spans="1:4" x14ac:dyDescent="0.2">
      <c r="A81">
        <v>3692653</v>
      </c>
      <c r="B81">
        <v>30064</v>
      </c>
      <c r="C81">
        <v>302380</v>
      </c>
      <c r="D81">
        <v>21883</v>
      </c>
    </row>
    <row r="82" spans="1:4" x14ac:dyDescent="0.2">
      <c r="A82">
        <v>3692654</v>
      </c>
      <c r="B82">
        <v>30064</v>
      </c>
      <c r="C82">
        <v>302411</v>
      </c>
      <c r="D82">
        <v>21883</v>
      </c>
    </row>
    <row r="83" spans="1:4" x14ac:dyDescent="0.2">
      <c r="A83">
        <v>3692655</v>
      </c>
      <c r="B83">
        <v>30061</v>
      </c>
      <c r="C83">
        <v>302346</v>
      </c>
      <c r="D83">
        <v>21883</v>
      </c>
    </row>
    <row r="84" spans="1:4" x14ac:dyDescent="0.2">
      <c r="A84">
        <v>3692655</v>
      </c>
      <c r="B84">
        <v>30062</v>
      </c>
      <c r="C84">
        <v>302355</v>
      </c>
      <c r="D84">
        <v>21883</v>
      </c>
    </row>
    <row r="85" spans="1:4" x14ac:dyDescent="0.2">
      <c r="A85">
        <v>3692655</v>
      </c>
      <c r="B85">
        <v>30063</v>
      </c>
      <c r="C85">
        <v>302356</v>
      </c>
      <c r="D85">
        <v>21883</v>
      </c>
    </row>
    <row r="86" spans="1:4" x14ac:dyDescent="0.2">
      <c r="A86">
        <v>3692655</v>
      </c>
      <c r="B86">
        <v>30064</v>
      </c>
      <c r="C86">
        <v>302385</v>
      </c>
      <c r="D86">
        <v>21883</v>
      </c>
    </row>
    <row r="87" spans="1:4" x14ac:dyDescent="0.2">
      <c r="A87">
        <v>3692655</v>
      </c>
      <c r="B87">
        <v>30065</v>
      </c>
      <c r="C87">
        <v>302373</v>
      </c>
      <c r="D87">
        <v>21883</v>
      </c>
    </row>
    <row r="88" spans="1:4" x14ac:dyDescent="0.2">
      <c r="A88">
        <v>3692656</v>
      </c>
      <c r="B88">
        <v>30063</v>
      </c>
      <c r="C88">
        <v>302356</v>
      </c>
      <c r="D88">
        <v>21883</v>
      </c>
    </row>
    <row r="89" spans="1:4" x14ac:dyDescent="0.2">
      <c r="A89">
        <v>3692656</v>
      </c>
      <c r="B89">
        <v>30064</v>
      </c>
      <c r="C89">
        <v>302421</v>
      </c>
      <c r="D89">
        <v>21883</v>
      </c>
    </row>
    <row r="90" spans="1:4" x14ac:dyDescent="0.2">
      <c r="A90">
        <v>3692656</v>
      </c>
      <c r="B90">
        <v>30065</v>
      </c>
      <c r="C90">
        <v>302372</v>
      </c>
      <c r="D90">
        <v>21883</v>
      </c>
    </row>
    <row r="91" spans="1:4" x14ac:dyDescent="0.2">
      <c r="A91">
        <v>3692656</v>
      </c>
      <c r="B91">
        <v>30066</v>
      </c>
      <c r="C91">
        <v>302400</v>
      </c>
      <c r="D91">
        <v>21883</v>
      </c>
    </row>
    <row r="92" spans="1:4" x14ac:dyDescent="0.2">
      <c r="A92">
        <v>3692657</v>
      </c>
      <c r="B92">
        <v>30063</v>
      </c>
      <c r="C92">
        <v>302356</v>
      </c>
      <c r="D92">
        <v>21883</v>
      </c>
    </row>
    <row r="93" spans="1:4" x14ac:dyDescent="0.2">
      <c r="A93">
        <v>3692657</v>
      </c>
      <c r="B93">
        <v>30064</v>
      </c>
      <c r="C93">
        <v>302410</v>
      </c>
      <c r="D93">
        <v>21883</v>
      </c>
    </row>
    <row r="94" spans="1:4" x14ac:dyDescent="0.2">
      <c r="A94">
        <v>3692657</v>
      </c>
      <c r="B94">
        <v>30065</v>
      </c>
      <c r="C94">
        <v>302372</v>
      </c>
      <c r="D94">
        <v>21883</v>
      </c>
    </row>
    <row r="95" spans="1:4" x14ac:dyDescent="0.2">
      <c r="A95">
        <v>3692657</v>
      </c>
      <c r="B95">
        <v>30066</v>
      </c>
      <c r="C95">
        <v>302400</v>
      </c>
      <c r="D95">
        <v>21883</v>
      </c>
    </row>
    <row r="96" spans="1:4" x14ac:dyDescent="0.2">
      <c r="A96">
        <v>3692658</v>
      </c>
      <c r="B96">
        <v>30061</v>
      </c>
      <c r="C96">
        <v>302346</v>
      </c>
      <c r="D96">
        <v>21883</v>
      </c>
    </row>
    <row r="97" spans="1:4" x14ac:dyDescent="0.2">
      <c r="A97">
        <v>3692658</v>
      </c>
      <c r="B97">
        <v>30062</v>
      </c>
      <c r="C97">
        <v>302355</v>
      </c>
      <c r="D97">
        <v>21883</v>
      </c>
    </row>
    <row r="98" spans="1:4" x14ac:dyDescent="0.2">
      <c r="A98">
        <v>3692658</v>
      </c>
      <c r="B98">
        <v>30063</v>
      </c>
      <c r="C98">
        <v>302356</v>
      </c>
      <c r="D98">
        <v>21883</v>
      </c>
    </row>
    <row r="99" spans="1:4" x14ac:dyDescent="0.2">
      <c r="A99">
        <v>3692658</v>
      </c>
      <c r="B99">
        <v>30064</v>
      </c>
      <c r="C99">
        <v>302385</v>
      </c>
      <c r="D99">
        <v>21883</v>
      </c>
    </row>
    <row r="100" spans="1:4" x14ac:dyDescent="0.2">
      <c r="A100">
        <v>3692658</v>
      </c>
      <c r="B100">
        <v>30065</v>
      </c>
      <c r="C100">
        <v>302373</v>
      </c>
      <c r="D100">
        <v>21883</v>
      </c>
    </row>
    <row r="101" spans="1:4" x14ac:dyDescent="0.2">
      <c r="A101">
        <v>3692658</v>
      </c>
      <c r="B101">
        <v>30066</v>
      </c>
      <c r="C101">
        <v>302400</v>
      </c>
      <c r="D101">
        <v>21883</v>
      </c>
    </row>
    <row r="102" spans="1:4" x14ac:dyDescent="0.2">
      <c r="A102">
        <v>3692659</v>
      </c>
      <c r="B102">
        <v>30061</v>
      </c>
      <c r="C102">
        <v>302346</v>
      </c>
      <c r="D102">
        <v>21883</v>
      </c>
    </row>
    <row r="103" spans="1:4" x14ac:dyDescent="0.2">
      <c r="A103">
        <v>3692659</v>
      </c>
      <c r="B103">
        <v>30062</v>
      </c>
      <c r="C103">
        <v>302355</v>
      </c>
      <c r="D103">
        <v>21883</v>
      </c>
    </row>
    <row r="104" spans="1:4" x14ac:dyDescent="0.2">
      <c r="A104">
        <v>3692659</v>
      </c>
      <c r="B104">
        <v>30063</v>
      </c>
      <c r="C104">
        <v>302356</v>
      </c>
      <c r="D104">
        <v>21883</v>
      </c>
    </row>
    <row r="105" spans="1:4" x14ac:dyDescent="0.2">
      <c r="A105">
        <v>3692659</v>
      </c>
      <c r="B105">
        <v>30064</v>
      </c>
      <c r="C105">
        <v>302384</v>
      </c>
      <c r="D105">
        <v>21883</v>
      </c>
    </row>
    <row r="106" spans="1:4" x14ac:dyDescent="0.2">
      <c r="A106">
        <v>3692659</v>
      </c>
      <c r="B106">
        <v>30065</v>
      </c>
      <c r="C106">
        <v>302373</v>
      </c>
      <c r="D106">
        <v>21883</v>
      </c>
    </row>
    <row r="107" spans="1:4" x14ac:dyDescent="0.2">
      <c r="A107">
        <v>3692659</v>
      </c>
      <c r="B107">
        <v>30066</v>
      </c>
      <c r="C107">
        <v>302400</v>
      </c>
      <c r="D107">
        <v>21883</v>
      </c>
    </row>
    <row r="108" spans="1:4" x14ac:dyDescent="0.2">
      <c r="A108">
        <v>3692660</v>
      </c>
      <c r="B108">
        <v>30061</v>
      </c>
      <c r="C108">
        <v>302346</v>
      </c>
      <c r="D108">
        <v>21883</v>
      </c>
    </row>
    <row r="109" spans="1:4" x14ac:dyDescent="0.2">
      <c r="A109">
        <v>3692660</v>
      </c>
      <c r="B109">
        <v>30062</v>
      </c>
      <c r="C109">
        <v>302355</v>
      </c>
      <c r="D109">
        <v>21883</v>
      </c>
    </row>
    <row r="110" spans="1:4" x14ac:dyDescent="0.2">
      <c r="A110">
        <v>3692660</v>
      </c>
      <c r="B110">
        <v>30063</v>
      </c>
      <c r="C110">
        <v>302356</v>
      </c>
      <c r="D110">
        <v>21883</v>
      </c>
    </row>
    <row r="111" spans="1:4" x14ac:dyDescent="0.2">
      <c r="A111">
        <v>3692660</v>
      </c>
      <c r="B111">
        <v>30064</v>
      </c>
      <c r="C111">
        <v>302411</v>
      </c>
      <c r="D111">
        <v>21883</v>
      </c>
    </row>
    <row r="112" spans="1:4" x14ac:dyDescent="0.2">
      <c r="A112">
        <v>3692660</v>
      </c>
      <c r="B112">
        <v>30065</v>
      </c>
      <c r="C112">
        <v>302373</v>
      </c>
      <c r="D112">
        <v>21883</v>
      </c>
    </row>
    <row r="113" spans="1:4" x14ac:dyDescent="0.2">
      <c r="A113">
        <v>3692660</v>
      </c>
      <c r="B113">
        <v>30066</v>
      </c>
      <c r="C113">
        <v>302400</v>
      </c>
      <c r="D113">
        <v>21883</v>
      </c>
    </row>
    <row r="114" spans="1:4" x14ac:dyDescent="0.2">
      <c r="A114">
        <v>3692661</v>
      </c>
      <c r="B114">
        <v>30061</v>
      </c>
      <c r="C114">
        <v>302346</v>
      </c>
      <c r="D114">
        <v>21883</v>
      </c>
    </row>
    <row r="115" spans="1:4" x14ac:dyDescent="0.2">
      <c r="A115">
        <v>3692661</v>
      </c>
      <c r="B115">
        <v>30062</v>
      </c>
      <c r="C115">
        <v>302355</v>
      </c>
      <c r="D115">
        <v>21883</v>
      </c>
    </row>
    <row r="116" spans="1:4" x14ac:dyDescent="0.2">
      <c r="A116">
        <v>3692661</v>
      </c>
      <c r="B116">
        <v>30063</v>
      </c>
      <c r="C116">
        <v>302356</v>
      </c>
      <c r="D116">
        <v>21883</v>
      </c>
    </row>
    <row r="117" spans="1:4" x14ac:dyDescent="0.2">
      <c r="A117">
        <v>3692661</v>
      </c>
      <c r="B117">
        <v>30064</v>
      </c>
      <c r="C117">
        <v>302380</v>
      </c>
      <c r="D117">
        <v>21883</v>
      </c>
    </row>
    <row r="118" spans="1:4" x14ac:dyDescent="0.2">
      <c r="A118">
        <v>3692661</v>
      </c>
      <c r="B118">
        <v>30065</v>
      </c>
      <c r="C118">
        <v>302373</v>
      </c>
      <c r="D118">
        <v>21883</v>
      </c>
    </row>
    <row r="119" spans="1:4" x14ac:dyDescent="0.2">
      <c r="A119">
        <v>3692661</v>
      </c>
      <c r="B119">
        <v>30066</v>
      </c>
      <c r="C119">
        <v>302400</v>
      </c>
      <c r="D119">
        <v>21883</v>
      </c>
    </row>
    <row r="120" spans="1:4" x14ac:dyDescent="0.2">
      <c r="A120">
        <v>3692662</v>
      </c>
      <c r="B120">
        <v>30063</v>
      </c>
      <c r="C120">
        <v>302356</v>
      </c>
      <c r="D120">
        <v>21883</v>
      </c>
    </row>
    <row r="121" spans="1:4" x14ac:dyDescent="0.2">
      <c r="A121">
        <v>3692662</v>
      </c>
      <c r="B121">
        <v>30064</v>
      </c>
      <c r="C121">
        <v>302398</v>
      </c>
      <c r="D121">
        <v>21883</v>
      </c>
    </row>
    <row r="122" spans="1:4" x14ac:dyDescent="0.2">
      <c r="A122">
        <v>3692662</v>
      </c>
      <c r="B122">
        <v>30065</v>
      </c>
      <c r="C122">
        <v>302372</v>
      </c>
      <c r="D122">
        <v>21883</v>
      </c>
    </row>
    <row r="123" spans="1:4" x14ac:dyDescent="0.2">
      <c r="A123">
        <v>3692662</v>
      </c>
      <c r="B123">
        <v>30066</v>
      </c>
      <c r="C123">
        <v>302400</v>
      </c>
      <c r="D123">
        <v>21883</v>
      </c>
    </row>
    <row r="124" spans="1:4" x14ac:dyDescent="0.2">
      <c r="A124">
        <v>3692663</v>
      </c>
      <c r="B124">
        <v>30061</v>
      </c>
      <c r="C124">
        <v>302346</v>
      </c>
      <c r="D124">
        <v>21883</v>
      </c>
    </row>
    <row r="125" spans="1:4" x14ac:dyDescent="0.2">
      <c r="A125">
        <v>3692663</v>
      </c>
      <c r="B125">
        <v>30062</v>
      </c>
      <c r="C125">
        <v>302355</v>
      </c>
      <c r="D125">
        <v>21883</v>
      </c>
    </row>
    <row r="126" spans="1:4" x14ac:dyDescent="0.2">
      <c r="A126">
        <v>3692663</v>
      </c>
      <c r="B126">
        <v>30063</v>
      </c>
      <c r="C126">
        <v>302356</v>
      </c>
      <c r="D126">
        <v>21883</v>
      </c>
    </row>
    <row r="127" spans="1:4" x14ac:dyDescent="0.2">
      <c r="A127">
        <v>3692663</v>
      </c>
      <c r="B127">
        <v>30064</v>
      </c>
      <c r="C127">
        <v>302379</v>
      </c>
      <c r="D127">
        <v>21883</v>
      </c>
    </row>
    <row r="128" spans="1:4" x14ac:dyDescent="0.2">
      <c r="A128">
        <v>3692663</v>
      </c>
      <c r="B128">
        <v>30065</v>
      </c>
      <c r="C128">
        <v>302373</v>
      </c>
      <c r="D128">
        <v>21883</v>
      </c>
    </row>
    <row r="129" spans="1:4" x14ac:dyDescent="0.2">
      <c r="A129">
        <v>3692663</v>
      </c>
      <c r="B129">
        <v>30066</v>
      </c>
      <c r="C129">
        <v>302400</v>
      </c>
      <c r="D129">
        <v>21883</v>
      </c>
    </row>
    <row r="130" spans="1:4" x14ac:dyDescent="0.2">
      <c r="A130">
        <v>3692664</v>
      </c>
      <c r="B130">
        <v>30061</v>
      </c>
      <c r="C130">
        <v>302346</v>
      </c>
      <c r="D130">
        <v>21883</v>
      </c>
    </row>
    <row r="131" spans="1:4" x14ac:dyDescent="0.2">
      <c r="A131">
        <v>3692664</v>
      </c>
      <c r="B131">
        <v>30062</v>
      </c>
      <c r="C131">
        <v>302355</v>
      </c>
      <c r="D131">
        <v>21883</v>
      </c>
    </row>
    <row r="132" spans="1:4" x14ac:dyDescent="0.2">
      <c r="A132">
        <v>3692664</v>
      </c>
      <c r="B132">
        <v>30063</v>
      </c>
      <c r="C132">
        <v>302356</v>
      </c>
      <c r="D132">
        <v>21883</v>
      </c>
    </row>
    <row r="133" spans="1:4" x14ac:dyDescent="0.2">
      <c r="A133">
        <v>3692664</v>
      </c>
      <c r="B133">
        <v>30064</v>
      </c>
      <c r="C133">
        <v>302335</v>
      </c>
      <c r="D133">
        <v>21883</v>
      </c>
    </row>
    <row r="134" spans="1:4" x14ac:dyDescent="0.2">
      <c r="A134">
        <v>3692664</v>
      </c>
      <c r="B134">
        <v>30065</v>
      </c>
      <c r="C134">
        <v>302373</v>
      </c>
      <c r="D134">
        <v>21883</v>
      </c>
    </row>
    <row r="135" spans="1:4" x14ac:dyDescent="0.2">
      <c r="A135">
        <v>3692664</v>
      </c>
      <c r="B135">
        <v>30066</v>
      </c>
      <c r="C135">
        <v>302400</v>
      </c>
      <c r="D135">
        <v>21883</v>
      </c>
    </row>
    <row r="136" spans="1:4" x14ac:dyDescent="0.2">
      <c r="A136">
        <v>3692665</v>
      </c>
      <c r="B136">
        <v>30061</v>
      </c>
      <c r="C136">
        <v>302346</v>
      </c>
      <c r="D136">
        <v>21883</v>
      </c>
    </row>
    <row r="137" spans="1:4" x14ac:dyDescent="0.2">
      <c r="A137">
        <v>3692665</v>
      </c>
      <c r="B137">
        <v>30062</v>
      </c>
      <c r="C137">
        <v>302355</v>
      </c>
      <c r="D137">
        <v>21883</v>
      </c>
    </row>
    <row r="138" spans="1:4" x14ac:dyDescent="0.2">
      <c r="A138">
        <v>3692665</v>
      </c>
      <c r="B138">
        <v>30063</v>
      </c>
      <c r="C138">
        <v>302356</v>
      </c>
      <c r="D138">
        <v>21883</v>
      </c>
    </row>
    <row r="139" spans="1:4" x14ac:dyDescent="0.2">
      <c r="A139">
        <v>3692665</v>
      </c>
      <c r="B139">
        <v>30064</v>
      </c>
      <c r="C139">
        <v>302379</v>
      </c>
      <c r="D139">
        <v>21883</v>
      </c>
    </row>
    <row r="140" spans="1:4" x14ac:dyDescent="0.2">
      <c r="A140">
        <v>3692665</v>
      </c>
      <c r="B140">
        <v>30065</v>
      </c>
      <c r="C140">
        <v>302373</v>
      </c>
      <c r="D140">
        <v>21883</v>
      </c>
    </row>
    <row r="141" spans="1:4" x14ac:dyDescent="0.2">
      <c r="A141">
        <v>3692665</v>
      </c>
      <c r="B141">
        <v>30066</v>
      </c>
      <c r="C141">
        <v>302400</v>
      </c>
      <c r="D141">
        <v>21883</v>
      </c>
    </row>
    <row r="142" spans="1:4" x14ac:dyDescent="0.2">
      <c r="A142">
        <v>3692666</v>
      </c>
      <c r="B142">
        <v>30061</v>
      </c>
      <c r="C142">
        <v>302346</v>
      </c>
      <c r="D142">
        <v>21883</v>
      </c>
    </row>
    <row r="143" spans="1:4" x14ac:dyDescent="0.2">
      <c r="A143">
        <v>3692666</v>
      </c>
      <c r="B143">
        <v>30062</v>
      </c>
      <c r="C143">
        <v>302355</v>
      </c>
      <c r="D143">
        <v>21883</v>
      </c>
    </row>
    <row r="144" spans="1:4" x14ac:dyDescent="0.2">
      <c r="A144">
        <v>3692666</v>
      </c>
      <c r="B144">
        <v>30063</v>
      </c>
      <c r="C144">
        <v>302356</v>
      </c>
      <c r="D144">
        <v>21883</v>
      </c>
    </row>
    <row r="145" spans="1:4" x14ac:dyDescent="0.2">
      <c r="A145">
        <v>3692666</v>
      </c>
      <c r="B145">
        <v>30064</v>
      </c>
      <c r="C145">
        <v>302379</v>
      </c>
      <c r="D145">
        <v>21883</v>
      </c>
    </row>
    <row r="146" spans="1:4" x14ac:dyDescent="0.2">
      <c r="A146">
        <v>3692666</v>
      </c>
      <c r="B146">
        <v>30065</v>
      </c>
      <c r="C146">
        <v>302373</v>
      </c>
      <c r="D146">
        <v>21883</v>
      </c>
    </row>
    <row r="147" spans="1:4" x14ac:dyDescent="0.2">
      <c r="A147">
        <v>3692666</v>
      </c>
      <c r="B147">
        <v>30066</v>
      </c>
      <c r="C147">
        <v>302400</v>
      </c>
      <c r="D147">
        <v>21883</v>
      </c>
    </row>
    <row r="148" spans="1:4" x14ac:dyDescent="0.2">
      <c r="A148">
        <v>3692667</v>
      </c>
      <c r="B148">
        <v>30063</v>
      </c>
      <c r="C148">
        <v>302356</v>
      </c>
      <c r="D148">
        <v>21883</v>
      </c>
    </row>
    <row r="149" spans="1:4" x14ac:dyDescent="0.2">
      <c r="A149">
        <v>3692667</v>
      </c>
      <c r="B149">
        <v>30064</v>
      </c>
      <c r="C149">
        <v>302396</v>
      </c>
      <c r="D149">
        <v>21883</v>
      </c>
    </row>
    <row r="150" spans="1:4" x14ac:dyDescent="0.2">
      <c r="A150">
        <v>3692667</v>
      </c>
      <c r="B150">
        <v>30065</v>
      </c>
      <c r="C150">
        <v>302372</v>
      </c>
      <c r="D150">
        <v>21883</v>
      </c>
    </row>
    <row r="151" spans="1:4" x14ac:dyDescent="0.2">
      <c r="A151">
        <v>3692667</v>
      </c>
      <c r="B151">
        <v>30066</v>
      </c>
      <c r="C151">
        <v>302400</v>
      </c>
      <c r="D151">
        <v>21883</v>
      </c>
    </row>
    <row r="152" spans="1:4" x14ac:dyDescent="0.2">
      <c r="A152">
        <v>3692668</v>
      </c>
      <c r="B152">
        <v>30064</v>
      </c>
      <c r="C152">
        <v>302379</v>
      </c>
      <c r="D152">
        <v>21883</v>
      </c>
    </row>
    <row r="153" spans="1:4" x14ac:dyDescent="0.2">
      <c r="A153">
        <v>3692669</v>
      </c>
      <c r="B153">
        <v>30064</v>
      </c>
      <c r="C153">
        <v>302398</v>
      </c>
      <c r="D153">
        <v>21883</v>
      </c>
    </row>
    <row r="154" spans="1:4" x14ac:dyDescent="0.2">
      <c r="A154">
        <v>3692670</v>
      </c>
      <c r="B154">
        <v>30064</v>
      </c>
      <c r="C154">
        <v>302411</v>
      </c>
      <c r="D154">
        <v>21883</v>
      </c>
    </row>
    <row r="155" spans="1:4" x14ac:dyDescent="0.2">
      <c r="A155">
        <v>3692671</v>
      </c>
      <c r="B155">
        <v>30064</v>
      </c>
      <c r="C155">
        <v>302380</v>
      </c>
      <c r="D155">
        <v>21883</v>
      </c>
    </row>
    <row r="156" spans="1:4" x14ac:dyDescent="0.2">
      <c r="A156">
        <v>3692672</v>
      </c>
      <c r="B156">
        <v>30064</v>
      </c>
      <c r="C156">
        <v>302411</v>
      </c>
      <c r="D156">
        <v>21883</v>
      </c>
    </row>
    <row r="157" spans="1:4" x14ac:dyDescent="0.2">
      <c r="A157">
        <v>3692673</v>
      </c>
      <c r="B157">
        <v>30061</v>
      </c>
      <c r="C157">
        <v>302352</v>
      </c>
      <c r="D157">
        <v>21883</v>
      </c>
    </row>
    <row r="158" spans="1:4" x14ac:dyDescent="0.2">
      <c r="A158">
        <v>3692673</v>
      </c>
      <c r="B158">
        <v>30062</v>
      </c>
      <c r="C158">
        <v>302355</v>
      </c>
      <c r="D158">
        <v>21883</v>
      </c>
    </row>
    <row r="159" spans="1:4" x14ac:dyDescent="0.2">
      <c r="A159">
        <v>3692673</v>
      </c>
      <c r="B159">
        <v>30063</v>
      </c>
      <c r="C159">
        <v>302356</v>
      </c>
      <c r="D159">
        <v>21883</v>
      </c>
    </row>
    <row r="160" spans="1:4" x14ac:dyDescent="0.2">
      <c r="A160">
        <v>3692673</v>
      </c>
      <c r="B160">
        <v>30064</v>
      </c>
      <c r="C160">
        <v>302411</v>
      </c>
      <c r="D160">
        <v>21883</v>
      </c>
    </row>
    <row r="161" spans="1:4" x14ac:dyDescent="0.2">
      <c r="A161">
        <v>3692673</v>
      </c>
      <c r="B161">
        <v>30065</v>
      </c>
      <c r="C161">
        <v>302372</v>
      </c>
      <c r="D161">
        <v>21883</v>
      </c>
    </row>
    <row r="162" spans="1:4" x14ac:dyDescent="0.2">
      <c r="A162">
        <v>3692673</v>
      </c>
      <c r="B162">
        <v>30066</v>
      </c>
      <c r="C162">
        <v>302400</v>
      </c>
      <c r="D162">
        <v>21883</v>
      </c>
    </row>
    <row r="163" spans="1:4" x14ac:dyDescent="0.2">
      <c r="A163">
        <v>3692674</v>
      </c>
      <c r="B163">
        <v>30061</v>
      </c>
      <c r="C163">
        <v>302352</v>
      </c>
      <c r="D163">
        <v>21883</v>
      </c>
    </row>
    <row r="164" spans="1:4" x14ac:dyDescent="0.2">
      <c r="A164">
        <v>3692674</v>
      </c>
      <c r="B164">
        <v>30062</v>
      </c>
      <c r="C164">
        <v>302355</v>
      </c>
      <c r="D164">
        <v>21883</v>
      </c>
    </row>
    <row r="165" spans="1:4" x14ac:dyDescent="0.2">
      <c r="A165">
        <v>3692674</v>
      </c>
      <c r="B165">
        <v>30063</v>
      </c>
      <c r="C165">
        <v>302356</v>
      </c>
      <c r="D165">
        <v>21883</v>
      </c>
    </row>
    <row r="166" spans="1:4" x14ac:dyDescent="0.2">
      <c r="A166">
        <v>3692674</v>
      </c>
      <c r="B166">
        <v>30064</v>
      </c>
      <c r="C166">
        <v>302380</v>
      </c>
      <c r="D166">
        <v>21883</v>
      </c>
    </row>
    <row r="167" spans="1:4" x14ac:dyDescent="0.2">
      <c r="A167">
        <v>3692674</v>
      </c>
      <c r="B167">
        <v>30065</v>
      </c>
      <c r="C167">
        <v>302372</v>
      </c>
      <c r="D167">
        <v>21883</v>
      </c>
    </row>
    <row r="168" spans="1:4" x14ac:dyDescent="0.2">
      <c r="A168">
        <v>3692674</v>
      </c>
      <c r="B168">
        <v>30066</v>
      </c>
      <c r="C168">
        <v>302400</v>
      </c>
      <c r="D168">
        <v>21883</v>
      </c>
    </row>
    <row r="169" spans="1:4" x14ac:dyDescent="0.2">
      <c r="A169">
        <v>3692675</v>
      </c>
      <c r="B169">
        <v>30061</v>
      </c>
      <c r="C169">
        <v>302352</v>
      </c>
      <c r="D169">
        <v>21883</v>
      </c>
    </row>
    <row r="170" spans="1:4" x14ac:dyDescent="0.2">
      <c r="A170">
        <v>3692675</v>
      </c>
      <c r="B170">
        <v>30062</v>
      </c>
      <c r="C170">
        <v>302355</v>
      </c>
      <c r="D170">
        <v>21883</v>
      </c>
    </row>
    <row r="171" spans="1:4" x14ac:dyDescent="0.2">
      <c r="A171">
        <v>3692675</v>
      </c>
      <c r="B171">
        <v>30063</v>
      </c>
      <c r="C171">
        <v>302356</v>
      </c>
      <c r="D171">
        <v>21883</v>
      </c>
    </row>
    <row r="172" spans="1:4" x14ac:dyDescent="0.2">
      <c r="A172">
        <v>3692675</v>
      </c>
      <c r="B172">
        <v>30064</v>
      </c>
      <c r="C172">
        <v>302379</v>
      </c>
      <c r="D172">
        <v>21883</v>
      </c>
    </row>
    <row r="173" spans="1:4" x14ac:dyDescent="0.2">
      <c r="A173">
        <v>3692675</v>
      </c>
      <c r="B173">
        <v>30065</v>
      </c>
      <c r="C173">
        <v>302372</v>
      </c>
      <c r="D173">
        <v>21883</v>
      </c>
    </row>
    <row r="174" spans="1:4" x14ac:dyDescent="0.2">
      <c r="A174">
        <v>3692675</v>
      </c>
      <c r="B174">
        <v>30066</v>
      </c>
      <c r="C174">
        <v>302400</v>
      </c>
      <c r="D174">
        <v>21883</v>
      </c>
    </row>
    <row r="175" spans="1:4" x14ac:dyDescent="0.2">
      <c r="A175">
        <v>3692676</v>
      </c>
      <c r="B175">
        <v>30064</v>
      </c>
      <c r="C175">
        <v>302385</v>
      </c>
      <c r="D175">
        <v>21883</v>
      </c>
    </row>
    <row r="176" spans="1:4" x14ac:dyDescent="0.2">
      <c r="A176">
        <v>3692677</v>
      </c>
      <c r="B176">
        <v>30064</v>
      </c>
      <c r="C176">
        <v>302385</v>
      </c>
      <c r="D176">
        <v>21883</v>
      </c>
    </row>
    <row r="177" spans="1:4" x14ac:dyDescent="0.2">
      <c r="A177">
        <v>3692678</v>
      </c>
      <c r="B177">
        <v>30064</v>
      </c>
      <c r="C177">
        <v>302467</v>
      </c>
      <c r="D177">
        <v>21883</v>
      </c>
    </row>
    <row r="178" spans="1:4" x14ac:dyDescent="0.2">
      <c r="A178">
        <v>3692679</v>
      </c>
      <c r="B178">
        <v>30064</v>
      </c>
      <c r="C178">
        <v>302398</v>
      </c>
      <c r="D178">
        <v>21883</v>
      </c>
    </row>
    <row r="179" spans="1:4" x14ac:dyDescent="0.2">
      <c r="A179">
        <v>3692680</v>
      </c>
      <c r="B179">
        <v>30064</v>
      </c>
      <c r="C179">
        <v>302411</v>
      </c>
      <c r="D179">
        <v>21883</v>
      </c>
    </row>
    <row r="180" spans="1:4" x14ac:dyDescent="0.2">
      <c r="A180">
        <v>3692681</v>
      </c>
      <c r="B180">
        <v>30064</v>
      </c>
      <c r="C180">
        <v>302380</v>
      </c>
      <c r="D180">
        <v>21883</v>
      </c>
    </row>
    <row r="181" spans="1:4" x14ac:dyDescent="0.2">
      <c r="A181">
        <v>3692682</v>
      </c>
      <c r="B181">
        <v>30064</v>
      </c>
      <c r="C181">
        <v>302411</v>
      </c>
      <c r="D181">
        <v>21883</v>
      </c>
    </row>
    <row r="182" spans="1:4" x14ac:dyDescent="0.2">
      <c r="A182">
        <v>3692683</v>
      </c>
      <c r="B182">
        <v>30061</v>
      </c>
      <c r="C182">
        <v>302352</v>
      </c>
      <c r="D182">
        <v>21883</v>
      </c>
    </row>
    <row r="183" spans="1:4" x14ac:dyDescent="0.2">
      <c r="A183">
        <v>3692683</v>
      </c>
      <c r="B183">
        <v>30062</v>
      </c>
      <c r="C183">
        <v>302355</v>
      </c>
      <c r="D183">
        <v>21883</v>
      </c>
    </row>
    <row r="184" spans="1:4" x14ac:dyDescent="0.2">
      <c r="A184">
        <v>3692683</v>
      </c>
      <c r="B184">
        <v>30063</v>
      </c>
      <c r="C184">
        <v>302356</v>
      </c>
      <c r="D184">
        <v>21883</v>
      </c>
    </row>
    <row r="185" spans="1:4" x14ac:dyDescent="0.2">
      <c r="A185">
        <v>3692683</v>
      </c>
      <c r="B185">
        <v>30064</v>
      </c>
      <c r="C185">
        <v>302411</v>
      </c>
      <c r="D185">
        <v>21883</v>
      </c>
    </row>
    <row r="186" spans="1:4" x14ac:dyDescent="0.2">
      <c r="A186">
        <v>3692683</v>
      </c>
      <c r="B186">
        <v>30065</v>
      </c>
      <c r="C186">
        <v>302372</v>
      </c>
      <c r="D186">
        <v>21883</v>
      </c>
    </row>
    <row r="187" spans="1:4" x14ac:dyDescent="0.2">
      <c r="A187">
        <v>3692683</v>
      </c>
      <c r="B187">
        <v>30066</v>
      </c>
      <c r="C187">
        <v>302400</v>
      </c>
      <c r="D187">
        <v>21883</v>
      </c>
    </row>
    <row r="188" spans="1:4" x14ac:dyDescent="0.2">
      <c r="A188">
        <v>3692684</v>
      </c>
      <c r="B188">
        <v>30061</v>
      </c>
      <c r="C188">
        <v>302352</v>
      </c>
      <c r="D188">
        <v>21883</v>
      </c>
    </row>
    <row r="189" spans="1:4" x14ac:dyDescent="0.2">
      <c r="A189">
        <v>3692684</v>
      </c>
      <c r="B189">
        <v>30062</v>
      </c>
      <c r="C189">
        <v>302355</v>
      </c>
      <c r="D189">
        <v>21883</v>
      </c>
    </row>
    <row r="190" spans="1:4" x14ac:dyDescent="0.2">
      <c r="A190">
        <v>3692684</v>
      </c>
      <c r="B190">
        <v>30063</v>
      </c>
      <c r="C190">
        <v>302356</v>
      </c>
      <c r="D190">
        <v>21883</v>
      </c>
    </row>
    <row r="191" spans="1:4" x14ac:dyDescent="0.2">
      <c r="A191">
        <v>3692684</v>
      </c>
      <c r="B191">
        <v>30064</v>
      </c>
      <c r="C191">
        <v>302380</v>
      </c>
      <c r="D191">
        <v>21883</v>
      </c>
    </row>
    <row r="192" spans="1:4" x14ac:dyDescent="0.2">
      <c r="A192">
        <v>3692684</v>
      </c>
      <c r="B192">
        <v>30065</v>
      </c>
      <c r="C192">
        <v>302372</v>
      </c>
      <c r="D192">
        <v>21883</v>
      </c>
    </row>
    <row r="193" spans="1:4" x14ac:dyDescent="0.2">
      <c r="A193">
        <v>3692684</v>
      </c>
      <c r="B193">
        <v>30066</v>
      </c>
      <c r="C193">
        <v>302400</v>
      </c>
      <c r="D193">
        <v>21883</v>
      </c>
    </row>
    <row r="194" spans="1:4" x14ac:dyDescent="0.2">
      <c r="A194">
        <v>3692685</v>
      </c>
      <c r="B194">
        <v>30061</v>
      </c>
      <c r="C194">
        <v>302352</v>
      </c>
      <c r="D194">
        <v>21883</v>
      </c>
    </row>
    <row r="195" spans="1:4" x14ac:dyDescent="0.2">
      <c r="A195">
        <v>3692685</v>
      </c>
      <c r="B195">
        <v>30062</v>
      </c>
      <c r="C195">
        <v>302355</v>
      </c>
      <c r="D195">
        <v>21883</v>
      </c>
    </row>
    <row r="196" spans="1:4" x14ac:dyDescent="0.2">
      <c r="A196">
        <v>3692685</v>
      </c>
      <c r="B196">
        <v>30063</v>
      </c>
      <c r="C196">
        <v>302356</v>
      </c>
      <c r="D196">
        <v>21883</v>
      </c>
    </row>
    <row r="197" spans="1:4" x14ac:dyDescent="0.2">
      <c r="A197">
        <v>3692685</v>
      </c>
      <c r="B197">
        <v>30064</v>
      </c>
      <c r="C197">
        <v>302379</v>
      </c>
      <c r="D197">
        <v>21883</v>
      </c>
    </row>
    <row r="198" spans="1:4" x14ac:dyDescent="0.2">
      <c r="A198">
        <v>3692685</v>
      </c>
      <c r="B198">
        <v>30065</v>
      </c>
      <c r="C198">
        <v>302372</v>
      </c>
      <c r="D198">
        <v>21883</v>
      </c>
    </row>
    <row r="199" spans="1:4" x14ac:dyDescent="0.2">
      <c r="A199">
        <v>3692685</v>
      </c>
      <c r="B199">
        <v>30066</v>
      </c>
      <c r="C199">
        <v>302400</v>
      </c>
      <c r="D199">
        <v>21883</v>
      </c>
    </row>
    <row r="200" spans="1:4" x14ac:dyDescent="0.2">
      <c r="A200">
        <v>3692686</v>
      </c>
      <c r="B200">
        <v>30064</v>
      </c>
      <c r="C200">
        <v>302385</v>
      </c>
      <c r="D200">
        <v>21883</v>
      </c>
    </row>
    <row r="201" spans="1:4" x14ac:dyDescent="0.2">
      <c r="A201">
        <v>3692687</v>
      </c>
      <c r="B201">
        <v>30064</v>
      </c>
      <c r="C201">
        <v>302385</v>
      </c>
      <c r="D201">
        <v>21883</v>
      </c>
    </row>
    <row r="202" spans="1:4" x14ac:dyDescent="0.2">
      <c r="A202">
        <v>3692688</v>
      </c>
      <c r="B202">
        <v>30064</v>
      </c>
      <c r="C202">
        <v>302385</v>
      </c>
      <c r="D202">
        <v>21883</v>
      </c>
    </row>
    <row r="203" spans="1:4" x14ac:dyDescent="0.2">
      <c r="A203">
        <v>3692689</v>
      </c>
      <c r="B203">
        <v>30064</v>
      </c>
      <c r="C203">
        <v>302379</v>
      </c>
      <c r="D203">
        <v>21883</v>
      </c>
    </row>
    <row r="204" spans="1:4" x14ac:dyDescent="0.2">
      <c r="A204">
        <v>3692690</v>
      </c>
      <c r="B204">
        <v>30064</v>
      </c>
      <c r="C204">
        <v>302380</v>
      </c>
      <c r="D204">
        <v>21883</v>
      </c>
    </row>
    <row r="205" spans="1:4" x14ac:dyDescent="0.2">
      <c r="A205">
        <v>3692691</v>
      </c>
      <c r="B205">
        <v>30064</v>
      </c>
      <c r="C205">
        <v>302380</v>
      </c>
      <c r="D205">
        <v>21883</v>
      </c>
    </row>
    <row r="206" spans="1:4" x14ac:dyDescent="0.2">
      <c r="A206">
        <v>3692692</v>
      </c>
      <c r="B206">
        <v>30064</v>
      </c>
      <c r="C206">
        <v>302385</v>
      </c>
      <c r="D206">
        <v>21883</v>
      </c>
    </row>
    <row r="207" spans="1:4" x14ac:dyDescent="0.2">
      <c r="A207">
        <v>3692693</v>
      </c>
      <c r="B207">
        <v>30064</v>
      </c>
      <c r="C207">
        <v>302385</v>
      </c>
      <c r="D207">
        <v>21883</v>
      </c>
    </row>
    <row r="208" spans="1:4" x14ac:dyDescent="0.2">
      <c r="A208">
        <v>3692694</v>
      </c>
      <c r="B208">
        <v>30064</v>
      </c>
      <c r="C208">
        <v>302467</v>
      </c>
      <c r="D208">
        <v>21883</v>
      </c>
    </row>
    <row r="209" spans="1:4" x14ac:dyDescent="0.2">
      <c r="A209">
        <v>3692695</v>
      </c>
      <c r="B209">
        <v>30060</v>
      </c>
      <c r="C209">
        <v>302341</v>
      </c>
      <c r="D209">
        <v>21883</v>
      </c>
    </row>
    <row r="210" spans="1:4" x14ac:dyDescent="0.2">
      <c r="A210">
        <v>3692695</v>
      </c>
      <c r="B210">
        <v>30061</v>
      </c>
      <c r="C210">
        <v>302349</v>
      </c>
      <c r="D210">
        <v>21883</v>
      </c>
    </row>
    <row r="211" spans="1:4" x14ac:dyDescent="0.2">
      <c r="A211">
        <v>3692695</v>
      </c>
      <c r="B211">
        <v>30062</v>
      </c>
      <c r="C211">
        <v>302355</v>
      </c>
      <c r="D211">
        <v>21883</v>
      </c>
    </row>
    <row r="212" spans="1:4" x14ac:dyDescent="0.2">
      <c r="A212">
        <v>3692695</v>
      </c>
      <c r="B212">
        <v>30063</v>
      </c>
      <c r="C212">
        <v>302356</v>
      </c>
      <c r="D212">
        <v>21883</v>
      </c>
    </row>
    <row r="213" spans="1:4" x14ac:dyDescent="0.2">
      <c r="A213">
        <v>3692695</v>
      </c>
      <c r="B213">
        <v>30064</v>
      </c>
      <c r="C213">
        <v>302379</v>
      </c>
      <c r="D213">
        <v>21883</v>
      </c>
    </row>
    <row r="214" spans="1:4" x14ac:dyDescent="0.2">
      <c r="A214">
        <v>3692695</v>
      </c>
      <c r="B214">
        <v>30065</v>
      </c>
      <c r="C214">
        <v>302372</v>
      </c>
      <c r="D214">
        <v>21883</v>
      </c>
    </row>
    <row r="215" spans="1:4" x14ac:dyDescent="0.2">
      <c r="A215">
        <v>3692695</v>
      </c>
      <c r="B215">
        <v>30066</v>
      </c>
      <c r="C215">
        <v>302400</v>
      </c>
      <c r="D215">
        <v>21883</v>
      </c>
    </row>
    <row r="216" spans="1:4" x14ac:dyDescent="0.2">
      <c r="A216">
        <v>3692696</v>
      </c>
      <c r="B216">
        <v>30061</v>
      </c>
      <c r="C216">
        <v>302349</v>
      </c>
      <c r="D216">
        <v>21883</v>
      </c>
    </row>
    <row r="217" spans="1:4" x14ac:dyDescent="0.2">
      <c r="A217">
        <v>3692696</v>
      </c>
      <c r="B217">
        <v>30062</v>
      </c>
      <c r="C217">
        <v>302355</v>
      </c>
      <c r="D217">
        <v>21883</v>
      </c>
    </row>
    <row r="218" spans="1:4" x14ac:dyDescent="0.2">
      <c r="A218">
        <v>3692696</v>
      </c>
      <c r="B218">
        <v>30063</v>
      </c>
      <c r="C218">
        <v>302356</v>
      </c>
      <c r="D218">
        <v>21883</v>
      </c>
    </row>
    <row r="219" spans="1:4" x14ac:dyDescent="0.2">
      <c r="A219">
        <v>3692696</v>
      </c>
      <c r="B219">
        <v>30064</v>
      </c>
      <c r="C219">
        <v>302379</v>
      </c>
      <c r="D219">
        <v>21883</v>
      </c>
    </row>
    <row r="220" spans="1:4" x14ac:dyDescent="0.2">
      <c r="A220">
        <v>3692696</v>
      </c>
      <c r="B220">
        <v>30065</v>
      </c>
      <c r="C220">
        <v>302372</v>
      </c>
      <c r="D220">
        <v>21883</v>
      </c>
    </row>
    <row r="221" spans="1:4" x14ac:dyDescent="0.2">
      <c r="A221">
        <v>3692696</v>
      </c>
      <c r="B221">
        <v>30066</v>
      </c>
      <c r="C221">
        <v>302400</v>
      </c>
      <c r="D221">
        <v>21883</v>
      </c>
    </row>
    <row r="222" spans="1:4" x14ac:dyDescent="0.2">
      <c r="A222">
        <v>3692697</v>
      </c>
      <c r="B222">
        <v>30060</v>
      </c>
      <c r="C222">
        <v>302341</v>
      </c>
      <c r="D222">
        <v>21883</v>
      </c>
    </row>
    <row r="223" spans="1:4" x14ac:dyDescent="0.2">
      <c r="A223">
        <v>3692697</v>
      </c>
      <c r="B223">
        <v>30063</v>
      </c>
      <c r="C223">
        <v>302356</v>
      </c>
      <c r="D223">
        <v>21883</v>
      </c>
    </row>
    <row r="224" spans="1:4" x14ac:dyDescent="0.2">
      <c r="A224">
        <v>3692697</v>
      </c>
      <c r="B224">
        <v>30064</v>
      </c>
      <c r="C224">
        <v>302410</v>
      </c>
      <c r="D224">
        <v>21883</v>
      </c>
    </row>
    <row r="225" spans="1:4" x14ac:dyDescent="0.2">
      <c r="A225">
        <v>3692697</v>
      </c>
      <c r="B225">
        <v>30065</v>
      </c>
      <c r="C225">
        <v>302372</v>
      </c>
      <c r="D225">
        <v>21883</v>
      </c>
    </row>
    <row r="226" spans="1:4" x14ac:dyDescent="0.2">
      <c r="A226">
        <v>3692697</v>
      </c>
      <c r="B226">
        <v>30066</v>
      </c>
      <c r="C226">
        <v>302400</v>
      </c>
      <c r="D226">
        <v>21883</v>
      </c>
    </row>
    <row r="227" spans="1:4" x14ac:dyDescent="0.2">
      <c r="A227">
        <v>3692698</v>
      </c>
      <c r="B227">
        <v>30063</v>
      </c>
      <c r="C227">
        <v>302356</v>
      </c>
      <c r="D227">
        <v>21883</v>
      </c>
    </row>
    <row r="228" spans="1:4" x14ac:dyDescent="0.2">
      <c r="A228">
        <v>3692698</v>
      </c>
      <c r="B228">
        <v>30064</v>
      </c>
      <c r="C228">
        <v>302396</v>
      </c>
      <c r="D228">
        <v>21883</v>
      </c>
    </row>
    <row r="229" spans="1:4" x14ac:dyDescent="0.2">
      <c r="A229">
        <v>3692698</v>
      </c>
      <c r="B229">
        <v>30065</v>
      </c>
      <c r="C229">
        <v>302372</v>
      </c>
      <c r="D229">
        <v>21883</v>
      </c>
    </row>
    <row r="230" spans="1:4" x14ac:dyDescent="0.2">
      <c r="A230">
        <v>3692698</v>
      </c>
      <c r="B230">
        <v>30066</v>
      </c>
      <c r="C230">
        <v>302400</v>
      </c>
      <c r="D230">
        <v>21883</v>
      </c>
    </row>
    <row r="231" spans="1:4" x14ac:dyDescent="0.2">
      <c r="A231">
        <v>3692699</v>
      </c>
      <c r="B231">
        <v>30060</v>
      </c>
      <c r="C231">
        <v>302341</v>
      </c>
      <c r="D231">
        <v>21883</v>
      </c>
    </row>
    <row r="232" spans="1:4" x14ac:dyDescent="0.2">
      <c r="A232">
        <v>3692699</v>
      </c>
      <c r="B232">
        <v>30063</v>
      </c>
      <c r="C232">
        <v>302356</v>
      </c>
      <c r="D232">
        <v>21883</v>
      </c>
    </row>
    <row r="233" spans="1:4" x14ac:dyDescent="0.2">
      <c r="A233">
        <v>3692699</v>
      </c>
      <c r="B233">
        <v>30064</v>
      </c>
      <c r="C233">
        <v>302413</v>
      </c>
      <c r="D233">
        <v>21883</v>
      </c>
    </row>
    <row r="234" spans="1:4" x14ac:dyDescent="0.2">
      <c r="A234">
        <v>3692699</v>
      </c>
      <c r="B234">
        <v>30065</v>
      </c>
      <c r="C234">
        <v>302372</v>
      </c>
      <c r="D234">
        <v>21883</v>
      </c>
    </row>
    <row r="235" spans="1:4" x14ac:dyDescent="0.2">
      <c r="A235">
        <v>3692699</v>
      </c>
      <c r="B235">
        <v>30066</v>
      </c>
      <c r="C235">
        <v>302400</v>
      </c>
      <c r="D235">
        <v>21883</v>
      </c>
    </row>
    <row r="236" spans="1:4" x14ac:dyDescent="0.2">
      <c r="A236">
        <v>3692700</v>
      </c>
      <c r="B236">
        <v>30064</v>
      </c>
      <c r="C236">
        <v>302379</v>
      </c>
      <c r="D236">
        <v>21883</v>
      </c>
    </row>
    <row r="237" spans="1:4" x14ac:dyDescent="0.2">
      <c r="A237">
        <v>3692701</v>
      </c>
      <c r="B237">
        <v>30064</v>
      </c>
      <c r="C237">
        <v>302367</v>
      </c>
      <c r="D237">
        <v>21883</v>
      </c>
    </row>
    <row r="238" spans="1:4" x14ac:dyDescent="0.2">
      <c r="A238">
        <v>3692702</v>
      </c>
      <c r="B238">
        <v>30064</v>
      </c>
      <c r="C238">
        <v>302385</v>
      </c>
      <c r="D238">
        <v>21883</v>
      </c>
    </row>
    <row r="239" spans="1:4" x14ac:dyDescent="0.2">
      <c r="A239">
        <v>3692703</v>
      </c>
      <c r="B239">
        <v>30064</v>
      </c>
      <c r="C239">
        <v>302467</v>
      </c>
      <c r="D239">
        <v>21883</v>
      </c>
    </row>
    <row r="240" spans="1:4" x14ac:dyDescent="0.2">
      <c r="A240">
        <v>3692704</v>
      </c>
      <c r="B240">
        <v>30064</v>
      </c>
      <c r="C240">
        <v>302467</v>
      </c>
      <c r="D240">
        <v>21883</v>
      </c>
    </row>
    <row r="241" spans="1:4" x14ac:dyDescent="0.2">
      <c r="A241">
        <v>3692705</v>
      </c>
      <c r="B241">
        <v>30064</v>
      </c>
      <c r="C241">
        <v>302380</v>
      </c>
      <c r="D241">
        <v>21883</v>
      </c>
    </row>
    <row r="242" spans="1:4" x14ac:dyDescent="0.2">
      <c r="A242">
        <v>3692706</v>
      </c>
      <c r="B242">
        <v>30060</v>
      </c>
      <c r="C242">
        <v>302341</v>
      </c>
      <c r="D242">
        <v>21883</v>
      </c>
    </row>
    <row r="243" spans="1:4" x14ac:dyDescent="0.2">
      <c r="A243">
        <v>3692706</v>
      </c>
      <c r="B243">
        <v>30061</v>
      </c>
      <c r="C243">
        <v>302352</v>
      </c>
      <c r="D243">
        <v>21883</v>
      </c>
    </row>
    <row r="244" spans="1:4" x14ac:dyDescent="0.2">
      <c r="A244">
        <v>3692706</v>
      </c>
      <c r="B244">
        <v>30062</v>
      </c>
      <c r="C244">
        <v>302355</v>
      </c>
      <c r="D244">
        <v>21883</v>
      </c>
    </row>
    <row r="245" spans="1:4" x14ac:dyDescent="0.2">
      <c r="A245">
        <v>3692706</v>
      </c>
      <c r="B245">
        <v>30063</v>
      </c>
      <c r="C245">
        <v>302356</v>
      </c>
      <c r="D245">
        <v>21883</v>
      </c>
    </row>
    <row r="246" spans="1:4" x14ac:dyDescent="0.2">
      <c r="A246">
        <v>3692706</v>
      </c>
      <c r="B246">
        <v>30064</v>
      </c>
      <c r="C246">
        <v>302379</v>
      </c>
      <c r="D246">
        <v>21883</v>
      </c>
    </row>
    <row r="247" spans="1:4" x14ac:dyDescent="0.2">
      <c r="A247">
        <v>3692706</v>
      </c>
      <c r="B247">
        <v>30065</v>
      </c>
      <c r="C247">
        <v>302372</v>
      </c>
      <c r="D247">
        <v>21883</v>
      </c>
    </row>
    <row r="248" spans="1:4" x14ac:dyDescent="0.2">
      <c r="A248">
        <v>3692706</v>
      </c>
      <c r="B248">
        <v>30066</v>
      </c>
      <c r="C248">
        <v>302400</v>
      </c>
      <c r="D248">
        <v>21883</v>
      </c>
    </row>
    <row r="249" spans="1:4" x14ac:dyDescent="0.2">
      <c r="A249">
        <v>3692707</v>
      </c>
      <c r="B249">
        <v>30061</v>
      </c>
      <c r="C249">
        <v>302352</v>
      </c>
      <c r="D249">
        <v>21883</v>
      </c>
    </row>
    <row r="250" spans="1:4" x14ac:dyDescent="0.2">
      <c r="A250">
        <v>3692707</v>
      </c>
      <c r="B250">
        <v>30062</v>
      </c>
      <c r="C250">
        <v>302355</v>
      </c>
      <c r="D250">
        <v>21883</v>
      </c>
    </row>
    <row r="251" spans="1:4" x14ac:dyDescent="0.2">
      <c r="A251">
        <v>3692707</v>
      </c>
      <c r="B251">
        <v>30063</v>
      </c>
      <c r="C251">
        <v>302356</v>
      </c>
      <c r="D251">
        <v>21883</v>
      </c>
    </row>
    <row r="252" spans="1:4" x14ac:dyDescent="0.2">
      <c r="A252">
        <v>3692707</v>
      </c>
      <c r="B252">
        <v>30064</v>
      </c>
      <c r="C252">
        <v>302379</v>
      </c>
      <c r="D252">
        <v>21883</v>
      </c>
    </row>
    <row r="253" spans="1:4" x14ac:dyDescent="0.2">
      <c r="A253">
        <v>3692707</v>
      </c>
      <c r="B253">
        <v>30065</v>
      </c>
      <c r="C253">
        <v>302372</v>
      </c>
      <c r="D253">
        <v>21883</v>
      </c>
    </row>
    <row r="254" spans="1:4" x14ac:dyDescent="0.2">
      <c r="A254">
        <v>3692707</v>
      </c>
      <c r="B254">
        <v>30066</v>
      </c>
      <c r="C254">
        <v>302400</v>
      </c>
      <c r="D254">
        <v>21883</v>
      </c>
    </row>
    <row r="255" spans="1:4" x14ac:dyDescent="0.2">
      <c r="A255">
        <v>3692708</v>
      </c>
      <c r="B255">
        <v>30060</v>
      </c>
      <c r="C255">
        <v>302341</v>
      </c>
      <c r="D255">
        <v>21883</v>
      </c>
    </row>
    <row r="256" spans="1:4" x14ac:dyDescent="0.2">
      <c r="A256">
        <v>3692708</v>
      </c>
      <c r="B256">
        <v>30063</v>
      </c>
      <c r="C256">
        <v>302356</v>
      </c>
      <c r="D256">
        <v>21883</v>
      </c>
    </row>
    <row r="257" spans="1:4" x14ac:dyDescent="0.2">
      <c r="A257">
        <v>3692708</v>
      </c>
      <c r="B257">
        <v>30064</v>
      </c>
      <c r="C257">
        <v>302410</v>
      </c>
      <c r="D257">
        <v>21883</v>
      </c>
    </row>
    <row r="258" spans="1:4" x14ac:dyDescent="0.2">
      <c r="A258">
        <v>3692708</v>
      </c>
      <c r="B258">
        <v>30065</v>
      </c>
      <c r="C258">
        <v>302372</v>
      </c>
      <c r="D258">
        <v>21883</v>
      </c>
    </row>
    <row r="259" spans="1:4" x14ac:dyDescent="0.2">
      <c r="A259">
        <v>3692708</v>
      </c>
      <c r="B259">
        <v>30066</v>
      </c>
      <c r="C259">
        <v>302400</v>
      </c>
      <c r="D259">
        <v>21883</v>
      </c>
    </row>
    <row r="260" spans="1:4" x14ac:dyDescent="0.2">
      <c r="A260">
        <v>3692709</v>
      </c>
      <c r="B260">
        <v>30063</v>
      </c>
      <c r="C260">
        <v>302356</v>
      </c>
      <c r="D260">
        <v>21883</v>
      </c>
    </row>
    <row r="261" spans="1:4" x14ac:dyDescent="0.2">
      <c r="A261">
        <v>3692709</v>
      </c>
      <c r="B261">
        <v>30064</v>
      </c>
      <c r="C261">
        <v>302396</v>
      </c>
      <c r="D261">
        <v>21883</v>
      </c>
    </row>
    <row r="262" spans="1:4" x14ac:dyDescent="0.2">
      <c r="A262">
        <v>3692709</v>
      </c>
      <c r="B262">
        <v>30065</v>
      </c>
      <c r="C262">
        <v>302372</v>
      </c>
      <c r="D262">
        <v>21883</v>
      </c>
    </row>
    <row r="263" spans="1:4" x14ac:dyDescent="0.2">
      <c r="A263">
        <v>3692709</v>
      </c>
      <c r="B263">
        <v>30066</v>
      </c>
      <c r="C263">
        <v>302400</v>
      </c>
      <c r="D263">
        <v>21883</v>
      </c>
    </row>
    <row r="264" spans="1:4" x14ac:dyDescent="0.2">
      <c r="A264">
        <v>3692710</v>
      </c>
      <c r="B264">
        <v>30060</v>
      </c>
      <c r="C264">
        <v>302341</v>
      </c>
      <c r="D264">
        <v>21883</v>
      </c>
    </row>
    <row r="265" spans="1:4" x14ac:dyDescent="0.2">
      <c r="A265">
        <v>3692710</v>
      </c>
      <c r="B265">
        <v>30063</v>
      </c>
      <c r="C265">
        <v>302356</v>
      </c>
      <c r="D265">
        <v>21883</v>
      </c>
    </row>
    <row r="266" spans="1:4" x14ac:dyDescent="0.2">
      <c r="A266">
        <v>3692710</v>
      </c>
      <c r="B266">
        <v>30064</v>
      </c>
      <c r="C266">
        <v>302413</v>
      </c>
      <c r="D266">
        <v>21883</v>
      </c>
    </row>
    <row r="267" spans="1:4" x14ac:dyDescent="0.2">
      <c r="A267">
        <v>3692710</v>
      </c>
      <c r="B267">
        <v>30065</v>
      </c>
      <c r="C267">
        <v>302372</v>
      </c>
      <c r="D267">
        <v>21883</v>
      </c>
    </row>
    <row r="268" spans="1:4" x14ac:dyDescent="0.2">
      <c r="A268">
        <v>3692710</v>
      </c>
      <c r="B268">
        <v>30066</v>
      </c>
      <c r="C268">
        <v>302400</v>
      </c>
      <c r="D268">
        <v>21883</v>
      </c>
    </row>
    <row r="269" spans="1:4" x14ac:dyDescent="0.2">
      <c r="A269">
        <v>3692711</v>
      </c>
      <c r="B269">
        <v>30064</v>
      </c>
      <c r="C269">
        <v>302467</v>
      </c>
      <c r="D269">
        <v>21883</v>
      </c>
    </row>
    <row r="270" spans="1:4" x14ac:dyDescent="0.2">
      <c r="A270">
        <v>3692712</v>
      </c>
      <c r="B270">
        <v>30064</v>
      </c>
      <c r="C270">
        <v>302385</v>
      </c>
      <c r="D270">
        <v>21883</v>
      </c>
    </row>
    <row r="271" spans="1:4" x14ac:dyDescent="0.2">
      <c r="A271">
        <v>3692713</v>
      </c>
      <c r="B271">
        <v>30064</v>
      </c>
      <c r="C271">
        <v>302414</v>
      </c>
      <c r="D271">
        <v>21883</v>
      </c>
    </row>
    <row r="272" spans="1:4" x14ac:dyDescent="0.2">
      <c r="A272">
        <v>3692714</v>
      </c>
      <c r="B272">
        <v>30064</v>
      </c>
      <c r="C272">
        <v>302414</v>
      </c>
      <c r="D272">
        <v>21883</v>
      </c>
    </row>
    <row r="273" spans="1:4" x14ac:dyDescent="0.2">
      <c r="A273">
        <v>3692715</v>
      </c>
      <c r="B273">
        <v>30064</v>
      </c>
      <c r="C273">
        <v>302414</v>
      </c>
      <c r="D273">
        <v>21883</v>
      </c>
    </row>
    <row r="274" spans="1:4" x14ac:dyDescent="0.2">
      <c r="A274">
        <v>3692716</v>
      </c>
      <c r="B274">
        <v>30061</v>
      </c>
      <c r="C274">
        <v>302350</v>
      </c>
      <c r="D274">
        <v>21883</v>
      </c>
    </row>
    <row r="275" spans="1:4" x14ac:dyDescent="0.2">
      <c r="A275">
        <v>3692716</v>
      </c>
      <c r="B275">
        <v>30062</v>
      </c>
      <c r="C275">
        <v>302355</v>
      </c>
      <c r="D275">
        <v>21883</v>
      </c>
    </row>
    <row r="276" spans="1:4" x14ac:dyDescent="0.2">
      <c r="A276">
        <v>3692716</v>
      </c>
      <c r="B276">
        <v>30063</v>
      </c>
      <c r="C276">
        <v>302356</v>
      </c>
      <c r="D276">
        <v>21883</v>
      </c>
    </row>
    <row r="277" spans="1:4" x14ac:dyDescent="0.2">
      <c r="A277">
        <v>3692716</v>
      </c>
      <c r="B277">
        <v>30064</v>
      </c>
      <c r="C277">
        <v>302414</v>
      </c>
      <c r="D277">
        <v>21883</v>
      </c>
    </row>
    <row r="278" spans="1:4" x14ac:dyDescent="0.2">
      <c r="A278">
        <v>3692716</v>
      </c>
      <c r="B278">
        <v>30065</v>
      </c>
      <c r="C278">
        <v>302371</v>
      </c>
      <c r="D278">
        <v>21883</v>
      </c>
    </row>
    <row r="279" spans="1:4" x14ac:dyDescent="0.2">
      <c r="A279">
        <v>3692716</v>
      </c>
      <c r="B279">
        <v>30066</v>
      </c>
      <c r="C279">
        <v>302402</v>
      </c>
      <c r="D279">
        <v>21883</v>
      </c>
    </row>
    <row r="280" spans="1:4" x14ac:dyDescent="0.2">
      <c r="A280">
        <v>3692717</v>
      </c>
      <c r="B280">
        <v>30064</v>
      </c>
      <c r="C280">
        <v>302398</v>
      </c>
      <c r="D280">
        <v>21883</v>
      </c>
    </row>
    <row r="281" spans="1:4" x14ac:dyDescent="0.2">
      <c r="A281">
        <v>3692718</v>
      </c>
      <c r="B281">
        <v>30064</v>
      </c>
      <c r="C281">
        <v>302411</v>
      </c>
      <c r="D281">
        <v>21883</v>
      </c>
    </row>
    <row r="282" spans="1:4" x14ac:dyDescent="0.2">
      <c r="A282">
        <v>3692719</v>
      </c>
      <c r="B282">
        <v>30064</v>
      </c>
      <c r="C282">
        <v>302380</v>
      </c>
      <c r="D282">
        <v>21883</v>
      </c>
    </row>
    <row r="283" spans="1:4" x14ac:dyDescent="0.2">
      <c r="A283">
        <v>3692720</v>
      </c>
      <c r="B283">
        <v>30064</v>
      </c>
      <c r="C283">
        <v>302411</v>
      </c>
      <c r="D283">
        <v>21883</v>
      </c>
    </row>
    <row r="284" spans="1:4" x14ac:dyDescent="0.2">
      <c r="A284">
        <v>3692721</v>
      </c>
      <c r="B284">
        <v>30061</v>
      </c>
      <c r="C284">
        <v>302352</v>
      </c>
      <c r="D284">
        <v>21883</v>
      </c>
    </row>
    <row r="285" spans="1:4" x14ac:dyDescent="0.2">
      <c r="A285">
        <v>3692721</v>
      </c>
      <c r="B285">
        <v>30062</v>
      </c>
      <c r="C285">
        <v>302355</v>
      </c>
      <c r="D285">
        <v>21883</v>
      </c>
    </row>
    <row r="286" spans="1:4" x14ac:dyDescent="0.2">
      <c r="A286">
        <v>3692721</v>
      </c>
      <c r="B286">
        <v>30063</v>
      </c>
      <c r="C286">
        <v>302356</v>
      </c>
      <c r="D286">
        <v>21883</v>
      </c>
    </row>
    <row r="287" spans="1:4" x14ac:dyDescent="0.2">
      <c r="A287">
        <v>3692721</v>
      </c>
      <c r="B287">
        <v>30064</v>
      </c>
      <c r="C287">
        <v>302411</v>
      </c>
      <c r="D287">
        <v>21883</v>
      </c>
    </row>
    <row r="288" spans="1:4" x14ac:dyDescent="0.2">
      <c r="A288">
        <v>3692721</v>
      </c>
      <c r="B288">
        <v>30065</v>
      </c>
      <c r="C288">
        <v>302372</v>
      </c>
      <c r="D288">
        <v>21883</v>
      </c>
    </row>
    <row r="289" spans="1:4" x14ac:dyDescent="0.2">
      <c r="A289">
        <v>3692721</v>
      </c>
      <c r="B289">
        <v>30066</v>
      </c>
      <c r="C289">
        <v>302400</v>
      </c>
      <c r="D289">
        <v>21883</v>
      </c>
    </row>
    <row r="290" spans="1:4" x14ac:dyDescent="0.2">
      <c r="A290">
        <v>3692722</v>
      </c>
      <c r="B290">
        <v>30061</v>
      </c>
      <c r="C290">
        <v>302352</v>
      </c>
      <c r="D290">
        <v>21883</v>
      </c>
    </row>
    <row r="291" spans="1:4" x14ac:dyDescent="0.2">
      <c r="A291">
        <v>3692722</v>
      </c>
      <c r="B291">
        <v>30062</v>
      </c>
      <c r="C291">
        <v>302355</v>
      </c>
      <c r="D291">
        <v>21883</v>
      </c>
    </row>
    <row r="292" spans="1:4" x14ac:dyDescent="0.2">
      <c r="A292">
        <v>3692722</v>
      </c>
      <c r="B292">
        <v>30063</v>
      </c>
      <c r="C292">
        <v>302356</v>
      </c>
      <c r="D292">
        <v>21883</v>
      </c>
    </row>
    <row r="293" spans="1:4" x14ac:dyDescent="0.2">
      <c r="A293">
        <v>3692722</v>
      </c>
      <c r="B293">
        <v>30064</v>
      </c>
      <c r="C293">
        <v>302380</v>
      </c>
      <c r="D293">
        <v>21883</v>
      </c>
    </row>
    <row r="294" spans="1:4" x14ac:dyDescent="0.2">
      <c r="A294">
        <v>3692722</v>
      </c>
      <c r="B294">
        <v>30065</v>
      </c>
      <c r="C294">
        <v>302372</v>
      </c>
      <c r="D294">
        <v>21883</v>
      </c>
    </row>
    <row r="295" spans="1:4" x14ac:dyDescent="0.2">
      <c r="A295">
        <v>3692722</v>
      </c>
      <c r="B295">
        <v>30066</v>
      </c>
      <c r="C295">
        <v>302400</v>
      </c>
      <c r="D295">
        <v>21883</v>
      </c>
    </row>
    <row r="296" spans="1:4" x14ac:dyDescent="0.2">
      <c r="A296">
        <v>3692723</v>
      </c>
      <c r="B296">
        <v>30061</v>
      </c>
      <c r="C296">
        <v>302352</v>
      </c>
      <c r="D296">
        <v>21883</v>
      </c>
    </row>
    <row r="297" spans="1:4" x14ac:dyDescent="0.2">
      <c r="A297">
        <v>3692723</v>
      </c>
      <c r="B297">
        <v>30062</v>
      </c>
      <c r="C297">
        <v>302355</v>
      </c>
      <c r="D297">
        <v>21883</v>
      </c>
    </row>
    <row r="298" spans="1:4" x14ac:dyDescent="0.2">
      <c r="A298">
        <v>3692723</v>
      </c>
      <c r="B298">
        <v>30063</v>
      </c>
      <c r="C298">
        <v>302356</v>
      </c>
      <c r="D298">
        <v>21883</v>
      </c>
    </row>
    <row r="299" spans="1:4" x14ac:dyDescent="0.2">
      <c r="A299">
        <v>3692723</v>
      </c>
      <c r="B299">
        <v>30064</v>
      </c>
      <c r="C299">
        <v>302379</v>
      </c>
      <c r="D299">
        <v>21883</v>
      </c>
    </row>
    <row r="300" spans="1:4" x14ac:dyDescent="0.2">
      <c r="A300">
        <v>3692723</v>
      </c>
      <c r="B300">
        <v>30065</v>
      </c>
      <c r="C300">
        <v>302372</v>
      </c>
      <c r="D300">
        <v>21883</v>
      </c>
    </row>
    <row r="301" spans="1:4" x14ac:dyDescent="0.2">
      <c r="A301">
        <v>3692723</v>
      </c>
      <c r="B301">
        <v>30066</v>
      </c>
      <c r="C301">
        <v>302400</v>
      </c>
      <c r="D301">
        <v>21883</v>
      </c>
    </row>
    <row r="302" spans="1:4" x14ac:dyDescent="0.2">
      <c r="A302">
        <v>3692724</v>
      </c>
      <c r="B302">
        <v>30064</v>
      </c>
      <c r="C302">
        <v>302329</v>
      </c>
      <c r="D302">
        <v>21883</v>
      </c>
    </row>
    <row r="303" spans="1:4" x14ac:dyDescent="0.2">
      <c r="A303">
        <v>3692725</v>
      </c>
      <c r="B303">
        <v>30064</v>
      </c>
      <c r="C303">
        <v>302329</v>
      </c>
      <c r="D303">
        <v>21883</v>
      </c>
    </row>
    <row r="304" spans="1:4" x14ac:dyDescent="0.2">
      <c r="A304">
        <v>3692726</v>
      </c>
      <c r="B304">
        <v>30064</v>
      </c>
      <c r="C304">
        <v>302398</v>
      </c>
      <c r="D304">
        <v>21883</v>
      </c>
    </row>
    <row r="305" spans="1:4" x14ac:dyDescent="0.2">
      <c r="A305">
        <v>3692727</v>
      </c>
      <c r="B305">
        <v>30064</v>
      </c>
      <c r="C305">
        <v>302411</v>
      </c>
      <c r="D305">
        <v>21883</v>
      </c>
    </row>
    <row r="306" spans="1:4" x14ac:dyDescent="0.2">
      <c r="A306">
        <v>3692728</v>
      </c>
      <c r="B306">
        <v>30064</v>
      </c>
      <c r="C306">
        <v>302380</v>
      </c>
      <c r="D306">
        <v>21883</v>
      </c>
    </row>
    <row r="307" spans="1:4" x14ac:dyDescent="0.2">
      <c r="A307">
        <v>3692729</v>
      </c>
      <c r="B307">
        <v>30064</v>
      </c>
      <c r="C307">
        <v>302411</v>
      </c>
      <c r="D307">
        <v>21883</v>
      </c>
    </row>
    <row r="308" spans="1:4" x14ac:dyDescent="0.2">
      <c r="A308">
        <v>3692730</v>
      </c>
      <c r="B308">
        <v>30061</v>
      </c>
      <c r="C308">
        <v>302352</v>
      </c>
      <c r="D308">
        <v>21883</v>
      </c>
    </row>
    <row r="309" spans="1:4" x14ac:dyDescent="0.2">
      <c r="A309">
        <v>3692730</v>
      </c>
      <c r="B309">
        <v>30062</v>
      </c>
      <c r="C309">
        <v>302355</v>
      </c>
      <c r="D309">
        <v>21883</v>
      </c>
    </row>
    <row r="310" spans="1:4" x14ac:dyDescent="0.2">
      <c r="A310">
        <v>3692730</v>
      </c>
      <c r="B310">
        <v>30063</v>
      </c>
      <c r="C310">
        <v>302356</v>
      </c>
      <c r="D310">
        <v>21883</v>
      </c>
    </row>
    <row r="311" spans="1:4" x14ac:dyDescent="0.2">
      <c r="A311">
        <v>3692730</v>
      </c>
      <c r="B311">
        <v>30064</v>
      </c>
      <c r="C311">
        <v>302411</v>
      </c>
      <c r="D311">
        <v>21883</v>
      </c>
    </row>
    <row r="312" spans="1:4" x14ac:dyDescent="0.2">
      <c r="A312">
        <v>3692730</v>
      </c>
      <c r="B312">
        <v>30065</v>
      </c>
      <c r="C312">
        <v>302372</v>
      </c>
      <c r="D312">
        <v>21883</v>
      </c>
    </row>
    <row r="313" spans="1:4" x14ac:dyDescent="0.2">
      <c r="A313">
        <v>3692730</v>
      </c>
      <c r="B313">
        <v>30066</v>
      </c>
      <c r="C313">
        <v>302400</v>
      </c>
      <c r="D313">
        <v>21883</v>
      </c>
    </row>
    <row r="314" spans="1:4" x14ac:dyDescent="0.2">
      <c r="A314">
        <v>3692731</v>
      </c>
      <c r="B314">
        <v>30061</v>
      </c>
      <c r="C314">
        <v>302352</v>
      </c>
      <c r="D314">
        <v>21883</v>
      </c>
    </row>
    <row r="315" spans="1:4" x14ac:dyDescent="0.2">
      <c r="A315">
        <v>3692731</v>
      </c>
      <c r="B315">
        <v>30062</v>
      </c>
      <c r="C315">
        <v>302355</v>
      </c>
      <c r="D315">
        <v>21883</v>
      </c>
    </row>
    <row r="316" spans="1:4" x14ac:dyDescent="0.2">
      <c r="A316">
        <v>3692731</v>
      </c>
      <c r="B316">
        <v>30063</v>
      </c>
      <c r="C316">
        <v>302356</v>
      </c>
      <c r="D316">
        <v>21883</v>
      </c>
    </row>
    <row r="317" spans="1:4" x14ac:dyDescent="0.2">
      <c r="A317">
        <v>3692731</v>
      </c>
      <c r="B317">
        <v>30064</v>
      </c>
      <c r="C317">
        <v>302380</v>
      </c>
      <c r="D317">
        <v>21883</v>
      </c>
    </row>
    <row r="318" spans="1:4" x14ac:dyDescent="0.2">
      <c r="A318">
        <v>3692731</v>
      </c>
      <c r="B318">
        <v>30065</v>
      </c>
      <c r="C318">
        <v>302372</v>
      </c>
      <c r="D318">
        <v>21883</v>
      </c>
    </row>
    <row r="319" spans="1:4" x14ac:dyDescent="0.2">
      <c r="A319">
        <v>3692731</v>
      </c>
      <c r="B319">
        <v>30066</v>
      </c>
      <c r="C319">
        <v>302400</v>
      </c>
      <c r="D319">
        <v>21883</v>
      </c>
    </row>
    <row r="320" spans="1:4" x14ac:dyDescent="0.2">
      <c r="A320">
        <v>3692732</v>
      </c>
      <c r="B320">
        <v>30061</v>
      </c>
      <c r="C320">
        <v>302352</v>
      </c>
      <c r="D320">
        <v>21883</v>
      </c>
    </row>
    <row r="321" spans="1:4" x14ac:dyDescent="0.2">
      <c r="A321">
        <v>3692732</v>
      </c>
      <c r="B321">
        <v>30062</v>
      </c>
      <c r="C321">
        <v>302355</v>
      </c>
      <c r="D321">
        <v>21883</v>
      </c>
    </row>
    <row r="322" spans="1:4" x14ac:dyDescent="0.2">
      <c r="A322">
        <v>3692732</v>
      </c>
      <c r="B322">
        <v>30063</v>
      </c>
      <c r="C322">
        <v>302356</v>
      </c>
      <c r="D322">
        <v>21883</v>
      </c>
    </row>
    <row r="323" spans="1:4" x14ac:dyDescent="0.2">
      <c r="A323">
        <v>3692732</v>
      </c>
      <c r="B323">
        <v>30064</v>
      </c>
      <c r="C323">
        <v>302379</v>
      </c>
      <c r="D323">
        <v>21883</v>
      </c>
    </row>
    <row r="324" spans="1:4" x14ac:dyDescent="0.2">
      <c r="A324">
        <v>3692732</v>
      </c>
      <c r="B324">
        <v>30065</v>
      </c>
      <c r="C324">
        <v>302372</v>
      </c>
      <c r="D324">
        <v>21883</v>
      </c>
    </row>
    <row r="325" spans="1:4" x14ac:dyDescent="0.2">
      <c r="A325">
        <v>3692732</v>
      </c>
      <c r="B325">
        <v>30066</v>
      </c>
      <c r="C325">
        <v>302400</v>
      </c>
      <c r="D325">
        <v>21883</v>
      </c>
    </row>
    <row r="326" spans="1:4" x14ac:dyDescent="0.2">
      <c r="A326">
        <v>3692733</v>
      </c>
      <c r="B326">
        <v>30064</v>
      </c>
      <c r="C326">
        <v>302385</v>
      </c>
      <c r="D326">
        <v>21883</v>
      </c>
    </row>
    <row r="327" spans="1:4" x14ac:dyDescent="0.2">
      <c r="A327">
        <v>3692734</v>
      </c>
      <c r="B327">
        <v>30064</v>
      </c>
      <c r="C327">
        <v>302385</v>
      </c>
      <c r="D327">
        <v>21883</v>
      </c>
    </row>
    <row r="328" spans="1:4" x14ac:dyDescent="0.2">
      <c r="A328">
        <v>3692735</v>
      </c>
      <c r="B328">
        <v>30064</v>
      </c>
      <c r="C328">
        <v>302384</v>
      </c>
      <c r="D328">
        <v>21883</v>
      </c>
    </row>
    <row r="329" spans="1:4" x14ac:dyDescent="0.2">
      <c r="A329">
        <v>3692736</v>
      </c>
      <c r="B329">
        <v>30064</v>
      </c>
      <c r="C329">
        <v>302421</v>
      </c>
      <c r="D329">
        <v>21883</v>
      </c>
    </row>
    <row r="330" spans="1:4" x14ac:dyDescent="0.2">
      <c r="A330">
        <v>3692737</v>
      </c>
      <c r="B330">
        <v>30064</v>
      </c>
      <c r="C330">
        <v>302409</v>
      </c>
      <c r="D330">
        <v>21883</v>
      </c>
    </row>
    <row r="331" spans="1:4" x14ac:dyDescent="0.2">
      <c r="A331">
        <v>3692738</v>
      </c>
      <c r="B331">
        <v>30064</v>
      </c>
      <c r="C331">
        <v>302379</v>
      </c>
      <c r="D331">
        <v>21883</v>
      </c>
    </row>
    <row r="332" spans="1:4" x14ac:dyDescent="0.2">
      <c r="A332">
        <v>3692739</v>
      </c>
      <c r="B332">
        <v>30064</v>
      </c>
      <c r="C332">
        <v>302380</v>
      </c>
      <c r="D332">
        <v>21883</v>
      </c>
    </row>
    <row r="333" spans="1:4" x14ac:dyDescent="0.2">
      <c r="A333">
        <v>3692740</v>
      </c>
      <c r="B333">
        <v>30064</v>
      </c>
      <c r="C333">
        <v>302380</v>
      </c>
      <c r="D333">
        <v>21883</v>
      </c>
    </row>
    <row r="334" spans="1:4" x14ac:dyDescent="0.2">
      <c r="A334">
        <v>3692741</v>
      </c>
      <c r="B334">
        <v>30064</v>
      </c>
      <c r="C334">
        <v>302385</v>
      </c>
      <c r="D334">
        <v>21883</v>
      </c>
    </row>
    <row r="335" spans="1:4" x14ac:dyDescent="0.2">
      <c r="A335">
        <v>3692742</v>
      </c>
      <c r="B335">
        <v>30064</v>
      </c>
      <c r="C335">
        <v>302385</v>
      </c>
      <c r="D335">
        <v>21883</v>
      </c>
    </row>
    <row r="336" spans="1:4" x14ac:dyDescent="0.2">
      <c r="A336">
        <v>3692743</v>
      </c>
      <c r="B336">
        <v>30064</v>
      </c>
      <c r="C336">
        <v>302392</v>
      </c>
      <c r="D336">
        <v>21883</v>
      </c>
    </row>
    <row r="337" spans="1:4" x14ac:dyDescent="0.2">
      <c r="A337">
        <v>3692744</v>
      </c>
      <c r="B337">
        <v>30064</v>
      </c>
      <c r="C337">
        <v>302392</v>
      </c>
      <c r="D337">
        <v>21883</v>
      </c>
    </row>
    <row r="338" spans="1:4" x14ac:dyDescent="0.2">
      <c r="A338">
        <v>3692745</v>
      </c>
      <c r="B338">
        <v>30064</v>
      </c>
      <c r="C338">
        <v>302379</v>
      </c>
      <c r="D338">
        <v>21883</v>
      </c>
    </row>
    <row r="339" spans="1:4" x14ac:dyDescent="0.2">
      <c r="A339">
        <v>3692746</v>
      </c>
      <c r="B339">
        <v>30064</v>
      </c>
      <c r="C339">
        <v>302379</v>
      </c>
      <c r="D339">
        <v>21883</v>
      </c>
    </row>
    <row r="340" spans="1:4" x14ac:dyDescent="0.2">
      <c r="A340">
        <v>3692747</v>
      </c>
      <c r="B340">
        <v>30064</v>
      </c>
      <c r="C340">
        <v>302379</v>
      </c>
      <c r="D340">
        <v>21883</v>
      </c>
    </row>
    <row r="341" spans="1:4" x14ac:dyDescent="0.2">
      <c r="A341">
        <v>3692748</v>
      </c>
      <c r="B341">
        <v>30064</v>
      </c>
      <c r="C341">
        <v>302399</v>
      </c>
      <c r="D341">
        <v>21883</v>
      </c>
    </row>
    <row r="342" spans="1:4" x14ac:dyDescent="0.2">
      <c r="A342">
        <v>3692749</v>
      </c>
      <c r="B342">
        <v>30064</v>
      </c>
      <c r="C342">
        <v>302409</v>
      </c>
      <c r="D342">
        <v>21883</v>
      </c>
    </row>
    <row r="343" spans="1:4" x14ac:dyDescent="0.2">
      <c r="A343">
        <v>3692750</v>
      </c>
      <c r="B343">
        <v>30064</v>
      </c>
      <c r="C343">
        <v>302421</v>
      </c>
      <c r="D343">
        <v>21883</v>
      </c>
    </row>
    <row r="344" spans="1:4" x14ac:dyDescent="0.2">
      <c r="A344">
        <v>3692751</v>
      </c>
      <c r="B344">
        <v>30064</v>
      </c>
      <c r="C344">
        <v>302414</v>
      </c>
      <c r="D344">
        <v>21883</v>
      </c>
    </row>
    <row r="345" spans="1:4" x14ac:dyDescent="0.2">
      <c r="A345">
        <v>3692752</v>
      </c>
      <c r="B345">
        <v>30064</v>
      </c>
      <c r="C345">
        <v>302414</v>
      </c>
      <c r="D345">
        <v>21883</v>
      </c>
    </row>
    <row r="346" spans="1:4" x14ac:dyDescent="0.2">
      <c r="A346">
        <v>3692753</v>
      </c>
      <c r="B346">
        <v>30061</v>
      </c>
      <c r="C346">
        <v>302350</v>
      </c>
      <c r="D346">
        <v>21883</v>
      </c>
    </row>
    <row r="347" spans="1:4" x14ac:dyDescent="0.2">
      <c r="A347">
        <v>3692753</v>
      </c>
      <c r="B347">
        <v>30062</v>
      </c>
      <c r="C347">
        <v>302355</v>
      </c>
      <c r="D347">
        <v>21883</v>
      </c>
    </row>
    <row r="348" spans="1:4" x14ac:dyDescent="0.2">
      <c r="A348">
        <v>3692753</v>
      </c>
      <c r="B348">
        <v>30063</v>
      </c>
      <c r="C348">
        <v>302356</v>
      </c>
      <c r="D348">
        <v>21883</v>
      </c>
    </row>
    <row r="349" spans="1:4" x14ac:dyDescent="0.2">
      <c r="A349">
        <v>3692753</v>
      </c>
      <c r="B349">
        <v>30064</v>
      </c>
      <c r="C349">
        <v>302414</v>
      </c>
      <c r="D349">
        <v>21883</v>
      </c>
    </row>
    <row r="350" spans="1:4" x14ac:dyDescent="0.2">
      <c r="A350">
        <v>3692753</v>
      </c>
      <c r="B350">
        <v>30065</v>
      </c>
      <c r="C350">
        <v>302371</v>
      </c>
      <c r="D350">
        <v>21883</v>
      </c>
    </row>
    <row r="351" spans="1:4" x14ac:dyDescent="0.2">
      <c r="A351">
        <v>3692753</v>
      </c>
      <c r="B351">
        <v>30066</v>
      </c>
      <c r="C351">
        <v>302402</v>
      </c>
      <c r="D351">
        <v>21883</v>
      </c>
    </row>
    <row r="352" spans="1:4" x14ac:dyDescent="0.2">
      <c r="A352">
        <v>3692754</v>
      </c>
      <c r="B352">
        <v>30064</v>
      </c>
      <c r="C352">
        <v>302379</v>
      </c>
      <c r="D352">
        <v>21883</v>
      </c>
    </row>
    <row r="353" spans="1:4" x14ac:dyDescent="0.2">
      <c r="A353">
        <v>3692755</v>
      </c>
      <c r="B353">
        <v>30064</v>
      </c>
      <c r="C353">
        <v>302379</v>
      </c>
      <c r="D353">
        <v>21883</v>
      </c>
    </row>
    <row r="354" spans="1:4" x14ac:dyDescent="0.2">
      <c r="A354">
        <v>3692756</v>
      </c>
      <c r="B354">
        <v>30064</v>
      </c>
      <c r="C354">
        <v>302379</v>
      </c>
      <c r="D354">
        <v>21883</v>
      </c>
    </row>
    <row r="355" spans="1:4" x14ac:dyDescent="0.2">
      <c r="A355">
        <v>3692757</v>
      </c>
      <c r="B355">
        <v>30064</v>
      </c>
      <c r="C355">
        <v>302414</v>
      </c>
      <c r="D355">
        <v>21883</v>
      </c>
    </row>
    <row r="356" spans="1:4" x14ac:dyDescent="0.2">
      <c r="A356">
        <v>3692758</v>
      </c>
      <c r="B356">
        <v>30064</v>
      </c>
      <c r="C356">
        <v>302414</v>
      </c>
      <c r="D356">
        <v>21883</v>
      </c>
    </row>
    <row r="357" spans="1:4" x14ac:dyDescent="0.2">
      <c r="A357">
        <v>3692759</v>
      </c>
      <c r="B357">
        <v>30064</v>
      </c>
      <c r="C357">
        <v>302414</v>
      </c>
      <c r="D357">
        <v>21883</v>
      </c>
    </row>
    <row r="358" spans="1:4" x14ac:dyDescent="0.2">
      <c r="A358">
        <v>3692760</v>
      </c>
      <c r="B358">
        <v>30064</v>
      </c>
      <c r="C358">
        <v>302385</v>
      </c>
      <c r="D358">
        <v>21883</v>
      </c>
    </row>
    <row r="359" spans="1:4" x14ac:dyDescent="0.2">
      <c r="A359">
        <v>3692761</v>
      </c>
      <c r="B359">
        <v>30064</v>
      </c>
      <c r="C359">
        <v>302385</v>
      </c>
      <c r="D359">
        <v>21883</v>
      </c>
    </row>
    <row r="360" spans="1:4" x14ac:dyDescent="0.2">
      <c r="A360">
        <v>3692762</v>
      </c>
      <c r="B360">
        <v>30064</v>
      </c>
      <c r="C360">
        <v>302385</v>
      </c>
      <c r="D360">
        <v>21883</v>
      </c>
    </row>
    <row r="361" spans="1:4" x14ac:dyDescent="0.2">
      <c r="A361">
        <v>3692764</v>
      </c>
      <c r="B361">
        <v>30064</v>
      </c>
      <c r="C361">
        <v>302382</v>
      </c>
      <c r="D361">
        <v>21883</v>
      </c>
    </row>
    <row r="362" spans="1:4" x14ac:dyDescent="0.2">
      <c r="A362">
        <v>3692765</v>
      </c>
      <c r="B362">
        <v>30064</v>
      </c>
      <c r="C362">
        <v>302382</v>
      </c>
      <c r="D362">
        <v>21883</v>
      </c>
    </row>
    <row r="363" spans="1:4" x14ac:dyDescent="0.2">
      <c r="A363">
        <v>3692766</v>
      </c>
      <c r="B363">
        <v>30064</v>
      </c>
      <c r="C363">
        <v>302381</v>
      </c>
      <c r="D363">
        <v>21883</v>
      </c>
    </row>
    <row r="364" spans="1:4" x14ac:dyDescent="0.2">
      <c r="A364">
        <v>3692767</v>
      </c>
      <c r="B364">
        <v>30064</v>
      </c>
      <c r="C364">
        <v>302381</v>
      </c>
      <c r="D364">
        <v>21883</v>
      </c>
    </row>
    <row r="365" spans="1:4" x14ac:dyDescent="0.2">
      <c r="A365">
        <v>3692768</v>
      </c>
      <c r="B365">
        <v>30064</v>
      </c>
      <c r="C365">
        <v>302381</v>
      </c>
      <c r="D365">
        <v>21883</v>
      </c>
    </row>
    <row r="366" spans="1:4" x14ac:dyDescent="0.2">
      <c r="A366">
        <v>3692769</v>
      </c>
      <c r="B366">
        <v>30064</v>
      </c>
      <c r="C366">
        <v>302381</v>
      </c>
      <c r="D366">
        <v>21883</v>
      </c>
    </row>
    <row r="367" spans="1:4" x14ac:dyDescent="0.2">
      <c r="A367">
        <v>3692770</v>
      </c>
      <c r="B367">
        <v>30064</v>
      </c>
      <c r="C367">
        <v>302381</v>
      </c>
      <c r="D367">
        <v>21883</v>
      </c>
    </row>
    <row r="368" spans="1:4" x14ac:dyDescent="0.2">
      <c r="A368">
        <v>3692771</v>
      </c>
      <c r="B368">
        <v>30064</v>
      </c>
      <c r="C368">
        <v>302381</v>
      </c>
      <c r="D368">
        <v>21883</v>
      </c>
    </row>
    <row r="369" spans="1:4" x14ac:dyDescent="0.2">
      <c r="A369">
        <v>3692772</v>
      </c>
      <c r="B369">
        <v>30064</v>
      </c>
      <c r="C369">
        <v>302381</v>
      </c>
      <c r="D369">
        <v>21883</v>
      </c>
    </row>
    <row r="370" spans="1:4" x14ac:dyDescent="0.2">
      <c r="A370">
        <v>3692773</v>
      </c>
      <c r="B370">
        <v>30064</v>
      </c>
      <c r="C370">
        <v>302381</v>
      </c>
      <c r="D370">
        <v>21883</v>
      </c>
    </row>
    <row r="371" spans="1:4" x14ac:dyDescent="0.2">
      <c r="A371">
        <v>3692774</v>
      </c>
      <c r="B371">
        <v>30064</v>
      </c>
      <c r="C371">
        <v>302381</v>
      </c>
      <c r="D371">
        <v>21883</v>
      </c>
    </row>
    <row r="372" spans="1:4" x14ac:dyDescent="0.2">
      <c r="A372">
        <v>3692775</v>
      </c>
      <c r="B372">
        <v>30064</v>
      </c>
      <c r="C372">
        <v>302381</v>
      </c>
      <c r="D372">
        <v>21883</v>
      </c>
    </row>
    <row r="373" spans="1:4" x14ac:dyDescent="0.2">
      <c r="A373">
        <v>3692776</v>
      </c>
      <c r="B373">
        <v>30064</v>
      </c>
      <c r="C373">
        <v>302381</v>
      </c>
      <c r="D373">
        <v>21883</v>
      </c>
    </row>
    <row r="374" spans="1:4" x14ac:dyDescent="0.2">
      <c r="A374">
        <v>3692781</v>
      </c>
      <c r="B374">
        <v>30064</v>
      </c>
      <c r="C374">
        <v>302362</v>
      </c>
      <c r="D374">
        <v>21883</v>
      </c>
    </row>
    <row r="375" spans="1:4" x14ac:dyDescent="0.2">
      <c r="A375">
        <v>3692783</v>
      </c>
      <c r="B375">
        <v>30064</v>
      </c>
      <c r="C375">
        <v>302359</v>
      </c>
      <c r="D375">
        <v>21883</v>
      </c>
    </row>
    <row r="376" spans="1:4" x14ac:dyDescent="0.2">
      <c r="A376">
        <v>3692784</v>
      </c>
      <c r="B376">
        <v>30064</v>
      </c>
      <c r="C376">
        <v>302362</v>
      </c>
      <c r="D376">
        <v>21883</v>
      </c>
    </row>
    <row r="377" spans="1:4" x14ac:dyDescent="0.2">
      <c r="A377">
        <v>3692786</v>
      </c>
      <c r="B377">
        <v>30064</v>
      </c>
      <c r="C377">
        <v>302359</v>
      </c>
      <c r="D377">
        <v>21883</v>
      </c>
    </row>
    <row r="378" spans="1:4" x14ac:dyDescent="0.2">
      <c r="A378">
        <v>3692787</v>
      </c>
      <c r="B378">
        <v>30064</v>
      </c>
      <c r="C378">
        <v>302387</v>
      </c>
      <c r="D378">
        <v>21883</v>
      </c>
    </row>
    <row r="379" spans="1:4" x14ac:dyDescent="0.2">
      <c r="A379">
        <v>3692788</v>
      </c>
      <c r="B379">
        <v>30064</v>
      </c>
      <c r="C379">
        <v>302389</v>
      </c>
      <c r="D379">
        <v>21883</v>
      </c>
    </row>
    <row r="380" spans="1:4" x14ac:dyDescent="0.2">
      <c r="A380">
        <v>3692789</v>
      </c>
      <c r="B380">
        <v>30064</v>
      </c>
      <c r="C380">
        <v>302387</v>
      </c>
      <c r="D380">
        <v>21883</v>
      </c>
    </row>
    <row r="381" spans="1:4" x14ac:dyDescent="0.2">
      <c r="A381">
        <v>3692790</v>
      </c>
      <c r="B381">
        <v>30061</v>
      </c>
      <c r="C381">
        <v>302333</v>
      </c>
      <c r="D381">
        <v>21883</v>
      </c>
    </row>
    <row r="382" spans="1:4" x14ac:dyDescent="0.2">
      <c r="A382">
        <v>3692790</v>
      </c>
      <c r="B382">
        <v>30062</v>
      </c>
      <c r="C382">
        <v>302355</v>
      </c>
      <c r="D382">
        <v>21883</v>
      </c>
    </row>
    <row r="383" spans="1:4" x14ac:dyDescent="0.2">
      <c r="A383">
        <v>3692790</v>
      </c>
      <c r="B383">
        <v>30063</v>
      </c>
      <c r="C383">
        <v>302357</v>
      </c>
      <c r="D383">
        <v>21883</v>
      </c>
    </row>
    <row r="384" spans="1:4" x14ac:dyDescent="0.2">
      <c r="A384">
        <v>3692790</v>
      </c>
      <c r="B384">
        <v>30064</v>
      </c>
      <c r="C384">
        <v>302369</v>
      </c>
      <c r="D384">
        <v>21883</v>
      </c>
    </row>
    <row r="385" spans="1:4" x14ac:dyDescent="0.2">
      <c r="A385">
        <v>3692790</v>
      </c>
      <c r="B385">
        <v>30065</v>
      </c>
      <c r="C385">
        <v>302330</v>
      </c>
      <c r="D385">
        <v>21883</v>
      </c>
    </row>
    <row r="386" spans="1:4" x14ac:dyDescent="0.2">
      <c r="A386">
        <v>3692791</v>
      </c>
      <c r="B386">
        <v>30061</v>
      </c>
      <c r="C386">
        <v>302333</v>
      </c>
      <c r="D386">
        <v>21883</v>
      </c>
    </row>
    <row r="387" spans="1:4" x14ac:dyDescent="0.2">
      <c r="A387">
        <v>3692791</v>
      </c>
      <c r="B387">
        <v>30062</v>
      </c>
      <c r="C387">
        <v>302355</v>
      </c>
      <c r="D387">
        <v>21883</v>
      </c>
    </row>
    <row r="388" spans="1:4" x14ac:dyDescent="0.2">
      <c r="A388">
        <v>3692791</v>
      </c>
      <c r="B388">
        <v>30063</v>
      </c>
      <c r="C388">
        <v>302357</v>
      </c>
      <c r="D388">
        <v>21883</v>
      </c>
    </row>
    <row r="389" spans="1:4" x14ac:dyDescent="0.2">
      <c r="A389">
        <v>3692791</v>
      </c>
      <c r="B389">
        <v>30065</v>
      </c>
      <c r="C389">
        <v>302330</v>
      </c>
      <c r="D389">
        <v>21883</v>
      </c>
    </row>
    <row r="390" spans="1:4" x14ac:dyDescent="0.2">
      <c r="A390">
        <v>3692792</v>
      </c>
      <c r="B390">
        <v>30061</v>
      </c>
      <c r="C390">
        <v>302333</v>
      </c>
      <c r="D390">
        <v>21883</v>
      </c>
    </row>
    <row r="391" spans="1:4" x14ac:dyDescent="0.2">
      <c r="A391">
        <v>3692792</v>
      </c>
      <c r="B391">
        <v>30062</v>
      </c>
      <c r="C391">
        <v>302355</v>
      </c>
      <c r="D391">
        <v>21883</v>
      </c>
    </row>
    <row r="392" spans="1:4" x14ac:dyDescent="0.2">
      <c r="A392">
        <v>3692792</v>
      </c>
      <c r="B392">
        <v>30063</v>
      </c>
      <c r="C392">
        <v>302357</v>
      </c>
      <c r="D392">
        <v>21883</v>
      </c>
    </row>
    <row r="393" spans="1:4" x14ac:dyDescent="0.2">
      <c r="A393">
        <v>3692792</v>
      </c>
      <c r="B393">
        <v>30065</v>
      </c>
      <c r="C393">
        <v>302330</v>
      </c>
      <c r="D393">
        <v>21883</v>
      </c>
    </row>
    <row r="394" spans="1:4" x14ac:dyDescent="0.2">
      <c r="A394">
        <v>3692793</v>
      </c>
      <c r="B394">
        <v>30061</v>
      </c>
      <c r="C394">
        <v>302333</v>
      </c>
      <c r="D394">
        <v>21883</v>
      </c>
    </row>
    <row r="395" spans="1:4" x14ac:dyDescent="0.2">
      <c r="A395">
        <v>3692793</v>
      </c>
      <c r="B395">
        <v>30062</v>
      </c>
      <c r="C395">
        <v>302355</v>
      </c>
      <c r="D395">
        <v>21883</v>
      </c>
    </row>
    <row r="396" spans="1:4" x14ac:dyDescent="0.2">
      <c r="A396">
        <v>3692793</v>
      </c>
      <c r="B396">
        <v>30063</v>
      </c>
      <c r="C396">
        <v>302357</v>
      </c>
      <c r="D396">
        <v>21883</v>
      </c>
    </row>
    <row r="397" spans="1:4" x14ac:dyDescent="0.2">
      <c r="A397">
        <v>3692793</v>
      </c>
      <c r="B397">
        <v>30064</v>
      </c>
      <c r="C397">
        <v>302369</v>
      </c>
      <c r="D397">
        <v>21883</v>
      </c>
    </row>
    <row r="398" spans="1:4" x14ac:dyDescent="0.2">
      <c r="A398">
        <v>3692793</v>
      </c>
      <c r="B398">
        <v>30065</v>
      </c>
      <c r="C398">
        <v>302330</v>
      </c>
      <c r="D398">
        <v>21883</v>
      </c>
    </row>
    <row r="399" spans="1:4" x14ac:dyDescent="0.2">
      <c r="A399">
        <v>3692794</v>
      </c>
      <c r="B399">
        <v>30061</v>
      </c>
      <c r="C399">
        <v>302333</v>
      </c>
      <c r="D399">
        <v>21883</v>
      </c>
    </row>
    <row r="400" spans="1:4" x14ac:dyDescent="0.2">
      <c r="A400">
        <v>3692794</v>
      </c>
      <c r="B400">
        <v>30062</v>
      </c>
      <c r="C400">
        <v>302355</v>
      </c>
      <c r="D400">
        <v>21883</v>
      </c>
    </row>
    <row r="401" spans="1:4" x14ac:dyDescent="0.2">
      <c r="A401">
        <v>3692794</v>
      </c>
      <c r="B401">
        <v>30063</v>
      </c>
      <c r="C401">
        <v>302357</v>
      </c>
      <c r="D401">
        <v>21883</v>
      </c>
    </row>
    <row r="402" spans="1:4" x14ac:dyDescent="0.2">
      <c r="A402">
        <v>3692794</v>
      </c>
      <c r="B402">
        <v>30065</v>
      </c>
      <c r="C402">
        <v>302330</v>
      </c>
      <c r="D402">
        <v>21883</v>
      </c>
    </row>
    <row r="403" spans="1:4" x14ac:dyDescent="0.2">
      <c r="A403">
        <v>3692795</v>
      </c>
      <c r="B403">
        <v>30061</v>
      </c>
      <c r="C403">
        <v>302333</v>
      </c>
      <c r="D403">
        <v>21883</v>
      </c>
    </row>
    <row r="404" spans="1:4" x14ac:dyDescent="0.2">
      <c r="A404">
        <v>3692795</v>
      </c>
      <c r="B404">
        <v>30062</v>
      </c>
      <c r="C404">
        <v>302355</v>
      </c>
      <c r="D404">
        <v>21883</v>
      </c>
    </row>
    <row r="405" spans="1:4" x14ac:dyDescent="0.2">
      <c r="A405">
        <v>3692795</v>
      </c>
      <c r="B405">
        <v>30063</v>
      </c>
      <c r="C405">
        <v>302357</v>
      </c>
      <c r="D405">
        <v>21883</v>
      </c>
    </row>
    <row r="406" spans="1:4" x14ac:dyDescent="0.2">
      <c r="A406">
        <v>3692795</v>
      </c>
      <c r="B406">
        <v>30065</v>
      </c>
      <c r="C406">
        <v>302330</v>
      </c>
      <c r="D406">
        <v>21883</v>
      </c>
    </row>
    <row r="407" spans="1:4" x14ac:dyDescent="0.2">
      <c r="A407">
        <v>3692796</v>
      </c>
      <c r="B407">
        <v>30061</v>
      </c>
      <c r="C407">
        <v>302333</v>
      </c>
      <c r="D407">
        <v>21883</v>
      </c>
    </row>
    <row r="408" spans="1:4" x14ac:dyDescent="0.2">
      <c r="A408">
        <v>3692796</v>
      </c>
      <c r="B408">
        <v>30062</v>
      </c>
      <c r="C408">
        <v>302355</v>
      </c>
      <c r="D408">
        <v>21883</v>
      </c>
    </row>
    <row r="409" spans="1:4" x14ac:dyDescent="0.2">
      <c r="A409">
        <v>3692796</v>
      </c>
      <c r="B409">
        <v>30063</v>
      </c>
      <c r="C409">
        <v>302357</v>
      </c>
      <c r="D409">
        <v>21883</v>
      </c>
    </row>
    <row r="410" spans="1:4" x14ac:dyDescent="0.2">
      <c r="A410">
        <v>3692796</v>
      </c>
      <c r="B410">
        <v>30064</v>
      </c>
      <c r="C410">
        <v>302369</v>
      </c>
      <c r="D410">
        <v>21883</v>
      </c>
    </row>
    <row r="411" spans="1:4" x14ac:dyDescent="0.2">
      <c r="A411">
        <v>3692796</v>
      </c>
      <c r="B411">
        <v>30065</v>
      </c>
      <c r="C411">
        <v>302330</v>
      </c>
      <c r="D411">
        <v>21883</v>
      </c>
    </row>
    <row r="412" spans="1:4" x14ac:dyDescent="0.2">
      <c r="A412">
        <v>3692797</v>
      </c>
      <c r="B412">
        <v>30061</v>
      </c>
      <c r="C412">
        <v>302333</v>
      </c>
      <c r="D412">
        <v>21883</v>
      </c>
    </row>
    <row r="413" spans="1:4" x14ac:dyDescent="0.2">
      <c r="A413">
        <v>3692797</v>
      </c>
      <c r="B413">
        <v>30062</v>
      </c>
      <c r="C413">
        <v>302355</v>
      </c>
      <c r="D413">
        <v>21883</v>
      </c>
    </row>
    <row r="414" spans="1:4" x14ac:dyDescent="0.2">
      <c r="A414">
        <v>3692797</v>
      </c>
      <c r="B414">
        <v>30063</v>
      </c>
      <c r="C414">
        <v>302357</v>
      </c>
      <c r="D414">
        <v>21883</v>
      </c>
    </row>
    <row r="415" spans="1:4" x14ac:dyDescent="0.2">
      <c r="A415">
        <v>3692797</v>
      </c>
      <c r="B415">
        <v>30065</v>
      </c>
      <c r="C415">
        <v>302330</v>
      </c>
      <c r="D415">
        <v>21883</v>
      </c>
    </row>
    <row r="416" spans="1:4" x14ac:dyDescent="0.2">
      <c r="A416">
        <v>3692798</v>
      </c>
      <c r="B416">
        <v>30061</v>
      </c>
      <c r="C416">
        <v>302333</v>
      </c>
      <c r="D416">
        <v>21883</v>
      </c>
    </row>
    <row r="417" spans="1:4" x14ac:dyDescent="0.2">
      <c r="A417">
        <v>3692798</v>
      </c>
      <c r="B417">
        <v>30062</v>
      </c>
      <c r="C417">
        <v>302355</v>
      </c>
      <c r="D417">
        <v>21883</v>
      </c>
    </row>
    <row r="418" spans="1:4" x14ac:dyDescent="0.2">
      <c r="A418">
        <v>3692798</v>
      </c>
      <c r="B418">
        <v>30063</v>
      </c>
      <c r="C418">
        <v>302357</v>
      </c>
      <c r="D418">
        <v>21883</v>
      </c>
    </row>
    <row r="419" spans="1:4" x14ac:dyDescent="0.2">
      <c r="A419">
        <v>3692798</v>
      </c>
      <c r="B419">
        <v>30064</v>
      </c>
      <c r="C419">
        <v>302369</v>
      </c>
      <c r="D419">
        <v>21883</v>
      </c>
    </row>
    <row r="420" spans="1:4" x14ac:dyDescent="0.2">
      <c r="A420">
        <v>3692798</v>
      </c>
      <c r="B420">
        <v>30065</v>
      </c>
      <c r="C420">
        <v>302330</v>
      </c>
      <c r="D420">
        <v>21883</v>
      </c>
    </row>
    <row r="421" spans="1:4" x14ac:dyDescent="0.2">
      <c r="A421">
        <v>3692799</v>
      </c>
      <c r="B421">
        <v>30064</v>
      </c>
      <c r="C421">
        <v>302398</v>
      </c>
      <c r="D421">
        <v>21883</v>
      </c>
    </row>
    <row r="422" spans="1:4" x14ac:dyDescent="0.2">
      <c r="A422">
        <v>3692800</v>
      </c>
      <c r="B422">
        <v>30064</v>
      </c>
      <c r="C422">
        <v>302411</v>
      </c>
      <c r="D422">
        <v>21883</v>
      </c>
    </row>
    <row r="423" spans="1:4" x14ac:dyDescent="0.2">
      <c r="A423">
        <v>3692801</v>
      </c>
      <c r="B423">
        <v>30064</v>
      </c>
      <c r="C423">
        <v>302411</v>
      </c>
      <c r="D423">
        <v>21883</v>
      </c>
    </row>
    <row r="424" spans="1:4" x14ac:dyDescent="0.2">
      <c r="A424">
        <v>3692802</v>
      </c>
      <c r="B424">
        <v>30064</v>
      </c>
      <c r="C424">
        <v>302380</v>
      </c>
      <c r="D424">
        <v>21883</v>
      </c>
    </row>
    <row r="425" spans="1:4" x14ac:dyDescent="0.2">
      <c r="A425">
        <v>3692803</v>
      </c>
      <c r="B425">
        <v>30064</v>
      </c>
      <c r="C425">
        <v>302398</v>
      </c>
      <c r="D425">
        <v>21883</v>
      </c>
    </row>
    <row r="426" spans="1:4" x14ac:dyDescent="0.2">
      <c r="A426">
        <v>3692804</v>
      </c>
      <c r="B426">
        <v>30064</v>
      </c>
      <c r="C426">
        <v>302380</v>
      </c>
      <c r="D426">
        <v>21883</v>
      </c>
    </row>
    <row r="427" spans="1:4" x14ac:dyDescent="0.2">
      <c r="A427">
        <v>3692805</v>
      </c>
      <c r="B427">
        <v>30064</v>
      </c>
      <c r="C427">
        <v>302411</v>
      </c>
      <c r="D427">
        <v>21883</v>
      </c>
    </row>
    <row r="428" spans="1:4" x14ac:dyDescent="0.2">
      <c r="A428">
        <v>3692806</v>
      </c>
      <c r="B428">
        <v>30064</v>
      </c>
      <c r="C428">
        <v>302411</v>
      </c>
      <c r="D428">
        <v>21883</v>
      </c>
    </row>
    <row r="429" spans="1:4" x14ac:dyDescent="0.2">
      <c r="A429">
        <v>3692807</v>
      </c>
      <c r="B429">
        <v>30064</v>
      </c>
      <c r="C429">
        <v>302398</v>
      </c>
      <c r="D429">
        <v>21883</v>
      </c>
    </row>
    <row r="430" spans="1:4" x14ac:dyDescent="0.2">
      <c r="A430">
        <v>3692808</v>
      </c>
      <c r="B430">
        <v>30063</v>
      </c>
      <c r="C430">
        <v>302356</v>
      </c>
      <c r="D430">
        <v>21883</v>
      </c>
    </row>
    <row r="431" spans="1:4" x14ac:dyDescent="0.2">
      <c r="A431">
        <v>3692808</v>
      </c>
      <c r="B431">
        <v>30064</v>
      </c>
      <c r="C431">
        <v>302380</v>
      </c>
      <c r="D431">
        <v>21883</v>
      </c>
    </row>
    <row r="432" spans="1:4" x14ac:dyDescent="0.2">
      <c r="A432">
        <v>3692809</v>
      </c>
      <c r="B432">
        <v>30064</v>
      </c>
      <c r="C432">
        <v>302411</v>
      </c>
      <c r="D432">
        <v>21883</v>
      </c>
    </row>
    <row r="433" spans="1:4" x14ac:dyDescent="0.2">
      <c r="A433">
        <v>3692810</v>
      </c>
      <c r="B433">
        <v>30064</v>
      </c>
      <c r="C433">
        <v>302411</v>
      </c>
      <c r="D433">
        <v>21883</v>
      </c>
    </row>
    <row r="434" spans="1:4" x14ac:dyDescent="0.2">
      <c r="A434">
        <v>3692811</v>
      </c>
      <c r="B434">
        <v>30064</v>
      </c>
      <c r="C434">
        <v>302398</v>
      </c>
      <c r="D434">
        <v>21883</v>
      </c>
    </row>
    <row r="435" spans="1:4" x14ac:dyDescent="0.2">
      <c r="A435">
        <v>3692812</v>
      </c>
      <c r="B435">
        <v>30064</v>
      </c>
      <c r="C435">
        <v>302411</v>
      </c>
      <c r="D435">
        <v>21883</v>
      </c>
    </row>
    <row r="436" spans="1:4" x14ac:dyDescent="0.2">
      <c r="A436">
        <v>3692813</v>
      </c>
      <c r="B436">
        <v>30064</v>
      </c>
      <c r="C436">
        <v>302380</v>
      </c>
      <c r="D436">
        <v>21883</v>
      </c>
    </row>
    <row r="437" spans="1:4" x14ac:dyDescent="0.2">
      <c r="A437">
        <v>3692814</v>
      </c>
      <c r="B437">
        <v>30061</v>
      </c>
      <c r="C437">
        <v>302347</v>
      </c>
      <c r="D437">
        <v>21883</v>
      </c>
    </row>
    <row r="438" spans="1:4" x14ac:dyDescent="0.2">
      <c r="A438">
        <v>3692814</v>
      </c>
      <c r="B438">
        <v>30062</v>
      </c>
      <c r="C438">
        <v>302355</v>
      </c>
      <c r="D438">
        <v>21883</v>
      </c>
    </row>
    <row r="439" spans="1:4" x14ac:dyDescent="0.2">
      <c r="A439">
        <v>3692814</v>
      </c>
      <c r="B439">
        <v>30063</v>
      </c>
      <c r="C439">
        <v>302356</v>
      </c>
      <c r="D439">
        <v>21883</v>
      </c>
    </row>
    <row r="440" spans="1:4" x14ac:dyDescent="0.2">
      <c r="A440">
        <v>3692814</v>
      </c>
      <c r="B440">
        <v>30064</v>
      </c>
      <c r="C440">
        <v>302389</v>
      </c>
      <c r="D440">
        <v>21883</v>
      </c>
    </row>
    <row r="441" spans="1:4" x14ac:dyDescent="0.2">
      <c r="A441">
        <v>3692814</v>
      </c>
      <c r="B441">
        <v>30065</v>
      </c>
      <c r="C441">
        <v>302372</v>
      </c>
      <c r="D441">
        <v>21883</v>
      </c>
    </row>
    <row r="442" spans="1:4" x14ac:dyDescent="0.2">
      <c r="A442">
        <v>3692815</v>
      </c>
      <c r="B442">
        <v>30061</v>
      </c>
      <c r="C442">
        <v>302350</v>
      </c>
      <c r="D442">
        <v>21883</v>
      </c>
    </row>
    <row r="443" spans="1:4" x14ac:dyDescent="0.2">
      <c r="A443">
        <v>3692815</v>
      </c>
      <c r="B443">
        <v>30062</v>
      </c>
      <c r="C443">
        <v>302355</v>
      </c>
      <c r="D443">
        <v>21883</v>
      </c>
    </row>
    <row r="444" spans="1:4" x14ac:dyDescent="0.2">
      <c r="A444">
        <v>3692815</v>
      </c>
      <c r="B444">
        <v>30063</v>
      </c>
      <c r="C444">
        <v>302356</v>
      </c>
      <c r="D444">
        <v>21883</v>
      </c>
    </row>
    <row r="445" spans="1:4" x14ac:dyDescent="0.2">
      <c r="A445">
        <v>3692815</v>
      </c>
      <c r="B445">
        <v>30064</v>
      </c>
      <c r="C445">
        <v>302389</v>
      </c>
      <c r="D445">
        <v>21883</v>
      </c>
    </row>
    <row r="446" spans="1:4" x14ac:dyDescent="0.2">
      <c r="A446">
        <v>3692815</v>
      </c>
      <c r="B446">
        <v>30065</v>
      </c>
      <c r="C446">
        <v>302371</v>
      </c>
      <c r="D446">
        <v>21883</v>
      </c>
    </row>
    <row r="447" spans="1:4" x14ac:dyDescent="0.2">
      <c r="A447">
        <v>3692816</v>
      </c>
      <c r="B447">
        <v>30061</v>
      </c>
      <c r="C447">
        <v>302351</v>
      </c>
      <c r="D447">
        <v>21883</v>
      </c>
    </row>
    <row r="448" spans="1:4" x14ac:dyDescent="0.2">
      <c r="A448">
        <v>3692816</v>
      </c>
      <c r="B448">
        <v>30062</v>
      </c>
      <c r="C448">
        <v>302355</v>
      </c>
      <c r="D448">
        <v>21883</v>
      </c>
    </row>
    <row r="449" spans="1:4" x14ac:dyDescent="0.2">
      <c r="A449">
        <v>3692816</v>
      </c>
      <c r="B449">
        <v>30063</v>
      </c>
      <c r="C449">
        <v>302356</v>
      </c>
      <c r="D449">
        <v>21883</v>
      </c>
    </row>
    <row r="450" spans="1:4" x14ac:dyDescent="0.2">
      <c r="A450">
        <v>3692816</v>
      </c>
      <c r="B450">
        <v>30064</v>
      </c>
      <c r="C450">
        <v>302389</v>
      </c>
      <c r="D450">
        <v>21883</v>
      </c>
    </row>
    <row r="451" spans="1:4" x14ac:dyDescent="0.2">
      <c r="A451">
        <v>3692816</v>
      </c>
      <c r="B451">
        <v>30065</v>
      </c>
      <c r="C451">
        <v>302371</v>
      </c>
      <c r="D451">
        <v>21883</v>
      </c>
    </row>
    <row r="452" spans="1:4" x14ac:dyDescent="0.2">
      <c r="A452">
        <v>3692816</v>
      </c>
      <c r="B452">
        <v>30066</v>
      </c>
      <c r="C452">
        <v>302401</v>
      </c>
      <c r="D452">
        <v>21883</v>
      </c>
    </row>
    <row r="453" spans="1:4" x14ac:dyDescent="0.2">
      <c r="A453">
        <v>3692817</v>
      </c>
      <c r="B453">
        <v>30061</v>
      </c>
      <c r="C453">
        <v>302348</v>
      </c>
      <c r="D453">
        <v>21883</v>
      </c>
    </row>
    <row r="454" spans="1:4" x14ac:dyDescent="0.2">
      <c r="A454">
        <v>3692817</v>
      </c>
      <c r="B454">
        <v>30062</v>
      </c>
      <c r="C454">
        <v>302355</v>
      </c>
      <c r="D454">
        <v>21883</v>
      </c>
    </row>
    <row r="455" spans="1:4" x14ac:dyDescent="0.2">
      <c r="A455">
        <v>3692817</v>
      </c>
      <c r="B455">
        <v>30063</v>
      </c>
      <c r="C455">
        <v>302356</v>
      </c>
      <c r="D455">
        <v>21883</v>
      </c>
    </row>
    <row r="456" spans="1:4" x14ac:dyDescent="0.2">
      <c r="A456">
        <v>3692817</v>
      </c>
      <c r="B456">
        <v>30064</v>
      </c>
      <c r="C456">
        <v>302389</v>
      </c>
      <c r="D456">
        <v>21883</v>
      </c>
    </row>
    <row r="457" spans="1:4" x14ac:dyDescent="0.2">
      <c r="A457">
        <v>3692817</v>
      </c>
      <c r="B457">
        <v>30065</v>
      </c>
      <c r="C457">
        <v>302372</v>
      </c>
      <c r="D457">
        <v>21883</v>
      </c>
    </row>
    <row r="458" spans="1:4" x14ac:dyDescent="0.2">
      <c r="A458">
        <v>3692818</v>
      </c>
      <c r="B458">
        <v>30061</v>
      </c>
      <c r="C458">
        <v>302349</v>
      </c>
      <c r="D458">
        <v>21883</v>
      </c>
    </row>
    <row r="459" spans="1:4" x14ac:dyDescent="0.2">
      <c r="A459">
        <v>3692818</v>
      </c>
      <c r="B459">
        <v>30062</v>
      </c>
      <c r="C459">
        <v>302355</v>
      </c>
      <c r="D459">
        <v>21883</v>
      </c>
    </row>
    <row r="460" spans="1:4" x14ac:dyDescent="0.2">
      <c r="A460">
        <v>3692818</v>
      </c>
      <c r="B460">
        <v>30063</v>
      </c>
      <c r="C460">
        <v>302356</v>
      </c>
      <c r="D460">
        <v>21883</v>
      </c>
    </row>
    <row r="461" spans="1:4" x14ac:dyDescent="0.2">
      <c r="A461">
        <v>3692818</v>
      </c>
      <c r="B461">
        <v>30064</v>
      </c>
      <c r="C461">
        <v>302389</v>
      </c>
      <c r="D461">
        <v>21883</v>
      </c>
    </row>
    <row r="462" spans="1:4" x14ac:dyDescent="0.2">
      <c r="A462">
        <v>3692818</v>
      </c>
      <c r="B462">
        <v>30065</v>
      </c>
      <c r="C462">
        <v>302372</v>
      </c>
      <c r="D462">
        <v>21883</v>
      </c>
    </row>
    <row r="463" spans="1:4" x14ac:dyDescent="0.2">
      <c r="A463">
        <v>3692819</v>
      </c>
      <c r="B463">
        <v>30064</v>
      </c>
      <c r="C463">
        <v>302411</v>
      </c>
      <c r="D463">
        <v>21883</v>
      </c>
    </row>
    <row r="464" spans="1:4" x14ac:dyDescent="0.2">
      <c r="A464">
        <v>3692820</v>
      </c>
      <c r="B464">
        <v>30061</v>
      </c>
      <c r="C464">
        <v>302351</v>
      </c>
      <c r="D464">
        <v>21883</v>
      </c>
    </row>
    <row r="465" spans="1:4" x14ac:dyDescent="0.2">
      <c r="A465">
        <v>3692820</v>
      </c>
      <c r="B465">
        <v>30063</v>
      </c>
      <c r="C465">
        <v>302356</v>
      </c>
      <c r="D465">
        <v>21883</v>
      </c>
    </row>
    <row r="466" spans="1:4" x14ac:dyDescent="0.2">
      <c r="A466">
        <v>3692820</v>
      </c>
      <c r="B466">
        <v>30065</v>
      </c>
      <c r="C466">
        <v>302371</v>
      </c>
      <c r="D466">
        <v>21883</v>
      </c>
    </row>
    <row r="467" spans="1:4" x14ac:dyDescent="0.2">
      <c r="A467">
        <v>3692820</v>
      </c>
      <c r="B467">
        <v>30066</v>
      </c>
      <c r="C467">
        <v>302401</v>
      </c>
      <c r="D467">
        <v>21883</v>
      </c>
    </row>
    <row r="468" spans="1:4" x14ac:dyDescent="0.2">
      <c r="A468">
        <v>3692821</v>
      </c>
      <c r="B468">
        <v>30061</v>
      </c>
      <c r="C468">
        <v>302352</v>
      </c>
      <c r="D468">
        <v>21883</v>
      </c>
    </row>
    <row r="469" spans="1:4" x14ac:dyDescent="0.2">
      <c r="A469">
        <v>3692821</v>
      </c>
      <c r="B469">
        <v>30062</v>
      </c>
      <c r="C469">
        <v>302355</v>
      </c>
      <c r="D469">
        <v>21883</v>
      </c>
    </row>
    <row r="470" spans="1:4" x14ac:dyDescent="0.2">
      <c r="A470">
        <v>3692821</v>
      </c>
      <c r="B470">
        <v>30063</v>
      </c>
      <c r="C470">
        <v>302356</v>
      </c>
      <c r="D470">
        <v>21883</v>
      </c>
    </row>
    <row r="471" spans="1:4" x14ac:dyDescent="0.2">
      <c r="A471">
        <v>3692821</v>
      </c>
      <c r="B471">
        <v>30064</v>
      </c>
      <c r="C471">
        <v>302389</v>
      </c>
      <c r="D471">
        <v>21883</v>
      </c>
    </row>
    <row r="472" spans="1:4" x14ac:dyDescent="0.2">
      <c r="A472">
        <v>3692821</v>
      </c>
      <c r="B472">
        <v>30065</v>
      </c>
      <c r="C472">
        <v>302372</v>
      </c>
      <c r="D472">
        <v>21883</v>
      </c>
    </row>
    <row r="473" spans="1:4" x14ac:dyDescent="0.2">
      <c r="A473">
        <v>3692822</v>
      </c>
      <c r="B473">
        <v>30061</v>
      </c>
      <c r="C473">
        <v>302338</v>
      </c>
      <c r="D473">
        <v>21883</v>
      </c>
    </row>
    <row r="474" spans="1:4" x14ac:dyDescent="0.2">
      <c r="A474">
        <v>3692822</v>
      </c>
      <c r="B474">
        <v>30062</v>
      </c>
      <c r="C474">
        <v>302355</v>
      </c>
      <c r="D474">
        <v>21883</v>
      </c>
    </row>
    <row r="475" spans="1:4" x14ac:dyDescent="0.2">
      <c r="A475">
        <v>3692822</v>
      </c>
      <c r="B475">
        <v>30063</v>
      </c>
      <c r="C475">
        <v>302353</v>
      </c>
      <c r="D475">
        <v>21883</v>
      </c>
    </row>
    <row r="476" spans="1:4" x14ac:dyDescent="0.2">
      <c r="A476">
        <v>3692822</v>
      </c>
      <c r="B476">
        <v>30064</v>
      </c>
      <c r="C476">
        <v>302389</v>
      </c>
      <c r="D476">
        <v>21883</v>
      </c>
    </row>
    <row r="477" spans="1:4" x14ac:dyDescent="0.2">
      <c r="A477">
        <v>3692822</v>
      </c>
      <c r="B477">
        <v>30065</v>
      </c>
      <c r="C477">
        <v>302404</v>
      </c>
      <c r="D477">
        <v>21883</v>
      </c>
    </row>
    <row r="478" spans="1:4" x14ac:dyDescent="0.2">
      <c r="A478">
        <v>3692823</v>
      </c>
      <c r="B478">
        <v>30061</v>
      </c>
      <c r="C478">
        <v>302338</v>
      </c>
      <c r="D478">
        <v>21883</v>
      </c>
    </row>
    <row r="479" spans="1:4" x14ac:dyDescent="0.2">
      <c r="A479">
        <v>3692823</v>
      </c>
      <c r="B479">
        <v>30062</v>
      </c>
      <c r="C479">
        <v>302355</v>
      </c>
      <c r="D479">
        <v>21883</v>
      </c>
    </row>
    <row r="480" spans="1:4" x14ac:dyDescent="0.2">
      <c r="A480">
        <v>3692823</v>
      </c>
      <c r="B480">
        <v>30063</v>
      </c>
      <c r="C480">
        <v>302353</v>
      </c>
      <c r="D480">
        <v>21883</v>
      </c>
    </row>
    <row r="481" spans="1:4" x14ac:dyDescent="0.2">
      <c r="A481">
        <v>3692823</v>
      </c>
      <c r="B481">
        <v>30064</v>
      </c>
      <c r="C481">
        <v>302389</v>
      </c>
      <c r="D481">
        <v>21883</v>
      </c>
    </row>
    <row r="482" spans="1:4" x14ac:dyDescent="0.2">
      <c r="A482">
        <v>3692823</v>
      </c>
      <c r="B482">
        <v>30065</v>
      </c>
      <c r="C482">
        <v>302404</v>
      </c>
      <c r="D482">
        <v>21883</v>
      </c>
    </row>
    <row r="483" spans="1:4" x14ac:dyDescent="0.2">
      <c r="A483">
        <v>3692824</v>
      </c>
      <c r="B483">
        <v>30061</v>
      </c>
      <c r="C483">
        <v>302338</v>
      </c>
      <c r="D483">
        <v>21883</v>
      </c>
    </row>
    <row r="484" spans="1:4" x14ac:dyDescent="0.2">
      <c r="A484">
        <v>3692824</v>
      </c>
      <c r="B484">
        <v>30062</v>
      </c>
      <c r="C484">
        <v>302355</v>
      </c>
      <c r="D484">
        <v>21883</v>
      </c>
    </row>
    <row r="485" spans="1:4" x14ac:dyDescent="0.2">
      <c r="A485">
        <v>3692824</v>
      </c>
      <c r="B485">
        <v>30063</v>
      </c>
      <c r="C485">
        <v>302353</v>
      </c>
      <c r="D485">
        <v>21883</v>
      </c>
    </row>
    <row r="486" spans="1:4" x14ac:dyDescent="0.2">
      <c r="A486">
        <v>3692824</v>
      </c>
      <c r="B486">
        <v>30064</v>
      </c>
      <c r="C486">
        <v>302389</v>
      </c>
      <c r="D486">
        <v>21883</v>
      </c>
    </row>
    <row r="487" spans="1:4" x14ac:dyDescent="0.2">
      <c r="A487">
        <v>3692824</v>
      </c>
      <c r="B487">
        <v>30065</v>
      </c>
      <c r="C487">
        <v>302404</v>
      </c>
      <c r="D487">
        <v>21883</v>
      </c>
    </row>
    <row r="488" spans="1:4" x14ac:dyDescent="0.2">
      <c r="A488">
        <v>3692825</v>
      </c>
      <c r="B488">
        <v>30061</v>
      </c>
      <c r="C488">
        <v>302338</v>
      </c>
      <c r="D488">
        <v>21883</v>
      </c>
    </row>
    <row r="489" spans="1:4" x14ac:dyDescent="0.2">
      <c r="A489">
        <v>3692825</v>
      </c>
      <c r="B489">
        <v>30062</v>
      </c>
      <c r="C489">
        <v>302355</v>
      </c>
      <c r="D489">
        <v>21883</v>
      </c>
    </row>
    <row r="490" spans="1:4" x14ac:dyDescent="0.2">
      <c r="A490">
        <v>3692825</v>
      </c>
      <c r="B490">
        <v>30063</v>
      </c>
      <c r="C490">
        <v>302353</v>
      </c>
      <c r="D490">
        <v>21883</v>
      </c>
    </row>
    <row r="491" spans="1:4" x14ac:dyDescent="0.2">
      <c r="A491">
        <v>3692825</v>
      </c>
      <c r="B491">
        <v>30064</v>
      </c>
      <c r="C491">
        <v>302389</v>
      </c>
      <c r="D491">
        <v>21883</v>
      </c>
    </row>
    <row r="492" spans="1:4" x14ac:dyDescent="0.2">
      <c r="A492">
        <v>3692825</v>
      </c>
      <c r="B492">
        <v>30065</v>
      </c>
      <c r="C492">
        <v>302404</v>
      </c>
      <c r="D492">
        <v>21883</v>
      </c>
    </row>
    <row r="493" spans="1:4" x14ac:dyDescent="0.2">
      <c r="A493">
        <v>3692826</v>
      </c>
      <c r="B493">
        <v>30061</v>
      </c>
      <c r="C493">
        <v>302338</v>
      </c>
      <c r="D493">
        <v>21883</v>
      </c>
    </row>
    <row r="494" spans="1:4" x14ac:dyDescent="0.2">
      <c r="A494">
        <v>3692826</v>
      </c>
      <c r="B494">
        <v>30062</v>
      </c>
      <c r="C494">
        <v>302355</v>
      </c>
      <c r="D494">
        <v>21883</v>
      </c>
    </row>
    <row r="495" spans="1:4" x14ac:dyDescent="0.2">
      <c r="A495">
        <v>3692826</v>
      </c>
      <c r="B495">
        <v>30063</v>
      </c>
      <c r="C495">
        <v>302353</v>
      </c>
      <c r="D495">
        <v>21883</v>
      </c>
    </row>
    <row r="496" spans="1:4" x14ac:dyDescent="0.2">
      <c r="A496">
        <v>3692826</v>
      </c>
      <c r="B496">
        <v>30064</v>
      </c>
      <c r="C496">
        <v>302389</v>
      </c>
      <c r="D496">
        <v>21883</v>
      </c>
    </row>
    <row r="497" spans="1:4" x14ac:dyDescent="0.2">
      <c r="A497">
        <v>3692826</v>
      </c>
      <c r="B497">
        <v>30065</v>
      </c>
      <c r="C497">
        <v>302404</v>
      </c>
      <c r="D497">
        <v>21883</v>
      </c>
    </row>
    <row r="498" spans="1:4" x14ac:dyDescent="0.2">
      <c r="A498">
        <v>3692827</v>
      </c>
      <c r="B498">
        <v>30061</v>
      </c>
      <c r="C498">
        <v>302338</v>
      </c>
      <c r="D498">
        <v>21883</v>
      </c>
    </row>
    <row r="499" spans="1:4" x14ac:dyDescent="0.2">
      <c r="A499">
        <v>3692827</v>
      </c>
      <c r="B499">
        <v>30062</v>
      </c>
      <c r="C499">
        <v>302355</v>
      </c>
      <c r="D499">
        <v>21883</v>
      </c>
    </row>
    <row r="500" spans="1:4" x14ac:dyDescent="0.2">
      <c r="A500">
        <v>3692827</v>
      </c>
      <c r="B500">
        <v>30063</v>
      </c>
      <c r="C500">
        <v>302353</v>
      </c>
      <c r="D500">
        <v>21883</v>
      </c>
    </row>
    <row r="501" spans="1:4" x14ac:dyDescent="0.2">
      <c r="A501">
        <v>3692827</v>
      </c>
      <c r="B501">
        <v>30064</v>
      </c>
      <c r="C501">
        <v>302389</v>
      </c>
      <c r="D501">
        <v>21883</v>
      </c>
    </row>
    <row r="502" spans="1:4" x14ac:dyDescent="0.2">
      <c r="A502">
        <v>3692827</v>
      </c>
      <c r="B502">
        <v>30065</v>
      </c>
      <c r="C502">
        <v>302404</v>
      </c>
      <c r="D502">
        <v>21883</v>
      </c>
    </row>
    <row r="503" spans="1:4" x14ac:dyDescent="0.2">
      <c r="A503">
        <v>3692828</v>
      </c>
      <c r="B503">
        <v>30061</v>
      </c>
      <c r="C503">
        <v>302338</v>
      </c>
      <c r="D503">
        <v>21883</v>
      </c>
    </row>
    <row r="504" spans="1:4" x14ac:dyDescent="0.2">
      <c r="A504">
        <v>3692828</v>
      </c>
      <c r="B504">
        <v>30062</v>
      </c>
      <c r="C504">
        <v>302355</v>
      </c>
      <c r="D504">
        <v>21883</v>
      </c>
    </row>
    <row r="505" spans="1:4" x14ac:dyDescent="0.2">
      <c r="A505">
        <v>3692828</v>
      </c>
      <c r="B505">
        <v>30063</v>
      </c>
      <c r="C505">
        <v>302353</v>
      </c>
      <c r="D505">
        <v>21883</v>
      </c>
    </row>
    <row r="506" spans="1:4" x14ac:dyDescent="0.2">
      <c r="A506">
        <v>3692828</v>
      </c>
      <c r="B506">
        <v>30064</v>
      </c>
      <c r="C506">
        <v>302389</v>
      </c>
      <c r="D506">
        <v>21883</v>
      </c>
    </row>
    <row r="507" spans="1:4" x14ac:dyDescent="0.2">
      <c r="A507">
        <v>3692828</v>
      </c>
      <c r="B507">
        <v>30065</v>
      </c>
      <c r="C507">
        <v>302404</v>
      </c>
      <c r="D507">
        <v>21883</v>
      </c>
    </row>
    <row r="508" spans="1:4" x14ac:dyDescent="0.2">
      <c r="A508">
        <v>3692829</v>
      </c>
      <c r="B508">
        <v>30061</v>
      </c>
      <c r="C508">
        <v>302338</v>
      </c>
      <c r="D508">
        <v>21883</v>
      </c>
    </row>
    <row r="509" spans="1:4" x14ac:dyDescent="0.2">
      <c r="A509">
        <v>3692829</v>
      </c>
      <c r="B509">
        <v>30062</v>
      </c>
      <c r="C509">
        <v>302355</v>
      </c>
      <c r="D509">
        <v>21883</v>
      </c>
    </row>
    <row r="510" spans="1:4" x14ac:dyDescent="0.2">
      <c r="A510">
        <v>3692829</v>
      </c>
      <c r="B510">
        <v>30063</v>
      </c>
      <c r="C510">
        <v>302353</v>
      </c>
      <c r="D510">
        <v>21883</v>
      </c>
    </row>
    <row r="511" spans="1:4" x14ac:dyDescent="0.2">
      <c r="A511">
        <v>3692829</v>
      </c>
      <c r="B511">
        <v>30064</v>
      </c>
      <c r="C511">
        <v>302389</v>
      </c>
      <c r="D511">
        <v>21883</v>
      </c>
    </row>
    <row r="512" spans="1:4" x14ac:dyDescent="0.2">
      <c r="A512">
        <v>3692829</v>
      </c>
      <c r="B512">
        <v>30065</v>
      </c>
      <c r="C512">
        <v>302404</v>
      </c>
      <c r="D512">
        <v>21883</v>
      </c>
    </row>
    <row r="513" spans="1:4" x14ac:dyDescent="0.2">
      <c r="A513">
        <v>3692830</v>
      </c>
      <c r="B513">
        <v>30063</v>
      </c>
      <c r="C513">
        <v>302353</v>
      </c>
      <c r="D513">
        <v>21883</v>
      </c>
    </row>
    <row r="514" spans="1:4" x14ac:dyDescent="0.2">
      <c r="A514">
        <v>3692830</v>
      </c>
      <c r="B514">
        <v>30064</v>
      </c>
      <c r="C514">
        <v>302389</v>
      </c>
      <c r="D514">
        <v>21883</v>
      </c>
    </row>
    <row r="515" spans="1:4" x14ac:dyDescent="0.2">
      <c r="A515">
        <v>3692830</v>
      </c>
      <c r="B515">
        <v>30065</v>
      </c>
      <c r="C515">
        <v>302404</v>
      </c>
      <c r="D515">
        <v>21883</v>
      </c>
    </row>
    <row r="516" spans="1:4" x14ac:dyDescent="0.2">
      <c r="A516">
        <v>3692831</v>
      </c>
      <c r="B516">
        <v>30061</v>
      </c>
      <c r="C516">
        <v>302342</v>
      </c>
      <c r="D516">
        <v>21883</v>
      </c>
    </row>
    <row r="517" spans="1:4" x14ac:dyDescent="0.2">
      <c r="A517">
        <v>3692831</v>
      </c>
      <c r="B517">
        <v>30062</v>
      </c>
      <c r="C517">
        <v>302355</v>
      </c>
      <c r="D517">
        <v>21883</v>
      </c>
    </row>
    <row r="518" spans="1:4" x14ac:dyDescent="0.2">
      <c r="A518">
        <v>3692831</v>
      </c>
      <c r="B518">
        <v>30063</v>
      </c>
      <c r="C518">
        <v>302376</v>
      </c>
      <c r="D518">
        <v>21883</v>
      </c>
    </row>
    <row r="519" spans="1:4" x14ac:dyDescent="0.2">
      <c r="A519">
        <v>3692831</v>
      </c>
      <c r="B519">
        <v>30064</v>
      </c>
      <c r="C519">
        <v>302409</v>
      </c>
      <c r="D519">
        <v>21883</v>
      </c>
    </row>
    <row r="520" spans="1:4" x14ac:dyDescent="0.2">
      <c r="A520">
        <v>3692831</v>
      </c>
      <c r="B520">
        <v>30065</v>
      </c>
      <c r="C520">
        <v>302372</v>
      </c>
      <c r="D520">
        <v>21883</v>
      </c>
    </row>
    <row r="521" spans="1:4" x14ac:dyDescent="0.2">
      <c r="A521">
        <v>3692832</v>
      </c>
      <c r="B521">
        <v>30064</v>
      </c>
      <c r="C521">
        <v>302413</v>
      </c>
      <c r="D521">
        <v>21883</v>
      </c>
    </row>
    <row r="522" spans="1:4" x14ac:dyDescent="0.2">
      <c r="A522">
        <v>3692833</v>
      </c>
      <c r="B522">
        <v>30061</v>
      </c>
      <c r="C522">
        <v>302342</v>
      </c>
      <c r="D522">
        <v>21883</v>
      </c>
    </row>
    <row r="523" spans="1:4" x14ac:dyDescent="0.2">
      <c r="A523">
        <v>3692833</v>
      </c>
      <c r="B523">
        <v>30062</v>
      </c>
      <c r="C523">
        <v>302355</v>
      </c>
      <c r="D523">
        <v>21883</v>
      </c>
    </row>
    <row r="524" spans="1:4" x14ac:dyDescent="0.2">
      <c r="A524">
        <v>3692833</v>
      </c>
      <c r="B524">
        <v>30063</v>
      </c>
      <c r="C524">
        <v>302356</v>
      </c>
      <c r="D524">
        <v>21883</v>
      </c>
    </row>
    <row r="525" spans="1:4" x14ac:dyDescent="0.2">
      <c r="A525">
        <v>3692833</v>
      </c>
      <c r="B525">
        <v>30064</v>
      </c>
      <c r="C525">
        <v>302379</v>
      </c>
      <c r="D525">
        <v>21883</v>
      </c>
    </row>
    <row r="526" spans="1:4" x14ac:dyDescent="0.2">
      <c r="A526">
        <v>3692833</v>
      </c>
      <c r="B526">
        <v>30065</v>
      </c>
      <c r="C526">
        <v>302372</v>
      </c>
      <c r="D526">
        <v>21883</v>
      </c>
    </row>
    <row r="527" spans="1:4" x14ac:dyDescent="0.2">
      <c r="A527">
        <v>3692834</v>
      </c>
      <c r="B527">
        <v>30064</v>
      </c>
      <c r="C527">
        <v>302411</v>
      </c>
      <c r="D527">
        <v>21883</v>
      </c>
    </row>
    <row r="528" spans="1:4" x14ac:dyDescent="0.2">
      <c r="A528">
        <v>3692835</v>
      </c>
      <c r="B528">
        <v>30064</v>
      </c>
      <c r="C528">
        <v>302380</v>
      </c>
      <c r="D528">
        <v>21883</v>
      </c>
    </row>
    <row r="529" spans="1:4" x14ac:dyDescent="0.2">
      <c r="A529">
        <v>3692836</v>
      </c>
      <c r="B529">
        <v>30064</v>
      </c>
      <c r="C529">
        <v>302411</v>
      </c>
      <c r="D529">
        <v>21883</v>
      </c>
    </row>
    <row r="530" spans="1:4" x14ac:dyDescent="0.2">
      <c r="A530">
        <v>3692837</v>
      </c>
      <c r="B530">
        <v>30061</v>
      </c>
      <c r="C530">
        <v>302342</v>
      </c>
      <c r="D530">
        <v>21883</v>
      </c>
    </row>
    <row r="531" spans="1:4" x14ac:dyDescent="0.2">
      <c r="A531">
        <v>3692837</v>
      </c>
      <c r="B531">
        <v>30062</v>
      </c>
      <c r="C531">
        <v>302355</v>
      </c>
      <c r="D531">
        <v>21883</v>
      </c>
    </row>
    <row r="532" spans="1:4" x14ac:dyDescent="0.2">
      <c r="A532">
        <v>3692837</v>
      </c>
      <c r="B532">
        <v>30063</v>
      </c>
      <c r="C532">
        <v>302356</v>
      </c>
      <c r="D532">
        <v>21883</v>
      </c>
    </row>
    <row r="533" spans="1:4" x14ac:dyDescent="0.2">
      <c r="A533">
        <v>3692837</v>
      </c>
      <c r="B533">
        <v>30064</v>
      </c>
      <c r="C533">
        <v>302385</v>
      </c>
      <c r="D533">
        <v>21883</v>
      </c>
    </row>
    <row r="534" spans="1:4" x14ac:dyDescent="0.2">
      <c r="A534">
        <v>3692837</v>
      </c>
      <c r="B534">
        <v>30065</v>
      </c>
      <c r="C534">
        <v>302372</v>
      </c>
      <c r="D534">
        <v>21883</v>
      </c>
    </row>
    <row r="535" spans="1:4" x14ac:dyDescent="0.2">
      <c r="A535">
        <v>3692838</v>
      </c>
      <c r="B535">
        <v>30063</v>
      </c>
      <c r="C535">
        <v>302356</v>
      </c>
      <c r="D535">
        <v>21883</v>
      </c>
    </row>
    <row r="536" spans="1:4" x14ac:dyDescent="0.2">
      <c r="A536">
        <v>3692838</v>
      </c>
      <c r="B536">
        <v>30064</v>
      </c>
      <c r="C536">
        <v>302421</v>
      </c>
      <c r="D536">
        <v>21883</v>
      </c>
    </row>
    <row r="537" spans="1:4" x14ac:dyDescent="0.2">
      <c r="A537">
        <v>3692838</v>
      </c>
      <c r="B537">
        <v>30065</v>
      </c>
      <c r="C537">
        <v>302372</v>
      </c>
      <c r="D537">
        <v>21883</v>
      </c>
    </row>
    <row r="538" spans="1:4" x14ac:dyDescent="0.2">
      <c r="A538">
        <v>3692838</v>
      </c>
      <c r="B538">
        <v>30066</v>
      </c>
      <c r="C538">
        <v>302401</v>
      </c>
      <c r="D538">
        <v>21883</v>
      </c>
    </row>
    <row r="539" spans="1:4" x14ac:dyDescent="0.2">
      <c r="A539">
        <v>3692839</v>
      </c>
      <c r="B539">
        <v>30063</v>
      </c>
      <c r="C539">
        <v>302356</v>
      </c>
      <c r="D539">
        <v>21883</v>
      </c>
    </row>
    <row r="540" spans="1:4" x14ac:dyDescent="0.2">
      <c r="A540">
        <v>3692839</v>
      </c>
      <c r="B540">
        <v>30064</v>
      </c>
      <c r="C540">
        <v>302410</v>
      </c>
      <c r="D540">
        <v>21883</v>
      </c>
    </row>
    <row r="541" spans="1:4" x14ac:dyDescent="0.2">
      <c r="A541">
        <v>3692839</v>
      </c>
      <c r="B541">
        <v>30065</v>
      </c>
      <c r="C541">
        <v>302372</v>
      </c>
      <c r="D541">
        <v>21883</v>
      </c>
    </row>
    <row r="542" spans="1:4" x14ac:dyDescent="0.2">
      <c r="A542">
        <v>3692839</v>
      </c>
      <c r="B542">
        <v>30066</v>
      </c>
      <c r="C542">
        <v>302401</v>
      </c>
      <c r="D542">
        <v>21883</v>
      </c>
    </row>
    <row r="543" spans="1:4" x14ac:dyDescent="0.2">
      <c r="A543">
        <v>3692840</v>
      </c>
      <c r="B543">
        <v>30061</v>
      </c>
      <c r="C543">
        <v>302342</v>
      </c>
      <c r="D543">
        <v>21883</v>
      </c>
    </row>
    <row r="544" spans="1:4" x14ac:dyDescent="0.2">
      <c r="A544">
        <v>3692840</v>
      </c>
      <c r="B544">
        <v>30062</v>
      </c>
      <c r="C544">
        <v>302355</v>
      </c>
      <c r="D544">
        <v>21883</v>
      </c>
    </row>
    <row r="545" spans="1:4" x14ac:dyDescent="0.2">
      <c r="A545">
        <v>3692840</v>
      </c>
      <c r="B545">
        <v>30063</v>
      </c>
      <c r="C545">
        <v>302356</v>
      </c>
      <c r="D545">
        <v>21883</v>
      </c>
    </row>
    <row r="546" spans="1:4" x14ac:dyDescent="0.2">
      <c r="A546">
        <v>3692840</v>
      </c>
      <c r="B546">
        <v>30064</v>
      </c>
      <c r="C546">
        <v>302385</v>
      </c>
      <c r="D546">
        <v>21883</v>
      </c>
    </row>
    <row r="547" spans="1:4" x14ac:dyDescent="0.2">
      <c r="A547">
        <v>3692840</v>
      </c>
      <c r="B547">
        <v>30065</v>
      </c>
      <c r="C547">
        <v>302372</v>
      </c>
      <c r="D547">
        <v>21883</v>
      </c>
    </row>
    <row r="548" spans="1:4" x14ac:dyDescent="0.2">
      <c r="A548">
        <v>3692840</v>
      </c>
      <c r="B548">
        <v>30066</v>
      </c>
      <c r="C548">
        <v>302401</v>
      </c>
      <c r="D548">
        <v>21883</v>
      </c>
    </row>
    <row r="549" spans="1:4" x14ac:dyDescent="0.2">
      <c r="A549">
        <v>3692841</v>
      </c>
      <c r="B549">
        <v>30061</v>
      </c>
      <c r="C549">
        <v>302342</v>
      </c>
      <c r="D549">
        <v>21883</v>
      </c>
    </row>
    <row r="550" spans="1:4" x14ac:dyDescent="0.2">
      <c r="A550">
        <v>3692841</v>
      </c>
      <c r="B550">
        <v>30062</v>
      </c>
      <c r="C550">
        <v>302355</v>
      </c>
      <c r="D550">
        <v>21883</v>
      </c>
    </row>
    <row r="551" spans="1:4" x14ac:dyDescent="0.2">
      <c r="A551">
        <v>3692841</v>
      </c>
      <c r="B551">
        <v>30063</v>
      </c>
      <c r="C551">
        <v>302356</v>
      </c>
      <c r="D551">
        <v>21883</v>
      </c>
    </row>
    <row r="552" spans="1:4" x14ac:dyDescent="0.2">
      <c r="A552">
        <v>3692841</v>
      </c>
      <c r="B552">
        <v>30064</v>
      </c>
      <c r="C552">
        <v>302384</v>
      </c>
      <c r="D552">
        <v>21883</v>
      </c>
    </row>
    <row r="553" spans="1:4" x14ac:dyDescent="0.2">
      <c r="A553">
        <v>3692841</v>
      </c>
      <c r="B553">
        <v>30065</v>
      </c>
      <c r="C553">
        <v>302372</v>
      </c>
      <c r="D553">
        <v>21883</v>
      </c>
    </row>
    <row r="554" spans="1:4" x14ac:dyDescent="0.2">
      <c r="A554">
        <v>3692841</v>
      </c>
      <c r="B554">
        <v>30066</v>
      </c>
      <c r="C554">
        <v>302401</v>
      </c>
      <c r="D554">
        <v>21883</v>
      </c>
    </row>
    <row r="555" spans="1:4" x14ac:dyDescent="0.2">
      <c r="A555">
        <v>3692842</v>
      </c>
      <c r="B555">
        <v>30061</v>
      </c>
      <c r="C555">
        <v>302342</v>
      </c>
      <c r="D555">
        <v>21883</v>
      </c>
    </row>
    <row r="556" spans="1:4" x14ac:dyDescent="0.2">
      <c r="A556">
        <v>3692842</v>
      </c>
      <c r="B556">
        <v>30062</v>
      </c>
      <c r="C556">
        <v>302355</v>
      </c>
      <c r="D556">
        <v>21883</v>
      </c>
    </row>
    <row r="557" spans="1:4" x14ac:dyDescent="0.2">
      <c r="A557">
        <v>3692842</v>
      </c>
      <c r="B557">
        <v>30063</v>
      </c>
      <c r="C557">
        <v>302356</v>
      </c>
      <c r="D557">
        <v>21883</v>
      </c>
    </row>
    <row r="558" spans="1:4" x14ac:dyDescent="0.2">
      <c r="A558">
        <v>3692842</v>
      </c>
      <c r="B558">
        <v>30064</v>
      </c>
      <c r="C558">
        <v>302411</v>
      </c>
      <c r="D558">
        <v>21883</v>
      </c>
    </row>
    <row r="559" spans="1:4" x14ac:dyDescent="0.2">
      <c r="A559">
        <v>3692842</v>
      </c>
      <c r="B559">
        <v>30065</v>
      </c>
      <c r="C559">
        <v>302372</v>
      </c>
      <c r="D559">
        <v>21883</v>
      </c>
    </row>
    <row r="560" spans="1:4" x14ac:dyDescent="0.2">
      <c r="A560">
        <v>3692842</v>
      </c>
      <c r="B560">
        <v>30066</v>
      </c>
      <c r="C560">
        <v>302401</v>
      </c>
      <c r="D560">
        <v>21883</v>
      </c>
    </row>
    <row r="561" spans="1:4" x14ac:dyDescent="0.2">
      <c r="A561">
        <v>3692843</v>
      </c>
      <c r="B561">
        <v>30061</v>
      </c>
      <c r="C561">
        <v>302342</v>
      </c>
      <c r="D561">
        <v>21883</v>
      </c>
    </row>
    <row r="562" spans="1:4" x14ac:dyDescent="0.2">
      <c r="A562">
        <v>3692843</v>
      </c>
      <c r="B562">
        <v>30062</v>
      </c>
      <c r="C562">
        <v>302355</v>
      </c>
      <c r="D562">
        <v>21883</v>
      </c>
    </row>
    <row r="563" spans="1:4" x14ac:dyDescent="0.2">
      <c r="A563">
        <v>3692843</v>
      </c>
      <c r="B563">
        <v>30063</v>
      </c>
      <c r="C563">
        <v>302356</v>
      </c>
      <c r="D563">
        <v>21883</v>
      </c>
    </row>
    <row r="564" spans="1:4" x14ac:dyDescent="0.2">
      <c r="A564">
        <v>3692843</v>
      </c>
      <c r="B564">
        <v>30064</v>
      </c>
      <c r="C564">
        <v>302380</v>
      </c>
      <c r="D564">
        <v>21883</v>
      </c>
    </row>
    <row r="565" spans="1:4" x14ac:dyDescent="0.2">
      <c r="A565">
        <v>3692843</v>
      </c>
      <c r="B565">
        <v>30065</v>
      </c>
      <c r="C565">
        <v>302372</v>
      </c>
      <c r="D565">
        <v>21883</v>
      </c>
    </row>
    <row r="566" spans="1:4" x14ac:dyDescent="0.2">
      <c r="A566">
        <v>3692843</v>
      </c>
      <c r="B566">
        <v>30066</v>
      </c>
      <c r="C566">
        <v>302401</v>
      </c>
      <c r="D566">
        <v>21883</v>
      </c>
    </row>
    <row r="567" spans="1:4" x14ac:dyDescent="0.2">
      <c r="A567">
        <v>3692844</v>
      </c>
      <c r="B567">
        <v>30063</v>
      </c>
      <c r="C567">
        <v>302356</v>
      </c>
      <c r="D567">
        <v>21883</v>
      </c>
    </row>
    <row r="568" spans="1:4" x14ac:dyDescent="0.2">
      <c r="A568">
        <v>3692844</v>
      </c>
      <c r="B568">
        <v>30064</v>
      </c>
      <c r="C568">
        <v>302398</v>
      </c>
      <c r="D568">
        <v>21883</v>
      </c>
    </row>
    <row r="569" spans="1:4" x14ac:dyDescent="0.2">
      <c r="A569">
        <v>3692844</v>
      </c>
      <c r="B569">
        <v>30065</v>
      </c>
      <c r="C569">
        <v>302372</v>
      </c>
      <c r="D569">
        <v>21883</v>
      </c>
    </row>
    <row r="570" spans="1:4" x14ac:dyDescent="0.2">
      <c r="A570">
        <v>3692844</v>
      </c>
      <c r="B570">
        <v>30066</v>
      </c>
      <c r="C570">
        <v>302401</v>
      </c>
      <c r="D570">
        <v>21883</v>
      </c>
    </row>
    <row r="571" spans="1:4" x14ac:dyDescent="0.2">
      <c r="A571">
        <v>3692845</v>
      </c>
      <c r="B571">
        <v>30061</v>
      </c>
      <c r="C571">
        <v>302342</v>
      </c>
      <c r="D571">
        <v>21883</v>
      </c>
    </row>
    <row r="572" spans="1:4" x14ac:dyDescent="0.2">
      <c r="A572">
        <v>3692845</v>
      </c>
      <c r="B572">
        <v>30062</v>
      </c>
      <c r="C572">
        <v>302355</v>
      </c>
      <c r="D572">
        <v>21883</v>
      </c>
    </row>
    <row r="573" spans="1:4" x14ac:dyDescent="0.2">
      <c r="A573">
        <v>3692845</v>
      </c>
      <c r="B573">
        <v>30063</v>
      </c>
      <c r="C573">
        <v>302356</v>
      </c>
      <c r="D573">
        <v>21883</v>
      </c>
    </row>
    <row r="574" spans="1:4" x14ac:dyDescent="0.2">
      <c r="A574">
        <v>3692845</v>
      </c>
      <c r="B574">
        <v>30064</v>
      </c>
      <c r="C574">
        <v>302379</v>
      </c>
      <c r="D574">
        <v>21883</v>
      </c>
    </row>
    <row r="575" spans="1:4" x14ac:dyDescent="0.2">
      <c r="A575">
        <v>3692845</v>
      </c>
      <c r="B575">
        <v>30065</v>
      </c>
      <c r="C575">
        <v>302372</v>
      </c>
      <c r="D575">
        <v>21883</v>
      </c>
    </row>
    <row r="576" spans="1:4" x14ac:dyDescent="0.2">
      <c r="A576">
        <v>3692845</v>
      </c>
      <c r="B576">
        <v>30066</v>
      </c>
      <c r="C576">
        <v>302401</v>
      </c>
      <c r="D576">
        <v>21883</v>
      </c>
    </row>
    <row r="577" spans="1:4" x14ac:dyDescent="0.2">
      <c r="A577">
        <v>3692846</v>
      </c>
      <c r="B577">
        <v>30061</v>
      </c>
      <c r="C577">
        <v>302342</v>
      </c>
      <c r="D577">
        <v>21883</v>
      </c>
    </row>
    <row r="578" spans="1:4" x14ac:dyDescent="0.2">
      <c r="A578">
        <v>3692846</v>
      </c>
      <c r="B578">
        <v>30062</v>
      </c>
      <c r="C578">
        <v>302355</v>
      </c>
      <c r="D578">
        <v>21883</v>
      </c>
    </row>
    <row r="579" spans="1:4" x14ac:dyDescent="0.2">
      <c r="A579">
        <v>3692846</v>
      </c>
      <c r="B579">
        <v>30063</v>
      </c>
      <c r="C579">
        <v>302356</v>
      </c>
      <c r="D579">
        <v>21883</v>
      </c>
    </row>
    <row r="580" spans="1:4" x14ac:dyDescent="0.2">
      <c r="A580">
        <v>3692846</v>
      </c>
      <c r="B580">
        <v>30064</v>
      </c>
      <c r="C580">
        <v>302379</v>
      </c>
      <c r="D580">
        <v>21883</v>
      </c>
    </row>
    <row r="581" spans="1:4" x14ac:dyDescent="0.2">
      <c r="A581">
        <v>3692846</v>
      </c>
      <c r="B581">
        <v>30065</v>
      </c>
      <c r="C581">
        <v>302372</v>
      </c>
      <c r="D581">
        <v>21883</v>
      </c>
    </row>
    <row r="582" spans="1:4" x14ac:dyDescent="0.2">
      <c r="A582">
        <v>3692846</v>
      </c>
      <c r="B582">
        <v>30066</v>
      </c>
      <c r="C582">
        <v>302401</v>
      </c>
      <c r="D582">
        <v>21883</v>
      </c>
    </row>
    <row r="583" spans="1:4" x14ac:dyDescent="0.2">
      <c r="A583">
        <v>3692847</v>
      </c>
      <c r="B583">
        <v>30061</v>
      </c>
      <c r="C583">
        <v>302342</v>
      </c>
      <c r="D583">
        <v>21883</v>
      </c>
    </row>
    <row r="584" spans="1:4" x14ac:dyDescent="0.2">
      <c r="A584">
        <v>3692847</v>
      </c>
      <c r="B584">
        <v>30062</v>
      </c>
      <c r="C584">
        <v>302355</v>
      </c>
      <c r="D584">
        <v>21883</v>
      </c>
    </row>
    <row r="585" spans="1:4" x14ac:dyDescent="0.2">
      <c r="A585">
        <v>3692847</v>
      </c>
      <c r="B585">
        <v>30063</v>
      </c>
      <c r="C585">
        <v>302356</v>
      </c>
      <c r="D585">
        <v>21883</v>
      </c>
    </row>
    <row r="586" spans="1:4" x14ac:dyDescent="0.2">
      <c r="A586">
        <v>3692847</v>
      </c>
      <c r="B586">
        <v>30064</v>
      </c>
      <c r="C586">
        <v>302379</v>
      </c>
      <c r="D586">
        <v>21883</v>
      </c>
    </row>
    <row r="587" spans="1:4" x14ac:dyDescent="0.2">
      <c r="A587">
        <v>3692847</v>
      </c>
      <c r="B587">
        <v>30065</v>
      </c>
      <c r="C587">
        <v>302372</v>
      </c>
      <c r="D587">
        <v>21883</v>
      </c>
    </row>
    <row r="588" spans="1:4" x14ac:dyDescent="0.2">
      <c r="A588">
        <v>3692847</v>
      </c>
      <c r="B588">
        <v>30066</v>
      </c>
      <c r="C588">
        <v>302401</v>
      </c>
      <c r="D588">
        <v>21883</v>
      </c>
    </row>
    <row r="589" spans="1:4" x14ac:dyDescent="0.2">
      <c r="A589">
        <v>3692848</v>
      </c>
      <c r="B589">
        <v>30061</v>
      </c>
      <c r="C589">
        <v>302343</v>
      </c>
      <c r="D589">
        <v>21883</v>
      </c>
    </row>
    <row r="590" spans="1:4" x14ac:dyDescent="0.2">
      <c r="A590">
        <v>3692848</v>
      </c>
      <c r="B590">
        <v>30062</v>
      </c>
      <c r="C590">
        <v>302355</v>
      </c>
      <c r="D590">
        <v>21883</v>
      </c>
    </row>
    <row r="591" spans="1:4" x14ac:dyDescent="0.2">
      <c r="A591">
        <v>3692848</v>
      </c>
      <c r="B591">
        <v>30063</v>
      </c>
      <c r="C591">
        <v>302376</v>
      </c>
      <c r="D591">
        <v>21883</v>
      </c>
    </row>
    <row r="592" spans="1:4" x14ac:dyDescent="0.2">
      <c r="A592">
        <v>3692848</v>
      </c>
      <c r="B592">
        <v>30064</v>
      </c>
      <c r="C592">
        <v>302409</v>
      </c>
      <c r="D592">
        <v>21883</v>
      </c>
    </row>
    <row r="593" spans="1:4" x14ac:dyDescent="0.2">
      <c r="A593">
        <v>3692848</v>
      </c>
      <c r="B593">
        <v>30065</v>
      </c>
      <c r="C593">
        <v>302372</v>
      </c>
      <c r="D593">
        <v>21883</v>
      </c>
    </row>
    <row r="594" spans="1:4" x14ac:dyDescent="0.2">
      <c r="A594">
        <v>3692849</v>
      </c>
      <c r="B594">
        <v>30064</v>
      </c>
      <c r="C594">
        <v>302413</v>
      </c>
      <c r="D594">
        <v>21883</v>
      </c>
    </row>
    <row r="595" spans="1:4" x14ac:dyDescent="0.2">
      <c r="A595">
        <v>3692850</v>
      </c>
      <c r="B595">
        <v>30061</v>
      </c>
      <c r="C595">
        <v>302343</v>
      </c>
      <c r="D595">
        <v>21883</v>
      </c>
    </row>
    <row r="596" spans="1:4" x14ac:dyDescent="0.2">
      <c r="A596">
        <v>3692850</v>
      </c>
      <c r="B596">
        <v>30062</v>
      </c>
      <c r="C596">
        <v>302355</v>
      </c>
      <c r="D596">
        <v>21883</v>
      </c>
    </row>
    <row r="597" spans="1:4" x14ac:dyDescent="0.2">
      <c r="A597">
        <v>3692850</v>
      </c>
      <c r="B597">
        <v>30063</v>
      </c>
      <c r="C597">
        <v>302356</v>
      </c>
      <c r="D597">
        <v>21883</v>
      </c>
    </row>
    <row r="598" spans="1:4" x14ac:dyDescent="0.2">
      <c r="A598">
        <v>3692850</v>
      </c>
      <c r="B598">
        <v>30064</v>
      </c>
      <c r="C598">
        <v>302379</v>
      </c>
      <c r="D598">
        <v>21883</v>
      </c>
    </row>
    <row r="599" spans="1:4" x14ac:dyDescent="0.2">
      <c r="A599">
        <v>3692850</v>
      </c>
      <c r="B599">
        <v>30065</v>
      </c>
      <c r="C599">
        <v>302372</v>
      </c>
      <c r="D599">
        <v>21883</v>
      </c>
    </row>
    <row r="600" spans="1:4" x14ac:dyDescent="0.2">
      <c r="A600">
        <v>3692851</v>
      </c>
      <c r="B600">
        <v>30064</v>
      </c>
      <c r="C600">
        <v>302411</v>
      </c>
      <c r="D600">
        <v>21883</v>
      </c>
    </row>
    <row r="601" spans="1:4" x14ac:dyDescent="0.2">
      <c r="A601">
        <v>3692852</v>
      </c>
      <c r="B601">
        <v>30064</v>
      </c>
      <c r="C601">
        <v>302380</v>
      </c>
      <c r="D601">
        <v>21883</v>
      </c>
    </row>
    <row r="602" spans="1:4" x14ac:dyDescent="0.2">
      <c r="A602">
        <v>3692853</v>
      </c>
      <c r="B602">
        <v>30064</v>
      </c>
      <c r="C602">
        <v>302411</v>
      </c>
      <c r="D602">
        <v>21883</v>
      </c>
    </row>
    <row r="603" spans="1:4" x14ac:dyDescent="0.2">
      <c r="A603">
        <v>3692854</v>
      </c>
      <c r="B603">
        <v>30061</v>
      </c>
      <c r="C603">
        <v>302343</v>
      </c>
      <c r="D603">
        <v>21883</v>
      </c>
    </row>
    <row r="604" spans="1:4" x14ac:dyDescent="0.2">
      <c r="A604">
        <v>3692854</v>
      </c>
      <c r="B604">
        <v>30062</v>
      </c>
      <c r="C604">
        <v>302355</v>
      </c>
      <c r="D604">
        <v>21883</v>
      </c>
    </row>
    <row r="605" spans="1:4" x14ac:dyDescent="0.2">
      <c r="A605">
        <v>3692854</v>
      </c>
      <c r="B605">
        <v>30063</v>
      </c>
      <c r="C605">
        <v>302356</v>
      </c>
      <c r="D605">
        <v>21883</v>
      </c>
    </row>
    <row r="606" spans="1:4" x14ac:dyDescent="0.2">
      <c r="A606">
        <v>3692854</v>
      </c>
      <c r="B606">
        <v>30064</v>
      </c>
      <c r="C606">
        <v>302385</v>
      </c>
      <c r="D606">
        <v>21883</v>
      </c>
    </row>
    <row r="607" spans="1:4" x14ac:dyDescent="0.2">
      <c r="A607">
        <v>3692854</v>
      </c>
      <c r="B607">
        <v>30065</v>
      </c>
      <c r="C607">
        <v>302372</v>
      </c>
      <c r="D607">
        <v>21883</v>
      </c>
    </row>
    <row r="608" spans="1:4" x14ac:dyDescent="0.2">
      <c r="A608">
        <v>3692855</v>
      </c>
      <c r="B608">
        <v>30063</v>
      </c>
      <c r="C608">
        <v>302356</v>
      </c>
      <c r="D608">
        <v>21883</v>
      </c>
    </row>
    <row r="609" spans="1:4" x14ac:dyDescent="0.2">
      <c r="A609">
        <v>3692855</v>
      </c>
      <c r="B609">
        <v>30064</v>
      </c>
      <c r="C609">
        <v>302421</v>
      </c>
      <c r="D609">
        <v>21883</v>
      </c>
    </row>
    <row r="610" spans="1:4" x14ac:dyDescent="0.2">
      <c r="A610">
        <v>3692855</v>
      </c>
      <c r="B610">
        <v>30065</v>
      </c>
      <c r="C610">
        <v>302372</v>
      </c>
      <c r="D610">
        <v>21883</v>
      </c>
    </row>
    <row r="611" spans="1:4" x14ac:dyDescent="0.2">
      <c r="A611">
        <v>3692855</v>
      </c>
      <c r="B611">
        <v>30066</v>
      </c>
      <c r="C611">
        <v>302401</v>
      </c>
      <c r="D611">
        <v>21883</v>
      </c>
    </row>
    <row r="612" spans="1:4" x14ac:dyDescent="0.2">
      <c r="A612">
        <v>3692856</v>
      </c>
      <c r="B612">
        <v>30063</v>
      </c>
      <c r="C612">
        <v>302356</v>
      </c>
      <c r="D612">
        <v>21883</v>
      </c>
    </row>
    <row r="613" spans="1:4" x14ac:dyDescent="0.2">
      <c r="A613">
        <v>3692856</v>
      </c>
      <c r="B613">
        <v>30064</v>
      </c>
      <c r="C613">
        <v>302410</v>
      </c>
      <c r="D613">
        <v>21883</v>
      </c>
    </row>
    <row r="614" spans="1:4" x14ac:dyDescent="0.2">
      <c r="A614">
        <v>3692856</v>
      </c>
      <c r="B614">
        <v>30065</v>
      </c>
      <c r="C614">
        <v>302372</v>
      </c>
      <c r="D614">
        <v>21883</v>
      </c>
    </row>
    <row r="615" spans="1:4" x14ac:dyDescent="0.2">
      <c r="A615">
        <v>3692856</v>
      </c>
      <c r="B615">
        <v>30066</v>
      </c>
      <c r="C615">
        <v>302401</v>
      </c>
      <c r="D615">
        <v>21883</v>
      </c>
    </row>
    <row r="616" spans="1:4" x14ac:dyDescent="0.2">
      <c r="A616">
        <v>3692857</v>
      </c>
      <c r="B616">
        <v>30061</v>
      </c>
      <c r="C616">
        <v>302343</v>
      </c>
      <c r="D616">
        <v>21883</v>
      </c>
    </row>
    <row r="617" spans="1:4" x14ac:dyDescent="0.2">
      <c r="A617">
        <v>3692857</v>
      </c>
      <c r="B617">
        <v>30062</v>
      </c>
      <c r="C617">
        <v>302355</v>
      </c>
      <c r="D617">
        <v>21883</v>
      </c>
    </row>
    <row r="618" spans="1:4" x14ac:dyDescent="0.2">
      <c r="A618">
        <v>3692857</v>
      </c>
      <c r="B618">
        <v>30063</v>
      </c>
      <c r="C618">
        <v>302356</v>
      </c>
      <c r="D618">
        <v>21883</v>
      </c>
    </row>
    <row r="619" spans="1:4" x14ac:dyDescent="0.2">
      <c r="A619">
        <v>3692857</v>
      </c>
      <c r="B619">
        <v>30064</v>
      </c>
      <c r="C619">
        <v>302385</v>
      </c>
      <c r="D619">
        <v>21883</v>
      </c>
    </row>
    <row r="620" spans="1:4" x14ac:dyDescent="0.2">
      <c r="A620">
        <v>3692857</v>
      </c>
      <c r="B620">
        <v>30065</v>
      </c>
      <c r="C620">
        <v>302372</v>
      </c>
      <c r="D620">
        <v>21883</v>
      </c>
    </row>
    <row r="621" spans="1:4" x14ac:dyDescent="0.2">
      <c r="A621">
        <v>3692857</v>
      </c>
      <c r="B621">
        <v>30066</v>
      </c>
      <c r="C621">
        <v>302401</v>
      </c>
      <c r="D621">
        <v>21883</v>
      </c>
    </row>
    <row r="622" spans="1:4" x14ac:dyDescent="0.2">
      <c r="A622">
        <v>3692858</v>
      </c>
      <c r="B622">
        <v>30061</v>
      </c>
      <c r="C622">
        <v>302343</v>
      </c>
      <c r="D622">
        <v>21883</v>
      </c>
    </row>
    <row r="623" spans="1:4" x14ac:dyDescent="0.2">
      <c r="A623">
        <v>3692858</v>
      </c>
      <c r="B623">
        <v>30062</v>
      </c>
      <c r="C623">
        <v>302355</v>
      </c>
      <c r="D623">
        <v>21883</v>
      </c>
    </row>
    <row r="624" spans="1:4" x14ac:dyDescent="0.2">
      <c r="A624">
        <v>3692858</v>
      </c>
      <c r="B624">
        <v>30063</v>
      </c>
      <c r="C624">
        <v>302356</v>
      </c>
      <c r="D624">
        <v>21883</v>
      </c>
    </row>
    <row r="625" spans="1:4" x14ac:dyDescent="0.2">
      <c r="A625">
        <v>3692858</v>
      </c>
      <c r="B625">
        <v>30064</v>
      </c>
      <c r="C625">
        <v>302384</v>
      </c>
      <c r="D625">
        <v>21883</v>
      </c>
    </row>
    <row r="626" spans="1:4" x14ac:dyDescent="0.2">
      <c r="A626">
        <v>3692858</v>
      </c>
      <c r="B626">
        <v>30065</v>
      </c>
      <c r="C626">
        <v>302372</v>
      </c>
      <c r="D626">
        <v>21883</v>
      </c>
    </row>
    <row r="627" spans="1:4" x14ac:dyDescent="0.2">
      <c r="A627">
        <v>3692858</v>
      </c>
      <c r="B627">
        <v>30066</v>
      </c>
      <c r="C627">
        <v>302401</v>
      </c>
      <c r="D627">
        <v>21883</v>
      </c>
    </row>
    <row r="628" spans="1:4" x14ac:dyDescent="0.2">
      <c r="A628">
        <v>3692859</v>
      </c>
      <c r="B628">
        <v>30061</v>
      </c>
      <c r="C628">
        <v>302343</v>
      </c>
      <c r="D628">
        <v>21883</v>
      </c>
    </row>
    <row r="629" spans="1:4" x14ac:dyDescent="0.2">
      <c r="A629">
        <v>3692859</v>
      </c>
      <c r="B629">
        <v>30062</v>
      </c>
      <c r="C629">
        <v>302355</v>
      </c>
      <c r="D629">
        <v>21883</v>
      </c>
    </row>
    <row r="630" spans="1:4" x14ac:dyDescent="0.2">
      <c r="A630">
        <v>3692859</v>
      </c>
      <c r="B630">
        <v>30063</v>
      </c>
      <c r="C630">
        <v>302356</v>
      </c>
      <c r="D630">
        <v>21883</v>
      </c>
    </row>
    <row r="631" spans="1:4" x14ac:dyDescent="0.2">
      <c r="A631">
        <v>3692859</v>
      </c>
      <c r="B631">
        <v>30064</v>
      </c>
      <c r="C631">
        <v>302411</v>
      </c>
      <c r="D631">
        <v>21883</v>
      </c>
    </row>
    <row r="632" spans="1:4" x14ac:dyDescent="0.2">
      <c r="A632">
        <v>3692859</v>
      </c>
      <c r="B632">
        <v>30065</v>
      </c>
      <c r="C632">
        <v>302372</v>
      </c>
      <c r="D632">
        <v>21883</v>
      </c>
    </row>
    <row r="633" spans="1:4" x14ac:dyDescent="0.2">
      <c r="A633">
        <v>3692859</v>
      </c>
      <c r="B633">
        <v>30066</v>
      </c>
      <c r="C633">
        <v>302401</v>
      </c>
      <c r="D633">
        <v>21883</v>
      </c>
    </row>
    <row r="634" spans="1:4" x14ac:dyDescent="0.2">
      <c r="A634">
        <v>3692860</v>
      </c>
      <c r="B634">
        <v>30061</v>
      </c>
      <c r="C634">
        <v>302343</v>
      </c>
      <c r="D634">
        <v>21883</v>
      </c>
    </row>
    <row r="635" spans="1:4" x14ac:dyDescent="0.2">
      <c r="A635">
        <v>3692860</v>
      </c>
      <c r="B635">
        <v>30062</v>
      </c>
      <c r="C635">
        <v>302355</v>
      </c>
      <c r="D635">
        <v>21883</v>
      </c>
    </row>
    <row r="636" spans="1:4" x14ac:dyDescent="0.2">
      <c r="A636">
        <v>3692860</v>
      </c>
      <c r="B636">
        <v>30063</v>
      </c>
      <c r="C636">
        <v>302356</v>
      </c>
      <c r="D636">
        <v>21883</v>
      </c>
    </row>
    <row r="637" spans="1:4" x14ac:dyDescent="0.2">
      <c r="A637">
        <v>3692860</v>
      </c>
      <c r="B637">
        <v>30064</v>
      </c>
      <c r="C637">
        <v>302380</v>
      </c>
      <c r="D637">
        <v>21883</v>
      </c>
    </row>
    <row r="638" spans="1:4" x14ac:dyDescent="0.2">
      <c r="A638">
        <v>3692860</v>
      </c>
      <c r="B638">
        <v>30065</v>
      </c>
      <c r="C638">
        <v>302372</v>
      </c>
      <c r="D638">
        <v>21883</v>
      </c>
    </row>
    <row r="639" spans="1:4" x14ac:dyDescent="0.2">
      <c r="A639">
        <v>3692860</v>
      </c>
      <c r="B639">
        <v>30066</v>
      </c>
      <c r="C639">
        <v>302401</v>
      </c>
      <c r="D639">
        <v>21883</v>
      </c>
    </row>
    <row r="640" spans="1:4" x14ac:dyDescent="0.2">
      <c r="A640">
        <v>3692861</v>
      </c>
      <c r="B640">
        <v>30063</v>
      </c>
      <c r="C640">
        <v>302356</v>
      </c>
      <c r="D640">
        <v>21883</v>
      </c>
    </row>
    <row r="641" spans="1:4" x14ac:dyDescent="0.2">
      <c r="A641">
        <v>3692861</v>
      </c>
      <c r="B641">
        <v>30064</v>
      </c>
      <c r="C641">
        <v>302398</v>
      </c>
      <c r="D641">
        <v>21883</v>
      </c>
    </row>
    <row r="642" spans="1:4" x14ac:dyDescent="0.2">
      <c r="A642">
        <v>3692861</v>
      </c>
      <c r="B642">
        <v>30065</v>
      </c>
      <c r="C642">
        <v>302372</v>
      </c>
      <c r="D642">
        <v>21883</v>
      </c>
    </row>
    <row r="643" spans="1:4" x14ac:dyDescent="0.2">
      <c r="A643">
        <v>3692861</v>
      </c>
      <c r="B643">
        <v>30066</v>
      </c>
      <c r="C643">
        <v>302401</v>
      </c>
      <c r="D643">
        <v>21883</v>
      </c>
    </row>
    <row r="644" spans="1:4" x14ac:dyDescent="0.2">
      <c r="A644">
        <v>3692862</v>
      </c>
      <c r="B644">
        <v>30061</v>
      </c>
      <c r="C644">
        <v>302343</v>
      </c>
      <c r="D644">
        <v>21883</v>
      </c>
    </row>
    <row r="645" spans="1:4" x14ac:dyDescent="0.2">
      <c r="A645">
        <v>3692862</v>
      </c>
      <c r="B645">
        <v>30062</v>
      </c>
      <c r="C645">
        <v>302355</v>
      </c>
      <c r="D645">
        <v>21883</v>
      </c>
    </row>
    <row r="646" spans="1:4" x14ac:dyDescent="0.2">
      <c r="A646">
        <v>3692862</v>
      </c>
      <c r="B646">
        <v>30063</v>
      </c>
      <c r="C646">
        <v>302356</v>
      </c>
      <c r="D646">
        <v>21883</v>
      </c>
    </row>
    <row r="647" spans="1:4" x14ac:dyDescent="0.2">
      <c r="A647">
        <v>3692862</v>
      </c>
      <c r="B647">
        <v>30064</v>
      </c>
      <c r="C647">
        <v>302379</v>
      </c>
      <c r="D647">
        <v>21883</v>
      </c>
    </row>
    <row r="648" spans="1:4" x14ac:dyDescent="0.2">
      <c r="A648">
        <v>3692862</v>
      </c>
      <c r="B648">
        <v>30065</v>
      </c>
      <c r="C648">
        <v>302372</v>
      </c>
      <c r="D648">
        <v>21883</v>
      </c>
    </row>
    <row r="649" spans="1:4" x14ac:dyDescent="0.2">
      <c r="A649">
        <v>3692862</v>
      </c>
      <c r="B649">
        <v>30066</v>
      </c>
      <c r="C649">
        <v>302401</v>
      </c>
      <c r="D649">
        <v>21883</v>
      </c>
    </row>
    <row r="650" spans="1:4" x14ac:dyDescent="0.2">
      <c r="A650">
        <v>3692863</v>
      </c>
      <c r="B650">
        <v>30061</v>
      </c>
      <c r="C650">
        <v>302343</v>
      </c>
      <c r="D650">
        <v>21883</v>
      </c>
    </row>
    <row r="651" spans="1:4" x14ac:dyDescent="0.2">
      <c r="A651">
        <v>3692863</v>
      </c>
      <c r="B651">
        <v>30062</v>
      </c>
      <c r="C651">
        <v>302355</v>
      </c>
      <c r="D651">
        <v>21883</v>
      </c>
    </row>
    <row r="652" spans="1:4" x14ac:dyDescent="0.2">
      <c r="A652">
        <v>3692863</v>
      </c>
      <c r="B652">
        <v>30063</v>
      </c>
      <c r="C652">
        <v>302356</v>
      </c>
      <c r="D652">
        <v>21883</v>
      </c>
    </row>
    <row r="653" spans="1:4" x14ac:dyDescent="0.2">
      <c r="A653">
        <v>3692863</v>
      </c>
      <c r="B653">
        <v>30064</v>
      </c>
      <c r="C653">
        <v>302379</v>
      </c>
      <c r="D653">
        <v>21883</v>
      </c>
    </row>
    <row r="654" spans="1:4" x14ac:dyDescent="0.2">
      <c r="A654">
        <v>3692863</v>
      </c>
      <c r="B654">
        <v>30065</v>
      </c>
      <c r="C654">
        <v>302372</v>
      </c>
      <c r="D654">
        <v>21883</v>
      </c>
    </row>
    <row r="655" spans="1:4" x14ac:dyDescent="0.2">
      <c r="A655">
        <v>3692863</v>
      </c>
      <c r="B655">
        <v>30066</v>
      </c>
      <c r="C655">
        <v>302401</v>
      </c>
      <c r="D655">
        <v>21883</v>
      </c>
    </row>
    <row r="656" spans="1:4" x14ac:dyDescent="0.2">
      <c r="A656">
        <v>3692864</v>
      </c>
      <c r="B656">
        <v>30061</v>
      </c>
      <c r="C656">
        <v>302343</v>
      </c>
      <c r="D656">
        <v>21883</v>
      </c>
    </row>
    <row r="657" spans="1:4" x14ac:dyDescent="0.2">
      <c r="A657">
        <v>3692864</v>
      </c>
      <c r="B657">
        <v>30062</v>
      </c>
      <c r="C657">
        <v>302355</v>
      </c>
      <c r="D657">
        <v>21883</v>
      </c>
    </row>
    <row r="658" spans="1:4" x14ac:dyDescent="0.2">
      <c r="A658">
        <v>3692864</v>
      </c>
      <c r="B658">
        <v>30063</v>
      </c>
      <c r="C658">
        <v>302356</v>
      </c>
      <c r="D658">
        <v>21883</v>
      </c>
    </row>
    <row r="659" spans="1:4" x14ac:dyDescent="0.2">
      <c r="A659">
        <v>3692864</v>
      </c>
      <c r="B659">
        <v>30064</v>
      </c>
      <c r="C659">
        <v>302379</v>
      </c>
      <c r="D659">
        <v>21883</v>
      </c>
    </row>
    <row r="660" spans="1:4" x14ac:dyDescent="0.2">
      <c r="A660">
        <v>3692864</v>
      </c>
      <c r="B660">
        <v>30065</v>
      </c>
      <c r="C660">
        <v>302372</v>
      </c>
      <c r="D660">
        <v>21883</v>
      </c>
    </row>
    <row r="661" spans="1:4" x14ac:dyDescent="0.2">
      <c r="A661">
        <v>3692864</v>
      </c>
      <c r="B661">
        <v>30066</v>
      </c>
      <c r="C661">
        <v>302401</v>
      </c>
      <c r="D661">
        <v>21883</v>
      </c>
    </row>
    <row r="662" spans="1:4" x14ac:dyDescent="0.2">
      <c r="A662">
        <v>3692865</v>
      </c>
      <c r="B662">
        <v>30061</v>
      </c>
      <c r="C662">
        <v>302351</v>
      </c>
      <c r="D662">
        <v>21883</v>
      </c>
    </row>
    <row r="663" spans="1:4" x14ac:dyDescent="0.2">
      <c r="A663">
        <v>3692865</v>
      </c>
      <c r="B663">
        <v>30062</v>
      </c>
      <c r="C663">
        <v>302355</v>
      </c>
      <c r="D663">
        <v>21883</v>
      </c>
    </row>
    <row r="664" spans="1:4" x14ac:dyDescent="0.2">
      <c r="A664">
        <v>3692865</v>
      </c>
      <c r="B664">
        <v>30063</v>
      </c>
      <c r="C664">
        <v>302376</v>
      </c>
      <c r="D664">
        <v>21883</v>
      </c>
    </row>
    <row r="665" spans="1:4" x14ac:dyDescent="0.2">
      <c r="A665">
        <v>3692865</v>
      </c>
      <c r="B665">
        <v>30064</v>
      </c>
      <c r="C665">
        <v>302409</v>
      </c>
      <c r="D665">
        <v>21883</v>
      </c>
    </row>
    <row r="666" spans="1:4" x14ac:dyDescent="0.2">
      <c r="A666">
        <v>3692865</v>
      </c>
      <c r="B666">
        <v>30065</v>
      </c>
      <c r="C666">
        <v>302371</v>
      </c>
      <c r="D666">
        <v>21883</v>
      </c>
    </row>
    <row r="667" spans="1:4" x14ac:dyDescent="0.2">
      <c r="A667">
        <v>3692866</v>
      </c>
      <c r="B667">
        <v>30064</v>
      </c>
      <c r="C667">
        <v>302380</v>
      </c>
      <c r="D667">
        <v>21883</v>
      </c>
    </row>
    <row r="668" spans="1:4" x14ac:dyDescent="0.2">
      <c r="A668">
        <v>3692867</v>
      </c>
      <c r="B668">
        <v>30064</v>
      </c>
      <c r="C668">
        <v>302411</v>
      </c>
      <c r="D668">
        <v>21883</v>
      </c>
    </row>
    <row r="669" spans="1:4" x14ac:dyDescent="0.2">
      <c r="A669">
        <v>3692868</v>
      </c>
      <c r="B669">
        <v>30061</v>
      </c>
      <c r="C669">
        <v>302346</v>
      </c>
      <c r="D669">
        <v>21883</v>
      </c>
    </row>
    <row r="670" spans="1:4" x14ac:dyDescent="0.2">
      <c r="A670">
        <v>3692868</v>
      </c>
      <c r="B670">
        <v>30062</v>
      </c>
      <c r="C670">
        <v>302355</v>
      </c>
      <c r="D670">
        <v>21883</v>
      </c>
    </row>
    <row r="671" spans="1:4" x14ac:dyDescent="0.2">
      <c r="A671">
        <v>3692868</v>
      </c>
      <c r="B671">
        <v>30063</v>
      </c>
      <c r="C671">
        <v>302356</v>
      </c>
      <c r="D671">
        <v>21883</v>
      </c>
    </row>
    <row r="672" spans="1:4" x14ac:dyDescent="0.2">
      <c r="A672">
        <v>3692868</v>
      </c>
      <c r="B672">
        <v>30064</v>
      </c>
      <c r="C672">
        <v>302385</v>
      </c>
      <c r="D672">
        <v>21883</v>
      </c>
    </row>
    <row r="673" spans="1:4" x14ac:dyDescent="0.2">
      <c r="A673">
        <v>3692868</v>
      </c>
      <c r="B673">
        <v>30065</v>
      </c>
      <c r="C673">
        <v>302373</v>
      </c>
      <c r="D673">
        <v>21883</v>
      </c>
    </row>
    <row r="674" spans="1:4" x14ac:dyDescent="0.2">
      <c r="A674">
        <v>3692869</v>
      </c>
      <c r="B674">
        <v>30064</v>
      </c>
      <c r="C674">
        <v>302380</v>
      </c>
      <c r="D674">
        <v>21883</v>
      </c>
    </row>
    <row r="675" spans="1:4" x14ac:dyDescent="0.2">
      <c r="A675">
        <v>3692870</v>
      </c>
      <c r="B675">
        <v>30064</v>
      </c>
      <c r="C675">
        <v>302411</v>
      </c>
      <c r="D675">
        <v>21883</v>
      </c>
    </row>
    <row r="676" spans="1:4" x14ac:dyDescent="0.2">
      <c r="A676">
        <v>3692871</v>
      </c>
      <c r="B676">
        <v>30061</v>
      </c>
      <c r="C676">
        <v>302345</v>
      </c>
      <c r="D676">
        <v>21883</v>
      </c>
    </row>
    <row r="677" spans="1:4" x14ac:dyDescent="0.2">
      <c r="A677">
        <v>3692871</v>
      </c>
      <c r="B677">
        <v>30062</v>
      </c>
      <c r="C677">
        <v>302355</v>
      </c>
      <c r="D677">
        <v>21883</v>
      </c>
    </row>
    <row r="678" spans="1:4" x14ac:dyDescent="0.2">
      <c r="A678">
        <v>3692871</v>
      </c>
      <c r="B678">
        <v>30063</v>
      </c>
      <c r="C678">
        <v>302356</v>
      </c>
      <c r="D678">
        <v>21883</v>
      </c>
    </row>
    <row r="679" spans="1:4" x14ac:dyDescent="0.2">
      <c r="A679">
        <v>3692871</v>
      </c>
      <c r="B679">
        <v>30064</v>
      </c>
      <c r="C679">
        <v>302385</v>
      </c>
      <c r="D679">
        <v>21883</v>
      </c>
    </row>
    <row r="680" spans="1:4" x14ac:dyDescent="0.2">
      <c r="A680">
        <v>3692871</v>
      </c>
      <c r="B680">
        <v>30065</v>
      </c>
      <c r="C680">
        <v>302373</v>
      </c>
      <c r="D680">
        <v>21883</v>
      </c>
    </row>
    <row r="681" spans="1:4" x14ac:dyDescent="0.2">
      <c r="A681">
        <v>3692872</v>
      </c>
      <c r="B681">
        <v>30064</v>
      </c>
      <c r="C681">
        <v>302411</v>
      </c>
      <c r="D681">
        <v>21883</v>
      </c>
    </row>
    <row r="682" spans="1:4" x14ac:dyDescent="0.2">
      <c r="A682">
        <v>3692873</v>
      </c>
      <c r="B682">
        <v>30064</v>
      </c>
      <c r="C682">
        <v>302380</v>
      </c>
      <c r="D682">
        <v>21883</v>
      </c>
    </row>
    <row r="683" spans="1:4" x14ac:dyDescent="0.2">
      <c r="A683">
        <v>3692874</v>
      </c>
      <c r="B683">
        <v>30061</v>
      </c>
      <c r="C683">
        <v>302344</v>
      </c>
      <c r="D683">
        <v>21883</v>
      </c>
    </row>
    <row r="684" spans="1:4" x14ac:dyDescent="0.2">
      <c r="A684">
        <v>3692874</v>
      </c>
      <c r="B684">
        <v>30062</v>
      </c>
      <c r="C684">
        <v>302355</v>
      </c>
      <c r="D684">
        <v>21883</v>
      </c>
    </row>
    <row r="685" spans="1:4" x14ac:dyDescent="0.2">
      <c r="A685">
        <v>3692874</v>
      </c>
      <c r="B685">
        <v>30063</v>
      </c>
      <c r="C685">
        <v>302356</v>
      </c>
      <c r="D685">
        <v>21883</v>
      </c>
    </row>
    <row r="686" spans="1:4" x14ac:dyDescent="0.2">
      <c r="A686">
        <v>3692874</v>
      </c>
      <c r="B686">
        <v>30064</v>
      </c>
      <c r="C686">
        <v>302385</v>
      </c>
      <c r="D686">
        <v>21883</v>
      </c>
    </row>
    <row r="687" spans="1:4" x14ac:dyDescent="0.2">
      <c r="A687">
        <v>3692874</v>
      </c>
      <c r="B687">
        <v>30065</v>
      </c>
      <c r="C687">
        <v>302373</v>
      </c>
      <c r="D687">
        <v>21883</v>
      </c>
    </row>
    <row r="688" spans="1:4" x14ac:dyDescent="0.2">
      <c r="A688">
        <v>3692875</v>
      </c>
      <c r="B688">
        <v>30063</v>
      </c>
      <c r="C688">
        <v>302353</v>
      </c>
      <c r="D688">
        <v>21883</v>
      </c>
    </row>
    <row r="689" spans="1:4" x14ac:dyDescent="0.2">
      <c r="A689">
        <v>3692875</v>
      </c>
      <c r="B689">
        <v>30064</v>
      </c>
      <c r="C689">
        <v>302389</v>
      </c>
      <c r="D689">
        <v>21883</v>
      </c>
    </row>
    <row r="690" spans="1:4" x14ac:dyDescent="0.2">
      <c r="A690">
        <v>3692875</v>
      </c>
      <c r="B690">
        <v>30065</v>
      </c>
      <c r="C690">
        <v>302371</v>
      </c>
      <c r="D690">
        <v>21883</v>
      </c>
    </row>
    <row r="691" spans="1:4" x14ac:dyDescent="0.2">
      <c r="A691">
        <v>3692875</v>
      </c>
      <c r="B691">
        <v>30066</v>
      </c>
      <c r="C691">
        <v>302435</v>
      </c>
      <c r="D691">
        <v>21883</v>
      </c>
    </row>
    <row r="692" spans="1:4" x14ac:dyDescent="0.2">
      <c r="A692">
        <v>3692875</v>
      </c>
      <c r="B692">
        <v>30069</v>
      </c>
      <c r="C692">
        <v>302440</v>
      </c>
      <c r="D692">
        <v>21883</v>
      </c>
    </row>
    <row r="693" spans="1:4" x14ac:dyDescent="0.2">
      <c r="A693">
        <v>3692876</v>
      </c>
      <c r="B693">
        <v>30063</v>
      </c>
      <c r="C693">
        <v>302353</v>
      </c>
      <c r="D693">
        <v>21883</v>
      </c>
    </row>
    <row r="694" spans="1:4" x14ac:dyDescent="0.2">
      <c r="A694">
        <v>3692876</v>
      </c>
      <c r="B694">
        <v>30064</v>
      </c>
      <c r="C694">
        <v>302389</v>
      </c>
      <c r="D694">
        <v>21883</v>
      </c>
    </row>
    <row r="695" spans="1:4" x14ac:dyDescent="0.2">
      <c r="A695">
        <v>3692876</v>
      </c>
      <c r="B695">
        <v>30065</v>
      </c>
      <c r="C695">
        <v>302371</v>
      </c>
      <c r="D695">
        <v>21883</v>
      </c>
    </row>
    <row r="696" spans="1:4" x14ac:dyDescent="0.2">
      <c r="A696">
        <v>3692876</v>
      </c>
      <c r="B696">
        <v>30066</v>
      </c>
      <c r="C696">
        <v>302435</v>
      </c>
      <c r="D696">
        <v>21883</v>
      </c>
    </row>
    <row r="697" spans="1:4" x14ac:dyDescent="0.2">
      <c r="A697">
        <v>3692876</v>
      </c>
      <c r="B697">
        <v>30069</v>
      </c>
      <c r="C697">
        <v>302440</v>
      </c>
      <c r="D697">
        <v>21883</v>
      </c>
    </row>
    <row r="698" spans="1:4" x14ac:dyDescent="0.2">
      <c r="A698">
        <v>3692877</v>
      </c>
      <c r="B698">
        <v>30063</v>
      </c>
      <c r="C698">
        <v>302353</v>
      </c>
      <c r="D698">
        <v>21883</v>
      </c>
    </row>
    <row r="699" spans="1:4" x14ac:dyDescent="0.2">
      <c r="A699">
        <v>3692877</v>
      </c>
      <c r="B699">
        <v>30064</v>
      </c>
      <c r="C699">
        <v>302389</v>
      </c>
      <c r="D699">
        <v>21883</v>
      </c>
    </row>
    <row r="700" spans="1:4" x14ac:dyDescent="0.2">
      <c r="A700">
        <v>3692877</v>
      </c>
      <c r="B700">
        <v>30065</v>
      </c>
      <c r="C700">
        <v>302371</v>
      </c>
      <c r="D700">
        <v>21883</v>
      </c>
    </row>
    <row r="701" spans="1:4" x14ac:dyDescent="0.2">
      <c r="A701">
        <v>3692877</v>
      </c>
      <c r="B701">
        <v>30066</v>
      </c>
      <c r="C701">
        <v>302435</v>
      </c>
      <c r="D701">
        <v>21883</v>
      </c>
    </row>
    <row r="702" spans="1:4" x14ac:dyDescent="0.2">
      <c r="A702">
        <v>3692877</v>
      </c>
      <c r="B702">
        <v>30069</v>
      </c>
      <c r="C702">
        <v>302440</v>
      </c>
      <c r="D702">
        <v>21883</v>
      </c>
    </row>
    <row r="703" spans="1:4" x14ac:dyDescent="0.2">
      <c r="A703">
        <v>3692878</v>
      </c>
      <c r="B703">
        <v>30061</v>
      </c>
      <c r="C703">
        <v>302338</v>
      </c>
      <c r="D703">
        <v>21883</v>
      </c>
    </row>
    <row r="704" spans="1:4" x14ac:dyDescent="0.2">
      <c r="A704">
        <v>3692878</v>
      </c>
      <c r="B704">
        <v>30062</v>
      </c>
      <c r="C704">
        <v>302355</v>
      </c>
      <c r="D704">
        <v>21883</v>
      </c>
    </row>
    <row r="705" spans="1:4" x14ac:dyDescent="0.2">
      <c r="A705">
        <v>3692878</v>
      </c>
      <c r="B705">
        <v>30063</v>
      </c>
      <c r="C705">
        <v>302353</v>
      </c>
      <c r="D705">
        <v>21883</v>
      </c>
    </row>
    <row r="706" spans="1:4" x14ac:dyDescent="0.2">
      <c r="A706">
        <v>3692878</v>
      </c>
      <c r="B706">
        <v>30064</v>
      </c>
      <c r="C706">
        <v>302389</v>
      </c>
      <c r="D706">
        <v>21883</v>
      </c>
    </row>
    <row r="707" spans="1:4" x14ac:dyDescent="0.2">
      <c r="A707">
        <v>3692878</v>
      </c>
      <c r="B707">
        <v>30065</v>
      </c>
      <c r="C707">
        <v>302371</v>
      </c>
      <c r="D707">
        <v>21883</v>
      </c>
    </row>
    <row r="708" spans="1:4" x14ac:dyDescent="0.2">
      <c r="A708">
        <v>3692878</v>
      </c>
      <c r="B708">
        <v>30066</v>
      </c>
      <c r="C708">
        <v>302435</v>
      </c>
      <c r="D708">
        <v>21883</v>
      </c>
    </row>
    <row r="709" spans="1:4" x14ac:dyDescent="0.2">
      <c r="A709">
        <v>3692878</v>
      </c>
      <c r="B709">
        <v>30069</v>
      </c>
      <c r="C709">
        <v>302440</v>
      </c>
      <c r="D709">
        <v>21883</v>
      </c>
    </row>
    <row r="710" spans="1:4" x14ac:dyDescent="0.2">
      <c r="A710">
        <v>3692879</v>
      </c>
      <c r="B710">
        <v>30061</v>
      </c>
      <c r="C710">
        <v>302338</v>
      </c>
      <c r="D710">
        <v>21883</v>
      </c>
    </row>
    <row r="711" spans="1:4" x14ac:dyDescent="0.2">
      <c r="A711">
        <v>3692879</v>
      </c>
      <c r="B711">
        <v>30062</v>
      </c>
      <c r="C711">
        <v>302355</v>
      </c>
      <c r="D711">
        <v>21883</v>
      </c>
    </row>
    <row r="712" spans="1:4" x14ac:dyDescent="0.2">
      <c r="A712">
        <v>3692879</v>
      </c>
      <c r="B712">
        <v>30063</v>
      </c>
      <c r="C712">
        <v>302353</v>
      </c>
      <c r="D712">
        <v>21883</v>
      </c>
    </row>
    <row r="713" spans="1:4" x14ac:dyDescent="0.2">
      <c r="A713">
        <v>3692879</v>
      </c>
      <c r="B713">
        <v>30064</v>
      </c>
      <c r="C713">
        <v>302389</v>
      </c>
      <c r="D713">
        <v>21883</v>
      </c>
    </row>
    <row r="714" spans="1:4" x14ac:dyDescent="0.2">
      <c r="A714">
        <v>3692879</v>
      </c>
      <c r="B714">
        <v>30065</v>
      </c>
      <c r="C714">
        <v>302372</v>
      </c>
      <c r="D714">
        <v>21883</v>
      </c>
    </row>
    <row r="715" spans="1:4" x14ac:dyDescent="0.2">
      <c r="A715">
        <v>3692879</v>
      </c>
      <c r="B715">
        <v>30066</v>
      </c>
      <c r="C715">
        <v>302438</v>
      </c>
      <c r="D715">
        <v>21883</v>
      </c>
    </row>
    <row r="716" spans="1:4" x14ac:dyDescent="0.2">
      <c r="A716">
        <v>3692879</v>
      </c>
      <c r="B716">
        <v>30069</v>
      </c>
      <c r="C716">
        <v>302440</v>
      </c>
      <c r="D716">
        <v>21883</v>
      </c>
    </row>
    <row r="717" spans="1:4" x14ac:dyDescent="0.2">
      <c r="A717">
        <v>3692880</v>
      </c>
      <c r="B717">
        <v>30061</v>
      </c>
      <c r="C717">
        <v>302338</v>
      </c>
      <c r="D717">
        <v>21883</v>
      </c>
    </row>
    <row r="718" spans="1:4" x14ac:dyDescent="0.2">
      <c r="A718">
        <v>3692880</v>
      </c>
      <c r="B718">
        <v>30062</v>
      </c>
      <c r="C718">
        <v>302355</v>
      </c>
      <c r="D718">
        <v>21883</v>
      </c>
    </row>
    <row r="719" spans="1:4" x14ac:dyDescent="0.2">
      <c r="A719">
        <v>3692880</v>
      </c>
      <c r="B719">
        <v>30063</v>
      </c>
      <c r="C719">
        <v>302353</v>
      </c>
      <c r="D719">
        <v>21883</v>
      </c>
    </row>
    <row r="720" spans="1:4" x14ac:dyDescent="0.2">
      <c r="A720">
        <v>3692880</v>
      </c>
      <c r="B720">
        <v>30064</v>
      </c>
      <c r="C720">
        <v>302389</v>
      </c>
      <c r="D720">
        <v>21883</v>
      </c>
    </row>
    <row r="721" spans="1:4" x14ac:dyDescent="0.2">
      <c r="A721">
        <v>3692880</v>
      </c>
      <c r="B721">
        <v>30065</v>
      </c>
      <c r="C721">
        <v>302372</v>
      </c>
      <c r="D721">
        <v>21883</v>
      </c>
    </row>
    <row r="722" spans="1:4" x14ac:dyDescent="0.2">
      <c r="A722">
        <v>3692880</v>
      </c>
      <c r="B722">
        <v>30066</v>
      </c>
      <c r="C722">
        <v>302438</v>
      </c>
      <c r="D722">
        <v>21883</v>
      </c>
    </row>
    <row r="723" spans="1:4" x14ac:dyDescent="0.2">
      <c r="A723">
        <v>3692881</v>
      </c>
      <c r="B723">
        <v>30061</v>
      </c>
      <c r="C723">
        <v>302338</v>
      </c>
      <c r="D723">
        <v>21883</v>
      </c>
    </row>
    <row r="724" spans="1:4" x14ac:dyDescent="0.2">
      <c r="A724">
        <v>3692881</v>
      </c>
      <c r="B724">
        <v>30062</v>
      </c>
      <c r="C724">
        <v>302355</v>
      </c>
      <c r="D724">
        <v>21883</v>
      </c>
    </row>
    <row r="725" spans="1:4" x14ac:dyDescent="0.2">
      <c r="A725">
        <v>3692881</v>
      </c>
      <c r="B725">
        <v>30063</v>
      </c>
      <c r="C725">
        <v>302353</v>
      </c>
      <c r="D725">
        <v>21883</v>
      </c>
    </row>
    <row r="726" spans="1:4" x14ac:dyDescent="0.2">
      <c r="A726">
        <v>3692881</v>
      </c>
      <c r="B726">
        <v>30064</v>
      </c>
      <c r="C726">
        <v>302389</v>
      </c>
      <c r="D726">
        <v>21883</v>
      </c>
    </row>
    <row r="727" spans="1:4" x14ac:dyDescent="0.2">
      <c r="A727">
        <v>3692881</v>
      </c>
      <c r="B727">
        <v>30065</v>
      </c>
      <c r="C727">
        <v>302373</v>
      </c>
      <c r="D727">
        <v>21883</v>
      </c>
    </row>
    <row r="728" spans="1:4" x14ac:dyDescent="0.2">
      <c r="A728">
        <v>3692881</v>
      </c>
      <c r="B728">
        <v>30066</v>
      </c>
      <c r="C728">
        <v>302438</v>
      </c>
      <c r="D728">
        <v>21883</v>
      </c>
    </row>
    <row r="729" spans="1:4" x14ac:dyDescent="0.2">
      <c r="A729">
        <v>3692882</v>
      </c>
      <c r="B729">
        <v>30061</v>
      </c>
      <c r="C729">
        <v>302338</v>
      </c>
      <c r="D729">
        <v>21883</v>
      </c>
    </row>
    <row r="730" spans="1:4" x14ac:dyDescent="0.2">
      <c r="A730">
        <v>3692882</v>
      </c>
      <c r="B730">
        <v>30062</v>
      </c>
      <c r="C730">
        <v>302355</v>
      </c>
      <c r="D730">
        <v>21883</v>
      </c>
    </row>
    <row r="731" spans="1:4" x14ac:dyDescent="0.2">
      <c r="A731">
        <v>3692882</v>
      </c>
      <c r="B731">
        <v>30063</v>
      </c>
      <c r="C731">
        <v>302353</v>
      </c>
      <c r="D731">
        <v>21883</v>
      </c>
    </row>
    <row r="732" spans="1:4" x14ac:dyDescent="0.2">
      <c r="A732">
        <v>3692882</v>
      </c>
      <c r="B732">
        <v>30064</v>
      </c>
      <c r="C732">
        <v>302389</v>
      </c>
      <c r="D732">
        <v>21883</v>
      </c>
    </row>
    <row r="733" spans="1:4" x14ac:dyDescent="0.2">
      <c r="A733">
        <v>3692882</v>
      </c>
      <c r="B733">
        <v>30065</v>
      </c>
      <c r="C733">
        <v>302373</v>
      </c>
      <c r="D733">
        <v>21883</v>
      </c>
    </row>
    <row r="734" spans="1:4" x14ac:dyDescent="0.2">
      <c r="A734">
        <v>3692882</v>
      </c>
      <c r="B734">
        <v>30066</v>
      </c>
      <c r="C734">
        <v>302438</v>
      </c>
      <c r="D734">
        <v>21883</v>
      </c>
    </row>
    <row r="735" spans="1:4" x14ac:dyDescent="0.2">
      <c r="A735">
        <v>3692883</v>
      </c>
      <c r="B735">
        <v>30061</v>
      </c>
      <c r="C735">
        <v>302338</v>
      </c>
      <c r="D735">
        <v>21883</v>
      </c>
    </row>
    <row r="736" spans="1:4" x14ac:dyDescent="0.2">
      <c r="A736">
        <v>3692883</v>
      </c>
      <c r="B736">
        <v>30062</v>
      </c>
      <c r="C736">
        <v>302355</v>
      </c>
      <c r="D736">
        <v>21883</v>
      </c>
    </row>
    <row r="737" spans="1:4" x14ac:dyDescent="0.2">
      <c r="A737">
        <v>3692883</v>
      </c>
      <c r="B737">
        <v>30063</v>
      </c>
      <c r="C737">
        <v>302353</v>
      </c>
      <c r="D737">
        <v>21883</v>
      </c>
    </row>
    <row r="738" spans="1:4" x14ac:dyDescent="0.2">
      <c r="A738">
        <v>3692883</v>
      </c>
      <c r="B738">
        <v>30064</v>
      </c>
      <c r="C738">
        <v>302389</v>
      </c>
      <c r="D738">
        <v>21883</v>
      </c>
    </row>
    <row r="739" spans="1:4" x14ac:dyDescent="0.2">
      <c r="A739">
        <v>3692883</v>
      </c>
      <c r="B739">
        <v>30065</v>
      </c>
      <c r="C739">
        <v>302405</v>
      </c>
      <c r="D739">
        <v>21883</v>
      </c>
    </row>
    <row r="740" spans="1:4" x14ac:dyDescent="0.2">
      <c r="A740">
        <v>3692883</v>
      </c>
      <c r="B740">
        <v>30066</v>
      </c>
      <c r="C740">
        <v>302438</v>
      </c>
      <c r="D740">
        <v>21883</v>
      </c>
    </row>
    <row r="741" spans="1:4" x14ac:dyDescent="0.2">
      <c r="A741">
        <v>3692884</v>
      </c>
      <c r="B741">
        <v>30061</v>
      </c>
      <c r="C741">
        <v>302338</v>
      </c>
      <c r="D741">
        <v>21883</v>
      </c>
    </row>
    <row r="742" spans="1:4" x14ac:dyDescent="0.2">
      <c r="A742">
        <v>3692884</v>
      </c>
      <c r="B742">
        <v>30062</v>
      </c>
      <c r="C742">
        <v>302355</v>
      </c>
      <c r="D742">
        <v>21883</v>
      </c>
    </row>
    <row r="743" spans="1:4" x14ac:dyDescent="0.2">
      <c r="A743">
        <v>3692884</v>
      </c>
      <c r="B743">
        <v>30063</v>
      </c>
      <c r="C743">
        <v>302353</v>
      </c>
      <c r="D743">
        <v>21883</v>
      </c>
    </row>
    <row r="744" spans="1:4" x14ac:dyDescent="0.2">
      <c r="A744">
        <v>3692884</v>
      </c>
      <c r="B744">
        <v>30064</v>
      </c>
      <c r="C744">
        <v>302389</v>
      </c>
      <c r="D744">
        <v>21883</v>
      </c>
    </row>
    <row r="745" spans="1:4" x14ac:dyDescent="0.2">
      <c r="A745">
        <v>3692884</v>
      </c>
      <c r="B745">
        <v>30065</v>
      </c>
      <c r="C745">
        <v>302405</v>
      </c>
      <c r="D745">
        <v>21883</v>
      </c>
    </row>
    <row r="746" spans="1:4" x14ac:dyDescent="0.2">
      <c r="A746">
        <v>3692884</v>
      </c>
      <c r="B746">
        <v>30066</v>
      </c>
      <c r="C746">
        <v>302438</v>
      </c>
      <c r="D746">
        <v>21883</v>
      </c>
    </row>
    <row r="747" spans="1:4" x14ac:dyDescent="0.2">
      <c r="A747">
        <v>3692885</v>
      </c>
      <c r="B747">
        <v>30061</v>
      </c>
      <c r="C747">
        <v>302338</v>
      </c>
      <c r="D747">
        <v>21883</v>
      </c>
    </row>
    <row r="748" spans="1:4" x14ac:dyDescent="0.2">
      <c r="A748">
        <v>3692885</v>
      </c>
      <c r="B748">
        <v>30062</v>
      </c>
      <c r="C748">
        <v>302355</v>
      </c>
      <c r="D748">
        <v>21883</v>
      </c>
    </row>
    <row r="749" spans="1:4" x14ac:dyDescent="0.2">
      <c r="A749">
        <v>3692885</v>
      </c>
      <c r="B749">
        <v>30063</v>
      </c>
      <c r="C749">
        <v>302353</v>
      </c>
      <c r="D749">
        <v>21883</v>
      </c>
    </row>
    <row r="750" spans="1:4" x14ac:dyDescent="0.2">
      <c r="A750">
        <v>3692885</v>
      </c>
      <c r="B750">
        <v>30064</v>
      </c>
      <c r="C750">
        <v>302389</v>
      </c>
      <c r="D750">
        <v>21883</v>
      </c>
    </row>
    <row r="751" spans="1:4" x14ac:dyDescent="0.2">
      <c r="A751">
        <v>3692885</v>
      </c>
      <c r="B751">
        <v>30065</v>
      </c>
      <c r="C751">
        <v>302406</v>
      </c>
      <c r="D751">
        <v>21883</v>
      </c>
    </row>
    <row r="752" spans="1:4" x14ac:dyDescent="0.2">
      <c r="A752">
        <v>3692885</v>
      </c>
      <c r="B752">
        <v>30066</v>
      </c>
      <c r="C752">
        <v>302438</v>
      </c>
      <c r="D752">
        <v>21883</v>
      </c>
    </row>
    <row r="753" spans="1:4" x14ac:dyDescent="0.2">
      <c r="A753">
        <v>3692885</v>
      </c>
      <c r="B753">
        <v>30069</v>
      </c>
      <c r="C753">
        <v>302442</v>
      </c>
      <c r="D753">
        <v>21883</v>
      </c>
    </row>
    <row r="754" spans="1:4" x14ac:dyDescent="0.2">
      <c r="A754">
        <v>3692886</v>
      </c>
      <c r="B754">
        <v>30061</v>
      </c>
      <c r="C754">
        <v>302338</v>
      </c>
      <c r="D754">
        <v>21883</v>
      </c>
    </row>
    <row r="755" spans="1:4" x14ac:dyDescent="0.2">
      <c r="A755">
        <v>3692886</v>
      </c>
      <c r="B755">
        <v>30062</v>
      </c>
      <c r="C755">
        <v>302355</v>
      </c>
      <c r="D755">
        <v>21883</v>
      </c>
    </row>
    <row r="756" spans="1:4" x14ac:dyDescent="0.2">
      <c r="A756">
        <v>3692886</v>
      </c>
      <c r="B756">
        <v>30063</v>
      </c>
      <c r="C756">
        <v>302353</v>
      </c>
      <c r="D756">
        <v>21883</v>
      </c>
    </row>
    <row r="757" spans="1:4" x14ac:dyDescent="0.2">
      <c r="A757">
        <v>3692886</v>
      </c>
      <c r="B757">
        <v>30064</v>
      </c>
      <c r="C757">
        <v>302389</v>
      </c>
      <c r="D757">
        <v>21883</v>
      </c>
    </row>
    <row r="758" spans="1:4" x14ac:dyDescent="0.2">
      <c r="A758">
        <v>3692886</v>
      </c>
      <c r="B758">
        <v>30065</v>
      </c>
      <c r="C758">
        <v>302406</v>
      </c>
      <c r="D758">
        <v>21883</v>
      </c>
    </row>
    <row r="759" spans="1:4" x14ac:dyDescent="0.2">
      <c r="A759">
        <v>3692886</v>
      </c>
      <c r="B759">
        <v>30066</v>
      </c>
      <c r="C759">
        <v>302438</v>
      </c>
      <c r="D759">
        <v>21883</v>
      </c>
    </row>
    <row r="760" spans="1:4" x14ac:dyDescent="0.2">
      <c r="A760">
        <v>3692886</v>
      </c>
      <c r="B760">
        <v>30069</v>
      </c>
      <c r="C760">
        <v>302442</v>
      </c>
      <c r="D760">
        <v>21883</v>
      </c>
    </row>
    <row r="761" spans="1:4" x14ac:dyDescent="0.2">
      <c r="A761">
        <v>3692887</v>
      </c>
      <c r="B761">
        <v>30063</v>
      </c>
      <c r="C761">
        <v>302353</v>
      </c>
      <c r="D761">
        <v>21883</v>
      </c>
    </row>
    <row r="762" spans="1:4" x14ac:dyDescent="0.2">
      <c r="A762">
        <v>3692887</v>
      </c>
      <c r="B762">
        <v>30064</v>
      </c>
      <c r="C762">
        <v>302389</v>
      </c>
      <c r="D762">
        <v>21883</v>
      </c>
    </row>
    <row r="763" spans="1:4" x14ac:dyDescent="0.2">
      <c r="A763">
        <v>3692887</v>
      </c>
      <c r="B763">
        <v>30065</v>
      </c>
      <c r="C763">
        <v>302404</v>
      </c>
      <c r="D763">
        <v>21883</v>
      </c>
    </row>
    <row r="764" spans="1:4" x14ac:dyDescent="0.2">
      <c r="A764">
        <v>3692887</v>
      </c>
      <c r="B764">
        <v>30066</v>
      </c>
      <c r="C764">
        <v>302438</v>
      </c>
      <c r="D764">
        <v>21883</v>
      </c>
    </row>
    <row r="765" spans="1:4" x14ac:dyDescent="0.2">
      <c r="A765">
        <v>3692887</v>
      </c>
      <c r="B765">
        <v>30069</v>
      </c>
      <c r="C765">
        <v>302446</v>
      </c>
      <c r="D765">
        <v>21883</v>
      </c>
    </row>
    <row r="766" spans="1:4" x14ac:dyDescent="0.2">
      <c r="A766">
        <v>3692888</v>
      </c>
      <c r="B766">
        <v>30063</v>
      </c>
      <c r="C766">
        <v>302353</v>
      </c>
      <c r="D766">
        <v>21883</v>
      </c>
    </row>
    <row r="767" spans="1:4" x14ac:dyDescent="0.2">
      <c r="A767">
        <v>3692888</v>
      </c>
      <c r="B767">
        <v>30064</v>
      </c>
      <c r="C767">
        <v>302389</v>
      </c>
      <c r="D767">
        <v>21883</v>
      </c>
    </row>
    <row r="768" spans="1:4" x14ac:dyDescent="0.2">
      <c r="A768">
        <v>3692888</v>
      </c>
      <c r="B768">
        <v>30065</v>
      </c>
      <c r="C768">
        <v>302404</v>
      </c>
      <c r="D768">
        <v>21883</v>
      </c>
    </row>
    <row r="769" spans="1:4" x14ac:dyDescent="0.2">
      <c r="A769">
        <v>3692888</v>
      </c>
      <c r="B769">
        <v>30066</v>
      </c>
      <c r="C769">
        <v>302438</v>
      </c>
      <c r="D769">
        <v>21883</v>
      </c>
    </row>
    <row r="770" spans="1:4" x14ac:dyDescent="0.2">
      <c r="A770">
        <v>3692888</v>
      </c>
      <c r="B770">
        <v>30069</v>
      </c>
      <c r="C770">
        <v>302446</v>
      </c>
      <c r="D770">
        <v>21883</v>
      </c>
    </row>
    <row r="771" spans="1:4" x14ac:dyDescent="0.2">
      <c r="A771">
        <v>3692889</v>
      </c>
      <c r="B771">
        <v>30063</v>
      </c>
      <c r="C771">
        <v>302353</v>
      </c>
      <c r="D771">
        <v>21883</v>
      </c>
    </row>
    <row r="772" spans="1:4" x14ac:dyDescent="0.2">
      <c r="A772">
        <v>3692889</v>
      </c>
      <c r="B772">
        <v>30064</v>
      </c>
      <c r="C772">
        <v>302389</v>
      </c>
      <c r="D772">
        <v>21883</v>
      </c>
    </row>
    <row r="773" spans="1:4" x14ac:dyDescent="0.2">
      <c r="A773">
        <v>3692889</v>
      </c>
      <c r="B773">
        <v>30065</v>
      </c>
      <c r="C773">
        <v>302404</v>
      </c>
      <c r="D773">
        <v>21883</v>
      </c>
    </row>
    <row r="774" spans="1:4" x14ac:dyDescent="0.2">
      <c r="A774">
        <v>3692889</v>
      </c>
      <c r="B774">
        <v>30066</v>
      </c>
      <c r="C774">
        <v>302438</v>
      </c>
      <c r="D774">
        <v>21883</v>
      </c>
    </row>
    <row r="775" spans="1:4" x14ac:dyDescent="0.2">
      <c r="A775">
        <v>3692889</v>
      </c>
      <c r="B775">
        <v>30069</v>
      </c>
      <c r="C775">
        <v>302446</v>
      </c>
      <c r="D775">
        <v>21883</v>
      </c>
    </row>
    <row r="776" spans="1:4" x14ac:dyDescent="0.2">
      <c r="A776">
        <v>3692890</v>
      </c>
      <c r="B776">
        <v>30063</v>
      </c>
      <c r="C776">
        <v>302353</v>
      </c>
      <c r="D776">
        <v>21883</v>
      </c>
    </row>
    <row r="777" spans="1:4" x14ac:dyDescent="0.2">
      <c r="A777">
        <v>3692890</v>
      </c>
      <c r="B777">
        <v>30064</v>
      </c>
      <c r="C777">
        <v>302389</v>
      </c>
      <c r="D777">
        <v>21883</v>
      </c>
    </row>
    <row r="778" spans="1:4" x14ac:dyDescent="0.2">
      <c r="A778">
        <v>3692890</v>
      </c>
      <c r="B778">
        <v>30065</v>
      </c>
      <c r="C778">
        <v>302404</v>
      </c>
      <c r="D778">
        <v>21883</v>
      </c>
    </row>
    <row r="779" spans="1:4" x14ac:dyDescent="0.2">
      <c r="A779">
        <v>3692890</v>
      </c>
      <c r="B779">
        <v>30066</v>
      </c>
      <c r="C779">
        <v>302438</v>
      </c>
      <c r="D779">
        <v>21883</v>
      </c>
    </row>
    <row r="780" spans="1:4" x14ac:dyDescent="0.2">
      <c r="A780">
        <v>3692890</v>
      </c>
      <c r="B780">
        <v>30069</v>
      </c>
      <c r="C780">
        <v>302446</v>
      </c>
      <c r="D780">
        <v>21883</v>
      </c>
    </row>
    <row r="781" spans="1:4" x14ac:dyDescent="0.2">
      <c r="A781">
        <v>3692891</v>
      </c>
      <c r="B781">
        <v>30063</v>
      </c>
      <c r="C781">
        <v>302353</v>
      </c>
      <c r="D781">
        <v>21883</v>
      </c>
    </row>
    <row r="782" spans="1:4" x14ac:dyDescent="0.2">
      <c r="A782">
        <v>3692891</v>
      </c>
      <c r="B782">
        <v>30064</v>
      </c>
      <c r="C782">
        <v>302389</v>
      </c>
      <c r="D782">
        <v>21883</v>
      </c>
    </row>
    <row r="783" spans="1:4" x14ac:dyDescent="0.2">
      <c r="A783">
        <v>3692891</v>
      </c>
      <c r="B783">
        <v>30065</v>
      </c>
      <c r="C783">
        <v>302404</v>
      </c>
      <c r="D783">
        <v>21883</v>
      </c>
    </row>
    <row r="784" spans="1:4" x14ac:dyDescent="0.2">
      <c r="A784">
        <v>3692891</v>
      </c>
      <c r="B784">
        <v>30066</v>
      </c>
      <c r="C784">
        <v>302438</v>
      </c>
      <c r="D784">
        <v>21883</v>
      </c>
    </row>
    <row r="785" spans="1:4" x14ac:dyDescent="0.2">
      <c r="A785">
        <v>3692891</v>
      </c>
      <c r="B785">
        <v>30069</v>
      </c>
      <c r="C785">
        <v>302446</v>
      </c>
      <c r="D785">
        <v>21883</v>
      </c>
    </row>
    <row r="786" spans="1:4" x14ac:dyDescent="0.2">
      <c r="A786">
        <v>3692892</v>
      </c>
      <c r="B786">
        <v>30063</v>
      </c>
      <c r="C786">
        <v>302353</v>
      </c>
      <c r="D786">
        <v>21883</v>
      </c>
    </row>
    <row r="787" spans="1:4" x14ac:dyDescent="0.2">
      <c r="A787">
        <v>3692892</v>
      </c>
      <c r="B787">
        <v>30064</v>
      </c>
      <c r="C787">
        <v>302363</v>
      </c>
      <c r="D787">
        <v>21883</v>
      </c>
    </row>
    <row r="788" spans="1:4" x14ac:dyDescent="0.2">
      <c r="A788">
        <v>3692892</v>
      </c>
      <c r="B788">
        <v>30065</v>
      </c>
      <c r="C788">
        <v>302404</v>
      </c>
      <c r="D788">
        <v>21883</v>
      </c>
    </row>
    <row r="789" spans="1:4" x14ac:dyDescent="0.2">
      <c r="A789">
        <v>3692892</v>
      </c>
      <c r="B789">
        <v>30066</v>
      </c>
      <c r="C789">
        <v>302438</v>
      </c>
      <c r="D789">
        <v>21883</v>
      </c>
    </row>
    <row r="790" spans="1:4" x14ac:dyDescent="0.2">
      <c r="A790">
        <v>3692892</v>
      </c>
      <c r="B790">
        <v>30069</v>
      </c>
      <c r="C790">
        <v>302446</v>
      </c>
      <c r="D790">
        <v>21883</v>
      </c>
    </row>
    <row r="791" spans="1:4" x14ac:dyDescent="0.2">
      <c r="A791">
        <v>3692893</v>
      </c>
      <c r="B791">
        <v>30063</v>
      </c>
      <c r="C791">
        <v>302353</v>
      </c>
      <c r="D791">
        <v>21883</v>
      </c>
    </row>
    <row r="792" spans="1:4" x14ac:dyDescent="0.2">
      <c r="A792">
        <v>3692893</v>
      </c>
      <c r="B792">
        <v>30064</v>
      </c>
      <c r="C792">
        <v>302363</v>
      </c>
      <c r="D792">
        <v>21883</v>
      </c>
    </row>
    <row r="793" spans="1:4" x14ac:dyDescent="0.2">
      <c r="A793">
        <v>3692893</v>
      </c>
      <c r="B793">
        <v>30065</v>
      </c>
      <c r="C793">
        <v>302404</v>
      </c>
      <c r="D793">
        <v>21883</v>
      </c>
    </row>
    <row r="794" spans="1:4" x14ac:dyDescent="0.2">
      <c r="A794">
        <v>3692893</v>
      </c>
      <c r="B794">
        <v>30066</v>
      </c>
      <c r="C794">
        <v>302438</v>
      </c>
      <c r="D794">
        <v>21883</v>
      </c>
    </row>
    <row r="795" spans="1:4" x14ac:dyDescent="0.2">
      <c r="A795">
        <v>3692893</v>
      </c>
      <c r="B795">
        <v>30069</v>
      </c>
      <c r="C795">
        <v>302446</v>
      </c>
      <c r="D795">
        <v>21883</v>
      </c>
    </row>
    <row r="796" spans="1:4" x14ac:dyDescent="0.2">
      <c r="A796">
        <v>3692894</v>
      </c>
      <c r="B796">
        <v>30063</v>
      </c>
      <c r="C796">
        <v>302353</v>
      </c>
      <c r="D796">
        <v>21883</v>
      </c>
    </row>
    <row r="797" spans="1:4" x14ac:dyDescent="0.2">
      <c r="A797">
        <v>3692894</v>
      </c>
      <c r="B797">
        <v>30064</v>
      </c>
      <c r="C797">
        <v>302363</v>
      </c>
      <c r="D797">
        <v>21883</v>
      </c>
    </row>
    <row r="798" spans="1:4" x14ac:dyDescent="0.2">
      <c r="A798">
        <v>3692894</v>
      </c>
      <c r="B798">
        <v>30065</v>
      </c>
      <c r="C798">
        <v>302404</v>
      </c>
      <c r="D798">
        <v>21883</v>
      </c>
    </row>
    <row r="799" spans="1:4" x14ac:dyDescent="0.2">
      <c r="A799">
        <v>3692894</v>
      </c>
      <c r="B799">
        <v>30066</v>
      </c>
      <c r="C799">
        <v>302438</v>
      </c>
      <c r="D799">
        <v>21883</v>
      </c>
    </row>
    <row r="800" spans="1:4" x14ac:dyDescent="0.2">
      <c r="A800">
        <v>3692894</v>
      </c>
      <c r="B800">
        <v>30069</v>
      </c>
      <c r="C800">
        <v>302446</v>
      </c>
      <c r="D800">
        <v>21883</v>
      </c>
    </row>
    <row r="801" spans="1:4" x14ac:dyDescent="0.2">
      <c r="A801">
        <v>3692895</v>
      </c>
      <c r="B801">
        <v>30063</v>
      </c>
      <c r="C801">
        <v>302353</v>
      </c>
      <c r="D801">
        <v>21883</v>
      </c>
    </row>
    <row r="802" spans="1:4" x14ac:dyDescent="0.2">
      <c r="A802">
        <v>3692895</v>
      </c>
      <c r="B802">
        <v>30064</v>
      </c>
      <c r="C802">
        <v>302363</v>
      </c>
      <c r="D802">
        <v>21883</v>
      </c>
    </row>
    <row r="803" spans="1:4" x14ac:dyDescent="0.2">
      <c r="A803">
        <v>3692895</v>
      </c>
      <c r="B803">
        <v>30065</v>
      </c>
      <c r="C803">
        <v>302404</v>
      </c>
      <c r="D803">
        <v>21883</v>
      </c>
    </row>
    <row r="804" spans="1:4" x14ac:dyDescent="0.2">
      <c r="A804">
        <v>3692895</v>
      </c>
      <c r="B804">
        <v>30066</v>
      </c>
      <c r="C804">
        <v>302438</v>
      </c>
      <c r="D804">
        <v>21883</v>
      </c>
    </row>
    <row r="805" spans="1:4" x14ac:dyDescent="0.2">
      <c r="A805">
        <v>3692895</v>
      </c>
      <c r="B805">
        <v>30069</v>
      </c>
      <c r="C805">
        <v>302446</v>
      </c>
      <c r="D805">
        <v>21883</v>
      </c>
    </row>
    <row r="806" spans="1:4" x14ac:dyDescent="0.2">
      <c r="A806">
        <v>3692896</v>
      </c>
      <c r="B806">
        <v>30063</v>
      </c>
      <c r="C806">
        <v>302358</v>
      </c>
      <c r="D806">
        <v>21883</v>
      </c>
    </row>
    <row r="807" spans="1:4" x14ac:dyDescent="0.2">
      <c r="A807">
        <v>3692896</v>
      </c>
      <c r="B807">
        <v>30064</v>
      </c>
      <c r="C807">
        <v>302387</v>
      </c>
      <c r="D807">
        <v>21883</v>
      </c>
    </row>
    <row r="808" spans="1:4" x14ac:dyDescent="0.2">
      <c r="A808">
        <v>3692896</v>
      </c>
      <c r="B808">
        <v>30065</v>
      </c>
      <c r="C808">
        <v>302371</v>
      </c>
      <c r="D808">
        <v>21883</v>
      </c>
    </row>
    <row r="809" spans="1:4" x14ac:dyDescent="0.2">
      <c r="A809">
        <v>3692896</v>
      </c>
      <c r="B809">
        <v>30066</v>
      </c>
      <c r="C809">
        <v>302438</v>
      </c>
      <c r="D809">
        <v>21883</v>
      </c>
    </row>
    <row r="810" spans="1:4" x14ac:dyDescent="0.2">
      <c r="A810">
        <v>3692896</v>
      </c>
      <c r="B810">
        <v>30069</v>
      </c>
      <c r="C810">
        <v>302446</v>
      </c>
      <c r="D810">
        <v>21883</v>
      </c>
    </row>
    <row r="811" spans="1:4" x14ac:dyDescent="0.2">
      <c r="A811">
        <v>3692897</v>
      </c>
      <c r="B811">
        <v>30063</v>
      </c>
      <c r="C811">
        <v>302358</v>
      </c>
      <c r="D811">
        <v>21883</v>
      </c>
    </row>
    <row r="812" spans="1:4" x14ac:dyDescent="0.2">
      <c r="A812">
        <v>3692897</v>
      </c>
      <c r="B812">
        <v>30064</v>
      </c>
      <c r="C812">
        <v>302387</v>
      </c>
      <c r="D812">
        <v>21883</v>
      </c>
    </row>
    <row r="813" spans="1:4" x14ac:dyDescent="0.2">
      <c r="A813">
        <v>3692897</v>
      </c>
      <c r="B813">
        <v>30065</v>
      </c>
      <c r="C813">
        <v>302371</v>
      </c>
      <c r="D813">
        <v>21883</v>
      </c>
    </row>
    <row r="814" spans="1:4" x14ac:dyDescent="0.2">
      <c r="A814">
        <v>3692897</v>
      </c>
      <c r="B814">
        <v>30066</v>
      </c>
      <c r="C814">
        <v>302438</v>
      </c>
      <c r="D814">
        <v>21883</v>
      </c>
    </row>
    <row r="815" spans="1:4" x14ac:dyDescent="0.2">
      <c r="A815">
        <v>3692897</v>
      </c>
      <c r="B815">
        <v>30069</v>
      </c>
      <c r="C815">
        <v>302446</v>
      </c>
      <c r="D815">
        <v>21883</v>
      </c>
    </row>
    <row r="816" spans="1:4" x14ac:dyDescent="0.2">
      <c r="A816">
        <v>3692898</v>
      </c>
      <c r="B816">
        <v>30063</v>
      </c>
      <c r="C816">
        <v>302358</v>
      </c>
      <c r="D816">
        <v>21883</v>
      </c>
    </row>
    <row r="817" spans="1:4" x14ac:dyDescent="0.2">
      <c r="A817">
        <v>3692898</v>
      </c>
      <c r="B817">
        <v>30064</v>
      </c>
      <c r="C817">
        <v>302387</v>
      </c>
      <c r="D817">
        <v>21883</v>
      </c>
    </row>
    <row r="818" spans="1:4" x14ac:dyDescent="0.2">
      <c r="A818">
        <v>3692898</v>
      </c>
      <c r="B818">
        <v>30065</v>
      </c>
      <c r="C818">
        <v>302371</v>
      </c>
      <c r="D818">
        <v>21883</v>
      </c>
    </row>
    <row r="819" spans="1:4" x14ac:dyDescent="0.2">
      <c r="A819">
        <v>3692898</v>
      </c>
      <c r="B819">
        <v>30066</v>
      </c>
      <c r="C819">
        <v>302438</v>
      </c>
      <c r="D819">
        <v>21883</v>
      </c>
    </row>
    <row r="820" spans="1:4" x14ac:dyDescent="0.2">
      <c r="A820">
        <v>3692898</v>
      </c>
      <c r="B820">
        <v>30069</v>
      </c>
      <c r="C820">
        <v>302446</v>
      </c>
      <c r="D820">
        <v>21883</v>
      </c>
    </row>
    <row r="821" spans="1:4" x14ac:dyDescent="0.2">
      <c r="A821">
        <v>3692899</v>
      </c>
      <c r="B821">
        <v>30063</v>
      </c>
      <c r="C821">
        <v>302358</v>
      </c>
      <c r="D821">
        <v>21883</v>
      </c>
    </row>
    <row r="822" spans="1:4" x14ac:dyDescent="0.2">
      <c r="A822">
        <v>3692899</v>
      </c>
      <c r="B822">
        <v>30064</v>
      </c>
      <c r="C822">
        <v>302389</v>
      </c>
      <c r="D822">
        <v>21883</v>
      </c>
    </row>
    <row r="823" spans="1:4" x14ac:dyDescent="0.2">
      <c r="A823">
        <v>3692899</v>
      </c>
      <c r="B823">
        <v>30065</v>
      </c>
      <c r="C823">
        <v>302371</v>
      </c>
      <c r="D823">
        <v>21883</v>
      </c>
    </row>
    <row r="824" spans="1:4" x14ac:dyDescent="0.2">
      <c r="A824">
        <v>3692899</v>
      </c>
      <c r="B824">
        <v>30066</v>
      </c>
      <c r="C824">
        <v>302438</v>
      </c>
      <c r="D824">
        <v>21883</v>
      </c>
    </row>
    <row r="825" spans="1:4" x14ac:dyDescent="0.2">
      <c r="A825">
        <v>3692899</v>
      </c>
      <c r="B825">
        <v>30069</v>
      </c>
      <c r="C825">
        <v>302439</v>
      </c>
      <c r="D825">
        <v>21883</v>
      </c>
    </row>
    <row r="826" spans="1:4" x14ac:dyDescent="0.2">
      <c r="A826">
        <v>3692900</v>
      </c>
      <c r="B826">
        <v>30063</v>
      </c>
      <c r="C826">
        <v>302356</v>
      </c>
      <c r="D826">
        <v>21883</v>
      </c>
    </row>
    <row r="827" spans="1:4" x14ac:dyDescent="0.2">
      <c r="A827">
        <v>3692900</v>
      </c>
      <c r="B827">
        <v>30064</v>
      </c>
      <c r="C827">
        <v>302409</v>
      </c>
      <c r="D827">
        <v>21883</v>
      </c>
    </row>
    <row r="828" spans="1:4" x14ac:dyDescent="0.2">
      <c r="A828">
        <v>3692900</v>
      </c>
      <c r="B828">
        <v>30065</v>
      </c>
      <c r="C828">
        <v>302371</v>
      </c>
      <c r="D828">
        <v>21883</v>
      </c>
    </row>
    <row r="829" spans="1:4" x14ac:dyDescent="0.2">
      <c r="A829">
        <v>3692900</v>
      </c>
      <c r="B829">
        <v>30066</v>
      </c>
      <c r="C829">
        <v>302438</v>
      </c>
      <c r="D829">
        <v>21883</v>
      </c>
    </row>
    <row r="830" spans="1:4" x14ac:dyDescent="0.2">
      <c r="A830">
        <v>3692900</v>
      </c>
      <c r="B830">
        <v>30069</v>
      </c>
      <c r="C830">
        <v>302439</v>
      </c>
      <c r="D830">
        <v>21883</v>
      </c>
    </row>
    <row r="831" spans="1:4" x14ac:dyDescent="0.2">
      <c r="A831">
        <v>3692901</v>
      </c>
      <c r="B831">
        <v>30063</v>
      </c>
      <c r="C831">
        <v>302358</v>
      </c>
      <c r="D831">
        <v>21883</v>
      </c>
    </row>
    <row r="832" spans="1:4" x14ac:dyDescent="0.2">
      <c r="A832">
        <v>3692901</v>
      </c>
      <c r="B832">
        <v>30064</v>
      </c>
      <c r="C832">
        <v>302389</v>
      </c>
      <c r="D832">
        <v>21883</v>
      </c>
    </row>
    <row r="833" spans="1:4" x14ac:dyDescent="0.2">
      <c r="A833">
        <v>3692901</v>
      </c>
      <c r="B833">
        <v>30065</v>
      </c>
      <c r="C833">
        <v>302371</v>
      </c>
      <c r="D833">
        <v>21883</v>
      </c>
    </row>
    <row r="834" spans="1:4" x14ac:dyDescent="0.2">
      <c r="A834">
        <v>3692901</v>
      </c>
      <c r="B834">
        <v>30066</v>
      </c>
      <c r="C834">
        <v>302436</v>
      </c>
      <c r="D834">
        <v>21883</v>
      </c>
    </row>
    <row r="835" spans="1:4" x14ac:dyDescent="0.2">
      <c r="A835">
        <v>3692902</v>
      </c>
      <c r="B835">
        <v>30063</v>
      </c>
      <c r="C835">
        <v>302357</v>
      </c>
      <c r="D835">
        <v>21883</v>
      </c>
    </row>
    <row r="836" spans="1:4" x14ac:dyDescent="0.2">
      <c r="A836">
        <v>3692902</v>
      </c>
      <c r="B836">
        <v>30064</v>
      </c>
      <c r="C836">
        <v>302418</v>
      </c>
      <c r="D836">
        <v>21883</v>
      </c>
    </row>
    <row r="837" spans="1:4" x14ac:dyDescent="0.2">
      <c r="A837">
        <v>3692902</v>
      </c>
      <c r="B837">
        <v>30065</v>
      </c>
      <c r="C837">
        <v>302371</v>
      </c>
      <c r="D837">
        <v>21883</v>
      </c>
    </row>
    <row r="838" spans="1:4" x14ac:dyDescent="0.2">
      <c r="A838">
        <v>3692902</v>
      </c>
      <c r="B838">
        <v>30066</v>
      </c>
      <c r="C838">
        <v>302436</v>
      </c>
      <c r="D838">
        <v>21883</v>
      </c>
    </row>
    <row r="839" spans="1:4" x14ac:dyDescent="0.2">
      <c r="A839">
        <v>3692903</v>
      </c>
      <c r="B839">
        <v>30063</v>
      </c>
      <c r="C839">
        <v>302357</v>
      </c>
      <c r="D839">
        <v>21883</v>
      </c>
    </row>
    <row r="840" spans="1:4" x14ac:dyDescent="0.2">
      <c r="A840">
        <v>3692903</v>
      </c>
      <c r="B840">
        <v>30064</v>
      </c>
      <c r="C840">
        <v>302418</v>
      </c>
      <c r="D840">
        <v>21883</v>
      </c>
    </row>
    <row r="841" spans="1:4" x14ac:dyDescent="0.2">
      <c r="A841">
        <v>3692903</v>
      </c>
      <c r="B841">
        <v>30065</v>
      </c>
      <c r="C841">
        <v>302371</v>
      </c>
      <c r="D841">
        <v>21883</v>
      </c>
    </row>
    <row r="842" spans="1:4" x14ac:dyDescent="0.2">
      <c r="A842">
        <v>3692903</v>
      </c>
      <c r="B842">
        <v>30066</v>
      </c>
      <c r="C842">
        <v>302436</v>
      </c>
      <c r="D842">
        <v>21883</v>
      </c>
    </row>
    <row r="843" spans="1:4" x14ac:dyDescent="0.2">
      <c r="A843">
        <v>3692904</v>
      </c>
      <c r="B843">
        <v>30063</v>
      </c>
      <c r="C843">
        <v>302357</v>
      </c>
      <c r="D843">
        <v>21883</v>
      </c>
    </row>
    <row r="844" spans="1:4" x14ac:dyDescent="0.2">
      <c r="A844">
        <v>3692904</v>
      </c>
      <c r="B844">
        <v>30064</v>
      </c>
      <c r="C844">
        <v>302360</v>
      </c>
      <c r="D844">
        <v>21883</v>
      </c>
    </row>
    <row r="845" spans="1:4" x14ac:dyDescent="0.2">
      <c r="A845">
        <v>3692904</v>
      </c>
      <c r="B845">
        <v>30065</v>
      </c>
      <c r="C845">
        <v>302371</v>
      </c>
      <c r="D845">
        <v>21883</v>
      </c>
    </row>
    <row r="846" spans="1:4" x14ac:dyDescent="0.2">
      <c r="A846">
        <v>3692904</v>
      </c>
      <c r="B846">
        <v>30066</v>
      </c>
      <c r="C846">
        <v>302436</v>
      </c>
      <c r="D846">
        <v>21883</v>
      </c>
    </row>
    <row r="847" spans="1:4" x14ac:dyDescent="0.2">
      <c r="A847">
        <v>3692904</v>
      </c>
      <c r="B847">
        <v>30067</v>
      </c>
      <c r="C847">
        <v>302454</v>
      </c>
      <c r="D847">
        <v>21883</v>
      </c>
    </row>
    <row r="848" spans="1:4" x14ac:dyDescent="0.2">
      <c r="A848">
        <v>3692905</v>
      </c>
      <c r="B848">
        <v>30063</v>
      </c>
      <c r="C848">
        <v>302357</v>
      </c>
      <c r="D848">
        <v>21883</v>
      </c>
    </row>
    <row r="849" spans="1:4" x14ac:dyDescent="0.2">
      <c r="A849">
        <v>3692905</v>
      </c>
      <c r="B849">
        <v>30064</v>
      </c>
      <c r="C849">
        <v>302360</v>
      </c>
      <c r="D849">
        <v>21883</v>
      </c>
    </row>
    <row r="850" spans="1:4" x14ac:dyDescent="0.2">
      <c r="A850">
        <v>3692905</v>
      </c>
      <c r="B850">
        <v>30065</v>
      </c>
      <c r="C850">
        <v>302371</v>
      </c>
      <c r="D850">
        <v>21883</v>
      </c>
    </row>
    <row r="851" spans="1:4" x14ac:dyDescent="0.2">
      <c r="A851">
        <v>3692905</v>
      </c>
      <c r="B851">
        <v>30066</v>
      </c>
      <c r="C851">
        <v>302436</v>
      </c>
      <c r="D851">
        <v>21883</v>
      </c>
    </row>
    <row r="852" spans="1:4" x14ac:dyDescent="0.2">
      <c r="A852">
        <v>3692905</v>
      </c>
      <c r="B852">
        <v>30067</v>
      </c>
      <c r="C852">
        <v>302454</v>
      </c>
      <c r="D852">
        <v>21883</v>
      </c>
    </row>
    <row r="853" spans="1:4" x14ac:dyDescent="0.2">
      <c r="A853">
        <v>3692906</v>
      </c>
      <c r="B853">
        <v>30063</v>
      </c>
      <c r="C853">
        <v>302357</v>
      </c>
      <c r="D853">
        <v>21883</v>
      </c>
    </row>
    <row r="854" spans="1:4" x14ac:dyDescent="0.2">
      <c r="A854">
        <v>3692906</v>
      </c>
      <c r="B854">
        <v>30064</v>
      </c>
      <c r="C854">
        <v>302362</v>
      </c>
      <c r="D854">
        <v>21883</v>
      </c>
    </row>
    <row r="855" spans="1:4" x14ac:dyDescent="0.2">
      <c r="A855">
        <v>3692906</v>
      </c>
      <c r="B855">
        <v>30065</v>
      </c>
      <c r="C855">
        <v>302371</v>
      </c>
      <c r="D855">
        <v>21883</v>
      </c>
    </row>
    <row r="856" spans="1:4" x14ac:dyDescent="0.2">
      <c r="A856">
        <v>3692906</v>
      </c>
      <c r="B856">
        <v>30066</v>
      </c>
      <c r="C856">
        <v>302436</v>
      </c>
      <c r="D856">
        <v>21883</v>
      </c>
    </row>
    <row r="857" spans="1:4" x14ac:dyDescent="0.2">
      <c r="A857">
        <v>3692906</v>
      </c>
      <c r="B857">
        <v>30067</v>
      </c>
      <c r="C857">
        <v>302454</v>
      </c>
      <c r="D857">
        <v>21883</v>
      </c>
    </row>
    <row r="858" spans="1:4" x14ac:dyDescent="0.2">
      <c r="A858">
        <v>3692907</v>
      </c>
      <c r="B858">
        <v>30063</v>
      </c>
      <c r="C858">
        <v>302357</v>
      </c>
      <c r="D858">
        <v>21883</v>
      </c>
    </row>
    <row r="859" spans="1:4" x14ac:dyDescent="0.2">
      <c r="A859">
        <v>3692907</v>
      </c>
      <c r="B859">
        <v>30064</v>
      </c>
      <c r="C859">
        <v>302368</v>
      </c>
      <c r="D859">
        <v>21883</v>
      </c>
    </row>
    <row r="860" spans="1:4" x14ac:dyDescent="0.2">
      <c r="A860">
        <v>3692907</v>
      </c>
      <c r="B860">
        <v>30065</v>
      </c>
      <c r="C860">
        <v>302371</v>
      </c>
      <c r="D860">
        <v>21883</v>
      </c>
    </row>
    <row r="861" spans="1:4" x14ac:dyDescent="0.2">
      <c r="A861">
        <v>3692907</v>
      </c>
      <c r="B861">
        <v>30066</v>
      </c>
      <c r="C861">
        <v>302436</v>
      </c>
      <c r="D861">
        <v>21883</v>
      </c>
    </row>
    <row r="862" spans="1:4" x14ac:dyDescent="0.2">
      <c r="A862">
        <v>3692907</v>
      </c>
      <c r="B862">
        <v>30067</v>
      </c>
      <c r="C862">
        <v>302454</v>
      </c>
      <c r="D862">
        <v>21883</v>
      </c>
    </row>
    <row r="863" spans="1:4" x14ac:dyDescent="0.2">
      <c r="A863">
        <v>3692908</v>
      </c>
      <c r="B863">
        <v>30063</v>
      </c>
      <c r="C863">
        <v>302357</v>
      </c>
      <c r="D863">
        <v>21883</v>
      </c>
    </row>
    <row r="864" spans="1:4" x14ac:dyDescent="0.2">
      <c r="A864">
        <v>3692908</v>
      </c>
      <c r="B864">
        <v>30064</v>
      </c>
      <c r="C864">
        <v>302362</v>
      </c>
      <c r="D864">
        <v>21883</v>
      </c>
    </row>
    <row r="865" spans="1:4" x14ac:dyDescent="0.2">
      <c r="A865">
        <v>3692908</v>
      </c>
      <c r="B865">
        <v>30065</v>
      </c>
      <c r="C865">
        <v>302371</v>
      </c>
      <c r="D865">
        <v>21883</v>
      </c>
    </row>
    <row r="866" spans="1:4" x14ac:dyDescent="0.2">
      <c r="A866">
        <v>3692908</v>
      </c>
      <c r="B866">
        <v>30066</v>
      </c>
      <c r="C866">
        <v>302436</v>
      </c>
      <c r="D866">
        <v>21883</v>
      </c>
    </row>
    <row r="867" spans="1:4" x14ac:dyDescent="0.2">
      <c r="A867">
        <v>3692908</v>
      </c>
      <c r="B867">
        <v>30067</v>
      </c>
      <c r="C867">
        <v>302454</v>
      </c>
      <c r="D867">
        <v>21883</v>
      </c>
    </row>
    <row r="868" spans="1:4" x14ac:dyDescent="0.2">
      <c r="A868">
        <v>3692909</v>
      </c>
      <c r="B868">
        <v>30063</v>
      </c>
      <c r="C868">
        <v>302357</v>
      </c>
      <c r="D868">
        <v>21883</v>
      </c>
    </row>
    <row r="869" spans="1:4" x14ac:dyDescent="0.2">
      <c r="A869">
        <v>3692909</v>
      </c>
      <c r="B869">
        <v>30064</v>
      </c>
      <c r="C869">
        <v>302360</v>
      </c>
      <c r="D869">
        <v>21883</v>
      </c>
    </row>
    <row r="870" spans="1:4" x14ac:dyDescent="0.2">
      <c r="A870">
        <v>3692909</v>
      </c>
      <c r="B870">
        <v>30065</v>
      </c>
      <c r="C870">
        <v>302371</v>
      </c>
      <c r="D870">
        <v>21883</v>
      </c>
    </row>
    <row r="871" spans="1:4" x14ac:dyDescent="0.2">
      <c r="A871">
        <v>3692909</v>
      </c>
      <c r="B871">
        <v>30066</v>
      </c>
      <c r="C871">
        <v>302436</v>
      </c>
      <c r="D871">
        <v>21883</v>
      </c>
    </row>
    <row r="872" spans="1:4" x14ac:dyDescent="0.2">
      <c r="A872">
        <v>3692909</v>
      </c>
      <c r="B872">
        <v>30067</v>
      </c>
      <c r="C872">
        <v>302447</v>
      </c>
      <c r="D872">
        <v>21883</v>
      </c>
    </row>
    <row r="873" spans="1:4" x14ac:dyDescent="0.2">
      <c r="A873">
        <v>3692910</v>
      </c>
      <c r="B873">
        <v>30063</v>
      </c>
      <c r="C873">
        <v>302357</v>
      </c>
      <c r="D873">
        <v>21883</v>
      </c>
    </row>
    <row r="874" spans="1:4" x14ac:dyDescent="0.2">
      <c r="A874">
        <v>3692910</v>
      </c>
      <c r="B874">
        <v>30064</v>
      </c>
      <c r="C874">
        <v>302368</v>
      </c>
      <c r="D874">
        <v>21883</v>
      </c>
    </row>
    <row r="875" spans="1:4" x14ac:dyDescent="0.2">
      <c r="A875">
        <v>3692910</v>
      </c>
      <c r="B875">
        <v>30065</v>
      </c>
      <c r="C875">
        <v>302371</v>
      </c>
      <c r="D875">
        <v>21883</v>
      </c>
    </row>
    <row r="876" spans="1:4" x14ac:dyDescent="0.2">
      <c r="A876">
        <v>3692910</v>
      </c>
      <c r="B876">
        <v>30066</v>
      </c>
      <c r="C876">
        <v>302436</v>
      </c>
      <c r="D876">
        <v>21883</v>
      </c>
    </row>
    <row r="877" spans="1:4" x14ac:dyDescent="0.2">
      <c r="A877">
        <v>3692910</v>
      </c>
      <c r="B877">
        <v>30067</v>
      </c>
      <c r="C877">
        <v>302447</v>
      </c>
      <c r="D877">
        <v>21883</v>
      </c>
    </row>
    <row r="878" spans="1:4" x14ac:dyDescent="0.2">
      <c r="A878">
        <v>3692911</v>
      </c>
      <c r="B878">
        <v>30063</v>
      </c>
      <c r="C878">
        <v>302357</v>
      </c>
      <c r="D878">
        <v>21883</v>
      </c>
    </row>
    <row r="879" spans="1:4" x14ac:dyDescent="0.2">
      <c r="A879">
        <v>3692911</v>
      </c>
      <c r="B879">
        <v>30064</v>
      </c>
      <c r="C879">
        <v>302362</v>
      </c>
      <c r="D879">
        <v>21883</v>
      </c>
    </row>
    <row r="880" spans="1:4" x14ac:dyDescent="0.2">
      <c r="A880">
        <v>3692911</v>
      </c>
      <c r="B880">
        <v>30065</v>
      </c>
      <c r="C880">
        <v>302371</v>
      </c>
      <c r="D880">
        <v>21883</v>
      </c>
    </row>
    <row r="881" spans="1:4" x14ac:dyDescent="0.2">
      <c r="A881">
        <v>3692911</v>
      </c>
      <c r="B881">
        <v>30066</v>
      </c>
      <c r="C881">
        <v>302436</v>
      </c>
      <c r="D881">
        <v>21883</v>
      </c>
    </row>
    <row r="882" spans="1:4" x14ac:dyDescent="0.2">
      <c r="A882">
        <v>3692911</v>
      </c>
      <c r="B882">
        <v>30067</v>
      </c>
      <c r="C882">
        <v>302447</v>
      </c>
      <c r="D882">
        <v>21883</v>
      </c>
    </row>
    <row r="883" spans="1:4" x14ac:dyDescent="0.2">
      <c r="A883">
        <v>3692912</v>
      </c>
      <c r="B883">
        <v>30063</v>
      </c>
      <c r="C883">
        <v>302357</v>
      </c>
      <c r="D883">
        <v>21883</v>
      </c>
    </row>
    <row r="884" spans="1:4" x14ac:dyDescent="0.2">
      <c r="A884">
        <v>3692912</v>
      </c>
      <c r="B884">
        <v>30064</v>
      </c>
      <c r="C884">
        <v>302360</v>
      </c>
      <c r="D884">
        <v>21883</v>
      </c>
    </row>
    <row r="885" spans="1:4" x14ac:dyDescent="0.2">
      <c r="A885">
        <v>3692912</v>
      </c>
      <c r="B885">
        <v>30065</v>
      </c>
      <c r="C885">
        <v>302371</v>
      </c>
      <c r="D885">
        <v>21883</v>
      </c>
    </row>
    <row r="886" spans="1:4" x14ac:dyDescent="0.2">
      <c r="A886">
        <v>3692912</v>
      </c>
      <c r="B886">
        <v>30066</v>
      </c>
      <c r="C886">
        <v>302436</v>
      </c>
      <c r="D886">
        <v>21883</v>
      </c>
    </row>
    <row r="887" spans="1:4" x14ac:dyDescent="0.2">
      <c r="A887">
        <v>3692912</v>
      </c>
      <c r="B887">
        <v>30067</v>
      </c>
      <c r="C887">
        <v>302448</v>
      </c>
      <c r="D887">
        <v>21883</v>
      </c>
    </row>
    <row r="888" spans="1:4" x14ac:dyDescent="0.2">
      <c r="A888">
        <v>3692913</v>
      </c>
      <c r="B888">
        <v>30063</v>
      </c>
      <c r="C888">
        <v>302357</v>
      </c>
      <c r="D888">
        <v>21883</v>
      </c>
    </row>
    <row r="889" spans="1:4" x14ac:dyDescent="0.2">
      <c r="A889">
        <v>3692913</v>
      </c>
      <c r="B889">
        <v>30064</v>
      </c>
      <c r="C889">
        <v>302368</v>
      </c>
      <c r="D889">
        <v>21883</v>
      </c>
    </row>
    <row r="890" spans="1:4" x14ac:dyDescent="0.2">
      <c r="A890">
        <v>3692913</v>
      </c>
      <c r="B890">
        <v>30065</v>
      </c>
      <c r="C890">
        <v>302371</v>
      </c>
      <c r="D890">
        <v>21883</v>
      </c>
    </row>
    <row r="891" spans="1:4" x14ac:dyDescent="0.2">
      <c r="A891">
        <v>3692913</v>
      </c>
      <c r="B891">
        <v>30066</v>
      </c>
      <c r="C891">
        <v>302436</v>
      </c>
      <c r="D891">
        <v>21883</v>
      </c>
    </row>
    <row r="892" spans="1:4" x14ac:dyDescent="0.2">
      <c r="A892">
        <v>3692913</v>
      </c>
      <c r="B892">
        <v>30067</v>
      </c>
      <c r="C892">
        <v>302448</v>
      </c>
      <c r="D892">
        <v>21883</v>
      </c>
    </row>
    <row r="893" spans="1:4" x14ac:dyDescent="0.2">
      <c r="A893">
        <v>3692914</v>
      </c>
      <c r="B893">
        <v>30063</v>
      </c>
      <c r="C893">
        <v>302357</v>
      </c>
      <c r="D893">
        <v>21883</v>
      </c>
    </row>
    <row r="894" spans="1:4" x14ac:dyDescent="0.2">
      <c r="A894">
        <v>3692914</v>
      </c>
      <c r="B894">
        <v>30064</v>
      </c>
      <c r="C894">
        <v>302362</v>
      </c>
      <c r="D894">
        <v>21883</v>
      </c>
    </row>
    <row r="895" spans="1:4" x14ac:dyDescent="0.2">
      <c r="A895">
        <v>3692914</v>
      </c>
      <c r="B895">
        <v>30065</v>
      </c>
      <c r="C895">
        <v>302371</v>
      </c>
      <c r="D895">
        <v>21883</v>
      </c>
    </row>
    <row r="896" spans="1:4" x14ac:dyDescent="0.2">
      <c r="A896">
        <v>3692914</v>
      </c>
      <c r="B896">
        <v>30066</v>
      </c>
      <c r="C896">
        <v>302436</v>
      </c>
      <c r="D896">
        <v>21883</v>
      </c>
    </row>
    <row r="897" spans="1:4" x14ac:dyDescent="0.2">
      <c r="A897">
        <v>3692914</v>
      </c>
      <c r="B897">
        <v>30067</v>
      </c>
      <c r="C897">
        <v>302448</v>
      </c>
      <c r="D897">
        <v>21883</v>
      </c>
    </row>
    <row r="898" spans="1:4" x14ac:dyDescent="0.2">
      <c r="A898">
        <v>3692915</v>
      </c>
      <c r="B898">
        <v>30063</v>
      </c>
      <c r="C898">
        <v>302357</v>
      </c>
      <c r="D898">
        <v>21883</v>
      </c>
    </row>
    <row r="899" spans="1:4" x14ac:dyDescent="0.2">
      <c r="A899">
        <v>3692915</v>
      </c>
      <c r="B899">
        <v>30064</v>
      </c>
      <c r="C899">
        <v>302360</v>
      </c>
      <c r="D899">
        <v>21883</v>
      </c>
    </row>
    <row r="900" spans="1:4" x14ac:dyDescent="0.2">
      <c r="A900">
        <v>3692915</v>
      </c>
      <c r="B900">
        <v>30065</v>
      </c>
      <c r="C900">
        <v>302371</v>
      </c>
      <c r="D900">
        <v>21883</v>
      </c>
    </row>
    <row r="901" spans="1:4" x14ac:dyDescent="0.2">
      <c r="A901">
        <v>3692915</v>
      </c>
      <c r="B901">
        <v>30066</v>
      </c>
      <c r="C901">
        <v>302436</v>
      </c>
      <c r="D901">
        <v>21883</v>
      </c>
    </row>
    <row r="902" spans="1:4" x14ac:dyDescent="0.2">
      <c r="A902">
        <v>3692915</v>
      </c>
      <c r="B902">
        <v>30067</v>
      </c>
      <c r="C902">
        <v>302449</v>
      </c>
      <c r="D902">
        <v>21883</v>
      </c>
    </row>
    <row r="903" spans="1:4" x14ac:dyDescent="0.2">
      <c r="A903">
        <v>3692916</v>
      </c>
      <c r="B903">
        <v>30063</v>
      </c>
      <c r="C903">
        <v>302357</v>
      </c>
      <c r="D903">
        <v>21883</v>
      </c>
    </row>
    <row r="904" spans="1:4" x14ac:dyDescent="0.2">
      <c r="A904">
        <v>3692916</v>
      </c>
      <c r="B904">
        <v>30064</v>
      </c>
      <c r="C904">
        <v>302368</v>
      </c>
      <c r="D904">
        <v>21883</v>
      </c>
    </row>
    <row r="905" spans="1:4" x14ac:dyDescent="0.2">
      <c r="A905">
        <v>3692916</v>
      </c>
      <c r="B905">
        <v>30065</v>
      </c>
      <c r="C905">
        <v>302371</v>
      </c>
      <c r="D905">
        <v>21883</v>
      </c>
    </row>
    <row r="906" spans="1:4" x14ac:dyDescent="0.2">
      <c r="A906">
        <v>3692916</v>
      </c>
      <c r="B906">
        <v>30066</v>
      </c>
      <c r="C906">
        <v>302436</v>
      </c>
      <c r="D906">
        <v>21883</v>
      </c>
    </row>
    <row r="907" spans="1:4" x14ac:dyDescent="0.2">
      <c r="A907">
        <v>3692916</v>
      </c>
      <c r="B907">
        <v>30067</v>
      </c>
      <c r="C907">
        <v>302449</v>
      </c>
      <c r="D907">
        <v>21883</v>
      </c>
    </row>
    <row r="908" spans="1:4" x14ac:dyDescent="0.2">
      <c r="A908">
        <v>3692917</v>
      </c>
      <c r="B908">
        <v>30063</v>
      </c>
      <c r="C908">
        <v>302357</v>
      </c>
      <c r="D908">
        <v>21883</v>
      </c>
    </row>
    <row r="909" spans="1:4" x14ac:dyDescent="0.2">
      <c r="A909">
        <v>3692917</v>
      </c>
      <c r="B909">
        <v>30064</v>
      </c>
      <c r="C909">
        <v>302362</v>
      </c>
      <c r="D909">
        <v>21883</v>
      </c>
    </row>
    <row r="910" spans="1:4" x14ac:dyDescent="0.2">
      <c r="A910">
        <v>3692917</v>
      </c>
      <c r="B910">
        <v>30065</v>
      </c>
      <c r="C910">
        <v>302371</v>
      </c>
      <c r="D910">
        <v>21883</v>
      </c>
    </row>
    <row r="911" spans="1:4" x14ac:dyDescent="0.2">
      <c r="A911">
        <v>3692917</v>
      </c>
      <c r="B911">
        <v>30066</v>
      </c>
      <c r="C911">
        <v>302436</v>
      </c>
      <c r="D911">
        <v>21883</v>
      </c>
    </row>
    <row r="912" spans="1:4" x14ac:dyDescent="0.2">
      <c r="A912">
        <v>3692917</v>
      </c>
      <c r="B912">
        <v>30067</v>
      </c>
      <c r="C912">
        <v>302449</v>
      </c>
      <c r="D912">
        <v>21883</v>
      </c>
    </row>
    <row r="913" spans="1:4" x14ac:dyDescent="0.2">
      <c r="A913">
        <v>3692918</v>
      </c>
      <c r="B913">
        <v>30063</v>
      </c>
      <c r="C913">
        <v>302357</v>
      </c>
      <c r="D913">
        <v>21883</v>
      </c>
    </row>
    <row r="914" spans="1:4" x14ac:dyDescent="0.2">
      <c r="A914">
        <v>3692918</v>
      </c>
      <c r="B914">
        <v>30064</v>
      </c>
      <c r="C914">
        <v>302360</v>
      </c>
      <c r="D914">
        <v>21883</v>
      </c>
    </row>
    <row r="915" spans="1:4" x14ac:dyDescent="0.2">
      <c r="A915">
        <v>3692918</v>
      </c>
      <c r="B915">
        <v>30065</v>
      </c>
      <c r="C915">
        <v>302371</v>
      </c>
      <c r="D915">
        <v>21883</v>
      </c>
    </row>
    <row r="916" spans="1:4" x14ac:dyDescent="0.2">
      <c r="A916">
        <v>3692918</v>
      </c>
      <c r="B916">
        <v>30066</v>
      </c>
      <c r="C916">
        <v>302436</v>
      </c>
      <c r="D916">
        <v>21883</v>
      </c>
    </row>
    <row r="917" spans="1:4" x14ac:dyDescent="0.2">
      <c r="A917">
        <v>3692918</v>
      </c>
      <c r="B917">
        <v>30067</v>
      </c>
      <c r="C917">
        <v>302450</v>
      </c>
      <c r="D917">
        <v>21883</v>
      </c>
    </row>
    <row r="918" spans="1:4" x14ac:dyDescent="0.2">
      <c r="A918">
        <v>3692919</v>
      </c>
      <c r="B918">
        <v>30063</v>
      </c>
      <c r="C918">
        <v>302357</v>
      </c>
      <c r="D918">
        <v>21883</v>
      </c>
    </row>
    <row r="919" spans="1:4" x14ac:dyDescent="0.2">
      <c r="A919">
        <v>3692919</v>
      </c>
      <c r="B919">
        <v>30064</v>
      </c>
      <c r="C919">
        <v>302368</v>
      </c>
      <c r="D919">
        <v>21883</v>
      </c>
    </row>
    <row r="920" spans="1:4" x14ac:dyDescent="0.2">
      <c r="A920">
        <v>3692919</v>
      </c>
      <c r="B920">
        <v>30065</v>
      </c>
      <c r="C920">
        <v>302371</v>
      </c>
      <c r="D920">
        <v>21883</v>
      </c>
    </row>
    <row r="921" spans="1:4" x14ac:dyDescent="0.2">
      <c r="A921">
        <v>3692919</v>
      </c>
      <c r="B921">
        <v>30066</v>
      </c>
      <c r="C921">
        <v>302436</v>
      </c>
      <c r="D921">
        <v>21883</v>
      </c>
    </row>
    <row r="922" spans="1:4" x14ac:dyDescent="0.2">
      <c r="A922">
        <v>3692919</v>
      </c>
      <c r="B922">
        <v>30067</v>
      </c>
      <c r="C922">
        <v>302450</v>
      </c>
      <c r="D922">
        <v>21883</v>
      </c>
    </row>
    <row r="923" spans="1:4" x14ac:dyDescent="0.2">
      <c r="A923">
        <v>3692920</v>
      </c>
      <c r="B923">
        <v>30063</v>
      </c>
      <c r="C923">
        <v>302357</v>
      </c>
      <c r="D923">
        <v>21883</v>
      </c>
    </row>
    <row r="924" spans="1:4" x14ac:dyDescent="0.2">
      <c r="A924">
        <v>3692920</v>
      </c>
      <c r="B924">
        <v>30064</v>
      </c>
      <c r="C924">
        <v>302362</v>
      </c>
      <c r="D924">
        <v>21883</v>
      </c>
    </row>
    <row r="925" spans="1:4" x14ac:dyDescent="0.2">
      <c r="A925">
        <v>3692920</v>
      </c>
      <c r="B925">
        <v>30065</v>
      </c>
      <c r="C925">
        <v>302371</v>
      </c>
      <c r="D925">
        <v>21883</v>
      </c>
    </row>
    <row r="926" spans="1:4" x14ac:dyDescent="0.2">
      <c r="A926">
        <v>3692920</v>
      </c>
      <c r="B926">
        <v>30066</v>
      </c>
      <c r="C926">
        <v>302436</v>
      </c>
      <c r="D926">
        <v>21883</v>
      </c>
    </row>
    <row r="927" spans="1:4" x14ac:dyDescent="0.2">
      <c r="A927">
        <v>3692920</v>
      </c>
      <c r="B927">
        <v>30067</v>
      </c>
      <c r="C927">
        <v>302450</v>
      </c>
      <c r="D927">
        <v>21883</v>
      </c>
    </row>
    <row r="928" spans="1:4" x14ac:dyDescent="0.2">
      <c r="A928">
        <v>3692921</v>
      </c>
      <c r="B928">
        <v>30063</v>
      </c>
      <c r="C928">
        <v>302357</v>
      </c>
      <c r="D928">
        <v>21883</v>
      </c>
    </row>
    <row r="929" spans="1:4" x14ac:dyDescent="0.2">
      <c r="A929">
        <v>3692921</v>
      </c>
      <c r="B929">
        <v>30064</v>
      </c>
      <c r="C929">
        <v>302359</v>
      </c>
      <c r="D929">
        <v>21883</v>
      </c>
    </row>
    <row r="930" spans="1:4" x14ac:dyDescent="0.2">
      <c r="A930">
        <v>3692921</v>
      </c>
      <c r="B930">
        <v>30065</v>
      </c>
      <c r="C930">
        <v>302371</v>
      </c>
      <c r="D930">
        <v>21883</v>
      </c>
    </row>
    <row r="931" spans="1:4" x14ac:dyDescent="0.2">
      <c r="A931">
        <v>3692921</v>
      </c>
      <c r="B931">
        <v>30066</v>
      </c>
      <c r="C931">
        <v>302436</v>
      </c>
      <c r="D931">
        <v>21883</v>
      </c>
    </row>
    <row r="932" spans="1:4" x14ac:dyDescent="0.2">
      <c r="A932">
        <v>3692921</v>
      </c>
      <c r="B932">
        <v>30067</v>
      </c>
      <c r="C932">
        <v>302451</v>
      </c>
      <c r="D932">
        <v>21883</v>
      </c>
    </row>
    <row r="933" spans="1:4" x14ac:dyDescent="0.2">
      <c r="A933">
        <v>3692922</v>
      </c>
      <c r="B933">
        <v>30063</v>
      </c>
      <c r="C933">
        <v>302357</v>
      </c>
      <c r="D933">
        <v>21883</v>
      </c>
    </row>
    <row r="934" spans="1:4" x14ac:dyDescent="0.2">
      <c r="A934">
        <v>3692922</v>
      </c>
      <c r="B934">
        <v>30064</v>
      </c>
      <c r="C934">
        <v>302362</v>
      </c>
      <c r="D934">
        <v>21883</v>
      </c>
    </row>
    <row r="935" spans="1:4" x14ac:dyDescent="0.2">
      <c r="A935">
        <v>3692922</v>
      </c>
      <c r="B935">
        <v>30065</v>
      </c>
      <c r="C935">
        <v>302371</v>
      </c>
      <c r="D935">
        <v>21883</v>
      </c>
    </row>
    <row r="936" spans="1:4" x14ac:dyDescent="0.2">
      <c r="A936">
        <v>3692922</v>
      </c>
      <c r="B936">
        <v>30066</v>
      </c>
      <c r="C936">
        <v>302436</v>
      </c>
      <c r="D936">
        <v>21883</v>
      </c>
    </row>
    <row r="937" spans="1:4" x14ac:dyDescent="0.2">
      <c r="A937">
        <v>3692922</v>
      </c>
      <c r="B937">
        <v>30067</v>
      </c>
      <c r="C937">
        <v>302451</v>
      </c>
      <c r="D937">
        <v>21883</v>
      </c>
    </row>
    <row r="938" spans="1:4" x14ac:dyDescent="0.2">
      <c r="A938">
        <v>3692923</v>
      </c>
      <c r="B938">
        <v>30063</v>
      </c>
      <c r="C938">
        <v>302357</v>
      </c>
      <c r="D938">
        <v>21883</v>
      </c>
    </row>
    <row r="939" spans="1:4" x14ac:dyDescent="0.2">
      <c r="A939">
        <v>3692923</v>
      </c>
      <c r="B939">
        <v>30064</v>
      </c>
      <c r="C939">
        <v>302368</v>
      </c>
      <c r="D939">
        <v>21883</v>
      </c>
    </row>
    <row r="940" spans="1:4" x14ac:dyDescent="0.2">
      <c r="A940">
        <v>3692923</v>
      </c>
      <c r="B940">
        <v>30065</v>
      </c>
      <c r="C940">
        <v>302371</v>
      </c>
      <c r="D940">
        <v>21883</v>
      </c>
    </row>
    <row r="941" spans="1:4" x14ac:dyDescent="0.2">
      <c r="A941">
        <v>3692923</v>
      </c>
      <c r="B941">
        <v>30066</v>
      </c>
      <c r="C941">
        <v>302436</v>
      </c>
      <c r="D941">
        <v>21883</v>
      </c>
    </row>
    <row r="942" spans="1:4" x14ac:dyDescent="0.2">
      <c r="A942">
        <v>3692923</v>
      </c>
      <c r="B942">
        <v>30067</v>
      </c>
      <c r="C942">
        <v>302451</v>
      </c>
      <c r="D942">
        <v>21883</v>
      </c>
    </row>
    <row r="943" spans="1:4" x14ac:dyDescent="0.2">
      <c r="A943">
        <v>3692924</v>
      </c>
      <c r="B943">
        <v>30063</v>
      </c>
      <c r="C943">
        <v>302357</v>
      </c>
      <c r="D943">
        <v>21883</v>
      </c>
    </row>
    <row r="944" spans="1:4" x14ac:dyDescent="0.2">
      <c r="A944">
        <v>3692924</v>
      </c>
      <c r="B944">
        <v>30064</v>
      </c>
      <c r="C944">
        <v>302362</v>
      </c>
      <c r="D944">
        <v>21883</v>
      </c>
    </row>
    <row r="945" spans="1:4" x14ac:dyDescent="0.2">
      <c r="A945">
        <v>3692924</v>
      </c>
      <c r="B945">
        <v>30065</v>
      </c>
      <c r="C945">
        <v>302371</v>
      </c>
      <c r="D945">
        <v>21883</v>
      </c>
    </row>
    <row r="946" spans="1:4" x14ac:dyDescent="0.2">
      <c r="A946">
        <v>3692924</v>
      </c>
      <c r="B946">
        <v>30066</v>
      </c>
      <c r="C946">
        <v>302436</v>
      </c>
      <c r="D946">
        <v>21883</v>
      </c>
    </row>
    <row r="947" spans="1:4" x14ac:dyDescent="0.2">
      <c r="A947">
        <v>3692924</v>
      </c>
      <c r="B947">
        <v>30067</v>
      </c>
      <c r="C947">
        <v>302451</v>
      </c>
      <c r="D947">
        <v>21883</v>
      </c>
    </row>
    <row r="948" spans="1:4" x14ac:dyDescent="0.2">
      <c r="A948">
        <v>3692925</v>
      </c>
      <c r="B948">
        <v>30063</v>
      </c>
      <c r="C948">
        <v>302357</v>
      </c>
      <c r="D948">
        <v>21883</v>
      </c>
    </row>
    <row r="949" spans="1:4" x14ac:dyDescent="0.2">
      <c r="A949">
        <v>3692925</v>
      </c>
      <c r="B949">
        <v>30064</v>
      </c>
      <c r="C949">
        <v>302368</v>
      </c>
      <c r="D949">
        <v>21883</v>
      </c>
    </row>
    <row r="950" spans="1:4" x14ac:dyDescent="0.2">
      <c r="A950">
        <v>3692925</v>
      </c>
      <c r="B950">
        <v>30065</v>
      </c>
      <c r="C950">
        <v>302371</v>
      </c>
      <c r="D950">
        <v>21883</v>
      </c>
    </row>
    <row r="951" spans="1:4" x14ac:dyDescent="0.2">
      <c r="A951">
        <v>3692925</v>
      </c>
      <c r="B951">
        <v>30066</v>
      </c>
      <c r="C951">
        <v>302436</v>
      </c>
      <c r="D951">
        <v>21883</v>
      </c>
    </row>
    <row r="952" spans="1:4" x14ac:dyDescent="0.2">
      <c r="A952">
        <v>3692925</v>
      </c>
      <c r="B952">
        <v>30067</v>
      </c>
      <c r="C952">
        <v>302451</v>
      </c>
      <c r="D952">
        <v>21883</v>
      </c>
    </row>
    <row r="953" spans="1:4" x14ac:dyDescent="0.2">
      <c r="A953">
        <v>3692926</v>
      </c>
      <c r="B953">
        <v>30063</v>
      </c>
      <c r="C953">
        <v>302357</v>
      </c>
      <c r="D953">
        <v>21883</v>
      </c>
    </row>
    <row r="954" spans="1:4" x14ac:dyDescent="0.2">
      <c r="A954">
        <v>3692926</v>
      </c>
      <c r="B954">
        <v>30064</v>
      </c>
      <c r="C954">
        <v>302359</v>
      </c>
      <c r="D954">
        <v>21883</v>
      </c>
    </row>
    <row r="955" spans="1:4" x14ac:dyDescent="0.2">
      <c r="A955">
        <v>3692926</v>
      </c>
      <c r="B955">
        <v>30065</v>
      </c>
      <c r="C955">
        <v>302371</v>
      </c>
      <c r="D955">
        <v>21883</v>
      </c>
    </row>
    <row r="956" spans="1:4" x14ac:dyDescent="0.2">
      <c r="A956">
        <v>3692926</v>
      </c>
      <c r="B956">
        <v>30066</v>
      </c>
      <c r="C956">
        <v>302436</v>
      </c>
      <c r="D956">
        <v>21883</v>
      </c>
    </row>
    <row r="957" spans="1:4" x14ac:dyDescent="0.2">
      <c r="A957">
        <v>3692926</v>
      </c>
      <c r="B957">
        <v>30067</v>
      </c>
      <c r="C957">
        <v>302452</v>
      </c>
      <c r="D957">
        <v>21883</v>
      </c>
    </row>
    <row r="958" spans="1:4" x14ac:dyDescent="0.2">
      <c r="A958">
        <v>3692927</v>
      </c>
      <c r="B958">
        <v>30063</v>
      </c>
      <c r="C958">
        <v>302357</v>
      </c>
      <c r="D958">
        <v>21883</v>
      </c>
    </row>
    <row r="959" spans="1:4" x14ac:dyDescent="0.2">
      <c r="A959">
        <v>3692927</v>
      </c>
      <c r="B959">
        <v>30064</v>
      </c>
      <c r="C959">
        <v>302362</v>
      </c>
      <c r="D959">
        <v>21883</v>
      </c>
    </row>
    <row r="960" spans="1:4" x14ac:dyDescent="0.2">
      <c r="A960">
        <v>3692927</v>
      </c>
      <c r="B960">
        <v>30065</v>
      </c>
      <c r="C960">
        <v>302371</v>
      </c>
      <c r="D960">
        <v>21883</v>
      </c>
    </row>
    <row r="961" spans="1:4" x14ac:dyDescent="0.2">
      <c r="A961">
        <v>3692927</v>
      </c>
      <c r="B961">
        <v>30066</v>
      </c>
      <c r="C961">
        <v>302436</v>
      </c>
      <c r="D961">
        <v>21883</v>
      </c>
    </row>
    <row r="962" spans="1:4" x14ac:dyDescent="0.2">
      <c r="A962">
        <v>3692927</v>
      </c>
      <c r="B962">
        <v>30067</v>
      </c>
      <c r="C962">
        <v>302452</v>
      </c>
      <c r="D962">
        <v>21883</v>
      </c>
    </row>
    <row r="963" spans="1:4" x14ac:dyDescent="0.2">
      <c r="A963">
        <v>3692928</v>
      </c>
      <c r="B963">
        <v>30063</v>
      </c>
      <c r="C963">
        <v>302357</v>
      </c>
      <c r="D963">
        <v>21883</v>
      </c>
    </row>
    <row r="964" spans="1:4" x14ac:dyDescent="0.2">
      <c r="A964">
        <v>3692928</v>
      </c>
      <c r="B964">
        <v>30064</v>
      </c>
      <c r="C964">
        <v>302368</v>
      </c>
      <c r="D964">
        <v>21883</v>
      </c>
    </row>
    <row r="965" spans="1:4" x14ac:dyDescent="0.2">
      <c r="A965">
        <v>3692928</v>
      </c>
      <c r="B965">
        <v>30065</v>
      </c>
      <c r="C965">
        <v>302371</v>
      </c>
      <c r="D965">
        <v>21883</v>
      </c>
    </row>
    <row r="966" spans="1:4" x14ac:dyDescent="0.2">
      <c r="A966">
        <v>3692928</v>
      </c>
      <c r="B966">
        <v>30066</v>
      </c>
      <c r="C966">
        <v>302436</v>
      </c>
      <c r="D966">
        <v>21883</v>
      </c>
    </row>
    <row r="967" spans="1:4" x14ac:dyDescent="0.2">
      <c r="A967">
        <v>3692928</v>
      </c>
      <c r="B967">
        <v>30067</v>
      </c>
      <c r="C967">
        <v>302452</v>
      </c>
      <c r="D967">
        <v>21883</v>
      </c>
    </row>
    <row r="968" spans="1:4" x14ac:dyDescent="0.2">
      <c r="A968">
        <v>3692929</v>
      </c>
      <c r="B968">
        <v>30063</v>
      </c>
      <c r="C968">
        <v>302357</v>
      </c>
      <c r="D968">
        <v>21883</v>
      </c>
    </row>
    <row r="969" spans="1:4" x14ac:dyDescent="0.2">
      <c r="A969">
        <v>3692929</v>
      </c>
      <c r="B969">
        <v>30064</v>
      </c>
      <c r="C969">
        <v>302362</v>
      </c>
      <c r="D969">
        <v>21883</v>
      </c>
    </row>
    <row r="970" spans="1:4" x14ac:dyDescent="0.2">
      <c r="A970">
        <v>3692929</v>
      </c>
      <c r="B970">
        <v>30065</v>
      </c>
      <c r="C970">
        <v>302371</v>
      </c>
      <c r="D970">
        <v>21883</v>
      </c>
    </row>
    <row r="971" spans="1:4" x14ac:dyDescent="0.2">
      <c r="A971">
        <v>3692929</v>
      </c>
      <c r="B971">
        <v>30066</v>
      </c>
      <c r="C971">
        <v>302436</v>
      </c>
      <c r="D971">
        <v>21883</v>
      </c>
    </row>
    <row r="972" spans="1:4" x14ac:dyDescent="0.2">
      <c r="A972">
        <v>3692929</v>
      </c>
      <c r="B972">
        <v>30067</v>
      </c>
      <c r="C972">
        <v>302452</v>
      </c>
      <c r="D972">
        <v>21883</v>
      </c>
    </row>
    <row r="973" spans="1:4" x14ac:dyDescent="0.2">
      <c r="A973">
        <v>3692930</v>
      </c>
      <c r="B973">
        <v>30063</v>
      </c>
      <c r="C973">
        <v>302357</v>
      </c>
      <c r="D973">
        <v>21883</v>
      </c>
    </row>
    <row r="974" spans="1:4" x14ac:dyDescent="0.2">
      <c r="A974">
        <v>3692930</v>
      </c>
      <c r="B974">
        <v>30064</v>
      </c>
      <c r="C974">
        <v>302368</v>
      </c>
      <c r="D974">
        <v>21883</v>
      </c>
    </row>
    <row r="975" spans="1:4" x14ac:dyDescent="0.2">
      <c r="A975">
        <v>3692930</v>
      </c>
      <c r="B975">
        <v>30065</v>
      </c>
      <c r="C975">
        <v>302371</v>
      </c>
      <c r="D975">
        <v>21883</v>
      </c>
    </row>
    <row r="976" spans="1:4" x14ac:dyDescent="0.2">
      <c r="A976">
        <v>3692930</v>
      </c>
      <c r="B976">
        <v>30066</v>
      </c>
      <c r="C976">
        <v>302436</v>
      </c>
      <c r="D976">
        <v>21883</v>
      </c>
    </row>
    <row r="977" spans="1:4" x14ac:dyDescent="0.2">
      <c r="A977">
        <v>3692930</v>
      </c>
      <c r="B977">
        <v>30067</v>
      </c>
      <c r="C977">
        <v>302452</v>
      </c>
      <c r="D977">
        <v>21883</v>
      </c>
    </row>
    <row r="978" spans="1:4" x14ac:dyDescent="0.2">
      <c r="A978">
        <v>3692931</v>
      </c>
      <c r="B978">
        <v>30063</v>
      </c>
      <c r="C978">
        <v>302357</v>
      </c>
      <c r="D978">
        <v>21883</v>
      </c>
    </row>
    <row r="979" spans="1:4" x14ac:dyDescent="0.2">
      <c r="A979">
        <v>3692931</v>
      </c>
      <c r="B979">
        <v>30064</v>
      </c>
      <c r="C979">
        <v>302359</v>
      </c>
      <c r="D979">
        <v>21883</v>
      </c>
    </row>
    <row r="980" spans="1:4" x14ac:dyDescent="0.2">
      <c r="A980">
        <v>3692931</v>
      </c>
      <c r="B980">
        <v>30065</v>
      </c>
      <c r="C980">
        <v>302371</v>
      </c>
      <c r="D980">
        <v>21883</v>
      </c>
    </row>
    <row r="981" spans="1:4" x14ac:dyDescent="0.2">
      <c r="A981">
        <v>3692931</v>
      </c>
      <c r="B981">
        <v>30066</v>
      </c>
      <c r="C981">
        <v>302436</v>
      </c>
      <c r="D981">
        <v>21883</v>
      </c>
    </row>
    <row r="982" spans="1:4" x14ac:dyDescent="0.2">
      <c r="A982">
        <v>3692931</v>
      </c>
      <c r="B982">
        <v>30067</v>
      </c>
      <c r="C982">
        <v>302453</v>
      </c>
      <c r="D982">
        <v>21883</v>
      </c>
    </row>
    <row r="983" spans="1:4" x14ac:dyDescent="0.2">
      <c r="A983">
        <v>3692932</v>
      </c>
      <c r="B983">
        <v>30063</v>
      </c>
      <c r="C983">
        <v>302357</v>
      </c>
      <c r="D983">
        <v>21883</v>
      </c>
    </row>
    <row r="984" spans="1:4" x14ac:dyDescent="0.2">
      <c r="A984">
        <v>3692932</v>
      </c>
      <c r="B984">
        <v>30064</v>
      </c>
      <c r="C984">
        <v>302368</v>
      </c>
      <c r="D984">
        <v>21883</v>
      </c>
    </row>
    <row r="985" spans="1:4" x14ac:dyDescent="0.2">
      <c r="A985">
        <v>3692932</v>
      </c>
      <c r="B985">
        <v>30065</v>
      </c>
      <c r="C985">
        <v>302371</v>
      </c>
      <c r="D985">
        <v>21883</v>
      </c>
    </row>
    <row r="986" spans="1:4" x14ac:dyDescent="0.2">
      <c r="A986">
        <v>3692932</v>
      </c>
      <c r="B986">
        <v>30066</v>
      </c>
      <c r="C986">
        <v>302436</v>
      </c>
      <c r="D986">
        <v>21883</v>
      </c>
    </row>
    <row r="987" spans="1:4" x14ac:dyDescent="0.2">
      <c r="A987">
        <v>3692932</v>
      </c>
      <c r="B987">
        <v>30067</v>
      </c>
      <c r="C987">
        <v>302453</v>
      </c>
      <c r="D987">
        <v>21883</v>
      </c>
    </row>
    <row r="988" spans="1:4" x14ac:dyDescent="0.2">
      <c r="A988">
        <v>3692933</v>
      </c>
      <c r="B988">
        <v>30063</v>
      </c>
      <c r="C988">
        <v>302357</v>
      </c>
      <c r="D988">
        <v>21883</v>
      </c>
    </row>
    <row r="989" spans="1:4" x14ac:dyDescent="0.2">
      <c r="A989">
        <v>3692933</v>
      </c>
      <c r="B989">
        <v>30064</v>
      </c>
      <c r="C989">
        <v>302362</v>
      </c>
      <c r="D989">
        <v>21883</v>
      </c>
    </row>
    <row r="990" spans="1:4" x14ac:dyDescent="0.2">
      <c r="A990">
        <v>3692933</v>
      </c>
      <c r="B990">
        <v>30065</v>
      </c>
      <c r="C990">
        <v>302371</v>
      </c>
      <c r="D990">
        <v>21883</v>
      </c>
    </row>
    <row r="991" spans="1:4" x14ac:dyDescent="0.2">
      <c r="A991">
        <v>3692933</v>
      </c>
      <c r="B991">
        <v>30066</v>
      </c>
      <c r="C991">
        <v>302436</v>
      </c>
      <c r="D991">
        <v>21883</v>
      </c>
    </row>
    <row r="992" spans="1:4" x14ac:dyDescent="0.2">
      <c r="A992">
        <v>3692933</v>
      </c>
      <c r="B992">
        <v>30067</v>
      </c>
      <c r="C992">
        <v>302453</v>
      </c>
      <c r="D992">
        <v>21883</v>
      </c>
    </row>
    <row r="993" spans="1:4" x14ac:dyDescent="0.2">
      <c r="A993">
        <v>3692934</v>
      </c>
      <c r="B993">
        <v>30063</v>
      </c>
      <c r="C993">
        <v>302357</v>
      </c>
      <c r="D993">
        <v>21883</v>
      </c>
    </row>
    <row r="994" spans="1:4" x14ac:dyDescent="0.2">
      <c r="A994">
        <v>3692934</v>
      </c>
      <c r="B994">
        <v>30064</v>
      </c>
      <c r="C994">
        <v>302362</v>
      </c>
      <c r="D994">
        <v>21883</v>
      </c>
    </row>
    <row r="995" spans="1:4" x14ac:dyDescent="0.2">
      <c r="A995">
        <v>3692934</v>
      </c>
      <c r="B995">
        <v>30065</v>
      </c>
      <c r="C995">
        <v>302371</v>
      </c>
      <c r="D995">
        <v>21883</v>
      </c>
    </row>
    <row r="996" spans="1:4" x14ac:dyDescent="0.2">
      <c r="A996">
        <v>3692934</v>
      </c>
      <c r="B996">
        <v>30066</v>
      </c>
      <c r="C996">
        <v>302436</v>
      </c>
      <c r="D996">
        <v>21883</v>
      </c>
    </row>
    <row r="997" spans="1:4" x14ac:dyDescent="0.2">
      <c r="A997">
        <v>3692934</v>
      </c>
      <c r="B997">
        <v>30067</v>
      </c>
      <c r="C997">
        <v>302453</v>
      </c>
      <c r="D997">
        <v>21883</v>
      </c>
    </row>
    <row r="998" spans="1:4" x14ac:dyDescent="0.2">
      <c r="A998">
        <v>3692935</v>
      </c>
      <c r="B998">
        <v>30063</v>
      </c>
      <c r="C998">
        <v>302357</v>
      </c>
      <c r="D998">
        <v>21883</v>
      </c>
    </row>
    <row r="999" spans="1:4" x14ac:dyDescent="0.2">
      <c r="A999">
        <v>3692935</v>
      </c>
      <c r="B999">
        <v>30064</v>
      </c>
      <c r="C999">
        <v>302368</v>
      </c>
      <c r="D999">
        <v>21883</v>
      </c>
    </row>
    <row r="1000" spans="1:4" x14ac:dyDescent="0.2">
      <c r="A1000">
        <v>3692935</v>
      </c>
      <c r="B1000">
        <v>30065</v>
      </c>
      <c r="C1000">
        <v>302371</v>
      </c>
      <c r="D1000">
        <v>21883</v>
      </c>
    </row>
    <row r="1001" spans="1:4" x14ac:dyDescent="0.2">
      <c r="A1001">
        <v>3692935</v>
      </c>
      <c r="B1001">
        <v>30066</v>
      </c>
      <c r="C1001">
        <v>302436</v>
      </c>
      <c r="D1001">
        <v>21883</v>
      </c>
    </row>
    <row r="1002" spans="1:4" x14ac:dyDescent="0.2">
      <c r="A1002">
        <v>3692935</v>
      </c>
      <c r="B1002">
        <v>30067</v>
      </c>
      <c r="C1002">
        <v>302453</v>
      </c>
      <c r="D1002">
        <v>21883</v>
      </c>
    </row>
    <row r="1003" spans="1:4" x14ac:dyDescent="0.2">
      <c r="A1003">
        <v>3692936</v>
      </c>
      <c r="B1003">
        <v>30063</v>
      </c>
      <c r="C1003">
        <v>302357</v>
      </c>
      <c r="D1003">
        <v>21883</v>
      </c>
    </row>
    <row r="1004" spans="1:4" x14ac:dyDescent="0.2">
      <c r="A1004">
        <v>3692936</v>
      </c>
      <c r="B1004">
        <v>30064</v>
      </c>
      <c r="C1004">
        <v>302360</v>
      </c>
      <c r="D1004">
        <v>21883</v>
      </c>
    </row>
    <row r="1005" spans="1:4" x14ac:dyDescent="0.2">
      <c r="A1005">
        <v>3692936</v>
      </c>
      <c r="B1005">
        <v>30065</v>
      </c>
      <c r="C1005">
        <v>302371</v>
      </c>
      <c r="D1005">
        <v>21883</v>
      </c>
    </row>
    <row r="1006" spans="1:4" x14ac:dyDescent="0.2">
      <c r="A1006">
        <v>3692936</v>
      </c>
      <c r="B1006">
        <v>30066</v>
      </c>
      <c r="C1006">
        <v>302436</v>
      </c>
      <c r="D1006">
        <v>21883</v>
      </c>
    </row>
    <row r="1007" spans="1:4" x14ac:dyDescent="0.2">
      <c r="A1007">
        <v>3692936</v>
      </c>
      <c r="B1007">
        <v>30067</v>
      </c>
      <c r="C1007">
        <v>302455</v>
      </c>
      <c r="D1007">
        <v>21883</v>
      </c>
    </row>
    <row r="1008" spans="1:4" x14ac:dyDescent="0.2">
      <c r="A1008">
        <v>3692937</v>
      </c>
      <c r="B1008">
        <v>30063</v>
      </c>
      <c r="C1008">
        <v>302357</v>
      </c>
      <c r="D1008">
        <v>21883</v>
      </c>
    </row>
    <row r="1009" spans="1:4" x14ac:dyDescent="0.2">
      <c r="A1009">
        <v>3692937</v>
      </c>
      <c r="B1009">
        <v>30064</v>
      </c>
      <c r="C1009">
        <v>302360</v>
      </c>
      <c r="D1009">
        <v>21883</v>
      </c>
    </row>
    <row r="1010" spans="1:4" x14ac:dyDescent="0.2">
      <c r="A1010">
        <v>3692937</v>
      </c>
      <c r="B1010">
        <v>30065</v>
      </c>
      <c r="C1010">
        <v>302371</v>
      </c>
      <c r="D1010">
        <v>21883</v>
      </c>
    </row>
    <row r="1011" spans="1:4" x14ac:dyDescent="0.2">
      <c r="A1011">
        <v>3692937</v>
      </c>
      <c r="B1011">
        <v>30066</v>
      </c>
      <c r="C1011">
        <v>302436</v>
      </c>
      <c r="D1011">
        <v>21883</v>
      </c>
    </row>
    <row r="1012" spans="1:4" x14ac:dyDescent="0.2">
      <c r="A1012">
        <v>3692937</v>
      </c>
      <c r="B1012">
        <v>30067</v>
      </c>
      <c r="C1012">
        <v>302455</v>
      </c>
      <c r="D1012">
        <v>21883</v>
      </c>
    </row>
    <row r="1013" spans="1:4" x14ac:dyDescent="0.2">
      <c r="A1013">
        <v>3692938</v>
      </c>
      <c r="B1013">
        <v>30063</v>
      </c>
      <c r="C1013">
        <v>302357</v>
      </c>
      <c r="D1013">
        <v>21883</v>
      </c>
    </row>
    <row r="1014" spans="1:4" x14ac:dyDescent="0.2">
      <c r="A1014">
        <v>3692938</v>
      </c>
      <c r="B1014">
        <v>30064</v>
      </c>
      <c r="C1014">
        <v>302362</v>
      </c>
      <c r="D1014">
        <v>21883</v>
      </c>
    </row>
    <row r="1015" spans="1:4" x14ac:dyDescent="0.2">
      <c r="A1015">
        <v>3692938</v>
      </c>
      <c r="B1015">
        <v>30065</v>
      </c>
      <c r="C1015">
        <v>302371</v>
      </c>
      <c r="D1015">
        <v>21883</v>
      </c>
    </row>
    <row r="1016" spans="1:4" x14ac:dyDescent="0.2">
      <c r="A1016">
        <v>3692938</v>
      </c>
      <c r="B1016">
        <v>30066</v>
      </c>
      <c r="C1016">
        <v>302436</v>
      </c>
      <c r="D1016">
        <v>21883</v>
      </c>
    </row>
    <row r="1017" spans="1:4" x14ac:dyDescent="0.2">
      <c r="A1017">
        <v>3692938</v>
      </c>
      <c r="B1017">
        <v>30067</v>
      </c>
      <c r="C1017">
        <v>302455</v>
      </c>
      <c r="D1017">
        <v>21883</v>
      </c>
    </row>
    <row r="1018" spans="1:4" x14ac:dyDescent="0.2">
      <c r="A1018">
        <v>3692939</v>
      </c>
      <c r="B1018">
        <v>30063</v>
      </c>
      <c r="C1018">
        <v>302357</v>
      </c>
      <c r="D1018">
        <v>21883</v>
      </c>
    </row>
    <row r="1019" spans="1:4" x14ac:dyDescent="0.2">
      <c r="A1019">
        <v>3692939</v>
      </c>
      <c r="B1019">
        <v>30064</v>
      </c>
      <c r="C1019">
        <v>302368</v>
      </c>
      <c r="D1019">
        <v>21883</v>
      </c>
    </row>
    <row r="1020" spans="1:4" x14ac:dyDescent="0.2">
      <c r="A1020">
        <v>3692939</v>
      </c>
      <c r="B1020">
        <v>30065</v>
      </c>
      <c r="C1020">
        <v>302371</v>
      </c>
      <c r="D1020">
        <v>21883</v>
      </c>
    </row>
    <row r="1021" spans="1:4" x14ac:dyDescent="0.2">
      <c r="A1021">
        <v>3692939</v>
      </c>
      <c r="B1021">
        <v>30066</v>
      </c>
      <c r="C1021">
        <v>302436</v>
      </c>
      <c r="D1021">
        <v>21883</v>
      </c>
    </row>
    <row r="1022" spans="1:4" x14ac:dyDescent="0.2">
      <c r="A1022">
        <v>3692939</v>
      </c>
      <c r="B1022">
        <v>30067</v>
      </c>
      <c r="C1022">
        <v>302455</v>
      </c>
      <c r="D1022">
        <v>21883</v>
      </c>
    </row>
    <row r="1023" spans="1:4" x14ac:dyDescent="0.2">
      <c r="A1023">
        <v>3692940</v>
      </c>
      <c r="B1023">
        <v>30063</v>
      </c>
      <c r="C1023">
        <v>302357</v>
      </c>
      <c r="D1023">
        <v>21883</v>
      </c>
    </row>
    <row r="1024" spans="1:4" x14ac:dyDescent="0.2">
      <c r="A1024">
        <v>3692940</v>
      </c>
      <c r="B1024">
        <v>30064</v>
      </c>
      <c r="C1024">
        <v>302362</v>
      </c>
      <c r="D1024">
        <v>21883</v>
      </c>
    </row>
    <row r="1025" spans="1:4" x14ac:dyDescent="0.2">
      <c r="A1025">
        <v>3692940</v>
      </c>
      <c r="B1025">
        <v>30065</v>
      </c>
      <c r="C1025">
        <v>302371</v>
      </c>
      <c r="D1025">
        <v>21883</v>
      </c>
    </row>
    <row r="1026" spans="1:4" x14ac:dyDescent="0.2">
      <c r="A1026">
        <v>3692940</v>
      </c>
      <c r="B1026">
        <v>30066</v>
      </c>
      <c r="C1026">
        <v>302436</v>
      </c>
      <c r="D1026">
        <v>21883</v>
      </c>
    </row>
    <row r="1027" spans="1:4" x14ac:dyDescent="0.2">
      <c r="A1027">
        <v>3692940</v>
      </c>
      <c r="B1027">
        <v>30067</v>
      </c>
      <c r="C1027">
        <v>302455</v>
      </c>
      <c r="D1027">
        <v>21883</v>
      </c>
    </row>
    <row r="1028" spans="1:4" x14ac:dyDescent="0.2">
      <c r="A1028">
        <v>3692941</v>
      </c>
      <c r="B1028">
        <v>30063</v>
      </c>
      <c r="C1028">
        <v>302357</v>
      </c>
      <c r="D1028">
        <v>21883</v>
      </c>
    </row>
    <row r="1029" spans="1:4" x14ac:dyDescent="0.2">
      <c r="A1029">
        <v>3692941</v>
      </c>
      <c r="B1029">
        <v>30064</v>
      </c>
      <c r="C1029">
        <v>302382</v>
      </c>
      <c r="D1029">
        <v>21883</v>
      </c>
    </row>
    <row r="1030" spans="1:4" x14ac:dyDescent="0.2">
      <c r="A1030">
        <v>3692941</v>
      </c>
      <c r="B1030">
        <v>30065</v>
      </c>
      <c r="C1030">
        <v>302371</v>
      </c>
      <c r="D1030">
        <v>21883</v>
      </c>
    </row>
    <row r="1031" spans="1:4" x14ac:dyDescent="0.2">
      <c r="A1031">
        <v>3692941</v>
      </c>
      <c r="B1031">
        <v>30066</v>
      </c>
      <c r="C1031">
        <v>302436</v>
      </c>
      <c r="D1031">
        <v>21883</v>
      </c>
    </row>
    <row r="1032" spans="1:4" x14ac:dyDescent="0.2">
      <c r="A1032">
        <v>3692941</v>
      </c>
      <c r="B1032">
        <v>30067</v>
      </c>
      <c r="C1032">
        <v>302456</v>
      </c>
      <c r="D1032">
        <v>21883</v>
      </c>
    </row>
    <row r="1033" spans="1:4" x14ac:dyDescent="0.2">
      <c r="A1033">
        <v>3692942</v>
      </c>
      <c r="B1033">
        <v>30063</v>
      </c>
      <c r="C1033">
        <v>302357</v>
      </c>
      <c r="D1033">
        <v>21883</v>
      </c>
    </row>
    <row r="1034" spans="1:4" x14ac:dyDescent="0.2">
      <c r="A1034">
        <v>3692942</v>
      </c>
      <c r="B1034">
        <v>30064</v>
      </c>
      <c r="C1034">
        <v>302369</v>
      </c>
      <c r="D1034">
        <v>21883</v>
      </c>
    </row>
    <row r="1035" spans="1:4" x14ac:dyDescent="0.2">
      <c r="A1035">
        <v>3692942</v>
      </c>
      <c r="B1035">
        <v>30065</v>
      </c>
      <c r="C1035">
        <v>302371</v>
      </c>
      <c r="D1035">
        <v>21883</v>
      </c>
    </row>
    <row r="1036" spans="1:4" x14ac:dyDescent="0.2">
      <c r="A1036">
        <v>3692942</v>
      </c>
      <c r="B1036">
        <v>30066</v>
      </c>
      <c r="C1036">
        <v>302436</v>
      </c>
      <c r="D1036">
        <v>21883</v>
      </c>
    </row>
    <row r="1037" spans="1:4" x14ac:dyDescent="0.2">
      <c r="A1037">
        <v>3692942</v>
      </c>
      <c r="B1037">
        <v>30067</v>
      </c>
      <c r="C1037">
        <v>302456</v>
      </c>
      <c r="D1037">
        <v>21883</v>
      </c>
    </row>
    <row r="1038" spans="1:4" x14ac:dyDescent="0.2">
      <c r="A1038">
        <v>3692943</v>
      </c>
      <c r="B1038">
        <v>30063</v>
      </c>
      <c r="C1038">
        <v>302357</v>
      </c>
      <c r="D1038">
        <v>21883</v>
      </c>
    </row>
    <row r="1039" spans="1:4" x14ac:dyDescent="0.2">
      <c r="A1039">
        <v>3692943</v>
      </c>
      <c r="B1039">
        <v>30064</v>
      </c>
      <c r="C1039">
        <v>302419</v>
      </c>
      <c r="D1039">
        <v>21883</v>
      </c>
    </row>
    <row r="1040" spans="1:4" x14ac:dyDescent="0.2">
      <c r="A1040">
        <v>3692943</v>
      </c>
      <c r="B1040">
        <v>30065</v>
      </c>
      <c r="C1040">
        <v>302371</v>
      </c>
      <c r="D1040">
        <v>21883</v>
      </c>
    </row>
    <row r="1041" spans="1:4" x14ac:dyDescent="0.2">
      <c r="A1041">
        <v>3692943</v>
      </c>
      <c r="B1041">
        <v>30066</v>
      </c>
      <c r="C1041">
        <v>302436</v>
      </c>
      <c r="D1041">
        <v>21883</v>
      </c>
    </row>
    <row r="1042" spans="1:4" x14ac:dyDescent="0.2">
      <c r="A1042">
        <v>3692943</v>
      </c>
      <c r="B1042">
        <v>30067</v>
      </c>
      <c r="C1042">
        <v>302456</v>
      </c>
      <c r="D1042">
        <v>21883</v>
      </c>
    </row>
    <row r="1043" spans="1:4" x14ac:dyDescent="0.2">
      <c r="A1043">
        <v>3692944</v>
      </c>
      <c r="B1043">
        <v>30063</v>
      </c>
      <c r="C1043">
        <v>302357</v>
      </c>
      <c r="D1043">
        <v>21883</v>
      </c>
    </row>
    <row r="1044" spans="1:4" x14ac:dyDescent="0.2">
      <c r="A1044">
        <v>3692944</v>
      </c>
      <c r="B1044">
        <v>30064</v>
      </c>
      <c r="C1044">
        <v>302369</v>
      </c>
      <c r="D1044">
        <v>21883</v>
      </c>
    </row>
    <row r="1045" spans="1:4" x14ac:dyDescent="0.2">
      <c r="A1045">
        <v>3692944</v>
      </c>
      <c r="B1045">
        <v>30065</v>
      </c>
      <c r="C1045">
        <v>302371</v>
      </c>
      <c r="D1045">
        <v>21883</v>
      </c>
    </row>
    <row r="1046" spans="1:4" x14ac:dyDescent="0.2">
      <c r="A1046">
        <v>3692944</v>
      </c>
      <c r="B1046">
        <v>30066</v>
      </c>
      <c r="C1046">
        <v>302436</v>
      </c>
      <c r="D1046">
        <v>21883</v>
      </c>
    </row>
    <row r="1047" spans="1:4" x14ac:dyDescent="0.2">
      <c r="A1047">
        <v>3692944</v>
      </c>
      <c r="B1047">
        <v>30067</v>
      </c>
      <c r="C1047">
        <v>302456</v>
      </c>
      <c r="D1047">
        <v>21883</v>
      </c>
    </row>
    <row r="1048" spans="1:4" x14ac:dyDescent="0.2">
      <c r="A1048">
        <v>3692945</v>
      </c>
      <c r="B1048">
        <v>30061</v>
      </c>
      <c r="C1048">
        <v>302333</v>
      </c>
      <c r="D1048">
        <v>21883</v>
      </c>
    </row>
    <row r="1049" spans="1:4" x14ac:dyDescent="0.2">
      <c r="A1049">
        <v>3692945</v>
      </c>
      <c r="B1049">
        <v>30062</v>
      </c>
      <c r="C1049">
        <v>302355</v>
      </c>
      <c r="D1049">
        <v>21883</v>
      </c>
    </row>
    <row r="1050" spans="1:4" x14ac:dyDescent="0.2">
      <c r="A1050">
        <v>3692945</v>
      </c>
      <c r="B1050">
        <v>30063</v>
      </c>
      <c r="C1050">
        <v>302357</v>
      </c>
      <c r="D1050">
        <v>21883</v>
      </c>
    </row>
    <row r="1051" spans="1:4" x14ac:dyDescent="0.2">
      <c r="A1051">
        <v>3692945</v>
      </c>
      <c r="B1051">
        <v>30064</v>
      </c>
      <c r="C1051">
        <v>302369</v>
      </c>
      <c r="D1051">
        <v>21883</v>
      </c>
    </row>
    <row r="1052" spans="1:4" x14ac:dyDescent="0.2">
      <c r="A1052">
        <v>3692945</v>
      </c>
      <c r="B1052">
        <v>30065</v>
      </c>
      <c r="C1052">
        <v>302330</v>
      </c>
      <c r="D1052">
        <v>21883</v>
      </c>
    </row>
    <row r="1053" spans="1:4" x14ac:dyDescent="0.2">
      <c r="A1053">
        <v>3692945</v>
      </c>
      <c r="B1053">
        <v>30066</v>
      </c>
      <c r="C1053">
        <v>302436</v>
      </c>
      <c r="D1053">
        <v>21883</v>
      </c>
    </row>
    <row r="1054" spans="1:4" x14ac:dyDescent="0.2">
      <c r="A1054">
        <v>3692945</v>
      </c>
      <c r="B1054">
        <v>30067</v>
      </c>
      <c r="C1054">
        <v>302456</v>
      </c>
      <c r="D1054">
        <v>21883</v>
      </c>
    </row>
    <row r="1055" spans="1:4" x14ac:dyDescent="0.2">
      <c r="A1055">
        <v>3692946</v>
      </c>
      <c r="B1055">
        <v>30063</v>
      </c>
      <c r="C1055">
        <v>302357</v>
      </c>
      <c r="D1055">
        <v>21883</v>
      </c>
    </row>
    <row r="1056" spans="1:4" x14ac:dyDescent="0.2">
      <c r="A1056">
        <v>3692946</v>
      </c>
      <c r="B1056">
        <v>30064</v>
      </c>
      <c r="C1056">
        <v>302368</v>
      </c>
      <c r="D1056">
        <v>21883</v>
      </c>
    </row>
    <row r="1057" spans="1:4" x14ac:dyDescent="0.2">
      <c r="A1057">
        <v>3692946</v>
      </c>
      <c r="B1057">
        <v>30065</v>
      </c>
      <c r="C1057">
        <v>302371</v>
      </c>
      <c r="D1057">
        <v>21883</v>
      </c>
    </row>
    <row r="1058" spans="1:4" x14ac:dyDescent="0.2">
      <c r="A1058">
        <v>3692946</v>
      </c>
      <c r="B1058">
        <v>30066</v>
      </c>
      <c r="C1058">
        <v>302436</v>
      </c>
      <c r="D1058">
        <v>21883</v>
      </c>
    </row>
    <row r="1059" spans="1:4" x14ac:dyDescent="0.2">
      <c r="A1059">
        <v>3692946</v>
      </c>
      <c r="B1059">
        <v>30067</v>
      </c>
      <c r="C1059">
        <v>302456</v>
      </c>
      <c r="D1059">
        <v>21883</v>
      </c>
    </row>
    <row r="1060" spans="1:4" x14ac:dyDescent="0.2">
      <c r="A1060">
        <v>3692947</v>
      </c>
      <c r="B1060">
        <v>30063</v>
      </c>
      <c r="C1060">
        <v>302357</v>
      </c>
      <c r="D1060">
        <v>21883</v>
      </c>
    </row>
    <row r="1061" spans="1:4" x14ac:dyDescent="0.2">
      <c r="A1061">
        <v>3692947</v>
      </c>
      <c r="B1061">
        <v>30064</v>
      </c>
      <c r="C1061">
        <v>302382</v>
      </c>
      <c r="D1061">
        <v>21883</v>
      </c>
    </row>
    <row r="1062" spans="1:4" x14ac:dyDescent="0.2">
      <c r="A1062">
        <v>3692947</v>
      </c>
      <c r="B1062">
        <v>30065</v>
      </c>
      <c r="C1062">
        <v>302371</v>
      </c>
      <c r="D1062">
        <v>21883</v>
      </c>
    </row>
    <row r="1063" spans="1:4" x14ac:dyDescent="0.2">
      <c r="A1063">
        <v>3692947</v>
      </c>
      <c r="B1063">
        <v>30066</v>
      </c>
      <c r="C1063">
        <v>302436</v>
      </c>
      <c r="D1063">
        <v>21883</v>
      </c>
    </row>
    <row r="1064" spans="1:4" x14ac:dyDescent="0.2">
      <c r="A1064">
        <v>3692947</v>
      </c>
      <c r="B1064">
        <v>30067</v>
      </c>
      <c r="C1064">
        <v>302457</v>
      </c>
      <c r="D1064">
        <v>21883</v>
      </c>
    </row>
    <row r="1065" spans="1:4" x14ac:dyDescent="0.2">
      <c r="A1065">
        <v>3692948</v>
      </c>
      <c r="B1065">
        <v>30063</v>
      </c>
      <c r="C1065">
        <v>302357</v>
      </c>
      <c r="D1065">
        <v>21883</v>
      </c>
    </row>
    <row r="1066" spans="1:4" x14ac:dyDescent="0.2">
      <c r="A1066">
        <v>3692948</v>
      </c>
      <c r="B1066">
        <v>30064</v>
      </c>
      <c r="C1066">
        <v>302369</v>
      </c>
      <c r="D1066">
        <v>21883</v>
      </c>
    </row>
    <row r="1067" spans="1:4" x14ac:dyDescent="0.2">
      <c r="A1067">
        <v>3692948</v>
      </c>
      <c r="B1067">
        <v>30065</v>
      </c>
      <c r="C1067">
        <v>302371</v>
      </c>
      <c r="D1067">
        <v>21883</v>
      </c>
    </row>
    <row r="1068" spans="1:4" x14ac:dyDescent="0.2">
      <c r="A1068">
        <v>3692948</v>
      </c>
      <c r="B1068">
        <v>30066</v>
      </c>
      <c r="C1068">
        <v>302436</v>
      </c>
      <c r="D1068">
        <v>21883</v>
      </c>
    </row>
    <row r="1069" spans="1:4" x14ac:dyDescent="0.2">
      <c r="A1069">
        <v>3692948</v>
      </c>
      <c r="B1069">
        <v>30067</v>
      </c>
      <c r="C1069">
        <v>302457</v>
      </c>
      <c r="D1069">
        <v>21883</v>
      </c>
    </row>
    <row r="1070" spans="1:4" x14ac:dyDescent="0.2">
      <c r="A1070">
        <v>3692949</v>
      </c>
      <c r="B1070">
        <v>30063</v>
      </c>
      <c r="C1070">
        <v>302357</v>
      </c>
      <c r="D1070">
        <v>21883</v>
      </c>
    </row>
    <row r="1071" spans="1:4" x14ac:dyDescent="0.2">
      <c r="A1071">
        <v>3692949</v>
      </c>
      <c r="B1071">
        <v>30064</v>
      </c>
      <c r="C1071">
        <v>302419</v>
      </c>
      <c r="D1071">
        <v>21883</v>
      </c>
    </row>
    <row r="1072" spans="1:4" x14ac:dyDescent="0.2">
      <c r="A1072">
        <v>3692949</v>
      </c>
      <c r="B1072">
        <v>30065</v>
      </c>
      <c r="C1072">
        <v>302371</v>
      </c>
      <c r="D1072">
        <v>21883</v>
      </c>
    </row>
    <row r="1073" spans="1:4" x14ac:dyDescent="0.2">
      <c r="A1073">
        <v>3692949</v>
      </c>
      <c r="B1073">
        <v>30066</v>
      </c>
      <c r="C1073">
        <v>302436</v>
      </c>
      <c r="D1073">
        <v>21883</v>
      </c>
    </row>
    <row r="1074" spans="1:4" x14ac:dyDescent="0.2">
      <c r="A1074">
        <v>3692949</v>
      </c>
      <c r="B1074">
        <v>30067</v>
      </c>
      <c r="C1074">
        <v>302457</v>
      </c>
      <c r="D1074">
        <v>21883</v>
      </c>
    </row>
    <row r="1075" spans="1:4" x14ac:dyDescent="0.2">
      <c r="A1075">
        <v>3692950</v>
      </c>
      <c r="B1075">
        <v>30063</v>
      </c>
      <c r="C1075">
        <v>302357</v>
      </c>
      <c r="D1075">
        <v>21883</v>
      </c>
    </row>
    <row r="1076" spans="1:4" x14ac:dyDescent="0.2">
      <c r="A1076">
        <v>3692950</v>
      </c>
      <c r="B1076">
        <v>30064</v>
      </c>
      <c r="C1076">
        <v>302369</v>
      </c>
      <c r="D1076">
        <v>21883</v>
      </c>
    </row>
    <row r="1077" spans="1:4" x14ac:dyDescent="0.2">
      <c r="A1077">
        <v>3692950</v>
      </c>
      <c r="B1077">
        <v>30065</v>
      </c>
      <c r="C1077">
        <v>302371</v>
      </c>
      <c r="D1077">
        <v>21883</v>
      </c>
    </row>
    <row r="1078" spans="1:4" x14ac:dyDescent="0.2">
      <c r="A1078">
        <v>3692950</v>
      </c>
      <c r="B1078">
        <v>30066</v>
      </c>
      <c r="C1078">
        <v>302436</v>
      </c>
      <c r="D1078">
        <v>21883</v>
      </c>
    </row>
    <row r="1079" spans="1:4" x14ac:dyDescent="0.2">
      <c r="A1079">
        <v>3692950</v>
      </c>
      <c r="B1079">
        <v>30067</v>
      </c>
      <c r="C1079">
        <v>302457</v>
      </c>
      <c r="D1079">
        <v>21883</v>
      </c>
    </row>
    <row r="1080" spans="1:4" x14ac:dyDescent="0.2">
      <c r="A1080">
        <v>3692951</v>
      </c>
      <c r="B1080">
        <v>30061</v>
      </c>
      <c r="C1080">
        <v>302333</v>
      </c>
      <c r="D1080">
        <v>21883</v>
      </c>
    </row>
    <row r="1081" spans="1:4" x14ac:dyDescent="0.2">
      <c r="A1081">
        <v>3692951</v>
      </c>
      <c r="B1081">
        <v>30062</v>
      </c>
      <c r="C1081">
        <v>302355</v>
      </c>
      <c r="D1081">
        <v>21883</v>
      </c>
    </row>
    <row r="1082" spans="1:4" x14ac:dyDescent="0.2">
      <c r="A1082">
        <v>3692951</v>
      </c>
      <c r="B1082">
        <v>30063</v>
      </c>
      <c r="C1082">
        <v>302357</v>
      </c>
      <c r="D1082">
        <v>21883</v>
      </c>
    </row>
    <row r="1083" spans="1:4" x14ac:dyDescent="0.2">
      <c r="A1083">
        <v>3692951</v>
      </c>
      <c r="B1083">
        <v>30064</v>
      </c>
      <c r="C1083">
        <v>302369</v>
      </c>
      <c r="D1083">
        <v>21883</v>
      </c>
    </row>
    <row r="1084" spans="1:4" x14ac:dyDescent="0.2">
      <c r="A1084">
        <v>3692951</v>
      </c>
      <c r="B1084">
        <v>30065</v>
      </c>
      <c r="C1084">
        <v>302330</v>
      </c>
      <c r="D1084">
        <v>21883</v>
      </c>
    </row>
    <row r="1085" spans="1:4" x14ac:dyDescent="0.2">
      <c r="A1085">
        <v>3692951</v>
      </c>
      <c r="B1085">
        <v>30066</v>
      </c>
      <c r="C1085">
        <v>302436</v>
      </c>
      <c r="D1085">
        <v>21883</v>
      </c>
    </row>
    <row r="1086" spans="1:4" x14ac:dyDescent="0.2">
      <c r="A1086">
        <v>3692951</v>
      </c>
      <c r="B1086">
        <v>30067</v>
      </c>
      <c r="C1086">
        <v>302457</v>
      </c>
      <c r="D1086">
        <v>21883</v>
      </c>
    </row>
    <row r="1087" spans="1:4" x14ac:dyDescent="0.2">
      <c r="A1087">
        <v>3692952</v>
      </c>
      <c r="B1087">
        <v>30063</v>
      </c>
      <c r="C1087">
        <v>302357</v>
      </c>
      <c r="D1087">
        <v>21883</v>
      </c>
    </row>
    <row r="1088" spans="1:4" x14ac:dyDescent="0.2">
      <c r="A1088">
        <v>3692952</v>
      </c>
      <c r="B1088">
        <v>30064</v>
      </c>
      <c r="C1088">
        <v>302368</v>
      </c>
      <c r="D1088">
        <v>21883</v>
      </c>
    </row>
    <row r="1089" spans="1:4" x14ac:dyDescent="0.2">
      <c r="A1089">
        <v>3692952</v>
      </c>
      <c r="B1089">
        <v>30065</v>
      </c>
      <c r="C1089">
        <v>302371</v>
      </c>
      <c r="D1089">
        <v>21883</v>
      </c>
    </row>
    <row r="1090" spans="1:4" x14ac:dyDescent="0.2">
      <c r="A1090">
        <v>3692952</v>
      </c>
      <c r="B1090">
        <v>30066</v>
      </c>
      <c r="C1090">
        <v>302436</v>
      </c>
      <c r="D1090">
        <v>21883</v>
      </c>
    </row>
    <row r="1091" spans="1:4" x14ac:dyDescent="0.2">
      <c r="A1091">
        <v>3692952</v>
      </c>
      <c r="B1091">
        <v>30067</v>
      </c>
      <c r="C1091">
        <v>302457</v>
      </c>
      <c r="D1091">
        <v>21883</v>
      </c>
    </row>
    <row r="1092" spans="1:4" x14ac:dyDescent="0.2">
      <c r="A1092">
        <v>3692953</v>
      </c>
      <c r="B1092">
        <v>30063</v>
      </c>
      <c r="C1092">
        <v>302357</v>
      </c>
      <c r="D1092">
        <v>21883</v>
      </c>
    </row>
    <row r="1093" spans="1:4" x14ac:dyDescent="0.2">
      <c r="A1093">
        <v>3692953</v>
      </c>
      <c r="B1093">
        <v>30064</v>
      </c>
      <c r="C1093">
        <v>302382</v>
      </c>
      <c r="D1093">
        <v>21883</v>
      </c>
    </row>
    <row r="1094" spans="1:4" x14ac:dyDescent="0.2">
      <c r="A1094">
        <v>3692953</v>
      </c>
      <c r="B1094">
        <v>30065</v>
      </c>
      <c r="C1094">
        <v>302371</v>
      </c>
      <c r="D1094">
        <v>21883</v>
      </c>
    </row>
    <row r="1095" spans="1:4" x14ac:dyDescent="0.2">
      <c r="A1095">
        <v>3692953</v>
      </c>
      <c r="B1095">
        <v>30066</v>
      </c>
      <c r="C1095">
        <v>302436</v>
      </c>
      <c r="D1095">
        <v>21883</v>
      </c>
    </row>
    <row r="1096" spans="1:4" x14ac:dyDescent="0.2">
      <c r="A1096">
        <v>3692953</v>
      </c>
      <c r="B1096">
        <v>30067</v>
      </c>
      <c r="C1096">
        <v>302458</v>
      </c>
      <c r="D1096">
        <v>21883</v>
      </c>
    </row>
    <row r="1097" spans="1:4" x14ac:dyDescent="0.2">
      <c r="A1097">
        <v>3692954</v>
      </c>
      <c r="B1097">
        <v>30063</v>
      </c>
      <c r="C1097">
        <v>302357</v>
      </c>
      <c r="D1097">
        <v>21883</v>
      </c>
    </row>
    <row r="1098" spans="1:4" x14ac:dyDescent="0.2">
      <c r="A1098">
        <v>3692954</v>
      </c>
      <c r="B1098">
        <v>30064</v>
      </c>
      <c r="C1098">
        <v>302369</v>
      </c>
      <c r="D1098">
        <v>21883</v>
      </c>
    </row>
    <row r="1099" spans="1:4" x14ac:dyDescent="0.2">
      <c r="A1099">
        <v>3692954</v>
      </c>
      <c r="B1099">
        <v>30065</v>
      </c>
      <c r="C1099">
        <v>302371</v>
      </c>
      <c r="D1099">
        <v>21883</v>
      </c>
    </row>
    <row r="1100" spans="1:4" x14ac:dyDescent="0.2">
      <c r="A1100">
        <v>3692954</v>
      </c>
      <c r="B1100">
        <v>30066</v>
      </c>
      <c r="C1100">
        <v>302436</v>
      </c>
      <c r="D1100">
        <v>21883</v>
      </c>
    </row>
    <row r="1101" spans="1:4" x14ac:dyDescent="0.2">
      <c r="A1101">
        <v>3692954</v>
      </c>
      <c r="B1101">
        <v>30067</v>
      </c>
      <c r="C1101">
        <v>302458</v>
      </c>
      <c r="D1101">
        <v>21883</v>
      </c>
    </row>
    <row r="1102" spans="1:4" x14ac:dyDescent="0.2">
      <c r="A1102">
        <v>3692955</v>
      </c>
      <c r="B1102">
        <v>30063</v>
      </c>
      <c r="C1102">
        <v>302357</v>
      </c>
      <c r="D1102">
        <v>21883</v>
      </c>
    </row>
    <row r="1103" spans="1:4" x14ac:dyDescent="0.2">
      <c r="A1103">
        <v>3692955</v>
      </c>
      <c r="B1103">
        <v>30064</v>
      </c>
      <c r="C1103">
        <v>302419</v>
      </c>
      <c r="D1103">
        <v>21883</v>
      </c>
    </row>
    <row r="1104" spans="1:4" x14ac:dyDescent="0.2">
      <c r="A1104">
        <v>3692955</v>
      </c>
      <c r="B1104">
        <v>30065</v>
      </c>
      <c r="C1104">
        <v>302371</v>
      </c>
      <c r="D1104">
        <v>21883</v>
      </c>
    </row>
    <row r="1105" spans="1:4" x14ac:dyDescent="0.2">
      <c r="A1105">
        <v>3692955</v>
      </c>
      <c r="B1105">
        <v>30066</v>
      </c>
      <c r="C1105">
        <v>302436</v>
      </c>
      <c r="D1105">
        <v>21883</v>
      </c>
    </row>
    <row r="1106" spans="1:4" x14ac:dyDescent="0.2">
      <c r="A1106">
        <v>3692955</v>
      </c>
      <c r="B1106">
        <v>30067</v>
      </c>
      <c r="C1106">
        <v>302458</v>
      </c>
      <c r="D1106">
        <v>21883</v>
      </c>
    </row>
    <row r="1107" spans="1:4" x14ac:dyDescent="0.2">
      <c r="A1107">
        <v>3692956</v>
      </c>
      <c r="B1107">
        <v>30063</v>
      </c>
      <c r="C1107">
        <v>302357</v>
      </c>
      <c r="D1107">
        <v>21883</v>
      </c>
    </row>
    <row r="1108" spans="1:4" x14ac:dyDescent="0.2">
      <c r="A1108">
        <v>3692956</v>
      </c>
      <c r="B1108">
        <v>30064</v>
      </c>
      <c r="C1108">
        <v>302369</v>
      </c>
      <c r="D1108">
        <v>21883</v>
      </c>
    </row>
    <row r="1109" spans="1:4" x14ac:dyDescent="0.2">
      <c r="A1109">
        <v>3692956</v>
      </c>
      <c r="B1109">
        <v>30065</v>
      </c>
      <c r="C1109">
        <v>302371</v>
      </c>
      <c r="D1109">
        <v>21883</v>
      </c>
    </row>
    <row r="1110" spans="1:4" x14ac:dyDescent="0.2">
      <c r="A1110">
        <v>3692956</v>
      </c>
      <c r="B1110">
        <v>30066</v>
      </c>
      <c r="C1110">
        <v>302436</v>
      </c>
      <c r="D1110">
        <v>21883</v>
      </c>
    </row>
    <row r="1111" spans="1:4" x14ac:dyDescent="0.2">
      <c r="A1111">
        <v>3692956</v>
      </c>
      <c r="B1111">
        <v>30067</v>
      </c>
      <c r="C1111">
        <v>302458</v>
      </c>
      <c r="D1111">
        <v>21883</v>
      </c>
    </row>
    <row r="1112" spans="1:4" x14ac:dyDescent="0.2">
      <c r="A1112">
        <v>3692957</v>
      </c>
      <c r="B1112">
        <v>30061</v>
      </c>
      <c r="C1112">
        <v>302333</v>
      </c>
      <c r="D1112">
        <v>21883</v>
      </c>
    </row>
    <row r="1113" spans="1:4" x14ac:dyDescent="0.2">
      <c r="A1113">
        <v>3692957</v>
      </c>
      <c r="B1113">
        <v>30062</v>
      </c>
      <c r="C1113">
        <v>302355</v>
      </c>
      <c r="D1113">
        <v>21883</v>
      </c>
    </row>
    <row r="1114" spans="1:4" x14ac:dyDescent="0.2">
      <c r="A1114">
        <v>3692957</v>
      </c>
      <c r="B1114">
        <v>30063</v>
      </c>
      <c r="C1114">
        <v>302357</v>
      </c>
      <c r="D1114">
        <v>21883</v>
      </c>
    </row>
    <row r="1115" spans="1:4" x14ac:dyDescent="0.2">
      <c r="A1115">
        <v>3692957</v>
      </c>
      <c r="B1115">
        <v>30064</v>
      </c>
      <c r="C1115">
        <v>302369</v>
      </c>
      <c r="D1115">
        <v>21883</v>
      </c>
    </row>
    <row r="1116" spans="1:4" x14ac:dyDescent="0.2">
      <c r="A1116">
        <v>3692957</v>
      </c>
      <c r="B1116">
        <v>30065</v>
      </c>
      <c r="C1116">
        <v>302330</v>
      </c>
      <c r="D1116">
        <v>21883</v>
      </c>
    </row>
    <row r="1117" spans="1:4" x14ac:dyDescent="0.2">
      <c r="A1117">
        <v>3692957</v>
      </c>
      <c r="B1117">
        <v>30066</v>
      </c>
      <c r="C1117">
        <v>302436</v>
      </c>
      <c r="D1117">
        <v>21883</v>
      </c>
    </row>
    <row r="1118" spans="1:4" x14ac:dyDescent="0.2">
      <c r="A1118">
        <v>3692957</v>
      </c>
      <c r="B1118">
        <v>30067</v>
      </c>
      <c r="C1118">
        <v>302458</v>
      </c>
      <c r="D1118">
        <v>21883</v>
      </c>
    </row>
    <row r="1119" spans="1:4" x14ac:dyDescent="0.2">
      <c r="A1119">
        <v>3692958</v>
      </c>
      <c r="B1119">
        <v>30063</v>
      </c>
      <c r="C1119">
        <v>302357</v>
      </c>
      <c r="D1119">
        <v>21883</v>
      </c>
    </row>
    <row r="1120" spans="1:4" x14ac:dyDescent="0.2">
      <c r="A1120">
        <v>3692958</v>
      </c>
      <c r="B1120">
        <v>30064</v>
      </c>
      <c r="C1120">
        <v>302368</v>
      </c>
      <c r="D1120">
        <v>21883</v>
      </c>
    </row>
    <row r="1121" spans="1:4" x14ac:dyDescent="0.2">
      <c r="A1121">
        <v>3692958</v>
      </c>
      <c r="B1121">
        <v>30065</v>
      </c>
      <c r="C1121">
        <v>302371</v>
      </c>
      <c r="D1121">
        <v>21883</v>
      </c>
    </row>
    <row r="1122" spans="1:4" x14ac:dyDescent="0.2">
      <c r="A1122">
        <v>3692958</v>
      </c>
      <c r="B1122">
        <v>30066</v>
      </c>
      <c r="C1122">
        <v>302436</v>
      </c>
      <c r="D1122">
        <v>21883</v>
      </c>
    </row>
    <row r="1123" spans="1:4" x14ac:dyDescent="0.2">
      <c r="A1123">
        <v>3692958</v>
      </c>
      <c r="B1123">
        <v>30067</v>
      </c>
      <c r="C1123">
        <v>302458</v>
      </c>
      <c r="D1123">
        <v>21883</v>
      </c>
    </row>
    <row r="1124" spans="1:4" x14ac:dyDescent="0.2">
      <c r="A1124">
        <v>3692959</v>
      </c>
      <c r="B1124">
        <v>30063</v>
      </c>
      <c r="C1124">
        <v>302357</v>
      </c>
      <c r="D1124">
        <v>21883</v>
      </c>
    </row>
    <row r="1125" spans="1:4" x14ac:dyDescent="0.2">
      <c r="A1125">
        <v>3692959</v>
      </c>
      <c r="B1125">
        <v>30064</v>
      </c>
      <c r="C1125">
        <v>302382</v>
      </c>
      <c r="D1125">
        <v>21883</v>
      </c>
    </row>
    <row r="1126" spans="1:4" x14ac:dyDescent="0.2">
      <c r="A1126">
        <v>3692959</v>
      </c>
      <c r="B1126">
        <v>30065</v>
      </c>
      <c r="C1126">
        <v>302371</v>
      </c>
      <c r="D1126">
        <v>21883</v>
      </c>
    </row>
    <row r="1127" spans="1:4" x14ac:dyDescent="0.2">
      <c r="A1127">
        <v>3692959</v>
      </c>
      <c r="B1127">
        <v>30066</v>
      </c>
      <c r="C1127">
        <v>302436</v>
      </c>
      <c r="D1127">
        <v>21883</v>
      </c>
    </row>
    <row r="1128" spans="1:4" x14ac:dyDescent="0.2">
      <c r="A1128">
        <v>3692959</v>
      </c>
      <c r="B1128">
        <v>30067</v>
      </c>
      <c r="C1128">
        <v>302459</v>
      </c>
      <c r="D1128">
        <v>21883</v>
      </c>
    </row>
    <row r="1129" spans="1:4" x14ac:dyDescent="0.2">
      <c r="A1129">
        <v>3692960</v>
      </c>
      <c r="B1129">
        <v>30063</v>
      </c>
      <c r="C1129">
        <v>302357</v>
      </c>
      <c r="D1129">
        <v>21883</v>
      </c>
    </row>
    <row r="1130" spans="1:4" x14ac:dyDescent="0.2">
      <c r="A1130">
        <v>3692960</v>
      </c>
      <c r="B1130">
        <v>30064</v>
      </c>
      <c r="C1130">
        <v>302369</v>
      </c>
      <c r="D1130">
        <v>21883</v>
      </c>
    </row>
    <row r="1131" spans="1:4" x14ac:dyDescent="0.2">
      <c r="A1131">
        <v>3692960</v>
      </c>
      <c r="B1131">
        <v>30065</v>
      </c>
      <c r="C1131">
        <v>302371</v>
      </c>
      <c r="D1131">
        <v>21883</v>
      </c>
    </row>
    <row r="1132" spans="1:4" x14ac:dyDescent="0.2">
      <c r="A1132">
        <v>3692960</v>
      </c>
      <c r="B1132">
        <v>30066</v>
      </c>
      <c r="C1132">
        <v>302436</v>
      </c>
      <c r="D1132">
        <v>21883</v>
      </c>
    </row>
    <row r="1133" spans="1:4" x14ac:dyDescent="0.2">
      <c r="A1133">
        <v>3692960</v>
      </c>
      <c r="B1133">
        <v>30067</v>
      </c>
      <c r="C1133">
        <v>302459</v>
      </c>
      <c r="D1133">
        <v>21883</v>
      </c>
    </row>
    <row r="1134" spans="1:4" x14ac:dyDescent="0.2">
      <c r="A1134">
        <v>3692961</v>
      </c>
      <c r="B1134">
        <v>30063</v>
      </c>
      <c r="C1134">
        <v>302357</v>
      </c>
      <c r="D1134">
        <v>21883</v>
      </c>
    </row>
    <row r="1135" spans="1:4" x14ac:dyDescent="0.2">
      <c r="A1135">
        <v>3692961</v>
      </c>
      <c r="B1135">
        <v>30064</v>
      </c>
      <c r="C1135">
        <v>302419</v>
      </c>
      <c r="D1135">
        <v>21883</v>
      </c>
    </row>
    <row r="1136" spans="1:4" x14ac:dyDescent="0.2">
      <c r="A1136">
        <v>3692961</v>
      </c>
      <c r="B1136">
        <v>30065</v>
      </c>
      <c r="C1136">
        <v>302371</v>
      </c>
      <c r="D1136">
        <v>21883</v>
      </c>
    </row>
    <row r="1137" spans="1:4" x14ac:dyDescent="0.2">
      <c r="A1137">
        <v>3692961</v>
      </c>
      <c r="B1137">
        <v>30066</v>
      </c>
      <c r="C1137">
        <v>302436</v>
      </c>
      <c r="D1137">
        <v>21883</v>
      </c>
    </row>
    <row r="1138" spans="1:4" x14ac:dyDescent="0.2">
      <c r="A1138">
        <v>3692961</v>
      </c>
      <c r="B1138">
        <v>30067</v>
      </c>
      <c r="C1138">
        <v>302459</v>
      </c>
      <c r="D1138">
        <v>21883</v>
      </c>
    </row>
    <row r="1139" spans="1:4" x14ac:dyDescent="0.2">
      <c r="A1139">
        <v>3692962</v>
      </c>
      <c r="B1139">
        <v>30063</v>
      </c>
      <c r="C1139">
        <v>302357</v>
      </c>
      <c r="D1139">
        <v>21883</v>
      </c>
    </row>
    <row r="1140" spans="1:4" x14ac:dyDescent="0.2">
      <c r="A1140">
        <v>3692962</v>
      </c>
      <c r="B1140">
        <v>30064</v>
      </c>
      <c r="C1140">
        <v>302369</v>
      </c>
      <c r="D1140">
        <v>21883</v>
      </c>
    </row>
    <row r="1141" spans="1:4" x14ac:dyDescent="0.2">
      <c r="A1141">
        <v>3692962</v>
      </c>
      <c r="B1141">
        <v>30065</v>
      </c>
      <c r="C1141">
        <v>302371</v>
      </c>
      <c r="D1141">
        <v>21883</v>
      </c>
    </row>
    <row r="1142" spans="1:4" x14ac:dyDescent="0.2">
      <c r="A1142">
        <v>3692962</v>
      </c>
      <c r="B1142">
        <v>30066</v>
      </c>
      <c r="C1142">
        <v>302436</v>
      </c>
      <c r="D1142">
        <v>21883</v>
      </c>
    </row>
    <row r="1143" spans="1:4" x14ac:dyDescent="0.2">
      <c r="A1143">
        <v>3692962</v>
      </c>
      <c r="B1143">
        <v>30067</v>
      </c>
      <c r="C1143">
        <v>302459</v>
      </c>
      <c r="D1143">
        <v>21883</v>
      </c>
    </row>
    <row r="1144" spans="1:4" x14ac:dyDescent="0.2">
      <c r="A1144">
        <v>3692963</v>
      </c>
      <c r="B1144">
        <v>30061</v>
      </c>
      <c r="C1144">
        <v>302333</v>
      </c>
      <c r="D1144">
        <v>21883</v>
      </c>
    </row>
    <row r="1145" spans="1:4" x14ac:dyDescent="0.2">
      <c r="A1145">
        <v>3692963</v>
      </c>
      <c r="B1145">
        <v>30062</v>
      </c>
      <c r="C1145">
        <v>302355</v>
      </c>
      <c r="D1145">
        <v>21883</v>
      </c>
    </row>
    <row r="1146" spans="1:4" x14ac:dyDescent="0.2">
      <c r="A1146">
        <v>3692963</v>
      </c>
      <c r="B1146">
        <v>30063</v>
      </c>
      <c r="C1146">
        <v>302357</v>
      </c>
      <c r="D1146">
        <v>21883</v>
      </c>
    </row>
    <row r="1147" spans="1:4" x14ac:dyDescent="0.2">
      <c r="A1147">
        <v>3692963</v>
      </c>
      <c r="B1147">
        <v>30064</v>
      </c>
      <c r="C1147">
        <v>302369</v>
      </c>
      <c r="D1147">
        <v>21883</v>
      </c>
    </row>
    <row r="1148" spans="1:4" x14ac:dyDescent="0.2">
      <c r="A1148">
        <v>3692963</v>
      </c>
      <c r="B1148">
        <v>30065</v>
      </c>
      <c r="C1148">
        <v>302330</v>
      </c>
      <c r="D1148">
        <v>21883</v>
      </c>
    </row>
    <row r="1149" spans="1:4" x14ac:dyDescent="0.2">
      <c r="A1149">
        <v>3692963</v>
      </c>
      <c r="B1149">
        <v>30066</v>
      </c>
      <c r="C1149">
        <v>302436</v>
      </c>
      <c r="D1149">
        <v>21883</v>
      </c>
    </row>
    <row r="1150" spans="1:4" x14ac:dyDescent="0.2">
      <c r="A1150">
        <v>3692963</v>
      </c>
      <c r="B1150">
        <v>30067</v>
      </c>
      <c r="C1150">
        <v>302459</v>
      </c>
      <c r="D1150">
        <v>21883</v>
      </c>
    </row>
    <row r="1151" spans="1:4" x14ac:dyDescent="0.2">
      <c r="A1151">
        <v>3692964</v>
      </c>
      <c r="B1151">
        <v>30063</v>
      </c>
      <c r="C1151">
        <v>302357</v>
      </c>
      <c r="D1151">
        <v>21883</v>
      </c>
    </row>
    <row r="1152" spans="1:4" x14ac:dyDescent="0.2">
      <c r="A1152">
        <v>3692964</v>
      </c>
      <c r="B1152">
        <v>30064</v>
      </c>
      <c r="C1152">
        <v>302368</v>
      </c>
      <c r="D1152">
        <v>21883</v>
      </c>
    </row>
    <row r="1153" spans="1:4" x14ac:dyDescent="0.2">
      <c r="A1153">
        <v>3692964</v>
      </c>
      <c r="B1153">
        <v>30065</v>
      </c>
      <c r="C1153">
        <v>302371</v>
      </c>
      <c r="D1153">
        <v>21883</v>
      </c>
    </row>
    <row r="1154" spans="1:4" x14ac:dyDescent="0.2">
      <c r="A1154">
        <v>3692964</v>
      </c>
      <c r="B1154">
        <v>30066</v>
      </c>
      <c r="C1154">
        <v>302436</v>
      </c>
      <c r="D1154">
        <v>21883</v>
      </c>
    </row>
    <row r="1155" spans="1:4" x14ac:dyDescent="0.2">
      <c r="A1155">
        <v>3692964</v>
      </c>
      <c r="B1155">
        <v>30067</v>
      </c>
      <c r="C1155">
        <v>302459</v>
      </c>
      <c r="D1155">
        <v>21883</v>
      </c>
    </row>
    <row r="1156" spans="1:4" x14ac:dyDescent="0.2">
      <c r="A1156">
        <v>3692965</v>
      </c>
      <c r="B1156">
        <v>30063</v>
      </c>
      <c r="C1156">
        <v>302357</v>
      </c>
      <c r="D1156">
        <v>21883</v>
      </c>
    </row>
    <row r="1157" spans="1:4" x14ac:dyDescent="0.2">
      <c r="A1157">
        <v>3692965</v>
      </c>
      <c r="B1157">
        <v>30064</v>
      </c>
      <c r="C1157">
        <v>302382</v>
      </c>
      <c r="D1157">
        <v>21883</v>
      </c>
    </row>
    <row r="1158" spans="1:4" x14ac:dyDescent="0.2">
      <c r="A1158">
        <v>3692965</v>
      </c>
      <c r="B1158">
        <v>30065</v>
      </c>
      <c r="C1158">
        <v>302371</v>
      </c>
      <c r="D1158">
        <v>21883</v>
      </c>
    </row>
    <row r="1159" spans="1:4" x14ac:dyDescent="0.2">
      <c r="A1159">
        <v>3692965</v>
      </c>
      <c r="B1159">
        <v>30066</v>
      </c>
      <c r="C1159">
        <v>302436</v>
      </c>
      <c r="D1159">
        <v>21883</v>
      </c>
    </row>
    <row r="1160" spans="1:4" x14ac:dyDescent="0.2">
      <c r="A1160">
        <v>3692965</v>
      </c>
      <c r="B1160">
        <v>30067</v>
      </c>
      <c r="C1160">
        <v>302460</v>
      </c>
      <c r="D1160">
        <v>21883</v>
      </c>
    </row>
    <row r="1161" spans="1:4" x14ac:dyDescent="0.2">
      <c r="A1161">
        <v>3692966</v>
      </c>
      <c r="B1161">
        <v>30063</v>
      </c>
      <c r="C1161">
        <v>302357</v>
      </c>
      <c r="D1161">
        <v>21883</v>
      </c>
    </row>
    <row r="1162" spans="1:4" x14ac:dyDescent="0.2">
      <c r="A1162">
        <v>3692966</v>
      </c>
      <c r="B1162">
        <v>30064</v>
      </c>
      <c r="C1162">
        <v>302369</v>
      </c>
      <c r="D1162">
        <v>21883</v>
      </c>
    </row>
    <row r="1163" spans="1:4" x14ac:dyDescent="0.2">
      <c r="A1163">
        <v>3692966</v>
      </c>
      <c r="B1163">
        <v>30065</v>
      </c>
      <c r="C1163">
        <v>302371</v>
      </c>
      <c r="D1163">
        <v>21883</v>
      </c>
    </row>
    <row r="1164" spans="1:4" x14ac:dyDescent="0.2">
      <c r="A1164">
        <v>3692966</v>
      </c>
      <c r="B1164">
        <v>30066</v>
      </c>
      <c r="C1164">
        <v>302436</v>
      </c>
      <c r="D1164">
        <v>21883</v>
      </c>
    </row>
    <row r="1165" spans="1:4" x14ac:dyDescent="0.2">
      <c r="A1165">
        <v>3692966</v>
      </c>
      <c r="B1165">
        <v>30067</v>
      </c>
      <c r="C1165">
        <v>302460</v>
      </c>
      <c r="D1165">
        <v>21883</v>
      </c>
    </row>
    <row r="1166" spans="1:4" x14ac:dyDescent="0.2">
      <c r="A1166">
        <v>3692967</v>
      </c>
      <c r="B1166">
        <v>30063</v>
      </c>
      <c r="C1166">
        <v>302357</v>
      </c>
      <c r="D1166">
        <v>21883</v>
      </c>
    </row>
    <row r="1167" spans="1:4" x14ac:dyDescent="0.2">
      <c r="A1167">
        <v>3692967</v>
      </c>
      <c r="B1167">
        <v>30064</v>
      </c>
      <c r="C1167">
        <v>302419</v>
      </c>
      <c r="D1167">
        <v>21883</v>
      </c>
    </row>
    <row r="1168" spans="1:4" x14ac:dyDescent="0.2">
      <c r="A1168">
        <v>3692967</v>
      </c>
      <c r="B1168">
        <v>30065</v>
      </c>
      <c r="C1168">
        <v>302371</v>
      </c>
      <c r="D1168">
        <v>21883</v>
      </c>
    </row>
    <row r="1169" spans="1:4" x14ac:dyDescent="0.2">
      <c r="A1169">
        <v>3692967</v>
      </c>
      <c r="B1169">
        <v>30066</v>
      </c>
      <c r="C1169">
        <v>302436</v>
      </c>
      <c r="D1169">
        <v>21883</v>
      </c>
    </row>
    <row r="1170" spans="1:4" x14ac:dyDescent="0.2">
      <c r="A1170">
        <v>3692967</v>
      </c>
      <c r="B1170">
        <v>30067</v>
      </c>
      <c r="C1170">
        <v>302460</v>
      </c>
      <c r="D1170">
        <v>21883</v>
      </c>
    </row>
    <row r="1171" spans="1:4" x14ac:dyDescent="0.2">
      <c r="A1171">
        <v>3692968</v>
      </c>
      <c r="B1171">
        <v>30063</v>
      </c>
      <c r="C1171">
        <v>302357</v>
      </c>
      <c r="D1171">
        <v>21883</v>
      </c>
    </row>
    <row r="1172" spans="1:4" x14ac:dyDescent="0.2">
      <c r="A1172">
        <v>3692968</v>
      </c>
      <c r="B1172">
        <v>30064</v>
      </c>
      <c r="C1172">
        <v>302369</v>
      </c>
      <c r="D1172">
        <v>21883</v>
      </c>
    </row>
    <row r="1173" spans="1:4" x14ac:dyDescent="0.2">
      <c r="A1173">
        <v>3692968</v>
      </c>
      <c r="B1173">
        <v>30065</v>
      </c>
      <c r="C1173">
        <v>302371</v>
      </c>
      <c r="D1173">
        <v>21883</v>
      </c>
    </row>
    <row r="1174" spans="1:4" x14ac:dyDescent="0.2">
      <c r="A1174">
        <v>3692968</v>
      </c>
      <c r="B1174">
        <v>30066</v>
      </c>
      <c r="C1174">
        <v>302436</v>
      </c>
      <c r="D1174">
        <v>21883</v>
      </c>
    </row>
    <row r="1175" spans="1:4" x14ac:dyDescent="0.2">
      <c r="A1175">
        <v>3692968</v>
      </c>
      <c r="B1175">
        <v>30067</v>
      </c>
      <c r="C1175">
        <v>302460</v>
      </c>
      <c r="D1175">
        <v>21883</v>
      </c>
    </row>
    <row r="1176" spans="1:4" x14ac:dyDescent="0.2">
      <c r="A1176">
        <v>3692969</v>
      </c>
      <c r="B1176">
        <v>30061</v>
      </c>
      <c r="C1176">
        <v>302333</v>
      </c>
      <c r="D1176">
        <v>21883</v>
      </c>
    </row>
    <row r="1177" spans="1:4" x14ac:dyDescent="0.2">
      <c r="A1177">
        <v>3692969</v>
      </c>
      <c r="B1177">
        <v>30062</v>
      </c>
      <c r="C1177">
        <v>302355</v>
      </c>
      <c r="D1177">
        <v>21883</v>
      </c>
    </row>
    <row r="1178" spans="1:4" x14ac:dyDescent="0.2">
      <c r="A1178">
        <v>3692969</v>
      </c>
      <c r="B1178">
        <v>30063</v>
      </c>
      <c r="C1178">
        <v>302357</v>
      </c>
      <c r="D1178">
        <v>21883</v>
      </c>
    </row>
    <row r="1179" spans="1:4" x14ac:dyDescent="0.2">
      <c r="A1179">
        <v>3692969</v>
      </c>
      <c r="B1179">
        <v>30064</v>
      </c>
      <c r="C1179">
        <v>302369</v>
      </c>
      <c r="D1179">
        <v>21883</v>
      </c>
    </row>
    <row r="1180" spans="1:4" x14ac:dyDescent="0.2">
      <c r="A1180">
        <v>3692969</v>
      </c>
      <c r="B1180">
        <v>30065</v>
      </c>
      <c r="C1180">
        <v>302330</v>
      </c>
      <c r="D1180">
        <v>21883</v>
      </c>
    </row>
    <row r="1181" spans="1:4" x14ac:dyDescent="0.2">
      <c r="A1181">
        <v>3692969</v>
      </c>
      <c r="B1181">
        <v>30066</v>
      </c>
      <c r="C1181">
        <v>302436</v>
      </c>
      <c r="D1181">
        <v>21883</v>
      </c>
    </row>
    <row r="1182" spans="1:4" x14ac:dyDescent="0.2">
      <c r="A1182">
        <v>3692969</v>
      </c>
      <c r="B1182">
        <v>30067</v>
      </c>
      <c r="C1182">
        <v>302460</v>
      </c>
      <c r="D1182">
        <v>21883</v>
      </c>
    </row>
    <row r="1183" spans="1:4" x14ac:dyDescent="0.2">
      <c r="A1183">
        <v>3692970</v>
      </c>
      <c r="B1183">
        <v>30063</v>
      </c>
      <c r="C1183">
        <v>302357</v>
      </c>
      <c r="D1183">
        <v>21883</v>
      </c>
    </row>
    <row r="1184" spans="1:4" x14ac:dyDescent="0.2">
      <c r="A1184">
        <v>3692970</v>
      </c>
      <c r="B1184">
        <v>30064</v>
      </c>
      <c r="C1184">
        <v>302368</v>
      </c>
      <c r="D1184">
        <v>21883</v>
      </c>
    </row>
    <row r="1185" spans="1:4" x14ac:dyDescent="0.2">
      <c r="A1185">
        <v>3692970</v>
      </c>
      <c r="B1185">
        <v>30065</v>
      </c>
      <c r="C1185">
        <v>302371</v>
      </c>
      <c r="D1185">
        <v>21883</v>
      </c>
    </row>
    <row r="1186" spans="1:4" x14ac:dyDescent="0.2">
      <c r="A1186">
        <v>3692970</v>
      </c>
      <c r="B1186">
        <v>30066</v>
      </c>
      <c r="C1186">
        <v>302436</v>
      </c>
      <c r="D1186">
        <v>21883</v>
      </c>
    </row>
    <row r="1187" spans="1:4" x14ac:dyDescent="0.2">
      <c r="A1187">
        <v>3692970</v>
      </c>
      <c r="B1187">
        <v>30067</v>
      </c>
      <c r="C1187">
        <v>302460</v>
      </c>
      <c r="D1187">
        <v>21883</v>
      </c>
    </row>
    <row r="1188" spans="1:4" x14ac:dyDescent="0.2">
      <c r="A1188">
        <v>3692971</v>
      </c>
      <c r="B1188">
        <v>30063</v>
      </c>
      <c r="C1188">
        <v>302357</v>
      </c>
      <c r="D1188">
        <v>21883</v>
      </c>
    </row>
    <row r="1189" spans="1:4" x14ac:dyDescent="0.2">
      <c r="A1189">
        <v>3692971</v>
      </c>
      <c r="B1189">
        <v>30064</v>
      </c>
      <c r="C1189">
        <v>302382</v>
      </c>
      <c r="D1189">
        <v>21883</v>
      </c>
    </row>
    <row r="1190" spans="1:4" x14ac:dyDescent="0.2">
      <c r="A1190">
        <v>3692971</v>
      </c>
      <c r="B1190">
        <v>30065</v>
      </c>
      <c r="C1190">
        <v>302371</v>
      </c>
      <c r="D1190">
        <v>21883</v>
      </c>
    </row>
    <row r="1191" spans="1:4" x14ac:dyDescent="0.2">
      <c r="A1191">
        <v>3692971</v>
      </c>
      <c r="B1191">
        <v>30066</v>
      </c>
      <c r="C1191">
        <v>302436</v>
      </c>
      <c r="D1191">
        <v>21883</v>
      </c>
    </row>
    <row r="1192" spans="1:4" x14ac:dyDescent="0.2">
      <c r="A1192">
        <v>3692971</v>
      </c>
      <c r="B1192">
        <v>30067</v>
      </c>
      <c r="C1192">
        <v>302461</v>
      </c>
      <c r="D1192">
        <v>21883</v>
      </c>
    </row>
    <row r="1193" spans="1:4" x14ac:dyDescent="0.2">
      <c r="A1193">
        <v>3692972</v>
      </c>
      <c r="B1193">
        <v>30063</v>
      </c>
      <c r="C1193">
        <v>302357</v>
      </c>
      <c r="D1193">
        <v>21883</v>
      </c>
    </row>
    <row r="1194" spans="1:4" x14ac:dyDescent="0.2">
      <c r="A1194">
        <v>3692972</v>
      </c>
      <c r="B1194">
        <v>30064</v>
      </c>
      <c r="C1194">
        <v>302369</v>
      </c>
      <c r="D1194">
        <v>21883</v>
      </c>
    </row>
    <row r="1195" spans="1:4" x14ac:dyDescent="0.2">
      <c r="A1195">
        <v>3692972</v>
      </c>
      <c r="B1195">
        <v>30065</v>
      </c>
      <c r="C1195">
        <v>302371</v>
      </c>
      <c r="D1195">
        <v>21883</v>
      </c>
    </row>
    <row r="1196" spans="1:4" x14ac:dyDescent="0.2">
      <c r="A1196">
        <v>3692972</v>
      </c>
      <c r="B1196">
        <v>30066</v>
      </c>
      <c r="C1196">
        <v>302436</v>
      </c>
      <c r="D1196">
        <v>21883</v>
      </c>
    </row>
    <row r="1197" spans="1:4" x14ac:dyDescent="0.2">
      <c r="A1197">
        <v>3692972</v>
      </c>
      <c r="B1197">
        <v>30067</v>
      </c>
      <c r="C1197">
        <v>302461</v>
      </c>
      <c r="D1197">
        <v>21883</v>
      </c>
    </row>
    <row r="1198" spans="1:4" x14ac:dyDescent="0.2">
      <c r="A1198">
        <v>3692973</v>
      </c>
      <c r="B1198">
        <v>30063</v>
      </c>
      <c r="C1198">
        <v>302357</v>
      </c>
      <c r="D1198">
        <v>21883</v>
      </c>
    </row>
    <row r="1199" spans="1:4" x14ac:dyDescent="0.2">
      <c r="A1199">
        <v>3692973</v>
      </c>
      <c r="B1199">
        <v>30064</v>
      </c>
      <c r="C1199">
        <v>302419</v>
      </c>
      <c r="D1199">
        <v>21883</v>
      </c>
    </row>
    <row r="1200" spans="1:4" x14ac:dyDescent="0.2">
      <c r="A1200">
        <v>3692973</v>
      </c>
      <c r="B1200">
        <v>30065</v>
      </c>
      <c r="C1200">
        <v>302371</v>
      </c>
      <c r="D1200">
        <v>21883</v>
      </c>
    </row>
    <row r="1201" spans="1:4" x14ac:dyDescent="0.2">
      <c r="A1201">
        <v>3692973</v>
      </c>
      <c r="B1201">
        <v>30066</v>
      </c>
      <c r="C1201">
        <v>302436</v>
      </c>
      <c r="D1201">
        <v>21883</v>
      </c>
    </row>
    <row r="1202" spans="1:4" x14ac:dyDescent="0.2">
      <c r="A1202">
        <v>3692973</v>
      </c>
      <c r="B1202">
        <v>30067</v>
      </c>
      <c r="C1202">
        <v>302461</v>
      </c>
      <c r="D1202">
        <v>21883</v>
      </c>
    </row>
    <row r="1203" spans="1:4" x14ac:dyDescent="0.2">
      <c r="A1203">
        <v>3692974</v>
      </c>
      <c r="B1203">
        <v>30063</v>
      </c>
      <c r="C1203">
        <v>302357</v>
      </c>
      <c r="D1203">
        <v>21883</v>
      </c>
    </row>
    <row r="1204" spans="1:4" x14ac:dyDescent="0.2">
      <c r="A1204">
        <v>3692974</v>
      </c>
      <c r="B1204">
        <v>30064</v>
      </c>
      <c r="C1204">
        <v>302369</v>
      </c>
      <c r="D1204">
        <v>21883</v>
      </c>
    </row>
    <row r="1205" spans="1:4" x14ac:dyDescent="0.2">
      <c r="A1205">
        <v>3692974</v>
      </c>
      <c r="B1205">
        <v>30065</v>
      </c>
      <c r="C1205">
        <v>302371</v>
      </c>
      <c r="D1205">
        <v>21883</v>
      </c>
    </row>
    <row r="1206" spans="1:4" x14ac:dyDescent="0.2">
      <c r="A1206">
        <v>3692974</v>
      </c>
      <c r="B1206">
        <v>30066</v>
      </c>
      <c r="C1206">
        <v>302436</v>
      </c>
      <c r="D1206">
        <v>21883</v>
      </c>
    </row>
    <row r="1207" spans="1:4" x14ac:dyDescent="0.2">
      <c r="A1207">
        <v>3692974</v>
      </c>
      <c r="B1207">
        <v>30067</v>
      </c>
      <c r="C1207">
        <v>302461</v>
      </c>
      <c r="D1207">
        <v>21883</v>
      </c>
    </row>
    <row r="1208" spans="1:4" x14ac:dyDescent="0.2">
      <c r="A1208">
        <v>3692975</v>
      </c>
      <c r="B1208">
        <v>30061</v>
      </c>
      <c r="C1208">
        <v>302333</v>
      </c>
      <c r="D1208">
        <v>21883</v>
      </c>
    </row>
    <row r="1209" spans="1:4" x14ac:dyDescent="0.2">
      <c r="A1209">
        <v>3692975</v>
      </c>
      <c r="B1209">
        <v>30062</v>
      </c>
      <c r="C1209">
        <v>302355</v>
      </c>
      <c r="D1209">
        <v>21883</v>
      </c>
    </row>
    <row r="1210" spans="1:4" x14ac:dyDescent="0.2">
      <c r="A1210">
        <v>3692975</v>
      </c>
      <c r="B1210">
        <v>30063</v>
      </c>
      <c r="C1210">
        <v>302357</v>
      </c>
      <c r="D1210">
        <v>21883</v>
      </c>
    </row>
    <row r="1211" spans="1:4" x14ac:dyDescent="0.2">
      <c r="A1211">
        <v>3692975</v>
      </c>
      <c r="B1211">
        <v>30064</v>
      </c>
      <c r="C1211">
        <v>302369</v>
      </c>
      <c r="D1211">
        <v>21883</v>
      </c>
    </row>
    <row r="1212" spans="1:4" x14ac:dyDescent="0.2">
      <c r="A1212">
        <v>3692975</v>
      </c>
      <c r="B1212">
        <v>30065</v>
      </c>
      <c r="C1212">
        <v>302330</v>
      </c>
      <c r="D1212">
        <v>21883</v>
      </c>
    </row>
    <row r="1213" spans="1:4" x14ac:dyDescent="0.2">
      <c r="A1213">
        <v>3692975</v>
      </c>
      <c r="B1213">
        <v>30066</v>
      </c>
      <c r="C1213">
        <v>302436</v>
      </c>
      <c r="D1213">
        <v>21883</v>
      </c>
    </row>
    <row r="1214" spans="1:4" x14ac:dyDescent="0.2">
      <c r="A1214">
        <v>3692975</v>
      </c>
      <c r="B1214">
        <v>30067</v>
      </c>
      <c r="C1214">
        <v>302461</v>
      </c>
      <c r="D1214">
        <v>21883</v>
      </c>
    </row>
    <row r="1215" spans="1:4" x14ac:dyDescent="0.2">
      <c r="A1215">
        <v>3692976</v>
      </c>
      <c r="B1215">
        <v>30063</v>
      </c>
      <c r="C1215">
        <v>302357</v>
      </c>
      <c r="D1215">
        <v>21883</v>
      </c>
    </row>
    <row r="1216" spans="1:4" x14ac:dyDescent="0.2">
      <c r="A1216">
        <v>3692976</v>
      </c>
      <c r="B1216">
        <v>30064</v>
      </c>
      <c r="C1216">
        <v>302368</v>
      </c>
      <c r="D1216">
        <v>21883</v>
      </c>
    </row>
    <row r="1217" spans="1:4" x14ac:dyDescent="0.2">
      <c r="A1217">
        <v>3692976</v>
      </c>
      <c r="B1217">
        <v>30065</v>
      </c>
      <c r="C1217">
        <v>302371</v>
      </c>
      <c r="D1217">
        <v>21883</v>
      </c>
    </row>
    <row r="1218" spans="1:4" x14ac:dyDescent="0.2">
      <c r="A1218">
        <v>3692976</v>
      </c>
      <c r="B1218">
        <v>30066</v>
      </c>
      <c r="C1218">
        <v>302436</v>
      </c>
      <c r="D1218">
        <v>21883</v>
      </c>
    </row>
    <row r="1219" spans="1:4" x14ac:dyDescent="0.2">
      <c r="A1219">
        <v>3692976</v>
      </c>
      <c r="B1219">
        <v>30067</v>
      </c>
      <c r="C1219">
        <v>302461</v>
      </c>
      <c r="D1219">
        <v>21883</v>
      </c>
    </row>
    <row r="1220" spans="1:4" x14ac:dyDescent="0.2">
      <c r="A1220">
        <v>3692977</v>
      </c>
      <c r="B1220">
        <v>30063</v>
      </c>
      <c r="C1220">
        <v>302357</v>
      </c>
      <c r="D1220">
        <v>21883</v>
      </c>
    </row>
    <row r="1221" spans="1:4" x14ac:dyDescent="0.2">
      <c r="A1221">
        <v>3692977</v>
      </c>
      <c r="B1221">
        <v>30064</v>
      </c>
      <c r="C1221">
        <v>302382</v>
      </c>
      <c r="D1221">
        <v>21883</v>
      </c>
    </row>
    <row r="1222" spans="1:4" x14ac:dyDescent="0.2">
      <c r="A1222">
        <v>3692977</v>
      </c>
      <c r="B1222">
        <v>30065</v>
      </c>
      <c r="C1222">
        <v>302371</v>
      </c>
      <c r="D1222">
        <v>21883</v>
      </c>
    </row>
    <row r="1223" spans="1:4" x14ac:dyDescent="0.2">
      <c r="A1223">
        <v>3692977</v>
      </c>
      <c r="B1223">
        <v>30066</v>
      </c>
      <c r="C1223">
        <v>302436</v>
      </c>
      <c r="D1223">
        <v>21883</v>
      </c>
    </row>
    <row r="1224" spans="1:4" x14ac:dyDescent="0.2">
      <c r="A1224">
        <v>3692977</v>
      </c>
      <c r="B1224">
        <v>30067</v>
      </c>
      <c r="C1224">
        <v>302462</v>
      </c>
      <c r="D1224">
        <v>21883</v>
      </c>
    </row>
    <row r="1225" spans="1:4" x14ac:dyDescent="0.2">
      <c r="A1225">
        <v>3692978</v>
      </c>
      <c r="B1225">
        <v>30063</v>
      </c>
      <c r="C1225">
        <v>302357</v>
      </c>
      <c r="D1225">
        <v>21883</v>
      </c>
    </row>
    <row r="1226" spans="1:4" x14ac:dyDescent="0.2">
      <c r="A1226">
        <v>3692978</v>
      </c>
      <c r="B1226">
        <v>30064</v>
      </c>
      <c r="C1226">
        <v>302369</v>
      </c>
      <c r="D1226">
        <v>21883</v>
      </c>
    </row>
    <row r="1227" spans="1:4" x14ac:dyDescent="0.2">
      <c r="A1227">
        <v>3692978</v>
      </c>
      <c r="B1227">
        <v>30065</v>
      </c>
      <c r="C1227">
        <v>302371</v>
      </c>
      <c r="D1227">
        <v>21883</v>
      </c>
    </row>
    <row r="1228" spans="1:4" x14ac:dyDescent="0.2">
      <c r="A1228">
        <v>3692978</v>
      </c>
      <c r="B1228">
        <v>30066</v>
      </c>
      <c r="C1228">
        <v>302436</v>
      </c>
      <c r="D1228">
        <v>21883</v>
      </c>
    </row>
    <row r="1229" spans="1:4" x14ac:dyDescent="0.2">
      <c r="A1229">
        <v>3692978</v>
      </c>
      <c r="B1229">
        <v>30067</v>
      </c>
      <c r="C1229">
        <v>302462</v>
      </c>
      <c r="D1229">
        <v>21883</v>
      </c>
    </row>
    <row r="1230" spans="1:4" x14ac:dyDescent="0.2">
      <c r="A1230">
        <v>3692979</v>
      </c>
      <c r="B1230">
        <v>30063</v>
      </c>
      <c r="C1230">
        <v>302357</v>
      </c>
      <c r="D1230">
        <v>21883</v>
      </c>
    </row>
    <row r="1231" spans="1:4" x14ac:dyDescent="0.2">
      <c r="A1231">
        <v>3692979</v>
      </c>
      <c r="B1231">
        <v>30064</v>
      </c>
      <c r="C1231">
        <v>302419</v>
      </c>
      <c r="D1231">
        <v>21883</v>
      </c>
    </row>
    <row r="1232" spans="1:4" x14ac:dyDescent="0.2">
      <c r="A1232">
        <v>3692979</v>
      </c>
      <c r="B1232">
        <v>30065</v>
      </c>
      <c r="C1232">
        <v>302371</v>
      </c>
      <c r="D1232">
        <v>21883</v>
      </c>
    </row>
    <row r="1233" spans="1:4" x14ac:dyDescent="0.2">
      <c r="A1233">
        <v>3692979</v>
      </c>
      <c r="B1233">
        <v>30066</v>
      </c>
      <c r="C1233">
        <v>302436</v>
      </c>
      <c r="D1233">
        <v>21883</v>
      </c>
    </row>
    <row r="1234" spans="1:4" x14ac:dyDescent="0.2">
      <c r="A1234">
        <v>3692979</v>
      </c>
      <c r="B1234">
        <v>30067</v>
      </c>
      <c r="C1234">
        <v>302462</v>
      </c>
      <c r="D1234">
        <v>21883</v>
      </c>
    </row>
    <row r="1235" spans="1:4" x14ac:dyDescent="0.2">
      <c r="A1235">
        <v>3692980</v>
      </c>
      <c r="B1235">
        <v>30063</v>
      </c>
      <c r="C1235">
        <v>302357</v>
      </c>
      <c r="D1235">
        <v>21883</v>
      </c>
    </row>
    <row r="1236" spans="1:4" x14ac:dyDescent="0.2">
      <c r="A1236">
        <v>3692980</v>
      </c>
      <c r="B1236">
        <v>30064</v>
      </c>
      <c r="C1236">
        <v>302369</v>
      </c>
      <c r="D1236">
        <v>21883</v>
      </c>
    </row>
    <row r="1237" spans="1:4" x14ac:dyDescent="0.2">
      <c r="A1237">
        <v>3692980</v>
      </c>
      <c r="B1237">
        <v>30065</v>
      </c>
      <c r="C1237">
        <v>302371</v>
      </c>
      <c r="D1237">
        <v>21883</v>
      </c>
    </row>
    <row r="1238" spans="1:4" x14ac:dyDescent="0.2">
      <c r="A1238">
        <v>3692980</v>
      </c>
      <c r="B1238">
        <v>30066</v>
      </c>
      <c r="C1238">
        <v>302436</v>
      </c>
      <c r="D1238">
        <v>21883</v>
      </c>
    </row>
    <row r="1239" spans="1:4" x14ac:dyDescent="0.2">
      <c r="A1239">
        <v>3692980</v>
      </c>
      <c r="B1239">
        <v>30067</v>
      </c>
      <c r="C1239">
        <v>302462</v>
      </c>
      <c r="D1239">
        <v>21883</v>
      </c>
    </row>
    <row r="1240" spans="1:4" x14ac:dyDescent="0.2">
      <c r="A1240">
        <v>3692981</v>
      </c>
      <c r="B1240">
        <v>30061</v>
      </c>
      <c r="C1240">
        <v>302333</v>
      </c>
      <c r="D1240">
        <v>21883</v>
      </c>
    </row>
    <row r="1241" spans="1:4" x14ac:dyDescent="0.2">
      <c r="A1241">
        <v>3692981</v>
      </c>
      <c r="B1241">
        <v>30062</v>
      </c>
      <c r="C1241">
        <v>302355</v>
      </c>
      <c r="D1241">
        <v>21883</v>
      </c>
    </row>
    <row r="1242" spans="1:4" x14ac:dyDescent="0.2">
      <c r="A1242">
        <v>3692981</v>
      </c>
      <c r="B1242">
        <v>30063</v>
      </c>
      <c r="C1242">
        <v>302357</v>
      </c>
      <c r="D1242">
        <v>21883</v>
      </c>
    </row>
    <row r="1243" spans="1:4" x14ac:dyDescent="0.2">
      <c r="A1243">
        <v>3692981</v>
      </c>
      <c r="B1243">
        <v>30064</v>
      </c>
      <c r="C1243">
        <v>302369</v>
      </c>
      <c r="D1243">
        <v>21883</v>
      </c>
    </row>
    <row r="1244" spans="1:4" x14ac:dyDescent="0.2">
      <c r="A1244">
        <v>3692981</v>
      </c>
      <c r="B1244">
        <v>30065</v>
      </c>
      <c r="C1244">
        <v>302330</v>
      </c>
      <c r="D1244">
        <v>21883</v>
      </c>
    </row>
    <row r="1245" spans="1:4" x14ac:dyDescent="0.2">
      <c r="A1245">
        <v>3692981</v>
      </c>
      <c r="B1245">
        <v>30066</v>
      </c>
      <c r="C1245">
        <v>302436</v>
      </c>
      <c r="D1245">
        <v>21883</v>
      </c>
    </row>
    <row r="1246" spans="1:4" x14ac:dyDescent="0.2">
      <c r="A1246">
        <v>3692981</v>
      </c>
      <c r="B1246">
        <v>30067</v>
      </c>
      <c r="C1246">
        <v>302462</v>
      </c>
      <c r="D1246">
        <v>21883</v>
      </c>
    </row>
    <row r="1247" spans="1:4" x14ac:dyDescent="0.2">
      <c r="A1247">
        <v>3692982</v>
      </c>
      <c r="B1247">
        <v>30063</v>
      </c>
      <c r="C1247">
        <v>302357</v>
      </c>
      <c r="D1247">
        <v>21883</v>
      </c>
    </row>
    <row r="1248" spans="1:4" x14ac:dyDescent="0.2">
      <c r="A1248">
        <v>3692982</v>
      </c>
      <c r="B1248">
        <v>30064</v>
      </c>
      <c r="C1248">
        <v>302368</v>
      </c>
      <c r="D1248">
        <v>21883</v>
      </c>
    </row>
    <row r="1249" spans="1:4" x14ac:dyDescent="0.2">
      <c r="A1249">
        <v>3692982</v>
      </c>
      <c r="B1249">
        <v>30065</v>
      </c>
      <c r="C1249">
        <v>302371</v>
      </c>
      <c r="D1249">
        <v>21883</v>
      </c>
    </row>
    <row r="1250" spans="1:4" x14ac:dyDescent="0.2">
      <c r="A1250">
        <v>3692982</v>
      </c>
      <c r="B1250">
        <v>30066</v>
      </c>
      <c r="C1250">
        <v>302436</v>
      </c>
      <c r="D1250">
        <v>21883</v>
      </c>
    </row>
    <row r="1251" spans="1:4" x14ac:dyDescent="0.2">
      <c r="A1251">
        <v>3692982</v>
      </c>
      <c r="B1251">
        <v>30067</v>
      </c>
      <c r="C1251">
        <v>302462</v>
      </c>
      <c r="D1251">
        <v>21883</v>
      </c>
    </row>
    <row r="1252" spans="1:4" x14ac:dyDescent="0.2">
      <c r="A1252">
        <v>3692983</v>
      </c>
      <c r="B1252">
        <v>30063</v>
      </c>
      <c r="C1252">
        <v>302357</v>
      </c>
      <c r="D1252">
        <v>21883</v>
      </c>
    </row>
    <row r="1253" spans="1:4" x14ac:dyDescent="0.2">
      <c r="A1253">
        <v>3692983</v>
      </c>
      <c r="B1253">
        <v>30064</v>
      </c>
      <c r="C1253">
        <v>302382</v>
      </c>
      <c r="D1253">
        <v>21883</v>
      </c>
    </row>
    <row r="1254" spans="1:4" x14ac:dyDescent="0.2">
      <c r="A1254">
        <v>3692983</v>
      </c>
      <c r="B1254">
        <v>30065</v>
      </c>
      <c r="C1254">
        <v>302371</v>
      </c>
      <c r="D1254">
        <v>21883</v>
      </c>
    </row>
    <row r="1255" spans="1:4" x14ac:dyDescent="0.2">
      <c r="A1255">
        <v>3692983</v>
      </c>
      <c r="B1255">
        <v>30066</v>
      </c>
      <c r="C1255">
        <v>302436</v>
      </c>
      <c r="D1255">
        <v>21883</v>
      </c>
    </row>
    <row r="1256" spans="1:4" x14ac:dyDescent="0.2">
      <c r="A1256">
        <v>3692983</v>
      </c>
      <c r="B1256">
        <v>30067</v>
      </c>
      <c r="C1256">
        <v>302463</v>
      </c>
      <c r="D1256">
        <v>21883</v>
      </c>
    </row>
    <row r="1257" spans="1:4" x14ac:dyDescent="0.2">
      <c r="A1257">
        <v>3692984</v>
      </c>
      <c r="B1257">
        <v>30063</v>
      </c>
      <c r="C1257">
        <v>302357</v>
      </c>
      <c r="D1257">
        <v>21883</v>
      </c>
    </row>
    <row r="1258" spans="1:4" x14ac:dyDescent="0.2">
      <c r="A1258">
        <v>3692984</v>
      </c>
      <c r="B1258">
        <v>30064</v>
      </c>
      <c r="C1258">
        <v>302369</v>
      </c>
      <c r="D1258">
        <v>21883</v>
      </c>
    </row>
    <row r="1259" spans="1:4" x14ac:dyDescent="0.2">
      <c r="A1259">
        <v>3692984</v>
      </c>
      <c r="B1259">
        <v>30065</v>
      </c>
      <c r="C1259">
        <v>302371</v>
      </c>
      <c r="D1259">
        <v>21883</v>
      </c>
    </row>
    <row r="1260" spans="1:4" x14ac:dyDescent="0.2">
      <c r="A1260">
        <v>3692984</v>
      </c>
      <c r="B1260">
        <v>30066</v>
      </c>
      <c r="C1260">
        <v>302436</v>
      </c>
      <c r="D1260">
        <v>21883</v>
      </c>
    </row>
    <row r="1261" spans="1:4" x14ac:dyDescent="0.2">
      <c r="A1261">
        <v>3692984</v>
      </c>
      <c r="B1261">
        <v>30067</v>
      </c>
      <c r="C1261">
        <v>302463</v>
      </c>
      <c r="D1261">
        <v>21883</v>
      </c>
    </row>
    <row r="1262" spans="1:4" x14ac:dyDescent="0.2">
      <c r="A1262">
        <v>3692985</v>
      </c>
      <c r="B1262">
        <v>30063</v>
      </c>
      <c r="C1262">
        <v>302357</v>
      </c>
      <c r="D1262">
        <v>21883</v>
      </c>
    </row>
    <row r="1263" spans="1:4" x14ac:dyDescent="0.2">
      <c r="A1263">
        <v>3692985</v>
      </c>
      <c r="B1263">
        <v>30064</v>
      </c>
      <c r="C1263">
        <v>302419</v>
      </c>
      <c r="D1263">
        <v>21883</v>
      </c>
    </row>
    <row r="1264" spans="1:4" x14ac:dyDescent="0.2">
      <c r="A1264">
        <v>3692985</v>
      </c>
      <c r="B1264">
        <v>30065</v>
      </c>
      <c r="C1264">
        <v>302371</v>
      </c>
      <c r="D1264">
        <v>21883</v>
      </c>
    </row>
    <row r="1265" spans="1:4" x14ac:dyDescent="0.2">
      <c r="A1265">
        <v>3692985</v>
      </c>
      <c r="B1265">
        <v>30066</v>
      </c>
      <c r="C1265">
        <v>302436</v>
      </c>
      <c r="D1265">
        <v>21883</v>
      </c>
    </row>
    <row r="1266" spans="1:4" x14ac:dyDescent="0.2">
      <c r="A1266">
        <v>3692985</v>
      </c>
      <c r="B1266">
        <v>30067</v>
      </c>
      <c r="C1266">
        <v>302463</v>
      </c>
      <c r="D1266">
        <v>21883</v>
      </c>
    </row>
    <row r="1267" spans="1:4" x14ac:dyDescent="0.2">
      <c r="A1267">
        <v>3692986</v>
      </c>
      <c r="B1267">
        <v>30063</v>
      </c>
      <c r="C1267">
        <v>302357</v>
      </c>
      <c r="D1267">
        <v>21883</v>
      </c>
    </row>
    <row r="1268" spans="1:4" x14ac:dyDescent="0.2">
      <c r="A1268">
        <v>3692986</v>
      </c>
      <c r="B1268">
        <v>30064</v>
      </c>
      <c r="C1268">
        <v>302369</v>
      </c>
      <c r="D1268">
        <v>21883</v>
      </c>
    </row>
    <row r="1269" spans="1:4" x14ac:dyDescent="0.2">
      <c r="A1269">
        <v>3692986</v>
      </c>
      <c r="B1269">
        <v>30065</v>
      </c>
      <c r="C1269">
        <v>302371</v>
      </c>
      <c r="D1269">
        <v>21883</v>
      </c>
    </row>
    <row r="1270" spans="1:4" x14ac:dyDescent="0.2">
      <c r="A1270">
        <v>3692986</v>
      </c>
      <c r="B1270">
        <v>30066</v>
      </c>
      <c r="C1270">
        <v>302436</v>
      </c>
      <c r="D1270">
        <v>21883</v>
      </c>
    </row>
    <row r="1271" spans="1:4" x14ac:dyDescent="0.2">
      <c r="A1271">
        <v>3692986</v>
      </c>
      <c r="B1271">
        <v>30067</v>
      </c>
      <c r="C1271">
        <v>302463</v>
      </c>
      <c r="D1271">
        <v>21883</v>
      </c>
    </row>
    <row r="1272" spans="1:4" x14ac:dyDescent="0.2">
      <c r="A1272">
        <v>3692987</v>
      </c>
      <c r="B1272">
        <v>30061</v>
      </c>
      <c r="C1272">
        <v>302333</v>
      </c>
      <c r="D1272">
        <v>21883</v>
      </c>
    </row>
    <row r="1273" spans="1:4" x14ac:dyDescent="0.2">
      <c r="A1273">
        <v>3692987</v>
      </c>
      <c r="B1273">
        <v>30062</v>
      </c>
      <c r="C1273">
        <v>302355</v>
      </c>
      <c r="D1273">
        <v>21883</v>
      </c>
    </row>
    <row r="1274" spans="1:4" x14ac:dyDescent="0.2">
      <c r="A1274">
        <v>3692987</v>
      </c>
      <c r="B1274">
        <v>30063</v>
      </c>
      <c r="C1274">
        <v>302357</v>
      </c>
      <c r="D1274">
        <v>21883</v>
      </c>
    </row>
    <row r="1275" spans="1:4" x14ac:dyDescent="0.2">
      <c r="A1275">
        <v>3692987</v>
      </c>
      <c r="B1275">
        <v>30064</v>
      </c>
      <c r="C1275">
        <v>302369</v>
      </c>
      <c r="D1275">
        <v>21883</v>
      </c>
    </row>
    <row r="1276" spans="1:4" x14ac:dyDescent="0.2">
      <c r="A1276">
        <v>3692987</v>
      </c>
      <c r="B1276">
        <v>30065</v>
      </c>
      <c r="C1276">
        <v>302330</v>
      </c>
      <c r="D1276">
        <v>21883</v>
      </c>
    </row>
    <row r="1277" spans="1:4" x14ac:dyDescent="0.2">
      <c r="A1277">
        <v>3692987</v>
      </c>
      <c r="B1277">
        <v>30066</v>
      </c>
      <c r="C1277">
        <v>302436</v>
      </c>
      <c r="D1277">
        <v>21883</v>
      </c>
    </row>
    <row r="1278" spans="1:4" x14ac:dyDescent="0.2">
      <c r="A1278">
        <v>3692987</v>
      </c>
      <c r="B1278">
        <v>30067</v>
      </c>
      <c r="C1278">
        <v>302463</v>
      </c>
      <c r="D1278">
        <v>21883</v>
      </c>
    </row>
    <row r="1279" spans="1:4" x14ac:dyDescent="0.2">
      <c r="A1279">
        <v>3692988</v>
      </c>
      <c r="B1279">
        <v>30063</v>
      </c>
      <c r="C1279">
        <v>302357</v>
      </c>
      <c r="D1279">
        <v>21883</v>
      </c>
    </row>
    <row r="1280" spans="1:4" x14ac:dyDescent="0.2">
      <c r="A1280">
        <v>3692988</v>
      </c>
      <c r="B1280">
        <v>30064</v>
      </c>
      <c r="C1280">
        <v>302368</v>
      </c>
      <c r="D1280">
        <v>21883</v>
      </c>
    </row>
    <row r="1281" spans="1:4" x14ac:dyDescent="0.2">
      <c r="A1281">
        <v>3692988</v>
      </c>
      <c r="B1281">
        <v>30065</v>
      </c>
      <c r="C1281">
        <v>302371</v>
      </c>
      <c r="D1281">
        <v>21883</v>
      </c>
    </row>
    <row r="1282" spans="1:4" x14ac:dyDescent="0.2">
      <c r="A1282">
        <v>3692988</v>
      </c>
      <c r="B1282">
        <v>30066</v>
      </c>
      <c r="C1282">
        <v>302436</v>
      </c>
      <c r="D1282">
        <v>21883</v>
      </c>
    </row>
    <row r="1283" spans="1:4" x14ac:dyDescent="0.2">
      <c r="A1283">
        <v>3692988</v>
      </c>
      <c r="B1283">
        <v>30067</v>
      </c>
      <c r="C1283">
        <v>302463</v>
      </c>
      <c r="D1283">
        <v>21883</v>
      </c>
    </row>
    <row r="1284" spans="1:4" x14ac:dyDescent="0.2">
      <c r="A1284">
        <v>3692989</v>
      </c>
      <c r="B1284">
        <v>30061</v>
      </c>
      <c r="C1284">
        <v>302333</v>
      </c>
      <c r="D1284">
        <v>21883</v>
      </c>
    </row>
    <row r="1285" spans="1:4" x14ac:dyDescent="0.2">
      <c r="A1285">
        <v>3692989</v>
      </c>
      <c r="B1285">
        <v>30062</v>
      </c>
      <c r="C1285">
        <v>302355</v>
      </c>
      <c r="D1285">
        <v>21883</v>
      </c>
    </row>
    <row r="1286" spans="1:4" x14ac:dyDescent="0.2">
      <c r="A1286">
        <v>3692989</v>
      </c>
      <c r="B1286">
        <v>30063</v>
      </c>
      <c r="C1286">
        <v>302357</v>
      </c>
      <c r="D1286">
        <v>21883</v>
      </c>
    </row>
    <row r="1287" spans="1:4" x14ac:dyDescent="0.2">
      <c r="A1287">
        <v>3692989</v>
      </c>
      <c r="B1287">
        <v>30064</v>
      </c>
      <c r="C1287">
        <v>302335</v>
      </c>
      <c r="D1287">
        <v>21883</v>
      </c>
    </row>
    <row r="1288" spans="1:4" x14ac:dyDescent="0.2">
      <c r="A1288">
        <v>3692989</v>
      </c>
      <c r="B1288">
        <v>30065</v>
      </c>
      <c r="C1288">
        <v>302330</v>
      </c>
      <c r="D1288">
        <v>21883</v>
      </c>
    </row>
    <row r="1289" spans="1:4" x14ac:dyDescent="0.2">
      <c r="A1289">
        <v>3692989</v>
      </c>
      <c r="B1289">
        <v>30066</v>
      </c>
      <c r="C1289">
        <v>302436</v>
      </c>
      <c r="D1289">
        <v>21883</v>
      </c>
    </row>
    <row r="1290" spans="1:4" x14ac:dyDescent="0.2">
      <c r="A1290">
        <v>3692990</v>
      </c>
      <c r="B1290">
        <v>30061</v>
      </c>
      <c r="C1290">
        <v>302333</v>
      </c>
      <c r="D1290">
        <v>21883</v>
      </c>
    </row>
    <row r="1291" spans="1:4" x14ac:dyDescent="0.2">
      <c r="A1291">
        <v>3692990</v>
      </c>
      <c r="B1291">
        <v>30062</v>
      </c>
      <c r="C1291">
        <v>302355</v>
      </c>
      <c r="D1291">
        <v>21883</v>
      </c>
    </row>
    <row r="1292" spans="1:4" x14ac:dyDescent="0.2">
      <c r="A1292">
        <v>3692990</v>
      </c>
      <c r="B1292">
        <v>30063</v>
      </c>
      <c r="C1292">
        <v>302357</v>
      </c>
      <c r="D1292">
        <v>21883</v>
      </c>
    </row>
    <row r="1293" spans="1:4" x14ac:dyDescent="0.2">
      <c r="A1293">
        <v>3692990</v>
      </c>
      <c r="B1293">
        <v>30064</v>
      </c>
      <c r="C1293">
        <v>302420</v>
      </c>
      <c r="D1293">
        <v>21883</v>
      </c>
    </row>
    <row r="1294" spans="1:4" x14ac:dyDescent="0.2">
      <c r="A1294">
        <v>3692990</v>
      </c>
      <c r="B1294">
        <v>30065</v>
      </c>
      <c r="C1294">
        <v>302330</v>
      </c>
      <c r="D1294">
        <v>21883</v>
      </c>
    </row>
    <row r="1295" spans="1:4" x14ac:dyDescent="0.2">
      <c r="A1295">
        <v>3692990</v>
      </c>
      <c r="B1295">
        <v>30066</v>
      </c>
      <c r="C1295">
        <v>302436</v>
      </c>
      <c r="D1295">
        <v>21883</v>
      </c>
    </row>
    <row r="1296" spans="1:4" x14ac:dyDescent="0.2">
      <c r="A1296">
        <v>3692991</v>
      </c>
      <c r="B1296">
        <v>30061</v>
      </c>
      <c r="C1296">
        <v>302337</v>
      </c>
      <c r="D1296">
        <v>21883</v>
      </c>
    </row>
    <row r="1297" spans="1:4" x14ac:dyDescent="0.2">
      <c r="A1297">
        <v>3692991</v>
      </c>
      <c r="B1297">
        <v>30062</v>
      </c>
      <c r="C1297">
        <v>302355</v>
      </c>
      <c r="D1297">
        <v>21883</v>
      </c>
    </row>
    <row r="1298" spans="1:4" x14ac:dyDescent="0.2">
      <c r="A1298">
        <v>3692991</v>
      </c>
      <c r="B1298">
        <v>30063</v>
      </c>
      <c r="C1298">
        <v>302357</v>
      </c>
      <c r="D1298">
        <v>21883</v>
      </c>
    </row>
    <row r="1299" spans="1:4" x14ac:dyDescent="0.2">
      <c r="A1299">
        <v>3692991</v>
      </c>
      <c r="B1299">
        <v>30064</v>
      </c>
      <c r="C1299">
        <v>302389</v>
      </c>
      <c r="D1299">
        <v>21883</v>
      </c>
    </row>
    <row r="1300" spans="1:4" x14ac:dyDescent="0.2">
      <c r="A1300">
        <v>3692991</v>
      </c>
      <c r="B1300">
        <v>30065</v>
      </c>
      <c r="C1300">
        <v>302330</v>
      </c>
      <c r="D1300">
        <v>21883</v>
      </c>
    </row>
    <row r="1301" spans="1:4" x14ac:dyDescent="0.2">
      <c r="A1301">
        <v>3692991</v>
      </c>
      <c r="B1301">
        <v>30066</v>
      </c>
      <c r="C1301">
        <v>302436</v>
      </c>
      <c r="D1301">
        <v>21883</v>
      </c>
    </row>
    <row r="1302" spans="1:4" x14ac:dyDescent="0.2">
      <c r="A1302">
        <v>3692992</v>
      </c>
      <c r="B1302">
        <v>30061</v>
      </c>
      <c r="C1302">
        <v>302333</v>
      </c>
      <c r="D1302">
        <v>21883</v>
      </c>
    </row>
    <row r="1303" spans="1:4" x14ac:dyDescent="0.2">
      <c r="A1303">
        <v>3692992</v>
      </c>
      <c r="B1303">
        <v>30062</v>
      </c>
      <c r="C1303">
        <v>302355</v>
      </c>
      <c r="D1303">
        <v>21883</v>
      </c>
    </row>
    <row r="1304" spans="1:4" x14ac:dyDescent="0.2">
      <c r="A1304">
        <v>3692992</v>
      </c>
      <c r="B1304">
        <v>30063</v>
      </c>
      <c r="C1304">
        <v>302357</v>
      </c>
      <c r="D1304">
        <v>21883</v>
      </c>
    </row>
    <row r="1305" spans="1:4" x14ac:dyDescent="0.2">
      <c r="A1305">
        <v>3692992</v>
      </c>
      <c r="B1305">
        <v>30064</v>
      </c>
      <c r="C1305">
        <v>302396</v>
      </c>
      <c r="D1305">
        <v>21883</v>
      </c>
    </row>
    <row r="1306" spans="1:4" x14ac:dyDescent="0.2">
      <c r="A1306">
        <v>3692992</v>
      </c>
      <c r="B1306">
        <v>30065</v>
      </c>
      <c r="C1306">
        <v>302330</v>
      </c>
      <c r="D1306">
        <v>21883</v>
      </c>
    </row>
    <row r="1307" spans="1:4" x14ac:dyDescent="0.2">
      <c r="A1307">
        <v>3692992</v>
      </c>
      <c r="B1307">
        <v>30066</v>
      </c>
      <c r="C1307">
        <v>302436</v>
      </c>
      <c r="D1307">
        <v>21883</v>
      </c>
    </row>
    <row r="1308" spans="1:4" x14ac:dyDescent="0.2">
      <c r="A1308">
        <v>3692992</v>
      </c>
      <c r="B1308">
        <v>30067</v>
      </c>
      <c r="C1308">
        <v>302464</v>
      </c>
      <c r="D1308">
        <v>21883</v>
      </c>
    </row>
    <row r="1309" spans="1:4" x14ac:dyDescent="0.2">
      <c r="A1309">
        <v>3692993</v>
      </c>
      <c r="B1309">
        <v>30063</v>
      </c>
      <c r="C1309">
        <v>302358</v>
      </c>
      <c r="D1309">
        <v>21883</v>
      </c>
    </row>
    <row r="1310" spans="1:4" x14ac:dyDescent="0.2">
      <c r="A1310">
        <v>3692993</v>
      </c>
      <c r="B1310">
        <v>30064</v>
      </c>
      <c r="C1310">
        <v>302389</v>
      </c>
      <c r="D1310">
        <v>21883</v>
      </c>
    </row>
    <row r="1311" spans="1:4" x14ac:dyDescent="0.2">
      <c r="A1311">
        <v>3692993</v>
      </c>
      <c r="B1311">
        <v>30065</v>
      </c>
      <c r="C1311">
        <v>302371</v>
      </c>
      <c r="D1311">
        <v>21883</v>
      </c>
    </row>
    <row r="1312" spans="1:4" x14ac:dyDescent="0.2">
      <c r="A1312">
        <v>3692993</v>
      </c>
      <c r="B1312">
        <v>30066</v>
      </c>
      <c r="C1312">
        <v>302435</v>
      </c>
      <c r="D1312">
        <v>21883</v>
      </c>
    </row>
    <row r="1313" spans="1:4" x14ac:dyDescent="0.2">
      <c r="A1313">
        <v>3692993</v>
      </c>
      <c r="B1313">
        <v>30069</v>
      </c>
      <c r="C1313">
        <v>302440</v>
      </c>
      <c r="D1313">
        <v>21883</v>
      </c>
    </row>
    <row r="1314" spans="1:4" x14ac:dyDescent="0.2">
      <c r="A1314">
        <v>3692994</v>
      </c>
      <c r="B1314">
        <v>30063</v>
      </c>
      <c r="C1314">
        <v>302356</v>
      </c>
      <c r="D1314">
        <v>21883</v>
      </c>
    </row>
    <row r="1315" spans="1:4" x14ac:dyDescent="0.2">
      <c r="A1315">
        <v>3692994</v>
      </c>
      <c r="B1315">
        <v>30065</v>
      </c>
      <c r="C1315">
        <v>302371</v>
      </c>
      <c r="D1315">
        <v>21883</v>
      </c>
    </row>
    <row r="1316" spans="1:4" x14ac:dyDescent="0.2">
      <c r="A1316">
        <v>3692994</v>
      </c>
      <c r="B1316">
        <v>30066</v>
      </c>
      <c r="C1316">
        <v>302402</v>
      </c>
      <c r="D1316">
        <v>21883</v>
      </c>
    </row>
    <row r="1317" spans="1:4" x14ac:dyDescent="0.2">
      <c r="A1317">
        <v>3692995</v>
      </c>
      <c r="B1317">
        <v>30063</v>
      </c>
      <c r="C1317">
        <v>302356</v>
      </c>
      <c r="D1317">
        <v>21883</v>
      </c>
    </row>
    <row r="1318" spans="1:4" x14ac:dyDescent="0.2">
      <c r="A1318">
        <v>3692995</v>
      </c>
      <c r="B1318">
        <v>30065</v>
      </c>
      <c r="C1318">
        <v>302371</v>
      </c>
      <c r="D1318">
        <v>21883</v>
      </c>
    </row>
    <row r="1319" spans="1:4" x14ac:dyDescent="0.2">
      <c r="A1319">
        <v>3692995</v>
      </c>
      <c r="B1319">
        <v>30066</v>
      </c>
      <c r="C1319">
        <v>302402</v>
      </c>
      <c r="D1319">
        <v>21883</v>
      </c>
    </row>
    <row r="1320" spans="1:4" x14ac:dyDescent="0.2">
      <c r="A1320">
        <v>3692996</v>
      </c>
      <c r="B1320">
        <v>30061</v>
      </c>
      <c r="C1320">
        <v>302350</v>
      </c>
      <c r="D1320">
        <v>21883</v>
      </c>
    </row>
    <row r="1321" spans="1:4" x14ac:dyDescent="0.2">
      <c r="A1321">
        <v>3692996</v>
      </c>
      <c r="B1321">
        <v>30062</v>
      </c>
      <c r="C1321">
        <v>302355</v>
      </c>
      <c r="D1321">
        <v>21883</v>
      </c>
    </row>
    <row r="1322" spans="1:4" x14ac:dyDescent="0.2">
      <c r="A1322">
        <v>3692996</v>
      </c>
      <c r="B1322">
        <v>30063</v>
      </c>
      <c r="C1322">
        <v>302356</v>
      </c>
      <c r="D1322">
        <v>21883</v>
      </c>
    </row>
    <row r="1323" spans="1:4" x14ac:dyDescent="0.2">
      <c r="A1323">
        <v>3692996</v>
      </c>
      <c r="B1323">
        <v>30064</v>
      </c>
      <c r="C1323">
        <v>302414</v>
      </c>
      <c r="D1323">
        <v>21883</v>
      </c>
    </row>
    <row r="1324" spans="1:4" x14ac:dyDescent="0.2">
      <c r="A1324">
        <v>3692996</v>
      </c>
      <c r="B1324">
        <v>30065</v>
      </c>
      <c r="C1324">
        <v>302371</v>
      </c>
      <c r="D1324">
        <v>21883</v>
      </c>
    </row>
    <row r="1325" spans="1:4" x14ac:dyDescent="0.2">
      <c r="A1325">
        <v>3692996</v>
      </c>
      <c r="B1325">
        <v>30066</v>
      </c>
      <c r="C1325">
        <v>302402</v>
      </c>
      <c r="D1325">
        <v>21883</v>
      </c>
    </row>
    <row r="1326" spans="1:4" x14ac:dyDescent="0.2">
      <c r="A1326">
        <v>3692997</v>
      </c>
      <c r="B1326">
        <v>30063</v>
      </c>
      <c r="C1326">
        <v>302356</v>
      </c>
      <c r="D1326">
        <v>21883</v>
      </c>
    </row>
    <row r="1327" spans="1:4" x14ac:dyDescent="0.2">
      <c r="A1327">
        <v>3692997</v>
      </c>
      <c r="B1327">
        <v>30065</v>
      </c>
      <c r="C1327">
        <v>302371</v>
      </c>
      <c r="D1327">
        <v>21883</v>
      </c>
    </row>
    <row r="1328" spans="1:4" x14ac:dyDescent="0.2">
      <c r="A1328">
        <v>3692997</v>
      </c>
      <c r="B1328">
        <v>30066</v>
      </c>
      <c r="C1328">
        <v>302401</v>
      </c>
      <c r="D1328">
        <v>21883</v>
      </c>
    </row>
    <row r="1329" spans="1:4" x14ac:dyDescent="0.2">
      <c r="A1329">
        <v>3692997</v>
      </c>
      <c r="B1329">
        <v>30069</v>
      </c>
      <c r="C1329">
        <v>302442</v>
      </c>
      <c r="D1329">
        <v>21883</v>
      </c>
    </row>
    <row r="1330" spans="1:4" x14ac:dyDescent="0.2">
      <c r="A1330">
        <v>3692998</v>
      </c>
      <c r="B1330">
        <v>30061</v>
      </c>
      <c r="C1330">
        <v>302352</v>
      </c>
      <c r="D1330">
        <v>21883</v>
      </c>
    </row>
    <row r="1331" spans="1:4" x14ac:dyDescent="0.2">
      <c r="A1331">
        <v>3692998</v>
      </c>
      <c r="B1331">
        <v>30062</v>
      </c>
      <c r="C1331">
        <v>302355</v>
      </c>
      <c r="D1331">
        <v>21883</v>
      </c>
    </row>
    <row r="1332" spans="1:4" x14ac:dyDescent="0.2">
      <c r="A1332">
        <v>3692998</v>
      </c>
      <c r="B1332">
        <v>30063</v>
      </c>
      <c r="C1332">
        <v>302356</v>
      </c>
      <c r="D1332">
        <v>21883</v>
      </c>
    </row>
    <row r="1333" spans="1:4" x14ac:dyDescent="0.2">
      <c r="A1333">
        <v>3692998</v>
      </c>
      <c r="B1333">
        <v>30064</v>
      </c>
      <c r="C1333">
        <v>302414</v>
      </c>
      <c r="D1333">
        <v>21883</v>
      </c>
    </row>
    <row r="1334" spans="1:4" x14ac:dyDescent="0.2">
      <c r="A1334">
        <v>3692998</v>
      </c>
      <c r="B1334">
        <v>30065</v>
      </c>
      <c r="C1334">
        <v>302372</v>
      </c>
      <c r="D1334">
        <v>21883</v>
      </c>
    </row>
    <row r="1335" spans="1:4" x14ac:dyDescent="0.2">
      <c r="A1335">
        <v>3692998</v>
      </c>
      <c r="B1335">
        <v>30066</v>
      </c>
      <c r="C1335">
        <v>302400</v>
      </c>
      <c r="D1335">
        <v>21883</v>
      </c>
    </row>
    <row r="1336" spans="1:4" x14ac:dyDescent="0.2">
      <c r="A1336">
        <v>3692999</v>
      </c>
      <c r="B1336">
        <v>30063</v>
      </c>
      <c r="C1336">
        <v>302356</v>
      </c>
      <c r="D1336">
        <v>21883</v>
      </c>
    </row>
    <row r="1337" spans="1:4" x14ac:dyDescent="0.2">
      <c r="A1337">
        <v>3692999</v>
      </c>
      <c r="B1337">
        <v>30065</v>
      </c>
      <c r="C1337">
        <v>302371</v>
      </c>
      <c r="D1337">
        <v>21883</v>
      </c>
    </row>
    <row r="1338" spans="1:4" x14ac:dyDescent="0.2">
      <c r="A1338">
        <v>3692999</v>
      </c>
      <c r="B1338">
        <v>30066</v>
      </c>
      <c r="C1338">
        <v>302400</v>
      </c>
      <c r="D1338">
        <v>21883</v>
      </c>
    </row>
    <row r="1339" spans="1:4" x14ac:dyDescent="0.2">
      <c r="A1339">
        <v>3693000</v>
      </c>
      <c r="B1339">
        <v>30063</v>
      </c>
      <c r="C1339">
        <v>302356</v>
      </c>
      <c r="D1339">
        <v>21883</v>
      </c>
    </row>
    <row r="1340" spans="1:4" x14ac:dyDescent="0.2">
      <c r="A1340">
        <v>3693000</v>
      </c>
      <c r="B1340">
        <v>30065</v>
      </c>
      <c r="C1340">
        <v>302371</v>
      </c>
      <c r="D1340">
        <v>21883</v>
      </c>
    </row>
    <row r="1341" spans="1:4" x14ac:dyDescent="0.2">
      <c r="A1341">
        <v>3693000</v>
      </c>
      <c r="B1341">
        <v>30066</v>
      </c>
      <c r="C1341">
        <v>302400</v>
      </c>
      <c r="D1341">
        <v>21883</v>
      </c>
    </row>
    <row r="1342" spans="1:4" x14ac:dyDescent="0.2">
      <c r="A1342">
        <v>3693001</v>
      </c>
      <c r="B1342">
        <v>30061</v>
      </c>
      <c r="C1342">
        <v>302340</v>
      </c>
      <c r="D1342">
        <v>21883</v>
      </c>
    </row>
    <row r="1343" spans="1:4" x14ac:dyDescent="0.2">
      <c r="A1343">
        <v>3693001</v>
      </c>
      <c r="B1343">
        <v>30062</v>
      </c>
      <c r="C1343">
        <v>302355</v>
      </c>
      <c r="D1343">
        <v>21883</v>
      </c>
    </row>
    <row r="1344" spans="1:4" x14ac:dyDescent="0.2">
      <c r="A1344">
        <v>3693001</v>
      </c>
      <c r="B1344">
        <v>30063</v>
      </c>
      <c r="C1344">
        <v>302356</v>
      </c>
      <c r="D1344">
        <v>21883</v>
      </c>
    </row>
    <row r="1345" spans="1:4" x14ac:dyDescent="0.2">
      <c r="A1345">
        <v>3693001</v>
      </c>
      <c r="B1345">
        <v>30064</v>
      </c>
      <c r="C1345">
        <v>302389</v>
      </c>
      <c r="D1345">
        <v>21883</v>
      </c>
    </row>
    <row r="1346" spans="1:4" x14ac:dyDescent="0.2">
      <c r="A1346">
        <v>3693001</v>
      </c>
      <c r="B1346">
        <v>30065</v>
      </c>
      <c r="C1346">
        <v>302371</v>
      </c>
      <c r="D1346">
        <v>21883</v>
      </c>
    </row>
    <row r="1347" spans="1:4" x14ac:dyDescent="0.2">
      <c r="A1347">
        <v>3693001</v>
      </c>
      <c r="B1347">
        <v>30066</v>
      </c>
      <c r="C1347">
        <v>302438</v>
      </c>
      <c r="D1347">
        <v>21883</v>
      </c>
    </row>
    <row r="1348" spans="1:4" x14ac:dyDescent="0.2">
      <c r="A1348">
        <v>3693002</v>
      </c>
      <c r="B1348">
        <v>30063</v>
      </c>
      <c r="C1348">
        <v>302356</v>
      </c>
      <c r="D1348">
        <v>21883</v>
      </c>
    </row>
    <row r="1349" spans="1:4" x14ac:dyDescent="0.2">
      <c r="A1349">
        <v>3693002</v>
      </c>
      <c r="B1349">
        <v>30065</v>
      </c>
      <c r="C1349">
        <v>302372</v>
      </c>
      <c r="D1349">
        <v>21883</v>
      </c>
    </row>
    <row r="1350" spans="1:4" x14ac:dyDescent="0.2">
      <c r="A1350">
        <v>3693002</v>
      </c>
      <c r="B1350">
        <v>30066</v>
      </c>
      <c r="C1350">
        <v>302400</v>
      </c>
      <c r="D1350">
        <v>21883</v>
      </c>
    </row>
    <row r="1351" spans="1:4" x14ac:dyDescent="0.2">
      <c r="A1351">
        <v>3693003</v>
      </c>
      <c r="B1351">
        <v>30063</v>
      </c>
      <c r="C1351">
        <v>302356</v>
      </c>
      <c r="D1351">
        <v>21883</v>
      </c>
    </row>
    <row r="1352" spans="1:4" x14ac:dyDescent="0.2">
      <c r="A1352">
        <v>3693003</v>
      </c>
      <c r="B1352">
        <v>30065</v>
      </c>
      <c r="C1352">
        <v>302372</v>
      </c>
      <c r="D1352">
        <v>21883</v>
      </c>
    </row>
    <row r="1353" spans="1:4" x14ac:dyDescent="0.2">
      <c r="A1353">
        <v>3693003</v>
      </c>
      <c r="B1353">
        <v>30066</v>
      </c>
      <c r="C1353">
        <v>302400</v>
      </c>
      <c r="D1353">
        <v>21883</v>
      </c>
    </row>
    <row r="1354" spans="1:4" x14ac:dyDescent="0.2">
      <c r="A1354">
        <v>3693004</v>
      </c>
      <c r="B1354">
        <v>30061</v>
      </c>
      <c r="C1354">
        <v>302347</v>
      </c>
      <c r="D1354">
        <v>21883</v>
      </c>
    </row>
    <row r="1355" spans="1:4" x14ac:dyDescent="0.2">
      <c r="A1355">
        <v>3693004</v>
      </c>
      <c r="B1355">
        <v>30062</v>
      </c>
      <c r="C1355">
        <v>302355</v>
      </c>
      <c r="D1355">
        <v>21883</v>
      </c>
    </row>
    <row r="1356" spans="1:4" x14ac:dyDescent="0.2">
      <c r="A1356">
        <v>3693004</v>
      </c>
      <c r="B1356">
        <v>30063</v>
      </c>
      <c r="C1356">
        <v>302356</v>
      </c>
      <c r="D1356">
        <v>21883</v>
      </c>
    </row>
    <row r="1357" spans="1:4" x14ac:dyDescent="0.2">
      <c r="A1357">
        <v>3693004</v>
      </c>
      <c r="B1357">
        <v>30064</v>
      </c>
      <c r="C1357">
        <v>302414</v>
      </c>
      <c r="D1357">
        <v>21883</v>
      </c>
    </row>
    <row r="1358" spans="1:4" x14ac:dyDescent="0.2">
      <c r="A1358">
        <v>3693004</v>
      </c>
      <c r="B1358">
        <v>30065</v>
      </c>
      <c r="C1358">
        <v>302372</v>
      </c>
      <c r="D1358">
        <v>21883</v>
      </c>
    </row>
    <row r="1359" spans="1:4" x14ac:dyDescent="0.2">
      <c r="A1359">
        <v>3693004</v>
      </c>
      <c r="B1359">
        <v>30066</v>
      </c>
      <c r="C1359">
        <v>302402</v>
      </c>
      <c r="D1359">
        <v>21883</v>
      </c>
    </row>
    <row r="1360" spans="1:4" x14ac:dyDescent="0.2">
      <c r="A1360">
        <v>3693005</v>
      </c>
      <c r="B1360">
        <v>30063</v>
      </c>
      <c r="C1360">
        <v>302356</v>
      </c>
      <c r="D1360">
        <v>21883</v>
      </c>
    </row>
    <row r="1361" spans="1:4" x14ac:dyDescent="0.2">
      <c r="A1361">
        <v>3693005</v>
      </c>
      <c r="B1361">
        <v>30065</v>
      </c>
      <c r="C1361">
        <v>302371</v>
      </c>
      <c r="D1361">
        <v>21883</v>
      </c>
    </row>
    <row r="1362" spans="1:4" x14ac:dyDescent="0.2">
      <c r="A1362">
        <v>3693005</v>
      </c>
      <c r="B1362">
        <v>30066</v>
      </c>
      <c r="C1362">
        <v>302402</v>
      </c>
      <c r="D1362">
        <v>21883</v>
      </c>
    </row>
    <row r="1363" spans="1:4" x14ac:dyDescent="0.2">
      <c r="A1363">
        <v>3693006</v>
      </c>
      <c r="B1363">
        <v>30063</v>
      </c>
      <c r="C1363">
        <v>302356</v>
      </c>
      <c r="D1363">
        <v>21883</v>
      </c>
    </row>
    <row r="1364" spans="1:4" x14ac:dyDescent="0.2">
      <c r="A1364">
        <v>3693006</v>
      </c>
      <c r="B1364">
        <v>30065</v>
      </c>
      <c r="C1364">
        <v>302371</v>
      </c>
      <c r="D1364">
        <v>21883</v>
      </c>
    </row>
    <row r="1365" spans="1:4" x14ac:dyDescent="0.2">
      <c r="A1365">
        <v>3693006</v>
      </c>
      <c r="B1365">
        <v>30066</v>
      </c>
      <c r="C1365">
        <v>302402</v>
      </c>
      <c r="D1365">
        <v>21883</v>
      </c>
    </row>
    <row r="1366" spans="1:4" x14ac:dyDescent="0.2">
      <c r="A1366">
        <v>3693007</v>
      </c>
      <c r="B1366">
        <v>30061</v>
      </c>
      <c r="C1366">
        <v>302339</v>
      </c>
      <c r="D1366">
        <v>21883</v>
      </c>
    </row>
    <row r="1367" spans="1:4" x14ac:dyDescent="0.2">
      <c r="A1367">
        <v>3693007</v>
      </c>
      <c r="B1367">
        <v>30062</v>
      </c>
      <c r="C1367">
        <v>302355</v>
      </c>
      <c r="D1367">
        <v>21883</v>
      </c>
    </row>
    <row r="1368" spans="1:4" x14ac:dyDescent="0.2">
      <c r="A1368">
        <v>3693007</v>
      </c>
      <c r="B1368">
        <v>30063</v>
      </c>
      <c r="C1368">
        <v>302356</v>
      </c>
      <c r="D1368">
        <v>21883</v>
      </c>
    </row>
    <row r="1369" spans="1:4" x14ac:dyDescent="0.2">
      <c r="A1369">
        <v>3693007</v>
      </c>
      <c r="B1369">
        <v>30064</v>
      </c>
      <c r="C1369">
        <v>302389</v>
      </c>
      <c r="D1369">
        <v>21883</v>
      </c>
    </row>
    <row r="1370" spans="1:4" x14ac:dyDescent="0.2">
      <c r="A1370">
        <v>3693007</v>
      </c>
      <c r="B1370">
        <v>30065</v>
      </c>
      <c r="C1370">
        <v>302372</v>
      </c>
      <c r="D1370">
        <v>21883</v>
      </c>
    </row>
    <row r="1371" spans="1:4" x14ac:dyDescent="0.2">
      <c r="A1371">
        <v>3693007</v>
      </c>
      <c r="B1371">
        <v>30066</v>
      </c>
      <c r="C1371">
        <v>302434</v>
      </c>
      <c r="D1371">
        <v>21883</v>
      </c>
    </row>
    <row r="1372" spans="1:4" x14ac:dyDescent="0.2">
      <c r="A1372">
        <v>3693008</v>
      </c>
      <c r="B1372">
        <v>30065</v>
      </c>
      <c r="C1372">
        <v>302372</v>
      </c>
      <c r="D1372">
        <v>21883</v>
      </c>
    </row>
    <row r="1373" spans="1:4" x14ac:dyDescent="0.2">
      <c r="A1373">
        <v>3693008</v>
      </c>
      <c r="B1373">
        <v>30066</v>
      </c>
      <c r="C1373">
        <v>302434</v>
      </c>
      <c r="D1373">
        <v>21883</v>
      </c>
    </row>
    <row r="1374" spans="1:4" x14ac:dyDescent="0.2">
      <c r="A1374">
        <v>3693009</v>
      </c>
      <c r="B1374">
        <v>30061</v>
      </c>
      <c r="C1374">
        <v>302337</v>
      </c>
      <c r="D1374">
        <v>21883</v>
      </c>
    </row>
    <row r="1375" spans="1:4" x14ac:dyDescent="0.2">
      <c r="A1375">
        <v>3693009</v>
      </c>
      <c r="B1375">
        <v>30062</v>
      </c>
      <c r="C1375">
        <v>302355</v>
      </c>
      <c r="D1375">
        <v>21883</v>
      </c>
    </row>
    <row r="1376" spans="1:4" x14ac:dyDescent="0.2">
      <c r="A1376">
        <v>3693009</v>
      </c>
      <c r="B1376">
        <v>30063</v>
      </c>
      <c r="C1376">
        <v>302357</v>
      </c>
      <c r="D1376">
        <v>21883</v>
      </c>
    </row>
    <row r="1377" spans="1:4" x14ac:dyDescent="0.2">
      <c r="A1377">
        <v>3693009</v>
      </c>
      <c r="B1377">
        <v>30064</v>
      </c>
      <c r="C1377">
        <v>302364</v>
      </c>
      <c r="D1377">
        <v>21883</v>
      </c>
    </row>
    <row r="1378" spans="1:4" x14ac:dyDescent="0.2">
      <c r="A1378">
        <v>3693009</v>
      </c>
      <c r="B1378">
        <v>30065</v>
      </c>
      <c r="C1378">
        <v>302330</v>
      </c>
      <c r="D1378">
        <v>21883</v>
      </c>
    </row>
    <row r="1379" spans="1:4" x14ac:dyDescent="0.2">
      <c r="A1379">
        <v>3693009</v>
      </c>
      <c r="B1379">
        <v>30066</v>
      </c>
      <c r="C1379">
        <v>302437</v>
      </c>
      <c r="D1379">
        <v>21883</v>
      </c>
    </row>
    <row r="1380" spans="1:4" x14ac:dyDescent="0.2">
      <c r="A1380">
        <v>3693010</v>
      </c>
      <c r="B1380">
        <v>30061</v>
      </c>
      <c r="C1380">
        <v>302337</v>
      </c>
      <c r="D1380">
        <v>21883</v>
      </c>
    </row>
    <row r="1381" spans="1:4" x14ac:dyDescent="0.2">
      <c r="A1381">
        <v>3693010</v>
      </c>
      <c r="B1381">
        <v>30062</v>
      </c>
      <c r="C1381">
        <v>302355</v>
      </c>
      <c r="D1381">
        <v>21883</v>
      </c>
    </row>
    <row r="1382" spans="1:4" x14ac:dyDescent="0.2">
      <c r="A1382">
        <v>3693010</v>
      </c>
      <c r="B1382">
        <v>30063</v>
      </c>
      <c r="C1382">
        <v>302357</v>
      </c>
      <c r="D1382">
        <v>21883</v>
      </c>
    </row>
    <row r="1383" spans="1:4" x14ac:dyDescent="0.2">
      <c r="A1383">
        <v>3693010</v>
      </c>
      <c r="B1383">
        <v>30064</v>
      </c>
      <c r="C1383">
        <v>302415</v>
      </c>
      <c r="D1383">
        <v>21883</v>
      </c>
    </row>
    <row r="1384" spans="1:4" x14ac:dyDescent="0.2">
      <c r="A1384">
        <v>3693010</v>
      </c>
      <c r="B1384">
        <v>30065</v>
      </c>
      <c r="C1384">
        <v>302330</v>
      </c>
      <c r="D1384">
        <v>21883</v>
      </c>
    </row>
    <row r="1385" spans="1:4" x14ac:dyDescent="0.2">
      <c r="A1385">
        <v>3693010</v>
      </c>
      <c r="B1385">
        <v>30066</v>
      </c>
      <c r="C1385">
        <v>302437</v>
      </c>
      <c r="D1385">
        <v>21883</v>
      </c>
    </row>
    <row r="1386" spans="1:4" x14ac:dyDescent="0.2">
      <c r="A1386">
        <v>3693011</v>
      </c>
      <c r="B1386">
        <v>30061</v>
      </c>
      <c r="C1386">
        <v>302337</v>
      </c>
      <c r="D1386">
        <v>21883</v>
      </c>
    </row>
    <row r="1387" spans="1:4" x14ac:dyDescent="0.2">
      <c r="A1387">
        <v>3693011</v>
      </c>
      <c r="B1387">
        <v>30062</v>
      </c>
      <c r="C1387">
        <v>302355</v>
      </c>
      <c r="D1387">
        <v>21883</v>
      </c>
    </row>
    <row r="1388" spans="1:4" x14ac:dyDescent="0.2">
      <c r="A1388">
        <v>3693011</v>
      </c>
      <c r="B1388">
        <v>30063</v>
      </c>
      <c r="C1388">
        <v>302357</v>
      </c>
      <c r="D1388">
        <v>21883</v>
      </c>
    </row>
    <row r="1389" spans="1:4" x14ac:dyDescent="0.2">
      <c r="A1389">
        <v>3693011</v>
      </c>
      <c r="B1389">
        <v>30064</v>
      </c>
      <c r="C1389">
        <v>302364</v>
      </c>
      <c r="D1389">
        <v>21883</v>
      </c>
    </row>
    <row r="1390" spans="1:4" x14ac:dyDescent="0.2">
      <c r="A1390">
        <v>3693011</v>
      </c>
      <c r="B1390">
        <v>30065</v>
      </c>
      <c r="C1390">
        <v>302332</v>
      </c>
      <c r="D1390">
        <v>21883</v>
      </c>
    </row>
    <row r="1391" spans="1:4" x14ac:dyDescent="0.2">
      <c r="A1391">
        <v>3693011</v>
      </c>
      <c r="B1391">
        <v>30066</v>
      </c>
      <c r="C1391">
        <v>302437</v>
      </c>
      <c r="D1391">
        <v>21883</v>
      </c>
    </row>
    <row r="1392" spans="1:4" x14ac:dyDescent="0.2">
      <c r="A1392">
        <v>3693012</v>
      </c>
      <c r="B1392">
        <v>30061</v>
      </c>
      <c r="C1392">
        <v>302337</v>
      </c>
      <c r="D1392">
        <v>21883</v>
      </c>
    </row>
    <row r="1393" spans="1:4" x14ac:dyDescent="0.2">
      <c r="A1393">
        <v>3693012</v>
      </c>
      <c r="B1393">
        <v>30062</v>
      </c>
      <c r="C1393">
        <v>302355</v>
      </c>
      <c r="D1393">
        <v>21883</v>
      </c>
    </row>
    <row r="1394" spans="1:4" x14ac:dyDescent="0.2">
      <c r="A1394">
        <v>3693012</v>
      </c>
      <c r="B1394">
        <v>30063</v>
      </c>
      <c r="C1394">
        <v>302357</v>
      </c>
      <c r="D1394">
        <v>21883</v>
      </c>
    </row>
    <row r="1395" spans="1:4" x14ac:dyDescent="0.2">
      <c r="A1395">
        <v>3693012</v>
      </c>
      <c r="B1395">
        <v>30064</v>
      </c>
      <c r="C1395">
        <v>302415</v>
      </c>
      <c r="D1395">
        <v>21883</v>
      </c>
    </row>
    <row r="1396" spans="1:4" x14ac:dyDescent="0.2">
      <c r="A1396">
        <v>3693012</v>
      </c>
      <c r="B1396">
        <v>30065</v>
      </c>
      <c r="C1396">
        <v>302332</v>
      </c>
      <c r="D1396">
        <v>21883</v>
      </c>
    </row>
    <row r="1397" spans="1:4" x14ac:dyDescent="0.2">
      <c r="A1397">
        <v>3693012</v>
      </c>
      <c r="B1397">
        <v>30066</v>
      </c>
      <c r="C1397">
        <v>302437</v>
      </c>
      <c r="D1397">
        <v>21883</v>
      </c>
    </row>
    <row r="1398" spans="1:4" x14ac:dyDescent="0.2">
      <c r="A1398">
        <v>3693013</v>
      </c>
      <c r="B1398">
        <v>30065</v>
      </c>
      <c r="C1398">
        <v>302371</v>
      </c>
      <c r="D1398">
        <v>21883</v>
      </c>
    </row>
    <row r="1399" spans="1:4" x14ac:dyDescent="0.2">
      <c r="A1399">
        <v>3693014</v>
      </c>
      <c r="B1399">
        <v>30063</v>
      </c>
      <c r="C1399">
        <v>302357</v>
      </c>
      <c r="D1399">
        <v>21883</v>
      </c>
    </row>
    <row r="1400" spans="1:4" x14ac:dyDescent="0.2">
      <c r="A1400">
        <v>3693014</v>
      </c>
      <c r="B1400">
        <v>30064</v>
      </c>
      <c r="C1400">
        <v>302381</v>
      </c>
      <c r="D1400">
        <v>21883</v>
      </c>
    </row>
    <row r="1401" spans="1:4" x14ac:dyDescent="0.2">
      <c r="A1401">
        <v>3693014</v>
      </c>
      <c r="B1401">
        <v>30065</v>
      </c>
      <c r="C1401">
        <v>302371</v>
      </c>
      <c r="D1401">
        <v>21883</v>
      </c>
    </row>
    <row r="1402" spans="1:4" x14ac:dyDescent="0.2">
      <c r="A1402">
        <v>3693014</v>
      </c>
      <c r="B1402">
        <v>30066</v>
      </c>
      <c r="C1402">
        <v>302437</v>
      </c>
      <c r="D1402">
        <v>21883</v>
      </c>
    </row>
    <row r="1403" spans="1:4" x14ac:dyDescent="0.2">
      <c r="A1403">
        <v>3693015</v>
      </c>
      <c r="B1403">
        <v>30061</v>
      </c>
      <c r="C1403">
        <v>302338</v>
      </c>
      <c r="D1403">
        <v>21883</v>
      </c>
    </row>
    <row r="1404" spans="1:4" x14ac:dyDescent="0.2">
      <c r="A1404">
        <v>3693015</v>
      </c>
      <c r="B1404">
        <v>30062</v>
      </c>
      <c r="C1404">
        <v>302355</v>
      </c>
      <c r="D1404">
        <v>21883</v>
      </c>
    </row>
    <row r="1405" spans="1:4" x14ac:dyDescent="0.2">
      <c r="A1405">
        <v>3693015</v>
      </c>
      <c r="B1405">
        <v>30063</v>
      </c>
      <c r="C1405">
        <v>302356</v>
      </c>
      <c r="D1405">
        <v>21883</v>
      </c>
    </row>
    <row r="1406" spans="1:4" x14ac:dyDescent="0.2">
      <c r="A1406">
        <v>3693015</v>
      </c>
      <c r="B1406">
        <v>30064</v>
      </c>
      <c r="C1406">
        <v>302389</v>
      </c>
      <c r="D1406">
        <v>21883</v>
      </c>
    </row>
    <row r="1407" spans="1:4" x14ac:dyDescent="0.2">
      <c r="A1407">
        <v>3693015</v>
      </c>
      <c r="B1407">
        <v>30065</v>
      </c>
      <c r="C1407">
        <v>302372</v>
      </c>
      <c r="D1407">
        <v>21883</v>
      </c>
    </row>
    <row r="1408" spans="1:4" x14ac:dyDescent="0.2">
      <c r="A1408">
        <v>3693016</v>
      </c>
      <c r="B1408">
        <v>30061</v>
      </c>
      <c r="C1408">
        <v>302338</v>
      </c>
      <c r="D1408">
        <v>21883</v>
      </c>
    </row>
    <row r="1409" spans="1:4" x14ac:dyDescent="0.2">
      <c r="A1409">
        <v>3693016</v>
      </c>
      <c r="B1409">
        <v>30062</v>
      </c>
      <c r="C1409">
        <v>302355</v>
      </c>
      <c r="D1409">
        <v>21883</v>
      </c>
    </row>
    <row r="1410" spans="1:4" x14ac:dyDescent="0.2">
      <c r="A1410">
        <v>3693016</v>
      </c>
      <c r="B1410">
        <v>30063</v>
      </c>
      <c r="C1410">
        <v>302356</v>
      </c>
      <c r="D1410">
        <v>21883</v>
      </c>
    </row>
    <row r="1411" spans="1:4" x14ac:dyDescent="0.2">
      <c r="A1411">
        <v>3693016</v>
      </c>
      <c r="B1411">
        <v>30064</v>
      </c>
      <c r="C1411">
        <v>302389</v>
      </c>
      <c r="D1411">
        <v>21883</v>
      </c>
    </row>
    <row r="1412" spans="1:4" x14ac:dyDescent="0.2">
      <c r="A1412">
        <v>3693016</v>
      </c>
      <c r="B1412">
        <v>30065</v>
      </c>
      <c r="C1412">
        <v>302372</v>
      </c>
      <c r="D1412">
        <v>21883</v>
      </c>
    </row>
    <row r="1413" spans="1:4" x14ac:dyDescent="0.2">
      <c r="A1413">
        <v>3693017</v>
      </c>
      <c r="B1413">
        <v>30063</v>
      </c>
      <c r="C1413">
        <v>302357</v>
      </c>
      <c r="D1413">
        <v>21883</v>
      </c>
    </row>
    <row r="1414" spans="1:4" x14ac:dyDescent="0.2">
      <c r="A1414">
        <v>3693017</v>
      </c>
      <c r="B1414">
        <v>30064</v>
      </c>
      <c r="C1414">
        <v>302418</v>
      </c>
      <c r="D1414">
        <v>21883</v>
      </c>
    </row>
    <row r="1415" spans="1:4" x14ac:dyDescent="0.2">
      <c r="A1415">
        <v>3693017</v>
      </c>
      <c r="B1415">
        <v>30065</v>
      </c>
      <c r="C1415">
        <v>302372</v>
      </c>
      <c r="D1415">
        <v>21883</v>
      </c>
    </row>
    <row r="1416" spans="1:4" x14ac:dyDescent="0.2">
      <c r="A1416">
        <v>3693017</v>
      </c>
      <c r="B1416">
        <v>30066</v>
      </c>
      <c r="C1416">
        <v>302436</v>
      </c>
      <c r="D1416">
        <v>21883</v>
      </c>
    </row>
    <row r="1417" spans="1:4" x14ac:dyDescent="0.2">
      <c r="A1417">
        <v>3693018</v>
      </c>
      <c r="B1417">
        <v>30061</v>
      </c>
      <c r="C1417">
        <v>302337</v>
      </c>
      <c r="D1417">
        <v>21883</v>
      </c>
    </row>
    <row r="1418" spans="1:4" x14ac:dyDescent="0.2">
      <c r="A1418">
        <v>3693018</v>
      </c>
      <c r="B1418">
        <v>30062</v>
      </c>
      <c r="C1418">
        <v>302355</v>
      </c>
      <c r="D1418">
        <v>21883</v>
      </c>
    </row>
    <row r="1419" spans="1:4" x14ac:dyDescent="0.2">
      <c r="A1419">
        <v>3693018</v>
      </c>
      <c r="B1419">
        <v>30063</v>
      </c>
      <c r="C1419">
        <v>302357</v>
      </c>
      <c r="D1419">
        <v>21883</v>
      </c>
    </row>
    <row r="1420" spans="1:4" x14ac:dyDescent="0.2">
      <c r="A1420">
        <v>3693018</v>
      </c>
      <c r="B1420">
        <v>30064</v>
      </c>
      <c r="C1420">
        <v>302389</v>
      </c>
      <c r="D1420">
        <v>21883</v>
      </c>
    </row>
    <row r="1421" spans="1:4" x14ac:dyDescent="0.2">
      <c r="A1421">
        <v>3693018</v>
      </c>
      <c r="B1421">
        <v>30065</v>
      </c>
      <c r="C1421">
        <v>302332</v>
      </c>
      <c r="D1421">
        <v>21883</v>
      </c>
    </row>
    <row r="1422" spans="1:4" x14ac:dyDescent="0.2">
      <c r="A1422">
        <v>3693018</v>
      </c>
      <c r="B1422">
        <v>30066</v>
      </c>
      <c r="C1422">
        <v>302436</v>
      </c>
      <c r="D1422">
        <v>21883</v>
      </c>
    </row>
    <row r="1423" spans="1:4" x14ac:dyDescent="0.2">
      <c r="A1423">
        <v>3693019</v>
      </c>
      <c r="B1423">
        <v>30063</v>
      </c>
      <c r="C1423">
        <v>302357</v>
      </c>
      <c r="D1423">
        <v>21883</v>
      </c>
    </row>
    <row r="1424" spans="1:4" x14ac:dyDescent="0.2">
      <c r="A1424">
        <v>3693019</v>
      </c>
      <c r="B1424">
        <v>30064</v>
      </c>
      <c r="C1424">
        <v>302381</v>
      </c>
      <c r="D1424">
        <v>21883</v>
      </c>
    </row>
    <row r="1425" spans="1:4" x14ac:dyDescent="0.2">
      <c r="A1425">
        <v>3693019</v>
      </c>
      <c r="B1425">
        <v>30065</v>
      </c>
      <c r="C1425">
        <v>302372</v>
      </c>
      <c r="D1425">
        <v>21883</v>
      </c>
    </row>
    <row r="1426" spans="1:4" x14ac:dyDescent="0.2">
      <c r="A1426">
        <v>3693019</v>
      </c>
      <c r="B1426">
        <v>30066</v>
      </c>
      <c r="C1426">
        <v>302436</v>
      </c>
      <c r="D1426">
        <v>21883</v>
      </c>
    </row>
    <row r="1427" spans="1:4" x14ac:dyDescent="0.2">
      <c r="A1427">
        <v>3693019</v>
      </c>
      <c r="B1427">
        <v>30067</v>
      </c>
      <c r="C1427">
        <v>302464</v>
      </c>
      <c r="D1427">
        <v>21883</v>
      </c>
    </row>
    <row r="1428" spans="1:4" x14ac:dyDescent="0.2">
      <c r="A1428">
        <v>3693020</v>
      </c>
      <c r="B1428">
        <v>30063</v>
      </c>
      <c r="C1428">
        <v>302357</v>
      </c>
      <c r="D1428">
        <v>21883</v>
      </c>
    </row>
    <row r="1429" spans="1:4" x14ac:dyDescent="0.2">
      <c r="A1429">
        <v>3693020</v>
      </c>
      <c r="B1429">
        <v>30064</v>
      </c>
      <c r="C1429">
        <v>302381</v>
      </c>
      <c r="D1429">
        <v>21883</v>
      </c>
    </row>
    <row r="1430" spans="1:4" x14ac:dyDescent="0.2">
      <c r="A1430">
        <v>3693020</v>
      </c>
      <c r="B1430">
        <v>30065</v>
      </c>
      <c r="C1430">
        <v>302372</v>
      </c>
      <c r="D1430">
        <v>21883</v>
      </c>
    </row>
    <row r="1431" spans="1:4" x14ac:dyDescent="0.2">
      <c r="A1431">
        <v>3693020</v>
      </c>
      <c r="B1431">
        <v>30066</v>
      </c>
      <c r="C1431">
        <v>302436</v>
      </c>
      <c r="D1431">
        <v>21883</v>
      </c>
    </row>
    <row r="1432" spans="1:4" x14ac:dyDescent="0.2">
      <c r="A1432">
        <v>3693020</v>
      </c>
      <c r="B1432">
        <v>30067</v>
      </c>
      <c r="C1432">
        <v>302464</v>
      </c>
      <c r="D1432">
        <v>21883</v>
      </c>
    </row>
    <row r="1433" spans="1:4" x14ac:dyDescent="0.2">
      <c r="A1433">
        <v>3693021</v>
      </c>
      <c r="B1433">
        <v>30061</v>
      </c>
      <c r="C1433">
        <v>302337</v>
      </c>
      <c r="D1433">
        <v>21883</v>
      </c>
    </row>
    <row r="1434" spans="1:4" x14ac:dyDescent="0.2">
      <c r="A1434">
        <v>3693021</v>
      </c>
      <c r="B1434">
        <v>30063</v>
      </c>
      <c r="C1434">
        <v>302357</v>
      </c>
      <c r="D1434">
        <v>21883</v>
      </c>
    </row>
    <row r="1435" spans="1:4" x14ac:dyDescent="0.2">
      <c r="A1435">
        <v>3693021</v>
      </c>
      <c r="B1435">
        <v>30064</v>
      </c>
      <c r="C1435">
        <v>302381</v>
      </c>
      <c r="D1435">
        <v>21883</v>
      </c>
    </row>
    <row r="1436" spans="1:4" x14ac:dyDescent="0.2">
      <c r="A1436">
        <v>3693021</v>
      </c>
      <c r="B1436">
        <v>30065</v>
      </c>
      <c r="C1436">
        <v>302372</v>
      </c>
      <c r="D1436">
        <v>21883</v>
      </c>
    </row>
    <row r="1437" spans="1:4" x14ac:dyDescent="0.2">
      <c r="A1437">
        <v>3693021</v>
      </c>
      <c r="B1437">
        <v>30066</v>
      </c>
      <c r="C1437">
        <v>302436</v>
      </c>
      <c r="D1437">
        <v>21883</v>
      </c>
    </row>
    <row r="1438" spans="1:4" x14ac:dyDescent="0.2">
      <c r="A1438">
        <v>3693021</v>
      </c>
      <c r="B1438">
        <v>30067</v>
      </c>
      <c r="C1438">
        <v>302464</v>
      </c>
      <c r="D1438">
        <v>21883</v>
      </c>
    </row>
    <row r="1439" spans="1:4" x14ac:dyDescent="0.2">
      <c r="A1439">
        <v>3693022</v>
      </c>
      <c r="B1439">
        <v>30061</v>
      </c>
      <c r="C1439">
        <v>302337</v>
      </c>
      <c r="D1439">
        <v>21883</v>
      </c>
    </row>
    <row r="1440" spans="1:4" x14ac:dyDescent="0.2">
      <c r="A1440">
        <v>3693022</v>
      </c>
      <c r="B1440">
        <v>30063</v>
      </c>
      <c r="C1440">
        <v>302357</v>
      </c>
      <c r="D1440">
        <v>21883</v>
      </c>
    </row>
    <row r="1441" spans="1:4" x14ac:dyDescent="0.2">
      <c r="A1441">
        <v>3693022</v>
      </c>
      <c r="B1441">
        <v>30064</v>
      </c>
      <c r="C1441">
        <v>302381</v>
      </c>
      <c r="D1441">
        <v>21883</v>
      </c>
    </row>
    <row r="1442" spans="1:4" x14ac:dyDescent="0.2">
      <c r="A1442">
        <v>3693022</v>
      </c>
      <c r="B1442">
        <v>30065</v>
      </c>
      <c r="C1442">
        <v>302372</v>
      </c>
      <c r="D1442">
        <v>21883</v>
      </c>
    </row>
    <row r="1443" spans="1:4" x14ac:dyDescent="0.2">
      <c r="A1443">
        <v>3693022</v>
      </c>
      <c r="B1443">
        <v>30066</v>
      </c>
      <c r="C1443">
        <v>302436</v>
      </c>
      <c r="D1443">
        <v>21883</v>
      </c>
    </row>
    <row r="1444" spans="1:4" x14ac:dyDescent="0.2">
      <c r="A1444">
        <v>3693022</v>
      </c>
      <c r="B1444">
        <v>30067</v>
      </c>
      <c r="C1444">
        <v>302464</v>
      </c>
      <c r="D1444">
        <v>21883</v>
      </c>
    </row>
    <row r="1445" spans="1:4" x14ac:dyDescent="0.2">
      <c r="A1445">
        <v>3693023</v>
      </c>
      <c r="B1445">
        <v>30061</v>
      </c>
      <c r="C1445">
        <v>302337</v>
      </c>
      <c r="D1445">
        <v>21883</v>
      </c>
    </row>
    <row r="1446" spans="1:4" x14ac:dyDescent="0.2">
      <c r="A1446">
        <v>3693023</v>
      </c>
      <c r="B1446">
        <v>30063</v>
      </c>
      <c r="C1446">
        <v>302357</v>
      </c>
      <c r="D1446">
        <v>21883</v>
      </c>
    </row>
    <row r="1447" spans="1:4" x14ac:dyDescent="0.2">
      <c r="A1447">
        <v>3693023</v>
      </c>
      <c r="B1447">
        <v>30064</v>
      </c>
      <c r="C1447">
        <v>302381</v>
      </c>
      <c r="D1447">
        <v>21883</v>
      </c>
    </row>
    <row r="1448" spans="1:4" x14ac:dyDescent="0.2">
      <c r="A1448">
        <v>3693023</v>
      </c>
      <c r="B1448">
        <v>30065</v>
      </c>
      <c r="C1448">
        <v>302372</v>
      </c>
      <c r="D1448">
        <v>21883</v>
      </c>
    </row>
    <row r="1449" spans="1:4" x14ac:dyDescent="0.2">
      <c r="A1449">
        <v>3693023</v>
      </c>
      <c r="B1449">
        <v>30066</v>
      </c>
      <c r="C1449">
        <v>302436</v>
      </c>
      <c r="D1449">
        <v>21883</v>
      </c>
    </row>
    <row r="1450" spans="1:4" x14ac:dyDescent="0.2">
      <c r="A1450">
        <v>3693023</v>
      </c>
      <c r="B1450">
        <v>30067</v>
      </c>
      <c r="C1450">
        <v>302464</v>
      </c>
      <c r="D1450">
        <v>21883</v>
      </c>
    </row>
    <row r="1451" spans="1:4" x14ac:dyDescent="0.2">
      <c r="A1451">
        <v>3693024</v>
      </c>
      <c r="B1451">
        <v>30061</v>
      </c>
      <c r="C1451">
        <v>302337</v>
      </c>
      <c r="D1451">
        <v>21883</v>
      </c>
    </row>
    <row r="1452" spans="1:4" x14ac:dyDescent="0.2">
      <c r="A1452">
        <v>3693024</v>
      </c>
      <c r="B1452">
        <v>30063</v>
      </c>
      <c r="C1452">
        <v>302357</v>
      </c>
      <c r="D1452">
        <v>21883</v>
      </c>
    </row>
    <row r="1453" spans="1:4" x14ac:dyDescent="0.2">
      <c r="A1453">
        <v>3693024</v>
      </c>
      <c r="B1453">
        <v>30064</v>
      </c>
      <c r="C1453">
        <v>302381</v>
      </c>
      <c r="D1453">
        <v>21883</v>
      </c>
    </row>
    <row r="1454" spans="1:4" x14ac:dyDescent="0.2">
      <c r="A1454">
        <v>3693024</v>
      </c>
      <c r="B1454">
        <v>30065</v>
      </c>
      <c r="C1454">
        <v>302372</v>
      </c>
      <c r="D1454">
        <v>21883</v>
      </c>
    </row>
    <row r="1455" spans="1:4" x14ac:dyDescent="0.2">
      <c r="A1455">
        <v>3693024</v>
      </c>
      <c r="B1455">
        <v>30066</v>
      </c>
      <c r="C1455">
        <v>302436</v>
      </c>
      <c r="D1455">
        <v>21883</v>
      </c>
    </row>
    <row r="1456" spans="1:4" x14ac:dyDescent="0.2">
      <c r="A1456">
        <v>3693024</v>
      </c>
      <c r="B1456">
        <v>30067</v>
      </c>
      <c r="C1456">
        <v>302464</v>
      </c>
      <c r="D1456">
        <v>21883</v>
      </c>
    </row>
    <row r="1457" spans="1:4" x14ac:dyDescent="0.2">
      <c r="A1457">
        <v>3693025</v>
      </c>
      <c r="B1457">
        <v>30061</v>
      </c>
      <c r="C1457">
        <v>302337</v>
      </c>
      <c r="D1457">
        <v>21883</v>
      </c>
    </row>
    <row r="1458" spans="1:4" x14ac:dyDescent="0.2">
      <c r="A1458">
        <v>3693025</v>
      </c>
      <c r="B1458">
        <v>30063</v>
      </c>
      <c r="C1458">
        <v>302357</v>
      </c>
      <c r="D1458">
        <v>21883</v>
      </c>
    </row>
    <row r="1459" spans="1:4" x14ac:dyDescent="0.2">
      <c r="A1459">
        <v>3693025</v>
      </c>
      <c r="B1459">
        <v>30064</v>
      </c>
      <c r="C1459">
        <v>302381</v>
      </c>
      <c r="D1459">
        <v>21883</v>
      </c>
    </row>
    <row r="1460" spans="1:4" x14ac:dyDescent="0.2">
      <c r="A1460">
        <v>3693025</v>
      </c>
      <c r="B1460">
        <v>30065</v>
      </c>
      <c r="C1460">
        <v>302372</v>
      </c>
      <c r="D1460">
        <v>21883</v>
      </c>
    </row>
    <row r="1461" spans="1:4" x14ac:dyDescent="0.2">
      <c r="A1461">
        <v>3693025</v>
      </c>
      <c r="B1461">
        <v>30066</v>
      </c>
      <c r="C1461">
        <v>302436</v>
      </c>
      <c r="D1461">
        <v>21883</v>
      </c>
    </row>
    <row r="1462" spans="1:4" x14ac:dyDescent="0.2">
      <c r="A1462">
        <v>3693025</v>
      </c>
      <c r="B1462">
        <v>30067</v>
      </c>
      <c r="C1462">
        <v>302464</v>
      </c>
      <c r="D1462">
        <v>21883</v>
      </c>
    </row>
    <row r="1463" spans="1:4" x14ac:dyDescent="0.2">
      <c r="A1463">
        <v>3693026</v>
      </c>
      <c r="B1463">
        <v>30063</v>
      </c>
      <c r="C1463">
        <v>302357</v>
      </c>
      <c r="D1463">
        <v>21883</v>
      </c>
    </row>
    <row r="1464" spans="1:4" x14ac:dyDescent="0.2">
      <c r="A1464">
        <v>3693026</v>
      </c>
      <c r="B1464">
        <v>30064</v>
      </c>
      <c r="C1464">
        <v>302381</v>
      </c>
      <c r="D1464">
        <v>21883</v>
      </c>
    </row>
    <row r="1465" spans="1:4" x14ac:dyDescent="0.2">
      <c r="A1465">
        <v>3693026</v>
      </c>
      <c r="B1465">
        <v>30065</v>
      </c>
      <c r="C1465">
        <v>302372</v>
      </c>
      <c r="D1465">
        <v>21883</v>
      </c>
    </row>
    <row r="1466" spans="1:4" x14ac:dyDescent="0.2">
      <c r="A1466">
        <v>3693026</v>
      </c>
      <c r="B1466">
        <v>30066</v>
      </c>
      <c r="C1466">
        <v>302436</v>
      </c>
      <c r="D1466">
        <v>21883</v>
      </c>
    </row>
    <row r="1467" spans="1:4" x14ac:dyDescent="0.2">
      <c r="A1467">
        <v>3693026</v>
      </c>
      <c r="B1467">
        <v>30067</v>
      </c>
      <c r="C1467">
        <v>302464</v>
      </c>
      <c r="D1467">
        <v>21883</v>
      </c>
    </row>
    <row r="1468" spans="1:4" x14ac:dyDescent="0.2">
      <c r="A1468">
        <v>3693027</v>
      </c>
      <c r="B1468">
        <v>30061</v>
      </c>
      <c r="C1468">
        <v>302337</v>
      </c>
      <c r="D1468">
        <v>21883</v>
      </c>
    </row>
    <row r="1469" spans="1:4" x14ac:dyDescent="0.2">
      <c r="A1469">
        <v>3693027</v>
      </c>
      <c r="B1469">
        <v>30062</v>
      </c>
      <c r="C1469">
        <v>302355</v>
      </c>
      <c r="D1469">
        <v>21883</v>
      </c>
    </row>
    <row r="1470" spans="1:4" x14ac:dyDescent="0.2">
      <c r="A1470">
        <v>3693027</v>
      </c>
      <c r="B1470">
        <v>30063</v>
      </c>
      <c r="C1470">
        <v>302357</v>
      </c>
      <c r="D1470">
        <v>21883</v>
      </c>
    </row>
    <row r="1471" spans="1:4" x14ac:dyDescent="0.2">
      <c r="A1471">
        <v>3693027</v>
      </c>
      <c r="B1471">
        <v>30064</v>
      </c>
      <c r="C1471">
        <v>302381</v>
      </c>
      <c r="D1471">
        <v>21883</v>
      </c>
    </row>
    <row r="1472" spans="1:4" x14ac:dyDescent="0.2">
      <c r="A1472">
        <v>3693027</v>
      </c>
      <c r="B1472">
        <v>30065</v>
      </c>
      <c r="C1472">
        <v>302332</v>
      </c>
      <c r="D1472">
        <v>21883</v>
      </c>
    </row>
    <row r="1473" spans="1:4" x14ac:dyDescent="0.2">
      <c r="A1473">
        <v>3693027</v>
      </c>
      <c r="B1473">
        <v>30066</v>
      </c>
      <c r="C1473">
        <v>302436</v>
      </c>
      <c r="D1473">
        <v>21883</v>
      </c>
    </row>
    <row r="1474" spans="1:4" x14ac:dyDescent="0.2">
      <c r="A1474">
        <v>3693027</v>
      </c>
      <c r="B1474">
        <v>30067</v>
      </c>
      <c r="C1474">
        <v>302464</v>
      </c>
      <c r="D1474">
        <v>21883</v>
      </c>
    </row>
    <row r="1475" spans="1:4" x14ac:dyDescent="0.2">
      <c r="A1475">
        <v>3693028</v>
      </c>
      <c r="B1475">
        <v>30061</v>
      </c>
      <c r="C1475">
        <v>302337</v>
      </c>
      <c r="D1475">
        <v>21883</v>
      </c>
    </row>
    <row r="1476" spans="1:4" x14ac:dyDescent="0.2">
      <c r="A1476">
        <v>3693028</v>
      </c>
      <c r="B1476">
        <v>30062</v>
      </c>
      <c r="C1476">
        <v>302355</v>
      </c>
      <c r="D1476">
        <v>21883</v>
      </c>
    </row>
    <row r="1477" spans="1:4" x14ac:dyDescent="0.2">
      <c r="A1477">
        <v>3693028</v>
      </c>
      <c r="B1477">
        <v>30063</v>
      </c>
      <c r="C1477">
        <v>302357</v>
      </c>
      <c r="D1477">
        <v>21883</v>
      </c>
    </row>
    <row r="1478" spans="1:4" x14ac:dyDescent="0.2">
      <c r="A1478">
        <v>3693028</v>
      </c>
      <c r="B1478">
        <v>30064</v>
      </c>
      <c r="C1478">
        <v>302389</v>
      </c>
      <c r="D1478">
        <v>21883</v>
      </c>
    </row>
    <row r="1479" spans="1:4" x14ac:dyDescent="0.2">
      <c r="A1479">
        <v>3693028</v>
      </c>
      <c r="B1479">
        <v>30065</v>
      </c>
      <c r="C1479">
        <v>302332</v>
      </c>
      <c r="D1479">
        <v>21883</v>
      </c>
    </row>
    <row r="1480" spans="1:4" x14ac:dyDescent="0.2">
      <c r="A1480">
        <v>3693028</v>
      </c>
      <c r="B1480">
        <v>30066</v>
      </c>
      <c r="C1480">
        <v>302436</v>
      </c>
      <c r="D1480">
        <v>21883</v>
      </c>
    </row>
    <row r="1481" spans="1:4" x14ac:dyDescent="0.2">
      <c r="A1481">
        <v>3693029</v>
      </c>
      <c r="B1481">
        <v>30063</v>
      </c>
      <c r="C1481">
        <v>302357</v>
      </c>
      <c r="D1481">
        <v>21883</v>
      </c>
    </row>
    <row r="1482" spans="1:4" x14ac:dyDescent="0.2">
      <c r="A1482">
        <v>3693029</v>
      </c>
      <c r="B1482">
        <v>30064</v>
      </c>
      <c r="C1482">
        <v>302369</v>
      </c>
      <c r="D1482">
        <v>21883</v>
      </c>
    </row>
    <row r="1483" spans="1:4" x14ac:dyDescent="0.2">
      <c r="A1483">
        <v>3693029</v>
      </c>
      <c r="B1483">
        <v>30065</v>
      </c>
      <c r="C1483">
        <v>302372</v>
      </c>
      <c r="D1483">
        <v>21883</v>
      </c>
    </row>
    <row r="1484" spans="1:4" x14ac:dyDescent="0.2">
      <c r="A1484">
        <v>3693029</v>
      </c>
      <c r="B1484">
        <v>30066</v>
      </c>
      <c r="C1484">
        <v>302436</v>
      </c>
      <c r="D1484">
        <v>21883</v>
      </c>
    </row>
    <row r="1485" spans="1:4" x14ac:dyDescent="0.2">
      <c r="A1485">
        <v>3693029</v>
      </c>
      <c r="B1485">
        <v>30067</v>
      </c>
      <c r="C1485">
        <v>302464</v>
      </c>
      <c r="D1485">
        <v>21883</v>
      </c>
    </row>
    <row r="1486" spans="1:4" x14ac:dyDescent="0.2">
      <c r="A1486">
        <v>3693030</v>
      </c>
      <c r="B1486">
        <v>30061</v>
      </c>
      <c r="C1486">
        <v>302333</v>
      </c>
      <c r="D1486">
        <v>21883</v>
      </c>
    </row>
    <row r="1487" spans="1:4" x14ac:dyDescent="0.2">
      <c r="A1487">
        <v>3693030</v>
      </c>
      <c r="B1487">
        <v>30062</v>
      </c>
      <c r="C1487">
        <v>302355</v>
      </c>
      <c r="D1487">
        <v>21883</v>
      </c>
    </row>
    <row r="1488" spans="1:4" x14ac:dyDescent="0.2">
      <c r="A1488">
        <v>3693030</v>
      </c>
      <c r="B1488">
        <v>30063</v>
      </c>
      <c r="C1488">
        <v>302357</v>
      </c>
      <c r="D1488">
        <v>21883</v>
      </c>
    </row>
    <row r="1489" spans="1:4" x14ac:dyDescent="0.2">
      <c r="A1489">
        <v>3693030</v>
      </c>
      <c r="B1489">
        <v>30064</v>
      </c>
      <c r="C1489">
        <v>302420</v>
      </c>
      <c r="D1489">
        <v>21883</v>
      </c>
    </row>
    <row r="1490" spans="1:4" x14ac:dyDescent="0.2">
      <c r="A1490">
        <v>3693030</v>
      </c>
      <c r="B1490">
        <v>30065</v>
      </c>
      <c r="C1490">
        <v>302332</v>
      </c>
      <c r="D1490">
        <v>21883</v>
      </c>
    </row>
    <row r="1491" spans="1:4" x14ac:dyDescent="0.2">
      <c r="A1491">
        <v>3693030</v>
      </c>
      <c r="B1491">
        <v>30066</v>
      </c>
      <c r="C1491">
        <v>302436</v>
      </c>
      <c r="D1491">
        <v>21883</v>
      </c>
    </row>
    <row r="1492" spans="1:4" x14ac:dyDescent="0.2">
      <c r="A1492">
        <v>3693030</v>
      </c>
      <c r="B1492">
        <v>30067</v>
      </c>
      <c r="C1492">
        <v>302464</v>
      </c>
      <c r="D1492">
        <v>21883</v>
      </c>
    </row>
    <row r="1493" spans="1:4" x14ac:dyDescent="0.2">
      <c r="A1493">
        <v>3693031</v>
      </c>
      <c r="B1493">
        <v>30065</v>
      </c>
      <c r="C1493">
        <v>302372</v>
      </c>
      <c r="D1493">
        <v>21883</v>
      </c>
    </row>
    <row r="1494" spans="1:4" x14ac:dyDescent="0.2">
      <c r="A1494">
        <v>3693031</v>
      </c>
      <c r="B1494">
        <v>30066</v>
      </c>
      <c r="C1494">
        <v>302436</v>
      </c>
      <c r="D1494">
        <v>21883</v>
      </c>
    </row>
    <row r="1495" spans="1:4" x14ac:dyDescent="0.2">
      <c r="A1495">
        <v>3693032</v>
      </c>
      <c r="B1495">
        <v>30061</v>
      </c>
      <c r="C1495">
        <v>302337</v>
      </c>
      <c r="D1495">
        <v>21883</v>
      </c>
    </row>
    <row r="1496" spans="1:4" x14ac:dyDescent="0.2">
      <c r="A1496">
        <v>3693032</v>
      </c>
      <c r="B1496">
        <v>30062</v>
      </c>
      <c r="C1496">
        <v>302355</v>
      </c>
      <c r="D1496">
        <v>21883</v>
      </c>
    </row>
    <row r="1497" spans="1:4" x14ac:dyDescent="0.2">
      <c r="A1497">
        <v>3693032</v>
      </c>
      <c r="B1497">
        <v>30063</v>
      </c>
      <c r="C1497">
        <v>302357</v>
      </c>
      <c r="D1497">
        <v>21883</v>
      </c>
    </row>
    <row r="1498" spans="1:4" x14ac:dyDescent="0.2">
      <c r="A1498">
        <v>3693032</v>
      </c>
      <c r="B1498">
        <v>30064</v>
      </c>
      <c r="C1498">
        <v>302389</v>
      </c>
      <c r="D1498">
        <v>21883</v>
      </c>
    </row>
    <row r="1499" spans="1:4" x14ac:dyDescent="0.2">
      <c r="A1499">
        <v>3693032</v>
      </c>
      <c r="B1499">
        <v>30065</v>
      </c>
      <c r="C1499">
        <v>302332</v>
      </c>
      <c r="D1499">
        <v>21883</v>
      </c>
    </row>
    <row r="1500" spans="1:4" x14ac:dyDescent="0.2">
      <c r="A1500">
        <v>3693032</v>
      </c>
      <c r="B1500">
        <v>30066</v>
      </c>
      <c r="C1500">
        <v>302436</v>
      </c>
      <c r="D1500">
        <v>21883</v>
      </c>
    </row>
    <row r="1501" spans="1:4" x14ac:dyDescent="0.2">
      <c r="A1501">
        <v>3693033</v>
      </c>
      <c r="B1501">
        <v>30061</v>
      </c>
      <c r="C1501">
        <v>302338</v>
      </c>
      <c r="D1501">
        <v>21883</v>
      </c>
    </row>
    <row r="1502" spans="1:4" x14ac:dyDescent="0.2">
      <c r="A1502">
        <v>3693033</v>
      </c>
      <c r="B1502">
        <v>30062</v>
      </c>
      <c r="C1502">
        <v>302355</v>
      </c>
      <c r="D1502">
        <v>21883</v>
      </c>
    </row>
    <row r="1503" spans="1:4" x14ac:dyDescent="0.2">
      <c r="A1503">
        <v>3693033</v>
      </c>
      <c r="B1503">
        <v>30063</v>
      </c>
      <c r="C1503">
        <v>302376</v>
      </c>
      <c r="D1503">
        <v>21883</v>
      </c>
    </row>
    <row r="1504" spans="1:4" x14ac:dyDescent="0.2">
      <c r="A1504">
        <v>3693033</v>
      </c>
      <c r="B1504">
        <v>30064</v>
      </c>
      <c r="C1504">
        <v>302409</v>
      </c>
      <c r="D1504">
        <v>21883</v>
      </c>
    </row>
    <row r="1505" spans="1:4" x14ac:dyDescent="0.2">
      <c r="A1505">
        <v>3693033</v>
      </c>
      <c r="B1505">
        <v>30065</v>
      </c>
      <c r="C1505">
        <v>302373</v>
      </c>
      <c r="D1505">
        <v>21883</v>
      </c>
    </row>
    <row r="1506" spans="1:4" x14ac:dyDescent="0.2">
      <c r="A1506">
        <v>3693033</v>
      </c>
      <c r="B1506">
        <v>30066</v>
      </c>
      <c r="C1506">
        <v>302434</v>
      </c>
      <c r="D1506">
        <v>21883</v>
      </c>
    </row>
    <row r="1507" spans="1:4" x14ac:dyDescent="0.2">
      <c r="A1507">
        <v>3693034</v>
      </c>
      <c r="B1507">
        <v>30061</v>
      </c>
      <c r="C1507">
        <v>302337</v>
      </c>
      <c r="D1507">
        <v>21883</v>
      </c>
    </row>
    <row r="1508" spans="1:4" x14ac:dyDescent="0.2">
      <c r="A1508">
        <v>3693034</v>
      </c>
      <c r="B1508">
        <v>30062</v>
      </c>
      <c r="C1508">
        <v>302355</v>
      </c>
      <c r="D1508">
        <v>21883</v>
      </c>
    </row>
    <row r="1509" spans="1:4" x14ac:dyDescent="0.2">
      <c r="A1509">
        <v>3693034</v>
      </c>
      <c r="B1509">
        <v>30063</v>
      </c>
      <c r="C1509">
        <v>302357</v>
      </c>
      <c r="D1509">
        <v>21883</v>
      </c>
    </row>
    <row r="1510" spans="1:4" x14ac:dyDescent="0.2">
      <c r="A1510">
        <v>3693034</v>
      </c>
      <c r="B1510">
        <v>30064</v>
      </c>
      <c r="C1510">
        <v>302389</v>
      </c>
      <c r="D1510">
        <v>21883</v>
      </c>
    </row>
    <row r="1511" spans="1:4" x14ac:dyDescent="0.2">
      <c r="A1511">
        <v>3693034</v>
      </c>
      <c r="B1511">
        <v>30065</v>
      </c>
      <c r="C1511">
        <v>302332</v>
      </c>
      <c r="D1511">
        <v>21883</v>
      </c>
    </row>
    <row r="1512" spans="1:4" x14ac:dyDescent="0.2">
      <c r="A1512">
        <v>3693034</v>
      </c>
      <c r="B1512">
        <v>30066</v>
      </c>
      <c r="C1512">
        <v>302436</v>
      </c>
      <c r="D1512">
        <v>21883</v>
      </c>
    </row>
    <row r="1513" spans="1:4" x14ac:dyDescent="0.2">
      <c r="A1513">
        <v>3693035</v>
      </c>
      <c r="B1513">
        <v>30063</v>
      </c>
      <c r="C1513">
        <v>302357</v>
      </c>
      <c r="D1513">
        <v>21883</v>
      </c>
    </row>
    <row r="1514" spans="1:4" x14ac:dyDescent="0.2">
      <c r="A1514">
        <v>3693035</v>
      </c>
      <c r="B1514">
        <v>30064</v>
      </c>
      <c r="C1514">
        <v>302418</v>
      </c>
      <c r="D1514">
        <v>21883</v>
      </c>
    </row>
    <row r="1515" spans="1:4" x14ac:dyDescent="0.2">
      <c r="A1515">
        <v>3693035</v>
      </c>
      <c r="B1515">
        <v>30065</v>
      </c>
      <c r="C1515">
        <v>302373</v>
      </c>
      <c r="D1515">
        <v>21883</v>
      </c>
    </row>
    <row r="1516" spans="1:4" x14ac:dyDescent="0.2">
      <c r="A1516">
        <v>3693035</v>
      </c>
      <c r="B1516">
        <v>30066</v>
      </c>
      <c r="C1516">
        <v>302436</v>
      </c>
      <c r="D1516">
        <v>21883</v>
      </c>
    </row>
    <row r="1517" spans="1:4" x14ac:dyDescent="0.2">
      <c r="A1517">
        <v>3693036</v>
      </c>
      <c r="B1517">
        <v>30063</v>
      </c>
      <c r="C1517">
        <v>302357</v>
      </c>
      <c r="D1517">
        <v>21883</v>
      </c>
    </row>
    <row r="1518" spans="1:4" x14ac:dyDescent="0.2">
      <c r="A1518">
        <v>3693036</v>
      </c>
      <c r="B1518">
        <v>30064</v>
      </c>
      <c r="C1518">
        <v>302418</v>
      </c>
      <c r="D1518">
        <v>21883</v>
      </c>
    </row>
    <row r="1519" spans="1:4" x14ac:dyDescent="0.2">
      <c r="A1519">
        <v>3693036</v>
      </c>
      <c r="B1519">
        <v>30065</v>
      </c>
      <c r="C1519">
        <v>302373</v>
      </c>
      <c r="D1519">
        <v>21883</v>
      </c>
    </row>
    <row r="1520" spans="1:4" x14ac:dyDescent="0.2">
      <c r="A1520">
        <v>3693036</v>
      </c>
      <c r="B1520">
        <v>30066</v>
      </c>
      <c r="C1520">
        <v>302436</v>
      </c>
      <c r="D1520">
        <v>21883</v>
      </c>
    </row>
    <row r="1521" spans="1:4" x14ac:dyDescent="0.2">
      <c r="A1521">
        <v>3693036</v>
      </c>
      <c r="B1521">
        <v>30067</v>
      </c>
      <c r="C1521">
        <v>302465</v>
      </c>
      <c r="D1521">
        <v>21883</v>
      </c>
    </row>
    <row r="1522" spans="1:4" x14ac:dyDescent="0.2">
      <c r="A1522">
        <v>3693037</v>
      </c>
      <c r="B1522">
        <v>30063</v>
      </c>
      <c r="C1522">
        <v>302357</v>
      </c>
      <c r="D1522">
        <v>21883</v>
      </c>
    </row>
    <row r="1523" spans="1:4" x14ac:dyDescent="0.2">
      <c r="A1523">
        <v>3693037</v>
      </c>
      <c r="B1523">
        <v>30064</v>
      </c>
      <c r="C1523">
        <v>302418</v>
      </c>
      <c r="D1523">
        <v>21883</v>
      </c>
    </row>
    <row r="1524" spans="1:4" x14ac:dyDescent="0.2">
      <c r="A1524">
        <v>3693037</v>
      </c>
      <c r="B1524">
        <v>30065</v>
      </c>
      <c r="C1524">
        <v>302373</v>
      </c>
      <c r="D1524">
        <v>21883</v>
      </c>
    </row>
    <row r="1525" spans="1:4" x14ac:dyDescent="0.2">
      <c r="A1525">
        <v>3693037</v>
      </c>
      <c r="B1525">
        <v>30066</v>
      </c>
      <c r="C1525">
        <v>302436</v>
      </c>
      <c r="D1525">
        <v>21883</v>
      </c>
    </row>
    <row r="1526" spans="1:4" x14ac:dyDescent="0.2">
      <c r="A1526">
        <v>3693038</v>
      </c>
      <c r="B1526">
        <v>30061</v>
      </c>
      <c r="C1526">
        <v>302337</v>
      </c>
      <c r="D1526">
        <v>21883</v>
      </c>
    </row>
    <row r="1527" spans="1:4" x14ac:dyDescent="0.2">
      <c r="A1527">
        <v>3693038</v>
      </c>
      <c r="B1527">
        <v>30062</v>
      </c>
      <c r="C1527">
        <v>302355</v>
      </c>
      <c r="D1527">
        <v>21883</v>
      </c>
    </row>
    <row r="1528" spans="1:4" x14ac:dyDescent="0.2">
      <c r="A1528">
        <v>3693038</v>
      </c>
      <c r="B1528">
        <v>30063</v>
      </c>
      <c r="C1528">
        <v>302357</v>
      </c>
      <c r="D1528">
        <v>21883</v>
      </c>
    </row>
    <row r="1529" spans="1:4" x14ac:dyDescent="0.2">
      <c r="A1529">
        <v>3693038</v>
      </c>
      <c r="B1529">
        <v>30064</v>
      </c>
      <c r="C1529">
        <v>302389</v>
      </c>
      <c r="D1529">
        <v>21883</v>
      </c>
    </row>
    <row r="1530" spans="1:4" x14ac:dyDescent="0.2">
      <c r="A1530">
        <v>3693038</v>
      </c>
      <c r="B1530">
        <v>30065</v>
      </c>
      <c r="C1530">
        <v>302331</v>
      </c>
      <c r="D1530">
        <v>21883</v>
      </c>
    </row>
    <row r="1531" spans="1:4" x14ac:dyDescent="0.2">
      <c r="A1531">
        <v>3693038</v>
      </c>
      <c r="B1531">
        <v>30066</v>
      </c>
      <c r="C1531">
        <v>302436</v>
      </c>
      <c r="D1531">
        <v>21883</v>
      </c>
    </row>
    <row r="1532" spans="1:4" x14ac:dyDescent="0.2">
      <c r="A1532">
        <v>3693039</v>
      </c>
      <c r="B1532">
        <v>30061</v>
      </c>
      <c r="C1532">
        <v>302337</v>
      </c>
      <c r="D1532">
        <v>21883</v>
      </c>
    </row>
    <row r="1533" spans="1:4" x14ac:dyDescent="0.2">
      <c r="A1533">
        <v>3693039</v>
      </c>
      <c r="B1533">
        <v>30063</v>
      </c>
      <c r="C1533">
        <v>302357</v>
      </c>
      <c r="D1533">
        <v>21883</v>
      </c>
    </row>
    <row r="1534" spans="1:4" x14ac:dyDescent="0.2">
      <c r="A1534">
        <v>3693039</v>
      </c>
      <c r="B1534">
        <v>30064</v>
      </c>
      <c r="C1534">
        <v>302381</v>
      </c>
      <c r="D1534">
        <v>21883</v>
      </c>
    </row>
    <row r="1535" spans="1:4" x14ac:dyDescent="0.2">
      <c r="A1535">
        <v>3693039</v>
      </c>
      <c r="B1535">
        <v>30065</v>
      </c>
      <c r="C1535">
        <v>302373</v>
      </c>
      <c r="D1535">
        <v>21883</v>
      </c>
    </row>
    <row r="1536" spans="1:4" x14ac:dyDescent="0.2">
      <c r="A1536">
        <v>3693039</v>
      </c>
      <c r="B1536">
        <v>30066</v>
      </c>
      <c r="C1536">
        <v>302436</v>
      </c>
      <c r="D1536">
        <v>21883</v>
      </c>
    </row>
    <row r="1537" spans="1:4" x14ac:dyDescent="0.2">
      <c r="A1537">
        <v>3693040</v>
      </c>
      <c r="B1537">
        <v>30061</v>
      </c>
      <c r="C1537">
        <v>302337</v>
      </c>
      <c r="D1537">
        <v>21883</v>
      </c>
    </row>
    <row r="1538" spans="1:4" x14ac:dyDescent="0.2">
      <c r="A1538">
        <v>3693040</v>
      </c>
      <c r="B1538">
        <v>30063</v>
      </c>
      <c r="C1538">
        <v>302357</v>
      </c>
      <c r="D1538">
        <v>21883</v>
      </c>
    </row>
    <row r="1539" spans="1:4" x14ac:dyDescent="0.2">
      <c r="A1539">
        <v>3693040</v>
      </c>
      <c r="B1539">
        <v>30064</v>
      </c>
      <c r="C1539">
        <v>302381</v>
      </c>
      <c r="D1539">
        <v>21883</v>
      </c>
    </row>
    <row r="1540" spans="1:4" x14ac:dyDescent="0.2">
      <c r="A1540">
        <v>3693040</v>
      </c>
      <c r="B1540">
        <v>30065</v>
      </c>
      <c r="C1540">
        <v>302373</v>
      </c>
      <c r="D1540">
        <v>21883</v>
      </c>
    </row>
    <row r="1541" spans="1:4" x14ac:dyDescent="0.2">
      <c r="A1541">
        <v>3693040</v>
      </c>
      <c r="B1541">
        <v>30066</v>
      </c>
      <c r="C1541">
        <v>302436</v>
      </c>
      <c r="D1541">
        <v>21883</v>
      </c>
    </row>
    <row r="1542" spans="1:4" x14ac:dyDescent="0.2">
      <c r="A1542">
        <v>3693041</v>
      </c>
      <c r="B1542">
        <v>30063</v>
      </c>
      <c r="C1542">
        <v>302357</v>
      </c>
      <c r="D1542">
        <v>21883</v>
      </c>
    </row>
    <row r="1543" spans="1:4" x14ac:dyDescent="0.2">
      <c r="A1543">
        <v>3693041</v>
      </c>
      <c r="B1543">
        <v>30064</v>
      </c>
      <c r="C1543">
        <v>302381</v>
      </c>
      <c r="D1543">
        <v>21883</v>
      </c>
    </row>
    <row r="1544" spans="1:4" x14ac:dyDescent="0.2">
      <c r="A1544">
        <v>3693041</v>
      </c>
      <c r="B1544">
        <v>30065</v>
      </c>
      <c r="C1544">
        <v>302373</v>
      </c>
      <c r="D1544">
        <v>21883</v>
      </c>
    </row>
    <row r="1545" spans="1:4" x14ac:dyDescent="0.2">
      <c r="A1545">
        <v>3693041</v>
      </c>
      <c r="B1545">
        <v>30066</v>
      </c>
      <c r="C1545">
        <v>302436</v>
      </c>
      <c r="D1545">
        <v>21883</v>
      </c>
    </row>
    <row r="1546" spans="1:4" x14ac:dyDescent="0.2">
      <c r="A1546">
        <v>3693042</v>
      </c>
      <c r="B1546">
        <v>30063</v>
      </c>
      <c r="C1546">
        <v>302357</v>
      </c>
      <c r="D1546">
        <v>21883</v>
      </c>
    </row>
    <row r="1547" spans="1:4" x14ac:dyDescent="0.2">
      <c r="A1547">
        <v>3693042</v>
      </c>
      <c r="B1547">
        <v>30064</v>
      </c>
      <c r="C1547">
        <v>302381</v>
      </c>
      <c r="D1547">
        <v>21883</v>
      </c>
    </row>
    <row r="1548" spans="1:4" x14ac:dyDescent="0.2">
      <c r="A1548">
        <v>3693042</v>
      </c>
      <c r="B1548">
        <v>30065</v>
      </c>
      <c r="C1548">
        <v>302373</v>
      </c>
      <c r="D1548">
        <v>21883</v>
      </c>
    </row>
    <row r="1549" spans="1:4" x14ac:dyDescent="0.2">
      <c r="A1549">
        <v>3693042</v>
      </c>
      <c r="B1549">
        <v>30066</v>
      </c>
      <c r="C1549">
        <v>302436</v>
      </c>
      <c r="D1549">
        <v>21883</v>
      </c>
    </row>
    <row r="1550" spans="1:4" x14ac:dyDescent="0.2">
      <c r="A1550">
        <v>3693043</v>
      </c>
      <c r="B1550">
        <v>30063</v>
      </c>
      <c r="C1550">
        <v>302357</v>
      </c>
      <c r="D1550">
        <v>21883</v>
      </c>
    </row>
    <row r="1551" spans="1:4" x14ac:dyDescent="0.2">
      <c r="A1551">
        <v>3693043</v>
      </c>
      <c r="B1551">
        <v>30064</v>
      </c>
      <c r="C1551">
        <v>302381</v>
      </c>
      <c r="D1551">
        <v>21883</v>
      </c>
    </row>
    <row r="1552" spans="1:4" x14ac:dyDescent="0.2">
      <c r="A1552">
        <v>3693043</v>
      </c>
      <c r="B1552">
        <v>30065</v>
      </c>
      <c r="C1552">
        <v>302373</v>
      </c>
      <c r="D1552">
        <v>21883</v>
      </c>
    </row>
    <row r="1553" spans="1:4" x14ac:dyDescent="0.2">
      <c r="A1553">
        <v>3693043</v>
      </c>
      <c r="B1553">
        <v>30066</v>
      </c>
      <c r="C1553">
        <v>302436</v>
      </c>
      <c r="D1553">
        <v>21883</v>
      </c>
    </row>
    <row r="1554" spans="1:4" x14ac:dyDescent="0.2">
      <c r="A1554">
        <v>3693044</v>
      </c>
      <c r="B1554">
        <v>30063</v>
      </c>
      <c r="C1554">
        <v>302357</v>
      </c>
      <c r="D1554">
        <v>21883</v>
      </c>
    </row>
    <row r="1555" spans="1:4" x14ac:dyDescent="0.2">
      <c r="A1555">
        <v>3693044</v>
      </c>
      <c r="B1555">
        <v>30064</v>
      </c>
      <c r="C1555">
        <v>302381</v>
      </c>
      <c r="D1555">
        <v>21883</v>
      </c>
    </row>
    <row r="1556" spans="1:4" x14ac:dyDescent="0.2">
      <c r="A1556">
        <v>3693044</v>
      </c>
      <c r="B1556">
        <v>30065</v>
      </c>
      <c r="C1556">
        <v>302373</v>
      </c>
      <c r="D1556">
        <v>21883</v>
      </c>
    </row>
    <row r="1557" spans="1:4" x14ac:dyDescent="0.2">
      <c r="A1557">
        <v>3693044</v>
      </c>
      <c r="B1557">
        <v>30066</v>
      </c>
      <c r="C1557">
        <v>302436</v>
      </c>
      <c r="D1557">
        <v>21883</v>
      </c>
    </row>
    <row r="1558" spans="1:4" x14ac:dyDescent="0.2">
      <c r="A1558">
        <v>3693045</v>
      </c>
      <c r="B1558">
        <v>30063</v>
      </c>
      <c r="C1558">
        <v>302357</v>
      </c>
      <c r="D1558">
        <v>21883</v>
      </c>
    </row>
    <row r="1559" spans="1:4" x14ac:dyDescent="0.2">
      <c r="A1559">
        <v>3693045</v>
      </c>
      <c r="B1559">
        <v>30064</v>
      </c>
      <c r="C1559">
        <v>302381</v>
      </c>
      <c r="D1559">
        <v>21883</v>
      </c>
    </row>
    <row r="1560" spans="1:4" x14ac:dyDescent="0.2">
      <c r="A1560">
        <v>3693045</v>
      </c>
      <c r="B1560">
        <v>30065</v>
      </c>
      <c r="C1560">
        <v>302373</v>
      </c>
      <c r="D1560">
        <v>21883</v>
      </c>
    </row>
    <row r="1561" spans="1:4" x14ac:dyDescent="0.2">
      <c r="A1561">
        <v>3693045</v>
      </c>
      <c r="B1561">
        <v>30066</v>
      </c>
      <c r="C1561">
        <v>302436</v>
      </c>
      <c r="D1561">
        <v>21883</v>
      </c>
    </row>
    <row r="1562" spans="1:4" x14ac:dyDescent="0.2">
      <c r="A1562">
        <v>3693046</v>
      </c>
      <c r="B1562">
        <v>30063</v>
      </c>
      <c r="C1562">
        <v>302357</v>
      </c>
      <c r="D1562">
        <v>21883</v>
      </c>
    </row>
    <row r="1563" spans="1:4" x14ac:dyDescent="0.2">
      <c r="A1563">
        <v>3693046</v>
      </c>
      <c r="B1563">
        <v>30064</v>
      </c>
      <c r="C1563">
        <v>302381</v>
      </c>
      <c r="D1563">
        <v>21883</v>
      </c>
    </row>
    <row r="1564" spans="1:4" x14ac:dyDescent="0.2">
      <c r="A1564">
        <v>3693046</v>
      </c>
      <c r="B1564">
        <v>30065</v>
      </c>
      <c r="C1564">
        <v>302373</v>
      </c>
      <c r="D1564">
        <v>21883</v>
      </c>
    </row>
    <row r="1565" spans="1:4" x14ac:dyDescent="0.2">
      <c r="A1565">
        <v>3693046</v>
      </c>
      <c r="B1565">
        <v>30066</v>
      </c>
      <c r="C1565">
        <v>302436</v>
      </c>
      <c r="D1565">
        <v>21883</v>
      </c>
    </row>
    <row r="1566" spans="1:4" x14ac:dyDescent="0.2">
      <c r="A1566">
        <v>3693046</v>
      </c>
      <c r="B1566">
        <v>30067</v>
      </c>
      <c r="C1566">
        <v>302464</v>
      </c>
      <c r="D1566">
        <v>21883</v>
      </c>
    </row>
    <row r="1567" spans="1:4" x14ac:dyDescent="0.2">
      <c r="A1567">
        <v>3693047</v>
      </c>
      <c r="B1567">
        <v>30061</v>
      </c>
      <c r="C1567">
        <v>302337</v>
      </c>
      <c r="D1567">
        <v>21883</v>
      </c>
    </row>
    <row r="1568" spans="1:4" x14ac:dyDescent="0.2">
      <c r="A1568">
        <v>3693047</v>
      </c>
      <c r="B1568">
        <v>30062</v>
      </c>
      <c r="C1568">
        <v>302355</v>
      </c>
      <c r="D1568">
        <v>21883</v>
      </c>
    </row>
    <row r="1569" spans="1:4" x14ac:dyDescent="0.2">
      <c r="A1569">
        <v>3693047</v>
      </c>
      <c r="B1569">
        <v>30063</v>
      </c>
      <c r="C1569">
        <v>302357</v>
      </c>
      <c r="D1569">
        <v>21883</v>
      </c>
    </row>
    <row r="1570" spans="1:4" x14ac:dyDescent="0.2">
      <c r="A1570">
        <v>3693047</v>
      </c>
      <c r="B1570">
        <v>30064</v>
      </c>
      <c r="C1570">
        <v>302381</v>
      </c>
      <c r="D1570">
        <v>21883</v>
      </c>
    </row>
    <row r="1571" spans="1:4" x14ac:dyDescent="0.2">
      <c r="A1571">
        <v>3693047</v>
      </c>
      <c r="B1571">
        <v>30065</v>
      </c>
      <c r="C1571">
        <v>302331</v>
      </c>
      <c r="D1571">
        <v>21883</v>
      </c>
    </row>
    <row r="1572" spans="1:4" x14ac:dyDescent="0.2">
      <c r="A1572">
        <v>3693047</v>
      </c>
      <c r="B1572">
        <v>30066</v>
      </c>
      <c r="C1572">
        <v>302436</v>
      </c>
      <c r="D1572">
        <v>21883</v>
      </c>
    </row>
    <row r="1573" spans="1:4" x14ac:dyDescent="0.2">
      <c r="A1573">
        <v>3693048</v>
      </c>
      <c r="B1573">
        <v>30063</v>
      </c>
      <c r="C1573">
        <v>302357</v>
      </c>
      <c r="D1573">
        <v>21883</v>
      </c>
    </row>
    <row r="1574" spans="1:4" x14ac:dyDescent="0.2">
      <c r="A1574">
        <v>3693048</v>
      </c>
      <c r="B1574">
        <v>30064</v>
      </c>
      <c r="C1574">
        <v>302382</v>
      </c>
      <c r="D1574">
        <v>21883</v>
      </c>
    </row>
    <row r="1575" spans="1:4" x14ac:dyDescent="0.2">
      <c r="A1575">
        <v>3693048</v>
      </c>
      <c r="B1575">
        <v>30065</v>
      </c>
      <c r="C1575">
        <v>302373</v>
      </c>
      <c r="D1575">
        <v>21883</v>
      </c>
    </row>
    <row r="1576" spans="1:4" x14ac:dyDescent="0.2">
      <c r="A1576">
        <v>3693048</v>
      </c>
      <c r="B1576">
        <v>30066</v>
      </c>
      <c r="C1576">
        <v>302437</v>
      </c>
      <c r="D1576">
        <v>21883</v>
      </c>
    </row>
    <row r="1577" spans="1:4" x14ac:dyDescent="0.2">
      <c r="A1577">
        <v>3693049</v>
      </c>
      <c r="B1577">
        <v>30061</v>
      </c>
      <c r="C1577">
        <v>302337</v>
      </c>
      <c r="D1577">
        <v>21883</v>
      </c>
    </row>
    <row r="1578" spans="1:4" x14ac:dyDescent="0.2">
      <c r="A1578">
        <v>3693049</v>
      </c>
      <c r="B1578">
        <v>30062</v>
      </c>
      <c r="C1578">
        <v>302355</v>
      </c>
      <c r="D1578">
        <v>21883</v>
      </c>
    </row>
    <row r="1579" spans="1:4" x14ac:dyDescent="0.2">
      <c r="A1579">
        <v>3693049</v>
      </c>
      <c r="B1579">
        <v>30063</v>
      </c>
      <c r="C1579">
        <v>302357</v>
      </c>
      <c r="D1579">
        <v>21883</v>
      </c>
    </row>
    <row r="1580" spans="1:4" x14ac:dyDescent="0.2">
      <c r="A1580">
        <v>3693049</v>
      </c>
      <c r="B1580">
        <v>30064</v>
      </c>
      <c r="C1580">
        <v>302382</v>
      </c>
      <c r="D1580">
        <v>21883</v>
      </c>
    </row>
    <row r="1581" spans="1:4" x14ac:dyDescent="0.2">
      <c r="A1581">
        <v>3693049</v>
      </c>
      <c r="B1581">
        <v>30065</v>
      </c>
      <c r="C1581">
        <v>302331</v>
      </c>
      <c r="D1581">
        <v>21883</v>
      </c>
    </row>
    <row r="1582" spans="1:4" x14ac:dyDescent="0.2">
      <c r="A1582">
        <v>3693049</v>
      </c>
      <c r="B1582">
        <v>30066</v>
      </c>
      <c r="C1582">
        <v>302437</v>
      </c>
      <c r="D1582">
        <v>21883</v>
      </c>
    </row>
    <row r="1583" spans="1:4" x14ac:dyDescent="0.2">
      <c r="A1583">
        <v>3693050</v>
      </c>
      <c r="B1583">
        <v>30061</v>
      </c>
      <c r="C1583">
        <v>302338</v>
      </c>
      <c r="D1583">
        <v>21883</v>
      </c>
    </row>
    <row r="1584" spans="1:4" x14ac:dyDescent="0.2">
      <c r="A1584">
        <v>3693050</v>
      </c>
      <c r="B1584">
        <v>30062</v>
      </c>
      <c r="C1584">
        <v>302355</v>
      </c>
      <c r="D1584">
        <v>21883</v>
      </c>
    </row>
    <row r="1585" spans="1:4" x14ac:dyDescent="0.2">
      <c r="A1585">
        <v>3693050</v>
      </c>
      <c r="B1585">
        <v>30063</v>
      </c>
      <c r="C1585">
        <v>302356</v>
      </c>
      <c r="D1585">
        <v>21883</v>
      </c>
    </row>
    <row r="1586" spans="1:4" x14ac:dyDescent="0.2">
      <c r="A1586">
        <v>3693050</v>
      </c>
      <c r="B1586">
        <v>30064</v>
      </c>
      <c r="C1586">
        <v>302387</v>
      </c>
      <c r="D1586">
        <v>21883</v>
      </c>
    </row>
    <row r="1587" spans="1:4" x14ac:dyDescent="0.2">
      <c r="A1587">
        <v>3693050</v>
      </c>
      <c r="B1587">
        <v>30065</v>
      </c>
      <c r="C1587">
        <v>302405</v>
      </c>
      <c r="D1587">
        <v>21883</v>
      </c>
    </row>
    <row r="1588" spans="1:4" x14ac:dyDescent="0.2">
      <c r="A1588">
        <v>3693050</v>
      </c>
      <c r="B1588">
        <v>30066</v>
      </c>
      <c r="C1588">
        <v>302434</v>
      </c>
      <c r="D1588">
        <v>21883</v>
      </c>
    </row>
    <row r="1589" spans="1:4" x14ac:dyDescent="0.2">
      <c r="A1589">
        <v>3693051</v>
      </c>
      <c r="B1589">
        <v>30065</v>
      </c>
      <c r="C1589">
        <v>302405</v>
      </c>
      <c r="D1589">
        <v>21883</v>
      </c>
    </row>
    <row r="1590" spans="1:4" x14ac:dyDescent="0.2">
      <c r="A1590">
        <v>3693051</v>
      </c>
      <c r="B1590">
        <v>30066</v>
      </c>
      <c r="C1590">
        <v>302434</v>
      </c>
      <c r="D1590">
        <v>21883</v>
      </c>
    </row>
    <row r="1591" spans="1:4" x14ac:dyDescent="0.2">
      <c r="A1591">
        <v>3693052</v>
      </c>
      <c r="B1591">
        <v>30065</v>
      </c>
      <c r="C1591">
        <v>302405</v>
      </c>
      <c r="D1591">
        <v>21883</v>
      </c>
    </row>
    <row r="1592" spans="1:4" x14ac:dyDescent="0.2">
      <c r="A1592">
        <v>3693052</v>
      </c>
      <c r="B1592">
        <v>30066</v>
      </c>
      <c r="C1592">
        <v>302434</v>
      </c>
      <c r="D1592">
        <v>21883</v>
      </c>
    </row>
    <row r="1593" spans="1:4" x14ac:dyDescent="0.2">
      <c r="A1593">
        <v>3693053</v>
      </c>
      <c r="B1593">
        <v>30061</v>
      </c>
      <c r="C1593">
        <v>302338</v>
      </c>
      <c r="D1593">
        <v>21883</v>
      </c>
    </row>
    <row r="1594" spans="1:4" x14ac:dyDescent="0.2">
      <c r="A1594">
        <v>3693053</v>
      </c>
      <c r="B1594">
        <v>30062</v>
      </c>
      <c r="C1594">
        <v>302355</v>
      </c>
      <c r="D1594">
        <v>21883</v>
      </c>
    </row>
    <row r="1595" spans="1:4" x14ac:dyDescent="0.2">
      <c r="A1595">
        <v>3693053</v>
      </c>
      <c r="B1595">
        <v>30063</v>
      </c>
      <c r="C1595">
        <v>302356</v>
      </c>
      <c r="D1595">
        <v>21883</v>
      </c>
    </row>
    <row r="1596" spans="1:4" x14ac:dyDescent="0.2">
      <c r="A1596">
        <v>3693053</v>
      </c>
      <c r="B1596">
        <v>30064</v>
      </c>
      <c r="C1596">
        <v>302389</v>
      </c>
      <c r="D1596">
        <v>21883</v>
      </c>
    </row>
    <row r="1597" spans="1:4" x14ac:dyDescent="0.2">
      <c r="A1597">
        <v>3693053</v>
      </c>
      <c r="B1597">
        <v>30065</v>
      </c>
      <c r="C1597">
        <v>302405</v>
      </c>
      <c r="D1597">
        <v>21883</v>
      </c>
    </row>
    <row r="1598" spans="1:4" x14ac:dyDescent="0.2">
      <c r="A1598">
        <v>3693053</v>
      </c>
      <c r="B1598">
        <v>30066</v>
      </c>
      <c r="C1598">
        <v>302438</v>
      </c>
      <c r="D1598">
        <v>21883</v>
      </c>
    </row>
    <row r="1599" spans="1:4" x14ac:dyDescent="0.2">
      <c r="A1599">
        <v>3693054</v>
      </c>
      <c r="B1599">
        <v>30061</v>
      </c>
      <c r="C1599">
        <v>302338</v>
      </c>
      <c r="D1599">
        <v>21883</v>
      </c>
    </row>
    <row r="1600" spans="1:4" x14ac:dyDescent="0.2">
      <c r="A1600">
        <v>3693054</v>
      </c>
      <c r="B1600">
        <v>30062</v>
      </c>
      <c r="C1600">
        <v>302355</v>
      </c>
      <c r="D1600">
        <v>21883</v>
      </c>
    </row>
    <row r="1601" spans="1:4" x14ac:dyDescent="0.2">
      <c r="A1601">
        <v>3693054</v>
      </c>
      <c r="B1601">
        <v>30063</v>
      </c>
      <c r="C1601">
        <v>302356</v>
      </c>
      <c r="D1601">
        <v>21883</v>
      </c>
    </row>
    <row r="1602" spans="1:4" x14ac:dyDescent="0.2">
      <c r="A1602">
        <v>3693054</v>
      </c>
      <c r="B1602">
        <v>30064</v>
      </c>
      <c r="C1602">
        <v>302389</v>
      </c>
      <c r="D1602">
        <v>21883</v>
      </c>
    </row>
    <row r="1603" spans="1:4" x14ac:dyDescent="0.2">
      <c r="A1603">
        <v>3693054</v>
      </c>
      <c r="B1603">
        <v>30065</v>
      </c>
      <c r="C1603">
        <v>302405</v>
      </c>
      <c r="D1603">
        <v>21883</v>
      </c>
    </row>
    <row r="1604" spans="1:4" x14ac:dyDescent="0.2">
      <c r="A1604">
        <v>3693054</v>
      </c>
      <c r="B1604">
        <v>30066</v>
      </c>
      <c r="C1604">
        <v>302438</v>
      </c>
      <c r="D1604">
        <v>21883</v>
      </c>
    </row>
    <row r="1605" spans="1:4" x14ac:dyDescent="0.2">
      <c r="A1605">
        <v>3693055</v>
      </c>
      <c r="B1605">
        <v>30065</v>
      </c>
      <c r="C1605">
        <v>302405</v>
      </c>
      <c r="D1605">
        <v>21883</v>
      </c>
    </row>
    <row r="1606" spans="1:4" x14ac:dyDescent="0.2">
      <c r="A1606">
        <v>3693055</v>
      </c>
      <c r="B1606">
        <v>30066</v>
      </c>
      <c r="C1606">
        <v>302436</v>
      </c>
      <c r="D1606">
        <v>21883</v>
      </c>
    </row>
    <row r="1607" spans="1:4" x14ac:dyDescent="0.2">
      <c r="A1607">
        <v>3693055</v>
      </c>
      <c r="B1607">
        <v>30067</v>
      </c>
      <c r="C1607">
        <v>302464</v>
      </c>
      <c r="D1607">
        <v>21883</v>
      </c>
    </row>
    <row r="1608" spans="1:4" x14ac:dyDescent="0.2">
      <c r="A1608">
        <v>3693056</v>
      </c>
      <c r="B1608">
        <v>30066</v>
      </c>
      <c r="C1608">
        <v>302436</v>
      </c>
      <c r="D1608">
        <v>21883</v>
      </c>
    </row>
    <row r="1609" spans="1:4" x14ac:dyDescent="0.2">
      <c r="A1609">
        <v>3693057</v>
      </c>
      <c r="B1609">
        <v>30061</v>
      </c>
      <c r="C1609">
        <v>302338</v>
      </c>
      <c r="D1609">
        <v>21883</v>
      </c>
    </row>
    <row r="1610" spans="1:4" x14ac:dyDescent="0.2">
      <c r="A1610">
        <v>3693057</v>
      </c>
      <c r="B1610">
        <v>30062</v>
      </c>
      <c r="C1610">
        <v>302355</v>
      </c>
      <c r="D1610">
        <v>21883</v>
      </c>
    </row>
    <row r="1611" spans="1:4" x14ac:dyDescent="0.2">
      <c r="A1611">
        <v>3693057</v>
      </c>
      <c r="B1611">
        <v>30063</v>
      </c>
      <c r="C1611">
        <v>302356</v>
      </c>
      <c r="D1611">
        <v>21883</v>
      </c>
    </row>
    <row r="1612" spans="1:4" x14ac:dyDescent="0.2">
      <c r="A1612">
        <v>3693057</v>
      </c>
      <c r="B1612">
        <v>30064</v>
      </c>
      <c r="C1612">
        <v>302389</v>
      </c>
      <c r="D1612">
        <v>21883</v>
      </c>
    </row>
    <row r="1613" spans="1:4" x14ac:dyDescent="0.2">
      <c r="A1613">
        <v>3693057</v>
      </c>
      <c r="B1613">
        <v>30065</v>
      </c>
      <c r="C1613">
        <v>302406</v>
      </c>
      <c r="D1613">
        <v>21883</v>
      </c>
    </row>
    <row r="1614" spans="1:4" x14ac:dyDescent="0.2">
      <c r="A1614">
        <v>3693057</v>
      </c>
      <c r="B1614">
        <v>30066</v>
      </c>
      <c r="C1614">
        <v>302438</v>
      </c>
      <c r="D1614">
        <v>21883</v>
      </c>
    </row>
    <row r="1615" spans="1:4" x14ac:dyDescent="0.2">
      <c r="A1615">
        <v>3693058</v>
      </c>
      <c r="B1615">
        <v>30061</v>
      </c>
      <c r="C1615">
        <v>302338</v>
      </c>
      <c r="D1615">
        <v>21883</v>
      </c>
    </row>
    <row r="1616" spans="1:4" x14ac:dyDescent="0.2">
      <c r="A1616">
        <v>3693058</v>
      </c>
      <c r="B1616">
        <v>30062</v>
      </c>
      <c r="C1616">
        <v>302355</v>
      </c>
      <c r="D1616">
        <v>21883</v>
      </c>
    </row>
    <row r="1617" spans="1:4" x14ac:dyDescent="0.2">
      <c r="A1617">
        <v>3693058</v>
      </c>
      <c r="B1617">
        <v>30063</v>
      </c>
      <c r="C1617">
        <v>302356</v>
      </c>
      <c r="D1617">
        <v>21883</v>
      </c>
    </row>
    <row r="1618" spans="1:4" x14ac:dyDescent="0.2">
      <c r="A1618">
        <v>3693058</v>
      </c>
      <c r="B1618">
        <v>30064</v>
      </c>
      <c r="C1618">
        <v>302379</v>
      </c>
      <c r="D1618">
        <v>21883</v>
      </c>
    </row>
    <row r="1619" spans="1:4" x14ac:dyDescent="0.2">
      <c r="A1619">
        <v>3693058</v>
      </c>
      <c r="B1619">
        <v>30065</v>
      </c>
      <c r="C1619">
        <v>302406</v>
      </c>
      <c r="D1619">
        <v>21883</v>
      </c>
    </row>
    <row r="1620" spans="1:4" x14ac:dyDescent="0.2">
      <c r="A1620">
        <v>3693058</v>
      </c>
      <c r="B1620">
        <v>30066</v>
      </c>
      <c r="C1620">
        <v>302434</v>
      </c>
      <c r="D1620">
        <v>21883</v>
      </c>
    </row>
    <row r="1621" spans="1:4" x14ac:dyDescent="0.2">
      <c r="A1621">
        <v>3693059</v>
      </c>
      <c r="B1621">
        <v>30061</v>
      </c>
      <c r="C1621">
        <v>302338</v>
      </c>
      <c r="D1621">
        <v>21883</v>
      </c>
    </row>
    <row r="1622" spans="1:4" x14ac:dyDescent="0.2">
      <c r="A1622">
        <v>3693059</v>
      </c>
      <c r="B1622">
        <v>30062</v>
      </c>
      <c r="C1622">
        <v>302355</v>
      </c>
      <c r="D1622">
        <v>21883</v>
      </c>
    </row>
    <row r="1623" spans="1:4" x14ac:dyDescent="0.2">
      <c r="A1623">
        <v>3693059</v>
      </c>
      <c r="B1623">
        <v>30063</v>
      </c>
      <c r="C1623">
        <v>302356</v>
      </c>
      <c r="D1623">
        <v>21883</v>
      </c>
    </row>
    <row r="1624" spans="1:4" x14ac:dyDescent="0.2">
      <c r="A1624">
        <v>3693059</v>
      </c>
      <c r="B1624">
        <v>30064</v>
      </c>
      <c r="C1624">
        <v>302379</v>
      </c>
      <c r="D1624">
        <v>21883</v>
      </c>
    </row>
    <row r="1625" spans="1:4" x14ac:dyDescent="0.2">
      <c r="A1625">
        <v>3693059</v>
      </c>
      <c r="B1625">
        <v>30065</v>
      </c>
      <c r="C1625">
        <v>302406</v>
      </c>
      <c r="D1625">
        <v>21883</v>
      </c>
    </row>
    <row r="1626" spans="1:4" x14ac:dyDescent="0.2">
      <c r="A1626">
        <v>3693059</v>
      </c>
      <c r="B1626">
        <v>30066</v>
      </c>
      <c r="C1626">
        <v>302435</v>
      </c>
      <c r="D1626">
        <v>21883</v>
      </c>
    </row>
    <row r="1627" spans="1:4" x14ac:dyDescent="0.2">
      <c r="A1627">
        <v>3693060</v>
      </c>
      <c r="B1627">
        <v>30065</v>
      </c>
      <c r="C1627">
        <v>302406</v>
      </c>
      <c r="D1627">
        <v>21883</v>
      </c>
    </row>
    <row r="1628" spans="1:4" x14ac:dyDescent="0.2">
      <c r="A1628">
        <v>3693060</v>
      </c>
      <c r="B1628">
        <v>30066</v>
      </c>
      <c r="C1628">
        <v>302435</v>
      </c>
      <c r="D1628">
        <v>21883</v>
      </c>
    </row>
    <row r="1629" spans="1:4" x14ac:dyDescent="0.2">
      <c r="A1629">
        <v>3693061</v>
      </c>
      <c r="B1629">
        <v>30065</v>
      </c>
      <c r="C1629">
        <v>302406</v>
      </c>
      <c r="D1629">
        <v>21883</v>
      </c>
    </row>
    <row r="1630" spans="1:4" x14ac:dyDescent="0.2">
      <c r="A1630">
        <v>3693061</v>
      </c>
      <c r="B1630">
        <v>30066</v>
      </c>
      <c r="C1630">
        <v>302435</v>
      </c>
      <c r="D1630">
        <v>21883</v>
      </c>
    </row>
    <row r="1631" spans="1:4" x14ac:dyDescent="0.2">
      <c r="A1631">
        <v>3693062</v>
      </c>
      <c r="B1631">
        <v>30065</v>
      </c>
      <c r="C1631">
        <v>302406</v>
      </c>
      <c r="D1631">
        <v>21883</v>
      </c>
    </row>
    <row r="1632" spans="1:4" x14ac:dyDescent="0.2">
      <c r="A1632">
        <v>3693062</v>
      </c>
      <c r="B1632">
        <v>30066</v>
      </c>
      <c r="C1632">
        <v>302435</v>
      </c>
      <c r="D1632">
        <v>21883</v>
      </c>
    </row>
    <row r="1633" spans="1:4" x14ac:dyDescent="0.2">
      <c r="A1633">
        <v>3693063</v>
      </c>
      <c r="B1633">
        <v>30065</v>
      </c>
      <c r="C1633">
        <v>302406</v>
      </c>
      <c r="D1633">
        <v>21883</v>
      </c>
    </row>
    <row r="1634" spans="1:4" x14ac:dyDescent="0.2">
      <c r="A1634">
        <v>3693063</v>
      </c>
      <c r="B1634">
        <v>30066</v>
      </c>
      <c r="C1634">
        <v>302434</v>
      </c>
      <c r="D1634">
        <v>21883</v>
      </c>
    </row>
    <row r="1635" spans="1:4" x14ac:dyDescent="0.2">
      <c r="A1635">
        <v>3693064</v>
      </c>
      <c r="B1635">
        <v>30065</v>
      </c>
      <c r="C1635">
        <v>302406</v>
      </c>
      <c r="D1635">
        <v>21883</v>
      </c>
    </row>
    <row r="1636" spans="1:4" x14ac:dyDescent="0.2">
      <c r="A1636">
        <v>3693064</v>
      </c>
      <c r="B1636">
        <v>30066</v>
      </c>
      <c r="C1636">
        <v>302434</v>
      </c>
      <c r="D1636">
        <v>21883</v>
      </c>
    </row>
    <row r="1637" spans="1:4" x14ac:dyDescent="0.2">
      <c r="A1637">
        <v>3693065</v>
      </c>
      <c r="B1637">
        <v>30065</v>
      </c>
      <c r="C1637">
        <v>302406</v>
      </c>
      <c r="D1637">
        <v>21883</v>
      </c>
    </row>
    <row r="1638" spans="1:4" x14ac:dyDescent="0.2">
      <c r="A1638">
        <v>3693065</v>
      </c>
      <c r="B1638">
        <v>30066</v>
      </c>
      <c r="C1638">
        <v>302434</v>
      </c>
      <c r="D1638">
        <v>21883</v>
      </c>
    </row>
    <row r="1639" spans="1:4" x14ac:dyDescent="0.2">
      <c r="A1639">
        <v>3693066</v>
      </c>
      <c r="B1639">
        <v>30061</v>
      </c>
      <c r="C1639">
        <v>302338</v>
      </c>
      <c r="D1639">
        <v>21883</v>
      </c>
    </row>
    <row r="1640" spans="1:4" x14ac:dyDescent="0.2">
      <c r="A1640">
        <v>3693066</v>
      </c>
      <c r="B1640">
        <v>30062</v>
      </c>
      <c r="C1640">
        <v>302355</v>
      </c>
      <c r="D1640">
        <v>21883</v>
      </c>
    </row>
    <row r="1641" spans="1:4" x14ac:dyDescent="0.2">
      <c r="A1641">
        <v>3693066</v>
      </c>
      <c r="B1641">
        <v>30063</v>
      </c>
      <c r="C1641">
        <v>302356</v>
      </c>
      <c r="D1641">
        <v>21883</v>
      </c>
    </row>
    <row r="1642" spans="1:4" x14ac:dyDescent="0.2">
      <c r="A1642">
        <v>3693066</v>
      </c>
      <c r="B1642">
        <v>30064</v>
      </c>
      <c r="C1642">
        <v>302389</v>
      </c>
      <c r="D1642">
        <v>21883</v>
      </c>
    </row>
    <row r="1643" spans="1:4" x14ac:dyDescent="0.2">
      <c r="A1643">
        <v>3693066</v>
      </c>
      <c r="B1643">
        <v>30065</v>
      </c>
      <c r="C1643">
        <v>302406</v>
      </c>
      <c r="D1643">
        <v>21883</v>
      </c>
    </row>
    <row r="1644" spans="1:4" x14ac:dyDescent="0.2">
      <c r="A1644">
        <v>3693066</v>
      </c>
      <c r="B1644">
        <v>30066</v>
      </c>
      <c r="C1644">
        <v>302438</v>
      </c>
      <c r="D1644">
        <v>21883</v>
      </c>
    </row>
    <row r="1645" spans="1:4" x14ac:dyDescent="0.2">
      <c r="A1645">
        <v>3693067</v>
      </c>
      <c r="B1645">
        <v>30063</v>
      </c>
      <c r="C1645">
        <v>302358</v>
      </c>
      <c r="D1645">
        <v>21883</v>
      </c>
    </row>
    <row r="1646" spans="1:4" x14ac:dyDescent="0.2">
      <c r="A1646">
        <v>3693067</v>
      </c>
      <c r="B1646">
        <v>30064</v>
      </c>
      <c r="C1646">
        <v>302407</v>
      </c>
      <c r="D1646">
        <v>21883</v>
      </c>
    </row>
    <row r="1647" spans="1:4" x14ac:dyDescent="0.2">
      <c r="A1647">
        <v>3693067</v>
      </c>
      <c r="B1647">
        <v>30065</v>
      </c>
      <c r="C1647">
        <v>302370</v>
      </c>
      <c r="D1647">
        <v>21883</v>
      </c>
    </row>
    <row r="1648" spans="1:4" x14ac:dyDescent="0.2">
      <c r="A1648">
        <v>3693067</v>
      </c>
      <c r="B1648">
        <v>30066</v>
      </c>
      <c r="C1648">
        <v>302438</v>
      </c>
      <c r="D1648">
        <v>21883</v>
      </c>
    </row>
    <row r="1649" spans="1:4" x14ac:dyDescent="0.2">
      <c r="A1649">
        <v>3693067</v>
      </c>
      <c r="B1649">
        <v>30069</v>
      </c>
      <c r="C1649">
        <v>302446</v>
      </c>
      <c r="D1649">
        <v>21883</v>
      </c>
    </row>
    <row r="1650" spans="1:4" x14ac:dyDescent="0.2">
      <c r="A1650">
        <v>3693068</v>
      </c>
      <c r="B1650">
        <v>30063</v>
      </c>
      <c r="C1650">
        <v>302358</v>
      </c>
      <c r="D1650">
        <v>21883</v>
      </c>
    </row>
    <row r="1651" spans="1:4" x14ac:dyDescent="0.2">
      <c r="A1651">
        <v>3693068</v>
      </c>
      <c r="B1651">
        <v>30064</v>
      </c>
      <c r="C1651">
        <v>302407</v>
      </c>
      <c r="D1651">
        <v>21883</v>
      </c>
    </row>
    <row r="1652" spans="1:4" x14ac:dyDescent="0.2">
      <c r="A1652">
        <v>3693068</v>
      </c>
      <c r="B1652">
        <v>30065</v>
      </c>
      <c r="C1652">
        <v>302370</v>
      </c>
      <c r="D1652">
        <v>21883</v>
      </c>
    </row>
    <row r="1653" spans="1:4" x14ac:dyDescent="0.2">
      <c r="A1653">
        <v>3693068</v>
      </c>
      <c r="B1653">
        <v>30066</v>
      </c>
      <c r="C1653">
        <v>302438</v>
      </c>
      <c r="D1653">
        <v>21883</v>
      </c>
    </row>
    <row r="1654" spans="1:4" x14ac:dyDescent="0.2">
      <c r="A1654">
        <v>3693068</v>
      </c>
      <c r="B1654">
        <v>30069</v>
      </c>
      <c r="C1654">
        <v>302446</v>
      </c>
      <c r="D1654">
        <v>21883</v>
      </c>
    </row>
    <row r="1655" spans="1:4" x14ac:dyDescent="0.2">
      <c r="A1655">
        <v>3693069</v>
      </c>
      <c r="B1655">
        <v>30063</v>
      </c>
      <c r="C1655">
        <v>302358</v>
      </c>
      <c r="D1655">
        <v>21883</v>
      </c>
    </row>
    <row r="1656" spans="1:4" x14ac:dyDescent="0.2">
      <c r="A1656">
        <v>3693069</v>
      </c>
      <c r="B1656">
        <v>30064</v>
      </c>
      <c r="C1656">
        <v>302407</v>
      </c>
      <c r="D1656">
        <v>21883</v>
      </c>
    </row>
    <row r="1657" spans="1:4" x14ac:dyDescent="0.2">
      <c r="A1657">
        <v>3693069</v>
      </c>
      <c r="B1657">
        <v>30065</v>
      </c>
      <c r="C1657">
        <v>302370</v>
      </c>
      <c r="D1657">
        <v>21883</v>
      </c>
    </row>
    <row r="1658" spans="1:4" x14ac:dyDescent="0.2">
      <c r="A1658">
        <v>3693069</v>
      </c>
      <c r="B1658">
        <v>30066</v>
      </c>
      <c r="C1658">
        <v>302438</v>
      </c>
      <c r="D1658">
        <v>21883</v>
      </c>
    </row>
    <row r="1659" spans="1:4" x14ac:dyDescent="0.2">
      <c r="A1659">
        <v>3693069</v>
      </c>
      <c r="B1659">
        <v>30069</v>
      </c>
      <c r="C1659">
        <v>302446</v>
      </c>
      <c r="D1659">
        <v>21883</v>
      </c>
    </row>
    <row r="1660" spans="1:4" x14ac:dyDescent="0.2">
      <c r="A1660">
        <v>3693070</v>
      </c>
      <c r="B1660">
        <v>30063</v>
      </c>
      <c r="C1660">
        <v>302358</v>
      </c>
      <c r="D1660">
        <v>21883</v>
      </c>
    </row>
    <row r="1661" spans="1:4" x14ac:dyDescent="0.2">
      <c r="A1661">
        <v>3693070</v>
      </c>
      <c r="B1661">
        <v>30064</v>
      </c>
      <c r="C1661">
        <v>302407</v>
      </c>
      <c r="D1661">
        <v>21883</v>
      </c>
    </row>
    <row r="1662" spans="1:4" x14ac:dyDescent="0.2">
      <c r="A1662">
        <v>3693070</v>
      </c>
      <c r="B1662">
        <v>30065</v>
      </c>
      <c r="C1662">
        <v>302370</v>
      </c>
      <c r="D1662">
        <v>21883</v>
      </c>
    </row>
    <row r="1663" spans="1:4" x14ac:dyDescent="0.2">
      <c r="A1663">
        <v>3693070</v>
      </c>
      <c r="B1663">
        <v>30066</v>
      </c>
      <c r="C1663">
        <v>302438</v>
      </c>
      <c r="D1663">
        <v>21883</v>
      </c>
    </row>
    <row r="1664" spans="1:4" x14ac:dyDescent="0.2">
      <c r="A1664">
        <v>3693070</v>
      </c>
      <c r="B1664">
        <v>30069</v>
      </c>
      <c r="C1664">
        <v>302446</v>
      </c>
      <c r="D1664">
        <v>21883</v>
      </c>
    </row>
    <row r="1665" spans="1:4" x14ac:dyDescent="0.2">
      <c r="A1665">
        <v>3693071</v>
      </c>
      <c r="B1665">
        <v>30063</v>
      </c>
      <c r="C1665">
        <v>302358</v>
      </c>
      <c r="D1665">
        <v>21883</v>
      </c>
    </row>
    <row r="1666" spans="1:4" x14ac:dyDescent="0.2">
      <c r="A1666">
        <v>3693071</v>
      </c>
      <c r="B1666">
        <v>30064</v>
      </c>
      <c r="C1666">
        <v>302407</v>
      </c>
      <c r="D1666">
        <v>21883</v>
      </c>
    </row>
    <row r="1667" spans="1:4" x14ac:dyDescent="0.2">
      <c r="A1667">
        <v>3693071</v>
      </c>
      <c r="B1667">
        <v>30065</v>
      </c>
      <c r="C1667">
        <v>302370</v>
      </c>
      <c r="D1667">
        <v>21883</v>
      </c>
    </row>
    <row r="1668" spans="1:4" x14ac:dyDescent="0.2">
      <c r="A1668">
        <v>3693071</v>
      </c>
      <c r="B1668">
        <v>30066</v>
      </c>
      <c r="C1668">
        <v>302438</v>
      </c>
      <c r="D1668">
        <v>21883</v>
      </c>
    </row>
    <row r="1669" spans="1:4" x14ac:dyDescent="0.2">
      <c r="A1669">
        <v>3693071</v>
      </c>
      <c r="B1669">
        <v>30069</v>
      </c>
      <c r="C1669">
        <v>302446</v>
      </c>
      <c r="D1669">
        <v>21883</v>
      </c>
    </row>
    <row r="1670" spans="1:4" x14ac:dyDescent="0.2">
      <c r="A1670">
        <v>3693072</v>
      </c>
      <c r="B1670">
        <v>30063</v>
      </c>
      <c r="C1670">
        <v>302358</v>
      </c>
      <c r="D1670">
        <v>21883</v>
      </c>
    </row>
    <row r="1671" spans="1:4" x14ac:dyDescent="0.2">
      <c r="A1671">
        <v>3693072</v>
      </c>
      <c r="B1671">
        <v>30064</v>
      </c>
      <c r="C1671">
        <v>302407</v>
      </c>
      <c r="D1671">
        <v>21883</v>
      </c>
    </row>
    <row r="1672" spans="1:4" x14ac:dyDescent="0.2">
      <c r="A1672">
        <v>3693072</v>
      </c>
      <c r="B1672">
        <v>30065</v>
      </c>
      <c r="C1672">
        <v>302370</v>
      </c>
      <c r="D1672">
        <v>21883</v>
      </c>
    </row>
    <row r="1673" spans="1:4" x14ac:dyDescent="0.2">
      <c r="A1673">
        <v>3693072</v>
      </c>
      <c r="B1673">
        <v>30066</v>
      </c>
      <c r="C1673">
        <v>302438</v>
      </c>
      <c r="D1673">
        <v>21883</v>
      </c>
    </row>
    <row r="1674" spans="1:4" x14ac:dyDescent="0.2">
      <c r="A1674">
        <v>3693072</v>
      </c>
      <c r="B1674">
        <v>30069</v>
      </c>
      <c r="C1674">
        <v>302446</v>
      </c>
      <c r="D1674">
        <v>21883</v>
      </c>
    </row>
    <row r="1675" spans="1:4" x14ac:dyDescent="0.2">
      <c r="A1675">
        <v>3693073</v>
      </c>
      <c r="B1675">
        <v>30063</v>
      </c>
      <c r="C1675">
        <v>302358</v>
      </c>
      <c r="D1675">
        <v>21883</v>
      </c>
    </row>
    <row r="1676" spans="1:4" x14ac:dyDescent="0.2">
      <c r="A1676">
        <v>3693073</v>
      </c>
      <c r="B1676">
        <v>30064</v>
      </c>
      <c r="C1676">
        <v>302407</v>
      </c>
      <c r="D1676">
        <v>21883</v>
      </c>
    </row>
    <row r="1677" spans="1:4" x14ac:dyDescent="0.2">
      <c r="A1677">
        <v>3693073</v>
      </c>
      <c r="B1677">
        <v>30065</v>
      </c>
      <c r="C1677">
        <v>302370</v>
      </c>
      <c r="D1677">
        <v>21883</v>
      </c>
    </row>
    <row r="1678" spans="1:4" x14ac:dyDescent="0.2">
      <c r="A1678">
        <v>3693073</v>
      </c>
      <c r="B1678">
        <v>30066</v>
      </c>
      <c r="C1678">
        <v>302438</v>
      </c>
      <c r="D1678">
        <v>21883</v>
      </c>
    </row>
    <row r="1679" spans="1:4" x14ac:dyDescent="0.2">
      <c r="A1679">
        <v>3693073</v>
      </c>
      <c r="B1679">
        <v>30069</v>
      </c>
      <c r="C1679">
        <v>302446</v>
      </c>
      <c r="D1679">
        <v>21883</v>
      </c>
    </row>
    <row r="1680" spans="1:4" x14ac:dyDescent="0.2">
      <c r="A1680">
        <v>3693074</v>
      </c>
      <c r="B1680">
        <v>30063</v>
      </c>
      <c r="C1680">
        <v>302358</v>
      </c>
      <c r="D1680">
        <v>21883</v>
      </c>
    </row>
    <row r="1681" spans="1:4" x14ac:dyDescent="0.2">
      <c r="A1681">
        <v>3693074</v>
      </c>
      <c r="B1681">
        <v>30064</v>
      </c>
      <c r="C1681">
        <v>302407</v>
      </c>
      <c r="D1681">
        <v>21883</v>
      </c>
    </row>
    <row r="1682" spans="1:4" x14ac:dyDescent="0.2">
      <c r="A1682">
        <v>3693074</v>
      </c>
      <c r="B1682">
        <v>30065</v>
      </c>
      <c r="C1682">
        <v>302370</v>
      </c>
      <c r="D1682">
        <v>21883</v>
      </c>
    </row>
    <row r="1683" spans="1:4" x14ac:dyDescent="0.2">
      <c r="A1683">
        <v>3693074</v>
      </c>
      <c r="B1683">
        <v>30066</v>
      </c>
      <c r="C1683">
        <v>302438</v>
      </c>
      <c r="D1683">
        <v>21883</v>
      </c>
    </row>
    <row r="1684" spans="1:4" x14ac:dyDescent="0.2">
      <c r="A1684">
        <v>3693074</v>
      </c>
      <c r="B1684">
        <v>30069</v>
      </c>
      <c r="C1684">
        <v>302446</v>
      </c>
      <c r="D1684">
        <v>21883</v>
      </c>
    </row>
    <row r="1685" spans="1:4" x14ac:dyDescent="0.2">
      <c r="A1685">
        <v>3693075</v>
      </c>
      <c r="B1685">
        <v>30063</v>
      </c>
      <c r="C1685">
        <v>302358</v>
      </c>
      <c r="D1685">
        <v>21883</v>
      </c>
    </row>
    <row r="1686" spans="1:4" x14ac:dyDescent="0.2">
      <c r="A1686">
        <v>3693075</v>
      </c>
      <c r="B1686">
        <v>30064</v>
      </c>
      <c r="C1686">
        <v>302407</v>
      </c>
      <c r="D1686">
        <v>21883</v>
      </c>
    </row>
    <row r="1687" spans="1:4" x14ac:dyDescent="0.2">
      <c r="A1687">
        <v>3693075</v>
      </c>
      <c r="B1687">
        <v>30065</v>
      </c>
      <c r="C1687">
        <v>302370</v>
      </c>
      <c r="D1687">
        <v>21883</v>
      </c>
    </row>
    <row r="1688" spans="1:4" x14ac:dyDescent="0.2">
      <c r="A1688">
        <v>3693075</v>
      </c>
      <c r="B1688">
        <v>30066</v>
      </c>
      <c r="C1688">
        <v>302438</v>
      </c>
      <c r="D1688">
        <v>21883</v>
      </c>
    </row>
    <row r="1689" spans="1:4" x14ac:dyDescent="0.2">
      <c r="A1689">
        <v>3693075</v>
      </c>
      <c r="B1689">
        <v>30069</v>
      </c>
      <c r="C1689">
        <v>302446</v>
      </c>
      <c r="D1689">
        <v>21883</v>
      </c>
    </row>
    <row r="1690" spans="1:4" x14ac:dyDescent="0.2">
      <c r="A1690">
        <v>3693076</v>
      </c>
      <c r="B1690">
        <v>30065</v>
      </c>
      <c r="C1690">
        <v>302370</v>
      </c>
      <c r="D1690">
        <v>21883</v>
      </c>
    </row>
    <row r="1691" spans="1:4" x14ac:dyDescent="0.2">
      <c r="A1691">
        <v>3693076</v>
      </c>
      <c r="B1691">
        <v>30066</v>
      </c>
      <c r="C1691">
        <v>302438</v>
      </c>
      <c r="D1691">
        <v>21883</v>
      </c>
    </row>
    <row r="1692" spans="1:4" x14ac:dyDescent="0.2">
      <c r="A1692">
        <v>3693076</v>
      </c>
      <c r="B1692">
        <v>30069</v>
      </c>
      <c r="C1692">
        <v>302446</v>
      </c>
      <c r="D1692">
        <v>21883</v>
      </c>
    </row>
    <row r="1693" spans="1:4" x14ac:dyDescent="0.2">
      <c r="A1693">
        <v>3693077</v>
      </c>
      <c r="B1693">
        <v>30063</v>
      </c>
      <c r="C1693">
        <v>302358</v>
      </c>
      <c r="D1693">
        <v>21883</v>
      </c>
    </row>
    <row r="1694" spans="1:4" x14ac:dyDescent="0.2">
      <c r="A1694">
        <v>3693077</v>
      </c>
      <c r="B1694">
        <v>30064</v>
      </c>
      <c r="C1694">
        <v>302407</v>
      </c>
      <c r="D1694">
        <v>21883</v>
      </c>
    </row>
    <row r="1695" spans="1:4" x14ac:dyDescent="0.2">
      <c r="A1695">
        <v>3693077</v>
      </c>
      <c r="B1695">
        <v>30065</v>
      </c>
      <c r="C1695">
        <v>302370</v>
      </c>
      <c r="D1695">
        <v>21883</v>
      </c>
    </row>
    <row r="1696" spans="1:4" x14ac:dyDescent="0.2">
      <c r="A1696">
        <v>3693077</v>
      </c>
      <c r="B1696">
        <v>30066</v>
      </c>
      <c r="C1696">
        <v>302438</v>
      </c>
      <c r="D1696">
        <v>21883</v>
      </c>
    </row>
    <row r="1697" spans="1:4" x14ac:dyDescent="0.2">
      <c r="A1697">
        <v>3693077</v>
      </c>
      <c r="B1697">
        <v>30069</v>
      </c>
      <c r="C1697">
        <v>302446</v>
      </c>
      <c r="D1697">
        <v>21883</v>
      </c>
    </row>
    <row r="1698" spans="1:4" x14ac:dyDescent="0.2">
      <c r="A1698">
        <v>3693078</v>
      </c>
      <c r="B1698">
        <v>30063</v>
      </c>
      <c r="C1698">
        <v>302358</v>
      </c>
      <c r="D1698">
        <v>21883</v>
      </c>
    </row>
    <row r="1699" spans="1:4" x14ac:dyDescent="0.2">
      <c r="A1699">
        <v>3693078</v>
      </c>
      <c r="B1699">
        <v>30064</v>
      </c>
      <c r="C1699">
        <v>302407</v>
      </c>
      <c r="D1699">
        <v>21883</v>
      </c>
    </row>
    <row r="1700" spans="1:4" x14ac:dyDescent="0.2">
      <c r="A1700">
        <v>3693078</v>
      </c>
      <c r="B1700">
        <v>30065</v>
      </c>
      <c r="C1700">
        <v>302370</v>
      </c>
      <c r="D1700">
        <v>21883</v>
      </c>
    </row>
    <row r="1701" spans="1:4" x14ac:dyDescent="0.2">
      <c r="A1701">
        <v>3693078</v>
      </c>
      <c r="B1701">
        <v>30066</v>
      </c>
      <c r="C1701">
        <v>302438</v>
      </c>
      <c r="D1701">
        <v>21883</v>
      </c>
    </row>
    <row r="1702" spans="1:4" x14ac:dyDescent="0.2">
      <c r="A1702">
        <v>3693078</v>
      </c>
      <c r="B1702">
        <v>30069</v>
      </c>
      <c r="C1702">
        <v>302446</v>
      </c>
      <c r="D1702">
        <v>21883</v>
      </c>
    </row>
    <row r="1703" spans="1:4" x14ac:dyDescent="0.2">
      <c r="A1703">
        <v>3693079</v>
      </c>
      <c r="B1703">
        <v>30063</v>
      </c>
      <c r="C1703">
        <v>302358</v>
      </c>
      <c r="D1703">
        <v>21883</v>
      </c>
    </row>
    <row r="1704" spans="1:4" x14ac:dyDescent="0.2">
      <c r="A1704">
        <v>3693079</v>
      </c>
      <c r="B1704">
        <v>30064</v>
      </c>
      <c r="C1704">
        <v>302407</v>
      </c>
      <c r="D1704">
        <v>21883</v>
      </c>
    </row>
    <row r="1705" spans="1:4" x14ac:dyDescent="0.2">
      <c r="A1705">
        <v>3693079</v>
      </c>
      <c r="B1705">
        <v>30065</v>
      </c>
      <c r="C1705">
        <v>302370</v>
      </c>
      <c r="D1705">
        <v>21883</v>
      </c>
    </row>
    <row r="1706" spans="1:4" x14ac:dyDescent="0.2">
      <c r="A1706">
        <v>3693079</v>
      </c>
      <c r="B1706">
        <v>30066</v>
      </c>
      <c r="C1706">
        <v>302438</v>
      </c>
      <c r="D1706">
        <v>21883</v>
      </c>
    </row>
    <row r="1707" spans="1:4" x14ac:dyDescent="0.2">
      <c r="A1707">
        <v>3693079</v>
      </c>
      <c r="B1707">
        <v>30069</v>
      </c>
      <c r="C1707">
        <v>302446</v>
      </c>
      <c r="D1707">
        <v>21883</v>
      </c>
    </row>
    <row r="1708" spans="1:4" x14ac:dyDescent="0.2">
      <c r="A1708">
        <v>3693080</v>
      </c>
      <c r="B1708">
        <v>30063</v>
      </c>
      <c r="C1708">
        <v>302358</v>
      </c>
      <c r="D1708">
        <v>21883</v>
      </c>
    </row>
    <row r="1709" spans="1:4" x14ac:dyDescent="0.2">
      <c r="A1709">
        <v>3693080</v>
      </c>
      <c r="B1709">
        <v>30064</v>
      </c>
      <c r="C1709">
        <v>302407</v>
      </c>
      <c r="D1709">
        <v>21883</v>
      </c>
    </row>
    <row r="1710" spans="1:4" x14ac:dyDescent="0.2">
      <c r="A1710">
        <v>3693080</v>
      </c>
      <c r="B1710">
        <v>30065</v>
      </c>
      <c r="C1710">
        <v>302370</v>
      </c>
      <c r="D1710">
        <v>21883</v>
      </c>
    </row>
    <row r="1711" spans="1:4" x14ac:dyDescent="0.2">
      <c r="A1711">
        <v>3693080</v>
      </c>
      <c r="B1711">
        <v>30066</v>
      </c>
      <c r="C1711">
        <v>302438</v>
      </c>
      <c r="D1711">
        <v>21883</v>
      </c>
    </row>
    <row r="1712" spans="1:4" x14ac:dyDescent="0.2">
      <c r="A1712">
        <v>3693080</v>
      </c>
      <c r="B1712">
        <v>30069</v>
      </c>
      <c r="C1712">
        <v>302446</v>
      </c>
      <c r="D1712">
        <v>21883</v>
      </c>
    </row>
    <row r="1713" spans="1:4" x14ac:dyDescent="0.2">
      <c r="A1713">
        <v>3693081</v>
      </c>
      <c r="B1713">
        <v>30063</v>
      </c>
      <c r="C1713">
        <v>302358</v>
      </c>
      <c r="D1713">
        <v>21883</v>
      </c>
    </row>
    <row r="1714" spans="1:4" x14ac:dyDescent="0.2">
      <c r="A1714">
        <v>3693081</v>
      </c>
      <c r="B1714">
        <v>30064</v>
      </c>
      <c r="C1714">
        <v>302407</v>
      </c>
      <c r="D1714">
        <v>21883</v>
      </c>
    </row>
    <row r="1715" spans="1:4" x14ac:dyDescent="0.2">
      <c r="A1715">
        <v>3693081</v>
      </c>
      <c r="B1715">
        <v>30065</v>
      </c>
      <c r="C1715">
        <v>302370</v>
      </c>
      <c r="D1715">
        <v>21883</v>
      </c>
    </row>
    <row r="1716" spans="1:4" x14ac:dyDescent="0.2">
      <c r="A1716">
        <v>3693081</v>
      </c>
      <c r="B1716">
        <v>30066</v>
      </c>
      <c r="C1716">
        <v>302438</v>
      </c>
      <c r="D1716">
        <v>21883</v>
      </c>
    </row>
    <row r="1717" spans="1:4" x14ac:dyDescent="0.2">
      <c r="A1717">
        <v>3693081</v>
      </c>
      <c r="B1717">
        <v>30069</v>
      </c>
      <c r="C1717">
        <v>302446</v>
      </c>
      <c r="D1717">
        <v>21883</v>
      </c>
    </row>
    <row r="1718" spans="1:4" x14ac:dyDescent="0.2">
      <c r="A1718">
        <v>3693082</v>
      </c>
      <c r="B1718">
        <v>30065</v>
      </c>
      <c r="C1718">
        <v>302370</v>
      </c>
      <c r="D1718">
        <v>21883</v>
      </c>
    </row>
    <row r="1719" spans="1:4" x14ac:dyDescent="0.2">
      <c r="A1719">
        <v>3693082</v>
      </c>
      <c r="B1719">
        <v>30066</v>
      </c>
      <c r="C1719">
        <v>302438</v>
      </c>
      <c r="D1719">
        <v>21883</v>
      </c>
    </row>
    <row r="1720" spans="1:4" x14ac:dyDescent="0.2">
      <c r="A1720">
        <v>3693082</v>
      </c>
      <c r="B1720">
        <v>30069</v>
      </c>
      <c r="C1720">
        <v>302446</v>
      </c>
      <c r="D1720">
        <v>21883</v>
      </c>
    </row>
    <row r="1721" spans="1:4" x14ac:dyDescent="0.2">
      <c r="A1721">
        <v>3693083</v>
      </c>
      <c r="B1721">
        <v>30063</v>
      </c>
      <c r="C1721">
        <v>302358</v>
      </c>
      <c r="D1721">
        <v>21883</v>
      </c>
    </row>
    <row r="1722" spans="1:4" x14ac:dyDescent="0.2">
      <c r="A1722">
        <v>3693083</v>
      </c>
      <c r="B1722">
        <v>30064</v>
      </c>
      <c r="C1722">
        <v>302407</v>
      </c>
      <c r="D1722">
        <v>21883</v>
      </c>
    </row>
    <row r="1723" spans="1:4" x14ac:dyDescent="0.2">
      <c r="A1723">
        <v>3693083</v>
      </c>
      <c r="B1723">
        <v>30065</v>
      </c>
      <c r="C1723">
        <v>302370</v>
      </c>
      <c r="D1723">
        <v>21883</v>
      </c>
    </row>
    <row r="1724" spans="1:4" x14ac:dyDescent="0.2">
      <c r="A1724">
        <v>3693083</v>
      </c>
      <c r="B1724">
        <v>30066</v>
      </c>
      <c r="C1724">
        <v>302438</v>
      </c>
      <c r="D1724">
        <v>21883</v>
      </c>
    </row>
    <row r="1725" spans="1:4" x14ac:dyDescent="0.2">
      <c r="A1725">
        <v>3693083</v>
      </c>
      <c r="B1725">
        <v>30069</v>
      </c>
      <c r="C1725">
        <v>302446</v>
      </c>
      <c r="D1725">
        <v>21883</v>
      </c>
    </row>
    <row r="1726" spans="1:4" x14ac:dyDescent="0.2">
      <c r="A1726">
        <v>3693084</v>
      </c>
      <c r="B1726">
        <v>30063</v>
      </c>
      <c r="C1726">
        <v>302358</v>
      </c>
      <c r="D1726">
        <v>21883</v>
      </c>
    </row>
    <row r="1727" spans="1:4" x14ac:dyDescent="0.2">
      <c r="A1727">
        <v>3693084</v>
      </c>
      <c r="B1727">
        <v>30064</v>
      </c>
      <c r="C1727">
        <v>302407</v>
      </c>
      <c r="D1727">
        <v>21883</v>
      </c>
    </row>
    <row r="1728" spans="1:4" x14ac:dyDescent="0.2">
      <c r="A1728">
        <v>3693084</v>
      </c>
      <c r="B1728">
        <v>30065</v>
      </c>
      <c r="C1728">
        <v>302370</v>
      </c>
      <c r="D1728">
        <v>21883</v>
      </c>
    </row>
    <row r="1729" spans="1:4" x14ac:dyDescent="0.2">
      <c r="A1729">
        <v>3693084</v>
      </c>
      <c r="B1729">
        <v>30066</v>
      </c>
      <c r="C1729">
        <v>302438</v>
      </c>
      <c r="D1729">
        <v>21883</v>
      </c>
    </row>
    <row r="1730" spans="1:4" x14ac:dyDescent="0.2">
      <c r="A1730">
        <v>3693084</v>
      </c>
      <c r="B1730">
        <v>30069</v>
      </c>
      <c r="C1730">
        <v>302446</v>
      </c>
      <c r="D1730">
        <v>21883</v>
      </c>
    </row>
    <row r="1731" spans="1:4" x14ac:dyDescent="0.2">
      <c r="A1731">
        <v>3693085</v>
      </c>
      <c r="B1731">
        <v>30063</v>
      </c>
      <c r="C1731">
        <v>302358</v>
      </c>
      <c r="D1731">
        <v>21883</v>
      </c>
    </row>
    <row r="1732" spans="1:4" x14ac:dyDescent="0.2">
      <c r="A1732">
        <v>3693085</v>
      </c>
      <c r="B1732">
        <v>30064</v>
      </c>
      <c r="C1732">
        <v>302407</v>
      </c>
      <c r="D1732">
        <v>21883</v>
      </c>
    </row>
    <row r="1733" spans="1:4" x14ac:dyDescent="0.2">
      <c r="A1733">
        <v>3693085</v>
      </c>
      <c r="B1733">
        <v>30065</v>
      </c>
      <c r="C1733">
        <v>302370</v>
      </c>
      <c r="D1733">
        <v>21883</v>
      </c>
    </row>
    <row r="1734" spans="1:4" x14ac:dyDescent="0.2">
      <c r="A1734">
        <v>3693085</v>
      </c>
      <c r="B1734">
        <v>30066</v>
      </c>
      <c r="C1734">
        <v>302438</v>
      </c>
      <c r="D1734">
        <v>21883</v>
      </c>
    </row>
    <row r="1735" spans="1:4" x14ac:dyDescent="0.2">
      <c r="A1735">
        <v>3693085</v>
      </c>
      <c r="B1735">
        <v>30069</v>
      </c>
      <c r="C1735">
        <v>302446</v>
      </c>
      <c r="D1735">
        <v>21883</v>
      </c>
    </row>
    <row r="1736" spans="1:4" x14ac:dyDescent="0.2">
      <c r="A1736">
        <v>3693086</v>
      </c>
      <c r="B1736">
        <v>30063</v>
      </c>
      <c r="C1736">
        <v>302358</v>
      </c>
      <c r="D1736">
        <v>21883</v>
      </c>
    </row>
    <row r="1737" spans="1:4" x14ac:dyDescent="0.2">
      <c r="A1737">
        <v>3693086</v>
      </c>
      <c r="B1737">
        <v>30064</v>
      </c>
      <c r="C1737">
        <v>302407</v>
      </c>
      <c r="D1737">
        <v>21883</v>
      </c>
    </row>
    <row r="1738" spans="1:4" x14ac:dyDescent="0.2">
      <c r="A1738">
        <v>3693086</v>
      </c>
      <c r="B1738">
        <v>30065</v>
      </c>
      <c r="C1738">
        <v>302370</v>
      </c>
      <c r="D1738">
        <v>21883</v>
      </c>
    </row>
    <row r="1739" spans="1:4" x14ac:dyDescent="0.2">
      <c r="A1739">
        <v>3693086</v>
      </c>
      <c r="B1739">
        <v>30066</v>
      </c>
      <c r="C1739">
        <v>302438</v>
      </c>
      <c r="D1739">
        <v>21883</v>
      </c>
    </row>
    <row r="1740" spans="1:4" x14ac:dyDescent="0.2">
      <c r="A1740">
        <v>3693086</v>
      </c>
      <c r="B1740">
        <v>30069</v>
      </c>
      <c r="C1740">
        <v>302446</v>
      </c>
      <c r="D1740">
        <v>21883</v>
      </c>
    </row>
    <row r="1741" spans="1:4" x14ac:dyDescent="0.2">
      <c r="A1741">
        <v>3693087</v>
      </c>
      <c r="B1741">
        <v>30063</v>
      </c>
      <c r="C1741">
        <v>302358</v>
      </c>
      <c r="D1741">
        <v>21883</v>
      </c>
    </row>
    <row r="1742" spans="1:4" x14ac:dyDescent="0.2">
      <c r="A1742">
        <v>3693087</v>
      </c>
      <c r="B1742">
        <v>30064</v>
      </c>
      <c r="C1742">
        <v>302407</v>
      </c>
      <c r="D1742">
        <v>21883</v>
      </c>
    </row>
    <row r="1743" spans="1:4" x14ac:dyDescent="0.2">
      <c r="A1743">
        <v>3693087</v>
      </c>
      <c r="B1743">
        <v>30065</v>
      </c>
      <c r="C1743">
        <v>302370</v>
      </c>
      <c r="D1743">
        <v>21883</v>
      </c>
    </row>
    <row r="1744" spans="1:4" x14ac:dyDescent="0.2">
      <c r="A1744">
        <v>3693087</v>
      </c>
      <c r="B1744">
        <v>30066</v>
      </c>
      <c r="C1744">
        <v>302438</v>
      </c>
      <c r="D1744">
        <v>21883</v>
      </c>
    </row>
    <row r="1745" spans="1:4" x14ac:dyDescent="0.2">
      <c r="A1745">
        <v>3693087</v>
      </c>
      <c r="B1745">
        <v>30069</v>
      </c>
      <c r="C1745">
        <v>302446</v>
      </c>
      <c r="D1745">
        <v>21883</v>
      </c>
    </row>
    <row r="1746" spans="1:4" x14ac:dyDescent="0.2">
      <c r="A1746">
        <v>3693088</v>
      </c>
      <c r="B1746">
        <v>30063</v>
      </c>
      <c r="C1746">
        <v>302358</v>
      </c>
      <c r="D1746">
        <v>21883</v>
      </c>
    </row>
    <row r="1747" spans="1:4" x14ac:dyDescent="0.2">
      <c r="A1747">
        <v>3693088</v>
      </c>
      <c r="B1747">
        <v>30064</v>
      </c>
      <c r="C1747">
        <v>302407</v>
      </c>
      <c r="D1747">
        <v>21883</v>
      </c>
    </row>
    <row r="1748" spans="1:4" x14ac:dyDescent="0.2">
      <c r="A1748">
        <v>3693088</v>
      </c>
      <c r="B1748">
        <v>30065</v>
      </c>
      <c r="C1748">
        <v>302370</v>
      </c>
      <c r="D1748">
        <v>21883</v>
      </c>
    </row>
    <row r="1749" spans="1:4" x14ac:dyDescent="0.2">
      <c r="A1749">
        <v>3693088</v>
      </c>
      <c r="B1749">
        <v>30066</v>
      </c>
      <c r="C1749">
        <v>302438</v>
      </c>
      <c r="D1749">
        <v>21883</v>
      </c>
    </row>
    <row r="1750" spans="1:4" x14ac:dyDescent="0.2">
      <c r="A1750">
        <v>3693088</v>
      </c>
      <c r="B1750">
        <v>30069</v>
      </c>
      <c r="C1750">
        <v>302446</v>
      </c>
      <c r="D1750">
        <v>21883</v>
      </c>
    </row>
    <row r="1751" spans="1:4" x14ac:dyDescent="0.2">
      <c r="A1751">
        <v>3693089</v>
      </c>
      <c r="B1751">
        <v>30063</v>
      </c>
      <c r="C1751">
        <v>302358</v>
      </c>
      <c r="D1751">
        <v>21883</v>
      </c>
    </row>
    <row r="1752" spans="1:4" x14ac:dyDescent="0.2">
      <c r="A1752">
        <v>3693089</v>
      </c>
      <c r="B1752">
        <v>30064</v>
      </c>
      <c r="C1752">
        <v>302407</v>
      </c>
      <c r="D1752">
        <v>21883</v>
      </c>
    </row>
    <row r="1753" spans="1:4" x14ac:dyDescent="0.2">
      <c r="A1753">
        <v>3693089</v>
      </c>
      <c r="B1753">
        <v>30065</v>
      </c>
      <c r="C1753">
        <v>302370</v>
      </c>
      <c r="D1753">
        <v>21883</v>
      </c>
    </row>
    <row r="1754" spans="1:4" x14ac:dyDescent="0.2">
      <c r="A1754">
        <v>3693089</v>
      </c>
      <c r="B1754">
        <v>30066</v>
      </c>
      <c r="C1754">
        <v>302438</v>
      </c>
      <c r="D1754">
        <v>21883</v>
      </c>
    </row>
    <row r="1755" spans="1:4" x14ac:dyDescent="0.2">
      <c r="A1755">
        <v>3693089</v>
      </c>
      <c r="B1755">
        <v>30069</v>
      </c>
      <c r="C1755">
        <v>302446</v>
      </c>
      <c r="D1755">
        <v>21883</v>
      </c>
    </row>
    <row r="1756" spans="1:4" x14ac:dyDescent="0.2">
      <c r="A1756">
        <v>3693090</v>
      </c>
      <c r="B1756">
        <v>30063</v>
      </c>
      <c r="C1756">
        <v>302358</v>
      </c>
      <c r="D1756">
        <v>21883</v>
      </c>
    </row>
    <row r="1757" spans="1:4" x14ac:dyDescent="0.2">
      <c r="A1757">
        <v>3693090</v>
      </c>
      <c r="B1757">
        <v>30064</v>
      </c>
      <c r="C1757">
        <v>302407</v>
      </c>
      <c r="D1757">
        <v>21883</v>
      </c>
    </row>
    <row r="1758" spans="1:4" x14ac:dyDescent="0.2">
      <c r="A1758">
        <v>3693090</v>
      </c>
      <c r="B1758">
        <v>30065</v>
      </c>
      <c r="C1758">
        <v>302370</v>
      </c>
      <c r="D1758">
        <v>21883</v>
      </c>
    </row>
    <row r="1759" spans="1:4" x14ac:dyDescent="0.2">
      <c r="A1759">
        <v>3693090</v>
      </c>
      <c r="B1759">
        <v>30066</v>
      </c>
      <c r="C1759">
        <v>302438</v>
      </c>
      <c r="D1759">
        <v>21883</v>
      </c>
    </row>
    <row r="1760" spans="1:4" x14ac:dyDescent="0.2">
      <c r="A1760">
        <v>3693090</v>
      </c>
      <c r="B1760">
        <v>30069</v>
      </c>
      <c r="C1760">
        <v>302446</v>
      </c>
      <c r="D1760">
        <v>21883</v>
      </c>
    </row>
    <row r="1761" spans="1:4" x14ac:dyDescent="0.2">
      <c r="A1761">
        <v>3693091</v>
      </c>
      <c r="B1761">
        <v>30063</v>
      </c>
      <c r="C1761">
        <v>302358</v>
      </c>
      <c r="D1761">
        <v>21883</v>
      </c>
    </row>
    <row r="1762" spans="1:4" x14ac:dyDescent="0.2">
      <c r="A1762">
        <v>3693091</v>
      </c>
      <c r="B1762">
        <v>30064</v>
      </c>
      <c r="C1762">
        <v>302407</v>
      </c>
      <c r="D1762">
        <v>21883</v>
      </c>
    </row>
    <row r="1763" spans="1:4" x14ac:dyDescent="0.2">
      <c r="A1763">
        <v>3693091</v>
      </c>
      <c r="B1763">
        <v>30065</v>
      </c>
      <c r="C1763">
        <v>302370</v>
      </c>
      <c r="D1763">
        <v>21883</v>
      </c>
    </row>
    <row r="1764" spans="1:4" x14ac:dyDescent="0.2">
      <c r="A1764">
        <v>3693091</v>
      </c>
      <c r="B1764">
        <v>30066</v>
      </c>
      <c r="C1764">
        <v>302438</v>
      </c>
      <c r="D1764">
        <v>21883</v>
      </c>
    </row>
    <row r="1765" spans="1:4" x14ac:dyDescent="0.2">
      <c r="A1765">
        <v>3693091</v>
      </c>
      <c r="B1765">
        <v>30069</v>
      </c>
      <c r="C1765">
        <v>302446</v>
      </c>
      <c r="D1765">
        <v>21883</v>
      </c>
    </row>
    <row r="1766" spans="1:4" x14ac:dyDescent="0.2">
      <c r="A1766">
        <v>3693092</v>
      </c>
      <c r="B1766">
        <v>30063</v>
      </c>
      <c r="C1766">
        <v>302358</v>
      </c>
      <c r="D1766">
        <v>21883</v>
      </c>
    </row>
    <row r="1767" spans="1:4" x14ac:dyDescent="0.2">
      <c r="A1767">
        <v>3693092</v>
      </c>
      <c r="B1767">
        <v>30064</v>
      </c>
      <c r="C1767">
        <v>302407</v>
      </c>
      <c r="D1767">
        <v>21883</v>
      </c>
    </row>
    <row r="1768" spans="1:4" x14ac:dyDescent="0.2">
      <c r="A1768">
        <v>3693092</v>
      </c>
      <c r="B1768">
        <v>30065</v>
      </c>
      <c r="C1768">
        <v>302370</v>
      </c>
      <c r="D1768">
        <v>21883</v>
      </c>
    </row>
    <row r="1769" spans="1:4" x14ac:dyDescent="0.2">
      <c r="A1769">
        <v>3693092</v>
      </c>
      <c r="B1769">
        <v>30066</v>
      </c>
      <c r="C1769">
        <v>302438</v>
      </c>
      <c r="D1769">
        <v>21883</v>
      </c>
    </row>
    <row r="1770" spans="1:4" x14ac:dyDescent="0.2">
      <c r="A1770">
        <v>3693092</v>
      </c>
      <c r="B1770">
        <v>30069</v>
      </c>
      <c r="C1770">
        <v>302446</v>
      </c>
      <c r="D1770">
        <v>21883</v>
      </c>
    </row>
    <row r="1771" spans="1:4" x14ac:dyDescent="0.2">
      <c r="A1771">
        <v>3693093</v>
      </c>
      <c r="B1771">
        <v>30063</v>
      </c>
      <c r="C1771">
        <v>302358</v>
      </c>
      <c r="D1771">
        <v>21883</v>
      </c>
    </row>
    <row r="1772" spans="1:4" x14ac:dyDescent="0.2">
      <c r="A1772">
        <v>3693093</v>
      </c>
      <c r="B1772">
        <v>30064</v>
      </c>
      <c r="C1772">
        <v>302395</v>
      </c>
      <c r="D1772">
        <v>21883</v>
      </c>
    </row>
    <row r="1773" spans="1:4" x14ac:dyDescent="0.2">
      <c r="A1773">
        <v>3693093</v>
      </c>
      <c r="B1773">
        <v>30065</v>
      </c>
      <c r="C1773">
        <v>302370</v>
      </c>
      <c r="D1773">
        <v>21883</v>
      </c>
    </row>
    <row r="1774" spans="1:4" x14ac:dyDescent="0.2">
      <c r="A1774">
        <v>3693093</v>
      </c>
      <c r="B1774">
        <v>30066</v>
      </c>
      <c r="C1774">
        <v>302438</v>
      </c>
      <c r="D1774">
        <v>21883</v>
      </c>
    </row>
    <row r="1775" spans="1:4" x14ac:dyDescent="0.2">
      <c r="A1775">
        <v>3693093</v>
      </c>
      <c r="B1775">
        <v>30069</v>
      </c>
      <c r="C1775">
        <v>302446</v>
      </c>
      <c r="D1775">
        <v>21883</v>
      </c>
    </row>
    <row r="1776" spans="1:4" x14ac:dyDescent="0.2">
      <c r="A1776">
        <v>3693094</v>
      </c>
      <c r="B1776">
        <v>30063</v>
      </c>
      <c r="C1776">
        <v>302358</v>
      </c>
      <c r="D1776">
        <v>21883</v>
      </c>
    </row>
    <row r="1777" spans="1:4" x14ac:dyDescent="0.2">
      <c r="A1777">
        <v>3693094</v>
      </c>
      <c r="B1777">
        <v>30064</v>
      </c>
      <c r="C1777">
        <v>302407</v>
      </c>
      <c r="D1777">
        <v>21883</v>
      </c>
    </row>
    <row r="1778" spans="1:4" x14ac:dyDescent="0.2">
      <c r="A1778">
        <v>3693094</v>
      </c>
      <c r="B1778">
        <v>30065</v>
      </c>
      <c r="C1778">
        <v>302370</v>
      </c>
      <c r="D1778">
        <v>21883</v>
      </c>
    </row>
    <row r="1779" spans="1:4" x14ac:dyDescent="0.2">
      <c r="A1779">
        <v>3693094</v>
      </c>
      <c r="B1779">
        <v>30066</v>
      </c>
      <c r="C1779">
        <v>302438</v>
      </c>
      <c r="D1779">
        <v>21883</v>
      </c>
    </row>
    <row r="1780" spans="1:4" x14ac:dyDescent="0.2">
      <c r="A1780">
        <v>3693094</v>
      </c>
      <c r="B1780">
        <v>30069</v>
      </c>
      <c r="C1780">
        <v>302446</v>
      </c>
      <c r="D1780">
        <v>21883</v>
      </c>
    </row>
    <row r="1781" spans="1:4" x14ac:dyDescent="0.2">
      <c r="A1781">
        <v>3693095</v>
      </c>
      <c r="B1781">
        <v>30063</v>
      </c>
      <c r="C1781">
        <v>302358</v>
      </c>
      <c r="D1781">
        <v>21883</v>
      </c>
    </row>
    <row r="1782" spans="1:4" x14ac:dyDescent="0.2">
      <c r="A1782">
        <v>3693095</v>
      </c>
      <c r="B1782">
        <v>30064</v>
      </c>
      <c r="C1782">
        <v>302407</v>
      </c>
      <c r="D1782">
        <v>21883</v>
      </c>
    </row>
    <row r="1783" spans="1:4" x14ac:dyDescent="0.2">
      <c r="A1783">
        <v>3693095</v>
      </c>
      <c r="B1783">
        <v>30065</v>
      </c>
      <c r="C1783">
        <v>302370</v>
      </c>
      <c r="D1783">
        <v>21883</v>
      </c>
    </row>
    <row r="1784" spans="1:4" x14ac:dyDescent="0.2">
      <c r="A1784">
        <v>3693095</v>
      </c>
      <c r="B1784">
        <v>30066</v>
      </c>
      <c r="C1784">
        <v>302438</v>
      </c>
      <c r="D1784">
        <v>21883</v>
      </c>
    </row>
    <row r="1785" spans="1:4" x14ac:dyDescent="0.2">
      <c r="A1785">
        <v>3693095</v>
      </c>
      <c r="B1785">
        <v>30069</v>
      </c>
      <c r="C1785">
        <v>302446</v>
      </c>
      <c r="D1785">
        <v>21883</v>
      </c>
    </row>
    <row r="1786" spans="1:4" x14ac:dyDescent="0.2">
      <c r="A1786">
        <v>3693096</v>
      </c>
      <c r="B1786">
        <v>30063</v>
      </c>
      <c r="C1786">
        <v>302358</v>
      </c>
      <c r="D1786">
        <v>21883</v>
      </c>
    </row>
    <row r="1787" spans="1:4" x14ac:dyDescent="0.2">
      <c r="A1787">
        <v>3693096</v>
      </c>
      <c r="B1787">
        <v>30064</v>
      </c>
      <c r="C1787">
        <v>302407</v>
      </c>
      <c r="D1787">
        <v>21883</v>
      </c>
    </row>
    <row r="1788" spans="1:4" x14ac:dyDescent="0.2">
      <c r="A1788">
        <v>3693096</v>
      </c>
      <c r="B1788">
        <v>30065</v>
      </c>
      <c r="C1788">
        <v>302370</v>
      </c>
      <c r="D1788">
        <v>21883</v>
      </c>
    </row>
    <row r="1789" spans="1:4" x14ac:dyDescent="0.2">
      <c r="A1789">
        <v>3693096</v>
      </c>
      <c r="B1789">
        <v>30066</v>
      </c>
      <c r="C1789">
        <v>302438</v>
      </c>
      <c r="D1789">
        <v>21883</v>
      </c>
    </row>
    <row r="1790" spans="1:4" x14ac:dyDescent="0.2">
      <c r="A1790">
        <v>3693096</v>
      </c>
      <c r="B1790">
        <v>30069</v>
      </c>
      <c r="C1790">
        <v>302446</v>
      </c>
      <c r="D1790">
        <v>21883</v>
      </c>
    </row>
    <row r="1791" spans="1:4" x14ac:dyDescent="0.2">
      <c r="A1791">
        <v>3693097</v>
      </c>
      <c r="B1791">
        <v>30063</v>
      </c>
      <c r="C1791">
        <v>302358</v>
      </c>
      <c r="D1791">
        <v>21883</v>
      </c>
    </row>
    <row r="1792" spans="1:4" x14ac:dyDescent="0.2">
      <c r="A1792">
        <v>3693097</v>
      </c>
      <c r="B1792">
        <v>30064</v>
      </c>
      <c r="C1792">
        <v>302407</v>
      </c>
      <c r="D1792">
        <v>21883</v>
      </c>
    </row>
    <row r="1793" spans="1:4" x14ac:dyDescent="0.2">
      <c r="A1793">
        <v>3693097</v>
      </c>
      <c r="B1793">
        <v>30065</v>
      </c>
      <c r="C1793">
        <v>302370</v>
      </c>
      <c r="D1793">
        <v>21883</v>
      </c>
    </row>
    <row r="1794" spans="1:4" x14ac:dyDescent="0.2">
      <c r="A1794">
        <v>3693097</v>
      </c>
      <c r="B1794">
        <v>30066</v>
      </c>
      <c r="C1794">
        <v>302438</v>
      </c>
      <c r="D1794">
        <v>21883</v>
      </c>
    </row>
    <row r="1795" spans="1:4" x14ac:dyDescent="0.2">
      <c r="A1795">
        <v>3693097</v>
      </c>
      <c r="B1795">
        <v>30069</v>
      </c>
      <c r="C1795">
        <v>302446</v>
      </c>
      <c r="D1795">
        <v>21883</v>
      </c>
    </row>
    <row r="1796" spans="1:4" x14ac:dyDescent="0.2">
      <c r="A1796">
        <v>3693098</v>
      </c>
      <c r="B1796">
        <v>30063</v>
      </c>
      <c r="C1796">
        <v>302358</v>
      </c>
      <c r="D1796">
        <v>21883</v>
      </c>
    </row>
    <row r="1797" spans="1:4" x14ac:dyDescent="0.2">
      <c r="A1797">
        <v>3693098</v>
      </c>
      <c r="B1797">
        <v>30064</v>
      </c>
      <c r="C1797">
        <v>302407</v>
      </c>
      <c r="D1797">
        <v>21883</v>
      </c>
    </row>
    <row r="1798" spans="1:4" x14ac:dyDescent="0.2">
      <c r="A1798">
        <v>3693098</v>
      </c>
      <c r="B1798">
        <v>30065</v>
      </c>
      <c r="C1798">
        <v>302370</v>
      </c>
      <c r="D1798">
        <v>21883</v>
      </c>
    </row>
    <row r="1799" spans="1:4" x14ac:dyDescent="0.2">
      <c r="A1799">
        <v>3693098</v>
      </c>
      <c r="B1799">
        <v>30066</v>
      </c>
      <c r="C1799">
        <v>302438</v>
      </c>
      <c r="D1799">
        <v>21883</v>
      </c>
    </row>
    <row r="1800" spans="1:4" x14ac:dyDescent="0.2">
      <c r="A1800">
        <v>3693098</v>
      </c>
      <c r="B1800">
        <v>30069</v>
      </c>
      <c r="C1800">
        <v>302446</v>
      </c>
      <c r="D1800">
        <v>21883</v>
      </c>
    </row>
    <row r="1801" spans="1:4" x14ac:dyDescent="0.2">
      <c r="A1801">
        <v>3693099</v>
      </c>
      <c r="B1801">
        <v>30063</v>
      </c>
      <c r="C1801">
        <v>302358</v>
      </c>
      <c r="D1801">
        <v>21883</v>
      </c>
    </row>
    <row r="1802" spans="1:4" x14ac:dyDescent="0.2">
      <c r="A1802">
        <v>3693099</v>
      </c>
      <c r="B1802">
        <v>30064</v>
      </c>
      <c r="C1802">
        <v>302407</v>
      </c>
      <c r="D1802">
        <v>21883</v>
      </c>
    </row>
    <row r="1803" spans="1:4" x14ac:dyDescent="0.2">
      <c r="A1803">
        <v>3693099</v>
      </c>
      <c r="B1803">
        <v>30065</v>
      </c>
      <c r="C1803">
        <v>302370</v>
      </c>
      <c r="D1803">
        <v>21883</v>
      </c>
    </row>
    <row r="1804" spans="1:4" x14ac:dyDescent="0.2">
      <c r="A1804">
        <v>3693099</v>
      </c>
      <c r="B1804">
        <v>30066</v>
      </c>
      <c r="C1804">
        <v>302438</v>
      </c>
      <c r="D1804">
        <v>21883</v>
      </c>
    </row>
    <row r="1805" spans="1:4" x14ac:dyDescent="0.2">
      <c r="A1805">
        <v>3693099</v>
      </c>
      <c r="B1805">
        <v>30069</v>
      </c>
      <c r="C1805">
        <v>302446</v>
      </c>
      <c r="D1805">
        <v>21883</v>
      </c>
    </row>
    <row r="1806" spans="1:4" x14ac:dyDescent="0.2">
      <c r="A1806">
        <v>3693100</v>
      </c>
      <c r="B1806">
        <v>30063</v>
      </c>
      <c r="C1806">
        <v>302358</v>
      </c>
      <c r="D1806">
        <v>21883</v>
      </c>
    </row>
    <row r="1807" spans="1:4" x14ac:dyDescent="0.2">
      <c r="A1807">
        <v>3693100</v>
      </c>
      <c r="B1807">
        <v>30064</v>
      </c>
      <c r="C1807">
        <v>302407</v>
      </c>
      <c r="D1807">
        <v>21883</v>
      </c>
    </row>
    <row r="1808" spans="1:4" x14ac:dyDescent="0.2">
      <c r="A1808">
        <v>3693100</v>
      </c>
      <c r="B1808">
        <v>30065</v>
      </c>
      <c r="C1808">
        <v>302370</v>
      </c>
      <c r="D1808">
        <v>21883</v>
      </c>
    </row>
    <row r="1809" spans="1:4" x14ac:dyDescent="0.2">
      <c r="A1809">
        <v>3693100</v>
      </c>
      <c r="B1809">
        <v>30066</v>
      </c>
      <c r="C1809">
        <v>302438</v>
      </c>
      <c r="D1809">
        <v>21883</v>
      </c>
    </row>
    <row r="1810" spans="1:4" x14ac:dyDescent="0.2">
      <c r="A1810">
        <v>3693100</v>
      </c>
      <c r="B1810">
        <v>30069</v>
      </c>
      <c r="C1810">
        <v>302446</v>
      </c>
      <c r="D1810">
        <v>21883</v>
      </c>
    </row>
    <row r="1811" spans="1:4" x14ac:dyDescent="0.2">
      <c r="A1811">
        <v>3693101</v>
      </c>
      <c r="B1811">
        <v>30063</v>
      </c>
      <c r="C1811">
        <v>302358</v>
      </c>
      <c r="D1811">
        <v>21883</v>
      </c>
    </row>
    <row r="1812" spans="1:4" x14ac:dyDescent="0.2">
      <c r="A1812">
        <v>3693101</v>
      </c>
      <c r="B1812">
        <v>30064</v>
      </c>
      <c r="C1812">
        <v>302407</v>
      </c>
      <c r="D1812">
        <v>21883</v>
      </c>
    </row>
    <row r="1813" spans="1:4" x14ac:dyDescent="0.2">
      <c r="A1813">
        <v>3693101</v>
      </c>
      <c r="B1813">
        <v>30065</v>
      </c>
      <c r="C1813">
        <v>302370</v>
      </c>
      <c r="D1813">
        <v>21883</v>
      </c>
    </row>
    <row r="1814" spans="1:4" x14ac:dyDescent="0.2">
      <c r="A1814">
        <v>3693101</v>
      </c>
      <c r="B1814">
        <v>30066</v>
      </c>
      <c r="C1814">
        <v>302438</v>
      </c>
      <c r="D1814">
        <v>21883</v>
      </c>
    </row>
    <row r="1815" spans="1:4" x14ac:dyDescent="0.2">
      <c r="A1815">
        <v>3693101</v>
      </c>
      <c r="B1815">
        <v>30069</v>
      </c>
      <c r="C1815">
        <v>302446</v>
      </c>
      <c r="D1815">
        <v>21883</v>
      </c>
    </row>
    <row r="1816" spans="1:4" x14ac:dyDescent="0.2">
      <c r="A1816">
        <v>3693102</v>
      </c>
      <c r="B1816">
        <v>30063</v>
      </c>
      <c r="C1816">
        <v>302358</v>
      </c>
      <c r="D1816">
        <v>21883</v>
      </c>
    </row>
    <row r="1817" spans="1:4" x14ac:dyDescent="0.2">
      <c r="A1817">
        <v>3693102</v>
      </c>
      <c r="B1817">
        <v>30064</v>
      </c>
      <c r="C1817">
        <v>302407</v>
      </c>
      <c r="D1817">
        <v>21883</v>
      </c>
    </row>
    <row r="1818" spans="1:4" x14ac:dyDescent="0.2">
      <c r="A1818">
        <v>3693102</v>
      </c>
      <c r="B1818">
        <v>30065</v>
      </c>
      <c r="C1818">
        <v>302370</v>
      </c>
      <c r="D1818">
        <v>21883</v>
      </c>
    </row>
    <row r="1819" spans="1:4" x14ac:dyDescent="0.2">
      <c r="A1819">
        <v>3693102</v>
      </c>
      <c r="B1819">
        <v>30066</v>
      </c>
      <c r="C1819">
        <v>302438</v>
      </c>
      <c r="D1819">
        <v>21883</v>
      </c>
    </row>
    <row r="1820" spans="1:4" x14ac:dyDescent="0.2">
      <c r="A1820">
        <v>3693102</v>
      </c>
      <c r="B1820">
        <v>30069</v>
      </c>
      <c r="C1820">
        <v>302446</v>
      </c>
      <c r="D1820">
        <v>21883</v>
      </c>
    </row>
    <row r="1821" spans="1:4" x14ac:dyDescent="0.2">
      <c r="A1821">
        <v>3693103</v>
      </c>
      <c r="B1821">
        <v>30063</v>
      </c>
      <c r="C1821">
        <v>302358</v>
      </c>
      <c r="D1821">
        <v>21883</v>
      </c>
    </row>
    <row r="1822" spans="1:4" x14ac:dyDescent="0.2">
      <c r="A1822">
        <v>3693103</v>
      </c>
      <c r="B1822">
        <v>30064</v>
      </c>
      <c r="C1822">
        <v>302407</v>
      </c>
      <c r="D1822">
        <v>21883</v>
      </c>
    </row>
    <row r="1823" spans="1:4" x14ac:dyDescent="0.2">
      <c r="A1823">
        <v>3693103</v>
      </c>
      <c r="B1823">
        <v>30065</v>
      </c>
      <c r="C1823">
        <v>302370</v>
      </c>
      <c r="D1823">
        <v>21883</v>
      </c>
    </row>
    <row r="1824" spans="1:4" x14ac:dyDescent="0.2">
      <c r="A1824">
        <v>3693103</v>
      </c>
      <c r="B1824">
        <v>30066</v>
      </c>
      <c r="C1824">
        <v>302438</v>
      </c>
      <c r="D1824">
        <v>21883</v>
      </c>
    </row>
    <row r="1825" spans="1:4" x14ac:dyDescent="0.2">
      <c r="A1825">
        <v>3693103</v>
      </c>
      <c r="B1825">
        <v>30069</v>
      </c>
      <c r="C1825">
        <v>302446</v>
      </c>
      <c r="D1825">
        <v>21883</v>
      </c>
    </row>
    <row r="1826" spans="1:4" x14ac:dyDescent="0.2">
      <c r="A1826">
        <v>3693104</v>
      </c>
      <c r="B1826">
        <v>30063</v>
      </c>
      <c r="C1826">
        <v>302358</v>
      </c>
      <c r="D1826">
        <v>21883</v>
      </c>
    </row>
    <row r="1827" spans="1:4" x14ac:dyDescent="0.2">
      <c r="A1827">
        <v>3693104</v>
      </c>
      <c r="B1827">
        <v>30064</v>
      </c>
      <c r="C1827">
        <v>302407</v>
      </c>
      <c r="D1827">
        <v>21883</v>
      </c>
    </row>
    <row r="1828" spans="1:4" x14ac:dyDescent="0.2">
      <c r="A1828">
        <v>3693104</v>
      </c>
      <c r="B1828">
        <v>30065</v>
      </c>
      <c r="C1828">
        <v>302370</v>
      </c>
      <c r="D1828">
        <v>21883</v>
      </c>
    </row>
    <row r="1829" spans="1:4" x14ac:dyDescent="0.2">
      <c r="A1829">
        <v>3693104</v>
      </c>
      <c r="B1829">
        <v>30066</v>
      </c>
      <c r="C1829">
        <v>302438</v>
      </c>
      <c r="D1829">
        <v>21883</v>
      </c>
    </row>
    <row r="1830" spans="1:4" x14ac:dyDescent="0.2">
      <c r="A1830">
        <v>3693104</v>
      </c>
      <c r="B1830">
        <v>30069</v>
      </c>
      <c r="C1830">
        <v>302446</v>
      </c>
      <c r="D1830">
        <v>21883</v>
      </c>
    </row>
    <row r="1831" spans="1:4" x14ac:dyDescent="0.2">
      <c r="A1831">
        <v>3693105</v>
      </c>
      <c r="B1831">
        <v>30063</v>
      </c>
      <c r="C1831">
        <v>302358</v>
      </c>
      <c r="D1831">
        <v>21883</v>
      </c>
    </row>
    <row r="1832" spans="1:4" x14ac:dyDescent="0.2">
      <c r="A1832">
        <v>3693105</v>
      </c>
      <c r="B1832">
        <v>30064</v>
      </c>
      <c r="C1832">
        <v>302407</v>
      </c>
      <c r="D1832">
        <v>21883</v>
      </c>
    </row>
    <row r="1833" spans="1:4" x14ac:dyDescent="0.2">
      <c r="A1833">
        <v>3693105</v>
      </c>
      <c r="B1833">
        <v>30065</v>
      </c>
      <c r="C1833">
        <v>302370</v>
      </c>
      <c r="D1833">
        <v>21883</v>
      </c>
    </row>
    <row r="1834" spans="1:4" x14ac:dyDescent="0.2">
      <c r="A1834">
        <v>3693105</v>
      </c>
      <c r="B1834">
        <v>30066</v>
      </c>
      <c r="C1834">
        <v>302438</v>
      </c>
      <c r="D1834">
        <v>21883</v>
      </c>
    </row>
    <row r="1835" spans="1:4" x14ac:dyDescent="0.2">
      <c r="A1835">
        <v>3693105</v>
      </c>
      <c r="B1835">
        <v>30069</v>
      </c>
      <c r="C1835">
        <v>302446</v>
      </c>
      <c r="D1835">
        <v>21883</v>
      </c>
    </row>
    <row r="1836" spans="1:4" x14ac:dyDescent="0.2">
      <c r="A1836">
        <v>3693106</v>
      </c>
      <c r="B1836">
        <v>30063</v>
      </c>
      <c r="C1836">
        <v>302358</v>
      </c>
      <c r="D1836">
        <v>21883</v>
      </c>
    </row>
    <row r="1837" spans="1:4" x14ac:dyDescent="0.2">
      <c r="A1837">
        <v>3693106</v>
      </c>
      <c r="B1837">
        <v>30064</v>
      </c>
      <c r="C1837">
        <v>302407</v>
      </c>
      <c r="D1837">
        <v>21883</v>
      </c>
    </row>
    <row r="1838" spans="1:4" x14ac:dyDescent="0.2">
      <c r="A1838">
        <v>3693106</v>
      </c>
      <c r="B1838">
        <v>30065</v>
      </c>
      <c r="C1838">
        <v>302370</v>
      </c>
      <c r="D1838">
        <v>21883</v>
      </c>
    </row>
    <row r="1839" spans="1:4" x14ac:dyDescent="0.2">
      <c r="A1839">
        <v>3693106</v>
      </c>
      <c r="B1839">
        <v>30066</v>
      </c>
      <c r="C1839">
        <v>302438</v>
      </c>
      <c r="D1839">
        <v>21883</v>
      </c>
    </row>
    <row r="1840" spans="1:4" x14ac:dyDescent="0.2">
      <c r="A1840">
        <v>3693106</v>
      </c>
      <c r="B1840">
        <v>30069</v>
      </c>
      <c r="C1840">
        <v>302446</v>
      </c>
      <c r="D1840">
        <v>21883</v>
      </c>
    </row>
    <row r="1841" spans="1:4" x14ac:dyDescent="0.2">
      <c r="A1841">
        <v>3693107</v>
      </c>
      <c r="B1841">
        <v>30063</v>
      </c>
      <c r="C1841">
        <v>302358</v>
      </c>
      <c r="D1841">
        <v>21883</v>
      </c>
    </row>
    <row r="1842" spans="1:4" x14ac:dyDescent="0.2">
      <c r="A1842">
        <v>3693107</v>
      </c>
      <c r="B1842">
        <v>30064</v>
      </c>
      <c r="C1842">
        <v>302407</v>
      </c>
      <c r="D1842">
        <v>21883</v>
      </c>
    </row>
    <row r="1843" spans="1:4" x14ac:dyDescent="0.2">
      <c r="A1843">
        <v>3693107</v>
      </c>
      <c r="B1843">
        <v>30065</v>
      </c>
      <c r="C1843">
        <v>302370</v>
      </c>
      <c r="D1843">
        <v>21883</v>
      </c>
    </row>
    <row r="1844" spans="1:4" x14ac:dyDescent="0.2">
      <c r="A1844">
        <v>3693107</v>
      </c>
      <c r="B1844">
        <v>30066</v>
      </c>
      <c r="C1844">
        <v>302438</v>
      </c>
      <c r="D1844">
        <v>21883</v>
      </c>
    </row>
    <row r="1845" spans="1:4" x14ac:dyDescent="0.2">
      <c r="A1845">
        <v>3693107</v>
      </c>
      <c r="B1845">
        <v>30069</v>
      </c>
      <c r="C1845">
        <v>302446</v>
      </c>
      <c r="D1845">
        <v>21883</v>
      </c>
    </row>
    <row r="1846" spans="1:4" x14ac:dyDescent="0.2">
      <c r="A1846">
        <v>3693108</v>
      </c>
      <c r="B1846">
        <v>30063</v>
      </c>
      <c r="C1846">
        <v>302358</v>
      </c>
      <c r="D1846">
        <v>21883</v>
      </c>
    </row>
    <row r="1847" spans="1:4" x14ac:dyDescent="0.2">
      <c r="A1847">
        <v>3693108</v>
      </c>
      <c r="B1847">
        <v>30064</v>
      </c>
      <c r="C1847">
        <v>302407</v>
      </c>
      <c r="D1847">
        <v>21883</v>
      </c>
    </row>
    <row r="1848" spans="1:4" x14ac:dyDescent="0.2">
      <c r="A1848">
        <v>3693108</v>
      </c>
      <c r="B1848">
        <v>30065</v>
      </c>
      <c r="C1848">
        <v>302370</v>
      </c>
      <c r="D1848">
        <v>21883</v>
      </c>
    </row>
    <row r="1849" spans="1:4" x14ac:dyDescent="0.2">
      <c r="A1849">
        <v>3693108</v>
      </c>
      <c r="B1849">
        <v>30066</v>
      </c>
      <c r="C1849">
        <v>302438</v>
      </c>
      <c r="D1849">
        <v>21883</v>
      </c>
    </row>
    <row r="1850" spans="1:4" x14ac:dyDescent="0.2">
      <c r="A1850">
        <v>3693108</v>
      </c>
      <c r="B1850">
        <v>30069</v>
      </c>
      <c r="C1850">
        <v>302446</v>
      </c>
      <c r="D1850">
        <v>21883</v>
      </c>
    </row>
    <row r="1851" spans="1:4" x14ac:dyDescent="0.2">
      <c r="A1851">
        <v>3693109</v>
      </c>
      <c r="B1851">
        <v>30063</v>
      </c>
      <c r="C1851">
        <v>302358</v>
      </c>
      <c r="D1851">
        <v>21883</v>
      </c>
    </row>
    <row r="1852" spans="1:4" x14ac:dyDescent="0.2">
      <c r="A1852">
        <v>3693109</v>
      </c>
      <c r="B1852">
        <v>30064</v>
      </c>
      <c r="C1852">
        <v>302407</v>
      </c>
      <c r="D1852">
        <v>21883</v>
      </c>
    </row>
    <row r="1853" spans="1:4" x14ac:dyDescent="0.2">
      <c r="A1853">
        <v>3693109</v>
      </c>
      <c r="B1853">
        <v>30065</v>
      </c>
      <c r="C1853">
        <v>302370</v>
      </c>
      <c r="D1853">
        <v>21883</v>
      </c>
    </row>
    <row r="1854" spans="1:4" x14ac:dyDescent="0.2">
      <c r="A1854">
        <v>3693109</v>
      </c>
      <c r="B1854">
        <v>30066</v>
      </c>
      <c r="C1854">
        <v>302438</v>
      </c>
      <c r="D1854">
        <v>21883</v>
      </c>
    </row>
    <row r="1855" spans="1:4" x14ac:dyDescent="0.2">
      <c r="A1855">
        <v>3693109</v>
      </c>
      <c r="B1855">
        <v>30069</v>
      </c>
      <c r="C1855">
        <v>302446</v>
      </c>
      <c r="D1855">
        <v>21883</v>
      </c>
    </row>
    <row r="1856" spans="1:4" x14ac:dyDescent="0.2">
      <c r="A1856">
        <v>3693110</v>
      </c>
      <c r="B1856">
        <v>30063</v>
      </c>
      <c r="C1856">
        <v>302358</v>
      </c>
      <c r="D1856">
        <v>21883</v>
      </c>
    </row>
    <row r="1857" spans="1:4" x14ac:dyDescent="0.2">
      <c r="A1857">
        <v>3693110</v>
      </c>
      <c r="B1857">
        <v>30064</v>
      </c>
      <c r="C1857">
        <v>302407</v>
      </c>
      <c r="D1857">
        <v>21883</v>
      </c>
    </row>
    <row r="1858" spans="1:4" x14ac:dyDescent="0.2">
      <c r="A1858">
        <v>3693110</v>
      </c>
      <c r="B1858">
        <v>30065</v>
      </c>
      <c r="C1858">
        <v>302370</v>
      </c>
      <c r="D1858">
        <v>21883</v>
      </c>
    </row>
    <row r="1859" spans="1:4" x14ac:dyDescent="0.2">
      <c r="A1859">
        <v>3693110</v>
      </c>
      <c r="B1859">
        <v>30066</v>
      </c>
      <c r="C1859">
        <v>302438</v>
      </c>
      <c r="D1859">
        <v>21883</v>
      </c>
    </row>
    <row r="1860" spans="1:4" x14ac:dyDescent="0.2">
      <c r="A1860">
        <v>3693110</v>
      </c>
      <c r="B1860">
        <v>30069</v>
      </c>
      <c r="C1860">
        <v>302446</v>
      </c>
      <c r="D1860">
        <v>21883</v>
      </c>
    </row>
    <row r="1861" spans="1:4" x14ac:dyDescent="0.2">
      <c r="A1861">
        <v>3693111</v>
      </c>
      <c r="B1861">
        <v>30063</v>
      </c>
      <c r="C1861">
        <v>302358</v>
      </c>
      <c r="D1861">
        <v>21883</v>
      </c>
    </row>
    <row r="1862" spans="1:4" x14ac:dyDescent="0.2">
      <c r="A1862">
        <v>3693111</v>
      </c>
      <c r="B1862">
        <v>30064</v>
      </c>
      <c r="C1862">
        <v>302407</v>
      </c>
      <c r="D1862">
        <v>21883</v>
      </c>
    </row>
    <row r="1863" spans="1:4" x14ac:dyDescent="0.2">
      <c r="A1863">
        <v>3693111</v>
      </c>
      <c r="B1863">
        <v>30065</v>
      </c>
      <c r="C1863">
        <v>302370</v>
      </c>
      <c r="D1863">
        <v>21883</v>
      </c>
    </row>
    <row r="1864" spans="1:4" x14ac:dyDescent="0.2">
      <c r="A1864">
        <v>3693111</v>
      </c>
      <c r="B1864">
        <v>30066</v>
      </c>
      <c r="C1864">
        <v>302438</v>
      </c>
      <c r="D1864">
        <v>21883</v>
      </c>
    </row>
    <row r="1865" spans="1:4" x14ac:dyDescent="0.2">
      <c r="A1865">
        <v>3693111</v>
      </c>
      <c r="B1865">
        <v>30069</v>
      </c>
      <c r="C1865">
        <v>302446</v>
      </c>
      <c r="D1865">
        <v>21883</v>
      </c>
    </row>
    <row r="1866" spans="1:4" x14ac:dyDescent="0.2">
      <c r="A1866">
        <v>3693112</v>
      </c>
      <c r="B1866">
        <v>30063</v>
      </c>
      <c r="C1866">
        <v>302358</v>
      </c>
      <c r="D1866">
        <v>21883</v>
      </c>
    </row>
    <row r="1867" spans="1:4" x14ac:dyDescent="0.2">
      <c r="A1867">
        <v>3693112</v>
      </c>
      <c r="B1867">
        <v>30064</v>
      </c>
      <c r="C1867">
        <v>302407</v>
      </c>
      <c r="D1867">
        <v>21883</v>
      </c>
    </row>
    <row r="1868" spans="1:4" x14ac:dyDescent="0.2">
      <c r="A1868">
        <v>3693112</v>
      </c>
      <c r="B1868">
        <v>30065</v>
      </c>
      <c r="C1868">
        <v>302370</v>
      </c>
      <c r="D1868">
        <v>21883</v>
      </c>
    </row>
    <row r="1869" spans="1:4" x14ac:dyDescent="0.2">
      <c r="A1869">
        <v>3693112</v>
      </c>
      <c r="B1869">
        <v>30066</v>
      </c>
      <c r="C1869">
        <v>302438</v>
      </c>
      <c r="D1869">
        <v>21883</v>
      </c>
    </row>
    <row r="1870" spans="1:4" x14ac:dyDescent="0.2">
      <c r="A1870">
        <v>3693112</v>
      </c>
      <c r="B1870">
        <v>30069</v>
      </c>
      <c r="C1870">
        <v>302446</v>
      </c>
      <c r="D1870">
        <v>21883</v>
      </c>
    </row>
    <row r="1871" spans="1:4" x14ac:dyDescent="0.2">
      <c r="A1871">
        <v>3693113</v>
      </c>
      <c r="B1871">
        <v>30063</v>
      </c>
      <c r="C1871">
        <v>302358</v>
      </c>
      <c r="D1871">
        <v>21883</v>
      </c>
    </row>
    <row r="1872" spans="1:4" x14ac:dyDescent="0.2">
      <c r="A1872">
        <v>3693113</v>
      </c>
      <c r="B1872">
        <v>30064</v>
      </c>
      <c r="C1872">
        <v>302407</v>
      </c>
      <c r="D1872">
        <v>21883</v>
      </c>
    </row>
    <row r="1873" spans="1:4" x14ac:dyDescent="0.2">
      <c r="A1873">
        <v>3693113</v>
      </c>
      <c r="B1873">
        <v>30065</v>
      </c>
      <c r="C1873">
        <v>302370</v>
      </c>
      <c r="D1873">
        <v>21883</v>
      </c>
    </row>
    <row r="1874" spans="1:4" x14ac:dyDescent="0.2">
      <c r="A1874">
        <v>3693113</v>
      </c>
      <c r="B1874">
        <v>30066</v>
      </c>
      <c r="C1874">
        <v>302438</v>
      </c>
      <c r="D1874">
        <v>21883</v>
      </c>
    </row>
    <row r="1875" spans="1:4" x14ac:dyDescent="0.2">
      <c r="A1875">
        <v>3693113</v>
      </c>
      <c r="B1875">
        <v>30069</v>
      </c>
      <c r="C1875">
        <v>302446</v>
      </c>
      <c r="D1875">
        <v>21883</v>
      </c>
    </row>
    <row r="1876" spans="1:4" x14ac:dyDescent="0.2">
      <c r="A1876">
        <v>3693114</v>
      </c>
      <c r="B1876">
        <v>30063</v>
      </c>
      <c r="C1876">
        <v>302358</v>
      </c>
      <c r="D1876">
        <v>21883</v>
      </c>
    </row>
    <row r="1877" spans="1:4" x14ac:dyDescent="0.2">
      <c r="A1877">
        <v>3693114</v>
      </c>
      <c r="B1877">
        <v>30064</v>
      </c>
      <c r="C1877">
        <v>302407</v>
      </c>
      <c r="D1877">
        <v>21883</v>
      </c>
    </row>
    <row r="1878" spans="1:4" x14ac:dyDescent="0.2">
      <c r="A1878">
        <v>3693114</v>
      </c>
      <c r="B1878">
        <v>30065</v>
      </c>
      <c r="C1878">
        <v>302370</v>
      </c>
      <c r="D1878">
        <v>21883</v>
      </c>
    </row>
    <row r="1879" spans="1:4" x14ac:dyDescent="0.2">
      <c r="A1879">
        <v>3693114</v>
      </c>
      <c r="B1879">
        <v>30066</v>
      </c>
      <c r="C1879">
        <v>302438</v>
      </c>
      <c r="D1879">
        <v>21883</v>
      </c>
    </row>
    <row r="1880" spans="1:4" x14ac:dyDescent="0.2">
      <c r="A1880">
        <v>3693114</v>
      </c>
      <c r="B1880">
        <v>30069</v>
      </c>
      <c r="C1880">
        <v>302446</v>
      </c>
      <c r="D1880">
        <v>21883</v>
      </c>
    </row>
    <row r="1881" spans="1:4" x14ac:dyDescent="0.2">
      <c r="A1881">
        <v>3693115</v>
      </c>
      <c r="B1881">
        <v>30063</v>
      </c>
      <c r="C1881">
        <v>302358</v>
      </c>
      <c r="D1881">
        <v>21883</v>
      </c>
    </row>
    <row r="1882" spans="1:4" x14ac:dyDescent="0.2">
      <c r="A1882">
        <v>3693115</v>
      </c>
      <c r="B1882">
        <v>30064</v>
      </c>
      <c r="C1882">
        <v>302407</v>
      </c>
      <c r="D1882">
        <v>21883</v>
      </c>
    </row>
    <row r="1883" spans="1:4" x14ac:dyDescent="0.2">
      <c r="A1883">
        <v>3693115</v>
      </c>
      <c r="B1883">
        <v>30065</v>
      </c>
      <c r="C1883">
        <v>302370</v>
      </c>
      <c r="D1883">
        <v>21883</v>
      </c>
    </row>
    <row r="1884" spans="1:4" x14ac:dyDescent="0.2">
      <c r="A1884">
        <v>3693115</v>
      </c>
      <c r="B1884">
        <v>30066</v>
      </c>
      <c r="C1884">
        <v>302438</v>
      </c>
      <c r="D1884">
        <v>21883</v>
      </c>
    </row>
    <row r="1885" spans="1:4" x14ac:dyDescent="0.2">
      <c r="A1885">
        <v>3693115</v>
      </c>
      <c r="B1885">
        <v>30069</v>
      </c>
      <c r="C1885">
        <v>302446</v>
      </c>
      <c r="D1885">
        <v>21883</v>
      </c>
    </row>
    <row r="1886" spans="1:4" x14ac:dyDescent="0.2">
      <c r="A1886">
        <v>3693116</v>
      </c>
      <c r="B1886">
        <v>30063</v>
      </c>
      <c r="C1886">
        <v>302358</v>
      </c>
      <c r="D1886">
        <v>21883</v>
      </c>
    </row>
    <row r="1887" spans="1:4" x14ac:dyDescent="0.2">
      <c r="A1887">
        <v>3693116</v>
      </c>
      <c r="B1887">
        <v>30064</v>
      </c>
      <c r="C1887">
        <v>302407</v>
      </c>
      <c r="D1887">
        <v>21883</v>
      </c>
    </row>
    <row r="1888" spans="1:4" x14ac:dyDescent="0.2">
      <c r="A1888">
        <v>3693116</v>
      </c>
      <c r="B1888">
        <v>30065</v>
      </c>
      <c r="C1888">
        <v>302370</v>
      </c>
      <c r="D1888">
        <v>21883</v>
      </c>
    </row>
    <row r="1889" spans="1:4" x14ac:dyDescent="0.2">
      <c r="A1889">
        <v>3693116</v>
      </c>
      <c r="B1889">
        <v>30066</v>
      </c>
      <c r="C1889">
        <v>302438</v>
      </c>
      <c r="D1889">
        <v>21883</v>
      </c>
    </row>
    <row r="1890" spans="1:4" x14ac:dyDescent="0.2">
      <c r="A1890">
        <v>3693116</v>
      </c>
      <c r="B1890">
        <v>30069</v>
      </c>
      <c r="C1890">
        <v>302446</v>
      </c>
      <c r="D1890">
        <v>21883</v>
      </c>
    </row>
    <row r="1891" spans="1:4" x14ac:dyDescent="0.2">
      <c r="A1891">
        <v>3693117</v>
      </c>
      <c r="B1891">
        <v>30063</v>
      </c>
      <c r="C1891">
        <v>302358</v>
      </c>
      <c r="D1891">
        <v>21883</v>
      </c>
    </row>
    <row r="1892" spans="1:4" x14ac:dyDescent="0.2">
      <c r="A1892">
        <v>3693117</v>
      </c>
      <c r="B1892">
        <v>30064</v>
      </c>
      <c r="C1892">
        <v>302407</v>
      </c>
      <c r="D1892">
        <v>21883</v>
      </c>
    </row>
    <row r="1893" spans="1:4" x14ac:dyDescent="0.2">
      <c r="A1893">
        <v>3693117</v>
      </c>
      <c r="B1893">
        <v>30065</v>
      </c>
      <c r="C1893">
        <v>302370</v>
      </c>
      <c r="D1893">
        <v>21883</v>
      </c>
    </row>
    <row r="1894" spans="1:4" x14ac:dyDescent="0.2">
      <c r="A1894">
        <v>3693117</v>
      </c>
      <c r="B1894">
        <v>30066</v>
      </c>
      <c r="C1894">
        <v>302438</v>
      </c>
      <c r="D1894">
        <v>21883</v>
      </c>
    </row>
    <row r="1895" spans="1:4" x14ac:dyDescent="0.2">
      <c r="A1895">
        <v>3693117</v>
      </c>
      <c r="B1895">
        <v>30069</v>
      </c>
      <c r="C1895">
        <v>302446</v>
      </c>
      <c r="D1895">
        <v>21883</v>
      </c>
    </row>
    <row r="1896" spans="1:4" x14ac:dyDescent="0.2">
      <c r="A1896">
        <v>3693118</v>
      </c>
      <c r="B1896">
        <v>30063</v>
      </c>
      <c r="C1896">
        <v>302358</v>
      </c>
      <c r="D1896">
        <v>21883</v>
      </c>
    </row>
    <row r="1897" spans="1:4" x14ac:dyDescent="0.2">
      <c r="A1897">
        <v>3693118</v>
      </c>
      <c r="B1897">
        <v>30064</v>
      </c>
      <c r="C1897">
        <v>302407</v>
      </c>
      <c r="D1897">
        <v>21883</v>
      </c>
    </row>
    <row r="1898" spans="1:4" x14ac:dyDescent="0.2">
      <c r="A1898">
        <v>3693118</v>
      </c>
      <c r="B1898">
        <v>30065</v>
      </c>
      <c r="C1898">
        <v>302370</v>
      </c>
      <c r="D1898">
        <v>21883</v>
      </c>
    </row>
    <row r="1899" spans="1:4" x14ac:dyDescent="0.2">
      <c r="A1899">
        <v>3693118</v>
      </c>
      <c r="B1899">
        <v>30066</v>
      </c>
      <c r="C1899">
        <v>302438</v>
      </c>
      <c r="D1899">
        <v>21883</v>
      </c>
    </row>
    <row r="1900" spans="1:4" x14ac:dyDescent="0.2">
      <c r="A1900">
        <v>3693118</v>
      </c>
      <c r="B1900">
        <v>30069</v>
      </c>
      <c r="C1900">
        <v>302446</v>
      </c>
      <c r="D1900">
        <v>21883</v>
      </c>
    </row>
    <row r="1901" spans="1:4" x14ac:dyDescent="0.2">
      <c r="A1901">
        <v>3693119</v>
      </c>
      <c r="B1901">
        <v>30063</v>
      </c>
      <c r="C1901">
        <v>302358</v>
      </c>
      <c r="D1901">
        <v>21883</v>
      </c>
    </row>
    <row r="1902" spans="1:4" x14ac:dyDescent="0.2">
      <c r="A1902">
        <v>3693119</v>
      </c>
      <c r="B1902">
        <v>30064</v>
      </c>
      <c r="C1902">
        <v>302407</v>
      </c>
      <c r="D1902">
        <v>21883</v>
      </c>
    </row>
    <row r="1903" spans="1:4" x14ac:dyDescent="0.2">
      <c r="A1903">
        <v>3693119</v>
      </c>
      <c r="B1903">
        <v>30065</v>
      </c>
      <c r="C1903">
        <v>302370</v>
      </c>
      <c r="D1903">
        <v>21883</v>
      </c>
    </row>
    <row r="1904" spans="1:4" x14ac:dyDescent="0.2">
      <c r="A1904">
        <v>3693119</v>
      </c>
      <c r="B1904">
        <v>30066</v>
      </c>
      <c r="C1904">
        <v>302438</v>
      </c>
      <c r="D1904">
        <v>21883</v>
      </c>
    </row>
    <row r="1905" spans="1:4" x14ac:dyDescent="0.2">
      <c r="A1905">
        <v>3693119</v>
      </c>
      <c r="B1905">
        <v>30069</v>
      </c>
      <c r="C1905">
        <v>302446</v>
      </c>
      <c r="D1905">
        <v>21883</v>
      </c>
    </row>
    <row r="1906" spans="1:4" x14ac:dyDescent="0.2">
      <c r="A1906">
        <v>3693120</v>
      </c>
      <c r="B1906">
        <v>30063</v>
      </c>
      <c r="C1906">
        <v>302358</v>
      </c>
      <c r="D1906">
        <v>21883</v>
      </c>
    </row>
    <row r="1907" spans="1:4" x14ac:dyDescent="0.2">
      <c r="A1907">
        <v>3693120</v>
      </c>
      <c r="B1907">
        <v>30064</v>
      </c>
      <c r="C1907">
        <v>302407</v>
      </c>
      <c r="D1907">
        <v>21883</v>
      </c>
    </row>
    <row r="1908" spans="1:4" x14ac:dyDescent="0.2">
      <c r="A1908">
        <v>3693120</v>
      </c>
      <c r="B1908">
        <v>30065</v>
      </c>
      <c r="C1908">
        <v>302370</v>
      </c>
      <c r="D1908">
        <v>21883</v>
      </c>
    </row>
    <row r="1909" spans="1:4" x14ac:dyDescent="0.2">
      <c r="A1909">
        <v>3693120</v>
      </c>
      <c r="B1909">
        <v>30066</v>
      </c>
      <c r="C1909">
        <v>302438</v>
      </c>
      <c r="D1909">
        <v>21883</v>
      </c>
    </row>
    <row r="1910" spans="1:4" x14ac:dyDescent="0.2">
      <c r="A1910">
        <v>3693120</v>
      </c>
      <c r="B1910">
        <v>30069</v>
      </c>
      <c r="C1910">
        <v>302446</v>
      </c>
      <c r="D1910">
        <v>21883</v>
      </c>
    </row>
    <row r="1911" spans="1:4" x14ac:dyDescent="0.2">
      <c r="A1911">
        <v>3693121</v>
      </c>
      <c r="B1911">
        <v>30063</v>
      </c>
      <c r="C1911">
        <v>302358</v>
      </c>
      <c r="D1911">
        <v>21883</v>
      </c>
    </row>
    <row r="1912" spans="1:4" x14ac:dyDescent="0.2">
      <c r="A1912">
        <v>3693121</v>
      </c>
      <c r="B1912">
        <v>30064</v>
      </c>
      <c r="C1912">
        <v>302407</v>
      </c>
      <c r="D1912">
        <v>21883</v>
      </c>
    </row>
    <row r="1913" spans="1:4" x14ac:dyDescent="0.2">
      <c r="A1913">
        <v>3693121</v>
      </c>
      <c r="B1913">
        <v>30065</v>
      </c>
      <c r="C1913">
        <v>302370</v>
      </c>
      <c r="D1913">
        <v>21883</v>
      </c>
    </row>
    <row r="1914" spans="1:4" x14ac:dyDescent="0.2">
      <c r="A1914">
        <v>3693121</v>
      </c>
      <c r="B1914">
        <v>30066</v>
      </c>
      <c r="C1914">
        <v>302438</v>
      </c>
      <c r="D1914">
        <v>21883</v>
      </c>
    </row>
    <row r="1915" spans="1:4" x14ac:dyDescent="0.2">
      <c r="A1915">
        <v>3693121</v>
      </c>
      <c r="B1915">
        <v>30069</v>
      </c>
      <c r="C1915">
        <v>302446</v>
      </c>
      <c r="D1915">
        <v>21883</v>
      </c>
    </row>
    <row r="1916" spans="1:4" x14ac:dyDescent="0.2">
      <c r="A1916">
        <v>3693122</v>
      </c>
      <c r="B1916">
        <v>30063</v>
      </c>
      <c r="C1916">
        <v>302358</v>
      </c>
      <c r="D1916">
        <v>21883</v>
      </c>
    </row>
    <row r="1917" spans="1:4" x14ac:dyDescent="0.2">
      <c r="A1917">
        <v>3693122</v>
      </c>
      <c r="B1917">
        <v>30064</v>
      </c>
      <c r="C1917">
        <v>302407</v>
      </c>
      <c r="D1917">
        <v>21883</v>
      </c>
    </row>
    <row r="1918" spans="1:4" x14ac:dyDescent="0.2">
      <c r="A1918">
        <v>3693122</v>
      </c>
      <c r="B1918">
        <v>30065</v>
      </c>
      <c r="C1918">
        <v>302370</v>
      </c>
      <c r="D1918">
        <v>21883</v>
      </c>
    </row>
    <row r="1919" spans="1:4" x14ac:dyDescent="0.2">
      <c r="A1919">
        <v>3693122</v>
      </c>
      <c r="B1919">
        <v>30066</v>
      </c>
      <c r="C1919">
        <v>302438</v>
      </c>
      <c r="D1919">
        <v>21883</v>
      </c>
    </row>
    <row r="1920" spans="1:4" x14ac:dyDescent="0.2">
      <c r="A1920">
        <v>3693122</v>
      </c>
      <c r="B1920">
        <v>30069</v>
      </c>
      <c r="C1920">
        <v>302446</v>
      </c>
      <c r="D1920">
        <v>21883</v>
      </c>
    </row>
    <row r="1921" spans="1:4" x14ac:dyDescent="0.2">
      <c r="A1921">
        <v>3693123</v>
      </c>
      <c r="B1921">
        <v>30063</v>
      </c>
      <c r="C1921">
        <v>302358</v>
      </c>
      <c r="D1921">
        <v>21883</v>
      </c>
    </row>
    <row r="1922" spans="1:4" x14ac:dyDescent="0.2">
      <c r="A1922">
        <v>3693123</v>
      </c>
      <c r="B1922">
        <v>30064</v>
      </c>
      <c r="C1922">
        <v>302407</v>
      </c>
      <c r="D1922">
        <v>21883</v>
      </c>
    </row>
    <row r="1923" spans="1:4" x14ac:dyDescent="0.2">
      <c r="A1923">
        <v>3693123</v>
      </c>
      <c r="B1923">
        <v>30065</v>
      </c>
      <c r="C1923">
        <v>302370</v>
      </c>
      <c r="D1923">
        <v>21883</v>
      </c>
    </row>
    <row r="1924" spans="1:4" x14ac:dyDescent="0.2">
      <c r="A1924">
        <v>3693123</v>
      </c>
      <c r="B1924">
        <v>30066</v>
      </c>
      <c r="C1924">
        <v>302438</v>
      </c>
      <c r="D1924">
        <v>21883</v>
      </c>
    </row>
    <row r="1925" spans="1:4" x14ac:dyDescent="0.2">
      <c r="A1925">
        <v>3693123</v>
      </c>
      <c r="B1925">
        <v>30069</v>
      </c>
      <c r="C1925">
        <v>302446</v>
      </c>
      <c r="D1925">
        <v>21883</v>
      </c>
    </row>
    <row r="1926" spans="1:4" x14ac:dyDescent="0.2">
      <c r="A1926">
        <v>3693124</v>
      </c>
      <c r="B1926">
        <v>30063</v>
      </c>
      <c r="C1926">
        <v>302358</v>
      </c>
      <c r="D1926">
        <v>21883</v>
      </c>
    </row>
    <row r="1927" spans="1:4" x14ac:dyDescent="0.2">
      <c r="A1927">
        <v>3693124</v>
      </c>
      <c r="B1927">
        <v>30064</v>
      </c>
      <c r="C1927">
        <v>302407</v>
      </c>
      <c r="D1927">
        <v>21883</v>
      </c>
    </row>
    <row r="1928" spans="1:4" x14ac:dyDescent="0.2">
      <c r="A1928">
        <v>3693124</v>
      </c>
      <c r="B1928">
        <v>30065</v>
      </c>
      <c r="C1928">
        <v>302370</v>
      </c>
      <c r="D1928">
        <v>21883</v>
      </c>
    </row>
    <row r="1929" spans="1:4" x14ac:dyDescent="0.2">
      <c r="A1929">
        <v>3693124</v>
      </c>
      <c r="B1929">
        <v>30066</v>
      </c>
      <c r="C1929">
        <v>302438</v>
      </c>
      <c r="D1929">
        <v>21883</v>
      </c>
    </row>
    <row r="1930" spans="1:4" x14ac:dyDescent="0.2">
      <c r="A1930">
        <v>3693124</v>
      </c>
      <c r="B1930">
        <v>30069</v>
      </c>
      <c r="C1930">
        <v>302446</v>
      </c>
      <c r="D1930">
        <v>21883</v>
      </c>
    </row>
    <row r="1931" spans="1:4" x14ac:dyDescent="0.2">
      <c r="A1931">
        <v>3693125</v>
      </c>
      <c r="B1931">
        <v>30063</v>
      </c>
      <c r="C1931">
        <v>302358</v>
      </c>
      <c r="D1931">
        <v>21883</v>
      </c>
    </row>
    <row r="1932" spans="1:4" x14ac:dyDescent="0.2">
      <c r="A1932">
        <v>3693125</v>
      </c>
      <c r="B1932">
        <v>30064</v>
      </c>
      <c r="C1932">
        <v>302407</v>
      </c>
      <c r="D1932">
        <v>21883</v>
      </c>
    </row>
    <row r="1933" spans="1:4" x14ac:dyDescent="0.2">
      <c r="A1933">
        <v>3693125</v>
      </c>
      <c r="B1933">
        <v>30065</v>
      </c>
      <c r="C1933">
        <v>302370</v>
      </c>
      <c r="D1933">
        <v>21883</v>
      </c>
    </row>
    <row r="1934" spans="1:4" x14ac:dyDescent="0.2">
      <c r="A1934">
        <v>3693125</v>
      </c>
      <c r="B1934">
        <v>30066</v>
      </c>
      <c r="C1934">
        <v>302438</v>
      </c>
      <c r="D1934">
        <v>21883</v>
      </c>
    </row>
    <row r="1935" spans="1:4" x14ac:dyDescent="0.2">
      <c r="A1935">
        <v>3693125</v>
      </c>
      <c r="B1935">
        <v>30069</v>
      </c>
      <c r="C1935">
        <v>302446</v>
      </c>
      <c r="D1935">
        <v>21883</v>
      </c>
    </row>
    <row r="1936" spans="1:4" x14ac:dyDescent="0.2">
      <c r="A1936">
        <v>3693126</v>
      </c>
      <c r="B1936">
        <v>30063</v>
      </c>
      <c r="C1936">
        <v>302358</v>
      </c>
      <c r="D1936">
        <v>21883</v>
      </c>
    </row>
    <row r="1937" spans="1:4" x14ac:dyDescent="0.2">
      <c r="A1937">
        <v>3693126</v>
      </c>
      <c r="B1937">
        <v>30064</v>
      </c>
      <c r="C1937">
        <v>302407</v>
      </c>
      <c r="D1937">
        <v>21883</v>
      </c>
    </row>
    <row r="1938" spans="1:4" x14ac:dyDescent="0.2">
      <c r="A1938">
        <v>3693126</v>
      </c>
      <c r="B1938">
        <v>30065</v>
      </c>
      <c r="C1938">
        <v>302370</v>
      </c>
      <c r="D1938">
        <v>21883</v>
      </c>
    </row>
    <row r="1939" spans="1:4" x14ac:dyDescent="0.2">
      <c r="A1939">
        <v>3693126</v>
      </c>
      <c r="B1939">
        <v>30066</v>
      </c>
      <c r="C1939">
        <v>302438</v>
      </c>
      <c r="D1939">
        <v>21883</v>
      </c>
    </row>
    <row r="1940" spans="1:4" x14ac:dyDescent="0.2">
      <c r="A1940">
        <v>3693126</v>
      </c>
      <c r="B1940">
        <v>30069</v>
      </c>
      <c r="C1940">
        <v>302446</v>
      </c>
      <c r="D1940">
        <v>21883</v>
      </c>
    </row>
    <row r="1941" spans="1:4" x14ac:dyDescent="0.2">
      <c r="A1941">
        <v>3693127</v>
      </c>
      <c r="B1941">
        <v>30063</v>
      </c>
      <c r="C1941">
        <v>302358</v>
      </c>
      <c r="D1941">
        <v>21883</v>
      </c>
    </row>
    <row r="1942" spans="1:4" x14ac:dyDescent="0.2">
      <c r="A1942">
        <v>3693127</v>
      </c>
      <c r="B1942">
        <v>30064</v>
      </c>
      <c r="C1942">
        <v>302408</v>
      </c>
      <c r="D1942">
        <v>21883</v>
      </c>
    </row>
    <row r="1943" spans="1:4" x14ac:dyDescent="0.2">
      <c r="A1943">
        <v>3693127</v>
      </c>
      <c r="B1943">
        <v>30065</v>
      </c>
      <c r="C1943">
        <v>302370</v>
      </c>
      <c r="D1943">
        <v>21883</v>
      </c>
    </row>
    <row r="1944" spans="1:4" x14ac:dyDescent="0.2">
      <c r="A1944">
        <v>3693127</v>
      </c>
      <c r="B1944">
        <v>30066</v>
      </c>
      <c r="C1944">
        <v>302438</v>
      </c>
      <c r="D1944">
        <v>21883</v>
      </c>
    </row>
    <row r="1945" spans="1:4" x14ac:dyDescent="0.2">
      <c r="A1945">
        <v>3693127</v>
      </c>
      <c r="B1945">
        <v>30069</v>
      </c>
      <c r="C1945">
        <v>302446</v>
      </c>
      <c r="D1945">
        <v>21883</v>
      </c>
    </row>
    <row r="1946" spans="1:4" x14ac:dyDescent="0.2">
      <c r="A1946">
        <v>3693128</v>
      </c>
      <c r="B1946">
        <v>30063</v>
      </c>
      <c r="C1946">
        <v>302358</v>
      </c>
      <c r="D1946">
        <v>21883</v>
      </c>
    </row>
    <row r="1947" spans="1:4" x14ac:dyDescent="0.2">
      <c r="A1947">
        <v>3693128</v>
      </c>
      <c r="B1947">
        <v>30064</v>
      </c>
      <c r="C1947">
        <v>302408</v>
      </c>
      <c r="D1947">
        <v>21883</v>
      </c>
    </row>
    <row r="1948" spans="1:4" x14ac:dyDescent="0.2">
      <c r="A1948">
        <v>3693128</v>
      </c>
      <c r="B1948">
        <v>30065</v>
      </c>
      <c r="C1948">
        <v>302370</v>
      </c>
      <c r="D1948">
        <v>21883</v>
      </c>
    </row>
    <row r="1949" spans="1:4" x14ac:dyDescent="0.2">
      <c r="A1949">
        <v>3693128</v>
      </c>
      <c r="B1949">
        <v>30066</v>
      </c>
      <c r="C1949">
        <v>302438</v>
      </c>
      <c r="D1949">
        <v>21883</v>
      </c>
    </row>
    <row r="1950" spans="1:4" x14ac:dyDescent="0.2">
      <c r="A1950">
        <v>3693128</v>
      </c>
      <c r="B1950">
        <v>30069</v>
      </c>
      <c r="C1950">
        <v>302446</v>
      </c>
      <c r="D1950">
        <v>21883</v>
      </c>
    </row>
    <row r="1951" spans="1:4" x14ac:dyDescent="0.2">
      <c r="A1951">
        <v>3693129</v>
      </c>
      <c r="B1951">
        <v>30063</v>
      </c>
      <c r="C1951">
        <v>302358</v>
      </c>
      <c r="D1951">
        <v>21883</v>
      </c>
    </row>
    <row r="1952" spans="1:4" x14ac:dyDescent="0.2">
      <c r="A1952">
        <v>3693129</v>
      </c>
      <c r="B1952">
        <v>30064</v>
      </c>
      <c r="C1952">
        <v>302408</v>
      </c>
      <c r="D1952">
        <v>21883</v>
      </c>
    </row>
    <row r="1953" spans="1:4" x14ac:dyDescent="0.2">
      <c r="A1953">
        <v>3693129</v>
      </c>
      <c r="B1953">
        <v>30065</v>
      </c>
      <c r="C1953">
        <v>302370</v>
      </c>
      <c r="D1953">
        <v>21883</v>
      </c>
    </row>
    <row r="1954" spans="1:4" x14ac:dyDescent="0.2">
      <c r="A1954">
        <v>3693129</v>
      </c>
      <c r="B1954">
        <v>30066</v>
      </c>
      <c r="C1954">
        <v>302438</v>
      </c>
      <c r="D1954">
        <v>21883</v>
      </c>
    </row>
    <row r="1955" spans="1:4" x14ac:dyDescent="0.2">
      <c r="A1955">
        <v>3693129</v>
      </c>
      <c r="B1955">
        <v>30069</v>
      </c>
      <c r="C1955">
        <v>302446</v>
      </c>
      <c r="D1955">
        <v>21883</v>
      </c>
    </row>
    <row r="1956" spans="1:4" x14ac:dyDescent="0.2">
      <c r="A1956">
        <v>3693130</v>
      </c>
      <c r="B1956">
        <v>30063</v>
      </c>
      <c r="C1956">
        <v>302358</v>
      </c>
      <c r="D1956">
        <v>21883</v>
      </c>
    </row>
    <row r="1957" spans="1:4" x14ac:dyDescent="0.2">
      <c r="A1957">
        <v>3693130</v>
      </c>
      <c r="B1957">
        <v>30064</v>
      </c>
      <c r="C1957">
        <v>302389</v>
      </c>
      <c r="D1957">
        <v>21883</v>
      </c>
    </row>
    <row r="1958" spans="1:4" x14ac:dyDescent="0.2">
      <c r="A1958">
        <v>3693130</v>
      </c>
      <c r="B1958">
        <v>30065</v>
      </c>
      <c r="C1958">
        <v>302371</v>
      </c>
      <c r="D1958">
        <v>21883</v>
      </c>
    </row>
    <row r="1959" spans="1:4" x14ac:dyDescent="0.2">
      <c r="A1959">
        <v>3693130</v>
      </c>
      <c r="B1959">
        <v>30066</v>
      </c>
      <c r="C1959">
        <v>302438</v>
      </c>
      <c r="D1959">
        <v>21883</v>
      </c>
    </row>
    <row r="1960" spans="1:4" x14ac:dyDescent="0.2">
      <c r="A1960">
        <v>3693130</v>
      </c>
      <c r="B1960">
        <v>30069</v>
      </c>
      <c r="C1960">
        <v>302439</v>
      </c>
      <c r="D1960">
        <v>21883</v>
      </c>
    </row>
    <row r="1961" spans="1:4" x14ac:dyDescent="0.2">
      <c r="A1961">
        <v>3693131</v>
      </c>
      <c r="B1961">
        <v>30063</v>
      </c>
      <c r="C1961">
        <v>302357</v>
      </c>
      <c r="D1961">
        <v>21883</v>
      </c>
    </row>
    <row r="1962" spans="1:4" x14ac:dyDescent="0.2">
      <c r="A1962">
        <v>3693131</v>
      </c>
      <c r="B1962">
        <v>30064</v>
      </c>
      <c r="C1962">
        <v>302362</v>
      </c>
      <c r="D1962">
        <v>21883</v>
      </c>
    </row>
    <row r="1963" spans="1:4" x14ac:dyDescent="0.2">
      <c r="A1963">
        <v>3693131</v>
      </c>
      <c r="B1963">
        <v>30065</v>
      </c>
      <c r="C1963">
        <v>302371</v>
      </c>
      <c r="D1963">
        <v>21883</v>
      </c>
    </row>
    <row r="1964" spans="1:4" x14ac:dyDescent="0.2">
      <c r="A1964">
        <v>3693131</v>
      </c>
      <c r="B1964">
        <v>30066</v>
      </c>
      <c r="C1964">
        <v>302436</v>
      </c>
      <c r="D1964">
        <v>21883</v>
      </c>
    </row>
    <row r="1965" spans="1:4" x14ac:dyDescent="0.2">
      <c r="A1965">
        <v>3693131</v>
      </c>
      <c r="B1965">
        <v>30067</v>
      </c>
      <c r="C1965">
        <v>302455</v>
      </c>
      <c r="D1965">
        <v>21883</v>
      </c>
    </row>
    <row r="1966" spans="1:4" x14ac:dyDescent="0.2">
      <c r="A1966">
        <v>3693132</v>
      </c>
      <c r="B1966">
        <v>30063</v>
      </c>
      <c r="C1966">
        <v>302357</v>
      </c>
      <c r="D1966">
        <v>21883</v>
      </c>
    </row>
    <row r="1967" spans="1:4" x14ac:dyDescent="0.2">
      <c r="A1967">
        <v>3693132</v>
      </c>
      <c r="B1967">
        <v>30064</v>
      </c>
      <c r="C1967">
        <v>302362</v>
      </c>
      <c r="D1967">
        <v>21883</v>
      </c>
    </row>
    <row r="1968" spans="1:4" x14ac:dyDescent="0.2">
      <c r="A1968">
        <v>3693132</v>
      </c>
      <c r="B1968">
        <v>30065</v>
      </c>
      <c r="C1968">
        <v>302371</v>
      </c>
      <c r="D1968">
        <v>21883</v>
      </c>
    </row>
    <row r="1969" spans="1:4" x14ac:dyDescent="0.2">
      <c r="A1969">
        <v>3693132</v>
      </c>
      <c r="B1969">
        <v>30066</v>
      </c>
      <c r="C1969">
        <v>302436</v>
      </c>
      <c r="D1969">
        <v>21883</v>
      </c>
    </row>
    <row r="1970" spans="1:4" x14ac:dyDescent="0.2">
      <c r="A1970">
        <v>3693132</v>
      </c>
      <c r="B1970">
        <v>30067</v>
      </c>
      <c r="C1970">
        <v>302455</v>
      </c>
      <c r="D1970">
        <v>21883</v>
      </c>
    </row>
    <row r="1971" spans="1:4" x14ac:dyDescent="0.2">
      <c r="A1971">
        <v>3693133</v>
      </c>
      <c r="B1971">
        <v>30063</v>
      </c>
      <c r="C1971">
        <v>302357</v>
      </c>
      <c r="D1971">
        <v>21883</v>
      </c>
    </row>
    <row r="1972" spans="1:4" x14ac:dyDescent="0.2">
      <c r="A1972">
        <v>3693133</v>
      </c>
      <c r="B1972">
        <v>30064</v>
      </c>
      <c r="C1972">
        <v>302368</v>
      </c>
      <c r="D1972">
        <v>21883</v>
      </c>
    </row>
    <row r="1973" spans="1:4" x14ac:dyDescent="0.2">
      <c r="A1973">
        <v>3693133</v>
      </c>
      <c r="B1973">
        <v>30065</v>
      </c>
      <c r="C1973">
        <v>302371</v>
      </c>
      <c r="D1973">
        <v>21883</v>
      </c>
    </row>
    <row r="1974" spans="1:4" x14ac:dyDescent="0.2">
      <c r="A1974">
        <v>3693133</v>
      </c>
      <c r="B1974">
        <v>30066</v>
      </c>
      <c r="C1974">
        <v>302436</v>
      </c>
      <c r="D1974">
        <v>21883</v>
      </c>
    </row>
    <row r="1975" spans="1:4" x14ac:dyDescent="0.2">
      <c r="A1975">
        <v>3693133</v>
      </c>
      <c r="B1975">
        <v>30067</v>
      </c>
      <c r="C1975">
        <v>302455</v>
      </c>
      <c r="D1975">
        <v>21883</v>
      </c>
    </row>
    <row r="1976" spans="1:4" x14ac:dyDescent="0.2">
      <c r="A1976">
        <v>3693134</v>
      </c>
      <c r="B1976">
        <v>30063</v>
      </c>
      <c r="C1976">
        <v>302357</v>
      </c>
      <c r="D1976">
        <v>21883</v>
      </c>
    </row>
    <row r="1977" spans="1:4" x14ac:dyDescent="0.2">
      <c r="A1977">
        <v>3693134</v>
      </c>
      <c r="B1977">
        <v>30064</v>
      </c>
      <c r="C1977">
        <v>302362</v>
      </c>
      <c r="D1977">
        <v>21883</v>
      </c>
    </row>
    <row r="1978" spans="1:4" x14ac:dyDescent="0.2">
      <c r="A1978">
        <v>3693134</v>
      </c>
      <c r="B1978">
        <v>30065</v>
      </c>
      <c r="C1978">
        <v>302371</v>
      </c>
      <c r="D1978">
        <v>21883</v>
      </c>
    </row>
    <row r="1979" spans="1:4" x14ac:dyDescent="0.2">
      <c r="A1979">
        <v>3693134</v>
      </c>
      <c r="B1979">
        <v>30066</v>
      </c>
      <c r="C1979">
        <v>302436</v>
      </c>
      <c r="D1979">
        <v>21883</v>
      </c>
    </row>
    <row r="1980" spans="1:4" x14ac:dyDescent="0.2">
      <c r="A1980">
        <v>3693134</v>
      </c>
      <c r="B1980">
        <v>30067</v>
      </c>
      <c r="C1980">
        <v>302455</v>
      </c>
      <c r="D1980">
        <v>21883</v>
      </c>
    </row>
    <row r="1981" spans="1:4" x14ac:dyDescent="0.2">
      <c r="A1981">
        <v>3693135</v>
      </c>
      <c r="B1981">
        <v>30063</v>
      </c>
      <c r="C1981">
        <v>302357</v>
      </c>
      <c r="D1981">
        <v>21883</v>
      </c>
    </row>
    <row r="1982" spans="1:4" x14ac:dyDescent="0.2">
      <c r="A1982">
        <v>3693135</v>
      </c>
      <c r="B1982">
        <v>30064</v>
      </c>
      <c r="C1982">
        <v>302362</v>
      </c>
      <c r="D1982">
        <v>21883</v>
      </c>
    </row>
    <row r="1983" spans="1:4" x14ac:dyDescent="0.2">
      <c r="A1983">
        <v>3693135</v>
      </c>
      <c r="B1983">
        <v>30065</v>
      </c>
      <c r="C1983">
        <v>302371</v>
      </c>
      <c r="D1983">
        <v>21883</v>
      </c>
    </row>
    <row r="1984" spans="1:4" x14ac:dyDescent="0.2">
      <c r="A1984">
        <v>3693135</v>
      </c>
      <c r="B1984">
        <v>30066</v>
      </c>
      <c r="C1984">
        <v>302436</v>
      </c>
      <c r="D1984">
        <v>21883</v>
      </c>
    </row>
    <row r="1985" spans="1:4" x14ac:dyDescent="0.2">
      <c r="A1985">
        <v>3693135</v>
      </c>
      <c r="B1985">
        <v>30067</v>
      </c>
      <c r="C1985">
        <v>302454</v>
      </c>
      <c r="D1985">
        <v>21883</v>
      </c>
    </row>
    <row r="1986" spans="1:4" x14ac:dyDescent="0.2">
      <c r="A1986">
        <v>3693136</v>
      </c>
      <c r="B1986">
        <v>30063</v>
      </c>
      <c r="C1986">
        <v>302357</v>
      </c>
      <c r="D1986">
        <v>21883</v>
      </c>
    </row>
    <row r="1987" spans="1:4" x14ac:dyDescent="0.2">
      <c r="A1987">
        <v>3693136</v>
      </c>
      <c r="B1987">
        <v>30064</v>
      </c>
      <c r="C1987">
        <v>302362</v>
      </c>
      <c r="D1987">
        <v>21883</v>
      </c>
    </row>
    <row r="1988" spans="1:4" x14ac:dyDescent="0.2">
      <c r="A1988">
        <v>3693136</v>
      </c>
      <c r="B1988">
        <v>30065</v>
      </c>
      <c r="C1988">
        <v>302371</v>
      </c>
      <c r="D1988">
        <v>21883</v>
      </c>
    </row>
    <row r="1989" spans="1:4" x14ac:dyDescent="0.2">
      <c r="A1989">
        <v>3693136</v>
      </c>
      <c r="B1989">
        <v>30066</v>
      </c>
      <c r="C1989">
        <v>302436</v>
      </c>
      <c r="D1989">
        <v>21883</v>
      </c>
    </row>
    <row r="1990" spans="1:4" x14ac:dyDescent="0.2">
      <c r="A1990">
        <v>3693136</v>
      </c>
      <c r="B1990">
        <v>30067</v>
      </c>
      <c r="C1990">
        <v>302454</v>
      </c>
      <c r="D1990">
        <v>21883</v>
      </c>
    </row>
    <row r="1991" spans="1:4" x14ac:dyDescent="0.2">
      <c r="A1991">
        <v>3693137</v>
      </c>
      <c r="B1991">
        <v>30063</v>
      </c>
      <c r="C1991">
        <v>302357</v>
      </c>
      <c r="D1991">
        <v>21883</v>
      </c>
    </row>
    <row r="1992" spans="1:4" x14ac:dyDescent="0.2">
      <c r="A1992">
        <v>3693137</v>
      </c>
      <c r="B1992">
        <v>30064</v>
      </c>
      <c r="C1992">
        <v>302368</v>
      </c>
      <c r="D1992">
        <v>21883</v>
      </c>
    </row>
    <row r="1993" spans="1:4" x14ac:dyDescent="0.2">
      <c r="A1993">
        <v>3693137</v>
      </c>
      <c r="B1993">
        <v>30065</v>
      </c>
      <c r="C1993">
        <v>302371</v>
      </c>
      <c r="D1993">
        <v>21883</v>
      </c>
    </row>
    <row r="1994" spans="1:4" x14ac:dyDescent="0.2">
      <c r="A1994">
        <v>3693137</v>
      </c>
      <c r="B1994">
        <v>30066</v>
      </c>
      <c r="C1994">
        <v>302436</v>
      </c>
      <c r="D1994">
        <v>21883</v>
      </c>
    </row>
    <row r="1995" spans="1:4" x14ac:dyDescent="0.2">
      <c r="A1995">
        <v>3693137</v>
      </c>
      <c r="B1995">
        <v>30067</v>
      </c>
      <c r="C1995">
        <v>302454</v>
      </c>
      <c r="D1995">
        <v>21883</v>
      </c>
    </row>
    <row r="1996" spans="1:4" x14ac:dyDescent="0.2">
      <c r="A1996">
        <v>3693138</v>
      </c>
      <c r="B1996">
        <v>30063</v>
      </c>
      <c r="C1996">
        <v>302357</v>
      </c>
      <c r="D1996">
        <v>21883</v>
      </c>
    </row>
    <row r="1997" spans="1:4" x14ac:dyDescent="0.2">
      <c r="A1997">
        <v>3693138</v>
      </c>
      <c r="B1997">
        <v>30064</v>
      </c>
      <c r="C1997">
        <v>302362</v>
      </c>
      <c r="D1997">
        <v>21883</v>
      </c>
    </row>
    <row r="1998" spans="1:4" x14ac:dyDescent="0.2">
      <c r="A1998">
        <v>3693138</v>
      </c>
      <c r="B1998">
        <v>30065</v>
      </c>
      <c r="C1998">
        <v>302371</v>
      </c>
      <c r="D1998">
        <v>21883</v>
      </c>
    </row>
    <row r="1999" spans="1:4" x14ac:dyDescent="0.2">
      <c r="A1999">
        <v>3693138</v>
      </c>
      <c r="B1999">
        <v>30066</v>
      </c>
      <c r="C1999">
        <v>302436</v>
      </c>
      <c r="D1999">
        <v>21883</v>
      </c>
    </row>
    <row r="2000" spans="1:4" x14ac:dyDescent="0.2">
      <c r="A2000">
        <v>3693138</v>
      </c>
      <c r="B2000">
        <v>30067</v>
      </c>
      <c r="C2000">
        <v>302454</v>
      </c>
      <c r="D2000">
        <v>21883</v>
      </c>
    </row>
    <row r="2001" spans="1:4" x14ac:dyDescent="0.2">
      <c r="A2001">
        <v>3693139</v>
      </c>
      <c r="B2001">
        <v>30063</v>
      </c>
      <c r="C2001">
        <v>302357</v>
      </c>
      <c r="D2001">
        <v>21883</v>
      </c>
    </row>
    <row r="2002" spans="1:4" x14ac:dyDescent="0.2">
      <c r="A2002">
        <v>3693139</v>
      </c>
      <c r="B2002">
        <v>30064</v>
      </c>
      <c r="C2002">
        <v>302362</v>
      </c>
      <c r="D2002">
        <v>21883</v>
      </c>
    </row>
    <row r="2003" spans="1:4" x14ac:dyDescent="0.2">
      <c r="A2003">
        <v>3693139</v>
      </c>
      <c r="B2003">
        <v>30065</v>
      </c>
      <c r="C2003">
        <v>302371</v>
      </c>
      <c r="D2003">
        <v>21883</v>
      </c>
    </row>
    <row r="2004" spans="1:4" x14ac:dyDescent="0.2">
      <c r="A2004">
        <v>3693139</v>
      </c>
      <c r="B2004">
        <v>30066</v>
      </c>
      <c r="C2004">
        <v>302436</v>
      </c>
      <c r="D2004">
        <v>21883</v>
      </c>
    </row>
    <row r="2005" spans="1:4" x14ac:dyDescent="0.2">
      <c r="A2005">
        <v>3693139</v>
      </c>
      <c r="B2005">
        <v>30067</v>
      </c>
      <c r="C2005">
        <v>302447</v>
      </c>
      <c r="D2005">
        <v>21883</v>
      </c>
    </row>
    <row r="2006" spans="1:4" x14ac:dyDescent="0.2">
      <c r="A2006">
        <v>3693140</v>
      </c>
      <c r="B2006">
        <v>30063</v>
      </c>
      <c r="C2006">
        <v>302357</v>
      </c>
      <c r="D2006">
        <v>21883</v>
      </c>
    </row>
    <row r="2007" spans="1:4" x14ac:dyDescent="0.2">
      <c r="A2007">
        <v>3693140</v>
      </c>
      <c r="B2007">
        <v>30064</v>
      </c>
      <c r="C2007">
        <v>302362</v>
      </c>
      <c r="D2007">
        <v>21883</v>
      </c>
    </row>
    <row r="2008" spans="1:4" x14ac:dyDescent="0.2">
      <c r="A2008">
        <v>3693140</v>
      </c>
      <c r="B2008">
        <v>30065</v>
      </c>
      <c r="C2008">
        <v>302371</v>
      </c>
      <c r="D2008">
        <v>21883</v>
      </c>
    </row>
    <row r="2009" spans="1:4" x14ac:dyDescent="0.2">
      <c r="A2009">
        <v>3693140</v>
      </c>
      <c r="B2009">
        <v>30066</v>
      </c>
      <c r="C2009">
        <v>302436</v>
      </c>
      <c r="D2009">
        <v>21883</v>
      </c>
    </row>
    <row r="2010" spans="1:4" x14ac:dyDescent="0.2">
      <c r="A2010">
        <v>3693140</v>
      </c>
      <c r="B2010">
        <v>30067</v>
      </c>
      <c r="C2010">
        <v>302447</v>
      </c>
      <c r="D2010">
        <v>21883</v>
      </c>
    </row>
    <row r="2011" spans="1:4" x14ac:dyDescent="0.2">
      <c r="A2011">
        <v>3693141</v>
      </c>
      <c r="B2011">
        <v>30063</v>
      </c>
      <c r="C2011">
        <v>302357</v>
      </c>
      <c r="D2011">
        <v>21883</v>
      </c>
    </row>
    <row r="2012" spans="1:4" x14ac:dyDescent="0.2">
      <c r="A2012">
        <v>3693141</v>
      </c>
      <c r="B2012">
        <v>30064</v>
      </c>
      <c r="C2012">
        <v>302362</v>
      </c>
      <c r="D2012">
        <v>21883</v>
      </c>
    </row>
    <row r="2013" spans="1:4" x14ac:dyDescent="0.2">
      <c r="A2013">
        <v>3693141</v>
      </c>
      <c r="B2013">
        <v>30065</v>
      </c>
      <c r="C2013">
        <v>302371</v>
      </c>
      <c r="D2013">
        <v>21883</v>
      </c>
    </row>
    <row r="2014" spans="1:4" x14ac:dyDescent="0.2">
      <c r="A2014">
        <v>3693141</v>
      </c>
      <c r="B2014">
        <v>30066</v>
      </c>
      <c r="C2014">
        <v>302436</v>
      </c>
      <c r="D2014">
        <v>21883</v>
      </c>
    </row>
    <row r="2015" spans="1:4" x14ac:dyDescent="0.2">
      <c r="A2015">
        <v>3693141</v>
      </c>
      <c r="B2015">
        <v>30067</v>
      </c>
      <c r="C2015">
        <v>302448</v>
      </c>
      <c r="D2015">
        <v>21883</v>
      </c>
    </row>
    <row r="2016" spans="1:4" x14ac:dyDescent="0.2">
      <c r="A2016">
        <v>3693142</v>
      </c>
      <c r="B2016">
        <v>30063</v>
      </c>
      <c r="C2016">
        <v>302357</v>
      </c>
      <c r="D2016">
        <v>21883</v>
      </c>
    </row>
    <row r="2017" spans="1:4" x14ac:dyDescent="0.2">
      <c r="A2017">
        <v>3693142</v>
      </c>
      <c r="B2017">
        <v>30064</v>
      </c>
      <c r="C2017">
        <v>302362</v>
      </c>
      <c r="D2017">
        <v>21883</v>
      </c>
    </row>
    <row r="2018" spans="1:4" x14ac:dyDescent="0.2">
      <c r="A2018">
        <v>3693142</v>
      </c>
      <c r="B2018">
        <v>30065</v>
      </c>
      <c r="C2018">
        <v>302371</v>
      </c>
      <c r="D2018">
        <v>21883</v>
      </c>
    </row>
    <row r="2019" spans="1:4" x14ac:dyDescent="0.2">
      <c r="A2019">
        <v>3693142</v>
      </c>
      <c r="B2019">
        <v>30066</v>
      </c>
      <c r="C2019">
        <v>302436</v>
      </c>
      <c r="D2019">
        <v>21883</v>
      </c>
    </row>
    <row r="2020" spans="1:4" x14ac:dyDescent="0.2">
      <c r="A2020">
        <v>3693142</v>
      </c>
      <c r="B2020">
        <v>30067</v>
      </c>
      <c r="C2020">
        <v>302448</v>
      </c>
      <c r="D2020">
        <v>21883</v>
      </c>
    </row>
    <row r="2021" spans="1:4" x14ac:dyDescent="0.2">
      <c r="A2021">
        <v>3693143</v>
      </c>
      <c r="B2021">
        <v>30063</v>
      </c>
      <c r="C2021">
        <v>302357</v>
      </c>
      <c r="D2021">
        <v>21883</v>
      </c>
    </row>
    <row r="2022" spans="1:4" x14ac:dyDescent="0.2">
      <c r="A2022">
        <v>3693143</v>
      </c>
      <c r="B2022">
        <v>30064</v>
      </c>
      <c r="C2022">
        <v>302362</v>
      </c>
      <c r="D2022">
        <v>21883</v>
      </c>
    </row>
    <row r="2023" spans="1:4" x14ac:dyDescent="0.2">
      <c r="A2023">
        <v>3693143</v>
      </c>
      <c r="B2023">
        <v>30065</v>
      </c>
      <c r="C2023">
        <v>302371</v>
      </c>
      <c r="D2023">
        <v>21883</v>
      </c>
    </row>
    <row r="2024" spans="1:4" x14ac:dyDescent="0.2">
      <c r="A2024">
        <v>3693143</v>
      </c>
      <c r="B2024">
        <v>30066</v>
      </c>
      <c r="C2024">
        <v>302436</v>
      </c>
      <c r="D2024">
        <v>21883</v>
      </c>
    </row>
    <row r="2025" spans="1:4" x14ac:dyDescent="0.2">
      <c r="A2025">
        <v>3693143</v>
      </c>
      <c r="B2025">
        <v>30067</v>
      </c>
      <c r="C2025">
        <v>302449</v>
      </c>
      <c r="D2025">
        <v>21883</v>
      </c>
    </row>
    <row r="2026" spans="1:4" x14ac:dyDescent="0.2">
      <c r="A2026">
        <v>3693144</v>
      </c>
      <c r="B2026">
        <v>30063</v>
      </c>
      <c r="C2026">
        <v>302357</v>
      </c>
      <c r="D2026">
        <v>21883</v>
      </c>
    </row>
    <row r="2027" spans="1:4" x14ac:dyDescent="0.2">
      <c r="A2027">
        <v>3693144</v>
      </c>
      <c r="B2027">
        <v>30064</v>
      </c>
      <c r="C2027">
        <v>302362</v>
      </c>
      <c r="D2027">
        <v>21883</v>
      </c>
    </row>
    <row r="2028" spans="1:4" x14ac:dyDescent="0.2">
      <c r="A2028">
        <v>3693144</v>
      </c>
      <c r="B2028">
        <v>30065</v>
      </c>
      <c r="C2028">
        <v>302371</v>
      </c>
      <c r="D2028">
        <v>21883</v>
      </c>
    </row>
    <row r="2029" spans="1:4" x14ac:dyDescent="0.2">
      <c r="A2029">
        <v>3693144</v>
      </c>
      <c r="B2029">
        <v>30066</v>
      </c>
      <c r="C2029">
        <v>302436</v>
      </c>
      <c r="D2029">
        <v>21883</v>
      </c>
    </row>
    <row r="2030" spans="1:4" x14ac:dyDescent="0.2">
      <c r="A2030">
        <v>3693144</v>
      </c>
      <c r="B2030">
        <v>30067</v>
      </c>
      <c r="C2030">
        <v>302449</v>
      </c>
      <c r="D2030">
        <v>21883</v>
      </c>
    </row>
    <row r="2031" spans="1:4" x14ac:dyDescent="0.2">
      <c r="A2031">
        <v>3693145</v>
      </c>
      <c r="B2031">
        <v>30063</v>
      </c>
      <c r="C2031">
        <v>302357</v>
      </c>
      <c r="D2031">
        <v>21883</v>
      </c>
    </row>
    <row r="2032" spans="1:4" x14ac:dyDescent="0.2">
      <c r="A2032">
        <v>3693145</v>
      </c>
      <c r="B2032">
        <v>30064</v>
      </c>
      <c r="C2032">
        <v>302362</v>
      </c>
      <c r="D2032">
        <v>21883</v>
      </c>
    </row>
    <row r="2033" spans="1:4" x14ac:dyDescent="0.2">
      <c r="A2033">
        <v>3693145</v>
      </c>
      <c r="B2033">
        <v>30065</v>
      </c>
      <c r="C2033">
        <v>302371</v>
      </c>
      <c r="D2033">
        <v>21883</v>
      </c>
    </row>
    <row r="2034" spans="1:4" x14ac:dyDescent="0.2">
      <c r="A2034">
        <v>3693145</v>
      </c>
      <c r="B2034">
        <v>30066</v>
      </c>
      <c r="C2034">
        <v>302436</v>
      </c>
      <c r="D2034">
        <v>21883</v>
      </c>
    </row>
    <row r="2035" spans="1:4" x14ac:dyDescent="0.2">
      <c r="A2035">
        <v>3693145</v>
      </c>
      <c r="B2035">
        <v>30067</v>
      </c>
      <c r="C2035">
        <v>302450</v>
      </c>
      <c r="D2035">
        <v>21883</v>
      </c>
    </row>
    <row r="2036" spans="1:4" x14ac:dyDescent="0.2">
      <c r="A2036">
        <v>3693146</v>
      </c>
      <c r="B2036">
        <v>30063</v>
      </c>
      <c r="C2036">
        <v>302357</v>
      </c>
      <c r="D2036">
        <v>21883</v>
      </c>
    </row>
    <row r="2037" spans="1:4" x14ac:dyDescent="0.2">
      <c r="A2037">
        <v>3693146</v>
      </c>
      <c r="B2037">
        <v>30064</v>
      </c>
      <c r="C2037">
        <v>302362</v>
      </c>
      <c r="D2037">
        <v>21883</v>
      </c>
    </row>
    <row r="2038" spans="1:4" x14ac:dyDescent="0.2">
      <c r="A2038">
        <v>3693146</v>
      </c>
      <c r="B2038">
        <v>30065</v>
      </c>
      <c r="C2038">
        <v>302371</v>
      </c>
      <c r="D2038">
        <v>21883</v>
      </c>
    </row>
    <row r="2039" spans="1:4" x14ac:dyDescent="0.2">
      <c r="A2039">
        <v>3693146</v>
      </c>
      <c r="B2039">
        <v>30066</v>
      </c>
      <c r="C2039">
        <v>302436</v>
      </c>
      <c r="D2039">
        <v>21883</v>
      </c>
    </row>
    <row r="2040" spans="1:4" x14ac:dyDescent="0.2">
      <c r="A2040">
        <v>3693146</v>
      </c>
      <c r="B2040">
        <v>30067</v>
      </c>
      <c r="C2040">
        <v>302450</v>
      </c>
      <c r="D2040">
        <v>21883</v>
      </c>
    </row>
    <row r="2041" spans="1:4" x14ac:dyDescent="0.2">
      <c r="A2041">
        <v>3693147</v>
      </c>
      <c r="B2041">
        <v>30063</v>
      </c>
      <c r="C2041">
        <v>302357</v>
      </c>
      <c r="D2041">
        <v>21883</v>
      </c>
    </row>
    <row r="2042" spans="1:4" x14ac:dyDescent="0.2">
      <c r="A2042">
        <v>3693147</v>
      </c>
      <c r="B2042">
        <v>30064</v>
      </c>
      <c r="C2042">
        <v>302362</v>
      </c>
      <c r="D2042">
        <v>21883</v>
      </c>
    </row>
    <row r="2043" spans="1:4" x14ac:dyDescent="0.2">
      <c r="A2043">
        <v>3693147</v>
      </c>
      <c r="B2043">
        <v>30065</v>
      </c>
      <c r="C2043">
        <v>302371</v>
      </c>
      <c r="D2043">
        <v>21883</v>
      </c>
    </row>
    <row r="2044" spans="1:4" x14ac:dyDescent="0.2">
      <c r="A2044">
        <v>3693147</v>
      </c>
      <c r="B2044">
        <v>30066</v>
      </c>
      <c r="C2044">
        <v>302436</v>
      </c>
      <c r="D2044">
        <v>21883</v>
      </c>
    </row>
    <row r="2045" spans="1:4" x14ac:dyDescent="0.2">
      <c r="A2045">
        <v>3693147</v>
      </c>
      <c r="B2045">
        <v>30067</v>
      </c>
      <c r="C2045">
        <v>302453</v>
      </c>
      <c r="D2045">
        <v>21883</v>
      </c>
    </row>
    <row r="2046" spans="1:4" x14ac:dyDescent="0.2">
      <c r="A2046">
        <v>3693148</v>
      </c>
      <c r="B2046">
        <v>30063</v>
      </c>
      <c r="C2046">
        <v>302357</v>
      </c>
      <c r="D2046">
        <v>21883</v>
      </c>
    </row>
    <row r="2047" spans="1:4" x14ac:dyDescent="0.2">
      <c r="A2047">
        <v>3693148</v>
      </c>
      <c r="B2047">
        <v>30064</v>
      </c>
      <c r="C2047">
        <v>302362</v>
      </c>
      <c r="D2047">
        <v>21883</v>
      </c>
    </row>
    <row r="2048" spans="1:4" x14ac:dyDescent="0.2">
      <c r="A2048">
        <v>3693148</v>
      </c>
      <c r="B2048">
        <v>30065</v>
      </c>
      <c r="C2048">
        <v>302371</v>
      </c>
      <c r="D2048">
        <v>21883</v>
      </c>
    </row>
    <row r="2049" spans="1:4" x14ac:dyDescent="0.2">
      <c r="A2049">
        <v>3693148</v>
      </c>
      <c r="B2049">
        <v>30066</v>
      </c>
      <c r="C2049">
        <v>302436</v>
      </c>
      <c r="D2049">
        <v>21883</v>
      </c>
    </row>
    <row r="2050" spans="1:4" x14ac:dyDescent="0.2">
      <c r="A2050">
        <v>3693148</v>
      </c>
      <c r="B2050">
        <v>30067</v>
      </c>
      <c r="C2050">
        <v>302453</v>
      </c>
      <c r="D2050">
        <v>21883</v>
      </c>
    </row>
    <row r="2051" spans="1:4" x14ac:dyDescent="0.2">
      <c r="A2051">
        <v>3693149</v>
      </c>
      <c r="B2051">
        <v>30063</v>
      </c>
      <c r="C2051">
        <v>302357</v>
      </c>
      <c r="D2051">
        <v>21883</v>
      </c>
    </row>
    <row r="2052" spans="1:4" x14ac:dyDescent="0.2">
      <c r="A2052">
        <v>3693149</v>
      </c>
      <c r="B2052">
        <v>30064</v>
      </c>
      <c r="C2052">
        <v>302362</v>
      </c>
      <c r="D2052">
        <v>21883</v>
      </c>
    </row>
    <row r="2053" spans="1:4" x14ac:dyDescent="0.2">
      <c r="A2053">
        <v>3693149</v>
      </c>
      <c r="B2053">
        <v>30065</v>
      </c>
      <c r="C2053">
        <v>302371</v>
      </c>
      <c r="D2053">
        <v>21883</v>
      </c>
    </row>
    <row r="2054" spans="1:4" x14ac:dyDescent="0.2">
      <c r="A2054">
        <v>3693149</v>
      </c>
      <c r="B2054">
        <v>30066</v>
      </c>
      <c r="C2054">
        <v>302436</v>
      </c>
      <c r="D2054">
        <v>21883</v>
      </c>
    </row>
    <row r="2055" spans="1:4" x14ac:dyDescent="0.2">
      <c r="A2055">
        <v>3693149</v>
      </c>
      <c r="B2055">
        <v>30067</v>
      </c>
      <c r="C2055">
        <v>302453</v>
      </c>
      <c r="D2055">
        <v>21883</v>
      </c>
    </row>
    <row r="2056" spans="1:4" x14ac:dyDescent="0.2">
      <c r="A2056">
        <v>3693150</v>
      </c>
      <c r="B2056">
        <v>30063</v>
      </c>
      <c r="C2056">
        <v>302357</v>
      </c>
      <c r="D2056">
        <v>21883</v>
      </c>
    </row>
    <row r="2057" spans="1:4" x14ac:dyDescent="0.2">
      <c r="A2057">
        <v>3693150</v>
      </c>
      <c r="B2057">
        <v>30064</v>
      </c>
      <c r="C2057">
        <v>302362</v>
      </c>
      <c r="D2057">
        <v>21883</v>
      </c>
    </row>
    <row r="2058" spans="1:4" x14ac:dyDescent="0.2">
      <c r="A2058">
        <v>3693150</v>
      </c>
      <c r="B2058">
        <v>30065</v>
      </c>
      <c r="C2058">
        <v>302371</v>
      </c>
      <c r="D2058">
        <v>21883</v>
      </c>
    </row>
    <row r="2059" spans="1:4" x14ac:dyDescent="0.2">
      <c r="A2059">
        <v>3693150</v>
      </c>
      <c r="B2059">
        <v>30066</v>
      </c>
      <c r="C2059">
        <v>302436</v>
      </c>
      <c r="D2059">
        <v>21883</v>
      </c>
    </row>
    <row r="2060" spans="1:4" x14ac:dyDescent="0.2">
      <c r="A2060">
        <v>3693150</v>
      </c>
      <c r="B2060">
        <v>30067</v>
      </c>
      <c r="C2060">
        <v>302453</v>
      </c>
      <c r="D2060">
        <v>21883</v>
      </c>
    </row>
    <row r="2061" spans="1:4" x14ac:dyDescent="0.2">
      <c r="A2061">
        <v>3693151</v>
      </c>
      <c r="B2061">
        <v>30063</v>
      </c>
      <c r="C2061">
        <v>302357</v>
      </c>
      <c r="D2061">
        <v>21883</v>
      </c>
    </row>
    <row r="2062" spans="1:4" x14ac:dyDescent="0.2">
      <c r="A2062">
        <v>3693151</v>
      </c>
      <c r="B2062">
        <v>30064</v>
      </c>
      <c r="C2062">
        <v>302362</v>
      </c>
      <c r="D2062">
        <v>21883</v>
      </c>
    </row>
    <row r="2063" spans="1:4" x14ac:dyDescent="0.2">
      <c r="A2063">
        <v>3693151</v>
      </c>
      <c r="B2063">
        <v>30065</v>
      </c>
      <c r="C2063">
        <v>302371</v>
      </c>
      <c r="D2063">
        <v>21883</v>
      </c>
    </row>
    <row r="2064" spans="1:4" x14ac:dyDescent="0.2">
      <c r="A2064">
        <v>3693151</v>
      </c>
      <c r="B2064">
        <v>30066</v>
      </c>
      <c r="C2064">
        <v>302436</v>
      </c>
      <c r="D2064">
        <v>21883</v>
      </c>
    </row>
    <row r="2065" spans="1:4" x14ac:dyDescent="0.2">
      <c r="A2065">
        <v>3693151</v>
      </c>
      <c r="B2065">
        <v>30067</v>
      </c>
      <c r="C2065">
        <v>302452</v>
      </c>
      <c r="D2065">
        <v>21883</v>
      </c>
    </row>
    <row r="2066" spans="1:4" x14ac:dyDescent="0.2">
      <c r="A2066">
        <v>3693152</v>
      </c>
      <c r="B2066">
        <v>30063</v>
      </c>
      <c r="C2066">
        <v>302357</v>
      </c>
      <c r="D2066">
        <v>21883</v>
      </c>
    </row>
    <row r="2067" spans="1:4" x14ac:dyDescent="0.2">
      <c r="A2067">
        <v>3693152</v>
      </c>
      <c r="B2067">
        <v>30064</v>
      </c>
      <c r="C2067">
        <v>302362</v>
      </c>
      <c r="D2067">
        <v>21883</v>
      </c>
    </row>
    <row r="2068" spans="1:4" x14ac:dyDescent="0.2">
      <c r="A2068">
        <v>3693152</v>
      </c>
      <c r="B2068">
        <v>30065</v>
      </c>
      <c r="C2068">
        <v>302371</v>
      </c>
      <c r="D2068">
        <v>21883</v>
      </c>
    </row>
    <row r="2069" spans="1:4" x14ac:dyDescent="0.2">
      <c r="A2069">
        <v>3693152</v>
      </c>
      <c r="B2069">
        <v>30066</v>
      </c>
      <c r="C2069">
        <v>302436</v>
      </c>
      <c r="D2069">
        <v>21883</v>
      </c>
    </row>
    <row r="2070" spans="1:4" x14ac:dyDescent="0.2">
      <c r="A2070">
        <v>3693152</v>
      </c>
      <c r="B2070">
        <v>30067</v>
      </c>
      <c r="C2070">
        <v>302452</v>
      </c>
      <c r="D2070">
        <v>21883</v>
      </c>
    </row>
    <row r="2071" spans="1:4" x14ac:dyDescent="0.2">
      <c r="A2071">
        <v>3693153</v>
      </c>
      <c r="B2071">
        <v>30063</v>
      </c>
      <c r="C2071">
        <v>302357</v>
      </c>
      <c r="D2071">
        <v>21883</v>
      </c>
    </row>
    <row r="2072" spans="1:4" x14ac:dyDescent="0.2">
      <c r="A2072">
        <v>3693153</v>
      </c>
      <c r="B2072">
        <v>30064</v>
      </c>
      <c r="C2072">
        <v>302362</v>
      </c>
      <c r="D2072">
        <v>21883</v>
      </c>
    </row>
    <row r="2073" spans="1:4" x14ac:dyDescent="0.2">
      <c r="A2073">
        <v>3693153</v>
      </c>
      <c r="B2073">
        <v>30065</v>
      </c>
      <c r="C2073">
        <v>302371</v>
      </c>
      <c r="D2073">
        <v>21883</v>
      </c>
    </row>
    <row r="2074" spans="1:4" x14ac:dyDescent="0.2">
      <c r="A2074">
        <v>3693153</v>
      </c>
      <c r="B2074">
        <v>30066</v>
      </c>
      <c r="C2074">
        <v>302436</v>
      </c>
      <c r="D2074">
        <v>21883</v>
      </c>
    </row>
    <row r="2075" spans="1:4" x14ac:dyDescent="0.2">
      <c r="A2075">
        <v>3693153</v>
      </c>
      <c r="B2075">
        <v>30067</v>
      </c>
      <c r="C2075">
        <v>302452</v>
      </c>
      <c r="D2075">
        <v>21883</v>
      </c>
    </row>
    <row r="2076" spans="1:4" x14ac:dyDescent="0.2">
      <c r="A2076">
        <v>3693154</v>
      </c>
      <c r="B2076">
        <v>30063</v>
      </c>
      <c r="C2076">
        <v>302357</v>
      </c>
      <c r="D2076">
        <v>21883</v>
      </c>
    </row>
    <row r="2077" spans="1:4" x14ac:dyDescent="0.2">
      <c r="A2077">
        <v>3693154</v>
      </c>
      <c r="B2077">
        <v>30064</v>
      </c>
      <c r="C2077">
        <v>302362</v>
      </c>
      <c r="D2077">
        <v>21883</v>
      </c>
    </row>
    <row r="2078" spans="1:4" x14ac:dyDescent="0.2">
      <c r="A2078">
        <v>3693154</v>
      </c>
      <c r="B2078">
        <v>30065</v>
      </c>
      <c r="C2078">
        <v>302371</v>
      </c>
      <c r="D2078">
        <v>21883</v>
      </c>
    </row>
    <row r="2079" spans="1:4" x14ac:dyDescent="0.2">
      <c r="A2079">
        <v>3693154</v>
      </c>
      <c r="B2079">
        <v>30066</v>
      </c>
      <c r="C2079">
        <v>302436</v>
      </c>
      <c r="D2079">
        <v>21883</v>
      </c>
    </row>
    <row r="2080" spans="1:4" x14ac:dyDescent="0.2">
      <c r="A2080">
        <v>3693154</v>
      </c>
      <c r="B2080">
        <v>30067</v>
      </c>
      <c r="C2080">
        <v>302452</v>
      </c>
      <c r="D2080">
        <v>21883</v>
      </c>
    </row>
    <row r="2081" spans="1:4" x14ac:dyDescent="0.2">
      <c r="A2081">
        <v>3693155</v>
      </c>
      <c r="B2081">
        <v>30063</v>
      </c>
      <c r="C2081">
        <v>302357</v>
      </c>
      <c r="D2081">
        <v>21883</v>
      </c>
    </row>
    <row r="2082" spans="1:4" x14ac:dyDescent="0.2">
      <c r="A2082">
        <v>3693155</v>
      </c>
      <c r="B2082">
        <v>30064</v>
      </c>
      <c r="C2082">
        <v>302362</v>
      </c>
      <c r="D2082">
        <v>21883</v>
      </c>
    </row>
    <row r="2083" spans="1:4" x14ac:dyDescent="0.2">
      <c r="A2083">
        <v>3693155</v>
      </c>
      <c r="B2083">
        <v>30065</v>
      </c>
      <c r="C2083">
        <v>302371</v>
      </c>
      <c r="D2083">
        <v>21883</v>
      </c>
    </row>
    <row r="2084" spans="1:4" x14ac:dyDescent="0.2">
      <c r="A2084">
        <v>3693155</v>
      </c>
      <c r="B2084">
        <v>30066</v>
      </c>
      <c r="C2084">
        <v>302436</v>
      </c>
      <c r="D2084">
        <v>21883</v>
      </c>
    </row>
    <row r="2085" spans="1:4" x14ac:dyDescent="0.2">
      <c r="A2085">
        <v>3693155</v>
      </c>
      <c r="B2085">
        <v>30067</v>
      </c>
      <c r="C2085">
        <v>302451</v>
      </c>
      <c r="D2085">
        <v>21883</v>
      </c>
    </row>
    <row r="2086" spans="1:4" x14ac:dyDescent="0.2">
      <c r="A2086">
        <v>3693156</v>
      </c>
      <c r="B2086">
        <v>30063</v>
      </c>
      <c r="C2086">
        <v>302357</v>
      </c>
      <c r="D2086">
        <v>21883</v>
      </c>
    </row>
    <row r="2087" spans="1:4" x14ac:dyDescent="0.2">
      <c r="A2087">
        <v>3693156</v>
      </c>
      <c r="B2087">
        <v>30064</v>
      </c>
      <c r="C2087">
        <v>302362</v>
      </c>
      <c r="D2087">
        <v>21883</v>
      </c>
    </row>
    <row r="2088" spans="1:4" x14ac:dyDescent="0.2">
      <c r="A2088">
        <v>3693156</v>
      </c>
      <c r="B2088">
        <v>30065</v>
      </c>
      <c r="C2088">
        <v>302371</v>
      </c>
      <c r="D2088">
        <v>21883</v>
      </c>
    </row>
    <row r="2089" spans="1:4" x14ac:dyDescent="0.2">
      <c r="A2089">
        <v>3693156</v>
      </c>
      <c r="B2089">
        <v>30066</v>
      </c>
      <c r="C2089">
        <v>302436</v>
      </c>
      <c r="D2089">
        <v>21883</v>
      </c>
    </row>
    <row r="2090" spans="1:4" x14ac:dyDescent="0.2">
      <c r="A2090">
        <v>3693156</v>
      </c>
      <c r="B2090">
        <v>30067</v>
      </c>
      <c r="C2090">
        <v>302451</v>
      </c>
      <c r="D2090">
        <v>21883</v>
      </c>
    </row>
    <row r="2091" spans="1:4" x14ac:dyDescent="0.2">
      <c r="A2091">
        <v>3693157</v>
      </c>
      <c r="B2091">
        <v>30063</v>
      </c>
      <c r="C2091">
        <v>302357</v>
      </c>
      <c r="D2091">
        <v>21883</v>
      </c>
    </row>
    <row r="2092" spans="1:4" x14ac:dyDescent="0.2">
      <c r="A2092">
        <v>3693157</v>
      </c>
      <c r="B2092">
        <v>30064</v>
      </c>
      <c r="C2092">
        <v>302362</v>
      </c>
      <c r="D2092">
        <v>21883</v>
      </c>
    </row>
    <row r="2093" spans="1:4" x14ac:dyDescent="0.2">
      <c r="A2093">
        <v>3693157</v>
      </c>
      <c r="B2093">
        <v>30065</v>
      </c>
      <c r="C2093">
        <v>302371</v>
      </c>
      <c r="D2093">
        <v>21883</v>
      </c>
    </row>
    <row r="2094" spans="1:4" x14ac:dyDescent="0.2">
      <c r="A2094">
        <v>3693157</v>
      </c>
      <c r="B2094">
        <v>30066</v>
      </c>
      <c r="C2094">
        <v>302436</v>
      </c>
      <c r="D2094">
        <v>21883</v>
      </c>
    </row>
    <row r="2095" spans="1:4" x14ac:dyDescent="0.2">
      <c r="A2095">
        <v>3693157</v>
      </c>
      <c r="B2095">
        <v>30067</v>
      </c>
      <c r="C2095">
        <v>302451</v>
      </c>
      <c r="D2095">
        <v>21883</v>
      </c>
    </row>
    <row r="2096" spans="1:4" x14ac:dyDescent="0.2">
      <c r="A2096">
        <v>3693158</v>
      </c>
      <c r="B2096">
        <v>30063</v>
      </c>
      <c r="C2096">
        <v>302357</v>
      </c>
      <c r="D2096">
        <v>21883</v>
      </c>
    </row>
    <row r="2097" spans="1:4" x14ac:dyDescent="0.2">
      <c r="A2097">
        <v>3693158</v>
      </c>
      <c r="B2097">
        <v>30064</v>
      </c>
      <c r="C2097">
        <v>302362</v>
      </c>
      <c r="D2097">
        <v>21883</v>
      </c>
    </row>
    <row r="2098" spans="1:4" x14ac:dyDescent="0.2">
      <c r="A2098">
        <v>3693158</v>
      </c>
      <c r="B2098">
        <v>30065</v>
      </c>
      <c r="C2098">
        <v>302371</v>
      </c>
      <c r="D2098">
        <v>21883</v>
      </c>
    </row>
    <row r="2099" spans="1:4" x14ac:dyDescent="0.2">
      <c r="A2099">
        <v>3693158</v>
      </c>
      <c r="B2099">
        <v>30066</v>
      </c>
      <c r="C2099">
        <v>302436</v>
      </c>
      <c r="D2099">
        <v>21883</v>
      </c>
    </row>
    <row r="2100" spans="1:4" x14ac:dyDescent="0.2">
      <c r="A2100">
        <v>3693158</v>
      </c>
      <c r="B2100">
        <v>30067</v>
      </c>
      <c r="C2100">
        <v>302451</v>
      </c>
      <c r="D2100">
        <v>21883</v>
      </c>
    </row>
    <row r="2101" spans="1:4" x14ac:dyDescent="0.2">
      <c r="A2101">
        <v>3693159</v>
      </c>
      <c r="B2101">
        <v>30063</v>
      </c>
      <c r="C2101">
        <v>302356</v>
      </c>
      <c r="D2101">
        <v>21883</v>
      </c>
    </row>
    <row r="2102" spans="1:4" x14ac:dyDescent="0.2">
      <c r="A2102">
        <v>3693159</v>
      </c>
      <c r="B2102">
        <v>30064</v>
      </c>
      <c r="C2102">
        <v>302410</v>
      </c>
      <c r="D2102">
        <v>21883</v>
      </c>
    </row>
    <row r="2103" spans="1:4" x14ac:dyDescent="0.2">
      <c r="A2103">
        <v>3693159</v>
      </c>
      <c r="B2103">
        <v>30065</v>
      </c>
      <c r="C2103">
        <v>302371</v>
      </c>
      <c r="D2103">
        <v>21883</v>
      </c>
    </row>
    <row r="2104" spans="1:4" x14ac:dyDescent="0.2">
      <c r="A2104">
        <v>3693159</v>
      </c>
      <c r="B2104">
        <v>30066</v>
      </c>
      <c r="C2104">
        <v>302402</v>
      </c>
      <c r="D2104">
        <v>21883</v>
      </c>
    </row>
    <row r="2105" spans="1:4" x14ac:dyDescent="0.2">
      <c r="A2105">
        <v>3693159</v>
      </c>
      <c r="B2105">
        <v>30069</v>
      </c>
      <c r="C2105">
        <v>302440</v>
      </c>
      <c r="D2105">
        <v>21883</v>
      </c>
    </row>
    <row r="2106" spans="1:4" x14ac:dyDescent="0.2">
      <c r="A2106">
        <v>3693160</v>
      </c>
      <c r="B2106">
        <v>30063</v>
      </c>
      <c r="C2106">
        <v>302356</v>
      </c>
      <c r="D2106">
        <v>21883</v>
      </c>
    </row>
    <row r="2107" spans="1:4" x14ac:dyDescent="0.2">
      <c r="A2107">
        <v>3693160</v>
      </c>
      <c r="B2107">
        <v>30064</v>
      </c>
      <c r="C2107">
        <v>302410</v>
      </c>
      <c r="D2107">
        <v>21883</v>
      </c>
    </row>
    <row r="2108" spans="1:4" x14ac:dyDescent="0.2">
      <c r="A2108">
        <v>3693160</v>
      </c>
      <c r="B2108">
        <v>30065</v>
      </c>
      <c r="C2108">
        <v>302371</v>
      </c>
      <c r="D2108">
        <v>21883</v>
      </c>
    </row>
    <row r="2109" spans="1:4" x14ac:dyDescent="0.2">
      <c r="A2109">
        <v>3693160</v>
      </c>
      <c r="B2109">
        <v>30066</v>
      </c>
      <c r="C2109">
        <v>302401</v>
      </c>
      <c r="D2109">
        <v>21883</v>
      </c>
    </row>
    <row r="2110" spans="1:4" x14ac:dyDescent="0.2">
      <c r="A2110">
        <v>3693160</v>
      </c>
      <c r="B2110">
        <v>30069</v>
      </c>
      <c r="C2110">
        <v>302440</v>
      </c>
      <c r="D2110">
        <v>21883</v>
      </c>
    </row>
    <row r="2111" spans="1:4" x14ac:dyDescent="0.2">
      <c r="A2111">
        <v>3693161</v>
      </c>
      <c r="B2111">
        <v>30063</v>
      </c>
      <c r="C2111">
        <v>302356</v>
      </c>
      <c r="D2111">
        <v>21883</v>
      </c>
    </row>
    <row r="2112" spans="1:4" x14ac:dyDescent="0.2">
      <c r="A2112">
        <v>3693161</v>
      </c>
      <c r="B2112">
        <v>30064</v>
      </c>
      <c r="C2112">
        <v>302410</v>
      </c>
      <c r="D2112">
        <v>21883</v>
      </c>
    </row>
    <row r="2113" spans="1:4" x14ac:dyDescent="0.2">
      <c r="A2113">
        <v>3693161</v>
      </c>
      <c r="B2113">
        <v>30065</v>
      </c>
      <c r="C2113">
        <v>302371</v>
      </c>
      <c r="D2113">
        <v>21883</v>
      </c>
    </row>
    <row r="2114" spans="1:4" x14ac:dyDescent="0.2">
      <c r="A2114">
        <v>3693161</v>
      </c>
      <c r="B2114">
        <v>30066</v>
      </c>
      <c r="C2114">
        <v>302400</v>
      </c>
      <c r="D2114">
        <v>21883</v>
      </c>
    </row>
    <row r="2115" spans="1:4" x14ac:dyDescent="0.2">
      <c r="A2115">
        <v>3693161</v>
      </c>
      <c r="B2115">
        <v>30069</v>
      </c>
      <c r="C2115">
        <v>302440</v>
      </c>
      <c r="D2115">
        <v>21883</v>
      </c>
    </row>
    <row r="2116" spans="1:4" x14ac:dyDescent="0.2">
      <c r="A2116">
        <v>3693162</v>
      </c>
      <c r="B2116">
        <v>30063</v>
      </c>
      <c r="C2116">
        <v>302356</v>
      </c>
      <c r="D2116">
        <v>21883</v>
      </c>
    </row>
    <row r="2117" spans="1:4" x14ac:dyDescent="0.2">
      <c r="A2117">
        <v>3693162</v>
      </c>
      <c r="B2117">
        <v>30064</v>
      </c>
      <c r="C2117">
        <v>302410</v>
      </c>
      <c r="D2117">
        <v>21883</v>
      </c>
    </row>
    <row r="2118" spans="1:4" x14ac:dyDescent="0.2">
      <c r="A2118">
        <v>3693162</v>
      </c>
      <c r="B2118">
        <v>30065</v>
      </c>
      <c r="C2118">
        <v>302371</v>
      </c>
      <c r="D2118">
        <v>21883</v>
      </c>
    </row>
    <row r="2119" spans="1:4" x14ac:dyDescent="0.2">
      <c r="A2119">
        <v>3693162</v>
      </c>
      <c r="B2119">
        <v>30066</v>
      </c>
      <c r="C2119">
        <v>302400</v>
      </c>
      <c r="D2119">
        <v>21883</v>
      </c>
    </row>
    <row r="2120" spans="1:4" x14ac:dyDescent="0.2">
      <c r="A2120">
        <v>3693162</v>
      </c>
      <c r="B2120">
        <v>30069</v>
      </c>
      <c r="C2120">
        <v>302440</v>
      </c>
      <c r="D2120">
        <v>21883</v>
      </c>
    </row>
    <row r="2121" spans="1:4" x14ac:dyDescent="0.2">
      <c r="A2121">
        <v>3693163</v>
      </c>
      <c r="B2121">
        <v>30063</v>
      </c>
      <c r="C2121">
        <v>302356</v>
      </c>
      <c r="D2121">
        <v>21883</v>
      </c>
    </row>
    <row r="2122" spans="1:4" x14ac:dyDescent="0.2">
      <c r="A2122">
        <v>3693163</v>
      </c>
      <c r="B2122">
        <v>30064</v>
      </c>
      <c r="C2122">
        <v>302410</v>
      </c>
      <c r="D2122">
        <v>21883</v>
      </c>
    </row>
    <row r="2123" spans="1:4" x14ac:dyDescent="0.2">
      <c r="A2123">
        <v>3693163</v>
      </c>
      <c r="B2123">
        <v>30065</v>
      </c>
      <c r="C2123">
        <v>302371</v>
      </c>
      <c r="D2123">
        <v>21883</v>
      </c>
    </row>
    <row r="2124" spans="1:4" x14ac:dyDescent="0.2">
      <c r="A2124">
        <v>3693163</v>
      </c>
      <c r="B2124">
        <v>30066</v>
      </c>
      <c r="C2124">
        <v>302401</v>
      </c>
      <c r="D2124">
        <v>21883</v>
      </c>
    </row>
    <row r="2125" spans="1:4" x14ac:dyDescent="0.2">
      <c r="A2125">
        <v>3693163</v>
      </c>
      <c r="B2125">
        <v>30069</v>
      </c>
      <c r="C2125">
        <v>302440</v>
      </c>
      <c r="D2125">
        <v>21883</v>
      </c>
    </row>
    <row r="2126" spans="1:4" x14ac:dyDescent="0.2">
      <c r="A2126">
        <v>3693164</v>
      </c>
      <c r="B2126">
        <v>30063</v>
      </c>
      <c r="C2126">
        <v>302356</v>
      </c>
      <c r="D2126">
        <v>21883</v>
      </c>
    </row>
    <row r="2127" spans="1:4" x14ac:dyDescent="0.2">
      <c r="A2127">
        <v>3693164</v>
      </c>
      <c r="B2127">
        <v>30064</v>
      </c>
      <c r="C2127">
        <v>302410</v>
      </c>
      <c r="D2127">
        <v>21883</v>
      </c>
    </row>
    <row r="2128" spans="1:4" x14ac:dyDescent="0.2">
      <c r="A2128">
        <v>3693164</v>
      </c>
      <c r="B2128">
        <v>30065</v>
      </c>
      <c r="C2128">
        <v>302371</v>
      </c>
      <c r="D2128">
        <v>21883</v>
      </c>
    </row>
    <row r="2129" spans="1:4" x14ac:dyDescent="0.2">
      <c r="A2129">
        <v>3693164</v>
      </c>
      <c r="B2129">
        <v>30066</v>
      </c>
      <c r="C2129">
        <v>302402</v>
      </c>
      <c r="D2129">
        <v>21883</v>
      </c>
    </row>
    <row r="2130" spans="1:4" x14ac:dyDescent="0.2">
      <c r="A2130">
        <v>3693164</v>
      </c>
      <c r="B2130">
        <v>30069</v>
      </c>
      <c r="C2130">
        <v>302440</v>
      </c>
      <c r="D2130">
        <v>21883</v>
      </c>
    </row>
    <row r="2131" spans="1:4" x14ac:dyDescent="0.2">
      <c r="A2131">
        <v>3693165</v>
      </c>
      <c r="B2131">
        <v>30063</v>
      </c>
      <c r="C2131">
        <v>302356</v>
      </c>
      <c r="D2131">
        <v>21883</v>
      </c>
    </row>
    <row r="2132" spans="1:4" x14ac:dyDescent="0.2">
      <c r="A2132">
        <v>3693165</v>
      </c>
      <c r="B2132">
        <v>30064</v>
      </c>
      <c r="C2132">
        <v>302396</v>
      </c>
      <c r="D2132">
        <v>21883</v>
      </c>
    </row>
    <row r="2133" spans="1:4" x14ac:dyDescent="0.2">
      <c r="A2133">
        <v>3693165</v>
      </c>
      <c r="B2133">
        <v>30065</v>
      </c>
      <c r="C2133">
        <v>302371</v>
      </c>
      <c r="D2133">
        <v>21883</v>
      </c>
    </row>
    <row r="2134" spans="1:4" x14ac:dyDescent="0.2">
      <c r="A2134">
        <v>3693165</v>
      </c>
      <c r="B2134">
        <v>30066</v>
      </c>
      <c r="C2134">
        <v>302435</v>
      </c>
      <c r="D2134">
        <v>21883</v>
      </c>
    </row>
    <row r="2135" spans="1:4" x14ac:dyDescent="0.2">
      <c r="A2135">
        <v>3693165</v>
      </c>
      <c r="B2135">
        <v>30069</v>
      </c>
      <c r="C2135">
        <v>302440</v>
      </c>
      <c r="D2135">
        <v>21883</v>
      </c>
    </row>
    <row r="2136" spans="1:4" x14ac:dyDescent="0.2">
      <c r="A2136">
        <v>3693166</v>
      </c>
      <c r="B2136">
        <v>30063</v>
      </c>
      <c r="C2136">
        <v>302356</v>
      </c>
      <c r="D2136">
        <v>21883</v>
      </c>
    </row>
    <row r="2137" spans="1:4" x14ac:dyDescent="0.2">
      <c r="A2137">
        <v>3693166</v>
      </c>
      <c r="B2137">
        <v>30064</v>
      </c>
      <c r="C2137">
        <v>302396</v>
      </c>
      <c r="D2137">
        <v>21883</v>
      </c>
    </row>
    <row r="2138" spans="1:4" x14ac:dyDescent="0.2">
      <c r="A2138">
        <v>3693166</v>
      </c>
      <c r="B2138">
        <v>30065</v>
      </c>
      <c r="C2138">
        <v>302371</v>
      </c>
      <c r="D2138">
        <v>21883</v>
      </c>
    </row>
    <row r="2139" spans="1:4" x14ac:dyDescent="0.2">
      <c r="A2139">
        <v>3693166</v>
      </c>
      <c r="B2139">
        <v>30066</v>
      </c>
      <c r="C2139">
        <v>302434</v>
      </c>
      <c r="D2139">
        <v>21883</v>
      </c>
    </row>
    <row r="2140" spans="1:4" x14ac:dyDescent="0.2">
      <c r="A2140">
        <v>3693166</v>
      </c>
      <c r="B2140">
        <v>30069</v>
      </c>
      <c r="C2140">
        <v>302440</v>
      </c>
      <c r="D2140">
        <v>21883</v>
      </c>
    </row>
    <row r="2141" spans="1:4" x14ac:dyDescent="0.2">
      <c r="A2141">
        <v>3693167</v>
      </c>
      <c r="B2141">
        <v>30063</v>
      </c>
      <c r="C2141">
        <v>302356</v>
      </c>
      <c r="D2141">
        <v>21883</v>
      </c>
    </row>
    <row r="2142" spans="1:4" x14ac:dyDescent="0.2">
      <c r="A2142">
        <v>3693167</v>
      </c>
      <c r="B2142">
        <v>30064</v>
      </c>
      <c r="C2142">
        <v>302396</v>
      </c>
      <c r="D2142">
        <v>21883</v>
      </c>
    </row>
    <row r="2143" spans="1:4" x14ac:dyDescent="0.2">
      <c r="A2143">
        <v>3693167</v>
      </c>
      <c r="B2143">
        <v>30065</v>
      </c>
      <c r="C2143">
        <v>302371</v>
      </c>
      <c r="D2143">
        <v>21883</v>
      </c>
    </row>
    <row r="2144" spans="1:4" x14ac:dyDescent="0.2">
      <c r="A2144">
        <v>3693167</v>
      </c>
      <c r="B2144">
        <v>30066</v>
      </c>
      <c r="C2144">
        <v>302434</v>
      </c>
      <c r="D2144">
        <v>21883</v>
      </c>
    </row>
    <row r="2145" spans="1:4" x14ac:dyDescent="0.2">
      <c r="A2145">
        <v>3693167</v>
      </c>
      <c r="B2145">
        <v>30069</v>
      </c>
      <c r="C2145">
        <v>302440</v>
      </c>
      <c r="D2145">
        <v>21883</v>
      </c>
    </row>
    <row r="2146" spans="1:4" x14ac:dyDescent="0.2">
      <c r="A2146">
        <v>3693168</v>
      </c>
      <c r="B2146">
        <v>30063</v>
      </c>
      <c r="C2146">
        <v>302356</v>
      </c>
      <c r="D2146">
        <v>21883</v>
      </c>
    </row>
    <row r="2147" spans="1:4" x14ac:dyDescent="0.2">
      <c r="A2147">
        <v>3693168</v>
      </c>
      <c r="B2147">
        <v>30064</v>
      </c>
      <c r="C2147">
        <v>302367</v>
      </c>
      <c r="D2147">
        <v>21883</v>
      </c>
    </row>
    <row r="2148" spans="1:4" x14ac:dyDescent="0.2">
      <c r="A2148">
        <v>3693168</v>
      </c>
      <c r="B2148">
        <v>30065</v>
      </c>
      <c r="C2148">
        <v>302371</v>
      </c>
      <c r="D2148">
        <v>21883</v>
      </c>
    </row>
    <row r="2149" spans="1:4" x14ac:dyDescent="0.2">
      <c r="A2149">
        <v>3693168</v>
      </c>
      <c r="B2149">
        <v>30066</v>
      </c>
      <c r="C2149">
        <v>302401</v>
      </c>
      <c r="D2149">
        <v>21883</v>
      </c>
    </row>
    <row r="2150" spans="1:4" x14ac:dyDescent="0.2">
      <c r="A2150">
        <v>3693168</v>
      </c>
      <c r="B2150">
        <v>30069</v>
      </c>
      <c r="C2150">
        <v>302440</v>
      </c>
      <c r="D2150">
        <v>21883</v>
      </c>
    </row>
    <row r="2151" spans="1:4" x14ac:dyDescent="0.2">
      <c r="A2151">
        <v>3693169</v>
      </c>
      <c r="B2151">
        <v>30063</v>
      </c>
      <c r="C2151">
        <v>302356</v>
      </c>
      <c r="D2151">
        <v>21883</v>
      </c>
    </row>
    <row r="2152" spans="1:4" x14ac:dyDescent="0.2">
      <c r="A2152">
        <v>3693169</v>
      </c>
      <c r="B2152">
        <v>30064</v>
      </c>
      <c r="C2152">
        <v>302394</v>
      </c>
      <c r="D2152">
        <v>21883</v>
      </c>
    </row>
    <row r="2153" spans="1:4" x14ac:dyDescent="0.2">
      <c r="A2153">
        <v>3693169</v>
      </c>
      <c r="B2153">
        <v>30065</v>
      </c>
      <c r="C2153">
        <v>302371</v>
      </c>
      <c r="D2153">
        <v>21883</v>
      </c>
    </row>
    <row r="2154" spans="1:4" x14ac:dyDescent="0.2">
      <c r="A2154">
        <v>3693169</v>
      </c>
      <c r="B2154">
        <v>30066</v>
      </c>
      <c r="C2154">
        <v>302401</v>
      </c>
      <c r="D2154">
        <v>21883</v>
      </c>
    </row>
    <row r="2155" spans="1:4" x14ac:dyDescent="0.2">
      <c r="A2155">
        <v>3693169</v>
      </c>
      <c r="B2155">
        <v>30069</v>
      </c>
      <c r="C2155">
        <v>302440</v>
      </c>
      <c r="D2155">
        <v>21883</v>
      </c>
    </row>
    <row r="2156" spans="1:4" x14ac:dyDescent="0.2">
      <c r="A2156">
        <v>3693170</v>
      </c>
      <c r="B2156">
        <v>30063</v>
      </c>
      <c r="C2156">
        <v>302356</v>
      </c>
      <c r="D2156">
        <v>21883</v>
      </c>
    </row>
    <row r="2157" spans="1:4" x14ac:dyDescent="0.2">
      <c r="A2157">
        <v>3693170</v>
      </c>
      <c r="B2157">
        <v>30064</v>
      </c>
      <c r="C2157">
        <v>302394</v>
      </c>
      <c r="D2157">
        <v>21883</v>
      </c>
    </row>
    <row r="2158" spans="1:4" x14ac:dyDescent="0.2">
      <c r="A2158">
        <v>3693170</v>
      </c>
      <c r="B2158">
        <v>30065</v>
      </c>
      <c r="C2158">
        <v>302371</v>
      </c>
      <c r="D2158">
        <v>21883</v>
      </c>
    </row>
    <row r="2159" spans="1:4" x14ac:dyDescent="0.2">
      <c r="A2159">
        <v>3693170</v>
      </c>
      <c r="B2159">
        <v>30066</v>
      </c>
      <c r="C2159">
        <v>302401</v>
      </c>
      <c r="D2159">
        <v>21883</v>
      </c>
    </row>
    <row r="2160" spans="1:4" x14ac:dyDescent="0.2">
      <c r="A2160">
        <v>3693170</v>
      </c>
      <c r="B2160">
        <v>30069</v>
      </c>
      <c r="C2160">
        <v>302440</v>
      </c>
      <c r="D2160">
        <v>21883</v>
      </c>
    </row>
    <row r="2161" spans="1:4" x14ac:dyDescent="0.2">
      <c r="A2161">
        <v>3693171</v>
      </c>
      <c r="B2161">
        <v>30063</v>
      </c>
      <c r="C2161">
        <v>302356</v>
      </c>
      <c r="D2161">
        <v>21883</v>
      </c>
    </row>
    <row r="2162" spans="1:4" x14ac:dyDescent="0.2">
      <c r="A2162">
        <v>3693171</v>
      </c>
      <c r="B2162">
        <v>30064</v>
      </c>
      <c r="C2162">
        <v>302367</v>
      </c>
      <c r="D2162">
        <v>21883</v>
      </c>
    </row>
    <row r="2163" spans="1:4" x14ac:dyDescent="0.2">
      <c r="A2163">
        <v>3693171</v>
      </c>
      <c r="B2163">
        <v>30065</v>
      </c>
      <c r="C2163">
        <v>302371</v>
      </c>
      <c r="D2163">
        <v>21883</v>
      </c>
    </row>
    <row r="2164" spans="1:4" x14ac:dyDescent="0.2">
      <c r="A2164">
        <v>3693171</v>
      </c>
      <c r="B2164">
        <v>30066</v>
      </c>
      <c r="C2164">
        <v>302400</v>
      </c>
      <c r="D2164">
        <v>21883</v>
      </c>
    </row>
    <row r="2165" spans="1:4" x14ac:dyDescent="0.2">
      <c r="A2165">
        <v>3693171</v>
      </c>
      <c r="B2165">
        <v>30069</v>
      </c>
      <c r="C2165">
        <v>302440</v>
      </c>
      <c r="D2165">
        <v>21883</v>
      </c>
    </row>
    <row r="2166" spans="1:4" x14ac:dyDescent="0.2">
      <c r="A2166">
        <v>3693172</v>
      </c>
      <c r="B2166">
        <v>30063</v>
      </c>
      <c r="C2166">
        <v>302356</v>
      </c>
      <c r="D2166">
        <v>21883</v>
      </c>
    </row>
    <row r="2167" spans="1:4" x14ac:dyDescent="0.2">
      <c r="A2167">
        <v>3693172</v>
      </c>
      <c r="B2167">
        <v>30064</v>
      </c>
      <c r="C2167">
        <v>302394</v>
      </c>
      <c r="D2167">
        <v>21883</v>
      </c>
    </row>
    <row r="2168" spans="1:4" x14ac:dyDescent="0.2">
      <c r="A2168">
        <v>3693172</v>
      </c>
      <c r="B2168">
        <v>30065</v>
      </c>
      <c r="C2168">
        <v>302371</v>
      </c>
      <c r="D2168">
        <v>21883</v>
      </c>
    </row>
    <row r="2169" spans="1:4" x14ac:dyDescent="0.2">
      <c r="A2169">
        <v>3693172</v>
      </c>
      <c r="B2169">
        <v>30066</v>
      </c>
      <c r="C2169">
        <v>302400</v>
      </c>
      <c r="D2169">
        <v>21883</v>
      </c>
    </row>
    <row r="2170" spans="1:4" x14ac:dyDescent="0.2">
      <c r="A2170">
        <v>3693172</v>
      </c>
      <c r="B2170">
        <v>30069</v>
      </c>
      <c r="C2170">
        <v>302440</v>
      </c>
      <c r="D2170">
        <v>21883</v>
      </c>
    </row>
    <row r="2171" spans="1:4" x14ac:dyDescent="0.2">
      <c r="A2171">
        <v>3693173</v>
      </c>
      <c r="B2171">
        <v>30063</v>
      </c>
      <c r="C2171">
        <v>302356</v>
      </c>
      <c r="D2171">
        <v>21883</v>
      </c>
    </row>
    <row r="2172" spans="1:4" x14ac:dyDescent="0.2">
      <c r="A2172">
        <v>3693173</v>
      </c>
      <c r="B2172">
        <v>30064</v>
      </c>
      <c r="C2172">
        <v>302394</v>
      </c>
      <c r="D2172">
        <v>21883</v>
      </c>
    </row>
    <row r="2173" spans="1:4" x14ac:dyDescent="0.2">
      <c r="A2173">
        <v>3693173</v>
      </c>
      <c r="B2173">
        <v>30065</v>
      </c>
      <c r="C2173">
        <v>302371</v>
      </c>
      <c r="D2173">
        <v>21883</v>
      </c>
    </row>
    <row r="2174" spans="1:4" x14ac:dyDescent="0.2">
      <c r="A2174">
        <v>3693173</v>
      </c>
      <c r="B2174">
        <v>30066</v>
      </c>
      <c r="C2174">
        <v>302400</v>
      </c>
      <c r="D2174">
        <v>21883</v>
      </c>
    </row>
    <row r="2175" spans="1:4" x14ac:dyDescent="0.2">
      <c r="A2175">
        <v>3693173</v>
      </c>
      <c r="B2175">
        <v>30069</v>
      </c>
      <c r="C2175">
        <v>302440</v>
      </c>
      <c r="D2175">
        <v>21883</v>
      </c>
    </row>
    <row r="2176" spans="1:4" x14ac:dyDescent="0.2">
      <c r="A2176">
        <v>3693174</v>
      </c>
      <c r="B2176">
        <v>30063</v>
      </c>
      <c r="C2176">
        <v>302356</v>
      </c>
      <c r="D2176">
        <v>21883</v>
      </c>
    </row>
    <row r="2177" spans="1:4" x14ac:dyDescent="0.2">
      <c r="A2177">
        <v>3693174</v>
      </c>
      <c r="B2177">
        <v>30064</v>
      </c>
      <c r="C2177">
        <v>302367</v>
      </c>
      <c r="D2177">
        <v>21883</v>
      </c>
    </row>
    <row r="2178" spans="1:4" x14ac:dyDescent="0.2">
      <c r="A2178">
        <v>3693174</v>
      </c>
      <c r="B2178">
        <v>30065</v>
      </c>
      <c r="C2178">
        <v>302371</v>
      </c>
      <c r="D2178">
        <v>21883</v>
      </c>
    </row>
    <row r="2179" spans="1:4" x14ac:dyDescent="0.2">
      <c r="A2179">
        <v>3693174</v>
      </c>
      <c r="B2179">
        <v>30066</v>
      </c>
      <c r="C2179">
        <v>302402</v>
      </c>
      <c r="D2179">
        <v>21883</v>
      </c>
    </row>
    <row r="2180" spans="1:4" x14ac:dyDescent="0.2">
      <c r="A2180">
        <v>3693174</v>
      </c>
      <c r="B2180">
        <v>30069</v>
      </c>
      <c r="C2180">
        <v>302440</v>
      </c>
      <c r="D2180">
        <v>21883</v>
      </c>
    </row>
    <row r="2181" spans="1:4" x14ac:dyDescent="0.2">
      <c r="A2181">
        <v>3693175</v>
      </c>
      <c r="B2181">
        <v>30063</v>
      </c>
      <c r="C2181">
        <v>302356</v>
      </c>
      <c r="D2181">
        <v>21883</v>
      </c>
    </row>
    <row r="2182" spans="1:4" x14ac:dyDescent="0.2">
      <c r="A2182">
        <v>3693175</v>
      </c>
      <c r="B2182">
        <v>30064</v>
      </c>
      <c r="C2182">
        <v>302394</v>
      </c>
      <c r="D2182">
        <v>21883</v>
      </c>
    </row>
    <row r="2183" spans="1:4" x14ac:dyDescent="0.2">
      <c r="A2183">
        <v>3693175</v>
      </c>
      <c r="B2183">
        <v>30065</v>
      </c>
      <c r="C2183">
        <v>302371</v>
      </c>
      <c r="D2183">
        <v>21883</v>
      </c>
    </row>
    <row r="2184" spans="1:4" x14ac:dyDescent="0.2">
      <c r="A2184">
        <v>3693175</v>
      </c>
      <c r="B2184">
        <v>30066</v>
      </c>
      <c r="C2184">
        <v>302402</v>
      </c>
      <c r="D2184">
        <v>21883</v>
      </c>
    </row>
    <row r="2185" spans="1:4" x14ac:dyDescent="0.2">
      <c r="A2185">
        <v>3693175</v>
      </c>
      <c r="B2185">
        <v>30069</v>
      </c>
      <c r="C2185">
        <v>302440</v>
      </c>
      <c r="D2185">
        <v>21883</v>
      </c>
    </row>
    <row r="2186" spans="1:4" x14ac:dyDescent="0.2">
      <c r="A2186">
        <v>3693176</v>
      </c>
      <c r="B2186">
        <v>30063</v>
      </c>
      <c r="C2186">
        <v>302356</v>
      </c>
      <c r="D2186">
        <v>21883</v>
      </c>
    </row>
    <row r="2187" spans="1:4" x14ac:dyDescent="0.2">
      <c r="A2187">
        <v>3693176</v>
      </c>
      <c r="B2187">
        <v>30064</v>
      </c>
      <c r="C2187">
        <v>302394</v>
      </c>
      <c r="D2187">
        <v>21883</v>
      </c>
    </row>
    <row r="2188" spans="1:4" x14ac:dyDescent="0.2">
      <c r="A2188">
        <v>3693176</v>
      </c>
      <c r="B2188">
        <v>30065</v>
      </c>
      <c r="C2188">
        <v>302371</v>
      </c>
      <c r="D2188">
        <v>21883</v>
      </c>
    </row>
    <row r="2189" spans="1:4" x14ac:dyDescent="0.2">
      <c r="A2189">
        <v>3693176</v>
      </c>
      <c r="B2189">
        <v>30066</v>
      </c>
      <c r="C2189">
        <v>302402</v>
      </c>
      <c r="D2189">
        <v>21883</v>
      </c>
    </row>
    <row r="2190" spans="1:4" x14ac:dyDescent="0.2">
      <c r="A2190">
        <v>3693176</v>
      </c>
      <c r="B2190">
        <v>30069</v>
      </c>
      <c r="C2190">
        <v>302440</v>
      </c>
      <c r="D2190">
        <v>21883</v>
      </c>
    </row>
    <row r="2191" spans="1:4" x14ac:dyDescent="0.2">
      <c r="A2191">
        <v>3693177</v>
      </c>
      <c r="B2191">
        <v>30065</v>
      </c>
      <c r="C2191">
        <v>302372</v>
      </c>
      <c r="D2191">
        <v>21883</v>
      </c>
    </row>
    <row r="2192" spans="1:4" x14ac:dyDescent="0.2">
      <c r="A2192">
        <v>3693177</v>
      </c>
      <c r="B2192">
        <v>30066</v>
      </c>
      <c r="C2192">
        <v>302401</v>
      </c>
      <c r="D2192">
        <v>21883</v>
      </c>
    </row>
    <row r="2193" spans="1:4" x14ac:dyDescent="0.2">
      <c r="A2193">
        <v>3693178</v>
      </c>
      <c r="B2193">
        <v>30065</v>
      </c>
      <c r="C2193">
        <v>302372</v>
      </c>
      <c r="D2193">
        <v>21883</v>
      </c>
    </row>
    <row r="2194" spans="1:4" x14ac:dyDescent="0.2">
      <c r="A2194">
        <v>3693178</v>
      </c>
      <c r="B2194">
        <v>30066</v>
      </c>
      <c r="C2194">
        <v>302401</v>
      </c>
      <c r="D2194">
        <v>21883</v>
      </c>
    </row>
    <row r="2195" spans="1:4" x14ac:dyDescent="0.2">
      <c r="A2195">
        <v>3693179</v>
      </c>
      <c r="B2195">
        <v>30065</v>
      </c>
      <c r="C2195">
        <v>302372</v>
      </c>
      <c r="D2195">
        <v>21883</v>
      </c>
    </row>
    <row r="2196" spans="1:4" x14ac:dyDescent="0.2">
      <c r="A2196">
        <v>3693179</v>
      </c>
      <c r="B2196">
        <v>30066</v>
      </c>
      <c r="C2196">
        <v>302401</v>
      </c>
      <c r="D2196">
        <v>21883</v>
      </c>
    </row>
    <row r="2197" spans="1:4" x14ac:dyDescent="0.2">
      <c r="A2197">
        <v>3693180</v>
      </c>
      <c r="B2197">
        <v>30061</v>
      </c>
      <c r="C2197">
        <v>302339</v>
      </c>
      <c r="D2197">
        <v>21883</v>
      </c>
    </row>
    <row r="2198" spans="1:4" x14ac:dyDescent="0.2">
      <c r="A2198">
        <v>3693180</v>
      </c>
      <c r="B2198">
        <v>30062</v>
      </c>
      <c r="C2198">
        <v>302355</v>
      </c>
      <c r="D2198">
        <v>21883</v>
      </c>
    </row>
    <row r="2199" spans="1:4" x14ac:dyDescent="0.2">
      <c r="A2199">
        <v>3693180</v>
      </c>
      <c r="B2199">
        <v>30063</v>
      </c>
      <c r="C2199">
        <v>302356</v>
      </c>
      <c r="D2199">
        <v>21883</v>
      </c>
    </row>
    <row r="2200" spans="1:4" x14ac:dyDescent="0.2">
      <c r="A2200">
        <v>3693180</v>
      </c>
      <c r="B2200">
        <v>30064</v>
      </c>
      <c r="C2200">
        <v>302367</v>
      </c>
      <c r="D2200">
        <v>21883</v>
      </c>
    </row>
    <row r="2201" spans="1:4" x14ac:dyDescent="0.2">
      <c r="A2201">
        <v>3693180</v>
      </c>
      <c r="B2201">
        <v>30065</v>
      </c>
      <c r="C2201">
        <v>302372</v>
      </c>
      <c r="D2201">
        <v>21883</v>
      </c>
    </row>
    <row r="2202" spans="1:4" x14ac:dyDescent="0.2">
      <c r="A2202">
        <v>3693180</v>
      </c>
      <c r="B2202">
        <v>30066</v>
      </c>
      <c r="C2202">
        <v>302400</v>
      </c>
      <c r="D2202">
        <v>21883</v>
      </c>
    </row>
    <row r="2203" spans="1:4" x14ac:dyDescent="0.2">
      <c r="A2203">
        <v>3693181</v>
      </c>
      <c r="B2203">
        <v>30065</v>
      </c>
      <c r="C2203">
        <v>302372</v>
      </c>
      <c r="D2203">
        <v>21883</v>
      </c>
    </row>
    <row r="2204" spans="1:4" x14ac:dyDescent="0.2">
      <c r="A2204">
        <v>3693181</v>
      </c>
      <c r="B2204">
        <v>30066</v>
      </c>
      <c r="C2204">
        <v>302400</v>
      </c>
      <c r="D2204">
        <v>21883</v>
      </c>
    </row>
    <row r="2205" spans="1:4" x14ac:dyDescent="0.2">
      <c r="A2205">
        <v>3693182</v>
      </c>
      <c r="B2205">
        <v>30065</v>
      </c>
      <c r="C2205">
        <v>302372</v>
      </c>
      <c r="D2205">
        <v>21883</v>
      </c>
    </row>
    <row r="2206" spans="1:4" x14ac:dyDescent="0.2">
      <c r="A2206">
        <v>3693182</v>
      </c>
      <c r="B2206">
        <v>30066</v>
      </c>
      <c r="C2206">
        <v>302400</v>
      </c>
      <c r="D2206">
        <v>21883</v>
      </c>
    </row>
    <row r="2207" spans="1:4" x14ac:dyDescent="0.2">
      <c r="A2207">
        <v>3693183</v>
      </c>
      <c r="B2207">
        <v>30065</v>
      </c>
      <c r="C2207">
        <v>302372</v>
      </c>
      <c r="D2207">
        <v>21883</v>
      </c>
    </row>
    <row r="2208" spans="1:4" x14ac:dyDescent="0.2">
      <c r="A2208">
        <v>3693183</v>
      </c>
      <c r="B2208">
        <v>30066</v>
      </c>
      <c r="C2208">
        <v>302402</v>
      </c>
      <c r="D2208">
        <v>21883</v>
      </c>
    </row>
    <row r="2209" spans="1:4" x14ac:dyDescent="0.2">
      <c r="A2209">
        <v>3693184</v>
      </c>
      <c r="B2209">
        <v>30065</v>
      </c>
      <c r="C2209">
        <v>302372</v>
      </c>
      <c r="D2209">
        <v>21883</v>
      </c>
    </row>
    <row r="2210" spans="1:4" x14ac:dyDescent="0.2">
      <c r="A2210">
        <v>3693184</v>
      </c>
      <c r="B2210">
        <v>30066</v>
      </c>
      <c r="C2210">
        <v>302402</v>
      </c>
      <c r="D2210">
        <v>21883</v>
      </c>
    </row>
    <row r="2211" spans="1:4" x14ac:dyDescent="0.2">
      <c r="A2211">
        <v>3693185</v>
      </c>
      <c r="B2211">
        <v>30065</v>
      </c>
      <c r="C2211">
        <v>302372</v>
      </c>
      <c r="D2211">
        <v>21883</v>
      </c>
    </row>
    <row r="2212" spans="1:4" x14ac:dyDescent="0.2">
      <c r="A2212">
        <v>3693185</v>
      </c>
      <c r="B2212">
        <v>30066</v>
      </c>
      <c r="C2212">
        <v>302402</v>
      </c>
      <c r="D2212">
        <v>21883</v>
      </c>
    </row>
    <row r="2213" spans="1:4" x14ac:dyDescent="0.2">
      <c r="A2213">
        <v>3693186</v>
      </c>
      <c r="B2213">
        <v>30061</v>
      </c>
      <c r="C2213">
        <v>302351</v>
      </c>
      <c r="D2213">
        <v>21883</v>
      </c>
    </row>
    <row r="2214" spans="1:4" x14ac:dyDescent="0.2">
      <c r="A2214">
        <v>3693186</v>
      </c>
      <c r="B2214">
        <v>30063</v>
      </c>
      <c r="C2214">
        <v>302356</v>
      </c>
      <c r="D2214">
        <v>21883</v>
      </c>
    </row>
    <row r="2215" spans="1:4" x14ac:dyDescent="0.2">
      <c r="A2215">
        <v>3693186</v>
      </c>
      <c r="B2215">
        <v>30064</v>
      </c>
      <c r="C2215">
        <v>302384</v>
      </c>
      <c r="D2215">
        <v>21883</v>
      </c>
    </row>
    <row r="2216" spans="1:4" x14ac:dyDescent="0.2">
      <c r="A2216">
        <v>3693186</v>
      </c>
      <c r="B2216">
        <v>30065</v>
      </c>
      <c r="C2216">
        <v>302371</v>
      </c>
      <c r="D2216">
        <v>21883</v>
      </c>
    </row>
    <row r="2217" spans="1:4" x14ac:dyDescent="0.2">
      <c r="A2217">
        <v>3693186</v>
      </c>
      <c r="B2217">
        <v>30066</v>
      </c>
      <c r="C2217">
        <v>302401</v>
      </c>
      <c r="D2217">
        <v>21883</v>
      </c>
    </row>
    <row r="2218" spans="1:4" x14ac:dyDescent="0.2">
      <c r="A2218">
        <v>3693186</v>
      </c>
      <c r="B2218">
        <v>30069</v>
      </c>
      <c r="C2218">
        <v>302442</v>
      </c>
      <c r="D2218">
        <v>21883</v>
      </c>
    </row>
    <row r="2219" spans="1:4" x14ac:dyDescent="0.2">
      <c r="A2219">
        <v>3693187</v>
      </c>
      <c r="B2219">
        <v>30063</v>
      </c>
      <c r="C2219">
        <v>302356</v>
      </c>
      <c r="D2219">
        <v>21883</v>
      </c>
    </row>
    <row r="2220" spans="1:4" x14ac:dyDescent="0.2">
      <c r="A2220">
        <v>3693187</v>
      </c>
      <c r="B2220">
        <v>30064</v>
      </c>
      <c r="C2220">
        <v>302385</v>
      </c>
      <c r="D2220">
        <v>21883</v>
      </c>
    </row>
    <row r="2221" spans="1:4" x14ac:dyDescent="0.2">
      <c r="A2221">
        <v>3693187</v>
      </c>
      <c r="B2221">
        <v>30065</v>
      </c>
      <c r="C2221">
        <v>302371</v>
      </c>
      <c r="D2221">
        <v>21883</v>
      </c>
    </row>
    <row r="2222" spans="1:4" x14ac:dyDescent="0.2">
      <c r="A2222">
        <v>3693187</v>
      </c>
      <c r="B2222">
        <v>30066</v>
      </c>
      <c r="C2222">
        <v>302401</v>
      </c>
      <c r="D2222">
        <v>21883</v>
      </c>
    </row>
    <row r="2223" spans="1:4" x14ac:dyDescent="0.2">
      <c r="A2223">
        <v>3693187</v>
      </c>
      <c r="B2223">
        <v>30069</v>
      </c>
      <c r="C2223">
        <v>302442</v>
      </c>
      <c r="D2223">
        <v>21883</v>
      </c>
    </row>
    <row r="2224" spans="1:4" x14ac:dyDescent="0.2">
      <c r="A2224">
        <v>3693188</v>
      </c>
      <c r="B2224">
        <v>30063</v>
      </c>
      <c r="C2224">
        <v>302356</v>
      </c>
      <c r="D2224">
        <v>21883</v>
      </c>
    </row>
    <row r="2225" spans="1:4" x14ac:dyDescent="0.2">
      <c r="A2225">
        <v>3693188</v>
      </c>
      <c r="B2225">
        <v>30064</v>
      </c>
      <c r="C2225">
        <v>302384</v>
      </c>
      <c r="D2225">
        <v>21883</v>
      </c>
    </row>
    <row r="2226" spans="1:4" x14ac:dyDescent="0.2">
      <c r="A2226">
        <v>3693188</v>
      </c>
      <c r="B2226">
        <v>30065</v>
      </c>
      <c r="C2226">
        <v>302371</v>
      </c>
      <c r="D2226">
        <v>21883</v>
      </c>
    </row>
    <row r="2227" spans="1:4" x14ac:dyDescent="0.2">
      <c r="A2227">
        <v>3693188</v>
      </c>
      <c r="B2227">
        <v>30066</v>
      </c>
      <c r="C2227">
        <v>302401</v>
      </c>
      <c r="D2227">
        <v>21883</v>
      </c>
    </row>
    <row r="2228" spans="1:4" x14ac:dyDescent="0.2">
      <c r="A2228">
        <v>3693188</v>
      </c>
      <c r="B2228">
        <v>30069</v>
      </c>
      <c r="C2228">
        <v>302442</v>
      </c>
      <c r="D2228">
        <v>21883</v>
      </c>
    </row>
    <row r="2229" spans="1:4" x14ac:dyDescent="0.2">
      <c r="A2229">
        <v>3693189</v>
      </c>
      <c r="B2229">
        <v>30061</v>
      </c>
      <c r="C2229">
        <v>302351</v>
      </c>
      <c r="D2229">
        <v>21883</v>
      </c>
    </row>
    <row r="2230" spans="1:4" x14ac:dyDescent="0.2">
      <c r="A2230">
        <v>3693189</v>
      </c>
      <c r="B2230">
        <v>30063</v>
      </c>
      <c r="C2230">
        <v>302356</v>
      </c>
      <c r="D2230">
        <v>21883</v>
      </c>
    </row>
    <row r="2231" spans="1:4" x14ac:dyDescent="0.2">
      <c r="A2231">
        <v>3693189</v>
      </c>
      <c r="B2231">
        <v>30064</v>
      </c>
      <c r="C2231">
        <v>302411</v>
      </c>
      <c r="D2231">
        <v>21883</v>
      </c>
    </row>
    <row r="2232" spans="1:4" x14ac:dyDescent="0.2">
      <c r="A2232">
        <v>3693189</v>
      </c>
      <c r="B2232">
        <v>30065</v>
      </c>
      <c r="C2232">
        <v>302371</v>
      </c>
      <c r="D2232">
        <v>21883</v>
      </c>
    </row>
    <row r="2233" spans="1:4" x14ac:dyDescent="0.2">
      <c r="A2233">
        <v>3693189</v>
      </c>
      <c r="B2233">
        <v>30066</v>
      </c>
      <c r="C2233">
        <v>302401</v>
      </c>
      <c r="D2233">
        <v>21883</v>
      </c>
    </row>
    <row r="2234" spans="1:4" x14ac:dyDescent="0.2">
      <c r="A2234">
        <v>3693189</v>
      </c>
      <c r="B2234">
        <v>30069</v>
      </c>
      <c r="C2234">
        <v>302442</v>
      </c>
      <c r="D2234">
        <v>21883</v>
      </c>
    </row>
    <row r="2235" spans="1:4" x14ac:dyDescent="0.2">
      <c r="A2235">
        <v>3693190</v>
      </c>
      <c r="B2235">
        <v>30061</v>
      </c>
      <c r="C2235">
        <v>302351</v>
      </c>
      <c r="D2235">
        <v>21883</v>
      </c>
    </row>
    <row r="2236" spans="1:4" x14ac:dyDescent="0.2">
      <c r="A2236">
        <v>3693190</v>
      </c>
      <c r="B2236">
        <v>30063</v>
      </c>
      <c r="C2236">
        <v>302356</v>
      </c>
      <c r="D2236">
        <v>21883</v>
      </c>
    </row>
    <row r="2237" spans="1:4" x14ac:dyDescent="0.2">
      <c r="A2237">
        <v>3693190</v>
      </c>
      <c r="B2237">
        <v>30064</v>
      </c>
      <c r="C2237">
        <v>302380</v>
      </c>
      <c r="D2237">
        <v>21883</v>
      </c>
    </row>
    <row r="2238" spans="1:4" x14ac:dyDescent="0.2">
      <c r="A2238">
        <v>3693190</v>
      </c>
      <c r="B2238">
        <v>30065</v>
      </c>
      <c r="C2238">
        <v>302371</v>
      </c>
      <c r="D2238">
        <v>21883</v>
      </c>
    </row>
    <row r="2239" spans="1:4" x14ac:dyDescent="0.2">
      <c r="A2239">
        <v>3693190</v>
      </c>
      <c r="B2239">
        <v>30066</v>
      </c>
      <c r="C2239">
        <v>302401</v>
      </c>
      <c r="D2239">
        <v>21883</v>
      </c>
    </row>
    <row r="2240" spans="1:4" x14ac:dyDescent="0.2">
      <c r="A2240">
        <v>3693190</v>
      </c>
      <c r="B2240">
        <v>30069</v>
      </c>
      <c r="C2240">
        <v>302442</v>
      </c>
      <c r="D2240">
        <v>21883</v>
      </c>
    </row>
    <row r="2241" spans="1:4" x14ac:dyDescent="0.2">
      <c r="A2241">
        <v>3693191</v>
      </c>
      <c r="B2241">
        <v>30061</v>
      </c>
      <c r="C2241">
        <v>302351</v>
      </c>
      <c r="D2241">
        <v>21883</v>
      </c>
    </row>
    <row r="2242" spans="1:4" x14ac:dyDescent="0.2">
      <c r="A2242">
        <v>3693191</v>
      </c>
      <c r="B2242">
        <v>30063</v>
      </c>
      <c r="C2242">
        <v>302356</v>
      </c>
      <c r="D2242">
        <v>21883</v>
      </c>
    </row>
    <row r="2243" spans="1:4" x14ac:dyDescent="0.2">
      <c r="A2243">
        <v>3693191</v>
      </c>
      <c r="B2243">
        <v>30064</v>
      </c>
      <c r="C2243">
        <v>302379</v>
      </c>
      <c r="D2243">
        <v>21883</v>
      </c>
    </row>
    <row r="2244" spans="1:4" x14ac:dyDescent="0.2">
      <c r="A2244">
        <v>3693191</v>
      </c>
      <c r="B2244">
        <v>30065</v>
      </c>
      <c r="C2244">
        <v>302371</v>
      </c>
      <c r="D2244">
        <v>21883</v>
      </c>
    </row>
    <row r="2245" spans="1:4" x14ac:dyDescent="0.2">
      <c r="A2245">
        <v>3693191</v>
      </c>
      <c r="B2245">
        <v>30066</v>
      </c>
      <c r="C2245">
        <v>302401</v>
      </c>
      <c r="D2245">
        <v>21883</v>
      </c>
    </row>
    <row r="2246" spans="1:4" x14ac:dyDescent="0.2">
      <c r="A2246">
        <v>3693191</v>
      </c>
      <c r="B2246">
        <v>30069</v>
      </c>
      <c r="C2246">
        <v>302442</v>
      </c>
      <c r="D2246">
        <v>21883</v>
      </c>
    </row>
    <row r="2247" spans="1:4" x14ac:dyDescent="0.2">
      <c r="A2247">
        <v>3693192</v>
      </c>
      <c r="B2247">
        <v>30061</v>
      </c>
      <c r="C2247">
        <v>302351</v>
      </c>
      <c r="D2247">
        <v>21883</v>
      </c>
    </row>
    <row r="2248" spans="1:4" x14ac:dyDescent="0.2">
      <c r="A2248">
        <v>3693192</v>
      </c>
      <c r="B2248">
        <v>30063</v>
      </c>
      <c r="C2248">
        <v>302356</v>
      </c>
      <c r="D2248">
        <v>21883</v>
      </c>
    </row>
    <row r="2249" spans="1:4" x14ac:dyDescent="0.2">
      <c r="A2249">
        <v>3693192</v>
      </c>
      <c r="B2249">
        <v>30064</v>
      </c>
      <c r="C2249">
        <v>302379</v>
      </c>
      <c r="D2249">
        <v>21883</v>
      </c>
    </row>
    <row r="2250" spans="1:4" x14ac:dyDescent="0.2">
      <c r="A2250">
        <v>3693192</v>
      </c>
      <c r="B2250">
        <v>30065</v>
      </c>
      <c r="C2250">
        <v>302371</v>
      </c>
      <c r="D2250">
        <v>21883</v>
      </c>
    </row>
    <row r="2251" spans="1:4" x14ac:dyDescent="0.2">
      <c r="A2251">
        <v>3693192</v>
      </c>
      <c r="B2251">
        <v>30066</v>
      </c>
      <c r="C2251">
        <v>302401</v>
      </c>
      <c r="D2251">
        <v>21883</v>
      </c>
    </row>
    <row r="2252" spans="1:4" x14ac:dyDescent="0.2">
      <c r="A2252">
        <v>3693192</v>
      </c>
      <c r="B2252">
        <v>30069</v>
      </c>
      <c r="C2252">
        <v>302442</v>
      </c>
      <c r="D2252">
        <v>21883</v>
      </c>
    </row>
    <row r="2253" spans="1:4" x14ac:dyDescent="0.2">
      <c r="A2253">
        <v>3693193</v>
      </c>
      <c r="B2253">
        <v>30061</v>
      </c>
      <c r="C2253">
        <v>302351</v>
      </c>
      <c r="D2253">
        <v>21883</v>
      </c>
    </row>
    <row r="2254" spans="1:4" x14ac:dyDescent="0.2">
      <c r="A2254">
        <v>3693193</v>
      </c>
      <c r="B2254">
        <v>30063</v>
      </c>
      <c r="C2254">
        <v>302356</v>
      </c>
      <c r="D2254">
        <v>21883</v>
      </c>
    </row>
    <row r="2255" spans="1:4" x14ac:dyDescent="0.2">
      <c r="A2255">
        <v>3693193</v>
      </c>
      <c r="B2255">
        <v>30064</v>
      </c>
      <c r="C2255">
        <v>302379</v>
      </c>
      <c r="D2255">
        <v>21883</v>
      </c>
    </row>
    <row r="2256" spans="1:4" x14ac:dyDescent="0.2">
      <c r="A2256">
        <v>3693193</v>
      </c>
      <c r="B2256">
        <v>30065</v>
      </c>
      <c r="C2256">
        <v>302371</v>
      </c>
      <c r="D2256">
        <v>21883</v>
      </c>
    </row>
    <row r="2257" spans="1:4" x14ac:dyDescent="0.2">
      <c r="A2257">
        <v>3693193</v>
      </c>
      <c r="B2257">
        <v>30066</v>
      </c>
      <c r="C2257">
        <v>302401</v>
      </c>
      <c r="D2257">
        <v>21883</v>
      </c>
    </row>
    <row r="2258" spans="1:4" x14ac:dyDescent="0.2">
      <c r="A2258">
        <v>3693193</v>
      </c>
      <c r="B2258">
        <v>30069</v>
      </c>
      <c r="C2258">
        <v>302442</v>
      </c>
      <c r="D2258">
        <v>21883</v>
      </c>
    </row>
    <row r="2259" spans="1:4" x14ac:dyDescent="0.2">
      <c r="A2259">
        <v>3693194</v>
      </c>
      <c r="B2259">
        <v>30063</v>
      </c>
      <c r="C2259">
        <v>302356</v>
      </c>
      <c r="D2259">
        <v>21883</v>
      </c>
    </row>
    <row r="2260" spans="1:4" x14ac:dyDescent="0.2">
      <c r="A2260">
        <v>3693194</v>
      </c>
      <c r="B2260">
        <v>30064</v>
      </c>
      <c r="C2260">
        <v>302384</v>
      </c>
      <c r="D2260">
        <v>21883</v>
      </c>
    </row>
    <row r="2261" spans="1:4" x14ac:dyDescent="0.2">
      <c r="A2261">
        <v>3693194</v>
      </c>
      <c r="B2261">
        <v>30065</v>
      </c>
      <c r="C2261">
        <v>302371</v>
      </c>
      <c r="D2261">
        <v>21883</v>
      </c>
    </row>
    <row r="2262" spans="1:4" x14ac:dyDescent="0.2">
      <c r="A2262">
        <v>3693194</v>
      </c>
      <c r="B2262">
        <v>30066</v>
      </c>
      <c r="C2262">
        <v>302402</v>
      </c>
      <c r="D2262">
        <v>21883</v>
      </c>
    </row>
    <row r="2263" spans="1:4" x14ac:dyDescent="0.2">
      <c r="A2263">
        <v>3693195</v>
      </c>
      <c r="B2263">
        <v>30063</v>
      </c>
      <c r="C2263">
        <v>302356</v>
      </c>
      <c r="D2263">
        <v>21883</v>
      </c>
    </row>
    <row r="2264" spans="1:4" x14ac:dyDescent="0.2">
      <c r="A2264">
        <v>3693195</v>
      </c>
      <c r="B2264">
        <v>30064</v>
      </c>
      <c r="C2264">
        <v>302385</v>
      </c>
      <c r="D2264">
        <v>21883</v>
      </c>
    </row>
    <row r="2265" spans="1:4" x14ac:dyDescent="0.2">
      <c r="A2265">
        <v>3693195</v>
      </c>
      <c r="B2265">
        <v>30065</v>
      </c>
      <c r="C2265">
        <v>302371</v>
      </c>
      <c r="D2265">
        <v>21883</v>
      </c>
    </row>
    <row r="2266" spans="1:4" x14ac:dyDescent="0.2">
      <c r="A2266">
        <v>3693195</v>
      </c>
      <c r="B2266">
        <v>30066</v>
      </c>
      <c r="C2266">
        <v>302402</v>
      </c>
      <c r="D2266">
        <v>21883</v>
      </c>
    </row>
    <row r="2267" spans="1:4" x14ac:dyDescent="0.2">
      <c r="A2267">
        <v>3693196</v>
      </c>
      <c r="B2267">
        <v>30063</v>
      </c>
      <c r="C2267">
        <v>302356</v>
      </c>
      <c r="D2267">
        <v>21883</v>
      </c>
    </row>
    <row r="2268" spans="1:4" x14ac:dyDescent="0.2">
      <c r="A2268">
        <v>3693196</v>
      </c>
      <c r="B2268">
        <v>30064</v>
      </c>
      <c r="C2268">
        <v>302384</v>
      </c>
      <c r="D2268">
        <v>21883</v>
      </c>
    </row>
    <row r="2269" spans="1:4" x14ac:dyDescent="0.2">
      <c r="A2269">
        <v>3693196</v>
      </c>
      <c r="B2269">
        <v>30065</v>
      </c>
      <c r="C2269">
        <v>302371</v>
      </c>
      <c r="D2269">
        <v>21883</v>
      </c>
    </row>
    <row r="2270" spans="1:4" x14ac:dyDescent="0.2">
      <c r="A2270">
        <v>3693196</v>
      </c>
      <c r="B2270">
        <v>30066</v>
      </c>
      <c r="C2270">
        <v>302402</v>
      </c>
      <c r="D2270">
        <v>21883</v>
      </c>
    </row>
    <row r="2271" spans="1:4" x14ac:dyDescent="0.2">
      <c r="A2271">
        <v>3693197</v>
      </c>
      <c r="B2271">
        <v>30061</v>
      </c>
      <c r="C2271">
        <v>302350</v>
      </c>
      <c r="D2271">
        <v>21883</v>
      </c>
    </row>
    <row r="2272" spans="1:4" x14ac:dyDescent="0.2">
      <c r="A2272">
        <v>3693197</v>
      </c>
      <c r="B2272">
        <v>30062</v>
      </c>
      <c r="C2272">
        <v>302355</v>
      </c>
      <c r="D2272">
        <v>21883</v>
      </c>
    </row>
    <row r="2273" spans="1:4" x14ac:dyDescent="0.2">
      <c r="A2273">
        <v>3693197</v>
      </c>
      <c r="B2273">
        <v>30063</v>
      </c>
      <c r="C2273">
        <v>302356</v>
      </c>
      <c r="D2273">
        <v>21883</v>
      </c>
    </row>
    <row r="2274" spans="1:4" x14ac:dyDescent="0.2">
      <c r="A2274">
        <v>3693197</v>
      </c>
      <c r="B2274">
        <v>30064</v>
      </c>
      <c r="C2274">
        <v>302411</v>
      </c>
      <c r="D2274">
        <v>21883</v>
      </c>
    </row>
    <row r="2275" spans="1:4" x14ac:dyDescent="0.2">
      <c r="A2275">
        <v>3693197</v>
      </c>
      <c r="B2275">
        <v>30065</v>
      </c>
      <c r="C2275">
        <v>302371</v>
      </c>
      <c r="D2275">
        <v>21883</v>
      </c>
    </row>
    <row r="2276" spans="1:4" x14ac:dyDescent="0.2">
      <c r="A2276">
        <v>3693197</v>
      </c>
      <c r="B2276">
        <v>30066</v>
      </c>
      <c r="C2276">
        <v>302402</v>
      </c>
      <c r="D2276">
        <v>21883</v>
      </c>
    </row>
    <row r="2277" spans="1:4" x14ac:dyDescent="0.2">
      <c r="A2277">
        <v>3693198</v>
      </c>
      <c r="B2277">
        <v>30061</v>
      </c>
      <c r="C2277">
        <v>302350</v>
      </c>
      <c r="D2277">
        <v>21883</v>
      </c>
    </row>
    <row r="2278" spans="1:4" x14ac:dyDescent="0.2">
      <c r="A2278">
        <v>3693198</v>
      </c>
      <c r="B2278">
        <v>30062</v>
      </c>
      <c r="C2278">
        <v>302355</v>
      </c>
      <c r="D2278">
        <v>21883</v>
      </c>
    </row>
    <row r="2279" spans="1:4" x14ac:dyDescent="0.2">
      <c r="A2279">
        <v>3693198</v>
      </c>
      <c r="B2279">
        <v>30063</v>
      </c>
      <c r="C2279">
        <v>302356</v>
      </c>
      <c r="D2279">
        <v>21883</v>
      </c>
    </row>
    <row r="2280" spans="1:4" x14ac:dyDescent="0.2">
      <c r="A2280">
        <v>3693198</v>
      </c>
      <c r="B2280">
        <v>30064</v>
      </c>
      <c r="C2280">
        <v>302380</v>
      </c>
      <c r="D2280">
        <v>21883</v>
      </c>
    </row>
    <row r="2281" spans="1:4" x14ac:dyDescent="0.2">
      <c r="A2281">
        <v>3693198</v>
      </c>
      <c r="B2281">
        <v>30065</v>
      </c>
      <c r="C2281">
        <v>302371</v>
      </c>
      <c r="D2281">
        <v>21883</v>
      </c>
    </row>
    <row r="2282" spans="1:4" x14ac:dyDescent="0.2">
      <c r="A2282">
        <v>3693198</v>
      </c>
      <c r="B2282">
        <v>30066</v>
      </c>
      <c r="C2282">
        <v>302402</v>
      </c>
      <c r="D2282">
        <v>21883</v>
      </c>
    </row>
    <row r="2283" spans="1:4" x14ac:dyDescent="0.2">
      <c r="A2283">
        <v>3693199</v>
      </c>
      <c r="B2283">
        <v>30061</v>
      </c>
      <c r="C2283">
        <v>302350</v>
      </c>
      <c r="D2283">
        <v>21883</v>
      </c>
    </row>
    <row r="2284" spans="1:4" x14ac:dyDescent="0.2">
      <c r="A2284">
        <v>3693199</v>
      </c>
      <c r="B2284">
        <v>30062</v>
      </c>
      <c r="C2284">
        <v>302355</v>
      </c>
      <c r="D2284">
        <v>21883</v>
      </c>
    </row>
    <row r="2285" spans="1:4" x14ac:dyDescent="0.2">
      <c r="A2285">
        <v>3693199</v>
      </c>
      <c r="B2285">
        <v>30063</v>
      </c>
      <c r="C2285">
        <v>302356</v>
      </c>
      <c r="D2285">
        <v>21883</v>
      </c>
    </row>
    <row r="2286" spans="1:4" x14ac:dyDescent="0.2">
      <c r="A2286">
        <v>3693199</v>
      </c>
      <c r="B2286">
        <v>30064</v>
      </c>
      <c r="C2286">
        <v>302379</v>
      </c>
      <c r="D2286">
        <v>21883</v>
      </c>
    </row>
    <row r="2287" spans="1:4" x14ac:dyDescent="0.2">
      <c r="A2287">
        <v>3693199</v>
      </c>
      <c r="B2287">
        <v>30065</v>
      </c>
      <c r="C2287">
        <v>302371</v>
      </c>
      <c r="D2287">
        <v>21883</v>
      </c>
    </row>
    <row r="2288" spans="1:4" x14ac:dyDescent="0.2">
      <c r="A2288">
        <v>3693199</v>
      </c>
      <c r="B2288">
        <v>30066</v>
      </c>
      <c r="C2288">
        <v>302402</v>
      </c>
      <c r="D2288">
        <v>21883</v>
      </c>
    </row>
    <row r="2289" spans="1:4" x14ac:dyDescent="0.2">
      <c r="A2289">
        <v>3693200</v>
      </c>
      <c r="B2289">
        <v>30061</v>
      </c>
      <c r="C2289">
        <v>302350</v>
      </c>
      <c r="D2289">
        <v>21883</v>
      </c>
    </row>
    <row r="2290" spans="1:4" x14ac:dyDescent="0.2">
      <c r="A2290">
        <v>3693200</v>
      </c>
      <c r="B2290">
        <v>30062</v>
      </c>
      <c r="C2290">
        <v>302355</v>
      </c>
      <c r="D2290">
        <v>21883</v>
      </c>
    </row>
    <row r="2291" spans="1:4" x14ac:dyDescent="0.2">
      <c r="A2291">
        <v>3693200</v>
      </c>
      <c r="B2291">
        <v>30063</v>
      </c>
      <c r="C2291">
        <v>302356</v>
      </c>
      <c r="D2291">
        <v>21883</v>
      </c>
    </row>
    <row r="2292" spans="1:4" x14ac:dyDescent="0.2">
      <c r="A2292">
        <v>3693200</v>
      </c>
      <c r="B2292">
        <v>30064</v>
      </c>
      <c r="C2292">
        <v>302379</v>
      </c>
      <c r="D2292">
        <v>21883</v>
      </c>
    </row>
    <row r="2293" spans="1:4" x14ac:dyDescent="0.2">
      <c r="A2293">
        <v>3693200</v>
      </c>
      <c r="B2293">
        <v>30065</v>
      </c>
      <c r="C2293">
        <v>302371</v>
      </c>
      <c r="D2293">
        <v>21883</v>
      </c>
    </row>
    <row r="2294" spans="1:4" x14ac:dyDescent="0.2">
      <c r="A2294">
        <v>3693200</v>
      </c>
      <c r="B2294">
        <v>30066</v>
      </c>
      <c r="C2294">
        <v>302402</v>
      </c>
      <c r="D2294">
        <v>21883</v>
      </c>
    </row>
    <row r="2295" spans="1:4" x14ac:dyDescent="0.2">
      <c r="A2295">
        <v>3693201</v>
      </c>
      <c r="B2295">
        <v>30061</v>
      </c>
      <c r="C2295">
        <v>302350</v>
      </c>
      <c r="D2295">
        <v>21883</v>
      </c>
    </row>
    <row r="2296" spans="1:4" x14ac:dyDescent="0.2">
      <c r="A2296">
        <v>3693201</v>
      </c>
      <c r="B2296">
        <v>30062</v>
      </c>
      <c r="C2296">
        <v>302355</v>
      </c>
      <c r="D2296">
        <v>21883</v>
      </c>
    </row>
    <row r="2297" spans="1:4" x14ac:dyDescent="0.2">
      <c r="A2297">
        <v>3693201</v>
      </c>
      <c r="B2297">
        <v>30063</v>
      </c>
      <c r="C2297">
        <v>302356</v>
      </c>
      <c r="D2297">
        <v>21883</v>
      </c>
    </row>
    <row r="2298" spans="1:4" x14ac:dyDescent="0.2">
      <c r="A2298">
        <v>3693201</v>
      </c>
      <c r="B2298">
        <v>30064</v>
      </c>
      <c r="C2298">
        <v>302379</v>
      </c>
      <c r="D2298">
        <v>21883</v>
      </c>
    </row>
    <row r="2299" spans="1:4" x14ac:dyDescent="0.2">
      <c r="A2299">
        <v>3693201</v>
      </c>
      <c r="B2299">
        <v>30065</v>
      </c>
      <c r="C2299">
        <v>302371</v>
      </c>
      <c r="D2299">
        <v>21883</v>
      </c>
    </row>
    <row r="2300" spans="1:4" x14ac:dyDescent="0.2">
      <c r="A2300">
        <v>3693201</v>
      </c>
      <c r="B2300">
        <v>30066</v>
      </c>
      <c r="C2300">
        <v>302402</v>
      </c>
      <c r="D2300">
        <v>21883</v>
      </c>
    </row>
    <row r="2301" spans="1:4" x14ac:dyDescent="0.2">
      <c r="A2301">
        <v>3693202</v>
      </c>
      <c r="B2301">
        <v>30063</v>
      </c>
      <c r="C2301">
        <v>302356</v>
      </c>
      <c r="D2301">
        <v>21883</v>
      </c>
    </row>
    <row r="2302" spans="1:4" x14ac:dyDescent="0.2">
      <c r="A2302">
        <v>3693202</v>
      </c>
      <c r="B2302">
        <v>30064</v>
      </c>
      <c r="C2302">
        <v>302384</v>
      </c>
      <c r="D2302">
        <v>21883</v>
      </c>
    </row>
    <row r="2303" spans="1:4" x14ac:dyDescent="0.2">
      <c r="A2303">
        <v>3693202</v>
      </c>
      <c r="B2303">
        <v>30065</v>
      </c>
      <c r="C2303">
        <v>302372</v>
      </c>
      <c r="D2303">
        <v>21883</v>
      </c>
    </row>
    <row r="2304" spans="1:4" x14ac:dyDescent="0.2">
      <c r="A2304">
        <v>3693202</v>
      </c>
      <c r="B2304">
        <v>30066</v>
      </c>
      <c r="C2304">
        <v>302400</v>
      </c>
      <c r="D2304">
        <v>21883</v>
      </c>
    </row>
    <row r="2305" spans="1:4" x14ac:dyDescent="0.2">
      <c r="A2305">
        <v>3693203</v>
      </c>
      <c r="B2305">
        <v>30061</v>
      </c>
      <c r="C2305">
        <v>302352</v>
      </c>
      <c r="D2305">
        <v>21883</v>
      </c>
    </row>
    <row r="2306" spans="1:4" x14ac:dyDescent="0.2">
      <c r="A2306">
        <v>3693203</v>
      </c>
      <c r="B2306">
        <v>30062</v>
      </c>
      <c r="C2306">
        <v>302355</v>
      </c>
      <c r="D2306">
        <v>21883</v>
      </c>
    </row>
    <row r="2307" spans="1:4" x14ac:dyDescent="0.2">
      <c r="A2307">
        <v>3693203</v>
      </c>
      <c r="B2307">
        <v>30063</v>
      </c>
      <c r="C2307">
        <v>302356</v>
      </c>
      <c r="D2307">
        <v>21883</v>
      </c>
    </row>
    <row r="2308" spans="1:4" x14ac:dyDescent="0.2">
      <c r="A2308">
        <v>3693203</v>
      </c>
      <c r="B2308">
        <v>30064</v>
      </c>
      <c r="C2308">
        <v>302385</v>
      </c>
      <c r="D2308">
        <v>21883</v>
      </c>
    </row>
    <row r="2309" spans="1:4" x14ac:dyDescent="0.2">
      <c r="A2309">
        <v>3693203</v>
      </c>
      <c r="B2309">
        <v>30065</v>
      </c>
      <c r="C2309">
        <v>302372</v>
      </c>
      <c r="D2309">
        <v>21883</v>
      </c>
    </row>
    <row r="2310" spans="1:4" x14ac:dyDescent="0.2">
      <c r="A2310">
        <v>3693203</v>
      </c>
      <c r="B2310">
        <v>30066</v>
      </c>
      <c r="C2310">
        <v>302400</v>
      </c>
      <c r="D2310">
        <v>21883</v>
      </c>
    </row>
    <row r="2311" spans="1:4" x14ac:dyDescent="0.2">
      <c r="A2311">
        <v>3693204</v>
      </c>
      <c r="B2311">
        <v>30065</v>
      </c>
      <c r="C2311">
        <v>302372</v>
      </c>
      <c r="D2311">
        <v>21883</v>
      </c>
    </row>
    <row r="2312" spans="1:4" x14ac:dyDescent="0.2">
      <c r="A2312">
        <v>3693204</v>
      </c>
      <c r="B2312">
        <v>30066</v>
      </c>
      <c r="C2312">
        <v>302400</v>
      </c>
      <c r="D2312">
        <v>21883</v>
      </c>
    </row>
    <row r="2313" spans="1:4" x14ac:dyDescent="0.2">
      <c r="A2313">
        <v>3693205</v>
      </c>
      <c r="B2313">
        <v>30061</v>
      </c>
      <c r="C2313">
        <v>302352</v>
      </c>
      <c r="D2313">
        <v>21883</v>
      </c>
    </row>
    <row r="2314" spans="1:4" x14ac:dyDescent="0.2">
      <c r="A2314">
        <v>3693205</v>
      </c>
      <c r="B2314">
        <v>30062</v>
      </c>
      <c r="C2314">
        <v>302355</v>
      </c>
      <c r="D2314">
        <v>21883</v>
      </c>
    </row>
    <row r="2315" spans="1:4" x14ac:dyDescent="0.2">
      <c r="A2315">
        <v>3693205</v>
      </c>
      <c r="B2315">
        <v>30063</v>
      </c>
      <c r="C2315">
        <v>302356</v>
      </c>
      <c r="D2315">
        <v>21883</v>
      </c>
    </row>
    <row r="2316" spans="1:4" x14ac:dyDescent="0.2">
      <c r="A2316">
        <v>3693205</v>
      </c>
      <c r="B2316">
        <v>30064</v>
      </c>
      <c r="C2316">
        <v>302411</v>
      </c>
      <c r="D2316">
        <v>21883</v>
      </c>
    </row>
    <row r="2317" spans="1:4" x14ac:dyDescent="0.2">
      <c r="A2317">
        <v>3693205</v>
      </c>
      <c r="B2317">
        <v>30065</v>
      </c>
      <c r="C2317">
        <v>302372</v>
      </c>
      <c r="D2317">
        <v>21883</v>
      </c>
    </row>
    <row r="2318" spans="1:4" x14ac:dyDescent="0.2">
      <c r="A2318">
        <v>3693205</v>
      </c>
      <c r="B2318">
        <v>30066</v>
      </c>
      <c r="C2318">
        <v>302400</v>
      </c>
      <c r="D2318">
        <v>21883</v>
      </c>
    </row>
    <row r="2319" spans="1:4" x14ac:dyDescent="0.2">
      <c r="A2319">
        <v>3693206</v>
      </c>
      <c r="B2319">
        <v>30061</v>
      </c>
      <c r="C2319">
        <v>302352</v>
      </c>
      <c r="D2319">
        <v>21883</v>
      </c>
    </row>
    <row r="2320" spans="1:4" x14ac:dyDescent="0.2">
      <c r="A2320">
        <v>3693206</v>
      </c>
      <c r="B2320">
        <v>30062</v>
      </c>
      <c r="C2320">
        <v>302355</v>
      </c>
      <c r="D2320">
        <v>21883</v>
      </c>
    </row>
    <row r="2321" spans="1:4" x14ac:dyDescent="0.2">
      <c r="A2321">
        <v>3693206</v>
      </c>
      <c r="B2321">
        <v>30063</v>
      </c>
      <c r="C2321">
        <v>302356</v>
      </c>
      <c r="D2321">
        <v>21883</v>
      </c>
    </row>
    <row r="2322" spans="1:4" x14ac:dyDescent="0.2">
      <c r="A2322">
        <v>3693206</v>
      </c>
      <c r="B2322">
        <v>30064</v>
      </c>
      <c r="C2322">
        <v>302380</v>
      </c>
      <c r="D2322">
        <v>21883</v>
      </c>
    </row>
    <row r="2323" spans="1:4" x14ac:dyDescent="0.2">
      <c r="A2323">
        <v>3693206</v>
      </c>
      <c r="B2323">
        <v>30065</v>
      </c>
      <c r="C2323">
        <v>302372</v>
      </c>
      <c r="D2323">
        <v>21883</v>
      </c>
    </row>
    <row r="2324" spans="1:4" x14ac:dyDescent="0.2">
      <c r="A2324">
        <v>3693206</v>
      </c>
      <c r="B2324">
        <v>30066</v>
      </c>
      <c r="C2324">
        <v>302400</v>
      </c>
      <c r="D2324">
        <v>21883</v>
      </c>
    </row>
    <row r="2325" spans="1:4" x14ac:dyDescent="0.2">
      <c r="A2325">
        <v>3693207</v>
      </c>
      <c r="B2325">
        <v>30061</v>
      </c>
      <c r="C2325">
        <v>302352</v>
      </c>
      <c r="D2325">
        <v>21883</v>
      </c>
    </row>
    <row r="2326" spans="1:4" x14ac:dyDescent="0.2">
      <c r="A2326">
        <v>3693207</v>
      </c>
      <c r="B2326">
        <v>30062</v>
      </c>
      <c r="C2326">
        <v>302355</v>
      </c>
      <c r="D2326">
        <v>21883</v>
      </c>
    </row>
    <row r="2327" spans="1:4" x14ac:dyDescent="0.2">
      <c r="A2327">
        <v>3693207</v>
      </c>
      <c r="B2327">
        <v>30063</v>
      </c>
      <c r="C2327">
        <v>302356</v>
      </c>
      <c r="D2327">
        <v>21883</v>
      </c>
    </row>
    <row r="2328" spans="1:4" x14ac:dyDescent="0.2">
      <c r="A2328">
        <v>3693207</v>
      </c>
      <c r="B2328">
        <v>30064</v>
      </c>
      <c r="C2328">
        <v>302379</v>
      </c>
      <c r="D2328">
        <v>21883</v>
      </c>
    </row>
    <row r="2329" spans="1:4" x14ac:dyDescent="0.2">
      <c r="A2329">
        <v>3693207</v>
      </c>
      <c r="B2329">
        <v>30065</v>
      </c>
      <c r="C2329">
        <v>302372</v>
      </c>
      <c r="D2329">
        <v>21883</v>
      </c>
    </row>
    <row r="2330" spans="1:4" x14ac:dyDescent="0.2">
      <c r="A2330">
        <v>3693207</v>
      </c>
      <c r="B2330">
        <v>30066</v>
      </c>
      <c r="C2330">
        <v>302400</v>
      </c>
      <c r="D2330">
        <v>21883</v>
      </c>
    </row>
    <row r="2331" spans="1:4" x14ac:dyDescent="0.2">
      <c r="A2331">
        <v>3693208</v>
      </c>
      <c r="B2331">
        <v>30060</v>
      </c>
      <c r="C2331">
        <v>302341</v>
      </c>
      <c r="D2331">
        <v>21883</v>
      </c>
    </row>
    <row r="2332" spans="1:4" x14ac:dyDescent="0.2">
      <c r="A2332">
        <v>3693208</v>
      </c>
      <c r="B2332">
        <v>30061</v>
      </c>
      <c r="C2332">
        <v>302352</v>
      </c>
      <c r="D2332">
        <v>21883</v>
      </c>
    </row>
    <row r="2333" spans="1:4" x14ac:dyDescent="0.2">
      <c r="A2333">
        <v>3693208</v>
      </c>
      <c r="B2333">
        <v>30062</v>
      </c>
      <c r="C2333">
        <v>302355</v>
      </c>
      <c r="D2333">
        <v>21883</v>
      </c>
    </row>
    <row r="2334" spans="1:4" x14ac:dyDescent="0.2">
      <c r="A2334">
        <v>3693208</v>
      </c>
      <c r="B2334">
        <v>30063</v>
      </c>
      <c r="C2334">
        <v>302356</v>
      </c>
      <c r="D2334">
        <v>21883</v>
      </c>
    </row>
    <row r="2335" spans="1:4" x14ac:dyDescent="0.2">
      <c r="A2335">
        <v>3693208</v>
      </c>
      <c r="B2335">
        <v>30064</v>
      </c>
      <c r="C2335">
        <v>302379</v>
      </c>
      <c r="D2335">
        <v>21883</v>
      </c>
    </row>
    <row r="2336" spans="1:4" x14ac:dyDescent="0.2">
      <c r="A2336">
        <v>3693208</v>
      </c>
      <c r="B2336">
        <v>30065</v>
      </c>
      <c r="C2336">
        <v>302372</v>
      </c>
      <c r="D2336">
        <v>21883</v>
      </c>
    </row>
    <row r="2337" spans="1:4" x14ac:dyDescent="0.2">
      <c r="A2337">
        <v>3693208</v>
      </c>
      <c r="B2337">
        <v>30066</v>
      </c>
      <c r="C2337">
        <v>302400</v>
      </c>
      <c r="D2337">
        <v>21883</v>
      </c>
    </row>
    <row r="2338" spans="1:4" x14ac:dyDescent="0.2">
      <c r="A2338">
        <v>3693209</v>
      </c>
      <c r="B2338">
        <v>30061</v>
      </c>
      <c r="C2338">
        <v>302352</v>
      </c>
      <c r="D2338">
        <v>21883</v>
      </c>
    </row>
    <row r="2339" spans="1:4" x14ac:dyDescent="0.2">
      <c r="A2339">
        <v>3693209</v>
      </c>
      <c r="B2339">
        <v>30062</v>
      </c>
      <c r="C2339">
        <v>302355</v>
      </c>
      <c r="D2339">
        <v>21883</v>
      </c>
    </row>
    <row r="2340" spans="1:4" x14ac:dyDescent="0.2">
      <c r="A2340">
        <v>3693209</v>
      </c>
      <c r="B2340">
        <v>30063</v>
      </c>
      <c r="C2340">
        <v>302356</v>
      </c>
      <c r="D2340">
        <v>21883</v>
      </c>
    </row>
    <row r="2341" spans="1:4" x14ac:dyDescent="0.2">
      <c r="A2341">
        <v>3693209</v>
      </c>
      <c r="B2341">
        <v>30064</v>
      </c>
      <c r="C2341">
        <v>302379</v>
      </c>
      <c r="D2341">
        <v>21883</v>
      </c>
    </row>
    <row r="2342" spans="1:4" x14ac:dyDescent="0.2">
      <c r="A2342">
        <v>3693209</v>
      </c>
      <c r="B2342">
        <v>30065</v>
      </c>
      <c r="C2342">
        <v>302372</v>
      </c>
      <c r="D2342">
        <v>21883</v>
      </c>
    </row>
    <row r="2343" spans="1:4" x14ac:dyDescent="0.2">
      <c r="A2343">
        <v>3693209</v>
      </c>
      <c r="B2343">
        <v>30066</v>
      </c>
      <c r="C2343">
        <v>302400</v>
      </c>
      <c r="D2343">
        <v>21883</v>
      </c>
    </row>
    <row r="2344" spans="1:4" x14ac:dyDescent="0.2">
      <c r="A2344">
        <v>3693210</v>
      </c>
      <c r="B2344">
        <v>30063</v>
      </c>
      <c r="C2344">
        <v>302358</v>
      </c>
      <c r="D2344">
        <v>21883</v>
      </c>
    </row>
    <row r="2345" spans="1:4" x14ac:dyDescent="0.2">
      <c r="A2345">
        <v>3693210</v>
      </c>
      <c r="B2345">
        <v>30064</v>
      </c>
      <c r="C2345">
        <v>302391</v>
      </c>
      <c r="D2345">
        <v>21883</v>
      </c>
    </row>
    <row r="2346" spans="1:4" x14ac:dyDescent="0.2">
      <c r="A2346">
        <v>3693210</v>
      </c>
      <c r="B2346">
        <v>30065</v>
      </c>
      <c r="C2346">
        <v>302370</v>
      </c>
      <c r="D2346">
        <v>21883</v>
      </c>
    </row>
    <row r="2347" spans="1:4" x14ac:dyDescent="0.2">
      <c r="A2347">
        <v>3693210</v>
      </c>
      <c r="B2347">
        <v>30066</v>
      </c>
      <c r="C2347">
        <v>302438</v>
      </c>
      <c r="D2347">
        <v>21883</v>
      </c>
    </row>
    <row r="2348" spans="1:4" x14ac:dyDescent="0.2">
      <c r="A2348">
        <v>3693210</v>
      </c>
      <c r="B2348">
        <v>30069</v>
      </c>
      <c r="C2348">
        <v>302446</v>
      </c>
      <c r="D2348">
        <v>21883</v>
      </c>
    </row>
    <row r="2349" spans="1:4" x14ac:dyDescent="0.2">
      <c r="A2349">
        <v>3693211</v>
      </c>
      <c r="B2349">
        <v>30063</v>
      </c>
      <c r="C2349">
        <v>302358</v>
      </c>
      <c r="D2349">
        <v>21883</v>
      </c>
    </row>
    <row r="2350" spans="1:4" x14ac:dyDescent="0.2">
      <c r="A2350">
        <v>3693211</v>
      </c>
      <c r="B2350">
        <v>30064</v>
      </c>
      <c r="C2350">
        <v>302391</v>
      </c>
      <c r="D2350">
        <v>21883</v>
      </c>
    </row>
    <row r="2351" spans="1:4" x14ac:dyDescent="0.2">
      <c r="A2351">
        <v>3693211</v>
      </c>
      <c r="B2351">
        <v>30065</v>
      </c>
      <c r="C2351">
        <v>302370</v>
      </c>
      <c r="D2351">
        <v>21883</v>
      </c>
    </row>
    <row r="2352" spans="1:4" x14ac:dyDescent="0.2">
      <c r="A2352">
        <v>3693211</v>
      </c>
      <c r="B2352">
        <v>30066</v>
      </c>
      <c r="C2352">
        <v>302438</v>
      </c>
      <c r="D2352">
        <v>21883</v>
      </c>
    </row>
    <row r="2353" spans="1:4" x14ac:dyDescent="0.2">
      <c r="A2353">
        <v>3693211</v>
      </c>
      <c r="B2353">
        <v>30069</v>
      </c>
      <c r="C2353">
        <v>302446</v>
      </c>
      <c r="D2353">
        <v>21883</v>
      </c>
    </row>
    <row r="2354" spans="1:4" x14ac:dyDescent="0.2">
      <c r="A2354">
        <v>3693212</v>
      </c>
      <c r="B2354">
        <v>30063</v>
      </c>
      <c r="C2354">
        <v>302358</v>
      </c>
      <c r="D2354">
        <v>21883</v>
      </c>
    </row>
    <row r="2355" spans="1:4" x14ac:dyDescent="0.2">
      <c r="A2355">
        <v>3693212</v>
      </c>
      <c r="B2355">
        <v>30064</v>
      </c>
      <c r="C2355">
        <v>302391</v>
      </c>
      <c r="D2355">
        <v>21883</v>
      </c>
    </row>
    <row r="2356" spans="1:4" x14ac:dyDescent="0.2">
      <c r="A2356">
        <v>3693212</v>
      </c>
      <c r="B2356">
        <v>30065</v>
      </c>
      <c r="C2356">
        <v>302370</v>
      </c>
      <c r="D2356">
        <v>21883</v>
      </c>
    </row>
    <row r="2357" spans="1:4" x14ac:dyDescent="0.2">
      <c r="A2357">
        <v>3693212</v>
      </c>
      <c r="B2357">
        <v>30066</v>
      </c>
      <c r="C2357">
        <v>302438</v>
      </c>
      <c r="D2357">
        <v>21883</v>
      </c>
    </row>
    <row r="2358" spans="1:4" x14ac:dyDescent="0.2">
      <c r="A2358">
        <v>3693212</v>
      </c>
      <c r="B2358">
        <v>30069</v>
      </c>
      <c r="C2358">
        <v>302446</v>
      </c>
      <c r="D2358">
        <v>21883</v>
      </c>
    </row>
    <row r="2359" spans="1:4" x14ac:dyDescent="0.2">
      <c r="A2359">
        <v>3693213</v>
      </c>
      <c r="B2359">
        <v>30063</v>
      </c>
      <c r="C2359">
        <v>302358</v>
      </c>
      <c r="D2359">
        <v>21883</v>
      </c>
    </row>
    <row r="2360" spans="1:4" x14ac:dyDescent="0.2">
      <c r="A2360">
        <v>3693213</v>
      </c>
      <c r="B2360">
        <v>30064</v>
      </c>
      <c r="C2360">
        <v>302391</v>
      </c>
      <c r="D2360">
        <v>21883</v>
      </c>
    </row>
    <row r="2361" spans="1:4" x14ac:dyDescent="0.2">
      <c r="A2361">
        <v>3693213</v>
      </c>
      <c r="B2361">
        <v>30065</v>
      </c>
      <c r="C2361">
        <v>302370</v>
      </c>
      <c r="D2361">
        <v>21883</v>
      </c>
    </row>
    <row r="2362" spans="1:4" x14ac:dyDescent="0.2">
      <c r="A2362">
        <v>3693213</v>
      </c>
      <c r="B2362">
        <v>30066</v>
      </c>
      <c r="C2362">
        <v>302438</v>
      </c>
      <c r="D2362">
        <v>21883</v>
      </c>
    </row>
    <row r="2363" spans="1:4" x14ac:dyDescent="0.2">
      <c r="A2363">
        <v>3693213</v>
      </c>
      <c r="B2363">
        <v>30069</v>
      </c>
      <c r="C2363">
        <v>302446</v>
      </c>
      <c r="D2363">
        <v>21883</v>
      </c>
    </row>
    <row r="2364" spans="1:4" x14ac:dyDescent="0.2">
      <c r="A2364">
        <v>3693214</v>
      </c>
      <c r="B2364">
        <v>30063</v>
      </c>
      <c r="C2364">
        <v>302358</v>
      </c>
      <c r="D2364">
        <v>21883</v>
      </c>
    </row>
    <row r="2365" spans="1:4" x14ac:dyDescent="0.2">
      <c r="A2365">
        <v>3693214</v>
      </c>
      <c r="B2365">
        <v>30064</v>
      </c>
      <c r="C2365">
        <v>302391</v>
      </c>
      <c r="D2365">
        <v>21883</v>
      </c>
    </row>
    <row r="2366" spans="1:4" x14ac:dyDescent="0.2">
      <c r="A2366">
        <v>3693214</v>
      </c>
      <c r="B2366">
        <v>30065</v>
      </c>
      <c r="C2366">
        <v>302370</v>
      </c>
      <c r="D2366">
        <v>21883</v>
      </c>
    </row>
    <row r="2367" spans="1:4" x14ac:dyDescent="0.2">
      <c r="A2367">
        <v>3693214</v>
      </c>
      <c r="B2367">
        <v>30066</v>
      </c>
      <c r="C2367">
        <v>302438</v>
      </c>
      <c r="D2367">
        <v>21883</v>
      </c>
    </row>
    <row r="2368" spans="1:4" x14ac:dyDescent="0.2">
      <c r="A2368">
        <v>3693214</v>
      </c>
      <c r="B2368">
        <v>30069</v>
      </c>
      <c r="C2368">
        <v>302446</v>
      </c>
      <c r="D2368">
        <v>21883</v>
      </c>
    </row>
    <row r="2369" spans="1:4" x14ac:dyDescent="0.2">
      <c r="A2369">
        <v>3693215</v>
      </c>
      <c r="B2369">
        <v>30063</v>
      </c>
      <c r="C2369">
        <v>302356</v>
      </c>
      <c r="D2369">
        <v>21883</v>
      </c>
    </row>
    <row r="2370" spans="1:4" x14ac:dyDescent="0.2">
      <c r="A2370">
        <v>3693215</v>
      </c>
      <c r="B2370">
        <v>30064</v>
      </c>
      <c r="C2370">
        <v>302388</v>
      </c>
      <c r="D2370">
        <v>21883</v>
      </c>
    </row>
    <row r="2371" spans="1:4" x14ac:dyDescent="0.2">
      <c r="A2371">
        <v>3693215</v>
      </c>
      <c r="B2371">
        <v>30065</v>
      </c>
      <c r="C2371">
        <v>302371</v>
      </c>
      <c r="D2371">
        <v>21883</v>
      </c>
    </row>
    <row r="2372" spans="1:4" x14ac:dyDescent="0.2">
      <c r="A2372">
        <v>3693215</v>
      </c>
      <c r="B2372">
        <v>30066</v>
      </c>
      <c r="C2372">
        <v>302400</v>
      </c>
      <c r="D2372">
        <v>21883</v>
      </c>
    </row>
    <row r="2373" spans="1:4" x14ac:dyDescent="0.2">
      <c r="A2373">
        <v>3693216</v>
      </c>
      <c r="B2373">
        <v>30063</v>
      </c>
      <c r="C2373">
        <v>302356</v>
      </c>
      <c r="D2373">
        <v>21883</v>
      </c>
    </row>
    <row r="2374" spans="1:4" x14ac:dyDescent="0.2">
      <c r="A2374">
        <v>3693216</v>
      </c>
      <c r="B2374">
        <v>30064</v>
      </c>
      <c r="C2374">
        <v>302384</v>
      </c>
      <c r="D2374">
        <v>21883</v>
      </c>
    </row>
    <row r="2375" spans="1:4" x14ac:dyDescent="0.2">
      <c r="A2375">
        <v>3693216</v>
      </c>
      <c r="B2375">
        <v>30065</v>
      </c>
      <c r="C2375">
        <v>302372</v>
      </c>
      <c r="D2375">
        <v>21883</v>
      </c>
    </row>
    <row r="2376" spans="1:4" x14ac:dyDescent="0.2">
      <c r="A2376">
        <v>3693216</v>
      </c>
      <c r="B2376">
        <v>30066</v>
      </c>
      <c r="C2376">
        <v>302400</v>
      </c>
      <c r="D2376">
        <v>21883</v>
      </c>
    </row>
    <row r="2377" spans="1:4" x14ac:dyDescent="0.2">
      <c r="A2377">
        <v>3693217</v>
      </c>
      <c r="B2377">
        <v>30061</v>
      </c>
      <c r="C2377">
        <v>302349</v>
      </c>
      <c r="D2377">
        <v>21883</v>
      </c>
    </row>
    <row r="2378" spans="1:4" x14ac:dyDescent="0.2">
      <c r="A2378">
        <v>3693217</v>
      </c>
      <c r="B2378">
        <v>30062</v>
      </c>
      <c r="C2378">
        <v>302355</v>
      </c>
      <c r="D2378">
        <v>21883</v>
      </c>
    </row>
    <row r="2379" spans="1:4" x14ac:dyDescent="0.2">
      <c r="A2379">
        <v>3693217</v>
      </c>
      <c r="B2379">
        <v>30063</v>
      </c>
      <c r="C2379">
        <v>302356</v>
      </c>
      <c r="D2379">
        <v>21883</v>
      </c>
    </row>
    <row r="2380" spans="1:4" x14ac:dyDescent="0.2">
      <c r="A2380">
        <v>3693217</v>
      </c>
      <c r="B2380">
        <v>30064</v>
      </c>
      <c r="C2380">
        <v>302385</v>
      </c>
      <c r="D2380">
        <v>21883</v>
      </c>
    </row>
    <row r="2381" spans="1:4" x14ac:dyDescent="0.2">
      <c r="A2381">
        <v>3693217</v>
      </c>
      <c r="B2381">
        <v>30065</v>
      </c>
      <c r="C2381">
        <v>302372</v>
      </c>
      <c r="D2381">
        <v>21883</v>
      </c>
    </row>
    <row r="2382" spans="1:4" x14ac:dyDescent="0.2">
      <c r="A2382">
        <v>3693217</v>
      </c>
      <c r="B2382">
        <v>30066</v>
      </c>
      <c r="C2382">
        <v>302400</v>
      </c>
      <c r="D2382">
        <v>21883</v>
      </c>
    </row>
    <row r="2383" spans="1:4" x14ac:dyDescent="0.2">
      <c r="A2383">
        <v>3693218</v>
      </c>
      <c r="B2383">
        <v>30065</v>
      </c>
      <c r="C2383">
        <v>302372</v>
      </c>
      <c r="D2383">
        <v>21883</v>
      </c>
    </row>
    <row r="2384" spans="1:4" x14ac:dyDescent="0.2">
      <c r="A2384">
        <v>3693218</v>
      </c>
      <c r="B2384">
        <v>30066</v>
      </c>
      <c r="C2384">
        <v>302400</v>
      </c>
      <c r="D2384">
        <v>21883</v>
      </c>
    </row>
    <row r="2385" spans="1:4" x14ac:dyDescent="0.2">
      <c r="A2385">
        <v>3693219</v>
      </c>
      <c r="B2385">
        <v>30061</v>
      </c>
      <c r="C2385">
        <v>302349</v>
      </c>
      <c r="D2385">
        <v>21883</v>
      </c>
    </row>
    <row r="2386" spans="1:4" x14ac:dyDescent="0.2">
      <c r="A2386">
        <v>3693219</v>
      </c>
      <c r="B2386">
        <v>30062</v>
      </c>
      <c r="C2386">
        <v>302355</v>
      </c>
      <c r="D2386">
        <v>21883</v>
      </c>
    </row>
    <row r="2387" spans="1:4" x14ac:dyDescent="0.2">
      <c r="A2387">
        <v>3693219</v>
      </c>
      <c r="B2387">
        <v>30063</v>
      </c>
      <c r="C2387">
        <v>302356</v>
      </c>
      <c r="D2387">
        <v>21883</v>
      </c>
    </row>
    <row r="2388" spans="1:4" x14ac:dyDescent="0.2">
      <c r="A2388">
        <v>3693219</v>
      </c>
      <c r="B2388">
        <v>30064</v>
      </c>
      <c r="C2388">
        <v>302411</v>
      </c>
      <c r="D2388">
        <v>21883</v>
      </c>
    </row>
    <row r="2389" spans="1:4" x14ac:dyDescent="0.2">
      <c r="A2389">
        <v>3693219</v>
      </c>
      <c r="B2389">
        <v>30065</v>
      </c>
      <c r="C2389">
        <v>302372</v>
      </c>
      <c r="D2389">
        <v>21883</v>
      </c>
    </row>
    <row r="2390" spans="1:4" x14ac:dyDescent="0.2">
      <c r="A2390">
        <v>3693219</v>
      </c>
      <c r="B2390">
        <v>30066</v>
      </c>
      <c r="C2390">
        <v>302400</v>
      </c>
      <c r="D2390">
        <v>21883</v>
      </c>
    </row>
    <row r="2391" spans="1:4" x14ac:dyDescent="0.2">
      <c r="A2391">
        <v>3693220</v>
      </c>
      <c r="B2391">
        <v>30061</v>
      </c>
      <c r="C2391">
        <v>302349</v>
      </c>
      <c r="D2391">
        <v>21883</v>
      </c>
    </row>
    <row r="2392" spans="1:4" x14ac:dyDescent="0.2">
      <c r="A2392">
        <v>3693220</v>
      </c>
      <c r="B2392">
        <v>30062</v>
      </c>
      <c r="C2392">
        <v>302355</v>
      </c>
      <c r="D2392">
        <v>21883</v>
      </c>
    </row>
    <row r="2393" spans="1:4" x14ac:dyDescent="0.2">
      <c r="A2393">
        <v>3693220</v>
      </c>
      <c r="B2393">
        <v>30063</v>
      </c>
      <c r="C2393">
        <v>302356</v>
      </c>
      <c r="D2393">
        <v>21883</v>
      </c>
    </row>
    <row r="2394" spans="1:4" x14ac:dyDescent="0.2">
      <c r="A2394">
        <v>3693220</v>
      </c>
      <c r="B2394">
        <v>30064</v>
      </c>
      <c r="C2394">
        <v>302380</v>
      </c>
      <c r="D2394">
        <v>21883</v>
      </c>
    </row>
    <row r="2395" spans="1:4" x14ac:dyDescent="0.2">
      <c r="A2395">
        <v>3693220</v>
      </c>
      <c r="B2395">
        <v>30065</v>
      </c>
      <c r="C2395">
        <v>302372</v>
      </c>
      <c r="D2395">
        <v>21883</v>
      </c>
    </row>
    <row r="2396" spans="1:4" x14ac:dyDescent="0.2">
      <c r="A2396">
        <v>3693220</v>
      </c>
      <c r="B2396">
        <v>30066</v>
      </c>
      <c r="C2396">
        <v>302400</v>
      </c>
      <c r="D2396">
        <v>21883</v>
      </c>
    </row>
    <row r="2397" spans="1:4" x14ac:dyDescent="0.2">
      <c r="A2397">
        <v>3693221</v>
      </c>
      <c r="B2397">
        <v>30061</v>
      </c>
      <c r="C2397">
        <v>302349</v>
      </c>
      <c r="D2397">
        <v>21883</v>
      </c>
    </row>
    <row r="2398" spans="1:4" x14ac:dyDescent="0.2">
      <c r="A2398">
        <v>3693221</v>
      </c>
      <c r="B2398">
        <v>30062</v>
      </c>
      <c r="C2398">
        <v>302355</v>
      </c>
      <c r="D2398">
        <v>21883</v>
      </c>
    </row>
    <row r="2399" spans="1:4" x14ac:dyDescent="0.2">
      <c r="A2399">
        <v>3693221</v>
      </c>
      <c r="B2399">
        <v>30063</v>
      </c>
      <c r="C2399">
        <v>302356</v>
      </c>
      <c r="D2399">
        <v>21883</v>
      </c>
    </row>
    <row r="2400" spans="1:4" x14ac:dyDescent="0.2">
      <c r="A2400">
        <v>3693221</v>
      </c>
      <c r="B2400">
        <v>30064</v>
      </c>
      <c r="C2400">
        <v>302379</v>
      </c>
      <c r="D2400">
        <v>21883</v>
      </c>
    </row>
    <row r="2401" spans="1:4" x14ac:dyDescent="0.2">
      <c r="A2401">
        <v>3693221</v>
      </c>
      <c r="B2401">
        <v>30065</v>
      </c>
      <c r="C2401">
        <v>302372</v>
      </c>
      <c r="D2401">
        <v>21883</v>
      </c>
    </row>
    <row r="2402" spans="1:4" x14ac:dyDescent="0.2">
      <c r="A2402">
        <v>3693221</v>
      </c>
      <c r="B2402">
        <v>30066</v>
      </c>
      <c r="C2402">
        <v>302400</v>
      </c>
      <c r="D2402">
        <v>21883</v>
      </c>
    </row>
    <row r="2403" spans="1:4" x14ac:dyDescent="0.2">
      <c r="A2403">
        <v>3693222</v>
      </c>
      <c r="B2403">
        <v>30060</v>
      </c>
      <c r="C2403">
        <v>302341</v>
      </c>
      <c r="D2403">
        <v>21883</v>
      </c>
    </row>
    <row r="2404" spans="1:4" x14ac:dyDescent="0.2">
      <c r="A2404">
        <v>3693222</v>
      </c>
      <c r="B2404">
        <v>30061</v>
      </c>
      <c r="C2404">
        <v>302349</v>
      </c>
      <c r="D2404">
        <v>21883</v>
      </c>
    </row>
    <row r="2405" spans="1:4" x14ac:dyDescent="0.2">
      <c r="A2405">
        <v>3693222</v>
      </c>
      <c r="B2405">
        <v>30062</v>
      </c>
      <c r="C2405">
        <v>302355</v>
      </c>
      <c r="D2405">
        <v>21883</v>
      </c>
    </row>
    <row r="2406" spans="1:4" x14ac:dyDescent="0.2">
      <c r="A2406">
        <v>3693222</v>
      </c>
      <c r="B2406">
        <v>30063</v>
      </c>
      <c r="C2406">
        <v>302356</v>
      </c>
      <c r="D2406">
        <v>21883</v>
      </c>
    </row>
    <row r="2407" spans="1:4" x14ac:dyDescent="0.2">
      <c r="A2407">
        <v>3693222</v>
      </c>
      <c r="B2407">
        <v>30064</v>
      </c>
      <c r="C2407">
        <v>302379</v>
      </c>
      <c r="D2407">
        <v>21883</v>
      </c>
    </row>
    <row r="2408" spans="1:4" x14ac:dyDescent="0.2">
      <c r="A2408">
        <v>3693222</v>
      </c>
      <c r="B2408">
        <v>30065</v>
      </c>
      <c r="C2408">
        <v>302372</v>
      </c>
      <c r="D2408">
        <v>21883</v>
      </c>
    </row>
    <row r="2409" spans="1:4" x14ac:dyDescent="0.2">
      <c r="A2409">
        <v>3693222</v>
      </c>
      <c r="B2409">
        <v>30066</v>
      </c>
      <c r="C2409">
        <v>302400</v>
      </c>
      <c r="D2409">
        <v>21883</v>
      </c>
    </row>
    <row r="2410" spans="1:4" x14ac:dyDescent="0.2">
      <c r="A2410">
        <v>3693223</v>
      </c>
      <c r="B2410">
        <v>30061</v>
      </c>
      <c r="C2410">
        <v>302349</v>
      </c>
      <c r="D2410">
        <v>21883</v>
      </c>
    </row>
    <row r="2411" spans="1:4" x14ac:dyDescent="0.2">
      <c r="A2411">
        <v>3693223</v>
      </c>
      <c r="B2411">
        <v>30062</v>
      </c>
      <c r="C2411">
        <v>302355</v>
      </c>
      <c r="D2411">
        <v>21883</v>
      </c>
    </row>
    <row r="2412" spans="1:4" x14ac:dyDescent="0.2">
      <c r="A2412">
        <v>3693223</v>
      </c>
      <c r="B2412">
        <v>30063</v>
      </c>
      <c r="C2412">
        <v>302356</v>
      </c>
      <c r="D2412">
        <v>21883</v>
      </c>
    </row>
    <row r="2413" spans="1:4" x14ac:dyDescent="0.2">
      <c r="A2413">
        <v>3693223</v>
      </c>
      <c r="B2413">
        <v>30064</v>
      </c>
      <c r="C2413">
        <v>302379</v>
      </c>
      <c r="D2413">
        <v>21883</v>
      </c>
    </row>
    <row r="2414" spans="1:4" x14ac:dyDescent="0.2">
      <c r="A2414">
        <v>3693223</v>
      </c>
      <c r="B2414">
        <v>30065</v>
      </c>
      <c r="C2414">
        <v>302372</v>
      </c>
      <c r="D2414">
        <v>21883</v>
      </c>
    </row>
    <row r="2415" spans="1:4" x14ac:dyDescent="0.2">
      <c r="A2415">
        <v>3693223</v>
      </c>
      <c r="B2415">
        <v>30066</v>
      </c>
      <c r="C2415">
        <v>302400</v>
      </c>
      <c r="D2415">
        <v>21883</v>
      </c>
    </row>
    <row r="2416" spans="1:4" x14ac:dyDescent="0.2">
      <c r="A2416">
        <v>3693224</v>
      </c>
      <c r="B2416">
        <v>30063</v>
      </c>
      <c r="C2416">
        <v>302356</v>
      </c>
      <c r="D2416">
        <v>21883</v>
      </c>
    </row>
    <row r="2417" spans="1:4" x14ac:dyDescent="0.2">
      <c r="A2417">
        <v>3693224</v>
      </c>
      <c r="B2417">
        <v>30064</v>
      </c>
      <c r="C2417">
        <v>302384</v>
      </c>
      <c r="D2417">
        <v>21883</v>
      </c>
    </row>
    <row r="2418" spans="1:4" x14ac:dyDescent="0.2">
      <c r="A2418">
        <v>3693224</v>
      </c>
      <c r="B2418">
        <v>30065</v>
      </c>
      <c r="C2418">
        <v>302372</v>
      </c>
      <c r="D2418">
        <v>21883</v>
      </c>
    </row>
    <row r="2419" spans="1:4" x14ac:dyDescent="0.2">
      <c r="A2419">
        <v>3693224</v>
      </c>
      <c r="B2419">
        <v>30066</v>
      </c>
      <c r="C2419">
        <v>302401</v>
      </c>
      <c r="D2419">
        <v>21883</v>
      </c>
    </row>
    <row r="2420" spans="1:4" x14ac:dyDescent="0.2">
      <c r="A2420">
        <v>3693225</v>
      </c>
      <c r="B2420">
        <v>30061</v>
      </c>
      <c r="C2420">
        <v>302348</v>
      </c>
      <c r="D2420">
        <v>21883</v>
      </c>
    </row>
    <row r="2421" spans="1:4" x14ac:dyDescent="0.2">
      <c r="A2421">
        <v>3693225</v>
      </c>
      <c r="B2421">
        <v>30062</v>
      </c>
      <c r="C2421">
        <v>302355</v>
      </c>
      <c r="D2421">
        <v>21883</v>
      </c>
    </row>
    <row r="2422" spans="1:4" x14ac:dyDescent="0.2">
      <c r="A2422">
        <v>3693225</v>
      </c>
      <c r="B2422">
        <v>30063</v>
      </c>
      <c r="C2422">
        <v>302356</v>
      </c>
      <c r="D2422">
        <v>21883</v>
      </c>
    </row>
    <row r="2423" spans="1:4" x14ac:dyDescent="0.2">
      <c r="A2423">
        <v>3693225</v>
      </c>
      <c r="B2423">
        <v>30064</v>
      </c>
      <c r="C2423">
        <v>302385</v>
      </c>
      <c r="D2423">
        <v>21883</v>
      </c>
    </row>
    <row r="2424" spans="1:4" x14ac:dyDescent="0.2">
      <c r="A2424">
        <v>3693225</v>
      </c>
      <c r="B2424">
        <v>30065</v>
      </c>
      <c r="C2424">
        <v>302372</v>
      </c>
      <c r="D2424">
        <v>21883</v>
      </c>
    </row>
    <row r="2425" spans="1:4" x14ac:dyDescent="0.2">
      <c r="A2425">
        <v>3693225</v>
      </c>
      <c r="B2425">
        <v>30066</v>
      </c>
      <c r="C2425">
        <v>302401</v>
      </c>
      <c r="D2425">
        <v>21883</v>
      </c>
    </row>
    <row r="2426" spans="1:4" x14ac:dyDescent="0.2">
      <c r="A2426">
        <v>3693226</v>
      </c>
      <c r="B2426">
        <v>30065</v>
      </c>
      <c r="C2426">
        <v>302372</v>
      </c>
      <c r="D2426">
        <v>21883</v>
      </c>
    </row>
    <row r="2427" spans="1:4" x14ac:dyDescent="0.2">
      <c r="A2427">
        <v>3693226</v>
      </c>
      <c r="B2427">
        <v>30066</v>
      </c>
      <c r="C2427">
        <v>302401</v>
      </c>
      <c r="D2427">
        <v>21883</v>
      </c>
    </row>
    <row r="2428" spans="1:4" x14ac:dyDescent="0.2">
      <c r="A2428">
        <v>3693227</v>
      </c>
      <c r="B2428">
        <v>30061</v>
      </c>
      <c r="C2428">
        <v>302348</v>
      </c>
      <c r="D2428">
        <v>21883</v>
      </c>
    </row>
    <row r="2429" spans="1:4" x14ac:dyDescent="0.2">
      <c r="A2429">
        <v>3693227</v>
      </c>
      <c r="B2429">
        <v>30062</v>
      </c>
      <c r="C2429">
        <v>302355</v>
      </c>
      <c r="D2429">
        <v>21883</v>
      </c>
    </row>
    <row r="2430" spans="1:4" x14ac:dyDescent="0.2">
      <c r="A2430">
        <v>3693227</v>
      </c>
      <c r="B2430">
        <v>30063</v>
      </c>
      <c r="C2430">
        <v>302356</v>
      </c>
      <c r="D2430">
        <v>21883</v>
      </c>
    </row>
    <row r="2431" spans="1:4" x14ac:dyDescent="0.2">
      <c r="A2431">
        <v>3693227</v>
      </c>
      <c r="B2431">
        <v>30064</v>
      </c>
      <c r="C2431">
        <v>302411</v>
      </c>
      <c r="D2431">
        <v>21883</v>
      </c>
    </row>
    <row r="2432" spans="1:4" x14ac:dyDescent="0.2">
      <c r="A2432">
        <v>3693227</v>
      </c>
      <c r="B2432">
        <v>30065</v>
      </c>
      <c r="C2432">
        <v>302372</v>
      </c>
      <c r="D2432">
        <v>21883</v>
      </c>
    </row>
    <row r="2433" spans="1:4" x14ac:dyDescent="0.2">
      <c r="A2433">
        <v>3693227</v>
      </c>
      <c r="B2433">
        <v>30066</v>
      </c>
      <c r="C2433">
        <v>302401</v>
      </c>
      <c r="D2433">
        <v>21883</v>
      </c>
    </row>
    <row r="2434" spans="1:4" x14ac:dyDescent="0.2">
      <c r="A2434">
        <v>3693228</v>
      </c>
      <c r="B2434">
        <v>30061</v>
      </c>
      <c r="C2434">
        <v>302348</v>
      </c>
      <c r="D2434">
        <v>21883</v>
      </c>
    </row>
    <row r="2435" spans="1:4" x14ac:dyDescent="0.2">
      <c r="A2435">
        <v>3693228</v>
      </c>
      <c r="B2435">
        <v>30062</v>
      </c>
      <c r="C2435">
        <v>302355</v>
      </c>
      <c r="D2435">
        <v>21883</v>
      </c>
    </row>
    <row r="2436" spans="1:4" x14ac:dyDescent="0.2">
      <c r="A2436">
        <v>3693228</v>
      </c>
      <c r="B2436">
        <v>30063</v>
      </c>
      <c r="C2436">
        <v>302356</v>
      </c>
      <c r="D2436">
        <v>21883</v>
      </c>
    </row>
    <row r="2437" spans="1:4" x14ac:dyDescent="0.2">
      <c r="A2437">
        <v>3693228</v>
      </c>
      <c r="B2437">
        <v>30064</v>
      </c>
      <c r="C2437">
        <v>302380</v>
      </c>
      <c r="D2437">
        <v>21883</v>
      </c>
    </row>
    <row r="2438" spans="1:4" x14ac:dyDescent="0.2">
      <c r="A2438">
        <v>3693228</v>
      </c>
      <c r="B2438">
        <v>30065</v>
      </c>
      <c r="C2438">
        <v>302372</v>
      </c>
      <c r="D2438">
        <v>21883</v>
      </c>
    </row>
    <row r="2439" spans="1:4" x14ac:dyDescent="0.2">
      <c r="A2439">
        <v>3693228</v>
      </c>
      <c r="B2439">
        <v>30066</v>
      </c>
      <c r="C2439">
        <v>302401</v>
      </c>
      <c r="D2439">
        <v>21883</v>
      </c>
    </row>
    <row r="2440" spans="1:4" x14ac:dyDescent="0.2">
      <c r="A2440">
        <v>3693229</v>
      </c>
      <c r="B2440">
        <v>30061</v>
      </c>
      <c r="C2440">
        <v>302348</v>
      </c>
      <c r="D2440">
        <v>21883</v>
      </c>
    </row>
    <row r="2441" spans="1:4" x14ac:dyDescent="0.2">
      <c r="A2441">
        <v>3693229</v>
      </c>
      <c r="B2441">
        <v>30062</v>
      </c>
      <c r="C2441">
        <v>302355</v>
      </c>
      <c r="D2441">
        <v>21883</v>
      </c>
    </row>
    <row r="2442" spans="1:4" x14ac:dyDescent="0.2">
      <c r="A2442">
        <v>3693229</v>
      </c>
      <c r="B2442">
        <v>30063</v>
      </c>
      <c r="C2442">
        <v>302356</v>
      </c>
      <c r="D2442">
        <v>21883</v>
      </c>
    </row>
    <row r="2443" spans="1:4" x14ac:dyDescent="0.2">
      <c r="A2443">
        <v>3693229</v>
      </c>
      <c r="B2443">
        <v>30064</v>
      </c>
      <c r="C2443">
        <v>302379</v>
      </c>
      <c r="D2443">
        <v>21883</v>
      </c>
    </row>
    <row r="2444" spans="1:4" x14ac:dyDescent="0.2">
      <c r="A2444">
        <v>3693229</v>
      </c>
      <c r="B2444">
        <v>30065</v>
      </c>
      <c r="C2444">
        <v>302372</v>
      </c>
      <c r="D2444">
        <v>21883</v>
      </c>
    </row>
    <row r="2445" spans="1:4" x14ac:dyDescent="0.2">
      <c r="A2445">
        <v>3693229</v>
      </c>
      <c r="B2445">
        <v>30066</v>
      </c>
      <c r="C2445">
        <v>302401</v>
      </c>
      <c r="D2445">
        <v>21883</v>
      </c>
    </row>
    <row r="2446" spans="1:4" x14ac:dyDescent="0.2">
      <c r="A2446">
        <v>3693230</v>
      </c>
      <c r="B2446">
        <v>30061</v>
      </c>
      <c r="C2446">
        <v>302348</v>
      </c>
      <c r="D2446">
        <v>21883</v>
      </c>
    </row>
    <row r="2447" spans="1:4" x14ac:dyDescent="0.2">
      <c r="A2447">
        <v>3693230</v>
      </c>
      <c r="B2447">
        <v>30062</v>
      </c>
      <c r="C2447">
        <v>302355</v>
      </c>
      <c r="D2447">
        <v>21883</v>
      </c>
    </row>
    <row r="2448" spans="1:4" x14ac:dyDescent="0.2">
      <c r="A2448">
        <v>3693230</v>
      </c>
      <c r="B2448">
        <v>30063</v>
      </c>
      <c r="C2448">
        <v>302356</v>
      </c>
      <c r="D2448">
        <v>21883</v>
      </c>
    </row>
    <row r="2449" spans="1:4" x14ac:dyDescent="0.2">
      <c r="A2449">
        <v>3693230</v>
      </c>
      <c r="B2449">
        <v>30064</v>
      </c>
      <c r="C2449">
        <v>302379</v>
      </c>
      <c r="D2449">
        <v>21883</v>
      </c>
    </row>
    <row r="2450" spans="1:4" x14ac:dyDescent="0.2">
      <c r="A2450">
        <v>3693230</v>
      </c>
      <c r="B2450">
        <v>30065</v>
      </c>
      <c r="C2450">
        <v>302372</v>
      </c>
      <c r="D2450">
        <v>21883</v>
      </c>
    </row>
    <row r="2451" spans="1:4" x14ac:dyDescent="0.2">
      <c r="A2451">
        <v>3693230</v>
      </c>
      <c r="B2451">
        <v>30066</v>
      </c>
      <c r="C2451">
        <v>302401</v>
      </c>
      <c r="D2451">
        <v>21883</v>
      </c>
    </row>
    <row r="2452" spans="1:4" x14ac:dyDescent="0.2">
      <c r="A2452">
        <v>3693231</v>
      </c>
      <c r="B2452">
        <v>30061</v>
      </c>
      <c r="C2452">
        <v>302348</v>
      </c>
      <c r="D2452">
        <v>21883</v>
      </c>
    </row>
    <row r="2453" spans="1:4" x14ac:dyDescent="0.2">
      <c r="A2453">
        <v>3693231</v>
      </c>
      <c r="B2453">
        <v>30062</v>
      </c>
      <c r="C2453">
        <v>302355</v>
      </c>
      <c r="D2453">
        <v>21883</v>
      </c>
    </row>
    <row r="2454" spans="1:4" x14ac:dyDescent="0.2">
      <c r="A2454">
        <v>3693231</v>
      </c>
      <c r="B2454">
        <v>30063</v>
      </c>
      <c r="C2454">
        <v>302356</v>
      </c>
      <c r="D2454">
        <v>21883</v>
      </c>
    </row>
    <row r="2455" spans="1:4" x14ac:dyDescent="0.2">
      <c r="A2455">
        <v>3693231</v>
      </c>
      <c r="B2455">
        <v>30064</v>
      </c>
      <c r="C2455">
        <v>302379</v>
      </c>
      <c r="D2455">
        <v>21883</v>
      </c>
    </row>
    <row r="2456" spans="1:4" x14ac:dyDescent="0.2">
      <c r="A2456">
        <v>3693231</v>
      </c>
      <c r="B2456">
        <v>30065</v>
      </c>
      <c r="C2456">
        <v>302372</v>
      </c>
      <c r="D2456">
        <v>21883</v>
      </c>
    </row>
    <row r="2457" spans="1:4" x14ac:dyDescent="0.2">
      <c r="A2457">
        <v>3693231</v>
      </c>
      <c r="B2457">
        <v>30066</v>
      </c>
      <c r="C2457">
        <v>302401</v>
      </c>
      <c r="D2457">
        <v>21883</v>
      </c>
    </row>
    <row r="2458" spans="1:4" x14ac:dyDescent="0.2">
      <c r="A2458">
        <v>3693232</v>
      </c>
      <c r="B2458">
        <v>30063</v>
      </c>
      <c r="C2458">
        <v>302356</v>
      </c>
      <c r="D2458">
        <v>21883</v>
      </c>
    </row>
    <row r="2459" spans="1:4" x14ac:dyDescent="0.2">
      <c r="A2459">
        <v>3693232</v>
      </c>
      <c r="B2459">
        <v>30064</v>
      </c>
      <c r="C2459">
        <v>302384</v>
      </c>
      <c r="D2459">
        <v>21883</v>
      </c>
    </row>
    <row r="2460" spans="1:4" x14ac:dyDescent="0.2">
      <c r="A2460">
        <v>3693232</v>
      </c>
      <c r="B2460">
        <v>30065</v>
      </c>
      <c r="C2460">
        <v>302372</v>
      </c>
      <c r="D2460">
        <v>21883</v>
      </c>
    </row>
    <row r="2461" spans="1:4" x14ac:dyDescent="0.2">
      <c r="A2461">
        <v>3693232</v>
      </c>
      <c r="B2461">
        <v>30066</v>
      </c>
      <c r="C2461">
        <v>302402</v>
      </c>
      <c r="D2461">
        <v>21883</v>
      </c>
    </row>
    <row r="2462" spans="1:4" x14ac:dyDescent="0.2">
      <c r="A2462">
        <v>3693233</v>
      </c>
      <c r="B2462">
        <v>30061</v>
      </c>
      <c r="C2462">
        <v>302347</v>
      </c>
      <c r="D2462">
        <v>21883</v>
      </c>
    </row>
    <row r="2463" spans="1:4" x14ac:dyDescent="0.2">
      <c r="A2463">
        <v>3693233</v>
      </c>
      <c r="B2463">
        <v>30062</v>
      </c>
      <c r="C2463">
        <v>302355</v>
      </c>
      <c r="D2463">
        <v>21883</v>
      </c>
    </row>
    <row r="2464" spans="1:4" x14ac:dyDescent="0.2">
      <c r="A2464">
        <v>3693233</v>
      </c>
      <c r="B2464">
        <v>30063</v>
      </c>
      <c r="C2464">
        <v>302356</v>
      </c>
      <c r="D2464">
        <v>21883</v>
      </c>
    </row>
    <row r="2465" spans="1:4" x14ac:dyDescent="0.2">
      <c r="A2465">
        <v>3693233</v>
      </c>
      <c r="B2465">
        <v>30064</v>
      </c>
      <c r="C2465">
        <v>302385</v>
      </c>
      <c r="D2465">
        <v>21883</v>
      </c>
    </row>
    <row r="2466" spans="1:4" x14ac:dyDescent="0.2">
      <c r="A2466">
        <v>3693233</v>
      </c>
      <c r="B2466">
        <v>30065</v>
      </c>
      <c r="C2466">
        <v>302372</v>
      </c>
      <c r="D2466">
        <v>21883</v>
      </c>
    </row>
    <row r="2467" spans="1:4" x14ac:dyDescent="0.2">
      <c r="A2467">
        <v>3693233</v>
      </c>
      <c r="B2467">
        <v>30066</v>
      </c>
      <c r="C2467">
        <v>302402</v>
      </c>
      <c r="D2467">
        <v>21883</v>
      </c>
    </row>
    <row r="2468" spans="1:4" x14ac:dyDescent="0.2">
      <c r="A2468">
        <v>3693234</v>
      </c>
      <c r="B2468">
        <v>30065</v>
      </c>
      <c r="C2468">
        <v>302372</v>
      </c>
      <c r="D2468">
        <v>21883</v>
      </c>
    </row>
    <row r="2469" spans="1:4" x14ac:dyDescent="0.2">
      <c r="A2469">
        <v>3693234</v>
      </c>
      <c r="B2469">
        <v>30066</v>
      </c>
      <c r="C2469">
        <v>302402</v>
      </c>
      <c r="D2469">
        <v>21883</v>
      </c>
    </row>
    <row r="2470" spans="1:4" x14ac:dyDescent="0.2">
      <c r="A2470">
        <v>3693235</v>
      </c>
      <c r="B2470">
        <v>30061</v>
      </c>
      <c r="C2470">
        <v>302347</v>
      </c>
      <c r="D2470">
        <v>21883</v>
      </c>
    </row>
    <row r="2471" spans="1:4" x14ac:dyDescent="0.2">
      <c r="A2471">
        <v>3693235</v>
      </c>
      <c r="B2471">
        <v>30062</v>
      </c>
      <c r="C2471">
        <v>302355</v>
      </c>
      <c r="D2471">
        <v>21883</v>
      </c>
    </row>
    <row r="2472" spans="1:4" x14ac:dyDescent="0.2">
      <c r="A2472">
        <v>3693235</v>
      </c>
      <c r="B2472">
        <v>30063</v>
      </c>
      <c r="C2472">
        <v>302356</v>
      </c>
      <c r="D2472">
        <v>21883</v>
      </c>
    </row>
    <row r="2473" spans="1:4" x14ac:dyDescent="0.2">
      <c r="A2473">
        <v>3693235</v>
      </c>
      <c r="B2473">
        <v>30064</v>
      </c>
      <c r="C2473">
        <v>302411</v>
      </c>
      <c r="D2473">
        <v>21883</v>
      </c>
    </row>
    <row r="2474" spans="1:4" x14ac:dyDescent="0.2">
      <c r="A2474">
        <v>3693235</v>
      </c>
      <c r="B2474">
        <v>30065</v>
      </c>
      <c r="C2474">
        <v>302372</v>
      </c>
      <c r="D2474">
        <v>21883</v>
      </c>
    </row>
    <row r="2475" spans="1:4" x14ac:dyDescent="0.2">
      <c r="A2475">
        <v>3693235</v>
      </c>
      <c r="B2475">
        <v>30066</v>
      </c>
      <c r="C2475">
        <v>302402</v>
      </c>
      <c r="D2475">
        <v>21883</v>
      </c>
    </row>
    <row r="2476" spans="1:4" x14ac:dyDescent="0.2">
      <c r="A2476">
        <v>3693236</v>
      </c>
      <c r="B2476">
        <v>30061</v>
      </c>
      <c r="C2476">
        <v>302347</v>
      </c>
      <c r="D2476">
        <v>21883</v>
      </c>
    </row>
    <row r="2477" spans="1:4" x14ac:dyDescent="0.2">
      <c r="A2477">
        <v>3693236</v>
      </c>
      <c r="B2477">
        <v>30062</v>
      </c>
      <c r="C2477">
        <v>302355</v>
      </c>
      <c r="D2477">
        <v>21883</v>
      </c>
    </row>
    <row r="2478" spans="1:4" x14ac:dyDescent="0.2">
      <c r="A2478">
        <v>3693236</v>
      </c>
      <c r="B2478">
        <v>30063</v>
      </c>
      <c r="C2478">
        <v>302356</v>
      </c>
      <c r="D2478">
        <v>21883</v>
      </c>
    </row>
    <row r="2479" spans="1:4" x14ac:dyDescent="0.2">
      <c r="A2479">
        <v>3693236</v>
      </c>
      <c r="B2479">
        <v>30064</v>
      </c>
      <c r="C2479">
        <v>302380</v>
      </c>
      <c r="D2479">
        <v>21883</v>
      </c>
    </row>
    <row r="2480" spans="1:4" x14ac:dyDescent="0.2">
      <c r="A2480">
        <v>3693236</v>
      </c>
      <c r="B2480">
        <v>30065</v>
      </c>
      <c r="C2480">
        <v>302372</v>
      </c>
      <c r="D2480">
        <v>21883</v>
      </c>
    </row>
    <row r="2481" spans="1:4" x14ac:dyDescent="0.2">
      <c r="A2481">
        <v>3693236</v>
      </c>
      <c r="B2481">
        <v>30066</v>
      </c>
      <c r="C2481">
        <v>302402</v>
      </c>
      <c r="D2481">
        <v>21883</v>
      </c>
    </row>
    <row r="2482" spans="1:4" x14ac:dyDescent="0.2">
      <c r="A2482">
        <v>3693237</v>
      </c>
      <c r="B2482">
        <v>30061</v>
      </c>
      <c r="C2482">
        <v>302347</v>
      </c>
      <c r="D2482">
        <v>21883</v>
      </c>
    </row>
    <row r="2483" spans="1:4" x14ac:dyDescent="0.2">
      <c r="A2483">
        <v>3693237</v>
      </c>
      <c r="B2483">
        <v>30062</v>
      </c>
      <c r="C2483">
        <v>302355</v>
      </c>
      <c r="D2483">
        <v>21883</v>
      </c>
    </row>
    <row r="2484" spans="1:4" x14ac:dyDescent="0.2">
      <c r="A2484">
        <v>3693237</v>
      </c>
      <c r="B2484">
        <v>30063</v>
      </c>
      <c r="C2484">
        <v>302356</v>
      </c>
      <c r="D2484">
        <v>21883</v>
      </c>
    </row>
    <row r="2485" spans="1:4" x14ac:dyDescent="0.2">
      <c r="A2485">
        <v>3693237</v>
      </c>
      <c r="B2485">
        <v>30064</v>
      </c>
      <c r="C2485">
        <v>302379</v>
      </c>
      <c r="D2485">
        <v>21883</v>
      </c>
    </row>
    <row r="2486" spans="1:4" x14ac:dyDescent="0.2">
      <c r="A2486">
        <v>3693237</v>
      </c>
      <c r="B2486">
        <v>30065</v>
      </c>
      <c r="C2486">
        <v>302372</v>
      </c>
      <c r="D2486">
        <v>21883</v>
      </c>
    </row>
    <row r="2487" spans="1:4" x14ac:dyDescent="0.2">
      <c r="A2487">
        <v>3693237</v>
      </c>
      <c r="B2487">
        <v>30066</v>
      </c>
      <c r="C2487">
        <v>302402</v>
      </c>
      <c r="D2487">
        <v>21883</v>
      </c>
    </row>
    <row r="2488" spans="1:4" x14ac:dyDescent="0.2">
      <c r="A2488">
        <v>3693238</v>
      </c>
      <c r="B2488">
        <v>30060</v>
      </c>
      <c r="C2488">
        <v>302341</v>
      </c>
      <c r="D2488">
        <v>21883</v>
      </c>
    </row>
    <row r="2489" spans="1:4" x14ac:dyDescent="0.2">
      <c r="A2489">
        <v>3693238</v>
      </c>
      <c r="B2489">
        <v>30061</v>
      </c>
      <c r="C2489">
        <v>302347</v>
      </c>
      <c r="D2489">
        <v>21883</v>
      </c>
    </row>
    <row r="2490" spans="1:4" x14ac:dyDescent="0.2">
      <c r="A2490">
        <v>3693238</v>
      </c>
      <c r="B2490">
        <v>30062</v>
      </c>
      <c r="C2490">
        <v>302355</v>
      </c>
      <c r="D2490">
        <v>21883</v>
      </c>
    </row>
    <row r="2491" spans="1:4" x14ac:dyDescent="0.2">
      <c r="A2491">
        <v>3693238</v>
      </c>
      <c r="B2491">
        <v>30063</v>
      </c>
      <c r="C2491">
        <v>302356</v>
      </c>
      <c r="D2491">
        <v>21883</v>
      </c>
    </row>
    <row r="2492" spans="1:4" x14ac:dyDescent="0.2">
      <c r="A2492">
        <v>3693238</v>
      </c>
      <c r="B2492">
        <v>30064</v>
      </c>
      <c r="C2492">
        <v>302379</v>
      </c>
      <c r="D2492">
        <v>21883</v>
      </c>
    </row>
    <row r="2493" spans="1:4" x14ac:dyDescent="0.2">
      <c r="A2493">
        <v>3693238</v>
      </c>
      <c r="B2493">
        <v>30065</v>
      </c>
      <c r="C2493">
        <v>302372</v>
      </c>
      <c r="D2493">
        <v>21883</v>
      </c>
    </row>
    <row r="2494" spans="1:4" x14ac:dyDescent="0.2">
      <c r="A2494">
        <v>3693238</v>
      </c>
      <c r="B2494">
        <v>30066</v>
      </c>
      <c r="C2494">
        <v>302402</v>
      </c>
      <c r="D2494">
        <v>21883</v>
      </c>
    </row>
    <row r="2495" spans="1:4" x14ac:dyDescent="0.2">
      <c r="A2495">
        <v>3693239</v>
      </c>
      <c r="B2495">
        <v>30061</v>
      </c>
      <c r="C2495">
        <v>302347</v>
      </c>
      <c r="D2495">
        <v>21883</v>
      </c>
    </row>
    <row r="2496" spans="1:4" x14ac:dyDescent="0.2">
      <c r="A2496">
        <v>3693239</v>
      </c>
      <c r="B2496">
        <v>30062</v>
      </c>
      <c r="C2496">
        <v>302355</v>
      </c>
      <c r="D2496">
        <v>21883</v>
      </c>
    </row>
    <row r="2497" spans="1:4" x14ac:dyDescent="0.2">
      <c r="A2497">
        <v>3693239</v>
      </c>
      <c r="B2497">
        <v>30063</v>
      </c>
      <c r="C2497">
        <v>302356</v>
      </c>
      <c r="D2497">
        <v>21883</v>
      </c>
    </row>
    <row r="2498" spans="1:4" x14ac:dyDescent="0.2">
      <c r="A2498">
        <v>3693239</v>
      </c>
      <c r="B2498">
        <v>30064</v>
      </c>
      <c r="C2498">
        <v>302379</v>
      </c>
      <c r="D2498">
        <v>21883</v>
      </c>
    </row>
    <row r="2499" spans="1:4" x14ac:dyDescent="0.2">
      <c r="A2499">
        <v>3693239</v>
      </c>
      <c r="B2499">
        <v>30065</v>
      </c>
      <c r="C2499">
        <v>302372</v>
      </c>
      <c r="D2499">
        <v>21883</v>
      </c>
    </row>
    <row r="2500" spans="1:4" x14ac:dyDescent="0.2">
      <c r="A2500">
        <v>3693239</v>
      </c>
      <c r="B2500">
        <v>30066</v>
      </c>
      <c r="C2500">
        <v>302402</v>
      </c>
      <c r="D2500">
        <v>21883</v>
      </c>
    </row>
    <row r="2501" spans="1:4" x14ac:dyDescent="0.2">
      <c r="A2501">
        <v>3693240</v>
      </c>
      <c r="B2501">
        <v>30063</v>
      </c>
      <c r="C2501">
        <v>302356</v>
      </c>
      <c r="D2501">
        <v>21883</v>
      </c>
    </row>
    <row r="2502" spans="1:4" x14ac:dyDescent="0.2">
      <c r="A2502">
        <v>3693240</v>
      </c>
      <c r="B2502">
        <v>30064</v>
      </c>
      <c r="C2502">
        <v>302410</v>
      </c>
      <c r="D2502">
        <v>21883</v>
      </c>
    </row>
    <row r="2503" spans="1:4" x14ac:dyDescent="0.2">
      <c r="A2503">
        <v>3693240</v>
      </c>
      <c r="B2503">
        <v>30065</v>
      </c>
      <c r="C2503">
        <v>302371</v>
      </c>
      <c r="D2503">
        <v>21883</v>
      </c>
    </row>
    <row r="2504" spans="1:4" x14ac:dyDescent="0.2">
      <c r="A2504">
        <v>3693240</v>
      </c>
      <c r="B2504">
        <v>30066</v>
      </c>
      <c r="C2504">
        <v>302401</v>
      </c>
      <c r="D2504">
        <v>21883</v>
      </c>
    </row>
    <row r="2505" spans="1:4" x14ac:dyDescent="0.2">
      <c r="A2505">
        <v>3693240</v>
      </c>
      <c r="B2505">
        <v>30069</v>
      </c>
      <c r="C2505">
        <v>302442</v>
      </c>
      <c r="D2505">
        <v>21883</v>
      </c>
    </row>
    <row r="2506" spans="1:4" x14ac:dyDescent="0.2">
      <c r="A2506">
        <v>3693241</v>
      </c>
      <c r="B2506">
        <v>30061</v>
      </c>
      <c r="C2506">
        <v>302351</v>
      </c>
      <c r="D2506">
        <v>21883</v>
      </c>
    </row>
    <row r="2507" spans="1:4" x14ac:dyDescent="0.2">
      <c r="A2507">
        <v>3693241</v>
      </c>
      <c r="B2507">
        <v>30063</v>
      </c>
      <c r="C2507">
        <v>302356</v>
      </c>
      <c r="D2507">
        <v>21883</v>
      </c>
    </row>
    <row r="2508" spans="1:4" x14ac:dyDescent="0.2">
      <c r="A2508">
        <v>3693241</v>
      </c>
      <c r="B2508">
        <v>30064</v>
      </c>
      <c r="C2508">
        <v>302396</v>
      </c>
      <c r="D2508">
        <v>21883</v>
      </c>
    </row>
    <row r="2509" spans="1:4" x14ac:dyDescent="0.2">
      <c r="A2509">
        <v>3693241</v>
      </c>
      <c r="B2509">
        <v>30065</v>
      </c>
      <c r="C2509">
        <v>302371</v>
      </c>
      <c r="D2509">
        <v>21883</v>
      </c>
    </row>
    <row r="2510" spans="1:4" x14ac:dyDescent="0.2">
      <c r="A2510">
        <v>3693241</v>
      </c>
      <c r="B2510">
        <v>30066</v>
      </c>
      <c r="C2510">
        <v>302401</v>
      </c>
      <c r="D2510">
        <v>21883</v>
      </c>
    </row>
    <row r="2511" spans="1:4" x14ac:dyDescent="0.2">
      <c r="A2511">
        <v>3693241</v>
      </c>
      <c r="B2511">
        <v>30069</v>
      </c>
      <c r="C2511">
        <v>302442</v>
      </c>
      <c r="D2511">
        <v>21883</v>
      </c>
    </row>
    <row r="2512" spans="1:4" x14ac:dyDescent="0.2">
      <c r="A2512">
        <v>3693242</v>
      </c>
      <c r="B2512">
        <v>30063</v>
      </c>
      <c r="C2512">
        <v>302356</v>
      </c>
      <c r="D2512">
        <v>21883</v>
      </c>
    </row>
    <row r="2513" spans="1:4" x14ac:dyDescent="0.2">
      <c r="A2513">
        <v>3693242</v>
      </c>
      <c r="B2513">
        <v>30064</v>
      </c>
      <c r="C2513">
        <v>302410</v>
      </c>
      <c r="D2513">
        <v>21883</v>
      </c>
    </row>
    <row r="2514" spans="1:4" x14ac:dyDescent="0.2">
      <c r="A2514">
        <v>3693242</v>
      </c>
      <c r="B2514">
        <v>30065</v>
      </c>
      <c r="C2514">
        <v>302371</v>
      </c>
      <c r="D2514">
        <v>21883</v>
      </c>
    </row>
    <row r="2515" spans="1:4" x14ac:dyDescent="0.2">
      <c r="A2515">
        <v>3693242</v>
      </c>
      <c r="B2515">
        <v>30066</v>
      </c>
      <c r="C2515">
        <v>302402</v>
      </c>
      <c r="D2515">
        <v>21883</v>
      </c>
    </row>
    <row r="2516" spans="1:4" x14ac:dyDescent="0.2">
      <c r="A2516">
        <v>3693243</v>
      </c>
      <c r="B2516">
        <v>30063</v>
      </c>
      <c r="C2516">
        <v>302356</v>
      </c>
      <c r="D2516">
        <v>21883</v>
      </c>
    </row>
    <row r="2517" spans="1:4" x14ac:dyDescent="0.2">
      <c r="A2517">
        <v>3693243</v>
      </c>
      <c r="B2517">
        <v>30064</v>
      </c>
      <c r="C2517">
        <v>302396</v>
      </c>
      <c r="D2517">
        <v>21883</v>
      </c>
    </row>
    <row r="2518" spans="1:4" x14ac:dyDescent="0.2">
      <c r="A2518">
        <v>3693243</v>
      </c>
      <c r="B2518">
        <v>30065</v>
      </c>
      <c r="C2518">
        <v>302371</v>
      </c>
      <c r="D2518">
        <v>21883</v>
      </c>
    </row>
    <row r="2519" spans="1:4" x14ac:dyDescent="0.2">
      <c r="A2519">
        <v>3693243</v>
      </c>
      <c r="B2519">
        <v>30066</v>
      </c>
      <c r="C2519">
        <v>302402</v>
      </c>
      <c r="D2519">
        <v>21883</v>
      </c>
    </row>
    <row r="2520" spans="1:4" x14ac:dyDescent="0.2">
      <c r="A2520">
        <v>3693244</v>
      </c>
      <c r="B2520">
        <v>30063</v>
      </c>
      <c r="C2520">
        <v>302356</v>
      </c>
      <c r="D2520">
        <v>21883</v>
      </c>
    </row>
    <row r="2521" spans="1:4" x14ac:dyDescent="0.2">
      <c r="A2521">
        <v>3693244</v>
      </c>
      <c r="B2521">
        <v>30064</v>
      </c>
      <c r="C2521">
        <v>302413</v>
      </c>
      <c r="D2521">
        <v>21883</v>
      </c>
    </row>
    <row r="2522" spans="1:4" x14ac:dyDescent="0.2">
      <c r="A2522">
        <v>3693244</v>
      </c>
      <c r="B2522">
        <v>30065</v>
      </c>
      <c r="C2522">
        <v>302371</v>
      </c>
      <c r="D2522">
        <v>21883</v>
      </c>
    </row>
    <row r="2523" spans="1:4" x14ac:dyDescent="0.2">
      <c r="A2523">
        <v>3693244</v>
      </c>
      <c r="B2523">
        <v>30066</v>
      </c>
      <c r="C2523">
        <v>302402</v>
      </c>
      <c r="D2523">
        <v>21883</v>
      </c>
    </row>
    <row r="2524" spans="1:4" x14ac:dyDescent="0.2">
      <c r="A2524">
        <v>3693245</v>
      </c>
      <c r="B2524">
        <v>30063</v>
      </c>
      <c r="C2524">
        <v>302356</v>
      </c>
      <c r="D2524">
        <v>21883</v>
      </c>
    </row>
    <row r="2525" spans="1:4" x14ac:dyDescent="0.2">
      <c r="A2525">
        <v>3693245</v>
      </c>
      <c r="B2525">
        <v>30064</v>
      </c>
      <c r="C2525">
        <v>302413</v>
      </c>
      <c r="D2525">
        <v>21883</v>
      </c>
    </row>
    <row r="2526" spans="1:4" x14ac:dyDescent="0.2">
      <c r="A2526">
        <v>3693245</v>
      </c>
      <c r="B2526">
        <v>30065</v>
      </c>
      <c r="C2526">
        <v>302371</v>
      </c>
      <c r="D2526">
        <v>21883</v>
      </c>
    </row>
    <row r="2527" spans="1:4" x14ac:dyDescent="0.2">
      <c r="A2527">
        <v>3693245</v>
      </c>
      <c r="B2527">
        <v>30066</v>
      </c>
      <c r="C2527">
        <v>302401</v>
      </c>
      <c r="D2527">
        <v>21883</v>
      </c>
    </row>
    <row r="2528" spans="1:4" x14ac:dyDescent="0.2">
      <c r="A2528">
        <v>3693245</v>
      </c>
      <c r="B2528">
        <v>30069</v>
      </c>
      <c r="C2528">
        <v>302442</v>
      </c>
      <c r="D2528">
        <v>21883</v>
      </c>
    </row>
    <row r="2529" spans="1:4" x14ac:dyDescent="0.2">
      <c r="A2529">
        <v>3693246</v>
      </c>
      <c r="B2529">
        <v>30060</v>
      </c>
      <c r="C2529">
        <v>302341</v>
      </c>
      <c r="D2529">
        <v>21883</v>
      </c>
    </row>
    <row r="2530" spans="1:4" x14ac:dyDescent="0.2">
      <c r="A2530">
        <v>3693246</v>
      </c>
      <c r="B2530">
        <v>30063</v>
      </c>
      <c r="C2530">
        <v>302356</v>
      </c>
      <c r="D2530">
        <v>21883</v>
      </c>
    </row>
    <row r="2531" spans="1:4" x14ac:dyDescent="0.2">
      <c r="A2531">
        <v>3693246</v>
      </c>
      <c r="B2531">
        <v>30064</v>
      </c>
      <c r="C2531">
        <v>302410</v>
      </c>
      <c r="D2531">
        <v>21883</v>
      </c>
    </row>
    <row r="2532" spans="1:4" x14ac:dyDescent="0.2">
      <c r="A2532">
        <v>3693246</v>
      </c>
      <c r="B2532">
        <v>30065</v>
      </c>
      <c r="C2532">
        <v>302372</v>
      </c>
      <c r="D2532">
        <v>21883</v>
      </c>
    </row>
    <row r="2533" spans="1:4" x14ac:dyDescent="0.2">
      <c r="A2533">
        <v>3693246</v>
      </c>
      <c r="B2533">
        <v>30066</v>
      </c>
      <c r="C2533">
        <v>302400</v>
      </c>
      <c r="D2533">
        <v>21883</v>
      </c>
    </row>
    <row r="2534" spans="1:4" x14ac:dyDescent="0.2">
      <c r="A2534">
        <v>3693247</v>
      </c>
      <c r="B2534">
        <v>30063</v>
      </c>
      <c r="C2534">
        <v>302356</v>
      </c>
      <c r="D2534">
        <v>21883</v>
      </c>
    </row>
    <row r="2535" spans="1:4" x14ac:dyDescent="0.2">
      <c r="A2535">
        <v>3693247</v>
      </c>
      <c r="B2535">
        <v>30064</v>
      </c>
      <c r="C2535">
        <v>302396</v>
      </c>
      <c r="D2535">
        <v>21883</v>
      </c>
    </row>
    <row r="2536" spans="1:4" x14ac:dyDescent="0.2">
      <c r="A2536">
        <v>3693247</v>
      </c>
      <c r="B2536">
        <v>30065</v>
      </c>
      <c r="C2536">
        <v>302372</v>
      </c>
      <c r="D2536">
        <v>21883</v>
      </c>
    </row>
    <row r="2537" spans="1:4" x14ac:dyDescent="0.2">
      <c r="A2537">
        <v>3693247</v>
      </c>
      <c r="B2537">
        <v>30066</v>
      </c>
      <c r="C2537">
        <v>302400</v>
      </c>
      <c r="D2537">
        <v>21883</v>
      </c>
    </row>
    <row r="2538" spans="1:4" x14ac:dyDescent="0.2">
      <c r="A2538">
        <v>3693248</v>
      </c>
      <c r="B2538">
        <v>30060</v>
      </c>
      <c r="C2538">
        <v>302341</v>
      </c>
      <c r="D2538">
        <v>21883</v>
      </c>
    </row>
    <row r="2539" spans="1:4" x14ac:dyDescent="0.2">
      <c r="A2539">
        <v>3693248</v>
      </c>
      <c r="B2539">
        <v>30063</v>
      </c>
      <c r="C2539">
        <v>302356</v>
      </c>
      <c r="D2539">
        <v>21883</v>
      </c>
    </row>
    <row r="2540" spans="1:4" x14ac:dyDescent="0.2">
      <c r="A2540">
        <v>3693248</v>
      </c>
      <c r="B2540">
        <v>30064</v>
      </c>
      <c r="C2540">
        <v>302413</v>
      </c>
      <c r="D2540">
        <v>21883</v>
      </c>
    </row>
    <row r="2541" spans="1:4" x14ac:dyDescent="0.2">
      <c r="A2541">
        <v>3693248</v>
      </c>
      <c r="B2541">
        <v>30065</v>
      </c>
      <c r="C2541">
        <v>302372</v>
      </c>
      <c r="D2541">
        <v>21883</v>
      </c>
    </row>
    <row r="2542" spans="1:4" x14ac:dyDescent="0.2">
      <c r="A2542">
        <v>3693248</v>
      </c>
      <c r="B2542">
        <v>30066</v>
      </c>
      <c r="C2542">
        <v>302400</v>
      </c>
      <c r="D2542">
        <v>21883</v>
      </c>
    </row>
    <row r="2543" spans="1:4" x14ac:dyDescent="0.2">
      <c r="A2543">
        <v>3693249</v>
      </c>
      <c r="B2543">
        <v>30063</v>
      </c>
      <c r="C2543">
        <v>302357</v>
      </c>
      <c r="D2543">
        <v>21883</v>
      </c>
    </row>
    <row r="2544" spans="1:4" x14ac:dyDescent="0.2">
      <c r="A2544">
        <v>3693249</v>
      </c>
      <c r="B2544">
        <v>30064</v>
      </c>
      <c r="C2544">
        <v>302382</v>
      </c>
      <c r="D2544">
        <v>21883</v>
      </c>
    </row>
    <row r="2545" spans="1:4" x14ac:dyDescent="0.2">
      <c r="A2545">
        <v>3693249</v>
      </c>
      <c r="B2545">
        <v>30065</v>
      </c>
      <c r="C2545">
        <v>302371</v>
      </c>
      <c r="D2545">
        <v>21883</v>
      </c>
    </row>
    <row r="2546" spans="1:4" x14ac:dyDescent="0.2">
      <c r="A2546">
        <v>3693249</v>
      </c>
      <c r="B2546">
        <v>30066</v>
      </c>
      <c r="C2546">
        <v>302436</v>
      </c>
      <c r="D2546">
        <v>21883</v>
      </c>
    </row>
    <row r="2547" spans="1:4" x14ac:dyDescent="0.2">
      <c r="A2547">
        <v>3693249</v>
      </c>
      <c r="B2547">
        <v>30067</v>
      </c>
      <c r="C2547">
        <v>302460</v>
      </c>
      <c r="D2547">
        <v>21883</v>
      </c>
    </row>
    <row r="2548" spans="1:4" x14ac:dyDescent="0.2">
      <c r="A2548">
        <v>3693250</v>
      </c>
      <c r="B2548">
        <v>30063</v>
      </c>
      <c r="C2548">
        <v>302357</v>
      </c>
      <c r="D2548">
        <v>21883</v>
      </c>
    </row>
    <row r="2549" spans="1:4" x14ac:dyDescent="0.2">
      <c r="A2549">
        <v>3693250</v>
      </c>
      <c r="B2549">
        <v>30064</v>
      </c>
      <c r="C2549">
        <v>302382</v>
      </c>
      <c r="D2549">
        <v>21883</v>
      </c>
    </row>
    <row r="2550" spans="1:4" x14ac:dyDescent="0.2">
      <c r="A2550">
        <v>3693250</v>
      </c>
      <c r="B2550">
        <v>30065</v>
      </c>
      <c r="C2550">
        <v>302371</v>
      </c>
      <c r="D2550">
        <v>21883</v>
      </c>
    </row>
    <row r="2551" spans="1:4" x14ac:dyDescent="0.2">
      <c r="A2551">
        <v>3693250</v>
      </c>
      <c r="B2551">
        <v>30066</v>
      </c>
      <c r="C2551">
        <v>302436</v>
      </c>
      <c r="D2551">
        <v>21883</v>
      </c>
    </row>
    <row r="2552" spans="1:4" x14ac:dyDescent="0.2">
      <c r="A2552">
        <v>3693250</v>
      </c>
      <c r="B2552">
        <v>30067</v>
      </c>
      <c r="C2552">
        <v>302461</v>
      </c>
      <c r="D2552">
        <v>21883</v>
      </c>
    </row>
    <row r="2553" spans="1:4" x14ac:dyDescent="0.2">
      <c r="A2553">
        <v>3693251</v>
      </c>
      <c r="B2553">
        <v>30063</v>
      </c>
      <c r="C2553">
        <v>302357</v>
      </c>
      <c r="D2553">
        <v>21883</v>
      </c>
    </row>
    <row r="2554" spans="1:4" x14ac:dyDescent="0.2">
      <c r="A2554">
        <v>3693251</v>
      </c>
      <c r="B2554">
        <v>30064</v>
      </c>
      <c r="C2554">
        <v>302382</v>
      </c>
      <c r="D2554">
        <v>21883</v>
      </c>
    </row>
    <row r="2555" spans="1:4" x14ac:dyDescent="0.2">
      <c r="A2555">
        <v>3693251</v>
      </c>
      <c r="B2555">
        <v>30065</v>
      </c>
      <c r="C2555">
        <v>302371</v>
      </c>
      <c r="D2555">
        <v>21883</v>
      </c>
    </row>
    <row r="2556" spans="1:4" x14ac:dyDescent="0.2">
      <c r="A2556">
        <v>3693251</v>
      </c>
      <c r="B2556">
        <v>30066</v>
      </c>
      <c r="C2556">
        <v>302436</v>
      </c>
      <c r="D2556">
        <v>21883</v>
      </c>
    </row>
    <row r="2557" spans="1:4" x14ac:dyDescent="0.2">
      <c r="A2557">
        <v>3693251</v>
      </c>
      <c r="B2557">
        <v>30067</v>
      </c>
      <c r="C2557">
        <v>302462</v>
      </c>
      <c r="D2557">
        <v>21883</v>
      </c>
    </row>
    <row r="2558" spans="1:4" x14ac:dyDescent="0.2">
      <c r="A2558">
        <v>3693252</v>
      </c>
      <c r="B2558">
        <v>30063</v>
      </c>
      <c r="C2558">
        <v>302357</v>
      </c>
      <c r="D2558">
        <v>21883</v>
      </c>
    </row>
    <row r="2559" spans="1:4" x14ac:dyDescent="0.2">
      <c r="A2559">
        <v>3693252</v>
      </c>
      <c r="B2559">
        <v>30064</v>
      </c>
      <c r="C2559">
        <v>302382</v>
      </c>
      <c r="D2559">
        <v>21883</v>
      </c>
    </row>
    <row r="2560" spans="1:4" x14ac:dyDescent="0.2">
      <c r="A2560">
        <v>3693252</v>
      </c>
      <c r="B2560">
        <v>30065</v>
      </c>
      <c r="C2560">
        <v>302371</v>
      </c>
      <c r="D2560">
        <v>21883</v>
      </c>
    </row>
    <row r="2561" spans="1:4" x14ac:dyDescent="0.2">
      <c r="A2561">
        <v>3693252</v>
      </c>
      <c r="B2561">
        <v>30066</v>
      </c>
      <c r="C2561">
        <v>302436</v>
      </c>
      <c r="D2561">
        <v>21883</v>
      </c>
    </row>
    <row r="2562" spans="1:4" x14ac:dyDescent="0.2">
      <c r="A2562">
        <v>3693252</v>
      </c>
      <c r="B2562">
        <v>30067</v>
      </c>
      <c r="C2562">
        <v>302459</v>
      </c>
      <c r="D2562">
        <v>21883</v>
      </c>
    </row>
    <row r="2563" spans="1:4" x14ac:dyDescent="0.2">
      <c r="A2563">
        <v>3693253</v>
      </c>
      <c r="B2563">
        <v>30063</v>
      </c>
      <c r="C2563">
        <v>302357</v>
      </c>
      <c r="D2563">
        <v>21883</v>
      </c>
    </row>
    <row r="2564" spans="1:4" x14ac:dyDescent="0.2">
      <c r="A2564">
        <v>3693253</v>
      </c>
      <c r="B2564">
        <v>30064</v>
      </c>
      <c r="C2564">
        <v>302382</v>
      </c>
      <c r="D2564">
        <v>21883</v>
      </c>
    </row>
    <row r="2565" spans="1:4" x14ac:dyDescent="0.2">
      <c r="A2565">
        <v>3693253</v>
      </c>
      <c r="B2565">
        <v>30065</v>
      </c>
      <c r="C2565">
        <v>302371</v>
      </c>
      <c r="D2565">
        <v>21883</v>
      </c>
    </row>
    <row r="2566" spans="1:4" x14ac:dyDescent="0.2">
      <c r="A2566">
        <v>3693253</v>
      </c>
      <c r="B2566">
        <v>30066</v>
      </c>
      <c r="C2566">
        <v>302436</v>
      </c>
      <c r="D2566">
        <v>21883</v>
      </c>
    </row>
    <row r="2567" spans="1:4" x14ac:dyDescent="0.2">
      <c r="A2567">
        <v>3693253</v>
      </c>
      <c r="B2567">
        <v>30067</v>
      </c>
      <c r="C2567">
        <v>302458</v>
      </c>
      <c r="D2567">
        <v>21883</v>
      </c>
    </row>
    <row r="2568" spans="1:4" x14ac:dyDescent="0.2">
      <c r="A2568">
        <v>3693254</v>
      </c>
      <c r="B2568">
        <v>30063</v>
      </c>
      <c r="C2568">
        <v>302357</v>
      </c>
      <c r="D2568">
        <v>21883</v>
      </c>
    </row>
    <row r="2569" spans="1:4" x14ac:dyDescent="0.2">
      <c r="A2569">
        <v>3693254</v>
      </c>
      <c r="B2569">
        <v>30064</v>
      </c>
      <c r="C2569">
        <v>302382</v>
      </c>
      <c r="D2569">
        <v>21883</v>
      </c>
    </row>
    <row r="2570" spans="1:4" x14ac:dyDescent="0.2">
      <c r="A2570">
        <v>3693254</v>
      </c>
      <c r="B2570">
        <v>30065</v>
      </c>
      <c r="C2570">
        <v>302371</v>
      </c>
      <c r="D2570">
        <v>21883</v>
      </c>
    </row>
    <row r="2571" spans="1:4" x14ac:dyDescent="0.2">
      <c r="A2571">
        <v>3693254</v>
      </c>
      <c r="B2571">
        <v>30066</v>
      </c>
      <c r="C2571">
        <v>302436</v>
      </c>
      <c r="D2571">
        <v>21883</v>
      </c>
    </row>
    <row r="2572" spans="1:4" x14ac:dyDescent="0.2">
      <c r="A2572">
        <v>3693254</v>
      </c>
      <c r="B2572">
        <v>30067</v>
      </c>
      <c r="C2572">
        <v>302456</v>
      </c>
      <c r="D2572">
        <v>21883</v>
      </c>
    </row>
    <row r="2573" spans="1:4" x14ac:dyDescent="0.2">
      <c r="A2573">
        <v>3693255</v>
      </c>
      <c r="B2573">
        <v>30063</v>
      </c>
      <c r="C2573">
        <v>302357</v>
      </c>
      <c r="D2573">
        <v>21883</v>
      </c>
    </row>
    <row r="2574" spans="1:4" x14ac:dyDescent="0.2">
      <c r="A2574">
        <v>3693255</v>
      </c>
      <c r="B2574">
        <v>30064</v>
      </c>
      <c r="C2574">
        <v>302382</v>
      </c>
      <c r="D2574">
        <v>21883</v>
      </c>
    </row>
    <row r="2575" spans="1:4" x14ac:dyDescent="0.2">
      <c r="A2575">
        <v>3693255</v>
      </c>
      <c r="B2575">
        <v>30065</v>
      </c>
      <c r="C2575">
        <v>302371</v>
      </c>
      <c r="D2575">
        <v>21883</v>
      </c>
    </row>
    <row r="2576" spans="1:4" x14ac:dyDescent="0.2">
      <c r="A2576">
        <v>3693255</v>
      </c>
      <c r="B2576">
        <v>30066</v>
      </c>
      <c r="C2576">
        <v>302436</v>
      </c>
      <c r="D2576">
        <v>21883</v>
      </c>
    </row>
    <row r="2577" spans="1:4" x14ac:dyDescent="0.2">
      <c r="A2577">
        <v>3693255</v>
      </c>
      <c r="B2577">
        <v>30067</v>
      </c>
      <c r="C2577">
        <v>302457</v>
      </c>
      <c r="D2577">
        <v>21883</v>
      </c>
    </row>
    <row r="2578" spans="1:4" x14ac:dyDescent="0.2">
      <c r="A2578">
        <v>3693256</v>
      </c>
      <c r="B2578">
        <v>30063</v>
      </c>
      <c r="C2578">
        <v>302357</v>
      </c>
      <c r="D2578">
        <v>21883</v>
      </c>
    </row>
    <row r="2579" spans="1:4" x14ac:dyDescent="0.2">
      <c r="A2579">
        <v>3693256</v>
      </c>
      <c r="B2579">
        <v>30064</v>
      </c>
      <c r="C2579">
        <v>302362</v>
      </c>
      <c r="D2579">
        <v>21883</v>
      </c>
    </row>
    <row r="2580" spans="1:4" x14ac:dyDescent="0.2">
      <c r="A2580">
        <v>3693256</v>
      </c>
      <c r="B2580">
        <v>30065</v>
      </c>
      <c r="C2580">
        <v>302371</v>
      </c>
      <c r="D2580">
        <v>21883</v>
      </c>
    </row>
    <row r="2581" spans="1:4" x14ac:dyDescent="0.2">
      <c r="A2581">
        <v>3693256</v>
      </c>
      <c r="B2581">
        <v>30066</v>
      </c>
      <c r="C2581">
        <v>302436</v>
      </c>
      <c r="D2581">
        <v>21883</v>
      </c>
    </row>
    <row r="2582" spans="1:4" x14ac:dyDescent="0.2">
      <c r="A2582">
        <v>3693256</v>
      </c>
      <c r="B2582">
        <v>30067</v>
      </c>
      <c r="C2582">
        <v>302455</v>
      </c>
      <c r="D2582">
        <v>21883</v>
      </c>
    </row>
    <row r="2583" spans="1:4" x14ac:dyDescent="0.2">
      <c r="A2583">
        <v>3693257</v>
      </c>
      <c r="B2583">
        <v>30063</v>
      </c>
      <c r="C2583">
        <v>302357</v>
      </c>
      <c r="D2583">
        <v>21883</v>
      </c>
    </row>
    <row r="2584" spans="1:4" x14ac:dyDescent="0.2">
      <c r="A2584">
        <v>3693257</v>
      </c>
      <c r="B2584">
        <v>30064</v>
      </c>
      <c r="C2584">
        <v>302362</v>
      </c>
      <c r="D2584">
        <v>21883</v>
      </c>
    </row>
    <row r="2585" spans="1:4" x14ac:dyDescent="0.2">
      <c r="A2585">
        <v>3693257</v>
      </c>
      <c r="B2585">
        <v>30065</v>
      </c>
      <c r="C2585">
        <v>302371</v>
      </c>
      <c r="D2585">
        <v>21883</v>
      </c>
    </row>
    <row r="2586" spans="1:4" x14ac:dyDescent="0.2">
      <c r="A2586">
        <v>3693257</v>
      </c>
      <c r="B2586">
        <v>30066</v>
      </c>
      <c r="C2586">
        <v>302436</v>
      </c>
      <c r="D2586">
        <v>21883</v>
      </c>
    </row>
    <row r="2587" spans="1:4" x14ac:dyDescent="0.2">
      <c r="A2587">
        <v>3693257</v>
      </c>
      <c r="B2587">
        <v>30067</v>
      </c>
      <c r="C2587">
        <v>302455</v>
      </c>
      <c r="D2587">
        <v>21883</v>
      </c>
    </row>
    <row r="2588" spans="1:4" x14ac:dyDescent="0.2">
      <c r="A2588">
        <v>3693258</v>
      </c>
      <c r="B2588">
        <v>30063</v>
      </c>
      <c r="C2588">
        <v>302357</v>
      </c>
      <c r="D2588">
        <v>21883</v>
      </c>
    </row>
    <row r="2589" spans="1:4" x14ac:dyDescent="0.2">
      <c r="A2589">
        <v>3693258</v>
      </c>
      <c r="B2589">
        <v>30064</v>
      </c>
      <c r="C2589">
        <v>302382</v>
      </c>
      <c r="D2589">
        <v>21883</v>
      </c>
    </row>
    <row r="2590" spans="1:4" x14ac:dyDescent="0.2">
      <c r="A2590">
        <v>3693258</v>
      </c>
      <c r="B2590">
        <v>30065</v>
      </c>
      <c r="C2590">
        <v>302371</v>
      </c>
      <c r="D2590">
        <v>21883</v>
      </c>
    </row>
    <row r="2591" spans="1:4" x14ac:dyDescent="0.2">
      <c r="A2591">
        <v>3693258</v>
      </c>
      <c r="B2591">
        <v>30066</v>
      </c>
      <c r="C2591">
        <v>302436</v>
      </c>
      <c r="D2591">
        <v>21883</v>
      </c>
    </row>
    <row r="2592" spans="1:4" x14ac:dyDescent="0.2">
      <c r="A2592">
        <v>3693258</v>
      </c>
      <c r="B2592">
        <v>30067</v>
      </c>
      <c r="C2592">
        <v>302463</v>
      </c>
      <c r="D2592">
        <v>21883</v>
      </c>
    </row>
    <row r="2593" spans="1:4" x14ac:dyDescent="0.2">
      <c r="A2593">
        <v>3693259</v>
      </c>
      <c r="B2593">
        <v>30063</v>
      </c>
      <c r="C2593">
        <v>302357</v>
      </c>
      <c r="D2593">
        <v>21883</v>
      </c>
    </row>
    <row r="2594" spans="1:4" x14ac:dyDescent="0.2">
      <c r="A2594">
        <v>3693259</v>
      </c>
      <c r="B2594">
        <v>30064</v>
      </c>
      <c r="C2594">
        <v>302362</v>
      </c>
      <c r="D2594">
        <v>21883</v>
      </c>
    </row>
    <row r="2595" spans="1:4" x14ac:dyDescent="0.2">
      <c r="A2595">
        <v>3693259</v>
      </c>
      <c r="B2595">
        <v>30065</v>
      </c>
      <c r="C2595">
        <v>302371</v>
      </c>
      <c r="D2595">
        <v>21883</v>
      </c>
    </row>
    <row r="2596" spans="1:4" x14ac:dyDescent="0.2">
      <c r="A2596">
        <v>3693259</v>
      </c>
      <c r="B2596">
        <v>30066</v>
      </c>
      <c r="C2596">
        <v>302436</v>
      </c>
      <c r="D2596">
        <v>21883</v>
      </c>
    </row>
    <row r="2597" spans="1:4" x14ac:dyDescent="0.2">
      <c r="A2597">
        <v>3693259</v>
      </c>
      <c r="B2597">
        <v>30067</v>
      </c>
      <c r="C2597">
        <v>302454</v>
      </c>
      <c r="D2597">
        <v>21883</v>
      </c>
    </row>
    <row r="2598" spans="1:4" x14ac:dyDescent="0.2">
      <c r="A2598">
        <v>3693260</v>
      </c>
      <c r="B2598">
        <v>30063</v>
      </c>
      <c r="C2598">
        <v>302357</v>
      </c>
      <c r="D2598">
        <v>21883</v>
      </c>
    </row>
    <row r="2599" spans="1:4" x14ac:dyDescent="0.2">
      <c r="A2599">
        <v>3693260</v>
      </c>
      <c r="B2599">
        <v>30064</v>
      </c>
      <c r="C2599">
        <v>302362</v>
      </c>
      <c r="D2599">
        <v>21883</v>
      </c>
    </row>
    <row r="2600" spans="1:4" x14ac:dyDescent="0.2">
      <c r="A2600">
        <v>3693260</v>
      </c>
      <c r="B2600">
        <v>30065</v>
      </c>
      <c r="C2600">
        <v>302371</v>
      </c>
      <c r="D2600">
        <v>21883</v>
      </c>
    </row>
    <row r="2601" spans="1:4" x14ac:dyDescent="0.2">
      <c r="A2601">
        <v>3693260</v>
      </c>
      <c r="B2601">
        <v>30066</v>
      </c>
      <c r="C2601">
        <v>302436</v>
      </c>
      <c r="D2601">
        <v>21883</v>
      </c>
    </row>
    <row r="2602" spans="1:4" x14ac:dyDescent="0.2">
      <c r="A2602">
        <v>3693260</v>
      </c>
      <c r="B2602">
        <v>30067</v>
      </c>
      <c r="C2602">
        <v>302454</v>
      </c>
      <c r="D2602">
        <v>21883</v>
      </c>
    </row>
    <row r="2603" spans="1:4" x14ac:dyDescent="0.2">
      <c r="A2603">
        <v>3693261</v>
      </c>
      <c r="B2603">
        <v>30063</v>
      </c>
      <c r="C2603">
        <v>302357</v>
      </c>
      <c r="D2603">
        <v>21883</v>
      </c>
    </row>
    <row r="2604" spans="1:4" x14ac:dyDescent="0.2">
      <c r="A2604">
        <v>3693261</v>
      </c>
      <c r="B2604">
        <v>30064</v>
      </c>
      <c r="C2604">
        <v>302382</v>
      </c>
      <c r="D2604">
        <v>21883</v>
      </c>
    </row>
    <row r="2605" spans="1:4" x14ac:dyDescent="0.2">
      <c r="A2605">
        <v>3693261</v>
      </c>
      <c r="B2605">
        <v>30065</v>
      </c>
      <c r="C2605">
        <v>302371</v>
      </c>
      <c r="D2605">
        <v>21883</v>
      </c>
    </row>
    <row r="2606" spans="1:4" x14ac:dyDescent="0.2">
      <c r="A2606">
        <v>3693261</v>
      </c>
      <c r="B2606">
        <v>30066</v>
      </c>
      <c r="C2606">
        <v>302436</v>
      </c>
      <c r="D2606">
        <v>21883</v>
      </c>
    </row>
    <row r="2607" spans="1:4" x14ac:dyDescent="0.2">
      <c r="A2607">
        <v>3693261</v>
      </c>
      <c r="B2607">
        <v>30067</v>
      </c>
      <c r="C2607">
        <v>302456</v>
      </c>
      <c r="D2607">
        <v>21883</v>
      </c>
    </row>
    <row r="2608" spans="1:4" x14ac:dyDescent="0.2">
      <c r="A2608">
        <v>3693262</v>
      </c>
      <c r="B2608">
        <v>30063</v>
      </c>
      <c r="C2608">
        <v>302358</v>
      </c>
      <c r="D2608">
        <v>21883</v>
      </c>
    </row>
    <row r="2609" spans="1:4" x14ac:dyDescent="0.2">
      <c r="A2609">
        <v>3693262</v>
      </c>
      <c r="B2609">
        <v>30064</v>
      </c>
      <c r="C2609">
        <v>302391</v>
      </c>
      <c r="D2609">
        <v>21883</v>
      </c>
    </row>
    <row r="2610" spans="1:4" x14ac:dyDescent="0.2">
      <c r="A2610">
        <v>3693262</v>
      </c>
      <c r="B2610">
        <v>30065</v>
      </c>
      <c r="C2610">
        <v>302370</v>
      </c>
      <c r="D2610">
        <v>21883</v>
      </c>
    </row>
    <row r="2611" spans="1:4" x14ac:dyDescent="0.2">
      <c r="A2611">
        <v>3693262</v>
      </c>
      <c r="B2611">
        <v>30066</v>
      </c>
      <c r="C2611">
        <v>302438</v>
      </c>
      <c r="D2611">
        <v>21883</v>
      </c>
    </row>
    <row r="2612" spans="1:4" x14ac:dyDescent="0.2">
      <c r="A2612">
        <v>3693262</v>
      </c>
      <c r="B2612">
        <v>30069</v>
      </c>
      <c r="C2612">
        <v>302446</v>
      </c>
      <c r="D2612">
        <v>21883</v>
      </c>
    </row>
    <row r="2613" spans="1:4" x14ac:dyDescent="0.2">
      <c r="A2613">
        <v>3693263</v>
      </c>
      <c r="B2613">
        <v>30063</v>
      </c>
      <c r="C2613">
        <v>302358</v>
      </c>
      <c r="D2613">
        <v>21883</v>
      </c>
    </row>
    <row r="2614" spans="1:4" x14ac:dyDescent="0.2">
      <c r="A2614">
        <v>3693263</v>
      </c>
      <c r="B2614">
        <v>30064</v>
      </c>
      <c r="C2614">
        <v>302391</v>
      </c>
      <c r="D2614">
        <v>21883</v>
      </c>
    </row>
    <row r="2615" spans="1:4" x14ac:dyDescent="0.2">
      <c r="A2615">
        <v>3693263</v>
      </c>
      <c r="B2615">
        <v>30065</v>
      </c>
      <c r="C2615">
        <v>302370</v>
      </c>
      <c r="D2615">
        <v>21883</v>
      </c>
    </row>
    <row r="2616" spans="1:4" x14ac:dyDescent="0.2">
      <c r="A2616">
        <v>3693263</v>
      </c>
      <c r="B2616">
        <v>30066</v>
      </c>
      <c r="C2616">
        <v>302438</v>
      </c>
      <c r="D2616">
        <v>21883</v>
      </c>
    </row>
    <row r="2617" spans="1:4" x14ac:dyDescent="0.2">
      <c r="A2617">
        <v>3693263</v>
      </c>
      <c r="B2617">
        <v>30069</v>
      </c>
      <c r="C2617">
        <v>302446</v>
      </c>
      <c r="D2617">
        <v>21883</v>
      </c>
    </row>
    <row r="2618" spans="1:4" x14ac:dyDescent="0.2">
      <c r="A2618">
        <v>3693264</v>
      </c>
      <c r="B2618">
        <v>30063</v>
      </c>
      <c r="C2618">
        <v>302358</v>
      </c>
      <c r="D2618">
        <v>21883</v>
      </c>
    </row>
    <row r="2619" spans="1:4" x14ac:dyDescent="0.2">
      <c r="A2619">
        <v>3693264</v>
      </c>
      <c r="B2619">
        <v>30064</v>
      </c>
      <c r="C2619">
        <v>302391</v>
      </c>
      <c r="D2619">
        <v>21883</v>
      </c>
    </row>
    <row r="2620" spans="1:4" x14ac:dyDescent="0.2">
      <c r="A2620">
        <v>3693264</v>
      </c>
      <c r="B2620">
        <v>30065</v>
      </c>
      <c r="C2620">
        <v>302370</v>
      </c>
      <c r="D2620">
        <v>21883</v>
      </c>
    </row>
    <row r="2621" spans="1:4" x14ac:dyDescent="0.2">
      <c r="A2621">
        <v>3693264</v>
      </c>
      <c r="B2621">
        <v>30066</v>
      </c>
      <c r="C2621">
        <v>302438</v>
      </c>
      <c r="D2621">
        <v>21883</v>
      </c>
    </row>
    <row r="2622" spans="1:4" x14ac:dyDescent="0.2">
      <c r="A2622">
        <v>3693264</v>
      </c>
      <c r="B2622">
        <v>30069</v>
      </c>
      <c r="C2622">
        <v>302446</v>
      </c>
      <c r="D2622">
        <v>21883</v>
      </c>
    </row>
    <row r="2623" spans="1:4" x14ac:dyDescent="0.2">
      <c r="A2623">
        <v>3693265</v>
      </c>
      <c r="B2623">
        <v>30063</v>
      </c>
      <c r="C2623">
        <v>302358</v>
      </c>
      <c r="D2623">
        <v>21883</v>
      </c>
    </row>
    <row r="2624" spans="1:4" x14ac:dyDescent="0.2">
      <c r="A2624">
        <v>3693265</v>
      </c>
      <c r="B2624">
        <v>30064</v>
      </c>
      <c r="C2624">
        <v>302395</v>
      </c>
      <c r="D2624">
        <v>21883</v>
      </c>
    </row>
    <row r="2625" spans="1:4" x14ac:dyDescent="0.2">
      <c r="A2625">
        <v>3693265</v>
      </c>
      <c r="B2625">
        <v>30065</v>
      </c>
      <c r="C2625">
        <v>302370</v>
      </c>
      <c r="D2625">
        <v>21883</v>
      </c>
    </row>
    <row r="2626" spans="1:4" x14ac:dyDescent="0.2">
      <c r="A2626">
        <v>3693265</v>
      </c>
      <c r="B2626">
        <v>30066</v>
      </c>
      <c r="C2626">
        <v>302438</v>
      </c>
      <c r="D2626">
        <v>21883</v>
      </c>
    </row>
    <row r="2627" spans="1:4" x14ac:dyDescent="0.2">
      <c r="A2627">
        <v>3693265</v>
      </c>
      <c r="B2627">
        <v>30069</v>
      </c>
      <c r="C2627">
        <v>302446</v>
      </c>
      <c r="D2627">
        <v>21883</v>
      </c>
    </row>
    <row r="2628" spans="1:4" x14ac:dyDescent="0.2">
      <c r="A2628">
        <v>3693266</v>
      </c>
      <c r="B2628">
        <v>30063</v>
      </c>
      <c r="C2628">
        <v>302358</v>
      </c>
      <c r="D2628">
        <v>21883</v>
      </c>
    </row>
    <row r="2629" spans="1:4" x14ac:dyDescent="0.2">
      <c r="A2629">
        <v>3693266</v>
      </c>
      <c r="B2629">
        <v>30064</v>
      </c>
      <c r="C2629">
        <v>302395</v>
      </c>
      <c r="D2629">
        <v>21883</v>
      </c>
    </row>
    <row r="2630" spans="1:4" x14ac:dyDescent="0.2">
      <c r="A2630">
        <v>3693266</v>
      </c>
      <c r="B2630">
        <v>30065</v>
      </c>
      <c r="C2630">
        <v>302370</v>
      </c>
      <c r="D2630">
        <v>21883</v>
      </c>
    </row>
    <row r="2631" spans="1:4" x14ac:dyDescent="0.2">
      <c r="A2631">
        <v>3693266</v>
      </c>
      <c r="B2631">
        <v>30066</v>
      </c>
      <c r="C2631">
        <v>302438</v>
      </c>
      <c r="D2631">
        <v>21883</v>
      </c>
    </row>
    <row r="2632" spans="1:4" x14ac:dyDescent="0.2">
      <c r="A2632">
        <v>3693266</v>
      </c>
      <c r="B2632">
        <v>30069</v>
      </c>
      <c r="C2632">
        <v>302446</v>
      </c>
      <c r="D2632">
        <v>21883</v>
      </c>
    </row>
    <row r="2633" spans="1:4" x14ac:dyDescent="0.2">
      <c r="A2633">
        <v>3693267</v>
      </c>
      <c r="B2633">
        <v>30063</v>
      </c>
      <c r="C2633">
        <v>302358</v>
      </c>
      <c r="D2633">
        <v>21883</v>
      </c>
    </row>
    <row r="2634" spans="1:4" x14ac:dyDescent="0.2">
      <c r="A2634">
        <v>3693267</v>
      </c>
      <c r="B2634">
        <v>30064</v>
      </c>
      <c r="C2634">
        <v>302395</v>
      </c>
      <c r="D2634">
        <v>21883</v>
      </c>
    </row>
    <row r="2635" spans="1:4" x14ac:dyDescent="0.2">
      <c r="A2635">
        <v>3693267</v>
      </c>
      <c r="B2635">
        <v>30065</v>
      </c>
      <c r="C2635">
        <v>302370</v>
      </c>
      <c r="D2635">
        <v>21883</v>
      </c>
    </row>
    <row r="2636" spans="1:4" x14ac:dyDescent="0.2">
      <c r="A2636">
        <v>3693267</v>
      </c>
      <c r="B2636">
        <v>30066</v>
      </c>
      <c r="C2636">
        <v>302438</v>
      </c>
      <c r="D2636">
        <v>21883</v>
      </c>
    </row>
    <row r="2637" spans="1:4" x14ac:dyDescent="0.2">
      <c r="A2637">
        <v>3693267</v>
      </c>
      <c r="B2637">
        <v>30069</v>
      </c>
      <c r="C2637">
        <v>302446</v>
      </c>
      <c r="D2637">
        <v>21883</v>
      </c>
    </row>
    <row r="2638" spans="1:4" x14ac:dyDescent="0.2">
      <c r="A2638">
        <v>3693268</v>
      </c>
      <c r="B2638">
        <v>30063</v>
      </c>
      <c r="C2638">
        <v>302358</v>
      </c>
      <c r="D2638">
        <v>21883</v>
      </c>
    </row>
    <row r="2639" spans="1:4" x14ac:dyDescent="0.2">
      <c r="A2639">
        <v>3693268</v>
      </c>
      <c r="B2639">
        <v>30064</v>
      </c>
      <c r="C2639">
        <v>302395</v>
      </c>
      <c r="D2639">
        <v>21883</v>
      </c>
    </row>
    <row r="2640" spans="1:4" x14ac:dyDescent="0.2">
      <c r="A2640">
        <v>3693268</v>
      </c>
      <c r="B2640">
        <v>30065</v>
      </c>
      <c r="C2640">
        <v>302370</v>
      </c>
      <c r="D2640">
        <v>21883</v>
      </c>
    </row>
    <row r="2641" spans="1:4" x14ac:dyDescent="0.2">
      <c r="A2641">
        <v>3693268</v>
      </c>
      <c r="B2641">
        <v>30066</v>
      </c>
      <c r="C2641">
        <v>302438</v>
      </c>
      <c r="D2641">
        <v>21883</v>
      </c>
    </row>
    <row r="2642" spans="1:4" x14ac:dyDescent="0.2">
      <c r="A2642">
        <v>3693268</v>
      </c>
      <c r="B2642">
        <v>30069</v>
      </c>
      <c r="C2642">
        <v>302446</v>
      </c>
      <c r="D2642">
        <v>21883</v>
      </c>
    </row>
    <row r="2643" spans="1:4" x14ac:dyDescent="0.2">
      <c r="A2643">
        <v>3693269</v>
      </c>
      <c r="B2643">
        <v>30065</v>
      </c>
      <c r="C2643">
        <v>302370</v>
      </c>
      <c r="D2643">
        <v>21883</v>
      </c>
    </row>
    <row r="2644" spans="1:4" x14ac:dyDescent="0.2">
      <c r="A2644">
        <v>3693269</v>
      </c>
      <c r="B2644">
        <v>30066</v>
      </c>
      <c r="C2644">
        <v>302438</v>
      </c>
      <c r="D2644">
        <v>21883</v>
      </c>
    </row>
    <row r="2645" spans="1:4" x14ac:dyDescent="0.2">
      <c r="A2645">
        <v>3693269</v>
      </c>
      <c r="B2645">
        <v>30069</v>
      </c>
      <c r="C2645">
        <v>302446</v>
      </c>
      <c r="D2645">
        <v>21883</v>
      </c>
    </row>
    <row r="2646" spans="1:4" x14ac:dyDescent="0.2">
      <c r="A2646">
        <v>3693270</v>
      </c>
      <c r="B2646">
        <v>30063</v>
      </c>
      <c r="C2646">
        <v>302358</v>
      </c>
      <c r="D2646">
        <v>21883</v>
      </c>
    </row>
    <row r="2647" spans="1:4" x14ac:dyDescent="0.2">
      <c r="A2647">
        <v>3693270</v>
      </c>
      <c r="B2647">
        <v>30064</v>
      </c>
      <c r="C2647">
        <v>302395</v>
      </c>
      <c r="D2647">
        <v>21883</v>
      </c>
    </row>
    <row r="2648" spans="1:4" x14ac:dyDescent="0.2">
      <c r="A2648">
        <v>3693270</v>
      </c>
      <c r="B2648">
        <v>30065</v>
      </c>
      <c r="C2648">
        <v>302370</v>
      </c>
      <c r="D2648">
        <v>21883</v>
      </c>
    </row>
    <row r="2649" spans="1:4" x14ac:dyDescent="0.2">
      <c r="A2649">
        <v>3693270</v>
      </c>
      <c r="B2649">
        <v>30066</v>
      </c>
      <c r="C2649">
        <v>302438</v>
      </c>
      <c r="D2649">
        <v>21883</v>
      </c>
    </row>
    <row r="2650" spans="1:4" x14ac:dyDescent="0.2">
      <c r="A2650">
        <v>3693270</v>
      </c>
      <c r="B2650">
        <v>30069</v>
      </c>
      <c r="C2650">
        <v>302446</v>
      </c>
      <c r="D2650">
        <v>21883</v>
      </c>
    </row>
    <row r="2651" spans="1:4" x14ac:dyDescent="0.2">
      <c r="A2651">
        <v>3693271</v>
      </c>
      <c r="B2651">
        <v>30063</v>
      </c>
      <c r="C2651">
        <v>302358</v>
      </c>
      <c r="D2651">
        <v>21883</v>
      </c>
    </row>
    <row r="2652" spans="1:4" x14ac:dyDescent="0.2">
      <c r="A2652">
        <v>3693271</v>
      </c>
      <c r="B2652">
        <v>30064</v>
      </c>
      <c r="C2652">
        <v>302395</v>
      </c>
      <c r="D2652">
        <v>21883</v>
      </c>
    </row>
    <row r="2653" spans="1:4" x14ac:dyDescent="0.2">
      <c r="A2653">
        <v>3693271</v>
      </c>
      <c r="B2653">
        <v>30065</v>
      </c>
      <c r="C2653">
        <v>302370</v>
      </c>
      <c r="D2653">
        <v>21883</v>
      </c>
    </row>
    <row r="2654" spans="1:4" x14ac:dyDescent="0.2">
      <c r="A2654">
        <v>3693271</v>
      </c>
      <c r="B2654">
        <v>30066</v>
      </c>
      <c r="C2654">
        <v>302438</v>
      </c>
      <c r="D2654">
        <v>21883</v>
      </c>
    </row>
    <row r="2655" spans="1:4" x14ac:dyDescent="0.2">
      <c r="A2655">
        <v>3693271</v>
      </c>
      <c r="B2655">
        <v>30069</v>
      </c>
      <c r="C2655">
        <v>302446</v>
      </c>
      <c r="D2655">
        <v>21883</v>
      </c>
    </row>
    <row r="2656" spans="1:4" x14ac:dyDescent="0.2">
      <c r="A2656">
        <v>3693272</v>
      </c>
      <c r="B2656">
        <v>30063</v>
      </c>
      <c r="C2656">
        <v>302358</v>
      </c>
      <c r="D2656">
        <v>21883</v>
      </c>
    </row>
    <row r="2657" spans="1:4" x14ac:dyDescent="0.2">
      <c r="A2657">
        <v>3693272</v>
      </c>
      <c r="B2657">
        <v>30064</v>
      </c>
      <c r="C2657">
        <v>302395</v>
      </c>
      <c r="D2657">
        <v>21883</v>
      </c>
    </row>
    <row r="2658" spans="1:4" x14ac:dyDescent="0.2">
      <c r="A2658">
        <v>3693272</v>
      </c>
      <c r="B2658">
        <v>30065</v>
      </c>
      <c r="C2658">
        <v>302370</v>
      </c>
      <c r="D2658">
        <v>21883</v>
      </c>
    </row>
    <row r="2659" spans="1:4" x14ac:dyDescent="0.2">
      <c r="A2659">
        <v>3693272</v>
      </c>
      <c r="B2659">
        <v>30066</v>
      </c>
      <c r="C2659">
        <v>302438</v>
      </c>
      <c r="D2659">
        <v>21883</v>
      </c>
    </row>
    <row r="2660" spans="1:4" x14ac:dyDescent="0.2">
      <c r="A2660">
        <v>3693272</v>
      </c>
      <c r="B2660">
        <v>30069</v>
      </c>
      <c r="C2660">
        <v>302446</v>
      </c>
      <c r="D2660">
        <v>21883</v>
      </c>
    </row>
    <row r="2661" spans="1:4" x14ac:dyDescent="0.2">
      <c r="A2661">
        <v>3693273</v>
      </c>
      <c r="B2661">
        <v>30063</v>
      </c>
      <c r="C2661">
        <v>302358</v>
      </c>
      <c r="D2661">
        <v>21883</v>
      </c>
    </row>
    <row r="2662" spans="1:4" x14ac:dyDescent="0.2">
      <c r="A2662">
        <v>3693273</v>
      </c>
      <c r="B2662">
        <v>30064</v>
      </c>
      <c r="C2662">
        <v>302395</v>
      </c>
      <c r="D2662">
        <v>21883</v>
      </c>
    </row>
    <row r="2663" spans="1:4" x14ac:dyDescent="0.2">
      <c r="A2663">
        <v>3693273</v>
      </c>
      <c r="B2663">
        <v>30065</v>
      </c>
      <c r="C2663">
        <v>302370</v>
      </c>
      <c r="D2663">
        <v>21883</v>
      </c>
    </row>
    <row r="2664" spans="1:4" x14ac:dyDescent="0.2">
      <c r="A2664">
        <v>3693273</v>
      </c>
      <c r="B2664">
        <v>30066</v>
      </c>
      <c r="C2664">
        <v>302438</v>
      </c>
      <c r="D2664">
        <v>21883</v>
      </c>
    </row>
    <row r="2665" spans="1:4" x14ac:dyDescent="0.2">
      <c r="A2665">
        <v>3693273</v>
      </c>
      <c r="B2665">
        <v>30069</v>
      </c>
      <c r="C2665">
        <v>302446</v>
      </c>
      <c r="D2665">
        <v>21883</v>
      </c>
    </row>
    <row r="2666" spans="1:4" x14ac:dyDescent="0.2">
      <c r="A2666">
        <v>3693274</v>
      </c>
      <c r="B2666">
        <v>30063</v>
      </c>
      <c r="C2666">
        <v>302358</v>
      </c>
      <c r="D2666">
        <v>21883</v>
      </c>
    </row>
    <row r="2667" spans="1:4" x14ac:dyDescent="0.2">
      <c r="A2667">
        <v>3693274</v>
      </c>
      <c r="B2667">
        <v>30064</v>
      </c>
      <c r="C2667">
        <v>302395</v>
      </c>
      <c r="D2667">
        <v>21883</v>
      </c>
    </row>
    <row r="2668" spans="1:4" x14ac:dyDescent="0.2">
      <c r="A2668">
        <v>3693274</v>
      </c>
      <c r="B2668">
        <v>30065</v>
      </c>
      <c r="C2668">
        <v>302370</v>
      </c>
      <c r="D2668">
        <v>21883</v>
      </c>
    </row>
    <row r="2669" spans="1:4" x14ac:dyDescent="0.2">
      <c r="A2669">
        <v>3693274</v>
      </c>
      <c r="B2669">
        <v>30066</v>
      </c>
      <c r="C2669">
        <v>302438</v>
      </c>
      <c r="D2669">
        <v>21883</v>
      </c>
    </row>
    <row r="2670" spans="1:4" x14ac:dyDescent="0.2">
      <c r="A2670">
        <v>3693274</v>
      </c>
      <c r="B2670">
        <v>30069</v>
      </c>
      <c r="C2670">
        <v>302446</v>
      </c>
      <c r="D2670">
        <v>21883</v>
      </c>
    </row>
    <row r="2671" spans="1:4" x14ac:dyDescent="0.2">
      <c r="A2671">
        <v>3693275</v>
      </c>
      <c r="B2671">
        <v>30063</v>
      </c>
      <c r="C2671">
        <v>302358</v>
      </c>
      <c r="D2671">
        <v>21883</v>
      </c>
    </row>
    <row r="2672" spans="1:4" x14ac:dyDescent="0.2">
      <c r="A2672">
        <v>3693275</v>
      </c>
      <c r="B2672">
        <v>30064</v>
      </c>
      <c r="C2672">
        <v>302395</v>
      </c>
      <c r="D2672">
        <v>21883</v>
      </c>
    </row>
    <row r="2673" spans="1:4" x14ac:dyDescent="0.2">
      <c r="A2673">
        <v>3693275</v>
      </c>
      <c r="B2673">
        <v>30065</v>
      </c>
      <c r="C2673">
        <v>302370</v>
      </c>
      <c r="D2673">
        <v>21883</v>
      </c>
    </row>
    <row r="2674" spans="1:4" x14ac:dyDescent="0.2">
      <c r="A2674">
        <v>3693275</v>
      </c>
      <c r="B2674">
        <v>30066</v>
      </c>
      <c r="C2674">
        <v>302438</v>
      </c>
      <c r="D2674">
        <v>21883</v>
      </c>
    </row>
    <row r="2675" spans="1:4" x14ac:dyDescent="0.2">
      <c r="A2675">
        <v>3693275</v>
      </c>
      <c r="B2675">
        <v>30069</v>
      </c>
      <c r="C2675">
        <v>302446</v>
      </c>
      <c r="D2675">
        <v>21883</v>
      </c>
    </row>
    <row r="2676" spans="1:4" x14ac:dyDescent="0.2">
      <c r="A2676">
        <v>3693276</v>
      </c>
      <c r="B2676">
        <v>30063</v>
      </c>
      <c r="C2676">
        <v>302358</v>
      </c>
      <c r="D2676">
        <v>21883</v>
      </c>
    </row>
    <row r="2677" spans="1:4" x14ac:dyDescent="0.2">
      <c r="A2677">
        <v>3693276</v>
      </c>
      <c r="B2677">
        <v>30064</v>
      </c>
      <c r="C2677">
        <v>302395</v>
      </c>
      <c r="D2677">
        <v>21883</v>
      </c>
    </row>
    <row r="2678" spans="1:4" x14ac:dyDescent="0.2">
      <c r="A2678">
        <v>3693276</v>
      </c>
      <c r="B2678">
        <v>30065</v>
      </c>
      <c r="C2678">
        <v>302370</v>
      </c>
      <c r="D2678">
        <v>21883</v>
      </c>
    </row>
    <row r="2679" spans="1:4" x14ac:dyDescent="0.2">
      <c r="A2679">
        <v>3693276</v>
      </c>
      <c r="B2679">
        <v>30066</v>
      </c>
      <c r="C2679">
        <v>302438</v>
      </c>
      <c r="D2679">
        <v>21883</v>
      </c>
    </row>
    <row r="2680" spans="1:4" x14ac:dyDescent="0.2">
      <c r="A2680">
        <v>3693276</v>
      </c>
      <c r="B2680">
        <v>30069</v>
      </c>
      <c r="C2680">
        <v>302446</v>
      </c>
      <c r="D2680">
        <v>21883</v>
      </c>
    </row>
    <row r="2681" spans="1:4" x14ac:dyDescent="0.2">
      <c r="A2681">
        <v>3693277</v>
      </c>
      <c r="B2681">
        <v>30065</v>
      </c>
      <c r="C2681">
        <v>302370</v>
      </c>
      <c r="D2681">
        <v>21883</v>
      </c>
    </row>
    <row r="2682" spans="1:4" x14ac:dyDescent="0.2">
      <c r="A2682">
        <v>3693277</v>
      </c>
      <c r="B2682">
        <v>30066</v>
      </c>
      <c r="C2682">
        <v>302438</v>
      </c>
      <c r="D2682">
        <v>21883</v>
      </c>
    </row>
    <row r="2683" spans="1:4" x14ac:dyDescent="0.2">
      <c r="A2683">
        <v>3693277</v>
      </c>
      <c r="B2683">
        <v>30069</v>
      </c>
      <c r="C2683">
        <v>302446</v>
      </c>
      <c r="D2683">
        <v>21883</v>
      </c>
    </row>
    <row r="2684" spans="1:4" x14ac:dyDescent="0.2">
      <c r="A2684">
        <v>3693278</v>
      </c>
      <c r="B2684">
        <v>30063</v>
      </c>
      <c r="C2684">
        <v>302358</v>
      </c>
      <c r="D2684">
        <v>21883</v>
      </c>
    </row>
    <row r="2685" spans="1:4" x14ac:dyDescent="0.2">
      <c r="A2685">
        <v>3693278</v>
      </c>
      <c r="B2685">
        <v>30064</v>
      </c>
      <c r="C2685">
        <v>302395</v>
      </c>
      <c r="D2685">
        <v>21883</v>
      </c>
    </row>
    <row r="2686" spans="1:4" x14ac:dyDescent="0.2">
      <c r="A2686">
        <v>3693278</v>
      </c>
      <c r="B2686">
        <v>30065</v>
      </c>
      <c r="C2686">
        <v>302370</v>
      </c>
      <c r="D2686">
        <v>21883</v>
      </c>
    </row>
    <row r="2687" spans="1:4" x14ac:dyDescent="0.2">
      <c r="A2687">
        <v>3693278</v>
      </c>
      <c r="B2687">
        <v>30066</v>
      </c>
      <c r="C2687">
        <v>302438</v>
      </c>
      <c r="D2687">
        <v>21883</v>
      </c>
    </row>
    <row r="2688" spans="1:4" x14ac:dyDescent="0.2">
      <c r="A2688">
        <v>3693278</v>
      </c>
      <c r="B2688">
        <v>30069</v>
      </c>
      <c r="C2688">
        <v>302446</v>
      </c>
      <c r="D2688">
        <v>21883</v>
      </c>
    </row>
    <row r="2689" spans="1:4" x14ac:dyDescent="0.2">
      <c r="A2689">
        <v>3693279</v>
      </c>
      <c r="B2689">
        <v>30063</v>
      </c>
      <c r="C2689">
        <v>302358</v>
      </c>
      <c r="D2689">
        <v>21883</v>
      </c>
    </row>
    <row r="2690" spans="1:4" x14ac:dyDescent="0.2">
      <c r="A2690">
        <v>3693279</v>
      </c>
      <c r="B2690">
        <v>30064</v>
      </c>
      <c r="C2690">
        <v>302395</v>
      </c>
      <c r="D2690">
        <v>21883</v>
      </c>
    </row>
    <row r="2691" spans="1:4" x14ac:dyDescent="0.2">
      <c r="A2691">
        <v>3693279</v>
      </c>
      <c r="B2691">
        <v>30065</v>
      </c>
      <c r="C2691">
        <v>302370</v>
      </c>
      <c r="D2691">
        <v>21883</v>
      </c>
    </row>
    <row r="2692" spans="1:4" x14ac:dyDescent="0.2">
      <c r="A2692">
        <v>3693279</v>
      </c>
      <c r="B2692">
        <v>30066</v>
      </c>
      <c r="C2692">
        <v>302438</v>
      </c>
      <c r="D2692">
        <v>21883</v>
      </c>
    </row>
    <row r="2693" spans="1:4" x14ac:dyDescent="0.2">
      <c r="A2693">
        <v>3693279</v>
      </c>
      <c r="B2693">
        <v>30069</v>
      </c>
      <c r="C2693">
        <v>302446</v>
      </c>
      <c r="D2693">
        <v>21883</v>
      </c>
    </row>
    <row r="2694" spans="1:4" x14ac:dyDescent="0.2">
      <c r="A2694">
        <v>3693280</v>
      </c>
      <c r="B2694">
        <v>30063</v>
      </c>
      <c r="C2694">
        <v>302358</v>
      </c>
      <c r="D2694">
        <v>21883</v>
      </c>
    </row>
    <row r="2695" spans="1:4" x14ac:dyDescent="0.2">
      <c r="A2695">
        <v>3693280</v>
      </c>
      <c r="B2695">
        <v>30064</v>
      </c>
      <c r="C2695">
        <v>302395</v>
      </c>
      <c r="D2695">
        <v>21883</v>
      </c>
    </row>
    <row r="2696" spans="1:4" x14ac:dyDescent="0.2">
      <c r="A2696">
        <v>3693280</v>
      </c>
      <c r="B2696">
        <v>30065</v>
      </c>
      <c r="C2696">
        <v>302370</v>
      </c>
      <c r="D2696">
        <v>21883</v>
      </c>
    </row>
    <row r="2697" spans="1:4" x14ac:dyDescent="0.2">
      <c r="A2697">
        <v>3693280</v>
      </c>
      <c r="B2697">
        <v>30066</v>
      </c>
      <c r="C2697">
        <v>302438</v>
      </c>
      <c r="D2697">
        <v>21883</v>
      </c>
    </row>
    <row r="2698" spans="1:4" x14ac:dyDescent="0.2">
      <c r="A2698">
        <v>3693280</v>
      </c>
      <c r="B2698">
        <v>30069</v>
      </c>
      <c r="C2698">
        <v>302446</v>
      </c>
      <c r="D2698">
        <v>21883</v>
      </c>
    </row>
    <row r="2699" spans="1:4" x14ac:dyDescent="0.2">
      <c r="A2699">
        <v>3693281</v>
      </c>
      <c r="B2699">
        <v>30063</v>
      </c>
      <c r="C2699">
        <v>302358</v>
      </c>
      <c r="D2699">
        <v>21883</v>
      </c>
    </row>
    <row r="2700" spans="1:4" x14ac:dyDescent="0.2">
      <c r="A2700">
        <v>3693281</v>
      </c>
      <c r="B2700">
        <v>30064</v>
      </c>
      <c r="C2700">
        <v>302391</v>
      </c>
      <c r="D2700">
        <v>21883</v>
      </c>
    </row>
    <row r="2701" spans="1:4" x14ac:dyDescent="0.2">
      <c r="A2701">
        <v>3693281</v>
      </c>
      <c r="B2701">
        <v>30065</v>
      </c>
      <c r="C2701">
        <v>302370</v>
      </c>
      <c r="D2701">
        <v>21883</v>
      </c>
    </row>
    <row r="2702" spans="1:4" x14ac:dyDescent="0.2">
      <c r="A2702">
        <v>3693281</v>
      </c>
      <c r="B2702">
        <v>30066</v>
      </c>
      <c r="C2702">
        <v>302438</v>
      </c>
      <c r="D2702">
        <v>21883</v>
      </c>
    </row>
    <row r="2703" spans="1:4" x14ac:dyDescent="0.2">
      <c r="A2703">
        <v>3693281</v>
      </c>
      <c r="B2703">
        <v>30069</v>
      </c>
      <c r="C2703">
        <v>302446</v>
      </c>
      <c r="D2703">
        <v>21883</v>
      </c>
    </row>
    <row r="2704" spans="1:4" x14ac:dyDescent="0.2">
      <c r="A2704">
        <v>3693282</v>
      </c>
      <c r="B2704">
        <v>30063</v>
      </c>
      <c r="C2704">
        <v>302358</v>
      </c>
      <c r="D2704">
        <v>21883</v>
      </c>
    </row>
    <row r="2705" spans="1:4" x14ac:dyDescent="0.2">
      <c r="A2705">
        <v>3693282</v>
      </c>
      <c r="B2705">
        <v>30064</v>
      </c>
      <c r="C2705">
        <v>302391</v>
      </c>
      <c r="D2705">
        <v>21883</v>
      </c>
    </row>
    <row r="2706" spans="1:4" x14ac:dyDescent="0.2">
      <c r="A2706">
        <v>3693282</v>
      </c>
      <c r="B2706">
        <v>30065</v>
      </c>
      <c r="C2706">
        <v>302370</v>
      </c>
      <c r="D2706">
        <v>21883</v>
      </c>
    </row>
    <row r="2707" spans="1:4" x14ac:dyDescent="0.2">
      <c r="A2707">
        <v>3693282</v>
      </c>
      <c r="B2707">
        <v>30066</v>
      </c>
      <c r="C2707">
        <v>302438</v>
      </c>
      <c r="D2707">
        <v>21883</v>
      </c>
    </row>
    <row r="2708" spans="1:4" x14ac:dyDescent="0.2">
      <c r="A2708">
        <v>3693282</v>
      </c>
      <c r="B2708">
        <v>30069</v>
      </c>
      <c r="C2708">
        <v>302446</v>
      </c>
      <c r="D2708">
        <v>21883</v>
      </c>
    </row>
    <row r="2709" spans="1:4" x14ac:dyDescent="0.2">
      <c r="A2709">
        <v>3693283</v>
      </c>
      <c r="B2709">
        <v>30063</v>
      </c>
      <c r="C2709">
        <v>302358</v>
      </c>
      <c r="D2709">
        <v>21883</v>
      </c>
    </row>
    <row r="2710" spans="1:4" x14ac:dyDescent="0.2">
      <c r="A2710">
        <v>3693283</v>
      </c>
      <c r="B2710">
        <v>30064</v>
      </c>
      <c r="C2710">
        <v>302391</v>
      </c>
      <c r="D2710">
        <v>21883</v>
      </c>
    </row>
    <row r="2711" spans="1:4" x14ac:dyDescent="0.2">
      <c r="A2711">
        <v>3693283</v>
      </c>
      <c r="B2711">
        <v>30065</v>
      </c>
      <c r="C2711">
        <v>302370</v>
      </c>
      <c r="D2711">
        <v>21883</v>
      </c>
    </row>
    <row r="2712" spans="1:4" x14ac:dyDescent="0.2">
      <c r="A2712">
        <v>3693283</v>
      </c>
      <c r="B2712">
        <v>30066</v>
      </c>
      <c r="C2712">
        <v>302438</v>
      </c>
      <c r="D2712">
        <v>21883</v>
      </c>
    </row>
    <row r="2713" spans="1:4" x14ac:dyDescent="0.2">
      <c r="A2713">
        <v>3693283</v>
      </c>
      <c r="B2713">
        <v>30069</v>
      </c>
      <c r="C2713">
        <v>302446</v>
      </c>
      <c r="D2713">
        <v>21883</v>
      </c>
    </row>
    <row r="2714" spans="1:4" x14ac:dyDescent="0.2">
      <c r="A2714">
        <v>3693284</v>
      </c>
      <c r="B2714">
        <v>30063</v>
      </c>
      <c r="C2714">
        <v>302358</v>
      </c>
      <c r="D2714">
        <v>21883</v>
      </c>
    </row>
    <row r="2715" spans="1:4" x14ac:dyDescent="0.2">
      <c r="A2715">
        <v>3693284</v>
      </c>
      <c r="B2715">
        <v>30064</v>
      </c>
      <c r="C2715">
        <v>302391</v>
      </c>
      <c r="D2715">
        <v>21883</v>
      </c>
    </row>
    <row r="2716" spans="1:4" x14ac:dyDescent="0.2">
      <c r="A2716">
        <v>3693284</v>
      </c>
      <c r="B2716">
        <v>30065</v>
      </c>
      <c r="C2716">
        <v>302370</v>
      </c>
      <c r="D2716">
        <v>21883</v>
      </c>
    </row>
    <row r="2717" spans="1:4" x14ac:dyDescent="0.2">
      <c r="A2717">
        <v>3693284</v>
      </c>
      <c r="B2717">
        <v>30066</v>
      </c>
      <c r="C2717">
        <v>302438</v>
      </c>
      <c r="D2717">
        <v>21883</v>
      </c>
    </row>
    <row r="2718" spans="1:4" x14ac:dyDescent="0.2">
      <c r="A2718">
        <v>3693284</v>
      </c>
      <c r="B2718">
        <v>30069</v>
      </c>
      <c r="C2718">
        <v>302446</v>
      </c>
      <c r="D2718">
        <v>21883</v>
      </c>
    </row>
    <row r="2719" spans="1:4" x14ac:dyDescent="0.2">
      <c r="A2719">
        <v>3693285</v>
      </c>
      <c r="B2719">
        <v>30063</v>
      </c>
      <c r="C2719">
        <v>302358</v>
      </c>
      <c r="D2719">
        <v>21883</v>
      </c>
    </row>
    <row r="2720" spans="1:4" x14ac:dyDescent="0.2">
      <c r="A2720">
        <v>3693285</v>
      </c>
      <c r="B2720">
        <v>30064</v>
      </c>
      <c r="C2720">
        <v>302391</v>
      </c>
      <c r="D2720">
        <v>21883</v>
      </c>
    </row>
    <row r="2721" spans="1:4" x14ac:dyDescent="0.2">
      <c r="A2721">
        <v>3693285</v>
      </c>
      <c r="B2721">
        <v>30065</v>
      </c>
      <c r="C2721">
        <v>302370</v>
      </c>
      <c r="D2721">
        <v>21883</v>
      </c>
    </row>
    <row r="2722" spans="1:4" x14ac:dyDescent="0.2">
      <c r="A2722">
        <v>3693285</v>
      </c>
      <c r="B2722">
        <v>30066</v>
      </c>
      <c r="C2722">
        <v>302438</v>
      </c>
      <c r="D2722">
        <v>21883</v>
      </c>
    </row>
    <row r="2723" spans="1:4" x14ac:dyDescent="0.2">
      <c r="A2723">
        <v>3693285</v>
      </c>
      <c r="B2723">
        <v>30069</v>
      </c>
      <c r="C2723">
        <v>302446</v>
      </c>
      <c r="D2723">
        <v>21883</v>
      </c>
    </row>
    <row r="2724" spans="1:4" x14ac:dyDescent="0.2">
      <c r="A2724">
        <v>3693286</v>
      </c>
      <c r="B2724">
        <v>30063</v>
      </c>
      <c r="C2724">
        <v>302358</v>
      </c>
      <c r="D2724">
        <v>21883</v>
      </c>
    </row>
    <row r="2725" spans="1:4" x14ac:dyDescent="0.2">
      <c r="A2725">
        <v>3693286</v>
      </c>
      <c r="B2725">
        <v>30064</v>
      </c>
      <c r="C2725">
        <v>302391</v>
      </c>
      <c r="D2725">
        <v>21883</v>
      </c>
    </row>
    <row r="2726" spans="1:4" x14ac:dyDescent="0.2">
      <c r="A2726">
        <v>3693286</v>
      </c>
      <c r="B2726">
        <v>30065</v>
      </c>
      <c r="C2726">
        <v>302370</v>
      </c>
      <c r="D2726">
        <v>21883</v>
      </c>
    </row>
    <row r="2727" spans="1:4" x14ac:dyDescent="0.2">
      <c r="A2727">
        <v>3693286</v>
      </c>
      <c r="B2727">
        <v>30066</v>
      </c>
      <c r="C2727">
        <v>302438</v>
      </c>
      <c r="D2727">
        <v>21883</v>
      </c>
    </row>
    <row r="2728" spans="1:4" x14ac:dyDescent="0.2">
      <c r="A2728">
        <v>3693286</v>
      </c>
      <c r="B2728">
        <v>30069</v>
      </c>
      <c r="C2728">
        <v>302446</v>
      </c>
      <c r="D2728">
        <v>21883</v>
      </c>
    </row>
    <row r="2729" spans="1:4" x14ac:dyDescent="0.2">
      <c r="A2729">
        <v>3693287</v>
      </c>
      <c r="B2729">
        <v>30063</v>
      </c>
      <c r="C2729">
        <v>302357</v>
      </c>
      <c r="D2729">
        <v>21883</v>
      </c>
    </row>
    <row r="2730" spans="1:4" x14ac:dyDescent="0.2">
      <c r="A2730">
        <v>3693287</v>
      </c>
      <c r="B2730">
        <v>30064</v>
      </c>
      <c r="C2730">
        <v>302378</v>
      </c>
      <c r="D2730">
        <v>21883</v>
      </c>
    </row>
    <row r="2731" spans="1:4" x14ac:dyDescent="0.2">
      <c r="A2731">
        <v>3693287</v>
      </c>
      <c r="B2731">
        <v>30065</v>
      </c>
      <c r="C2731">
        <v>302371</v>
      </c>
      <c r="D2731">
        <v>21883</v>
      </c>
    </row>
    <row r="2732" spans="1:4" x14ac:dyDescent="0.2">
      <c r="A2732">
        <v>3693287</v>
      </c>
      <c r="B2732">
        <v>30066</v>
      </c>
      <c r="C2732">
        <v>302436</v>
      </c>
      <c r="D2732">
        <v>21883</v>
      </c>
    </row>
    <row r="2733" spans="1:4" x14ac:dyDescent="0.2">
      <c r="A2733">
        <v>3693287</v>
      </c>
      <c r="B2733">
        <v>30067</v>
      </c>
      <c r="C2733">
        <v>302454</v>
      </c>
      <c r="D2733">
        <v>21883</v>
      </c>
    </row>
    <row r="2734" spans="1:4" x14ac:dyDescent="0.2">
      <c r="A2734">
        <v>3693288</v>
      </c>
      <c r="B2734">
        <v>30063</v>
      </c>
      <c r="C2734">
        <v>302357</v>
      </c>
      <c r="D2734">
        <v>21883</v>
      </c>
    </row>
    <row r="2735" spans="1:4" x14ac:dyDescent="0.2">
      <c r="A2735">
        <v>3693288</v>
      </c>
      <c r="B2735">
        <v>30064</v>
      </c>
      <c r="C2735">
        <v>302378</v>
      </c>
      <c r="D2735">
        <v>21883</v>
      </c>
    </row>
    <row r="2736" spans="1:4" x14ac:dyDescent="0.2">
      <c r="A2736">
        <v>3693288</v>
      </c>
      <c r="B2736">
        <v>30065</v>
      </c>
      <c r="C2736">
        <v>302371</v>
      </c>
      <c r="D2736">
        <v>21883</v>
      </c>
    </row>
    <row r="2737" spans="1:4" x14ac:dyDescent="0.2">
      <c r="A2737">
        <v>3693288</v>
      </c>
      <c r="B2737">
        <v>30066</v>
      </c>
      <c r="C2737">
        <v>302436</v>
      </c>
      <c r="D2737">
        <v>21883</v>
      </c>
    </row>
    <row r="2738" spans="1:4" x14ac:dyDescent="0.2">
      <c r="A2738">
        <v>3693288</v>
      </c>
      <c r="B2738">
        <v>30067</v>
      </c>
      <c r="C2738">
        <v>302454</v>
      </c>
      <c r="D2738">
        <v>21883</v>
      </c>
    </row>
    <row r="2739" spans="1:4" x14ac:dyDescent="0.2">
      <c r="A2739">
        <v>3693289</v>
      </c>
      <c r="B2739">
        <v>30061</v>
      </c>
      <c r="C2739">
        <v>302333</v>
      </c>
      <c r="D2739">
        <v>21883</v>
      </c>
    </row>
    <row r="2740" spans="1:4" x14ac:dyDescent="0.2">
      <c r="A2740">
        <v>3693289</v>
      </c>
      <c r="B2740">
        <v>30062</v>
      </c>
      <c r="C2740">
        <v>302355</v>
      </c>
      <c r="D2740">
        <v>21883</v>
      </c>
    </row>
    <row r="2741" spans="1:4" x14ac:dyDescent="0.2">
      <c r="A2741">
        <v>3693289</v>
      </c>
      <c r="B2741">
        <v>30063</v>
      </c>
      <c r="C2741">
        <v>302357</v>
      </c>
      <c r="D2741">
        <v>21883</v>
      </c>
    </row>
    <row r="2742" spans="1:4" x14ac:dyDescent="0.2">
      <c r="A2742">
        <v>3693289</v>
      </c>
      <c r="B2742">
        <v>30064</v>
      </c>
      <c r="C2742">
        <v>302378</v>
      </c>
      <c r="D2742">
        <v>21883</v>
      </c>
    </row>
    <row r="2743" spans="1:4" x14ac:dyDescent="0.2">
      <c r="A2743">
        <v>3693289</v>
      </c>
      <c r="B2743">
        <v>30065</v>
      </c>
      <c r="C2743">
        <v>302330</v>
      </c>
      <c r="D2743">
        <v>21883</v>
      </c>
    </row>
    <row r="2744" spans="1:4" x14ac:dyDescent="0.2">
      <c r="A2744">
        <v>3693289</v>
      </c>
      <c r="B2744">
        <v>30066</v>
      </c>
      <c r="C2744">
        <v>302436</v>
      </c>
      <c r="D2744">
        <v>21883</v>
      </c>
    </row>
    <row r="2745" spans="1:4" x14ac:dyDescent="0.2">
      <c r="A2745">
        <v>3693289</v>
      </c>
      <c r="B2745">
        <v>30067</v>
      </c>
      <c r="C2745">
        <v>302454</v>
      </c>
      <c r="D2745">
        <v>21883</v>
      </c>
    </row>
    <row r="2746" spans="1:4" x14ac:dyDescent="0.2">
      <c r="A2746">
        <v>3693290</v>
      </c>
      <c r="B2746">
        <v>30063</v>
      </c>
      <c r="C2746">
        <v>302357</v>
      </c>
      <c r="D2746">
        <v>21883</v>
      </c>
    </row>
    <row r="2747" spans="1:4" x14ac:dyDescent="0.2">
      <c r="A2747">
        <v>3693290</v>
      </c>
      <c r="B2747">
        <v>30064</v>
      </c>
      <c r="C2747">
        <v>302368</v>
      </c>
      <c r="D2747">
        <v>21883</v>
      </c>
    </row>
    <row r="2748" spans="1:4" x14ac:dyDescent="0.2">
      <c r="A2748">
        <v>3693290</v>
      </c>
      <c r="B2748">
        <v>30065</v>
      </c>
      <c r="C2748">
        <v>302371</v>
      </c>
      <c r="D2748">
        <v>21883</v>
      </c>
    </row>
    <row r="2749" spans="1:4" x14ac:dyDescent="0.2">
      <c r="A2749">
        <v>3693290</v>
      </c>
      <c r="B2749">
        <v>30066</v>
      </c>
      <c r="C2749">
        <v>302436</v>
      </c>
      <c r="D2749">
        <v>21883</v>
      </c>
    </row>
    <row r="2750" spans="1:4" x14ac:dyDescent="0.2">
      <c r="A2750">
        <v>3693290</v>
      </c>
      <c r="B2750">
        <v>30067</v>
      </c>
      <c r="C2750">
        <v>302454</v>
      </c>
      <c r="D2750">
        <v>21883</v>
      </c>
    </row>
    <row r="2751" spans="1:4" x14ac:dyDescent="0.2">
      <c r="A2751">
        <v>3693291</v>
      </c>
      <c r="B2751">
        <v>30063</v>
      </c>
      <c r="C2751">
        <v>302357</v>
      </c>
      <c r="D2751">
        <v>21883</v>
      </c>
    </row>
    <row r="2752" spans="1:4" x14ac:dyDescent="0.2">
      <c r="A2752">
        <v>3693291</v>
      </c>
      <c r="B2752">
        <v>30064</v>
      </c>
      <c r="C2752">
        <v>302378</v>
      </c>
      <c r="D2752">
        <v>21883</v>
      </c>
    </row>
    <row r="2753" spans="1:4" x14ac:dyDescent="0.2">
      <c r="A2753">
        <v>3693291</v>
      </c>
      <c r="B2753">
        <v>30065</v>
      </c>
      <c r="C2753">
        <v>302371</v>
      </c>
      <c r="D2753">
        <v>21883</v>
      </c>
    </row>
    <row r="2754" spans="1:4" x14ac:dyDescent="0.2">
      <c r="A2754">
        <v>3693291</v>
      </c>
      <c r="B2754">
        <v>30066</v>
      </c>
      <c r="C2754">
        <v>302436</v>
      </c>
      <c r="D2754">
        <v>21883</v>
      </c>
    </row>
    <row r="2755" spans="1:4" x14ac:dyDescent="0.2">
      <c r="A2755">
        <v>3693291</v>
      </c>
      <c r="B2755">
        <v>30067</v>
      </c>
      <c r="C2755">
        <v>302454</v>
      </c>
      <c r="D2755">
        <v>21883</v>
      </c>
    </row>
    <row r="2756" spans="1:4" x14ac:dyDescent="0.2">
      <c r="A2756">
        <v>3693292</v>
      </c>
      <c r="B2756">
        <v>30063</v>
      </c>
      <c r="C2756">
        <v>302357</v>
      </c>
      <c r="D2756">
        <v>21883</v>
      </c>
    </row>
    <row r="2757" spans="1:4" x14ac:dyDescent="0.2">
      <c r="A2757">
        <v>3693292</v>
      </c>
      <c r="B2757">
        <v>30064</v>
      </c>
      <c r="C2757">
        <v>302378</v>
      </c>
      <c r="D2757">
        <v>21883</v>
      </c>
    </row>
    <row r="2758" spans="1:4" x14ac:dyDescent="0.2">
      <c r="A2758">
        <v>3693292</v>
      </c>
      <c r="B2758">
        <v>30065</v>
      </c>
      <c r="C2758">
        <v>302371</v>
      </c>
      <c r="D2758">
        <v>21883</v>
      </c>
    </row>
    <row r="2759" spans="1:4" x14ac:dyDescent="0.2">
      <c r="A2759">
        <v>3693292</v>
      </c>
      <c r="B2759">
        <v>30066</v>
      </c>
      <c r="C2759">
        <v>302436</v>
      </c>
      <c r="D2759">
        <v>21883</v>
      </c>
    </row>
    <row r="2760" spans="1:4" x14ac:dyDescent="0.2">
      <c r="A2760">
        <v>3693292</v>
      </c>
      <c r="B2760">
        <v>30067</v>
      </c>
      <c r="C2760">
        <v>302455</v>
      </c>
      <c r="D2760">
        <v>21883</v>
      </c>
    </row>
    <row r="2761" spans="1:4" x14ac:dyDescent="0.2">
      <c r="A2761">
        <v>3693293</v>
      </c>
      <c r="B2761">
        <v>30063</v>
      </c>
      <c r="C2761">
        <v>302357</v>
      </c>
      <c r="D2761">
        <v>21883</v>
      </c>
    </row>
    <row r="2762" spans="1:4" x14ac:dyDescent="0.2">
      <c r="A2762">
        <v>3693293</v>
      </c>
      <c r="B2762">
        <v>30064</v>
      </c>
      <c r="C2762">
        <v>302378</v>
      </c>
      <c r="D2762">
        <v>21883</v>
      </c>
    </row>
    <row r="2763" spans="1:4" x14ac:dyDescent="0.2">
      <c r="A2763">
        <v>3693293</v>
      </c>
      <c r="B2763">
        <v>30065</v>
      </c>
      <c r="C2763">
        <v>302371</v>
      </c>
      <c r="D2763">
        <v>21883</v>
      </c>
    </row>
    <row r="2764" spans="1:4" x14ac:dyDescent="0.2">
      <c r="A2764">
        <v>3693293</v>
      </c>
      <c r="B2764">
        <v>30066</v>
      </c>
      <c r="C2764">
        <v>302436</v>
      </c>
      <c r="D2764">
        <v>21883</v>
      </c>
    </row>
    <row r="2765" spans="1:4" x14ac:dyDescent="0.2">
      <c r="A2765">
        <v>3693293</v>
      </c>
      <c r="B2765">
        <v>30067</v>
      </c>
      <c r="C2765">
        <v>302455</v>
      </c>
      <c r="D2765">
        <v>21883</v>
      </c>
    </row>
    <row r="2766" spans="1:4" x14ac:dyDescent="0.2">
      <c r="A2766">
        <v>3693294</v>
      </c>
      <c r="B2766">
        <v>30061</v>
      </c>
      <c r="C2766">
        <v>302333</v>
      </c>
      <c r="D2766">
        <v>21883</v>
      </c>
    </row>
    <row r="2767" spans="1:4" x14ac:dyDescent="0.2">
      <c r="A2767">
        <v>3693294</v>
      </c>
      <c r="B2767">
        <v>30062</v>
      </c>
      <c r="C2767">
        <v>302355</v>
      </c>
      <c r="D2767">
        <v>21883</v>
      </c>
    </row>
    <row r="2768" spans="1:4" x14ac:dyDescent="0.2">
      <c r="A2768">
        <v>3693294</v>
      </c>
      <c r="B2768">
        <v>30063</v>
      </c>
      <c r="C2768">
        <v>302357</v>
      </c>
      <c r="D2768">
        <v>21883</v>
      </c>
    </row>
    <row r="2769" spans="1:4" x14ac:dyDescent="0.2">
      <c r="A2769">
        <v>3693294</v>
      </c>
      <c r="B2769">
        <v>30064</v>
      </c>
      <c r="C2769">
        <v>302378</v>
      </c>
      <c r="D2769">
        <v>21883</v>
      </c>
    </row>
    <row r="2770" spans="1:4" x14ac:dyDescent="0.2">
      <c r="A2770">
        <v>3693294</v>
      </c>
      <c r="B2770">
        <v>30065</v>
      </c>
      <c r="C2770">
        <v>302330</v>
      </c>
      <c r="D2770">
        <v>21883</v>
      </c>
    </row>
    <row r="2771" spans="1:4" x14ac:dyDescent="0.2">
      <c r="A2771">
        <v>3693294</v>
      </c>
      <c r="B2771">
        <v>30066</v>
      </c>
      <c r="C2771">
        <v>302436</v>
      </c>
      <c r="D2771">
        <v>21883</v>
      </c>
    </row>
    <row r="2772" spans="1:4" x14ac:dyDescent="0.2">
      <c r="A2772">
        <v>3693294</v>
      </c>
      <c r="B2772">
        <v>30067</v>
      </c>
      <c r="C2772">
        <v>302455</v>
      </c>
      <c r="D2772">
        <v>21883</v>
      </c>
    </row>
    <row r="2773" spans="1:4" x14ac:dyDescent="0.2">
      <c r="A2773">
        <v>3693295</v>
      </c>
      <c r="B2773">
        <v>30063</v>
      </c>
      <c r="C2773">
        <v>302357</v>
      </c>
      <c r="D2773">
        <v>21883</v>
      </c>
    </row>
    <row r="2774" spans="1:4" x14ac:dyDescent="0.2">
      <c r="A2774">
        <v>3693295</v>
      </c>
      <c r="B2774">
        <v>30064</v>
      </c>
      <c r="C2774">
        <v>302368</v>
      </c>
      <c r="D2774">
        <v>21883</v>
      </c>
    </row>
    <row r="2775" spans="1:4" x14ac:dyDescent="0.2">
      <c r="A2775">
        <v>3693295</v>
      </c>
      <c r="B2775">
        <v>30065</v>
      </c>
      <c r="C2775">
        <v>302371</v>
      </c>
      <c r="D2775">
        <v>21883</v>
      </c>
    </row>
    <row r="2776" spans="1:4" x14ac:dyDescent="0.2">
      <c r="A2776">
        <v>3693295</v>
      </c>
      <c r="B2776">
        <v>30066</v>
      </c>
      <c r="C2776">
        <v>302436</v>
      </c>
      <c r="D2776">
        <v>21883</v>
      </c>
    </row>
    <row r="2777" spans="1:4" x14ac:dyDescent="0.2">
      <c r="A2777">
        <v>3693295</v>
      </c>
      <c r="B2777">
        <v>30067</v>
      </c>
      <c r="C2777">
        <v>302455</v>
      </c>
      <c r="D2777">
        <v>21883</v>
      </c>
    </row>
    <row r="2778" spans="1:4" x14ac:dyDescent="0.2">
      <c r="A2778">
        <v>3693296</v>
      </c>
      <c r="B2778">
        <v>30063</v>
      </c>
      <c r="C2778">
        <v>302357</v>
      </c>
      <c r="D2778">
        <v>21883</v>
      </c>
    </row>
    <row r="2779" spans="1:4" x14ac:dyDescent="0.2">
      <c r="A2779">
        <v>3693296</v>
      </c>
      <c r="B2779">
        <v>30064</v>
      </c>
      <c r="C2779">
        <v>302378</v>
      </c>
      <c r="D2779">
        <v>21883</v>
      </c>
    </row>
    <row r="2780" spans="1:4" x14ac:dyDescent="0.2">
      <c r="A2780">
        <v>3693296</v>
      </c>
      <c r="B2780">
        <v>30065</v>
      </c>
      <c r="C2780">
        <v>302371</v>
      </c>
      <c r="D2780">
        <v>21883</v>
      </c>
    </row>
    <row r="2781" spans="1:4" x14ac:dyDescent="0.2">
      <c r="A2781">
        <v>3693296</v>
      </c>
      <c r="B2781">
        <v>30066</v>
      </c>
      <c r="C2781">
        <v>302436</v>
      </c>
      <c r="D2781">
        <v>21883</v>
      </c>
    </row>
    <row r="2782" spans="1:4" x14ac:dyDescent="0.2">
      <c r="A2782">
        <v>3693296</v>
      </c>
      <c r="B2782">
        <v>30067</v>
      </c>
      <c r="C2782">
        <v>302455</v>
      </c>
      <c r="D2782">
        <v>21883</v>
      </c>
    </row>
    <row r="2783" spans="1:4" x14ac:dyDescent="0.2">
      <c r="A2783">
        <v>3693297</v>
      </c>
      <c r="B2783">
        <v>30063</v>
      </c>
      <c r="C2783">
        <v>302357</v>
      </c>
      <c r="D2783">
        <v>21883</v>
      </c>
    </row>
    <row r="2784" spans="1:4" x14ac:dyDescent="0.2">
      <c r="A2784">
        <v>3693297</v>
      </c>
      <c r="B2784">
        <v>30064</v>
      </c>
      <c r="C2784">
        <v>302417</v>
      </c>
      <c r="D2784">
        <v>21883</v>
      </c>
    </row>
    <row r="2785" spans="1:4" x14ac:dyDescent="0.2">
      <c r="A2785">
        <v>3693297</v>
      </c>
      <c r="B2785">
        <v>30065</v>
      </c>
      <c r="C2785">
        <v>302371</v>
      </c>
      <c r="D2785">
        <v>21883</v>
      </c>
    </row>
    <row r="2786" spans="1:4" x14ac:dyDescent="0.2">
      <c r="A2786">
        <v>3693297</v>
      </c>
      <c r="B2786">
        <v>30066</v>
      </c>
      <c r="C2786">
        <v>302436</v>
      </c>
      <c r="D2786">
        <v>21883</v>
      </c>
    </row>
    <row r="2787" spans="1:4" x14ac:dyDescent="0.2">
      <c r="A2787">
        <v>3693297</v>
      </c>
      <c r="B2787">
        <v>30067</v>
      </c>
      <c r="C2787">
        <v>302455</v>
      </c>
      <c r="D2787">
        <v>21883</v>
      </c>
    </row>
    <row r="2788" spans="1:4" x14ac:dyDescent="0.2">
      <c r="A2788">
        <v>3693298</v>
      </c>
      <c r="B2788">
        <v>30063</v>
      </c>
      <c r="C2788">
        <v>302357</v>
      </c>
      <c r="D2788">
        <v>21883</v>
      </c>
    </row>
    <row r="2789" spans="1:4" x14ac:dyDescent="0.2">
      <c r="A2789">
        <v>3693298</v>
      </c>
      <c r="B2789">
        <v>30064</v>
      </c>
      <c r="C2789">
        <v>302416</v>
      </c>
      <c r="D2789">
        <v>21883</v>
      </c>
    </row>
    <row r="2790" spans="1:4" x14ac:dyDescent="0.2">
      <c r="A2790">
        <v>3693298</v>
      </c>
      <c r="B2790">
        <v>30065</v>
      </c>
      <c r="C2790">
        <v>302371</v>
      </c>
      <c r="D2790">
        <v>21883</v>
      </c>
    </row>
    <row r="2791" spans="1:4" x14ac:dyDescent="0.2">
      <c r="A2791">
        <v>3693298</v>
      </c>
      <c r="B2791">
        <v>30066</v>
      </c>
      <c r="C2791">
        <v>302436</v>
      </c>
      <c r="D2791">
        <v>21883</v>
      </c>
    </row>
    <row r="2792" spans="1:4" x14ac:dyDescent="0.2">
      <c r="A2792">
        <v>3693298</v>
      </c>
      <c r="B2792">
        <v>30067</v>
      </c>
      <c r="C2792">
        <v>302454</v>
      </c>
      <c r="D2792">
        <v>21883</v>
      </c>
    </row>
    <row r="2793" spans="1:4" x14ac:dyDescent="0.2">
      <c r="A2793">
        <v>3693299</v>
      </c>
      <c r="B2793">
        <v>30063</v>
      </c>
      <c r="C2793">
        <v>302357</v>
      </c>
      <c r="D2793">
        <v>21883</v>
      </c>
    </row>
    <row r="2794" spans="1:4" x14ac:dyDescent="0.2">
      <c r="A2794">
        <v>3693299</v>
      </c>
      <c r="B2794">
        <v>30064</v>
      </c>
      <c r="C2794">
        <v>302417</v>
      </c>
      <c r="D2794">
        <v>21883</v>
      </c>
    </row>
    <row r="2795" spans="1:4" x14ac:dyDescent="0.2">
      <c r="A2795">
        <v>3693299</v>
      </c>
      <c r="B2795">
        <v>30065</v>
      </c>
      <c r="C2795">
        <v>302371</v>
      </c>
      <c r="D2795">
        <v>21883</v>
      </c>
    </row>
    <row r="2796" spans="1:4" x14ac:dyDescent="0.2">
      <c r="A2796">
        <v>3693299</v>
      </c>
      <c r="B2796">
        <v>30066</v>
      </c>
      <c r="C2796">
        <v>302436</v>
      </c>
      <c r="D2796">
        <v>21883</v>
      </c>
    </row>
    <row r="2797" spans="1:4" x14ac:dyDescent="0.2">
      <c r="A2797">
        <v>3693299</v>
      </c>
      <c r="B2797">
        <v>30067</v>
      </c>
      <c r="C2797">
        <v>302454</v>
      </c>
      <c r="D2797">
        <v>21883</v>
      </c>
    </row>
    <row r="2798" spans="1:4" x14ac:dyDescent="0.2">
      <c r="A2798">
        <v>3693300</v>
      </c>
      <c r="B2798">
        <v>30063</v>
      </c>
      <c r="C2798">
        <v>302357</v>
      </c>
      <c r="D2798">
        <v>21883</v>
      </c>
    </row>
    <row r="2799" spans="1:4" x14ac:dyDescent="0.2">
      <c r="A2799">
        <v>3693300</v>
      </c>
      <c r="B2799">
        <v>30064</v>
      </c>
      <c r="C2799">
        <v>302416</v>
      </c>
      <c r="D2799">
        <v>21883</v>
      </c>
    </row>
    <row r="2800" spans="1:4" x14ac:dyDescent="0.2">
      <c r="A2800">
        <v>3693300</v>
      </c>
      <c r="B2800">
        <v>30065</v>
      </c>
      <c r="C2800">
        <v>302371</v>
      </c>
      <c r="D2800">
        <v>21883</v>
      </c>
    </row>
    <row r="2801" spans="1:4" x14ac:dyDescent="0.2">
      <c r="A2801">
        <v>3693300</v>
      </c>
      <c r="B2801">
        <v>30066</v>
      </c>
      <c r="C2801">
        <v>302436</v>
      </c>
      <c r="D2801">
        <v>21883</v>
      </c>
    </row>
    <row r="2802" spans="1:4" x14ac:dyDescent="0.2">
      <c r="A2802">
        <v>3693300</v>
      </c>
      <c r="B2802">
        <v>30067</v>
      </c>
      <c r="C2802">
        <v>302455</v>
      </c>
      <c r="D2802">
        <v>21883</v>
      </c>
    </row>
    <row r="2803" spans="1:4" x14ac:dyDescent="0.2">
      <c r="A2803">
        <v>3693301</v>
      </c>
      <c r="B2803">
        <v>30063</v>
      </c>
      <c r="C2803">
        <v>302358</v>
      </c>
      <c r="D2803">
        <v>21883</v>
      </c>
    </row>
    <row r="2804" spans="1:4" x14ac:dyDescent="0.2">
      <c r="A2804">
        <v>3693301</v>
      </c>
      <c r="B2804">
        <v>30064</v>
      </c>
      <c r="C2804">
        <v>302391</v>
      </c>
      <c r="D2804">
        <v>21883</v>
      </c>
    </row>
    <row r="2805" spans="1:4" x14ac:dyDescent="0.2">
      <c r="A2805">
        <v>3693301</v>
      </c>
      <c r="B2805">
        <v>30065</v>
      </c>
      <c r="C2805">
        <v>302370</v>
      </c>
      <c r="D2805">
        <v>21883</v>
      </c>
    </row>
    <row r="2806" spans="1:4" x14ac:dyDescent="0.2">
      <c r="A2806">
        <v>3693301</v>
      </c>
      <c r="B2806">
        <v>30066</v>
      </c>
      <c r="C2806">
        <v>302438</v>
      </c>
      <c r="D2806">
        <v>21883</v>
      </c>
    </row>
    <row r="2807" spans="1:4" x14ac:dyDescent="0.2">
      <c r="A2807">
        <v>3693301</v>
      </c>
      <c r="B2807">
        <v>30069</v>
      </c>
      <c r="C2807">
        <v>302446</v>
      </c>
      <c r="D2807">
        <v>21883</v>
      </c>
    </row>
    <row r="2808" spans="1:4" x14ac:dyDescent="0.2">
      <c r="A2808">
        <v>3693302</v>
      </c>
      <c r="B2808">
        <v>30063</v>
      </c>
      <c r="C2808">
        <v>302358</v>
      </c>
      <c r="D2808">
        <v>21883</v>
      </c>
    </row>
    <row r="2809" spans="1:4" x14ac:dyDescent="0.2">
      <c r="A2809">
        <v>3693302</v>
      </c>
      <c r="B2809">
        <v>30064</v>
      </c>
      <c r="C2809">
        <v>302391</v>
      </c>
      <c r="D2809">
        <v>21883</v>
      </c>
    </row>
    <row r="2810" spans="1:4" x14ac:dyDescent="0.2">
      <c r="A2810">
        <v>3693302</v>
      </c>
      <c r="B2810">
        <v>30065</v>
      </c>
      <c r="C2810">
        <v>302370</v>
      </c>
      <c r="D2810">
        <v>21883</v>
      </c>
    </row>
    <row r="2811" spans="1:4" x14ac:dyDescent="0.2">
      <c r="A2811">
        <v>3693302</v>
      </c>
      <c r="B2811">
        <v>30066</v>
      </c>
      <c r="C2811">
        <v>302438</v>
      </c>
      <c r="D2811">
        <v>21883</v>
      </c>
    </row>
    <row r="2812" spans="1:4" x14ac:dyDescent="0.2">
      <c r="A2812">
        <v>3693302</v>
      </c>
      <c r="B2812">
        <v>30069</v>
      </c>
      <c r="C2812">
        <v>302446</v>
      </c>
      <c r="D2812">
        <v>21883</v>
      </c>
    </row>
    <row r="2813" spans="1:4" x14ac:dyDescent="0.2">
      <c r="A2813">
        <v>3693303</v>
      </c>
      <c r="B2813">
        <v>30063</v>
      </c>
      <c r="C2813">
        <v>302358</v>
      </c>
      <c r="D2813">
        <v>21883</v>
      </c>
    </row>
    <row r="2814" spans="1:4" x14ac:dyDescent="0.2">
      <c r="A2814">
        <v>3693303</v>
      </c>
      <c r="B2814">
        <v>30064</v>
      </c>
      <c r="C2814">
        <v>302391</v>
      </c>
      <c r="D2814">
        <v>21883</v>
      </c>
    </row>
    <row r="2815" spans="1:4" x14ac:dyDescent="0.2">
      <c r="A2815">
        <v>3693303</v>
      </c>
      <c r="B2815">
        <v>30065</v>
      </c>
      <c r="C2815">
        <v>302370</v>
      </c>
      <c r="D2815">
        <v>21883</v>
      </c>
    </row>
    <row r="2816" spans="1:4" x14ac:dyDescent="0.2">
      <c r="A2816">
        <v>3693303</v>
      </c>
      <c r="B2816">
        <v>30066</v>
      </c>
      <c r="C2816">
        <v>302438</v>
      </c>
      <c r="D2816">
        <v>21883</v>
      </c>
    </row>
    <row r="2817" spans="1:4" x14ac:dyDescent="0.2">
      <c r="A2817">
        <v>3693303</v>
      </c>
      <c r="B2817">
        <v>30069</v>
      </c>
      <c r="C2817">
        <v>302446</v>
      </c>
      <c r="D2817">
        <v>21883</v>
      </c>
    </row>
    <row r="2818" spans="1:4" x14ac:dyDescent="0.2">
      <c r="A2818">
        <v>3693304</v>
      </c>
      <c r="B2818">
        <v>30063</v>
      </c>
      <c r="C2818">
        <v>302358</v>
      </c>
      <c r="D2818">
        <v>21883</v>
      </c>
    </row>
    <row r="2819" spans="1:4" x14ac:dyDescent="0.2">
      <c r="A2819">
        <v>3693304</v>
      </c>
      <c r="B2819">
        <v>30064</v>
      </c>
      <c r="C2819">
        <v>302391</v>
      </c>
      <c r="D2819">
        <v>21883</v>
      </c>
    </row>
    <row r="2820" spans="1:4" x14ac:dyDescent="0.2">
      <c r="A2820">
        <v>3693304</v>
      </c>
      <c r="B2820">
        <v>30065</v>
      </c>
      <c r="C2820">
        <v>302370</v>
      </c>
      <c r="D2820">
        <v>21883</v>
      </c>
    </row>
    <row r="2821" spans="1:4" x14ac:dyDescent="0.2">
      <c r="A2821">
        <v>3693304</v>
      </c>
      <c r="B2821">
        <v>30066</v>
      </c>
      <c r="C2821">
        <v>302438</v>
      </c>
      <c r="D2821">
        <v>21883</v>
      </c>
    </row>
    <row r="2822" spans="1:4" x14ac:dyDescent="0.2">
      <c r="A2822">
        <v>3693304</v>
      </c>
      <c r="B2822">
        <v>30069</v>
      </c>
      <c r="C2822">
        <v>302446</v>
      </c>
      <c r="D2822">
        <v>21883</v>
      </c>
    </row>
    <row r="2823" spans="1:4" x14ac:dyDescent="0.2">
      <c r="A2823">
        <v>3693305</v>
      </c>
      <c r="B2823">
        <v>30063</v>
      </c>
      <c r="C2823">
        <v>302358</v>
      </c>
      <c r="D2823">
        <v>21883</v>
      </c>
    </row>
    <row r="2824" spans="1:4" x14ac:dyDescent="0.2">
      <c r="A2824">
        <v>3693305</v>
      </c>
      <c r="B2824">
        <v>30064</v>
      </c>
      <c r="C2824">
        <v>302391</v>
      </c>
      <c r="D2824">
        <v>21883</v>
      </c>
    </row>
    <row r="2825" spans="1:4" x14ac:dyDescent="0.2">
      <c r="A2825">
        <v>3693305</v>
      </c>
      <c r="B2825">
        <v>30065</v>
      </c>
      <c r="C2825">
        <v>302370</v>
      </c>
      <c r="D2825">
        <v>21883</v>
      </c>
    </row>
    <row r="2826" spans="1:4" x14ac:dyDescent="0.2">
      <c r="A2826">
        <v>3693305</v>
      </c>
      <c r="B2826">
        <v>30066</v>
      </c>
      <c r="C2826">
        <v>302438</v>
      </c>
      <c r="D2826">
        <v>21883</v>
      </c>
    </row>
    <row r="2827" spans="1:4" x14ac:dyDescent="0.2">
      <c r="A2827">
        <v>3693305</v>
      </c>
      <c r="B2827">
        <v>30069</v>
      </c>
      <c r="C2827">
        <v>302446</v>
      </c>
      <c r="D2827">
        <v>21883</v>
      </c>
    </row>
    <row r="2828" spans="1:4" x14ac:dyDescent="0.2">
      <c r="A2828">
        <v>3693306</v>
      </c>
      <c r="B2828">
        <v>30063</v>
      </c>
      <c r="C2828">
        <v>302358</v>
      </c>
      <c r="D2828">
        <v>21883</v>
      </c>
    </row>
    <row r="2829" spans="1:4" x14ac:dyDescent="0.2">
      <c r="A2829">
        <v>3693306</v>
      </c>
      <c r="B2829">
        <v>30064</v>
      </c>
      <c r="C2829">
        <v>302395</v>
      </c>
      <c r="D2829">
        <v>21883</v>
      </c>
    </row>
    <row r="2830" spans="1:4" x14ac:dyDescent="0.2">
      <c r="A2830">
        <v>3693306</v>
      </c>
      <c r="B2830">
        <v>30065</v>
      </c>
      <c r="C2830">
        <v>302370</v>
      </c>
      <c r="D2830">
        <v>21883</v>
      </c>
    </row>
    <row r="2831" spans="1:4" x14ac:dyDescent="0.2">
      <c r="A2831">
        <v>3693306</v>
      </c>
      <c r="B2831">
        <v>30066</v>
      </c>
      <c r="C2831">
        <v>302438</v>
      </c>
      <c r="D2831">
        <v>21883</v>
      </c>
    </row>
    <row r="2832" spans="1:4" x14ac:dyDescent="0.2">
      <c r="A2832">
        <v>3693306</v>
      </c>
      <c r="B2832">
        <v>30069</v>
      </c>
      <c r="C2832">
        <v>302446</v>
      </c>
      <c r="D2832">
        <v>21883</v>
      </c>
    </row>
    <row r="2833" spans="1:4" x14ac:dyDescent="0.2">
      <c r="A2833">
        <v>3693307</v>
      </c>
      <c r="B2833">
        <v>30063</v>
      </c>
      <c r="C2833">
        <v>302358</v>
      </c>
      <c r="D2833">
        <v>21883</v>
      </c>
    </row>
    <row r="2834" spans="1:4" x14ac:dyDescent="0.2">
      <c r="A2834">
        <v>3693307</v>
      </c>
      <c r="B2834">
        <v>30064</v>
      </c>
      <c r="C2834">
        <v>302395</v>
      </c>
      <c r="D2834">
        <v>21883</v>
      </c>
    </row>
    <row r="2835" spans="1:4" x14ac:dyDescent="0.2">
      <c r="A2835">
        <v>3693307</v>
      </c>
      <c r="B2835">
        <v>30065</v>
      </c>
      <c r="C2835">
        <v>302370</v>
      </c>
      <c r="D2835">
        <v>21883</v>
      </c>
    </row>
    <row r="2836" spans="1:4" x14ac:dyDescent="0.2">
      <c r="A2836">
        <v>3693307</v>
      </c>
      <c r="B2836">
        <v>30066</v>
      </c>
      <c r="C2836">
        <v>302438</v>
      </c>
      <c r="D2836">
        <v>21883</v>
      </c>
    </row>
    <row r="2837" spans="1:4" x14ac:dyDescent="0.2">
      <c r="A2837">
        <v>3693307</v>
      </c>
      <c r="B2837">
        <v>30069</v>
      </c>
      <c r="C2837">
        <v>302446</v>
      </c>
      <c r="D2837">
        <v>21883</v>
      </c>
    </row>
    <row r="2838" spans="1:4" x14ac:dyDescent="0.2">
      <c r="A2838">
        <v>3693308</v>
      </c>
      <c r="B2838">
        <v>30063</v>
      </c>
      <c r="C2838">
        <v>302358</v>
      </c>
      <c r="D2838">
        <v>21883</v>
      </c>
    </row>
    <row r="2839" spans="1:4" x14ac:dyDescent="0.2">
      <c r="A2839">
        <v>3693308</v>
      </c>
      <c r="B2839">
        <v>30064</v>
      </c>
      <c r="C2839">
        <v>302391</v>
      </c>
      <c r="D2839">
        <v>21883</v>
      </c>
    </row>
    <row r="2840" spans="1:4" x14ac:dyDescent="0.2">
      <c r="A2840">
        <v>3693308</v>
      </c>
      <c r="B2840">
        <v>30065</v>
      </c>
      <c r="C2840">
        <v>302370</v>
      </c>
      <c r="D2840">
        <v>21883</v>
      </c>
    </row>
    <row r="2841" spans="1:4" x14ac:dyDescent="0.2">
      <c r="A2841">
        <v>3693308</v>
      </c>
      <c r="B2841">
        <v>30066</v>
      </c>
      <c r="C2841">
        <v>302438</v>
      </c>
      <c r="D2841">
        <v>21883</v>
      </c>
    </row>
    <row r="2842" spans="1:4" x14ac:dyDescent="0.2">
      <c r="A2842">
        <v>3693308</v>
      </c>
      <c r="B2842">
        <v>30069</v>
      </c>
      <c r="C2842">
        <v>302446</v>
      </c>
      <c r="D2842">
        <v>21883</v>
      </c>
    </row>
    <row r="2843" spans="1:4" x14ac:dyDescent="0.2">
      <c r="A2843">
        <v>3693309</v>
      </c>
      <c r="B2843">
        <v>30063</v>
      </c>
      <c r="C2843">
        <v>302358</v>
      </c>
      <c r="D2843">
        <v>21883</v>
      </c>
    </row>
    <row r="2844" spans="1:4" x14ac:dyDescent="0.2">
      <c r="A2844">
        <v>3693309</v>
      </c>
      <c r="B2844">
        <v>30064</v>
      </c>
      <c r="C2844">
        <v>302391</v>
      </c>
      <c r="D2844">
        <v>21883</v>
      </c>
    </row>
    <row r="2845" spans="1:4" x14ac:dyDescent="0.2">
      <c r="A2845">
        <v>3693309</v>
      </c>
      <c r="B2845">
        <v>30065</v>
      </c>
      <c r="C2845">
        <v>302370</v>
      </c>
      <c r="D2845">
        <v>21883</v>
      </c>
    </row>
    <row r="2846" spans="1:4" x14ac:dyDescent="0.2">
      <c r="A2846">
        <v>3693309</v>
      </c>
      <c r="B2846">
        <v>30066</v>
      </c>
      <c r="C2846">
        <v>302438</v>
      </c>
      <c r="D2846">
        <v>21883</v>
      </c>
    </row>
    <row r="2847" spans="1:4" x14ac:dyDescent="0.2">
      <c r="A2847">
        <v>3693309</v>
      </c>
      <c r="B2847">
        <v>30069</v>
      </c>
      <c r="C2847">
        <v>302446</v>
      </c>
      <c r="D2847">
        <v>21883</v>
      </c>
    </row>
    <row r="2848" spans="1:4" x14ac:dyDescent="0.2">
      <c r="A2848">
        <v>3693310</v>
      </c>
      <c r="B2848">
        <v>30063</v>
      </c>
      <c r="C2848">
        <v>302358</v>
      </c>
      <c r="D2848">
        <v>21883</v>
      </c>
    </row>
    <row r="2849" spans="1:4" x14ac:dyDescent="0.2">
      <c r="A2849">
        <v>3693310</v>
      </c>
      <c r="B2849">
        <v>30064</v>
      </c>
      <c r="C2849">
        <v>302391</v>
      </c>
      <c r="D2849">
        <v>21883</v>
      </c>
    </row>
    <row r="2850" spans="1:4" x14ac:dyDescent="0.2">
      <c r="A2850">
        <v>3693310</v>
      </c>
      <c r="B2850">
        <v>30065</v>
      </c>
      <c r="C2850">
        <v>302370</v>
      </c>
      <c r="D2850">
        <v>21883</v>
      </c>
    </row>
    <row r="2851" spans="1:4" x14ac:dyDescent="0.2">
      <c r="A2851">
        <v>3693310</v>
      </c>
      <c r="B2851">
        <v>30066</v>
      </c>
      <c r="C2851">
        <v>302438</v>
      </c>
      <c r="D2851">
        <v>21883</v>
      </c>
    </row>
    <row r="2852" spans="1:4" x14ac:dyDescent="0.2">
      <c r="A2852">
        <v>3693310</v>
      </c>
      <c r="B2852">
        <v>30069</v>
      </c>
      <c r="C2852">
        <v>302446</v>
      </c>
      <c r="D2852">
        <v>21883</v>
      </c>
    </row>
    <row r="2853" spans="1:4" x14ac:dyDescent="0.2">
      <c r="A2853">
        <v>3693311</v>
      </c>
      <c r="B2853">
        <v>30063</v>
      </c>
      <c r="C2853">
        <v>302358</v>
      </c>
      <c r="D2853">
        <v>21883</v>
      </c>
    </row>
    <row r="2854" spans="1:4" x14ac:dyDescent="0.2">
      <c r="A2854">
        <v>3693311</v>
      </c>
      <c r="B2854">
        <v>30064</v>
      </c>
      <c r="C2854">
        <v>302391</v>
      </c>
      <c r="D2854">
        <v>21883</v>
      </c>
    </row>
    <row r="2855" spans="1:4" x14ac:dyDescent="0.2">
      <c r="A2855">
        <v>3693311</v>
      </c>
      <c r="B2855">
        <v>30065</v>
      </c>
      <c r="C2855">
        <v>302370</v>
      </c>
      <c r="D2855">
        <v>21883</v>
      </c>
    </row>
    <row r="2856" spans="1:4" x14ac:dyDescent="0.2">
      <c r="A2856">
        <v>3693311</v>
      </c>
      <c r="B2856">
        <v>30066</v>
      </c>
      <c r="C2856">
        <v>302438</v>
      </c>
      <c r="D2856">
        <v>21883</v>
      </c>
    </row>
    <row r="2857" spans="1:4" x14ac:dyDescent="0.2">
      <c r="A2857">
        <v>3693311</v>
      </c>
      <c r="B2857">
        <v>30069</v>
      </c>
      <c r="C2857">
        <v>302446</v>
      </c>
      <c r="D2857">
        <v>21883</v>
      </c>
    </row>
    <row r="2858" spans="1:4" x14ac:dyDescent="0.2">
      <c r="A2858">
        <v>3693312</v>
      </c>
      <c r="B2858">
        <v>30063</v>
      </c>
      <c r="C2858">
        <v>302358</v>
      </c>
      <c r="D2858">
        <v>21883</v>
      </c>
    </row>
    <row r="2859" spans="1:4" x14ac:dyDescent="0.2">
      <c r="A2859">
        <v>3693312</v>
      </c>
      <c r="B2859">
        <v>30064</v>
      </c>
      <c r="C2859">
        <v>302395</v>
      </c>
      <c r="D2859">
        <v>21883</v>
      </c>
    </row>
    <row r="2860" spans="1:4" x14ac:dyDescent="0.2">
      <c r="A2860">
        <v>3693312</v>
      </c>
      <c r="B2860">
        <v>30065</v>
      </c>
      <c r="C2860">
        <v>302370</v>
      </c>
      <c r="D2860">
        <v>21883</v>
      </c>
    </row>
    <row r="2861" spans="1:4" x14ac:dyDescent="0.2">
      <c r="A2861">
        <v>3693312</v>
      </c>
      <c r="B2861">
        <v>30066</v>
      </c>
      <c r="C2861">
        <v>302438</v>
      </c>
      <c r="D2861">
        <v>21883</v>
      </c>
    </row>
    <row r="2862" spans="1:4" x14ac:dyDescent="0.2">
      <c r="A2862">
        <v>3693312</v>
      </c>
      <c r="B2862">
        <v>30069</v>
      </c>
      <c r="C2862">
        <v>302446</v>
      </c>
      <c r="D2862">
        <v>21883</v>
      </c>
    </row>
    <row r="2863" spans="1:4" x14ac:dyDescent="0.2">
      <c r="A2863">
        <v>3693313</v>
      </c>
      <c r="B2863">
        <v>30063</v>
      </c>
      <c r="C2863">
        <v>302358</v>
      </c>
      <c r="D2863">
        <v>21883</v>
      </c>
    </row>
    <row r="2864" spans="1:4" x14ac:dyDescent="0.2">
      <c r="A2864">
        <v>3693313</v>
      </c>
      <c r="B2864">
        <v>30064</v>
      </c>
      <c r="C2864">
        <v>302395</v>
      </c>
      <c r="D2864">
        <v>21883</v>
      </c>
    </row>
    <row r="2865" spans="1:4" x14ac:dyDescent="0.2">
      <c r="A2865">
        <v>3693313</v>
      </c>
      <c r="B2865">
        <v>30065</v>
      </c>
      <c r="C2865">
        <v>302370</v>
      </c>
      <c r="D2865">
        <v>21883</v>
      </c>
    </row>
    <row r="2866" spans="1:4" x14ac:dyDescent="0.2">
      <c r="A2866">
        <v>3693313</v>
      </c>
      <c r="B2866">
        <v>30066</v>
      </c>
      <c r="C2866">
        <v>302438</v>
      </c>
      <c r="D2866">
        <v>21883</v>
      </c>
    </row>
    <row r="2867" spans="1:4" x14ac:dyDescent="0.2">
      <c r="A2867">
        <v>3693313</v>
      </c>
      <c r="B2867">
        <v>30069</v>
      </c>
      <c r="C2867">
        <v>302446</v>
      </c>
      <c r="D2867">
        <v>21883</v>
      </c>
    </row>
    <row r="2868" spans="1:4" x14ac:dyDescent="0.2">
      <c r="A2868">
        <v>3693314</v>
      </c>
      <c r="B2868">
        <v>30063</v>
      </c>
      <c r="C2868">
        <v>302358</v>
      </c>
      <c r="D2868">
        <v>21883</v>
      </c>
    </row>
    <row r="2869" spans="1:4" x14ac:dyDescent="0.2">
      <c r="A2869">
        <v>3693314</v>
      </c>
      <c r="B2869">
        <v>30064</v>
      </c>
      <c r="C2869">
        <v>302395</v>
      </c>
      <c r="D2869">
        <v>21883</v>
      </c>
    </row>
    <row r="2870" spans="1:4" x14ac:dyDescent="0.2">
      <c r="A2870">
        <v>3693314</v>
      </c>
      <c r="B2870">
        <v>30065</v>
      </c>
      <c r="C2870">
        <v>302370</v>
      </c>
      <c r="D2870">
        <v>21883</v>
      </c>
    </row>
    <row r="2871" spans="1:4" x14ac:dyDescent="0.2">
      <c r="A2871">
        <v>3693314</v>
      </c>
      <c r="B2871">
        <v>30066</v>
      </c>
      <c r="C2871">
        <v>302438</v>
      </c>
      <c r="D2871">
        <v>21883</v>
      </c>
    </row>
    <row r="2872" spans="1:4" x14ac:dyDescent="0.2">
      <c r="A2872">
        <v>3693314</v>
      </c>
      <c r="B2872">
        <v>30069</v>
      </c>
      <c r="C2872">
        <v>302446</v>
      </c>
      <c r="D2872">
        <v>21883</v>
      </c>
    </row>
    <row r="2873" spans="1:4" x14ac:dyDescent="0.2">
      <c r="A2873">
        <v>3693315</v>
      </c>
      <c r="B2873">
        <v>30063</v>
      </c>
      <c r="C2873">
        <v>302358</v>
      </c>
      <c r="D2873">
        <v>21883</v>
      </c>
    </row>
    <row r="2874" spans="1:4" x14ac:dyDescent="0.2">
      <c r="A2874">
        <v>3693315</v>
      </c>
      <c r="B2874">
        <v>30064</v>
      </c>
      <c r="C2874">
        <v>302395</v>
      </c>
      <c r="D2874">
        <v>21883</v>
      </c>
    </row>
    <row r="2875" spans="1:4" x14ac:dyDescent="0.2">
      <c r="A2875">
        <v>3693315</v>
      </c>
      <c r="B2875">
        <v>30065</v>
      </c>
      <c r="C2875">
        <v>302370</v>
      </c>
      <c r="D2875">
        <v>21883</v>
      </c>
    </row>
    <row r="2876" spans="1:4" x14ac:dyDescent="0.2">
      <c r="A2876">
        <v>3693315</v>
      </c>
      <c r="B2876">
        <v>30066</v>
      </c>
      <c r="C2876">
        <v>302438</v>
      </c>
      <c r="D2876">
        <v>21883</v>
      </c>
    </row>
    <row r="2877" spans="1:4" x14ac:dyDescent="0.2">
      <c r="A2877">
        <v>3693315</v>
      </c>
      <c r="B2877">
        <v>30069</v>
      </c>
      <c r="C2877">
        <v>302446</v>
      </c>
      <c r="D2877">
        <v>21883</v>
      </c>
    </row>
    <row r="2878" spans="1:4" x14ac:dyDescent="0.2">
      <c r="A2878">
        <v>3693316</v>
      </c>
      <c r="B2878">
        <v>30063</v>
      </c>
      <c r="C2878">
        <v>302358</v>
      </c>
      <c r="D2878">
        <v>21883</v>
      </c>
    </row>
    <row r="2879" spans="1:4" x14ac:dyDescent="0.2">
      <c r="A2879">
        <v>3693316</v>
      </c>
      <c r="B2879">
        <v>30064</v>
      </c>
      <c r="C2879">
        <v>302391</v>
      </c>
      <c r="D2879">
        <v>21883</v>
      </c>
    </row>
    <row r="2880" spans="1:4" x14ac:dyDescent="0.2">
      <c r="A2880">
        <v>3693316</v>
      </c>
      <c r="B2880">
        <v>30065</v>
      </c>
      <c r="C2880">
        <v>302370</v>
      </c>
      <c r="D2880">
        <v>21883</v>
      </c>
    </row>
    <row r="2881" spans="1:4" x14ac:dyDescent="0.2">
      <c r="A2881">
        <v>3693316</v>
      </c>
      <c r="B2881">
        <v>30066</v>
      </c>
      <c r="C2881">
        <v>302438</v>
      </c>
      <c r="D2881">
        <v>21883</v>
      </c>
    </row>
    <row r="2882" spans="1:4" x14ac:dyDescent="0.2">
      <c r="A2882">
        <v>3693316</v>
      </c>
      <c r="B2882">
        <v>30069</v>
      </c>
      <c r="C2882">
        <v>302446</v>
      </c>
      <c r="D2882">
        <v>21883</v>
      </c>
    </row>
    <row r="2883" spans="1:4" x14ac:dyDescent="0.2">
      <c r="A2883">
        <v>3693317</v>
      </c>
      <c r="B2883">
        <v>30063</v>
      </c>
      <c r="C2883">
        <v>302358</v>
      </c>
      <c r="D2883">
        <v>21883</v>
      </c>
    </row>
    <row r="2884" spans="1:4" x14ac:dyDescent="0.2">
      <c r="A2884">
        <v>3693317</v>
      </c>
      <c r="B2884">
        <v>30064</v>
      </c>
      <c r="C2884">
        <v>302391</v>
      </c>
      <c r="D2884">
        <v>21883</v>
      </c>
    </row>
    <row r="2885" spans="1:4" x14ac:dyDescent="0.2">
      <c r="A2885">
        <v>3693317</v>
      </c>
      <c r="B2885">
        <v>30065</v>
      </c>
      <c r="C2885">
        <v>302370</v>
      </c>
      <c r="D2885">
        <v>21883</v>
      </c>
    </row>
    <row r="2886" spans="1:4" x14ac:dyDescent="0.2">
      <c r="A2886">
        <v>3693317</v>
      </c>
      <c r="B2886">
        <v>30066</v>
      </c>
      <c r="C2886">
        <v>302438</v>
      </c>
      <c r="D2886">
        <v>21883</v>
      </c>
    </row>
    <row r="2887" spans="1:4" x14ac:dyDescent="0.2">
      <c r="A2887">
        <v>3693317</v>
      </c>
      <c r="B2887">
        <v>30069</v>
      </c>
      <c r="C2887">
        <v>302446</v>
      </c>
      <c r="D2887">
        <v>21883</v>
      </c>
    </row>
    <row r="2888" spans="1:4" x14ac:dyDescent="0.2">
      <c r="A2888">
        <v>3693318</v>
      </c>
      <c r="B2888">
        <v>30063</v>
      </c>
      <c r="C2888">
        <v>302358</v>
      </c>
      <c r="D2888">
        <v>21883</v>
      </c>
    </row>
    <row r="2889" spans="1:4" x14ac:dyDescent="0.2">
      <c r="A2889">
        <v>3693318</v>
      </c>
      <c r="B2889">
        <v>30064</v>
      </c>
      <c r="C2889">
        <v>302391</v>
      </c>
      <c r="D2889">
        <v>21883</v>
      </c>
    </row>
    <row r="2890" spans="1:4" x14ac:dyDescent="0.2">
      <c r="A2890">
        <v>3693318</v>
      </c>
      <c r="B2890">
        <v>30065</v>
      </c>
      <c r="C2890">
        <v>302370</v>
      </c>
      <c r="D2890">
        <v>21883</v>
      </c>
    </row>
    <row r="2891" spans="1:4" x14ac:dyDescent="0.2">
      <c r="A2891">
        <v>3693318</v>
      </c>
      <c r="B2891">
        <v>30066</v>
      </c>
      <c r="C2891">
        <v>302438</v>
      </c>
      <c r="D2891">
        <v>21883</v>
      </c>
    </row>
    <row r="2892" spans="1:4" x14ac:dyDescent="0.2">
      <c r="A2892">
        <v>3693318</v>
      </c>
      <c r="B2892">
        <v>30069</v>
      </c>
      <c r="C2892">
        <v>302446</v>
      </c>
      <c r="D2892">
        <v>21883</v>
      </c>
    </row>
    <row r="2893" spans="1:4" x14ac:dyDescent="0.2">
      <c r="A2893">
        <v>3693319</v>
      </c>
      <c r="B2893">
        <v>30063</v>
      </c>
      <c r="C2893">
        <v>302356</v>
      </c>
      <c r="D2893">
        <v>21883</v>
      </c>
    </row>
    <row r="2894" spans="1:4" x14ac:dyDescent="0.2">
      <c r="A2894">
        <v>3693319</v>
      </c>
      <c r="B2894">
        <v>30064</v>
      </c>
      <c r="C2894">
        <v>302388</v>
      </c>
      <c r="D2894">
        <v>21883</v>
      </c>
    </row>
    <row r="2895" spans="1:4" x14ac:dyDescent="0.2">
      <c r="A2895">
        <v>3693319</v>
      </c>
      <c r="B2895">
        <v>30065</v>
      </c>
      <c r="C2895">
        <v>302371</v>
      </c>
      <c r="D2895">
        <v>21883</v>
      </c>
    </row>
    <row r="2896" spans="1:4" x14ac:dyDescent="0.2">
      <c r="A2896">
        <v>3693319</v>
      </c>
      <c r="B2896">
        <v>30066</v>
      </c>
      <c r="C2896">
        <v>302400</v>
      </c>
      <c r="D2896">
        <v>21883</v>
      </c>
    </row>
    <row r="2897" spans="1:4" x14ac:dyDescent="0.2">
      <c r="A2897">
        <v>3693320</v>
      </c>
      <c r="B2897">
        <v>30063</v>
      </c>
      <c r="C2897">
        <v>302356</v>
      </c>
      <c r="D2897">
        <v>21883</v>
      </c>
    </row>
    <row r="2898" spans="1:4" x14ac:dyDescent="0.2">
      <c r="A2898">
        <v>3693320</v>
      </c>
      <c r="B2898">
        <v>30064</v>
      </c>
      <c r="C2898">
        <v>302388</v>
      </c>
      <c r="D2898">
        <v>21883</v>
      </c>
    </row>
    <row r="2899" spans="1:4" x14ac:dyDescent="0.2">
      <c r="A2899">
        <v>3693320</v>
      </c>
      <c r="B2899">
        <v>30065</v>
      </c>
      <c r="C2899">
        <v>302371</v>
      </c>
      <c r="D2899">
        <v>21883</v>
      </c>
    </row>
    <row r="2900" spans="1:4" x14ac:dyDescent="0.2">
      <c r="A2900">
        <v>3693320</v>
      </c>
      <c r="B2900">
        <v>30066</v>
      </c>
      <c r="C2900">
        <v>302400</v>
      </c>
      <c r="D2900">
        <v>21883</v>
      </c>
    </row>
    <row r="2901" spans="1:4" x14ac:dyDescent="0.2">
      <c r="A2901">
        <v>3693321</v>
      </c>
      <c r="B2901">
        <v>30063</v>
      </c>
      <c r="C2901">
        <v>302356</v>
      </c>
      <c r="D2901">
        <v>21883</v>
      </c>
    </row>
    <row r="2902" spans="1:4" x14ac:dyDescent="0.2">
      <c r="A2902">
        <v>3693321</v>
      </c>
      <c r="B2902">
        <v>30064</v>
      </c>
      <c r="C2902">
        <v>302388</v>
      </c>
      <c r="D2902">
        <v>21883</v>
      </c>
    </row>
    <row r="2903" spans="1:4" x14ac:dyDescent="0.2">
      <c r="A2903">
        <v>3693321</v>
      </c>
      <c r="B2903">
        <v>30065</v>
      </c>
      <c r="C2903">
        <v>302371</v>
      </c>
      <c r="D2903">
        <v>21883</v>
      </c>
    </row>
    <row r="2904" spans="1:4" x14ac:dyDescent="0.2">
      <c r="A2904">
        <v>3693321</v>
      </c>
      <c r="B2904">
        <v>30066</v>
      </c>
      <c r="C2904">
        <v>302400</v>
      </c>
      <c r="D2904">
        <v>21883</v>
      </c>
    </row>
    <row r="2905" spans="1:4" x14ac:dyDescent="0.2">
      <c r="A2905">
        <v>3693322</v>
      </c>
      <c r="B2905">
        <v>30063</v>
      </c>
      <c r="C2905">
        <v>302353</v>
      </c>
      <c r="D2905">
        <v>21883</v>
      </c>
    </row>
    <row r="2906" spans="1:4" x14ac:dyDescent="0.2">
      <c r="A2906">
        <v>3693322</v>
      </c>
      <c r="B2906">
        <v>30064</v>
      </c>
      <c r="C2906">
        <v>302389</v>
      </c>
      <c r="D2906">
        <v>21883</v>
      </c>
    </row>
    <row r="2907" spans="1:4" x14ac:dyDescent="0.2">
      <c r="A2907">
        <v>3693322</v>
      </c>
      <c r="B2907">
        <v>30065</v>
      </c>
      <c r="C2907">
        <v>302371</v>
      </c>
      <c r="D2907">
        <v>21883</v>
      </c>
    </row>
    <row r="2908" spans="1:4" x14ac:dyDescent="0.2">
      <c r="A2908">
        <v>3693322</v>
      </c>
      <c r="B2908">
        <v>30066</v>
      </c>
      <c r="C2908">
        <v>302438</v>
      </c>
      <c r="D2908">
        <v>21883</v>
      </c>
    </row>
    <row r="2909" spans="1:4" x14ac:dyDescent="0.2">
      <c r="A2909">
        <v>3693322</v>
      </c>
      <c r="B2909">
        <v>30069</v>
      </c>
      <c r="C2909">
        <v>302440</v>
      </c>
      <c r="D2909">
        <v>21883</v>
      </c>
    </row>
    <row r="2910" spans="1:4" x14ac:dyDescent="0.2">
      <c r="A2910">
        <v>3693323</v>
      </c>
      <c r="B2910">
        <v>30061</v>
      </c>
      <c r="C2910">
        <v>302338</v>
      </c>
      <c r="D2910">
        <v>21883</v>
      </c>
    </row>
    <row r="2911" spans="1:4" x14ac:dyDescent="0.2">
      <c r="A2911">
        <v>3693323</v>
      </c>
      <c r="B2911">
        <v>30062</v>
      </c>
      <c r="C2911">
        <v>302355</v>
      </c>
      <c r="D2911">
        <v>21883</v>
      </c>
    </row>
    <row r="2912" spans="1:4" x14ac:dyDescent="0.2">
      <c r="A2912">
        <v>3693323</v>
      </c>
      <c r="B2912">
        <v>30063</v>
      </c>
      <c r="C2912">
        <v>302353</v>
      </c>
      <c r="D2912">
        <v>21883</v>
      </c>
    </row>
    <row r="2913" spans="1:4" x14ac:dyDescent="0.2">
      <c r="A2913">
        <v>3693323</v>
      </c>
      <c r="B2913">
        <v>30064</v>
      </c>
      <c r="C2913">
        <v>302389</v>
      </c>
      <c r="D2913">
        <v>21883</v>
      </c>
    </row>
    <row r="2914" spans="1:4" x14ac:dyDescent="0.2">
      <c r="A2914">
        <v>3693323</v>
      </c>
      <c r="B2914">
        <v>30065</v>
      </c>
      <c r="C2914">
        <v>302371</v>
      </c>
      <c r="D2914">
        <v>21883</v>
      </c>
    </row>
    <row r="2915" spans="1:4" x14ac:dyDescent="0.2">
      <c r="A2915">
        <v>3693323</v>
      </c>
      <c r="B2915">
        <v>30066</v>
      </c>
      <c r="C2915">
        <v>302438</v>
      </c>
      <c r="D2915">
        <v>21883</v>
      </c>
    </row>
    <row r="2916" spans="1:4" x14ac:dyDescent="0.2">
      <c r="A2916">
        <v>3693323</v>
      </c>
      <c r="B2916">
        <v>30069</v>
      </c>
      <c r="C2916">
        <v>302440</v>
      </c>
      <c r="D2916">
        <v>21883</v>
      </c>
    </row>
    <row r="2917" spans="1:4" x14ac:dyDescent="0.2">
      <c r="A2917">
        <v>3693324</v>
      </c>
      <c r="B2917">
        <v>30061</v>
      </c>
      <c r="C2917">
        <v>302338</v>
      </c>
      <c r="D2917">
        <v>21883</v>
      </c>
    </row>
    <row r="2918" spans="1:4" x14ac:dyDescent="0.2">
      <c r="A2918">
        <v>3693324</v>
      </c>
      <c r="B2918">
        <v>30062</v>
      </c>
      <c r="C2918">
        <v>302355</v>
      </c>
      <c r="D2918">
        <v>21883</v>
      </c>
    </row>
    <row r="2919" spans="1:4" x14ac:dyDescent="0.2">
      <c r="A2919">
        <v>3693324</v>
      </c>
      <c r="B2919">
        <v>30063</v>
      </c>
      <c r="C2919">
        <v>302353</v>
      </c>
      <c r="D2919">
        <v>21883</v>
      </c>
    </row>
    <row r="2920" spans="1:4" x14ac:dyDescent="0.2">
      <c r="A2920">
        <v>3693324</v>
      </c>
      <c r="B2920">
        <v>30064</v>
      </c>
      <c r="C2920">
        <v>302389</v>
      </c>
      <c r="D2920">
        <v>21883</v>
      </c>
    </row>
    <row r="2921" spans="1:4" x14ac:dyDescent="0.2">
      <c r="A2921">
        <v>3693324</v>
      </c>
      <c r="B2921">
        <v>30065</v>
      </c>
      <c r="C2921">
        <v>302372</v>
      </c>
      <c r="D2921">
        <v>21883</v>
      </c>
    </row>
    <row r="2922" spans="1:4" x14ac:dyDescent="0.2">
      <c r="A2922">
        <v>3693324</v>
      </c>
      <c r="B2922">
        <v>30066</v>
      </c>
      <c r="C2922">
        <v>302438</v>
      </c>
      <c r="D2922">
        <v>21883</v>
      </c>
    </row>
    <row r="2923" spans="1:4" x14ac:dyDescent="0.2">
      <c r="A2923">
        <v>3693325</v>
      </c>
      <c r="B2923">
        <v>30061</v>
      </c>
      <c r="C2923">
        <v>302338</v>
      </c>
      <c r="D2923">
        <v>21883</v>
      </c>
    </row>
    <row r="2924" spans="1:4" x14ac:dyDescent="0.2">
      <c r="A2924">
        <v>3693325</v>
      </c>
      <c r="B2924">
        <v>30062</v>
      </c>
      <c r="C2924">
        <v>302355</v>
      </c>
      <c r="D2924">
        <v>21883</v>
      </c>
    </row>
    <row r="2925" spans="1:4" x14ac:dyDescent="0.2">
      <c r="A2925">
        <v>3693325</v>
      </c>
      <c r="B2925">
        <v>30063</v>
      </c>
      <c r="C2925">
        <v>302353</v>
      </c>
      <c r="D2925">
        <v>21883</v>
      </c>
    </row>
    <row r="2926" spans="1:4" x14ac:dyDescent="0.2">
      <c r="A2926">
        <v>3693325</v>
      </c>
      <c r="B2926">
        <v>30064</v>
      </c>
      <c r="C2926">
        <v>302389</v>
      </c>
      <c r="D2926">
        <v>21883</v>
      </c>
    </row>
    <row r="2927" spans="1:4" x14ac:dyDescent="0.2">
      <c r="A2927">
        <v>3693325</v>
      </c>
      <c r="B2927">
        <v>30065</v>
      </c>
      <c r="C2927">
        <v>302372</v>
      </c>
      <c r="D2927">
        <v>21883</v>
      </c>
    </row>
    <row r="2928" spans="1:4" x14ac:dyDescent="0.2">
      <c r="A2928">
        <v>3693325</v>
      </c>
      <c r="B2928">
        <v>30066</v>
      </c>
      <c r="C2928">
        <v>302438</v>
      </c>
      <c r="D2928">
        <v>21883</v>
      </c>
    </row>
    <row r="2929" spans="1:4" x14ac:dyDescent="0.2">
      <c r="A2929">
        <v>3693326</v>
      </c>
      <c r="B2929">
        <v>30061</v>
      </c>
      <c r="C2929">
        <v>302338</v>
      </c>
      <c r="D2929">
        <v>21883</v>
      </c>
    </row>
    <row r="2930" spans="1:4" x14ac:dyDescent="0.2">
      <c r="A2930">
        <v>3693326</v>
      </c>
      <c r="B2930">
        <v>30062</v>
      </c>
      <c r="C2930">
        <v>302355</v>
      </c>
      <c r="D2930">
        <v>21883</v>
      </c>
    </row>
    <row r="2931" spans="1:4" x14ac:dyDescent="0.2">
      <c r="A2931">
        <v>3693326</v>
      </c>
      <c r="B2931">
        <v>30063</v>
      </c>
      <c r="C2931">
        <v>302353</v>
      </c>
      <c r="D2931">
        <v>21883</v>
      </c>
    </row>
    <row r="2932" spans="1:4" x14ac:dyDescent="0.2">
      <c r="A2932">
        <v>3693326</v>
      </c>
      <c r="B2932">
        <v>30064</v>
      </c>
      <c r="C2932">
        <v>302389</v>
      </c>
      <c r="D2932">
        <v>21883</v>
      </c>
    </row>
    <row r="2933" spans="1:4" x14ac:dyDescent="0.2">
      <c r="A2933">
        <v>3693326</v>
      </c>
      <c r="B2933">
        <v>30065</v>
      </c>
      <c r="C2933">
        <v>302373</v>
      </c>
      <c r="D2933">
        <v>21883</v>
      </c>
    </row>
    <row r="2934" spans="1:4" x14ac:dyDescent="0.2">
      <c r="A2934">
        <v>3693326</v>
      </c>
      <c r="B2934">
        <v>30066</v>
      </c>
      <c r="C2934">
        <v>302438</v>
      </c>
      <c r="D2934">
        <v>21883</v>
      </c>
    </row>
    <row r="2935" spans="1:4" x14ac:dyDescent="0.2">
      <c r="A2935">
        <v>3693327</v>
      </c>
      <c r="B2935">
        <v>30061</v>
      </c>
      <c r="C2935">
        <v>302338</v>
      </c>
      <c r="D2935">
        <v>21883</v>
      </c>
    </row>
    <row r="2936" spans="1:4" x14ac:dyDescent="0.2">
      <c r="A2936">
        <v>3693327</v>
      </c>
      <c r="B2936">
        <v>30062</v>
      </c>
      <c r="C2936">
        <v>302355</v>
      </c>
      <c r="D2936">
        <v>21883</v>
      </c>
    </row>
    <row r="2937" spans="1:4" x14ac:dyDescent="0.2">
      <c r="A2937">
        <v>3693327</v>
      </c>
      <c r="B2937">
        <v>30063</v>
      </c>
      <c r="C2937">
        <v>302353</v>
      </c>
      <c r="D2937">
        <v>21883</v>
      </c>
    </row>
    <row r="2938" spans="1:4" x14ac:dyDescent="0.2">
      <c r="A2938">
        <v>3693327</v>
      </c>
      <c r="B2938">
        <v>30064</v>
      </c>
      <c r="C2938">
        <v>302389</v>
      </c>
      <c r="D2938">
        <v>21883</v>
      </c>
    </row>
    <row r="2939" spans="1:4" x14ac:dyDescent="0.2">
      <c r="A2939">
        <v>3693327</v>
      </c>
      <c r="B2939">
        <v>30065</v>
      </c>
      <c r="C2939">
        <v>302373</v>
      </c>
      <c r="D2939">
        <v>21883</v>
      </c>
    </row>
    <row r="2940" spans="1:4" x14ac:dyDescent="0.2">
      <c r="A2940">
        <v>3693327</v>
      </c>
      <c r="B2940">
        <v>30066</v>
      </c>
      <c r="C2940">
        <v>302438</v>
      </c>
      <c r="D2940">
        <v>21883</v>
      </c>
    </row>
    <row r="2941" spans="1:4" x14ac:dyDescent="0.2">
      <c r="A2941">
        <v>3693328</v>
      </c>
      <c r="B2941">
        <v>30063</v>
      </c>
      <c r="C2941">
        <v>302353</v>
      </c>
      <c r="D2941">
        <v>21883</v>
      </c>
    </row>
    <row r="2942" spans="1:4" x14ac:dyDescent="0.2">
      <c r="A2942">
        <v>3693328</v>
      </c>
      <c r="B2942">
        <v>30064</v>
      </c>
      <c r="C2942">
        <v>302389</v>
      </c>
      <c r="D2942">
        <v>21883</v>
      </c>
    </row>
    <row r="2943" spans="1:4" x14ac:dyDescent="0.2">
      <c r="A2943">
        <v>3693328</v>
      </c>
      <c r="B2943">
        <v>30065</v>
      </c>
      <c r="C2943">
        <v>302371</v>
      </c>
      <c r="D2943">
        <v>21883</v>
      </c>
    </row>
    <row r="2944" spans="1:4" x14ac:dyDescent="0.2">
      <c r="A2944">
        <v>3693328</v>
      </c>
      <c r="B2944">
        <v>30066</v>
      </c>
      <c r="C2944">
        <v>302434</v>
      </c>
      <c r="D2944">
        <v>21883</v>
      </c>
    </row>
    <row r="2945" spans="1:4" x14ac:dyDescent="0.2">
      <c r="A2945">
        <v>3693328</v>
      </c>
      <c r="B2945">
        <v>30069</v>
      </c>
      <c r="C2945">
        <v>302440</v>
      </c>
      <c r="D2945">
        <v>21883</v>
      </c>
    </row>
    <row r="2946" spans="1:4" x14ac:dyDescent="0.2">
      <c r="A2946">
        <v>3693329</v>
      </c>
      <c r="B2946">
        <v>30063</v>
      </c>
      <c r="C2946">
        <v>302353</v>
      </c>
      <c r="D2946">
        <v>21883</v>
      </c>
    </row>
    <row r="2947" spans="1:4" x14ac:dyDescent="0.2">
      <c r="A2947">
        <v>3693329</v>
      </c>
      <c r="B2947">
        <v>30064</v>
      </c>
      <c r="C2947">
        <v>302389</v>
      </c>
      <c r="D2947">
        <v>21883</v>
      </c>
    </row>
    <row r="2948" spans="1:4" x14ac:dyDescent="0.2">
      <c r="A2948">
        <v>3693329</v>
      </c>
      <c r="B2948">
        <v>30065</v>
      </c>
      <c r="C2948">
        <v>302371</v>
      </c>
      <c r="D2948">
        <v>21883</v>
      </c>
    </row>
    <row r="2949" spans="1:4" x14ac:dyDescent="0.2">
      <c r="A2949">
        <v>3693329</v>
      </c>
      <c r="B2949">
        <v>30066</v>
      </c>
      <c r="C2949">
        <v>302434</v>
      </c>
      <c r="D2949">
        <v>21883</v>
      </c>
    </row>
    <row r="2950" spans="1:4" x14ac:dyDescent="0.2">
      <c r="A2950">
        <v>3693329</v>
      </c>
      <c r="B2950">
        <v>30069</v>
      </c>
      <c r="C2950">
        <v>302440</v>
      </c>
      <c r="D2950">
        <v>21883</v>
      </c>
    </row>
    <row r="2951" spans="1:4" x14ac:dyDescent="0.2">
      <c r="A2951">
        <v>3693330</v>
      </c>
      <c r="B2951">
        <v>30061</v>
      </c>
      <c r="C2951">
        <v>302338</v>
      </c>
      <c r="D2951">
        <v>21883</v>
      </c>
    </row>
    <row r="2952" spans="1:4" x14ac:dyDescent="0.2">
      <c r="A2952">
        <v>3693330</v>
      </c>
      <c r="B2952">
        <v>30062</v>
      </c>
      <c r="C2952">
        <v>302355</v>
      </c>
      <c r="D2952">
        <v>21883</v>
      </c>
    </row>
    <row r="2953" spans="1:4" x14ac:dyDescent="0.2">
      <c r="A2953">
        <v>3693330</v>
      </c>
      <c r="B2953">
        <v>30063</v>
      </c>
      <c r="C2953">
        <v>302353</v>
      </c>
      <c r="D2953">
        <v>21883</v>
      </c>
    </row>
    <row r="2954" spans="1:4" x14ac:dyDescent="0.2">
      <c r="A2954">
        <v>3693330</v>
      </c>
      <c r="B2954">
        <v>30064</v>
      </c>
      <c r="C2954">
        <v>302389</v>
      </c>
      <c r="D2954">
        <v>21883</v>
      </c>
    </row>
    <row r="2955" spans="1:4" x14ac:dyDescent="0.2">
      <c r="A2955">
        <v>3693330</v>
      </c>
      <c r="B2955">
        <v>30065</v>
      </c>
      <c r="C2955">
        <v>302372</v>
      </c>
      <c r="D2955">
        <v>21883</v>
      </c>
    </row>
    <row r="2956" spans="1:4" x14ac:dyDescent="0.2">
      <c r="A2956">
        <v>3693330</v>
      </c>
      <c r="B2956">
        <v>30066</v>
      </c>
      <c r="C2956">
        <v>302434</v>
      </c>
      <c r="D2956">
        <v>21883</v>
      </c>
    </row>
    <row r="2957" spans="1:4" x14ac:dyDescent="0.2">
      <c r="A2957">
        <v>3693330</v>
      </c>
      <c r="B2957">
        <v>30069</v>
      </c>
      <c r="C2957">
        <v>302440</v>
      </c>
      <c r="D2957">
        <v>21883</v>
      </c>
    </row>
    <row r="2958" spans="1:4" x14ac:dyDescent="0.2">
      <c r="A2958">
        <v>3693331</v>
      </c>
      <c r="B2958">
        <v>30061</v>
      </c>
      <c r="C2958">
        <v>302338</v>
      </c>
      <c r="D2958">
        <v>21883</v>
      </c>
    </row>
    <row r="2959" spans="1:4" x14ac:dyDescent="0.2">
      <c r="A2959">
        <v>3693331</v>
      </c>
      <c r="B2959">
        <v>30062</v>
      </c>
      <c r="C2959">
        <v>302355</v>
      </c>
      <c r="D2959">
        <v>21883</v>
      </c>
    </row>
    <row r="2960" spans="1:4" x14ac:dyDescent="0.2">
      <c r="A2960">
        <v>3693331</v>
      </c>
      <c r="B2960">
        <v>30063</v>
      </c>
      <c r="C2960">
        <v>302353</v>
      </c>
      <c r="D2960">
        <v>21883</v>
      </c>
    </row>
    <row r="2961" spans="1:4" x14ac:dyDescent="0.2">
      <c r="A2961">
        <v>3693331</v>
      </c>
      <c r="B2961">
        <v>30064</v>
      </c>
      <c r="C2961">
        <v>302389</v>
      </c>
      <c r="D2961">
        <v>21883</v>
      </c>
    </row>
    <row r="2962" spans="1:4" x14ac:dyDescent="0.2">
      <c r="A2962">
        <v>3693331</v>
      </c>
      <c r="B2962">
        <v>30065</v>
      </c>
      <c r="C2962">
        <v>302372</v>
      </c>
      <c r="D2962">
        <v>21883</v>
      </c>
    </row>
    <row r="2963" spans="1:4" x14ac:dyDescent="0.2">
      <c r="A2963">
        <v>3693331</v>
      </c>
      <c r="B2963">
        <v>30066</v>
      </c>
      <c r="C2963">
        <v>302438</v>
      </c>
      <c r="D2963">
        <v>21883</v>
      </c>
    </row>
    <row r="2964" spans="1:4" x14ac:dyDescent="0.2">
      <c r="A2964">
        <v>3693331</v>
      </c>
      <c r="B2964">
        <v>30069</v>
      </c>
      <c r="C2964">
        <v>302440</v>
      </c>
      <c r="D2964">
        <v>21883</v>
      </c>
    </row>
    <row r="2965" spans="1:4" x14ac:dyDescent="0.2">
      <c r="A2965">
        <v>3693332</v>
      </c>
      <c r="B2965">
        <v>30061</v>
      </c>
      <c r="C2965">
        <v>302338</v>
      </c>
      <c r="D2965">
        <v>21883</v>
      </c>
    </row>
    <row r="2966" spans="1:4" x14ac:dyDescent="0.2">
      <c r="A2966">
        <v>3693332</v>
      </c>
      <c r="B2966">
        <v>30062</v>
      </c>
      <c r="C2966">
        <v>302355</v>
      </c>
      <c r="D2966">
        <v>21883</v>
      </c>
    </row>
    <row r="2967" spans="1:4" x14ac:dyDescent="0.2">
      <c r="A2967">
        <v>3693332</v>
      </c>
      <c r="B2967">
        <v>30063</v>
      </c>
      <c r="C2967">
        <v>302353</v>
      </c>
      <c r="D2967">
        <v>21883</v>
      </c>
    </row>
    <row r="2968" spans="1:4" x14ac:dyDescent="0.2">
      <c r="A2968">
        <v>3693332</v>
      </c>
      <c r="B2968">
        <v>30064</v>
      </c>
      <c r="C2968">
        <v>302389</v>
      </c>
      <c r="D2968">
        <v>21883</v>
      </c>
    </row>
    <row r="2969" spans="1:4" x14ac:dyDescent="0.2">
      <c r="A2969">
        <v>3693332</v>
      </c>
      <c r="B2969">
        <v>30065</v>
      </c>
      <c r="C2969">
        <v>302373</v>
      </c>
      <c r="D2969">
        <v>21883</v>
      </c>
    </row>
    <row r="2970" spans="1:4" x14ac:dyDescent="0.2">
      <c r="A2970">
        <v>3693332</v>
      </c>
      <c r="B2970">
        <v>30066</v>
      </c>
      <c r="C2970">
        <v>302438</v>
      </c>
      <c r="D2970">
        <v>21883</v>
      </c>
    </row>
    <row r="2971" spans="1:4" x14ac:dyDescent="0.2">
      <c r="A2971">
        <v>3693333</v>
      </c>
      <c r="B2971">
        <v>30065</v>
      </c>
      <c r="C2971">
        <v>302371</v>
      </c>
      <c r="D2971">
        <v>21883</v>
      </c>
    </row>
    <row r="2972" spans="1:4" x14ac:dyDescent="0.2">
      <c r="A2972">
        <v>3693333</v>
      </c>
      <c r="B2972">
        <v>30066</v>
      </c>
      <c r="C2972">
        <v>302438</v>
      </c>
      <c r="D2972">
        <v>21883</v>
      </c>
    </row>
    <row r="2973" spans="1:4" x14ac:dyDescent="0.2">
      <c r="A2973">
        <v>3693333</v>
      </c>
      <c r="B2973">
        <v>30069</v>
      </c>
      <c r="C2973">
        <v>302439</v>
      </c>
      <c r="D2973">
        <v>21883</v>
      </c>
    </row>
    <row r="2974" spans="1:4" x14ac:dyDescent="0.2">
      <c r="A2974">
        <v>3693334</v>
      </c>
      <c r="B2974">
        <v>30061</v>
      </c>
      <c r="C2974">
        <v>302347</v>
      </c>
      <c r="D2974">
        <v>21883</v>
      </c>
    </row>
    <row r="2975" spans="1:4" x14ac:dyDescent="0.2">
      <c r="A2975">
        <v>3693334</v>
      </c>
      <c r="B2975">
        <v>30062</v>
      </c>
      <c r="C2975">
        <v>302355</v>
      </c>
      <c r="D2975">
        <v>21883</v>
      </c>
    </row>
    <row r="2976" spans="1:4" x14ac:dyDescent="0.2">
      <c r="A2976">
        <v>3693334</v>
      </c>
      <c r="B2976">
        <v>30063</v>
      </c>
      <c r="C2976">
        <v>302356</v>
      </c>
      <c r="D2976">
        <v>21883</v>
      </c>
    </row>
    <row r="2977" spans="1:4" x14ac:dyDescent="0.2">
      <c r="A2977">
        <v>3693334</v>
      </c>
      <c r="B2977">
        <v>30064</v>
      </c>
      <c r="C2977">
        <v>302414</v>
      </c>
      <c r="D2977">
        <v>21883</v>
      </c>
    </row>
    <row r="2978" spans="1:4" x14ac:dyDescent="0.2">
      <c r="A2978">
        <v>3693334</v>
      </c>
      <c r="B2978">
        <v>30065</v>
      </c>
      <c r="C2978">
        <v>302372</v>
      </c>
      <c r="D2978">
        <v>21883</v>
      </c>
    </row>
    <row r="2979" spans="1:4" x14ac:dyDescent="0.2">
      <c r="A2979">
        <v>3693334</v>
      </c>
      <c r="B2979">
        <v>30066</v>
      </c>
      <c r="C2979">
        <v>302402</v>
      </c>
      <c r="D2979">
        <v>21883</v>
      </c>
    </row>
    <row r="2980" spans="1:4" x14ac:dyDescent="0.2">
      <c r="A2980">
        <v>3693335</v>
      </c>
      <c r="B2980">
        <v>30063</v>
      </c>
      <c r="C2980">
        <v>302357</v>
      </c>
      <c r="D2980">
        <v>21883</v>
      </c>
    </row>
    <row r="2981" spans="1:4" x14ac:dyDescent="0.2">
      <c r="A2981">
        <v>3693335</v>
      </c>
      <c r="B2981">
        <v>30064</v>
      </c>
      <c r="C2981">
        <v>302418</v>
      </c>
      <c r="D2981">
        <v>21883</v>
      </c>
    </row>
    <row r="2982" spans="1:4" x14ac:dyDescent="0.2">
      <c r="A2982">
        <v>3693335</v>
      </c>
      <c r="B2982">
        <v>30065</v>
      </c>
      <c r="C2982">
        <v>302372</v>
      </c>
      <c r="D2982">
        <v>21883</v>
      </c>
    </row>
    <row r="2983" spans="1:4" x14ac:dyDescent="0.2">
      <c r="A2983">
        <v>3693335</v>
      </c>
      <c r="B2983">
        <v>30066</v>
      </c>
      <c r="C2983">
        <v>302436</v>
      </c>
      <c r="D2983">
        <v>21883</v>
      </c>
    </row>
    <row r="2984" spans="1:4" x14ac:dyDescent="0.2">
      <c r="A2984">
        <v>3693336</v>
      </c>
      <c r="B2984">
        <v>30060</v>
      </c>
      <c r="C2984">
        <v>302341</v>
      </c>
      <c r="D2984">
        <v>21883</v>
      </c>
    </row>
    <row r="2985" spans="1:4" x14ac:dyDescent="0.2">
      <c r="A2985">
        <v>3693336</v>
      </c>
      <c r="B2985">
        <v>30063</v>
      </c>
      <c r="C2985">
        <v>302356</v>
      </c>
      <c r="D2985">
        <v>21883</v>
      </c>
    </row>
    <row r="2986" spans="1:4" x14ac:dyDescent="0.2">
      <c r="A2986">
        <v>3693336</v>
      </c>
      <c r="B2986">
        <v>30064</v>
      </c>
      <c r="C2986">
        <v>302410</v>
      </c>
      <c r="D2986">
        <v>21883</v>
      </c>
    </row>
    <row r="2987" spans="1:4" x14ac:dyDescent="0.2">
      <c r="A2987">
        <v>3693336</v>
      </c>
      <c r="B2987">
        <v>30065</v>
      </c>
      <c r="C2987">
        <v>302372</v>
      </c>
      <c r="D2987">
        <v>21883</v>
      </c>
    </row>
    <row r="2988" spans="1:4" x14ac:dyDescent="0.2">
      <c r="A2988">
        <v>3693336</v>
      </c>
      <c r="B2988">
        <v>30066</v>
      </c>
      <c r="C2988">
        <v>302400</v>
      </c>
      <c r="D2988">
        <v>21883</v>
      </c>
    </row>
    <row r="2989" spans="1:4" x14ac:dyDescent="0.2">
      <c r="A2989">
        <v>3693337</v>
      </c>
      <c r="B2989">
        <v>30063</v>
      </c>
      <c r="C2989">
        <v>302356</v>
      </c>
      <c r="D2989">
        <v>21883</v>
      </c>
    </row>
    <row r="2990" spans="1:4" x14ac:dyDescent="0.2">
      <c r="A2990">
        <v>3693337</v>
      </c>
      <c r="B2990">
        <v>30064</v>
      </c>
      <c r="C2990">
        <v>302396</v>
      </c>
      <c r="D2990">
        <v>21883</v>
      </c>
    </row>
    <row r="2991" spans="1:4" x14ac:dyDescent="0.2">
      <c r="A2991">
        <v>3693337</v>
      </c>
      <c r="B2991">
        <v>30065</v>
      </c>
      <c r="C2991">
        <v>302372</v>
      </c>
      <c r="D2991">
        <v>21883</v>
      </c>
    </row>
    <row r="2992" spans="1:4" x14ac:dyDescent="0.2">
      <c r="A2992">
        <v>3693337</v>
      </c>
      <c r="B2992">
        <v>30066</v>
      </c>
      <c r="C2992">
        <v>302400</v>
      </c>
      <c r="D2992">
        <v>21883</v>
      </c>
    </row>
    <row r="2993" spans="1:4" x14ac:dyDescent="0.2">
      <c r="A2993">
        <v>3693338</v>
      </c>
      <c r="B2993">
        <v>30060</v>
      </c>
      <c r="C2993">
        <v>302341</v>
      </c>
      <c r="D2993">
        <v>21883</v>
      </c>
    </row>
    <row r="2994" spans="1:4" x14ac:dyDescent="0.2">
      <c r="A2994">
        <v>3693338</v>
      </c>
      <c r="B2994">
        <v>30063</v>
      </c>
      <c r="C2994">
        <v>302356</v>
      </c>
      <c r="D2994">
        <v>21883</v>
      </c>
    </row>
    <row r="2995" spans="1:4" x14ac:dyDescent="0.2">
      <c r="A2995">
        <v>3693338</v>
      </c>
      <c r="B2995">
        <v>30064</v>
      </c>
      <c r="C2995">
        <v>302413</v>
      </c>
      <c r="D2995">
        <v>21883</v>
      </c>
    </row>
    <row r="2996" spans="1:4" x14ac:dyDescent="0.2">
      <c r="A2996">
        <v>3693338</v>
      </c>
      <c r="B2996">
        <v>30065</v>
      </c>
      <c r="C2996">
        <v>302372</v>
      </c>
      <c r="D2996">
        <v>21883</v>
      </c>
    </row>
    <row r="2997" spans="1:4" x14ac:dyDescent="0.2">
      <c r="A2997">
        <v>3693338</v>
      </c>
      <c r="B2997">
        <v>30066</v>
      </c>
      <c r="C2997">
        <v>302400</v>
      </c>
      <c r="D2997">
        <v>21883</v>
      </c>
    </row>
    <row r="2998" spans="1:4" x14ac:dyDescent="0.2">
      <c r="A2998">
        <v>3693339</v>
      </c>
      <c r="B2998">
        <v>30060</v>
      </c>
      <c r="C2998">
        <v>302341</v>
      </c>
      <c r="D2998">
        <v>21883</v>
      </c>
    </row>
    <row r="2999" spans="1:4" x14ac:dyDescent="0.2">
      <c r="A2999">
        <v>3693339</v>
      </c>
      <c r="B2999">
        <v>30063</v>
      </c>
      <c r="C2999">
        <v>302356</v>
      </c>
      <c r="D2999">
        <v>21883</v>
      </c>
    </row>
    <row r="3000" spans="1:4" x14ac:dyDescent="0.2">
      <c r="A3000">
        <v>3693339</v>
      </c>
      <c r="B3000">
        <v>30064</v>
      </c>
      <c r="C3000">
        <v>302410</v>
      </c>
      <c r="D3000">
        <v>21883</v>
      </c>
    </row>
    <row r="3001" spans="1:4" x14ac:dyDescent="0.2">
      <c r="A3001">
        <v>3693339</v>
      </c>
      <c r="B3001">
        <v>30065</v>
      </c>
      <c r="C3001">
        <v>302372</v>
      </c>
      <c r="D3001">
        <v>21883</v>
      </c>
    </row>
    <row r="3002" spans="1:4" x14ac:dyDescent="0.2">
      <c r="A3002">
        <v>3693339</v>
      </c>
      <c r="B3002">
        <v>30066</v>
      </c>
      <c r="C3002">
        <v>302401</v>
      </c>
      <c r="D3002">
        <v>21883</v>
      </c>
    </row>
    <row r="3003" spans="1:4" x14ac:dyDescent="0.2">
      <c r="A3003">
        <v>3693340</v>
      </c>
      <c r="B3003">
        <v>30063</v>
      </c>
      <c r="C3003">
        <v>302356</v>
      </c>
      <c r="D3003">
        <v>21883</v>
      </c>
    </row>
    <row r="3004" spans="1:4" x14ac:dyDescent="0.2">
      <c r="A3004">
        <v>3693340</v>
      </c>
      <c r="B3004">
        <v>30064</v>
      </c>
      <c r="C3004">
        <v>302396</v>
      </c>
      <c r="D3004">
        <v>21883</v>
      </c>
    </row>
    <row r="3005" spans="1:4" x14ac:dyDescent="0.2">
      <c r="A3005">
        <v>3693340</v>
      </c>
      <c r="B3005">
        <v>30065</v>
      </c>
      <c r="C3005">
        <v>302372</v>
      </c>
      <c r="D3005">
        <v>21883</v>
      </c>
    </row>
    <row r="3006" spans="1:4" x14ac:dyDescent="0.2">
      <c r="A3006">
        <v>3693340</v>
      </c>
      <c r="B3006">
        <v>30066</v>
      </c>
      <c r="C3006">
        <v>302401</v>
      </c>
      <c r="D3006">
        <v>21883</v>
      </c>
    </row>
    <row r="3007" spans="1:4" x14ac:dyDescent="0.2">
      <c r="A3007">
        <v>3693341</v>
      </c>
      <c r="B3007">
        <v>30060</v>
      </c>
      <c r="C3007">
        <v>302341</v>
      </c>
      <c r="D3007">
        <v>21883</v>
      </c>
    </row>
    <row r="3008" spans="1:4" x14ac:dyDescent="0.2">
      <c r="A3008">
        <v>3693341</v>
      </c>
      <c r="B3008">
        <v>30063</v>
      </c>
      <c r="C3008">
        <v>302356</v>
      </c>
      <c r="D3008">
        <v>21883</v>
      </c>
    </row>
    <row r="3009" spans="1:4" x14ac:dyDescent="0.2">
      <c r="A3009">
        <v>3693341</v>
      </c>
      <c r="B3009">
        <v>30064</v>
      </c>
      <c r="C3009">
        <v>302413</v>
      </c>
      <c r="D3009">
        <v>21883</v>
      </c>
    </row>
    <row r="3010" spans="1:4" x14ac:dyDescent="0.2">
      <c r="A3010">
        <v>3693341</v>
      </c>
      <c r="B3010">
        <v>30065</v>
      </c>
      <c r="C3010">
        <v>302372</v>
      </c>
      <c r="D3010">
        <v>21883</v>
      </c>
    </row>
    <row r="3011" spans="1:4" x14ac:dyDescent="0.2">
      <c r="A3011">
        <v>3693341</v>
      </c>
      <c r="B3011">
        <v>30066</v>
      </c>
      <c r="C3011">
        <v>302401</v>
      </c>
      <c r="D3011">
        <v>21883</v>
      </c>
    </row>
    <row r="3012" spans="1:4" x14ac:dyDescent="0.2">
      <c r="A3012">
        <v>3693342</v>
      </c>
      <c r="B3012">
        <v>30060</v>
      </c>
      <c r="C3012">
        <v>302341</v>
      </c>
      <c r="D3012">
        <v>21883</v>
      </c>
    </row>
    <row r="3013" spans="1:4" x14ac:dyDescent="0.2">
      <c r="A3013">
        <v>3693342</v>
      </c>
      <c r="B3013">
        <v>30063</v>
      </c>
      <c r="C3013">
        <v>302356</v>
      </c>
      <c r="D3013">
        <v>21883</v>
      </c>
    </row>
    <row r="3014" spans="1:4" x14ac:dyDescent="0.2">
      <c r="A3014">
        <v>3693342</v>
      </c>
      <c r="B3014">
        <v>30064</v>
      </c>
      <c r="C3014">
        <v>302410</v>
      </c>
      <c r="D3014">
        <v>21883</v>
      </c>
    </row>
    <row r="3015" spans="1:4" x14ac:dyDescent="0.2">
      <c r="A3015">
        <v>3693342</v>
      </c>
      <c r="B3015">
        <v>30065</v>
      </c>
      <c r="C3015">
        <v>302372</v>
      </c>
      <c r="D3015">
        <v>21883</v>
      </c>
    </row>
    <row r="3016" spans="1:4" x14ac:dyDescent="0.2">
      <c r="A3016">
        <v>3693342</v>
      </c>
      <c r="B3016">
        <v>30066</v>
      </c>
      <c r="C3016">
        <v>302402</v>
      </c>
      <c r="D3016">
        <v>21883</v>
      </c>
    </row>
    <row r="3017" spans="1:4" x14ac:dyDescent="0.2">
      <c r="A3017">
        <v>3693343</v>
      </c>
      <c r="B3017">
        <v>30063</v>
      </c>
      <c r="C3017">
        <v>302356</v>
      </c>
      <c r="D3017">
        <v>21883</v>
      </c>
    </row>
    <row r="3018" spans="1:4" x14ac:dyDescent="0.2">
      <c r="A3018">
        <v>3693343</v>
      </c>
      <c r="B3018">
        <v>30064</v>
      </c>
      <c r="C3018">
        <v>302396</v>
      </c>
      <c r="D3018">
        <v>21883</v>
      </c>
    </row>
    <row r="3019" spans="1:4" x14ac:dyDescent="0.2">
      <c r="A3019">
        <v>3693343</v>
      </c>
      <c r="B3019">
        <v>30065</v>
      </c>
      <c r="C3019">
        <v>302372</v>
      </c>
      <c r="D3019">
        <v>21883</v>
      </c>
    </row>
    <row r="3020" spans="1:4" x14ac:dyDescent="0.2">
      <c r="A3020">
        <v>3693343</v>
      </c>
      <c r="B3020">
        <v>30066</v>
      </c>
      <c r="C3020">
        <v>302402</v>
      </c>
      <c r="D3020">
        <v>21883</v>
      </c>
    </row>
    <row r="3021" spans="1:4" x14ac:dyDescent="0.2">
      <c r="A3021">
        <v>3693344</v>
      </c>
      <c r="B3021">
        <v>30060</v>
      </c>
      <c r="C3021">
        <v>302341</v>
      </c>
      <c r="D3021">
        <v>21883</v>
      </c>
    </row>
    <row r="3022" spans="1:4" x14ac:dyDescent="0.2">
      <c r="A3022">
        <v>3693344</v>
      </c>
      <c r="B3022">
        <v>30063</v>
      </c>
      <c r="C3022">
        <v>302356</v>
      </c>
      <c r="D3022">
        <v>21883</v>
      </c>
    </row>
    <row r="3023" spans="1:4" x14ac:dyDescent="0.2">
      <c r="A3023">
        <v>3693344</v>
      </c>
      <c r="B3023">
        <v>30064</v>
      </c>
      <c r="C3023">
        <v>302413</v>
      </c>
      <c r="D3023">
        <v>21883</v>
      </c>
    </row>
    <row r="3024" spans="1:4" x14ac:dyDescent="0.2">
      <c r="A3024">
        <v>3693344</v>
      </c>
      <c r="B3024">
        <v>30065</v>
      </c>
      <c r="C3024">
        <v>302372</v>
      </c>
      <c r="D3024">
        <v>21883</v>
      </c>
    </row>
    <row r="3025" spans="1:4" x14ac:dyDescent="0.2">
      <c r="A3025">
        <v>3693344</v>
      </c>
      <c r="B3025">
        <v>30066</v>
      </c>
      <c r="C3025">
        <v>302402</v>
      </c>
      <c r="D3025">
        <v>21883</v>
      </c>
    </row>
    <row r="3026" spans="1:4" x14ac:dyDescent="0.2">
      <c r="A3026">
        <v>3693345</v>
      </c>
      <c r="B3026">
        <v>30065</v>
      </c>
      <c r="C3026">
        <v>302372</v>
      </c>
      <c r="D3026">
        <v>21883</v>
      </c>
    </row>
    <row r="3027" spans="1:4" x14ac:dyDescent="0.2">
      <c r="A3027">
        <v>3693346</v>
      </c>
      <c r="B3027">
        <v>30065</v>
      </c>
      <c r="C3027">
        <v>302372</v>
      </c>
      <c r="D3027">
        <v>21883</v>
      </c>
    </row>
    <row r="3028" spans="1:4" x14ac:dyDescent="0.2">
      <c r="A3028">
        <v>3693346</v>
      </c>
      <c r="B3028">
        <v>30066</v>
      </c>
      <c r="C3028">
        <v>302438</v>
      </c>
      <c r="D3028">
        <v>21883</v>
      </c>
    </row>
    <row r="3029" spans="1:4" x14ac:dyDescent="0.2">
      <c r="A3029">
        <v>3693347</v>
      </c>
      <c r="B3029">
        <v>30065</v>
      </c>
      <c r="C3029">
        <v>302373</v>
      </c>
      <c r="D3029">
        <v>21883</v>
      </c>
    </row>
    <row r="3030" spans="1:4" x14ac:dyDescent="0.2">
      <c r="A3030">
        <v>3693347</v>
      </c>
      <c r="B3030">
        <v>30066</v>
      </c>
      <c r="C3030">
        <v>302438</v>
      </c>
      <c r="D3030">
        <v>21883</v>
      </c>
    </row>
    <row r="3031" spans="1:4" x14ac:dyDescent="0.2">
      <c r="A3031">
        <v>3693348</v>
      </c>
      <c r="B3031">
        <v>30063</v>
      </c>
      <c r="C3031">
        <v>302357</v>
      </c>
      <c r="D3031">
        <v>21883</v>
      </c>
    </row>
    <row r="3032" spans="1:4" x14ac:dyDescent="0.2">
      <c r="A3032">
        <v>3693348</v>
      </c>
      <c r="B3032">
        <v>30064</v>
      </c>
      <c r="C3032">
        <v>302360</v>
      </c>
      <c r="D3032">
        <v>21883</v>
      </c>
    </row>
    <row r="3033" spans="1:4" x14ac:dyDescent="0.2">
      <c r="A3033">
        <v>3693348</v>
      </c>
      <c r="B3033">
        <v>30065</v>
      </c>
      <c r="C3033">
        <v>302371</v>
      </c>
      <c r="D3033">
        <v>21883</v>
      </c>
    </row>
    <row r="3034" spans="1:4" x14ac:dyDescent="0.2">
      <c r="A3034">
        <v>3693348</v>
      </c>
      <c r="B3034">
        <v>30066</v>
      </c>
      <c r="C3034">
        <v>302436</v>
      </c>
      <c r="D3034">
        <v>21883</v>
      </c>
    </row>
    <row r="3035" spans="1:4" x14ac:dyDescent="0.2">
      <c r="A3035">
        <v>3693348</v>
      </c>
      <c r="B3035">
        <v>30067</v>
      </c>
      <c r="C3035">
        <v>302455</v>
      </c>
      <c r="D3035">
        <v>21883</v>
      </c>
    </row>
    <row r="3036" spans="1:4" x14ac:dyDescent="0.2">
      <c r="A3036">
        <v>3693349</v>
      </c>
      <c r="B3036">
        <v>30063</v>
      </c>
      <c r="C3036">
        <v>302357</v>
      </c>
      <c r="D3036">
        <v>21883</v>
      </c>
    </row>
    <row r="3037" spans="1:4" x14ac:dyDescent="0.2">
      <c r="A3037">
        <v>3693349</v>
      </c>
      <c r="B3037">
        <v>30064</v>
      </c>
      <c r="C3037">
        <v>302360</v>
      </c>
      <c r="D3037">
        <v>21883</v>
      </c>
    </row>
    <row r="3038" spans="1:4" x14ac:dyDescent="0.2">
      <c r="A3038">
        <v>3693349</v>
      </c>
      <c r="B3038">
        <v>30065</v>
      </c>
      <c r="C3038">
        <v>302371</v>
      </c>
      <c r="D3038">
        <v>21883</v>
      </c>
    </row>
    <row r="3039" spans="1:4" x14ac:dyDescent="0.2">
      <c r="A3039">
        <v>3693349</v>
      </c>
      <c r="B3039">
        <v>30066</v>
      </c>
      <c r="C3039">
        <v>302436</v>
      </c>
      <c r="D3039">
        <v>21883</v>
      </c>
    </row>
    <row r="3040" spans="1:4" x14ac:dyDescent="0.2">
      <c r="A3040">
        <v>3693349</v>
      </c>
      <c r="B3040">
        <v>30067</v>
      </c>
      <c r="C3040">
        <v>302455</v>
      </c>
      <c r="D3040">
        <v>21883</v>
      </c>
    </row>
    <row r="3041" spans="1:4" x14ac:dyDescent="0.2">
      <c r="A3041">
        <v>3693350</v>
      </c>
      <c r="B3041">
        <v>30063</v>
      </c>
      <c r="C3041">
        <v>302357</v>
      </c>
      <c r="D3041">
        <v>21883</v>
      </c>
    </row>
    <row r="3042" spans="1:4" x14ac:dyDescent="0.2">
      <c r="A3042">
        <v>3693350</v>
      </c>
      <c r="B3042">
        <v>30064</v>
      </c>
      <c r="C3042">
        <v>302360</v>
      </c>
      <c r="D3042">
        <v>21883</v>
      </c>
    </row>
    <row r="3043" spans="1:4" x14ac:dyDescent="0.2">
      <c r="A3043">
        <v>3693350</v>
      </c>
      <c r="B3043">
        <v>30065</v>
      </c>
      <c r="C3043">
        <v>302371</v>
      </c>
      <c r="D3043">
        <v>21883</v>
      </c>
    </row>
    <row r="3044" spans="1:4" x14ac:dyDescent="0.2">
      <c r="A3044">
        <v>3693350</v>
      </c>
      <c r="B3044">
        <v>30066</v>
      </c>
      <c r="C3044">
        <v>302436</v>
      </c>
      <c r="D3044">
        <v>21883</v>
      </c>
    </row>
    <row r="3045" spans="1:4" x14ac:dyDescent="0.2">
      <c r="A3045">
        <v>3693350</v>
      </c>
      <c r="B3045">
        <v>30067</v>
      </c>
      <c r="C3045">
        <v>302455</v>
      </c>
      <c r="D3045">
        <v>21883</v>
      </c>
    </row>
    <row r="3046" spans="1:4" x14ac:dyDescent="0.2">
      <c r="A3046">
        <v>3693351</v>
      </c>
      <c r="B3046">
        <v>30063</v>
      </c>
      <c r="C3046">
        <v>302357</v>
      </c>
      <c r="D3046">
        <v>21883</v>
      </c>
    </row>
    <row r="3047" spans="1:4" x14ac:dyDescent="0.2">
      <c r="A3047">
        <v>3693351</v>
      </c>
      <c r="B3047">
        <v>30064</v>
      </c>
      <c r="C3047">
        <v>302362</v>
      </c>
      <c r="D3047">
        <v>21883</v>
      </c>
    </row>
    <row r="3048" spans="1:4" x14ac:dyDescent="0.2">
      <c r="A3048">
        <v>3693351</v>
      </c>
      <c r="B3048">
        <v>30065</v>
      </c>
      <c r="C3048">
        <v>302371</v>
      </c>
      <c r="D3048">
        <v>21883</v>
      </c>
    </row>
    <row r="3049" spans="1:4" x14ac:dyDescent="0.2">
      <c r="A3049">
        <v>3693351</v>
      </c>
      <c r="B3049">
        <v>30066</v>
      </c>
      <c r="C3049">
        <v>302436</v>
      </c>
      <c r="D3049">
        <v>21883</v>
      </c>
    </row>
    <row r="3050" spans="1:4" x14ac:dyDescent="0.2">
      <c r="A3050">
        <v>3693351</v>
      </c>
      <c r="B3050">
        <v>30067</v>
      </c>
      <c r="C3050">
        <v>302455</v>
      </c>
      <c r="D3050">
        <v>21883</v>
      </c>
    </row>
    <row r="3051" spans="1:4" x14ac:dyDescent="0.2">
      <c r="A3051">
        <v>3693352</v>
      </c>
      <c r="B3051">
        <v>30063</v>
      </c>
      <c r="C3051">
        <v>302357</v>
      </c>
      <c r="D3051">
        <v>21883</v>
      </c>
    </row>
    <row r="3052" spans="1:4" x14ac:dyDescent="0.2">
      <c r="A3052">
        <v>3693352</v>
      </c>
      <c r="B3052">
        <v>30064</v>
      </c>
      <c r="C3052">
        <v>302362</v>
      </c>
      <c r="D3052">
        <v>21883</v>
      </c>
    </row>
    <row r="3053" spans="1:4" x14ac:dyDescent="0.2">
      <c r="A3053">
        <v>3693352</v>
      </c>
      <c r="B3053">
        <v>30065</v>
      </c>
      <c r="C3053">
        <v>302371</v>
      </c>
      <c r="D3053">
        <v>21883</v>
      </c>
    </row>
    <row r="3054" spans="1:4" x14ac:dyDescent="0.2">
      <c r="A3054">
        <v>3693352</v>
      </c>
      <c r="B3054">
        <v>30066</v>
      </c>
      <c r="C3054">
        <v>302436</v>
      </c>
      <c r="D3054">
        <v>21883</v>
      </c>
    </row>
    <row r="3055" spans="1:4" x14ac:dyDescent="0.2">
      <c r="A3055">
        <v>3693352</v>
      </c>
      <c r="B3055">
        <v>30067</v>
      </c>
      <c r="C3055">
        <v>302455</v>
      </c>
      <c r="D3055">
        <v>21883</v>
      </c>
    </row>
    <row r="3056" spans="1:4" x14ac:dyDescent="0.2">
      <c r="A3056">
        <v>3693353</v>
      </c>
      <c r="B3056">
        <v>30063</v>
      </c>
      <c r="C3056">
        <v>302357</v>
      </c>
      <c r="D3056">
        <v>21883</v>
      </c>
    </row>
    <row r="3057" spans="1:4" x14ac:dyDescent="0.2">
      <c r="A3057">
        <v>3693353</v>
      </c>
      <c r="B3057">
        <v>30064</v>
      </c>
      <c r="C3057">
        <v>302360</v>
      </c>
      <c r="D3057">
        <v>21883</v>
      </c>
    </row>
    <row r="3058" spans="1:4" x14ac:dyDescent="0.2">
      <c r="A3058">
        <v>3693353</v>
      </c>
      <c r="B3058">
        <v>30065</v>
      </c>
      <c r="C3058">
        <v>302371</v>
      </c>
      <c r="D3058">
        <v>21883</v>
      </c>
    </row>
    <row r="3059" spans="1:4" x14ac:dyDescent="0.2">
      <c r="A3059">
        <v>3693353</v>
      </c>
      <c r="B3059">
        <v>30066</v>
      </c>
      <c r="C3059">
        <v>302436</v>
      </c>
      <c r="D3059">
        <v>21883</v>
      </c>
    </row>
    <row r="3060" spans="1:4" x14ac:dyDescent="0.2">
      <c r="A3060">
        <v>3693353</v>
      </c>
      <c r="B3060">
        <v>30067</v>
      </c>
      <c r="C3060">
        <v>302454</v>
      </c>
      <c r="D3060">
        <v>21883</v>
      </c>
    </row>
    <row r="3061" spans="1:4" x14ac:dyDescent="0.2">
      <c r="A3061">
        <v>3693354</v>
      </c>
      <c r="B3061">
        <v>30063</v>
      </c>
      <c r="C3061">
        <v>302357</v>
      </c>
      <c r="D3061">
        <v>21883</v>
      </c>
    </row>
    <row r="3062" spans="1:4" x14ac:dyDescent="0.2">
      <c r="A3062">
        <v>3693354</v>
      </c>
      <c r="B3062">
        <v>30064</v>
      </c>
      <c r="C3062">
        <v>302360</v>
      </c>
      <c r="D3062">
        <v>21883</v>
      </c>
    </row>
    <row r="3063" spans="1:4" x14ac:dyDescent="0.2">
      <c r="A3063">
        <v>3693354</v>
      </c>
      <c r="B3063">
        <v>30065</v>
      </c>
      <c r="C3063">
        <v>302371</v>
      </c>
      <c r="D3063">
        <v>21883</v>
      </c>
    </row>
    <row r="3064" spans="1:4" x14ac:dyDescent="0.2">
      <c r="A3064">
        <v>3693354</v>
      </c>
      <c r="B3064">
        <v>30066</v>
      </c>
      <c r="C3064">
        <v>302436</v>
      </c>
      <c r="D3064">
        <v>21883</v>
      </c>
    </row>
    <row r="3065" spans="1:4" x14ac:dyDescent="0.2">
      <c r="A3065">
        <v>3693354</v>
      </c>
      <c r="B3065">
        <v>30067</v>
      </c>
      <c r="C3065">
        <v>302454</v>
      </c>
      <c r="D3065">
        <v>21883</v>
      </c>
    </row>
    <row r="3066" spans="1:4" x14ac:dyDescent="0.2">
      <c r="A3066">
        <v>3693355</v>
      </c>
      <c r="B3066">
        <v>30063</v>
      </c>
      <c r="C3066">
        <v>302357</v>
      </c>
      <c r="D3066">
        <v>21883</v>
      </c>
    </row>
    <row r="3067" spans="1:4" x14ac:dyDescent="0.2">
      <c r="A3067">
        <v>3693355</v>
      </c>
      <c r="B3067">
        <v>30064</v>
      </c>
      <c r="C3067">
        <v>302360</v>
      </c>
      <c r="D3067">
        <v>21883</v>
      </c>
    </row>
    <row r="3068" spans="1:4" x14ac:dyDescent="0.2">
      <c r="A3068">
        <v>3693355</v>
      </c>
      <c r="B3068">
        <v>30065</v>
      </c>
      <c r="C3068">
        <v>302371</v>
      </c>
      <c r="D3068">
        <v>21883</v>
      </c>
    </row>
    <row r="3069" spans="1:4" x14ac:dyDescent="0.2">
      <c r="A3069">
        <v>3693355</v>
      </c>
      <c r="B3069">
        <v>30066</v>
      </c>
      <c r="C3069">
        <v>302436</v>
      </c>
      <c r="D3069">
        <v>21883</v>
      </c>
    </row>
    <row r="3070" spans="1:4" x14ac:dyDescent="0.2">
      <c r="A3070">
        <v>3693355</v>
      </c>
      <c r="B3070">
        <v>30067</v>
      </c>
      <c r="C3070">
        <v>302454</v>
      </c>
      <c r="D3070">
        <v>21883</v>
      </c>
    </row>
    <row r="3071" spans="1:4" x14ac:dyDescent="0.2">
      <c r="A3071">
        <v>3693356</v>
      </c>
      <c r="B3071">
        <v>30063</v>
      </c>
      <c r="C3071">
        <v>302357</v>
      </c>
      <c r="D3071">
        <v>21883</v>
      </c>
    </row>
    <row r="3072" spans="1:4" x14ac:dyDescent="0.2">
      <c r="A3072">
        <v>3693356</v>
      </c>
      <c r="B3072">
        <v>30064</v>
      </c>
      <c r="C3072">
        <v>302418</v>
      </c>
      <c r="D3072">
        <v>21883</v>
      </c>
    </row>
    <row r="3073" spans="1:4" x14ac:dyDescent="0.2">
      <c r="A3073">
        <v>3693356</v>
      </c>
      <c r="B3073">
        <v>30065</v>
      </c>
      <c r="C3073">
        <v>302371</v>
      </c>
      <c r="D3073">
        <v>21883</v>
      </c>
    </row>
    <row r="3074" spans="1:4" x14ac:dyDescent="0.2">
      <c r="A3074">
        <v>3693356</v>
      </c>
      <c r="B3074">
        <v>30066</v>
      </c>
      <c r="C3074">
        <v>302436</v>
      </c>
      <c r="D3074">
        <v>21883</v>
      </c>
    </row>
    <row r="3075" spans="1:4" x14ac:dyDescent="0.2">
      <c r="A3075">
        <v>3693357</v>
      </c>
      <c r="B3075">
        <v>30063</v>
      </c>
      <c r="C3075">
        <v>302357</v>
      </c>
      <c r="D3075">
        <v>21883</v>
      </c>
    </row>
    <row r="3076" spans="1:4" x14ac:dyDescent="0.2">
      <c r="A3076">
        <v>3693357</v>
      </c>
      <c r="B3076">
        <v>30064</v>
      </c>
      <c r="C3076">
        <v>302418</v>
      </c>
      <c r="D3076">
        <v>21883</v>
      </c>
    </row>
    <row r="3077" spans="1:4" x14ac:dyDescent="0.2">
      <c r="A3077">
        <v>3693357</v>
      </c>
      <c r="B3077">
        <v>30065</v>
      </c>
      <c r="C3077">
        <v>302371</v>
      </c>
      <c r="D3077">
        <v>21883</v>
      </c>
    </row>
    <row r="3078" spans="1:4" x14ac:dyDescent="0.2">
      <c r="A3078">
        <v>3693357</v>
      </c>
      <c r="B3078">
        <v>30066</v>
      </c>
      <c r="C3078">
        <v>302436</v>
      </c>
      <c r="D3078">
        <v>21883</v>
      </c>
    </row>
    <row r="3079" spans="1:4" x14ac:dyDescent="0.2">
      <c r="A3079">
        <v>3693358</v>
      </c>
      <c r="B3079">
        <v>30063</v>
      </c>
      <c r="C3079">
        <v>302357</v>
      </c>
      <c r="D3079">
        <v>21883</v>
      </c>
    </row>
    <row r="3080" spans="1:4" x14ac:dyDescent="0.2">
      <c r="A3080">
        <v>3693358</v>
      </c>
      <c r="B3080">
        <v>30064</v>
      </c>
      <c r="C3080">
        <v>302362</v>
      </c>
      <c r="D3080">
        <v>21883</v>
      </c>
    </row>
    <row r="3081" spans="1:4" x14ac:dyDescent="0.2">
      <c r="A3081">
        <v>3693358</v>
      </c>
      <c r="B3081">
        <v>30065</v>
      </c>
      <c r="C3081">
        <v>302371</v>
      </c>
      <c r="D3081">
        <v>21883</v>
      </c>
    </row>
    <row r="3082" spans="1:4" x14ac:dyDescent="0.2">
      <c r="A3082">
        <v>3693358</v>
      </c>
      <c r="B3082">
        <v>30066</v>
      </c>
      <c r="C3082">
        <v>302436</v>
      </c>
      <c r="D3082">
        <v>21883</v>
      </c>
    </row>
    <row r="3083" spans="1:4" x14ac:dyDescent="0.2">
      <c r="A3083">
        <v>3693358</v>
      </c>
      <c r="B3083">
        <v>30067</v>
      </c>
      <c r="C3083">
        <v>302454</v>
      </c>
      <c r="D3083">
        <v>21883</v>
      </c>
    </row>
    <row r="3084" spans="1:4" x14ac:dyDescent="0.2">
      <c r="A3084">
        <v>3693359</v>
      </c>
      <c r="B3084">
        <v>30063</v>
      </c>
      <c r="C3084">
        <v>302357</v>
      </c>
      <c r="D3084">
        <v>21883</v>
      </c>
    </row>
    <row r="3085" spans="1:4" x14ac:dyDescent="0.2">
      <c r="A3085">
        <v>3693359</v>
      </c>
      <c r="B3085">
        <v>30064</v>
      </c>
      <c r="C3085">
        <v>302362</v>
      </c>
      <c r="D3085">
        <v>21883</v>
      </c>
    </row>
    <row r="3086" spans="1:4" x14ac:dyDescent="0.2">
      <c r="A3086">
        <v>3693359</v>
      </c>
      <c r="B3086">
        <v>30065</v>
      </c>
      <c r="C3086">
        <v>302371</v>
      </c>
      <c r="D3086">
        <v>21883</v>
      </c>
    </row>
    <row r="3087" spans="1:4" x14ac:dyDescent="0.2">
      <c r="A3087">
        <v>3693359</v>
      </c>
      <c r="B3087">
        <v>30066</v>
      </c>
      <c r="C3087">
        <v>302436</v>
      </c>
      <c r="D3087">
        <v>21883</v>
      </c>
    </row>
    <row r="3088" spans="1:4" x14ac:dyDescent="0.2">
      <c r="A3088">
        <v>3693359</v>
      </c>
      <c r="B3088">
        <v>30067</v>
      </c>
      <c r="C3088">
        <v>302454</v>
      </c>
      <c r="D3088">
        <v>21883</v>
      </c>
    </row>
    <row r="3089" spans="1:4" x14ac:dyDescent="0.2">
      <c r="A3089">
        <v>3693360</v>
      </c>
      <c r="B3089">
        <v>30063</v>
      </c>
      <c r="C3089">
        <v>302357</v>
      </c>
      <c r="D3089">
        <v>21883</v>
      </c>
    </row>
    <row r="3090" spans="1:4" x14ac:dyDescent="0.2">
      <c r="A3090">
        <v>3693360</v>
      </c>
      <c r="B3090">
        <v>30064</v>
      </c>
      <c r="C3090">
        <v>302360</v>
      </c>
      <c r="D3090">
        <v>21883</v>
      </c>
    </row>
    <row r="3091" spans="1:4" x14ac:dyDescent="0.2">
      <c r="A3091">
        <v>3693360</v>
      </c>
      <c r="B3091">
        <v>30065</v>
      </c>
      <c r="C3091">
        <v>302371</v>
      </c>
      <c r="D3091">
        <v>21883</v>
      </c>
    </row>
    <row r="3092" spans="1:4" x14ac:dyDescent="0.2">
      <c r="A3092">
        <v>3693360</v>
      </c>
      <c r="B3092">
        <v>30066</v>
      </c>
      <c r="C3092">
        <v>302436</v>
      </c>
      <c r="D3092">
        <v>21883</v>
      </c>
    </row>
    <row r="3093" spans="1:4" x14ac:dyDescent="0.2">
      <c r="A3093">
        <v>3693360</v>
      </c>
      <c r="B3093">
        <v>30067</v>
      </c>
      <c r="C3093">
        <v>302447</v>
      </c>
      <c r="D3093">
        <v>21883</v>
      </c>
    </row>
    <row r="3094" spans="1:4" x14ac:dyDescent="0.2">
      <c r="A3094">
        <v>3693361</v>
      </c>
      <c r="B3094">
        <v>30063</v>
      </c>
      <c r="C3094">
        <v>302357</v>
      </c>
      <c r="D3094">
        <v>21883</v>
      </c>
    </row>
    <row r="3095" spans="1:4" x14ac:dyDescent="0.2">
      <c r="A3095">
        <v>3693361</v>
      </c>
      <c r="B3095">
        <v>30064</v>
      </c>
      <c r="C3095">
        <v>302360</v>
      </c>
      <c r="D3095">
        <v>21883</v>
      </c>
    </row>
    <row r="3096" spans="1:4" x14ac:dyDescent="0.2">
      <c r="A3096">
        <v>3693361</v>
      </c>
      <c r="B3096">
        <v>30065</v>
      </c>
      <c r="C3096">
        <v>302371</v>
      </c>
      <c r="D3096">
        <v>21883</v>
      </c>
    </row>
    <row r="3097" spans="1:4" x14ac:dyDescent="0.2">
      <c r="A3097">
        <v>3693361</v>
      </c>
      <c r="B3097">
        <v>30066</v>
      </c>
      <c r="C3097">
        <v>302436</v>
      </c>
      <c r="D3097">
        <v>21883</v>
      </c>
    </row>
    <row r="3098" spans="1:4" x14ac:dyDescent="0.2">
      <c r="A3098">
        <v>3693361</v>
      </c>
      <c r="B3098">
        <v>30067</v>
      </c>
      <c r="C3098">
        <v>302447</v>
      </c>
      <c r="D3098">
        <v>21883</v>
      </c>
    </row>
    <row r="3099" spans="1:4" x14ac:dyDescent="0.2">
      <c r="A3099">
        <v>3693362</v>
      </c>
      <c r="B3099">
        <v>30063</v>
      </c>
      <c r="C3099">
        <v>302357</v>
      </c>
      <c r="D3099">
        <v>21883</v>
      </c>
    </row>
    <row r="3100" spans="1:4" x14ac:dyDescent="0.2">
      <c r="A3100">
        <v>3693362</v>
      </c>
      <c r="B3100">
        <v>30064</v>
      </c>
      <c r="C3100">
        <v>302360</v>
      </c>
      <c r="D3100">
        <v>21883</v>
      </c>
    </row>
    <row r="3101" spans="1:4" x14ac:dyDescent="0.2">
      <c r="A3101">
        <v>3693362</v>
      </c>
      <c r="B3101">
        <v>30065</v>
      </c>
      <c r="C3101">
        <v>302371</v>
      </c>
      <c r="D3101">
        <v>21883</v>
      </c>
    </row>
    <row r="3102" spans="1:4" x14ac:dyDescent="0.2">
      <c r="A3102">
        <v>3693362</v>
      </c>
      <c r="B3102">
        <v>30066</v>
      </c>
      <c r="C3102">
        <v>302436</v>
      </c>
      <c r="D3102">
        <v>21883</v>
      </c>
    </row>
    <row r="3103" spans="1:4" x14ac:dyDescent="0.2">
      <c r="A3103">
        <v>3693362</v>
      </c>
      <c r="B3103">
        <v>30067</v>
      </c>
      <c r="C3103">
        <v>302447</v>
      </c>
      <c r="D3103">
        <v>21883</v>
      </c>
    </row>
    <row r="3104" spans="1:4" x14ac:dyDescent="0.2">
      <c r="A3104">
        <v>3693363</v>
      </c>
      <c r="B3104">
        <v>30063</v>
      </c>
      <c r="C3104">
        <v>302357</v>
      </c>
      <c r="D3104">
        <v>21883</v>
      </c>
    </row>
    <row r="3105" spans="1:4" x14ac:dyDescent="0.2">
      <c r="A3105">
        <v>3693363</v>
      </c>
      <c r="B3105">
        <v>30064</v>
      </c>
      <c r="C3105">
        <v>302362</v>
      </c>
      <c r="D3105">
        <v>21883</v>
      </c>
    </row>
    <row r="3106" spans="1:4" x14ac:dyDescent="0.2">
      <c r="A3106">
        <v>3693363</v>
      </c>
      <c r="B3106">
        <v>30065</v>
      </c>
      <c r="C3106">
        <v>302371</v>
      </c>
      <c r="D3106">
        <v>21883</v>
      </c>
    </row>
    <row r="3107" spans="1:4" x14ac:dyDescent="0.2">
      <c r="A3107">
        <v>3693363</v>
      </c>
      <c r="B3107">
        <v>30066</v>
      </c>
      <c r="C3107">
        <v>302436</v>
      </c>
      <c r="D3107">
        <v>21883</v>
      </c>
    </row>
    <row r="3108" spans="1:4" x14ac:dyDescent="0.2">
      <c r="A3108">
        <v>3693363</v>
      </c>
      <c r="B3108">
        <v>30067</v>
      </c>
      <c r="C3108">
        <v>302447</v>
      </c>
      <c r="D3108">
        <v>21883</v>
      </c>
    </row>
    <row r="3109" spans="1:4" x14ac:dyDescent="0.2">
      <c r="A3109">
        <v>3693364</v>
      </c>
      <c r="B3109">
        <v>30063</v>
      </c>
      <c r="C3109">
        <v>302357</v>
      </c>
      <c r="D3109">
        <v>21883</v>
      </c>
    </row>
    <row r="3110" spans="1:4" x14ac:dyDescent="0.2">
      <c r="A3110">
        <v>3693364</v>
      </c>
      <c r="B3110">
        <v>30064</v>
      </c>
      <c r="C3110">
        <v>302362</v>
      </c>
      <c r="D3110">
        <v>21883</v>
      </c>
    </row>
    <row r="3111" spans="1:4" x14ac:dyDescent="0.2">
      <c r="A3111">
        <v>3693364</v>
      </c>
      <c r="B3111">
        <v>30065</v>
      </c>
      <c r="C3111">
        <v>302371</v>
      </c>
      <c r="D3111">
        <v>21883</v>
      </c>
    </row>
    <row r="3112" spans="1:4" x14ac:dyDescent="0.2">
      <c r="A3112">
        <v>3693364</v>
      </c>
      <c r="B3112">
        <v>30066</v>
      </c>
      <c r="C3112">
        <v>302436</v>
      </c>
      <c r="D3112">
        <v>21883</v>
      </c>
    </row>
    <row r="3113" spans="1:4" x14ac:dyDescent="0.2">
      <c r="A3113">
        <v>3693364</v>
      </c>
      <c r="B3113">
        <v>30067</v>
      </c>
      <c r="C3113">
        <v>302447</v>
      </c>
      <c r="D3113">
        <v>21883</v>
      </c>
    </row>
    <row r="3114" spans="1:4" x14ac:dyDescent="0.2">
      <c r="A3114">
        <v>3693365</v>
      </c>
      <c r="B3114">
        <v>30063</v>
      </c>
      <c r="C3114">
        <v>302357</v>
      </c>
      <c r="D3114">
        <v>21883</v>
      </c>
    </row>
    <row r="3115" spans="1:4" x14ac:dyDescent="0.2">
      <c r="A3115">
        <v>3693365</v>
      </c>
      <c r="B3115">
        <v>30064</v>
      </c>
      <c r="C3115">
        <v>302362</v>
      </c>
      <c r="D3115">
        <v>21883</v>
      </c>
    </row>
    <row r="3116" spans="1:4" x14ac:dyDescent="0.2">
      <c r="A3116">
        <v>3693365</v>
      </c>
      <c r="B3116">
        <v>30065</v>
      </c>
      <c r="C3116">
        <v>302371</v>
      </c>
      <c r="D3116">
        <v>21883</v>
      </c>
    </row>
    <row r="3117" spans="1:4" x14ac:dyDescent="0.2">
      <c r="A3117">
        <v>3693365</v>
      </c>
      <c r="B3117">
        <v>30066</v>
      </c>
      <c r="C3117">
        <v>302436</v>
      </c>
      <c r="D3117">
        <v>21883</v>
      </c>
    </row>
    <row r="3118" spans="1:4" x14ac:dyDescent="0.2">
      <c r="A3118">
        <v>3693365</v>
      </c>
      <c r="B3118">
        <v>30067</v>
      </c>
      <c r="C3118">
        <v>302447</v>
      </c>
      <c r="D3118">
        <v>21883</v>
      </c>
    </row>
    <row r="3119" spans="1:4" x14ac:dyDescent="0.2">
      <c r="A3119">
        <v>3693366</v>
      </c>
      <c r="B3119">
        <v>30063</v>
      </c>
      <c r="C3119">
        <v>302357</v>
      </c>
      <c r="D3119">
        <v>21883</v>
      </c>
    </row>
    <row r="3120" spans="1:4" x14ac:dyDescent="0.2">
      <c r="A3120">
        <v>3693366</v>
      </c>
      <c r="B3120">
        <v>30064</v>
      </c>
      <c r="C3120">
        <v>302362</v>
      </c>
      <c r="D3120">
        <v>21883</v>
      </c>
    </row>
    <row r="3121" spans="1:4" x14ac:dyDescent="0.2">
      <c r="A3121">
        <v>3693366</v>
      </c>
      <c r="B3121">
        <v>30065</v>
      </c>
      <c r="C3121">
        <v>302371</v>
      </c>
      <c r="D3121">
        <v>21883</v>
      </c>
    </row>
    <row r="3122" spans="1:4" x14ac:dyDescent="0.2">
      <c r="A3122">
        <v>3693366</v>
      </c>
      <c r="B3122">
        <v>30066</v>
      </c>
      <c r="C3122">
        <v>302436</v>
      </c>
      <c r="D3122">
        <v>21883</v>
      </c>
    </row>
    <row r="3123" spans="1:4" x14ac:dyDescent="0.2">
      <c r="A3123">
        <v>3693366</v>
      </c>
      <c r="B3123">
        <v>30067</v>
      </c>
      <c r="C3123">
        <v>302447</v>
      </c>
      <c r="D3123">
        <v>21883</v>
      </c>
    </row>
    <row r="3124" spans="1:4" x14ac:dyDescent="0.2">
      <c r="A3124">
        <v>3693367</v>
      </c>
      <c r="B3124">
        <v>30063</v>
      </c>
      <c r="C3124">
        <v>302357</v>
      </c>
      <c r="D3124">
        <v>21883</v>
      </c>
    </row>
    <row r="3125" spans="1:4" x14ac:dyDescent="0.2">
      <c r="A3125">
        <v>3693367</v>
      </c>
      <c r="B3125">
        <v>30064</v>
      </c>
      <c r="C3125">
        <v>302360</v>
      </c>
      <c r="D3125">
        <v>21883</v>
      </c>
    </row>
    <row r="3126" spans="1:4" x14ac:dyDescent="0.2">
      <c r="A3126">
        <v>3693367</v>
      </c>
      <c r="B3126">
        <v>30065</v>
      </c>
      <c r="C3126">
        <v>302371</v>
      </c>
      <c r="D3126">
        <v>21883</v>
      </c>
    </row>
    <row r="3127" spans="1:4" x14ac:dyDescent="0.2">
      <c r="A3127">
        <v>3693367</v>
      </c>
      <c r="B3127">
        <v>30066</v>
      </c>
      <c r="C3127">
        <v>302436</v>
      </c>
      <c r="D3127">
        <v>21883</v>
      </c>
    </row>
    <row r="3128" spans="1:4" x14ac:dyDescent="0.2">
      <c r="A3128">
        <v>3693367</v>
      </c>
      <c r="B3128">
        <v>30067</v>
      </c>
      <c r="C3128">
        <v>302448</v>
      </c>
      <c r="D3128">
        <v>21883</v>
      </c>
    </row>
    <row r="3129" spans="1:4" x14ac:dyDescent="0.2">
      <c r="A3129">
        <v>3693368</v>
      </c>
      <c r="B3129">
        <v>30063</v>
      </c>
      <c r="C3129">
        <v>302357</v>
      </c>
      <c r="D3129">
        <v>21883</v>
      </c>
    </row>
    <row r="3130" spans="1:4" x14ac:dyDescent="0.2">
      <c r="A3130">
        <v>3693368</v>
      </c>
      <c r="B3130">
        <v>30064</v>
      </c>
      <c r="C3130">
        <v>302360</v>
      </c>
      <c r="D3130">
        <v>21883</v>
      </c>
    </row>
    <row r="3131" spans="1:4" x14ac:dyDescent="0.2">
      <c r="A3131">
        <v>3693368</v>
      </c>
      <c r="B3131">
        <v>30065</v>
      </c>
      <c r="C3131">
        <v>302371</v>
      </c>
      <c r="D3131">
        <v>21883</v>
      </c>
    </row>
    <row r="3132" spans="1:4" x14ac:dyDescent="0.2">
      <c r="A3132">
        <v>3693368</v>
      </c>
      <c r="B3132">
        <v>30066</v>
      </c>
      <c r="C3132">
        <v>302436</v>
      </c>
      <c r="D3132">
        <v>21883</v>
      </c>
    </row>
    <row r="3133" spans="1:4" x14ac:dyDescent="0.2">
      <c r="A3133">
        <v>3693368</v>
      </c>
      <c r="B3133">
        <v>30067</v>
      </c>
      <c r="C3133">
        <v>302448</v>
      </c>
      <c r="D3133">
        <v>21883</v>
      </c>
    </row>
    <row r="3134" spans="1:4" x14ac:dyDescent="0.2">
      <c r="A3134">
        <v>3693369</v>
      </c>
      <c r="B3134">
        <v>30063</v>
      </c>
      <c r="C3134">
        <v>302357</v>
      </c>
      <c r="D3134">
        <v>21883</v>
      </c>
    </row>
    <row r="3135" spans="1:4" x14ac:dyDescent="0.2">
      <c r="A3135">
        <v>3693369</v>
      </c>
      <c r="B3135">
        <v>30064</v>
      </c>
      <c r="C3135">
        <v>302360</v>
      </c>
      <c r="D3135">
        <v>21883</v>
      </c>
    </row>
    <row r="3136" spans="1:4" x14ac:dyDescent="0.2">
      <c r="A3136">
        <v>3693369</v>
      </c>
      <c r="B3136">
        <v>30065</v>
      </c>
      <c r="C3136">
        <v>302371</v>
      </c>
      <c r="D3136">
        <v>21883</v>
      </c>
    </row>
    <row r="3137" spans="1:4" x14ac:dyDescent="0.2">
      <c r="A3137">
        <v>3693369</v>
      </c>
      <c r="B3137">
        <v>30066</v>
      </c>
      <c r="C3137">
        <v>302436</v>
      </c>
      <c r="D3137">
        <v>21883</v>
      </c>
    </row>
    <row r="3138" spans="1:4" x14ac:dyDescent="0.2">
      <c r="A3138">
        <v>3693369</v>
      </c>
      <c r="B3138">
        <v>30067</v>
      </c>
      <c r="C3138">
        <v>302448</v>
      </c>
      <c r="D3138">
        <v>21883</v>
      </c>
    </row>
    <row r="3139" spans="1:4" x14ac:dyDescent="0.2">
      <c r="A3139">
        <v>3693370</v>
      </c>
      <c r="B3139">
        <v>30063</v>
      </c>
      <c r="C3139">
        <v>302357</v>
      </c>
      <c r="D3139">
        <v>21883</v>
      </c>
    </row>
    <row r="3140" spans="1:4" x14ac:dyDescent="0.2">
      <c r="A3140">
        <v>3693370</v>
      </c>
      <c r="B3140">
        <v>30064</v>
      </c>
      <c r="C3140">
        <v>302362</v>
      </c>
      <c r="D3140">
        <v>21883</v>
      </c>
    </row>
    <row r="3141" spans="1:4" x14ac:dyDescent="0.2">
      <c r="A3141">
        <v>3693370</v>
      </c>
      <c r="B3141">
        <v>30065</v>
      </c>
      <c r="C3141">
        <v>302371</v>
      </c>
      <c r="D3141">
        <v>21883</v>
      </c>
    </row>
    <row r="3142" spans="1:4" x14ac:dyDescent="0.2">
      <c r="A3142">
        <v>3693370</v>
      </c>
      <c r="B3142">
        <v>30066</v>
      </c>
      <c r="C3142">
        <v>302436</v>
      </c>
      <c r="D3142">
        <v>21883</v>
      </c>
    </row>
    <row r="3143" spans="1:4" x14ac:dyDescent="0.2">
      <c r="A3143">
        <v>3693370</v>
      </c>
      <c r="B3143">
        <v>30067</v>
      </c>
      <c r="C3143">
        <v>302448</v>
      </c>
      <c r="D3143">
        <v>21883</v>
      </c>
    </row>
    <row r="3144" spans="1:4" x14ac:dyDescent="0.2">
      <c r="A3144">
        <v>3693371</v>
      </c>
      <c r="B3144">
        <v>30063</v>
      </c>
      <c r="C3144">
        <v>302357</v>
      </c>
      <c r="D3144">
        <v>21883</v>
      </c>
    </row>
    <row r="3145" spans="1:4" x14ac:dyDescent="0.2">
      <c r="A3145">
        <v>3693371</v>
      </c>
      <c r="B3145">
        <v>30064</v>
      </c>
      <c r="C3145">
        <v>302362</v>
      </c>
      <c r="D3145">
        <v>21883</v>
      </c>
    </row>
    <row r="3146" spans="1:4" x14ac:dyDescent="0.2">
      <c r="A3146">
        <v>3693371</v>
      </c>
      <c r="B3146">
        <v>30065</v>
      </c>
      <c r="C3146">
        <v>302371</v>
      </c>
      <c r="D3146">
        <v>21883</v>
      </c>
    </row>
    <row r="3147" spans="1:4" x14ac:dyDescent="0.2">
      <c r="A3147">
        <v>3693371</v>
      </c>
      <c r="B3147">
        <v>30066</v>
      </c>
      <c r="C3147">
        <v>302436</v>
      </c>
      <c r="D3147">
        <v>21883</v>
      </c>
    </row>
    <row r="3148" spans="1:4" x14ac:dyDescent="0.2">
      <c r="A3148">
        <v>3693371</v>
      </c>
      <c r="B3148">
        <v>30067</v>
      </c>
      <c r="C3148">
        <v>302448</v>
      </c>
      <c r="D3148">
        <v>21883</v>
      </c>
    </row>
    <row r="3149" spans="1:4" x14ac:dyDescent="0.2">
      <c r="A3149">
        <v>3693372</v>
      </c>
      <c r="B3149">
        <v>30063</v>
      </c>
      <c r="C3149">
        <v>302357</v>
      </c>
      <c r="D3149">
        <v>21883</v>
      </c>
    </row>
    <row r="3150" spans="1:4" x14ac:dyDescent="0.2">
      <c r="A3150">
        <v>3693372</v>
      </c>
      <c r="B3150">
        <v>30064</v>
      </c>
      <c r="C3150">
        <v>302362</v>
      </c>
      <c r="D3150">
        <v>21883</v>
      </c>
    </row>
    <row r="3151" spans="1:4" x14ac:dyDescent="0.2">
      <c r="A3151">
        <v>3693372</v>
      </c>
      <c r="B3151">
        <v>30065</v>
      </c>
      <c r="C3151">
        <v>302371</v>
      </c>
      <c r="D3151">
        <v>21883</v>
      </c>
    </row>
    <row r="3152" spans="1:4" x14ac:dyDescent="0.2">
      <c r="A3152">
        <v>3693372</v>
      </c>
      <c r="B3152">
        <v>30066</v>
      </c>
      <c r="C3152">
        <v>302436</v>
      </c>
      <c r="D3152">
        <v>21883</v>
      </c>
    </row>
    <row r="3153" spans="1:4" x14ac:dyDescent="0.2">
      <c r="A3153">
        <v>3693372</v>
      </c>
      <c r="B3153">
        <v>30067</v>
      </c>
      <c r="C3153">
        <v>302448</v>
      </c>
      <c r="D3153">
        <v>21883</v>
      </c>
    </row>
    <row r="3154" spans="1:4" x14ac:dyDescent="0.2">
      <c r="A3154">
        <v>3693373</v>
      </c>
      <c r="B3154">
        <v>30063</v>
      </c>
      <c r="C3154">
        <v>302357</v>
      </c>
      <c r="D3154">
        <v>21883</v>
      </c>
    </row>
    <row r="3155" spans="1:4" x14ac:dyDescent="0.2">
      <c r="A3155">
        <v>3693373</v>
      </c>
      <c r="B3155">
        <v>30064</v>
      </c>
      <c r="C3155">
        <v>302360</v>
      </c>
      <c r="D3155">
        <v>21883</v>
      </c>
    </row>
    <row r="3156" spans="1:4" x14ac:dyDescent="0.2">
      <c r="A3156">
        <v>3693373</v>
      </c>
      <c r="B3156">
        <v>30065</v>
      </c>
      <c r="C3156">
        <v>302371</v>
      </c>
      <c r="D3156">
        <v>21883</v>
      </c>
    </row>
    <row r="3157" spans="1:4" x14ac:dyDescent="0.2">
      <c r="A3157">
        <v>3693373</v>
      </c>
      <c r="B3157">
        <v>30066</v>
      </c>
      <c r="C3157">
        <v>302436</v>
      </c>
      <c r="D3157">
        <v>21883</v>
      </c>
    </row>
    <row r="3158" spans="1:4" x14ac:dyDescent="0.2">
      <c r="A3158">
        <v>3693373</v>
      </c>
      <c r="B3158">
        <v>30067</v>
      </c>
      <c r="C3158">
        <v>302449</v>
      </c>
      <c r="D3158">
        <v>21883</v>
      </c>
    </row>
    <row r="3159" spans="1:4" x14ac:dyDescent="0.2">
      <c r="A3159">
        <v>3693374</v>
      </c>
      <c r="B3159">
        <v>30063</v>
      </c>
      <c r="C3159">
        <v>302357</v>
      </c>
      <c r="D3159">
        <v>21883</v>
      </c>
    </row>
    <row r="3160" spans="1:4" x14ac:dyDescent="0.2">
      <c r="A3160">
        <v>3693374</v>
      </c>
      <c r="B3160">
        <v>30064</v>
      </c>
      <c r="C3160">
        <v>302360</v>
      </c>
      <c r="D3160">
        <v>21883</v>
      </c>
    </row>
    <row r="3161" spans="1:4" x14ac:dyDescent="0.2">
      <c r="A3161">
        <v>3693374</v>
      </c>
      <c r="B3161">
        <v>30065</v>
      </c>
      <c r="C3161">
        <v>302371</v>
      </c>
      <c r="D3161">
        <v>21883</v>
      </c>
    </row>
    <row r="3162" spans="1:4" x14ac:dyDescent="0.2">
      <c r="A3162">
        <v>3693374</v>
      </c>
      <c r="B3162">
        <v>30066</v>
      </c>
      <c r="C3162">
        <v>302436</v>
      </c>
      <c r="D3162">
        <v>21883</v>
      </c>
    </row>
    <row r="3163" spans="1:4" x14ac:dyDescent="0.2">
      <c r="A3163">
        <v>3693374</v>
      </c>
      <c r="B3163">
        <v>30067</v>
      </c>
      <c r="C3163">
        <v>302449</v>
      </c>
      <c r="D3163">
        <v>21883</v>
      </c>
    </row>
    <row r="3164" spans="1:4" x14ac:dyDescent="0.2">
      <c r="A3164">
        <v>3693375</v>
      </c>
      <c r="B3164">
        <v>30063</v>
      </c>
      <c r="C3164">
        <v>302357</v>
      </c>
      <c r="D3164">
        <v>21883</v>
      </c>
    </row>
    <row r="3165" spans="1:4" x14ac:dyDescent="0.2">
      <c r="A3165">
        <v>3693375</v>
      </c>
      <c r="B3165">
        <v>30064</v>
      </c>
      <c r="C3165">
        <v>302360</v>
      </c>
      <c r="D3165">
        <v>21883</v>
      </c>
    </row>
    <row r="3166" spans="1:4" x14ac:dyDescent="0.2">
      <c r="A3166">
        <v>3693375</v>
      </c>
      <c r="B3166">
        <v>30065</v>
      </c>
      <c r="C3166">
        <v>302371</v>
      </c>
      <c r="D3166">
        <v>21883</v>
      </c>
    </row>
    <row r="3167" spans="1:4" x14ac:dyDescent="0.2">
      <c r="A3167">
        <v>3693375</v>
      </c>
      <c r="B3167">
        <v>30066</v>
      </c>
      <c r="C3167">
        <v>302436</v>
      </c>
      <c r="D3167">
        <v>21883</v>
      </c>
    </row>
    <row r="3168" spans="1:4" x14ac:dyDescent="0.2">
      <c r="A3168">
        <v>3693375</v>
      </c>
      <c r="B3168">
        <v>30067</v>
      </c>
      <c r="C3168">
        <v>302449</v>
      </c>
      <c r="D3168">
        <v>21883</v>
      </c>
    </row>
    <row r="3169" spans="1:4" x14ac:dyDescent="0.2">
      <c r="A3169">
        <v>3693376</v>
      </c>
      <c r="B3169">
        <v>30063</v>
      </c>
      <c r="C3169">
        <v>302357</v>
      </c>
      <c r="D3169">
        <v>21883</v>
      </c>
    </row>
    <row r="3170" spans="1:4" x14ac:dyDescent="0.2">
      <c r="A3170">
        <v>3693376</v>
      </c>
      <c r="B3170">
        <v>30064</v>
      </c>
      <c r="C3170">
        <v>302362</v>
      </c>
      <c r="D3170">
        <v>21883</v>
      </c>
    </row>
    <row r="3171" spans="1:4" x14ac:dyDescent="0.2">
      <c r="A3171">
        <v>3693376</v>
      </c>
      <c r="B3171">
        <v>30065</v>
      </c>
      <c r="C3171">
        <v>302371</v>
      </c>
      <c r="D3171">
        <v>21883</v>
      </c>
    </row>
    <row r="3172" spans="1:4" x14ac:dyDescent="0.2">
      <c r="A3172">
        <v>3693376</v>
      </c>
      <c r="B3172">
        <v>30066</v>
      </c>
      <c r="C3172">
        <v>302436</v>
      </c>
      <c r="D3172">
        <v>21883</v>
      </c>
    </row>
    <row r="3173" spans="1:4" x14ac:dyDescent="0.2">
      <c r="A3173">
        <v>3693376</v>
      </c>
      <c r="B3173">
        <v>30067</v>
      </c>
      <c r="C3173">
        <v>302449</v>
      </c>
      <c r="D3173">
        <v>21883</v>
      </c>
    </row>
    <row r="3174" spans="1:4" x14ac:dyDescent="0.2">
      <c r="A3174">
        <v>3693377</v>
      </c>
      <c r="B3174">
        <v>30063</v>
      </c>
      <c r="C3174">
        <v>302357</v>
      </c>
      <c r="D3174">
        <v>21883</v>
      </c>
    </row>
    <row r="3175" spans="1:4" x14ac:dyDescent="0.2">
      <c r="A3175">
        <v>3693377</v>
      </c>
      <c r="B3175">
        <v>30064</v>
      </c>
      <c r="C3175">
        <v>302362</v>
      </c>
      <c r="D3175">
        <v>21883</v>
      </c>
    </row>
    <row r="3176" spans="1:4" x14ac:dyDescent="0.2">
      <c r="A3176">
        <v>3693377</v>
      </c>
      <c r="B3176">
        <v>30065</v>
      </c>
      <c r="C3176">
        <v>302371</v>
      </c>
      <c r="D3176">
        <v>21883</v>
      </c>
    </row>
    <row r="3177" spans="1:4" x14ac:dyDescent="0.2">
      <c r="A3177">
        <v>3693377</v>
      </c>
      <c r="B3177">
        <v>30066</v>
      </c>
      <c r="C3177">
        <v>302436</v>
      </c>
      <c r="D3177">
        <v>21883</v>
      </c>
    </row>
    <row r="3178" spans="1:4" x14ac:dyDescent="0.2">
      <c r="A3178">
        <v>3693377</v>
      </c>
      <c r="B3178">
        <v>30067</v>
      </c>
      <c r="C3178">
        <v>302449</v>
      </c>
      <c r="D3178">
        <v>21883</v>
      </c>
    </row>
    <row r="3179" spans="1:4" x14ac:dyDescent="0.2">
      <c r="A3179">
        <v>3693378</v>
      </c>
      <c r="B3179">
        <v>30063</v>
      </c>
      <c r="C3179">
        <v>302357</v>
      </c>
      <c r="D3179">
        <v>21883</v>
      </c>
    </row>
    <row r="3180" spans="1:4" x14ac:dyDescent="0.2">
      <c r="A3180">
        <v>3693378</v>
      </c>
      <c r="B3180">
        <v>30064</v>
      </c>
      <c r="C3180">
        <v>302362</v>
      </c>
      <c r="D3180">
        <v>21883</v>
      </c>
    </row>
    <row r="3181" spans="1:4" x14ac:dyDescent="0.2">
      <c r="A3181">
        <v>3693378</v>
      </c>
      <c r="B3181">
        <v>30065</v>
      </c>
      <c r="C3181">
        <v>302371</v>
      </c>
      <c r="D3181">
        <v>21883</v>
      </c>
    </row>
    <row r="3182" spans="1:4" x14ac:dyDescent="0.2">
      <c r="A3182">
        <v>3693378</v>
      </c>
      <c r="B3182">
        <v>30066</v>
      </c>
      <c r="C3182">
        <v>302436</v>
      </c>
      <c r="D3182">
        <v>21883</v>
      </c>
    </row>
    <row r="3183" spans="1:4" x14ac:dyDescent="0.2">
      <c r="A3183">
        <v>3693378</v>
      </c>
      <c r="B3183">
        <v>30067</v>
      </c>
      <c r="C3183">
        <v>302449</v>
      </c>
      <c r="D3183">
        <v>21883</v>
      </c>
    </row>
    <row r="3184" spans="1:4" x14ac:dyDescent="0.2">
      <c r="A3184">
        <v>3693379</v>
      </c>
      <c r="B3184">
        <v>30063</v>
      </c>
      <c r="C3184">
        <v>302357</v>
      </c>
      <c r="D3184">
        <v>21883</v>
      </c>
    </row>
    <row r="3185" spans="1:4" x14ac:dyDescent="0.2">
      <c r="A3185">
        <v>3693379</v>
      </c>
      <c r="B3185">
        <v>30064</v>
      </c>
      <c r="C3185">
        <v>302360</v>
      </c>
      <c r="D3185">
        <v>21883</v>
      </c>
    </row>
    <row r="3186" spans="1:4" x14ac:dyDescent="0.2">
      <c r="A3186">
        <v>3693379</v>
      </c>
      <c r="B3186">
        <v>30065</v>
      </c>
      <c r="C3186">
        <v>302371</v>
      </c>
      <c r="D3186">
        <v>21883</v>
      </c>
    </row>
    <row r="3187" spans="1:4" x14ac:dyDescent="0.2">
      <c r="A3187">
        <v>3693379</v>
      </c>
      <c r="B3187">
        <v>30066</v>
      </c>
      <c r="C3187">
        <v>302436</v>
      </c>
      <c r="D3187">
        <v>21883</v>
      </c>
    </row>
    <row r="3188" spans="1:4" x14ac:dyDescent="0.2">
      <c r="A3188">
        <v>3693379</v>
      </c>
      <c r="B3188">
        <v>30067</v>
      </c>
      <c r="C3188">
        <v>302450</v>
      </c>
      <c r="D3188">
        <v>21883</v>
      </c>
    </row>
    <row r="3189" spans="1:4" x14ac:dyDescent="0.2">
      <c r="A3189">
        <v>3693380</v>
      </c>
      <c r="B3189">
        <v>30063</v>
      </c>
      <c r="C3189">
        <v>302357</v>
      </c>
      <c r="D3189">
        <v>21883</v>
      </c>
    </row>
    <row r="3190" spans="1:4" x14ac:dyDescent="0.2">
      <c r="A3190">
        <v>3693380</v>
      </c>
      <c r="B3190">
        <v>30064</v>
      </c>
      <c r="C3190">
        <v>302360</v>
      </c>
      <c r="D3190">
        <v>21883</v>
      </c>
    </row>
    <row r="3191" spans="1:4" x14ac:dyDescent="0.2">
      <c r="A3191">
        <v>3693380</v>
      </c>
      <c r="B3191">
        <v>30065</v>
      </c>
      <c r="C3191">
        <v>302371</v>
      </c>
      <c r="D3191">
        <v>21883</v>
      </c>
    </row>
    <row r="3192" spans="1:4" x14ac:dyDescent="0.2">
      <c r="A3192">
        <v>3693380</v>
      </c>
      <c r="B3192">
        <v>30066</v>
      </c>
      <c r="C3192">
        <v>302436</v>
      </c>
      <c r="D3192">
        <v>21883</v>
      </c>
    </row>
    <row r="3193" spans="1:4" x14ac:dyDescent="0.2">
      <c r="A3193">
        <v>3693380</v>
      </c>
      <c r="B3193">
        <v>30067</v>
      </c>
      <c r="C3193">
        <v>302450</v>
      </c>
      <c r="D3193">
        <v>21883</v>
      </c>
    </row>
    <row r="3194" spans="1:4" x14ac:dyDescent="0.2">
      <c r="A3194">
        <v>3693381</v>
      </c>
      <c r="B3194">
        <v>30063</v>
      </c>
      <c r="C3194">
        <v>302357</v>
      </c>
      <c r="D3194">
        <v>21883</v>
      </c>
    </row>
    <row r="3195" spans="1:4" x14ac:dyDescent="0.2">
      <c r="A3195">
        <v>3693381</v>
      </c>
      <c r="B3195">
        <v>30064</v>
      </c>
      <c r="C3195">
        <v>302360</v>
      </c>
      <c r="D3195">
        <v>21883</v>
      </c>
    </row>
    <row r="3196" spans="1:4" x14ac:dyDescent="0.2">
      <c r="A3196">
        <v>3693381</v>
      </c>
      <c r="B3196">
        <v>30065</v>
      </c>
      <c r="C3196">
        <v>302371</v>
      </c>
      <c r="D3196">
        <v>21883</v>
      </c>
    </row>
    <row r="3197" spans="1:4" x14ac:dyDescent="0.2">
      <c r="A3197">
        <v>3693381</v>
      </c>
      <c r="B3197">
        <v>30066</v>
      </c>
      <c r="C3197">
        <v>302436</v>
      </c>
      <c r="D3197">
        <v>21883</v>
      </c>
    </row>
    <row r="3198" spans="1:4" x14ac:dyDescent="0.2">
      <c r="A3198">
        <v>3693381</v>
      </c>
      <c r="B3198">
        <v>30067</v>
      </c>
      <c r="C3198">
        <v>302450</v>
      </c>
      <c r="D3198">
        <v>21883</v>
      </c>
    </row>
    <row r="3199" spans="1:4" x14ac:dyDescent="0.2">
      <c r="A3199">
        <v>3693382</v>
      </c>
      <c r="B3199">
        <v>30063</v>
      </c>
      <c r="C3199">
        <v>302357</v>
      </c>
      <c r="D3199">
        <v>21883</v>
      </c>
    </row>
    <row r="3200" spans="1:4" x14ac:dyDescent="0.2">
      <c r="A3200">
        <v>3693382</v>
      </c>
      <c r="B3200">
        <v>30064</v>
      </c>
      <c r="C3200">
        <v>302362</v>
      </c>
      <c r="D3200">
        <v>21883</v>
      </c>
    </row>
    <row r="3201" spans="1:4" x14ac:dyDescent="0.2">
      <c r="A3201">
        <v>3693382</v>
      </c>
      <c r="B3201">
        <v>30065</v>
      </c>
      <c r="C3201">
        <v>302371</v>
      </c>
      <c r="D3201">
        <v>21883</v>
      </c>
    </row>
    <row r="3202" spans="1:4" x14ac:dyDescent="0.2">
      <c r="A3202">
        <v>3693382</v>
      </c>
      <c r="B3202">
        <v>30066</v>
      </c>
      <c r="C3202">
        <v>302436</v>
      </c>
      <c r="D3202">
        <v>21883</v>
      </c>
    </row>
    <row r="3203" spans="1:4" x14ac:dyDescent="0.2">
      <c r="A3203">
        <v>3693382</v>
      </c>
      <c r="B3203">
        <v>30067</v>
      </c>
      <c r="C3203">
        <v>302450</v>
      </c>
      <c r="D3203">
        <v>21883</v>
      </c>
    </row>
    <row r="3204" spans="1:4" x14ac:dyDescent="0.2">
      <c r="A3204">
        <v>3693383</v>
      </c>
      <c r="B3204">
        <v>30063</v>
      </c>
      <c r="C3204">
        <v>302357</v>
      </c>
      <c r="D3204">
        <v>21883</v>
      </c>
    </row>
    <row r="3205" spans="1:4" x14ac:dyDescent="0.2">
      <c r="A3205">
        <v>3693383</v>
      </c>
      <c r="B3205">
        <v>30064</v>
      </c>
      <c r="C3205">
        <v>302362</v>
      </c>
      <c r="D3205">
        <v>21883</v>
      </c>
    </row>
    <row r="3206" spans="1:4" x14ac:dyDescent="0.2">
      <c r="A3206">
        <v>3693383</v>
      </c>
      <c r="B3206">
        <v>30065</v>
      </c>
      <c r="C3206">
        <v>302371</v>
      </c>
      <c r="D3206">
        <v>21883</v>
      </c>
    </row>
    <row r="3207" spans="1:4" x14ac:dyDescent="0.2">
      <c r="A3207">
        <v>3693383</v>
      </c>
      <c r="B3207">
        <v>30066</v>
      </c>
      <c r="C3207">
        <v>302436</v>
      </c>
      <c r="D3207">
        <v>21883</v>
      </c>
    </row>
    <row r="3208" spans="1:4" x14ac:dyDescent="0.2">
      <c r="A3208">
        <v>3693383</v>
      </c>
      <c r="B3208">
        <v>30067</v>
      </c>
      <c r="C3208">
        <v>302450</v>
      </c>
      <c r="D3208">
        <v>21883</v>
      </c>
    </row>
    <row r="3209" spans="1:4" x14ac:dyDescent="0.2">
      <c r="A3209">
        <v>3693384</v>
      </c>
      <c r="B3209">
        <v>30063</v>
      </c>
      <c r="C3209">
        <v>302357</v>
      </c>
      <c r="D3209">
        <v>21883</v>
      </c>
    </row>
    <row r="3210" spans="1:4" x14ac:dyDescent="0.2">
      <c r="A3210">
        <v>3693384</v>
      </c>
      <c r="B3210">
        <v>30064</v>
      </c>
      <c r="C3210">
        <v>302362</v>
      </c>
      <c r="D3210">
        <v>21883</v>
      </c>
    </row>
    <row r="3211" spans="1:4" x14ac:dyDescent="0.2">
      <c r="A3211">
        <v>3693384</v>
      </c>
      <c r="B3211">
        <v>30065</v>
      </c>
      <c r="C3211">
        <v>302371</v>
      </c>
      <c r="D3211">
        <v>21883</v>
      </c>
    </row>
    <row r="3212" spans="1:4" x14ac:dyDescent="0.2">
      <c r="A3212">
        <v>3693384</v>
      </c>
      <c r="B3212">
        <v>30066</v>
      </c>
      <c r="C3212">
        <v>302436</v>
      </c>
      <c r="D3212">
        <v>21883</v>
      </c>
    </row>
    <row r="3213" spans="1:4" x14ac:dyDescent="0.2">
      <c r="A3213">
        <v>3693384</v>
      </c>
      <c r="B3213">
        <v>30067</v>
      </c>
      <c r="C3213">
        <v>302450</v>
      </c>
      <c r="D3213">
        <v>21883</v>
      </c>
    </row>
    <row r="3214" spans="1:4" x14ac:dyDescent="0.2">
      <c r="A3214">
        <v>3693385</v>
      </c>
      <c r="B3214">
        <v>30063</v>
      </c>
      <c r="C3214">
        <v>302357</v>
      </c>
      <c r="D3214">
        <v>21883</v>
      </c>
    </row>
    <row r="3215" spans="1:4" x14ac:dyDescent="0.2">
      <c r="A3215">
        <v>3693385</v>
      </c>
      <c r="B3215">
        <v>30064</v>
      </c>
      <c r="C3215">
        <v>302382</v>
      </c>
      <c r="D3215">
        <v>21883</v>
      </c>
    </row>
    <row r="3216" spans="1:4" x14ac:dyDescent="0.2">
      <c r="A3216">
        <v>3693385</v>
      </c>
      <c r="B3216">
        <v>30065</v>
      </c>
      <c r="C3216">
        <v>302371</v>
      </c>
      <c r="D3216">
        <v>21883</v>
      </c>
    </row>
    <row r="3217" spans="1:4" x14ac:dyDescent="0.2">
      <c r="A3217">
        <v>3693385</v>
      </c>
      <c r="B3217">
        <v>30066</v>
      </c>
      <c r="C3217">
        <v>302436</v>
      </c>
      <c r="D3217">
        <v>21883</v>
      </c>
    </row>
    <row r="3218" spans="1:4" x14ac:dyDescent="0.2">
      <c r="A3218">
        <v>3693385</v>
      </c>
      <c r="B3218">
        <v>30067</v>
      </c>
      <c r="C3218">
        <v>302457</v>
      </c>
      <c r="D3218">
        <v>21883</v>
      </c>
    </row>
    <row r="3219" spans="1:4" x14ac:dyDescent="0.2">
      <c r="A3219">
        <v>3693386</v>
      </c>
      <c r="B3219">
        <v>30063</v>
      </c>
      <c r="C3219">
        <v>302357</v>
      </c>
      <c r="D3219">
        <v>21883</v>
      </c>
    </row>
    <row r="3220" spans="1:4" x14ac:dyDescent="0.2">
      <c r="A3220">
        <v>3693386</v>
      </c>
      <c r="B3220">
        <v>30064</v>
      </c>
      <c r="C3220">
        <v>302382</v>
      </c>
      <c r="D3220">
        <v>21883</v>
      </c>
    </row>
    <row r="3221" spans="1:4" x14ac:dyDescent="0.2">
      <c r="A3221">
        <v>3693386</v>
      </c>
      <c r="B3221">
        <v>30065</v>
      </c>
      <c r="C3221">
        <v>302371</v>
      </c>
      <c r="D3221">
        <v>21883</v>
      </c>
    </row>
    <row r="3222" spans="1:4" x14ac:dyDescent="0.2">
      <c r="A3222">
        <v>3693386</v>
      </c>
      <c r="B3222">
        <v>30066</v>
      </c>
      <c r="C3222">
        <v>302436</v>
      </c>
      <c r="D3222">
        <v>21883</v>
      </c>
    </row>
    <row r="3223" spans="1:4" x14ac:dyDescent="0.2">
      <c r="A3223">
        <v>3693386</v>
      </c>
      <c r="B3223">
        <v>30067</v>
      </c>
      <c r="C3223">
        <v>302458</v>
      </c>
      <c r="D3223">
        <v>21883</v>
      </c>
    </row>
    <row r="3224" spans="1:4" x14ac:dyDescent="0.2">
      <c r="A3224">
        <v>3693387</v>
      </c>
      <c r="B3224">
        <v>30063</v>
      </c>
      <c r="C3224">
        <v>302357</v>
      </c>
      <c r="D3224">
        <v>21883</v>
      </c>
    </row>
    <row r="3225" spans="1:4" x14ac:dyDescent="0.2">
      <c r="A3225">
        <v>3693387</v>
      </c>
      <c r="B3225">
        <v>30064</v>
      </c>
      <c r="C3225">
        <v>302382</v>
      </c>
      <c r="D3225">
        <v>21883</v>
      </c>
    </row>
    <row r="3226" spans="1:4" x14ac:dyDescent="0.2">
      <c r="A3226">
        <v>3693387</v>
      </c>
      <c r="B3226">
        <v>30065</v>
      </c>
      <c r="C3226">
        <v>302371</v>
      </c>
      <c r="D3226">
        <v>21883</v>
      </c>
    </row>
    <row r="3227" spans="1:4" x14ac:dyDescent="0.2">
      <c r="A3227">
        <v>3693387</v>
      </c>
      <c r="B3227">
        <v>30066</v>
      </c>
      <c r="C3227">
        <v>302436</v>
      </c>
      <c r="D3227">
        <v>21883</v>
      </c>
    </row>
    <row r="3228" spans="1:4" x14ac:dyDescent="0.2">
      <c r="A3228">
        <v>3693387</v>
      </c>
      <c r="B3228">
        <v>30067</v>
      </c>
      <c r="C3228">
        <v>302459</v>
      </c>
      <c r="D3228">
        <v>21883</v>
      </c>
    </row>
    <row r="3229" spans="1:4" x14ac:dyDescent="0.2">
      <c r="A3229">
        <v>3693388</v>
      </c>
      <c r="B3229">
        <v>30063</v>
      </c>
      <c r="C3229">
        <v>302357</v>
      </c>
      <c r="D3229">
        <v>21883</v>
      </c>
    </row>
    <row r="3230" spans="1:4" x14ac:dyDescent="0.2">
      <c r="A3230">
        <v>3693388</v>
      </c>
      <c r="B3230">
        <v>30064</v>
      </c>
      <c r="C3230">
        <v>302382</v>
      </c>
      <c r="D3230">
        <v>21883</v>
      </c>
    </row>
    <row r="3231" spans="1:4" x14ac:dyDescent="0.2">
      <c r="A3231">
        <v>3693388</v>
      </c>
      <c r="B3231">
        <v>30065</v>
      </c>
      <c r="C3231">
        <v>302371</v>
      </c>
      <c r="D3231">
        <v>21883</v>
      </c>
    </row>
    <row r="3232" spans="1:4" x14ac:dyDescent="0.2">
      <c r="A3232">
        <v>3693388</v>
      </c>
      <c r="B3232">
        <v>30066</v>
      </c>
      <c r="C3232">
        <v>302436</v>
      </c>
      <c r="D3232">
        <v>21883</v>
      </c>
    </row>
    <row r="3233" spans="1:4" x14ac:dyDescent="0.2">
      <c r="A3233">
        <v>3693388</v>
      </c>
      <c r="B3233">
        <v>30067</v>
      </c>
      <c r="C3233">
        <v>302460</v>
      </c>
      <c r="D3233">
        <v>21883</v>
      </c>
    </row>
    <row r="3234" spans="1:4" x14ac:dyDescent="0.2">
      <c r="A3234">
        <v>3693389</v>
      </c>
      <c r="B3234">
        <v>30063</v>
      </c>
      <c r="C3234">
        <v>302357</v>
      </c>
      <c r="D3234">
        <v>21883</v>
      </c>
    </row>
    <row r="3235" spans="1:4" x14ac:dyDescent="0.2">
      <c r="A3235">
        <v>3693389</v>
      </c>
      <c r="B3235">
        <v>30064</v>
      </c>
      <c r="C3235">
        <v>302359</v>
      </c>
      <c r="D3235">
        <v>21883</v>
      </c>
    </row>
    <row r="3236" spans="1:4" x14ac:dyDescent="0.2">
      <c r="A3236">
        <v>3693389</v>
      </c>
      <c r="B3236">
        <v>30065</v>
      </c>
      <c r="C3236">
        <v>302371</v>
      </c>
      <c r="D3236">
        <v>21883</v>
      </c>
    </row>
    <row r="3237" spans="1:4" x14ac:dyDescent="0.2">
      <c r="A3237">
        <v>3693389</v>
      </c>
      <c r="B3237">
        <v>30066</v>
      </c>
      <c r="C3237">
        <v>302436</v>
      </c>
      <c r="D3237">
        <v>21883</v>
      </c>
    </row>
    <row r="3238" spans="1:4" x14ac:dyDescent="0.2">
      <c r="A3238">
        <v>3693389</v>
      </c>
      <c r="B3238">
        <v>30067</v>
      </c>
      <c r="C3238">
        <v>302451</v>
      </c>
      <c r="D3238">
        <v>21883</v>
      </c>
    </row>
    <row r="3239" spans="1:4" x14ac:dyDescent="0.2">
      <c r="A3239">
        <v>3693390</v>
      </c>
      <c r="B3239">
        <v>30063</v>
      </c>
      <c r="C3239">
        <v>302357</v>
      </c>
      <c r="D3239">
        <v>21883</v>
      </c>
    </row>
    <row r="3240" spans="1:4" x14ac:dyDescent="0.2">
      <c r="A3240">
        <v>3693390</v>
      </c>
      <c r="B3240">
        <v>30064</v>
      </c>
      <c r="C3240">
        <v>302362</v>
      </c>
      <c r="D3240">
        <v>21883</v>
      </c>
    </row>
    <row r="3241" spans="1:4" x14ac:dyDescent="0.2">
      <c r="A3241">
        <v>3693390</v>
      </c>
      <c r="B3241">
        <v>30065</v>
      </c>
      <c r="C3241">
        <v>302371</v>
      </c>
      <c r="D3241">
        <v>21883</v>
      </c>
    </row>
    <row r="3242" spans="1:4" x14ac:dyDescent="0.2">
      <c r="A3242">
        <v>3693390</v>
      </c>
      <c r="B3242">
        <v>30066</v>
      </c>
      <c r="C3242">
        <v>302436</v>
      </c>
      <c r="D3242">
        <v>21883</v>
      </c>
    </row>
    <row r="3243" spans="1:4" x14ac:dyDescent="0.2">
      <c r="A3243">
        <v>3693390</v>
      </c>
      <c r="B3243">
        <v>30067</v>
      </c>
      <c r="C3243">
        <v>302451</v>
      </c>
      <c r="D3243">
        <v>21883</v>
      </c>
    </row>
    <row r="3244" spans="1:4" x14ac:dyDescent="0.2">
      <c r="A3244">
        <v>3693391</v>
      </c>
      <c r="B3244">
        <v>30063</v>
      </c>
      <c r="C3244">
        <v>302357</v>
      </c>
      <c r="D3244">
        <v>21883</v>
      </c>
    </row>
    <row r="3245" spans="1:4" x14ac:dyDescent="0.2">
      <c r="A3245">
        <v>3693391</v>
      </c>
      <c r="B3245">
        <v>30064</v>
      </c>
      <c r="C3245">
        <v>302359</v>
      </c>
      <c r="D3245">
        <v>21883</v>
      </c>
    </row>
    <row r="3246" spans="1:4" x14ac:dyDescent="0.2">
      <c r="A3246">
        <v>3693391</v>
      </c>
      <c r="B3246">
        <v>30065</v>
      </c>
      <c r="C3246">
        <v>302371</v>
      </c>
      <c r="D3246">
        <v>21883</v>
      </c>
    </row>
    <row r="3247" spans="1:4" x14ac:dyDescent="0.2">
      <c r="A3247">
        <v>3693391</v>
      </c>
      <c r="B3247">
        <v>30066</v>
      </c>
      <c r="C3247">
        <v>302436</v>
      </c>
      <c r="D3247">
        <v>21883</v>
      </c>
    </row>
    <row r="3248" spans="1:4" x14ac:dyDescent="0.2">
      <c r="A3248">
        <v>3693391</v>
      </c>
      <c r="B3248">
        <v>30067</v>
      </c>
      <c r="C3248">
        <v>302451</v>
      </c>
      <c r="D3248">
        <v>21883</v>
      </c>
    </row>
    <row r="3249" spans="1:4" x14ac:dyDescent="0.2">
      <c r="A3249">
        <v>3693392</v>
      </c>
      <c r="B3249">
        <v>30063</v>
      </c>
      <c r="C3249">
        <v>302357</v>
      </c>
      <c r="D3249">
        <v>21883</v>
      </c>
    </row>
    <row r="3250" spans="1:4" x14ac:dyDescent="0.2">
      <c r="A3250">
        <v>3693392</v>
      </c>
      <c r="B3250">
        <v>30064</v>
      </c>
      <c r="C3250">
        <v>302362</v>
      </c>
      <c r="D3250">
        <v>21883</v>
      </c>
    </row>
    <row r="3251" spans="1:4" x14ac:dyDescent="0.2">
      <c r="A3251">
        <v>3693392</v>
      </c>
      <c r="B3251">
        <v>30065</v>
      </c>
      <c r="C3251">
        <v>302371</v>
      </c>
      <c r="D3251">
        <v>21883</v>
      </c>
    </row>
    <row r="3252" spans="1:4" x14ac:dyDescent="0.2">
      <c r="A3252">
        <v>3693392</v>
      </c>
      <c r="B3252">
        <v>30066</v>
      </c>
      <c r="C3252">
        <v>302436</v>
      </c>
      <c r="D3252">
        <v>21883</v>
      </c>
    </row>
    <row r="3253" spans="1:4" x14ac:dyDescent="0.2">
      <c r="A3253">
        <v>3693392</v>
      </c>
      <c r="B3253">
        <v>30067</v>
      </c>
      <c r="C3253">
        <v>302451</v>
      </c>
      <c r="D3253">
        <v>21883</v>
      </c>
    </row>
    <row r="3254" spans="1:4" x14ac:dyDescent="0.2">
      <c r="A3254">
        <v>3693393</v>
      </c>
      <c r="B3254">
        <v>30063</v>
      </c>
      <c r="C3254">
        <v>302357</v>
      </c>
      <c r="D3254">
        <v>21883</v>
      </c>
    </row>
    <row r="3255" spans="1:4" x14ac:dyDescent="0.2">
      <c r="A3255">
        <v>3693393</v>
      </c>
      <c r="B3255">
        <v>30064</v>
      </c>
      <c r="C3255">
        <v>302362</v>
      </c>
      <c r="D3255">
        <v>21883</v>
      </c>
    </row>
    <row r="3256" spans="1:4" x14ac:dyDescent="0.2">
      <c r="A3256">
        <v>3693393</v>
      </c>
      <c r="B3256">
        <v>30065</v>
      </c>
      <c r="C3256">
        <v>302371</v>
      </c>
      <c r="D3256">
        <v>21883</v>
      </c>
    </row>
    <row r="3257" spans="1:4" x14ac:dyDescent="0.2">
      <c r="A3257">
        <v>3693393</v>
      </c>
      <c r="B3257">
        <v>30066</v>
      </c>
      <c r="C3257">
        <v>302436</v>
      </c>
      <c r="D3257">
        <v>21883</v>
      </c>
    </row>
    <row r="3258" spans="1:4" x14ac:dyDescent="0.2">
      <c r="A3258">
        <v>3693393</v>
      </c>
      <c r="B3258">
        <v>30067</v>
      </c>
      <c r="C3258">
        <v>302451</v>
      </c>
      <c r="D3258">
        <v>21883</v>
      </c>
    </row>
    <row r="3259" spans="1:4" x14ac:dyDescent="0.2">
      <c r="A3259">
        <v>3693394</v>
      </c>
      <c r="B3259">
        <v>30063</v>
      </c>
      <c r="C3259">
        <v>302357</v>
      </c>
      <c r="D3259">
        <v>21883</v>
      </c>
    </row>
    <row r="3260" spans="1:4" x14ac:dyDescent="0.2">
      <c r="A3260">
        <v>3693394</v>
      </c>
      <c r="B3260">
        <v>30064</v>
      </c>
      <c r="C3260">
        <v>302359</v>
      </c>
      <c r="D3260">
        <v>21883</v>
      </c>
    </row>
    <row r="3261" spans="1:4" x14ac:dyDescent="0.2">
      <c r="A3261">
        <v>3693394</v>
      </c>
      <c r="B3261">
        <v>30065</v>
      </c>
      <c r="C3261">
        <v>302371</v>
      </c>
      <c r="D3261">
        <v>21883</v>
      </c>
    </row>
    <row r="3262" spans="1:4" x14ac:dyDescent="0.2">
      <c r="A3262">
        <v>3693394</v>
      </c>
      <c r="B3262">
        <v>30066</v>
      </c>
      <c r="C3262">
        <v>302436</v>
      </c>
      <c r="D3262">
        <v>21883</v>
      </c>
    </row>
    <row r="3263" spans="1:4" x14ac:dyDescent="0.2">
      <c r="A3263">
        <v>3693394</v>
      </c>
      <c r="B3263">
        <v>30067</v>
      </c>
      <c r="C3263">
        <v>302452</v>
      </c>
      <c r="D3263">
        <v>21883</v>
      </c>
    </row>
    <row r="3264" spans="1:4" x14ac:dyDescent="0.2">
      <c r="A3264">
        <v>3693395</v>
      </c>
      <c r="B3264">
        <v>30063</v>
      </c>
      <c r="C3264">
        <v>302357</v>
      </c>
      <c r="D3264">
        <v>21883</v>
      </c>
    </row>
    <row r="3265" spans="1:4" x14ac:dyDescent="0.2">
      <c r="A3265">
        <v>3693395</v>
      </c>
      <c r="B3265">
        <v>30064</v>
      </c>
      <c r="C3265">
        <v>302359</v>
      </c>
      <c r="D3265">
        <v>21883</v>
      </c>
    </row>
    <row r="3266" spans="1:4" x14ac:dyDescent="0.2">
      <c r="A3266">
        <v>3693395</v>
      </c>
      <c r="B3266">
        <v>30065</v>
      </c>
      <c r="C3266">
        <v>302371</v>
      </c>
      <c r="D3266">
        <v>21883</v>
      </c>
    </row>
    <row r="3267" spans="1:4" x14ac:dyDescent="0.2">
      <c r="A3267">
        <v>3693395</v>
      </c>
      <c r="B3267">
        <v>30066</v>
      </c>
      <c r="C3267">
        <v>302436</v>
      </c>
      <c r="D3267">
        <v>21883</v>
      </c>
    </row>
    <row r="3268" spans="1:4" x14ac:dyDescent="0.2">
      <c r="A3268">
        <v>3693395</v>
      </c>
      <c r="B3268">
        <v>30067</v>
      </c>
      <c r="C3268">
        <v>302452</v>
      </c>
      <c r="D3268">
        <v>21883</v>
      </c>
    </row>
    <row r="3269" spans="1:4" x14ac:dyDescent="0.2">
      <c r="A3269">
        <v>3693396</v>
      </c>
      <c r="B3269">
        <v>30063</v>
      </c>
      <c r="C3269">
        <v>302357</v>
      </c>
      <c r="D3269">
        <v>21883</v>
      </c>
    </row>
    <row r="3270" spans="1:4" x14ac:dyDescent="0.2">
      <c r="A3270">
        <v>3693396</v>
      </c>
      <c r="B3270">
        <v>30064</v>
      </c>
      <c r="C3270">
        <v>302362</v>
      </c>
      <c r="D3270">
        <v>21883</v>
      </c>
    </row>
    <row r="3271" spans="1:4" x14ac:dyDescent="0.2">
      <c r="A3271">
        <v>3693396</v>
      </c>
      <c r="B3271">
        <v>30065</v>
      </c>
      <c r="C3271">
        <v>302371</v>
      </c>
      <c r="D3271">
        <v>21883</v>
      </c>
    </row>
    <row r="3272" spans="1:4" x14ac:dyDescent="0.2">
      <c r="A3272">
        <v>3693396</v>
      </c>
      <c r="B3272">
        <v>30066</v>
      </c>
      <c r="C3272">
        <v>302436</v>
      </c>
      <c r="D3272">
        <v>21883</v>
      </c>
    </row>
    <row r="3273" spans="1:4" x14ac:dyDescent="0.2">
      <c r="A3273">
        <v>3693396</v>
      </c>
      <c r="B3273">
        <v>30067</v>
      </c>
      <c r="C3273">
        <v>302452</v>
      </c>
      <c r="D3273">
        <v>21883</v>
      </c>
    </row>
    <row r="3274" spans="1:4" x14ac:dyDescent="0.2">
      <c r="A3274">
        <v>3693397</v>
      </c>
      <c r="B3274">
        <v>30063</v>
      </c>
      <c r="C3274">
        <v>302357</v>
      </c>
      <c r="D3274">
        <v>21883</v>
      </c>
    </row>
    <row r="3275" spans="1:4" x14ac:dyDescent="0.2">
      <c r="A3275">
        <v>3693397</v>
      </c>
      <c r="B3275">
        <v>30064</v>
      </c>
      <c r="C3275">
        <v>302362</v>
      </c>
      <c r="D3275">
        <v>21883</v>
      </c>
    </row>
    <row r="3276" spans="1:4" x14ac:dyDescent="0.2">
      <c r="A3276">
        <v>3693397</v>
      </c>
      <c r="B3276">
        <v>30065</v>
      </c>
      <c r="C3276">
        <v>302371</v>
      </c>
      <c r="D3276">
        <v>21883</v>
      </c>
    </row>
    <row r="3277" spans="1:4" x14ac:dyDescent="0.2">
      <c r="A3277">
        <v>3693397</v>
      </c>
      <c r="B3277">
        <v>30066</v>
      </c>
      <c r="C3277">
        <v>302436</v>
      </c>
      <c r="D3277">
        <v>21883</v>
      </c>
    </row>
    <row r="3278" spans="1:4" x14ac:dyDescent="0.2">
      <c r="A3278">
        <v>3693397</v>
      </c>
      <c r="B3278">
        <v>30067</v>
      </c>
      <c r="C3278">
        <v>302452</v>
      </c>
      <c r="D3278">
        <v>21883</v>
      </c>
    </row>
    <row r="3279" spans="1:4" x14ac:dyDescent="0.2">
      <c r="A3279">
        <v>3693398</v>
      </c>
      <c r="B3279">
        <v>30063</v>
      </c>
      <c r="C3279">
        <v>302357</v>
      </c>
      <c r="D3279">
        <v>21883</v>
      </c>
    </row>
    <row r="3280" spans="1:4" x14ac:dyDescent="0.2">
      <c r="A3280">
        <v>3693398</v>
      </c>
      <c r="B3280">
        <v>30064</v>
      </c>
      <c r="C3280">
        <v>302362</v>
      </c>
      <c r="D3280">
        <v>21883</v>
      </c>
    </row>
    <row r="3281" spans="1:4" x14ac:dyDescent="0.2">
      <c r="A3281">
        <v>3693398</v>
      </c>
      <c r="B3281">
        <v>30065</v>
      </c>
      <c r="C3281">
        <v>302371</v>
      </c>
      <c r="D3281">
        <v>21883</v>
      </c>
    </row>
    <row r="3282" spans="1:4" x14ac:dyDescent="0.2">
      <c r="A3282">
        <v>3693398</v>
      </c>
      <c r="B3282">
        <v>30066</v>
      </c>
      <c r="C3282">
        <v>302436</v>
      </c>
      <c r="D3282">
        <v>21883</v>
      </c>
    </row>
    <row r="3283" spans="1:4" x14ac:dyDescent="0.2">
      <c r="A3283">
        <v>3693398</v>
      </c>
      <c r="B3283">
        <v>30067</v>
      </c>
      <c r="C3283">
        <v>302452</v>
      </c>
      <c r="D3283">
        <v>21883</v>
      </c>
    </row>
    <row r="3284" spans="1:4" x14ac:dyDescent="0.2">
      <c r="A3284">
        <v>3693399</v>
      </c>
      <c r="B3284">
        <v>30063</v>
      </c>
      <c r="C3284">
        <v>302357</v>
      </c>
      <c r="D3284">
        <v>21883</v>
      </c>
    </row>
    <row r="3285" spans="1:4" x14ac:dyDescent="0.2">
      <c r="A3285">
        <v>3693399</v>
      </c>
      <c r="B3285">
        <v>30064</v>
      </c>
      <c r="C3285">
        <v>302359</v>
      </c>
      <c r="D3285">
        <v>21883</v>
      </c>
    </row>
    <row r="3286" spans="1:4" x14ac:dyDescent="0.2">
      <c r="A3286">
        <v>3693399</v>
      </c>
      <c r="B3286">
        <v>30065</v>
      </c>
      <c r="C3286">
        <v>302371</v>
      </c>
      <c r="D3286">
        <v>21883</v>
      </c>
    </row>
    <row r="3287" spans="1:4" x14ac:dyDescent="0.2">
      <c r="A3287">
        <v>3693399</v>
      </c>
      <c r="B3287">
        <v>30066</v>
      </c>
      <c r="C3287">
        <v>302436</v>
      </c>
      <c r="D3287">
        <v>21883</v>
      </c>
    </row>
    <row r="3288" spans="1:4" x14ac:dyDescent="0.2">
      <c r="A3288">
        <v>3693399</v>
      </c>
      <c r="B3288">
        <v>30067</v>
      </c>
      <c r="C3288">
        <v>302453</v>
      </c>
      <c r="D3288">
        <v>21883</v>
      </c>
    </row>
    <row r="3289" spans="1:4" x14ac:dyDescent="0.2">
      <c r="A3289">
        <v>3693400</v>
      </c>
      <c r="B3289">
        <v>30063</v>
      </c>
      <c r="C3289">
        <v>302357</v>
      </c>
      <c r="D3289">
        <v>21883</v>
      </c>
    </row>
    <row r="3290" spans="1:4" x14ac:dyDescent="0.2">
      <c r="A3290">
        <v>3693400</v>
      </c>
      <c r="B3290">
        <v>30064</v>
      </c>
      <c r="C3290">
        <v>302359</v>
      </c>
      <c r="D3290">
        <v>21883</v>
      </c>
    </row>
    <row r="3291" spans="1:4" x14ac:dyDescent="0.2">
      <c r="A3291">
        <v>3693400</v>
      </c>
      <c r="B3291">
        <v>30065</v>
      </c>
      <c r="C3291">
        <v>302371</v>
      </c>
      <c r="D3291">
        <v>21883</v>
      </c>
    </row>
    <row r="3292" spans="1:4" x14ac:dyDescent="0.2">
      <c r="A3292">
        <v>3693400</v>
      </c>
      <c r="B3292">
        <v>30066</v>
      </c>
      <c r="C3292">
        <v>302436</v>
      </c>
      <c r="D3292">
        <v>21883</v>
      </c>
    </row>
    <row r="3293" spans="1:4" x14ac:dyDescent="0.2">
      <c r="A3293">
        <v>3693400</v>
      </c>
      <c r="B3293">
        <v>30067</v>
      </c>
      <c r="C3293">
        <v>302453</v>
      </c>
      <c r="D3293">
        <v>21883</v>
      </c>
    </row>
    <row r="3294" spans="1:4" x14ac:dyDescent="0.2">
      <c r="A3294">
        <v>3693401</v>
      </c>
      <c r="B3294">
        <v>30063</v>
      </c>
      <c r="C3294">
        <v>302357</v>
      </c>
      <c r="D3294">
        <v>21883</v>
      </c>
    </row>
    <row r="3295" spans="1:4" x14ac:dyDescent="0.2">
      <c r="A3295">
        <v>3693401</v>
      </c>
      <c r="B3295">
        <v>30064</v>
      </c>
      <c r="C3295">
        <v>302362</v>
      </c>
      <c r="D3295">
        <v>21883</v>
      </c>
    </row>
    <row r="3296" spans="1:4" x14ac:dyDescent="0.2">
      <c r="A3296">
        <v>3693401</v>
      </c>
      <c r="B3296">
        <v>30065</v>
      </c>
      <c r="C3296">
        <v>302371</v>
      </c>
      <c r="D3296">
        <v>21883</v>
      </c>
    </row>
    <row r="3297" spans="1:4" x14ac:dyDescent="0.2">
      <c r="A3297">
        <v>3693401</v>
      </c>
      <c r="B3297">
        <v>30066</v>
      </c>
      <c r="C3297">
        <v>302436</v>
      </c>
      <c r="D3297">
        <v>21883</v>
      </c>
    </row>
    <row r="3298" spans="1:4" x14ac:dyDescent="0.2">
      <c r="A3298">
        <v>3693401</v>
      </c>
      <c r="B3298">
        <v>30067</v>
      </c>
      <c r="C3298">
        <v>302453</v>
      </c>
      <c r="D3298">
        <v>21883</v>
      </c>
    </row>
    <row r="3299" spans="1:4" x14ac:dyDescent="0.2">
      <c r="A3299">
        <v>3693402</v>
      </c>
      <c r="B3299">
        <v>30063</v>
      </c>
      <c r="C3299">
        <v>302357</v>
      </c>
      <c r="D3299">
        <v>21883</v>
      </c>
    </row>
    <row r="3300" spans="1:4" x14ac:dyDescent="0.2">
      <c r="A3300">
        <v>3693402</v>
      </c>
      <c r="B3300">
        <v>30064</v>
      </c>
      <c r="C3300">
        <v>302362</v>
      </c>
      <c r="D3300">
        <v>21883</v>
      </c>
    </row>
    <row r="3301" spans="1:4" x14ac:dyDescent="0.2">
      <c r="A3301">
        <v>3693402</v>
      </c>
      <c r="B3301">
        <v>30065</v>
      </c>
      <c r="C3301">
        <v>302371</v>
      </c>
      <c r="D3301">
        <v>21883</v>
      </c>
    </row>
    <row r="3302" spans="1:4" x14ac:dyDescent="0.2">
      <c r="A3302">
        <v>3693402</v>
      </c>
      <c r="B3302">
        <v>30066</v>
      </c>
      <c r="C3302">
        <v>302436</v>
      </c>
      <c r="D3302">
        <v>21883</v>
      </c>
    </row>
    <row r="3303" spans="1:4" x14ac:dyDescent="0.2">
      <c r="A3303">
        <v>3693402</v>
      </c>
      <c r="B3303">
        <v>30067</v>
      </c>
      <c r="C3303">
        <v>302453</v>
      </c>
      <c r="D3303">
        <v>21883</v>
      </c>
    </row>
    <row r="3304" spans="1:4" x14ac:dyDescent="0.2">
      <c r="A3304">
        <v>3693403</v>
      </c>
      <c r="B3304">
        <v>30063</v>
      </c>
      <c r="C3304">
        <v>302357</v>
      </c>
      <c r="D3304">
        <v>21883</v>
      </c>
    </row>
    <row r="3305" spans="1:4" x14ac:dyDescent="0.2">
      <c r="A3305">
        <v>3693403</v>
      </c>
      <c r="B3305">
        <v>30064</v>
      </c>
      <c r="C3305">
        <v>302362</v>
      </c>
      <c r="D3305">
        <v>21883</v>
      </c>
    </row>
    <row r="3306" spans="1:4" x14ac:dyDescent="0.2">
      <c r="A3306">
        <v>3693403</v>
      </c>
      <c r="B3306">
        <v>30065</v>
      </c>
      <c r="C3306">
        <v>302371</v>
      </c>
      <c r="D3306">
        <v>21883</v>
      </c>
    </row>
    <row r="3307" spans="1:4" x14ac:dyDescent="0.2">
      <c r="A3307">
        <v>3693403</v>
      </c>
      <c r="B3307">
        <v>30066</v>
      </c>
      <c r="C3307">
        <v>302436</v>
      </c>
      <c r="D3307">
        <v>21883</v>
      </c>
    </row>
    <row r="3308" spans="1:4" x14ac:dyDescent="0.2">
      <c r="A3308">
        <v>3693403</v>
      </c>
      <c r="B3308">
        <v>30067</v>
      </c>
      <c r="C3308">
        <v>302453</v>
      </c>
      <c r="D3308">
        <v>21883</v>
      </c>
    </row>
    <row r="3309" spans="1:4" x14ac:dyDescent="0.2">
      <c r="A3309">
        <v>3693404</v>
      </c>
      <c r="B3309">
        <v>30063</v>
      </c>
      <c r="C3309">
        <v>302357</v>
      </c>
      <c r="D3309">
        <v>21883</v>
      </c>
    </row>
    <row r="3310" spans="1:4" x14ac:dyDescent="0.2">
      <c r="A3310">
        <v>3693404</v>
      </c>
      <c r="B3310">
        <v>30064</v>
      </c>
      <c r="C3310">
        <v>302382</v>
      </c>
      <c r="D3310">
        <v>21883</v>
      </c>
    </row>
    <row r="3311" spans="1:4" x14ac:dyDescent="0.2">
      <c r="A3311">
        <v>3693404</v>
      </c>
      <c r="B3311">
        <v>30065</v>
      </c>
      <c r="C3311">
        <v>302371</v>
      </c>
      <c r="D3311">
        <v>21883</v>
      </c>
    </row>
    <row r="3312" spans="1:4" x14ac:dyDescent="0.2">
      <c r="A3312">
        <v>3693404</v>
      </c>
      <c r="B3312">
        <v>30066</v>
      </c>
      <c r="C3312">
        <v>302436</v>
      </c>
      <c r="D3312">
        <v>21883</v>
      </c>
    </row>
    <row r="3313" spans="1:4" x14ac:dyDescent="0.2">
      <c r="A3313">
        <v>3693404</v>
      </c>
      <c r="B3313">
        <v>30067</v>
      </c>
      <c r="C3313">
        <v>302461</v>
      </c>
      <c r="D3313">
        <v>21883</v>
      </c>
    </row>
    <row r="3314" spans="1:4" x14ac:dyDescent="0.2">
      <c r="A3314">
        <v>3693405</v>
      </c>
      <c r="B3314">
        <v>30063</v>
      </c>
      <c r="C3314">
        <v>302357</v>
      </c>
      <c r="D3314">
        <v>21883</v>
      </c>
    </row>
    <row r="3315" spans="1:4" x14ac:dyDescent="0.2">
      <c r="A3315">
        <v>3693405</v>
      </c>
      <c r="B3315">
        <v>30064</v>
      </c>
      <c r="C3315">
        <v>302382</v>
      </c>
      <c r="D3315">
        <v>21883</v>
      </c>
    </row>
    <row r="3316" spans="1:4" x14ac:dyDescent="0.2">
      <c r="A3316">
        <v>3693405</v>
      </c>
      <c r="B3316">
        <v>30065</v>
      </c>
      <c r="C3316">
        <v>302371</v>
      </c>
      <c r="D3316">
        <v>21883</v>
      </c>
    </row>
    <row r="3317" spans="1:4" x14ac:dyDescent="0.2">
      <c r="A3317">
        <v>3693405</v>
      </c>
      <c r="B3317">
        <v>30066</v>
      </c>
      <c r="C3317">
        <v>302436</v>
      </c>
      <c r="D3317">
        <v>21883</v>
      </c>
    </row>
    <row r="3318" spans="1:4" x14ac:dyDescent="0.2">
      <c r="A3318">
        <v>3693405</v>
      </c>
      <c r="B3318">
        <v>30067</v>
      </c>
      <c r="C3318">
        <v>302462</v>
      </c>
      <c r="D3318">
        <v>21883</v>
      </c>
    </row>
    <row r="3319" spans="1:4" x14ac:dyDescent="0.2">
      <c r="A3319">
        <v>3693406</v>
      </c>
      <c r="B3319">
        <v>30063</v>
      </c>
      <c r="C3319">
        <v>302357</v>
      </c>
      <c r="D3319">
        <v>21883</v>
      </c>
    </row>
    <row r="3320" spans="1:4" x14ac:dyDescent="0.2">
      <c r="A3320">
        <v>3693406</v>
      </c>
      <c r="B3320">
        <v>30064</v>
      </c>
      <c r="C3320">
        <v>302382</v>
      </c>
      <c r="D3320">
        <v>21883</v>
      </c>
    </row>
    <row r="3321" spans="1:4" x14ac:dyDescent="0.2">
      <c r="A3321">
        <v>3693406</v>
      </c>
      <c r="B3321">
        <v>30065</v>
      </c>
      <c r="C3321">
        <v>302371</v>
      </c>
      <c r="D3321">
        <v>21883</v>
      </c>
    </row>
    <row r="3322" spans="1:4" x14ac:dyDescent="0.2">
      <c r="A3322">
        <v>3693406</v>
      </c>
      <c r="B3322">
        <v>30066</v>
      </c>
      <c r="C3322">
        <v>302436</v>
      </c>
      <c r="D3322">
        <v>21883</v>
      </c>
    </row>
    <row r="3323" spans="1:4" x14ac:dyDescent="0.2">
      <c r="A3323">
        <v>3693406</v>
      </c>
      <c r="B3323">
        <v>30067</v>
      </c>
      <c r="C3323">
        <v>302463</v>
      </c>
      <c r="D3323">
        <v>21883</v>
      </c>
    </row>
    <row r="3324" spans="1:4" x14ac:dyDescent="0.2">
      <c r="A3324">
        <v>3693407</v>
      </c>
      <c r="B3324">
        <v>30063</v>
      </c>
      <c r="C3324">
        <v>302357</v>
      </c>
      <c r="D3324">
        <v>21883</v>
      </c>
    </row>
    <row r="3325" spans="1:4" x14ac:dyDescent="0.2">
      <c r="A3325">
        <v>3693407</v>
      </c>
      <c r="B3325">
        <v>30064</v>
      </c>
      <c r="C3325">
        <v>302369</v>
      </c>
      <c r="D3325">
        <v>21883</v>
      </c>
    </row>
    <row r="3326" spans="1:4" x14ac:dyDescent="0.2">
      <c r="A3326">
        <v>3693407</v>
      </c>
      <c r="B3326">
        <v>30065</v>
      </c>
      <c r="C3326">
        <v>302371</v>
      </c>
      <c r="D3326">
        <v>21883</v>
      </c>
    </row>
    <row r="3327" spans="1:4" x14ac:dyDescent="0.2">
      <c r="A3327">
        <v>3693407</v>
      </c>
      <c r="B3327">
        <v>30066</v>
      </c>
      <c r="C3327">
        <v>302436</v>
      </c>
      <c r="D3327">
        <v>21883</v>
      </c>
    </row>
    <row r="3328" spans="1:4" x14ac:dyDescent="0.2">
      <c r="A3328">
        <v>3693407</v>
      </c>
      <c r="B3328">
        <v>30067</v>
      </c>
      <c r="C3328">
        <v>302456</v>
      </c>
      <c r="D3328">
        <v>21883</v>
      </c>
    </row>
    <row r="3329" spans="1:4" x14ac:dyDescent="0.2">
      <c r="A3329">
        <v>3693408</v>
      </c>
      <c r="B3329">
        <v>30063</v>
      </c>
      <c r="C3329">
        <v>302357</v>
      </c>
      <c r="D3329">
        <v>21883</v>
      </c>
    </row>
    <row r="3330" spans="1:4" x14ac:dyDescent="0.2">
      <c r="A3330">
        <v>3693408</v>
      </c>
      <c r="B3330">
        <v>30064</v>
      </c>
      <c r="C3330">
        <v>302369</v>
      </c>
      <c r="D3330">
        <v>21883</v>
      </c>
    </row>
    <row r="3331" spans="1:4" x14ac:dyDescent="0.2">
      <c r="A3331">
        <v>3693408</v>
      </c>
      <c r="B3331">
        <v>30065</v>
      </c>
      <c r="C3331">
        <v>302371</v>
      </c>
      <c r="D3331">
        <v>21883</v>
      </c>
    </row>
    <row r="3332" spans="1:4" x14ac:dyDescent="0.2">
      <c r="A3332">
        <v>3693408</v>
      </c>
      <c r="B3332">
        <v>30066</v>
      </c>
      <c r="C3332">
        <v>302436</v>
      </c>
      <c r="D3332">
        <v>21883</v>
      </c>
    </row>
    <row r="3333" spans="1:4" x14ac:dyDescent="0.2">
      <c r="A3333">
        <v>3693408</v>
      </c>
      <c r="B3333">
        <v>30067</v>
      </c>
      <c r="C3333">
        <v>302456</v>
      </c>
      <c r="D3333">
        <v>21883</v>
      </c>
    </row>
    <row r="3334" spans="1:4" x14ac:dyDescent="0.2">
      <c r="A3334">
        <v>3693409</v>
      </c>
      <c r="B3334">
        <v>30063</v>
      </c>
      <c r="C3334">
        <v>302357</v>
      </c>
      <c r="D3334">
        <v>21883</v>
      </c>
    </row>
    <row r="3335" spans="1:4" x14ac:dyDescent="0.2">
      <c r="A3335">
        <v>3693409</v>
      </c>
      <c r="B3335">
        <v>30064</v>
      </c>
      <c r="C3335">
        <v>302369</v>
      </c>
      <c r="D3335">
        <v>21883</v>
      </c>
    </row>
    <row r="3336" spans="1:4" x14ac:dyDescent="0.2">
      <c r="A3336">
        <v>3693409</v>
      </c>
      <c r="B3336">
        <v>30065</v>
      </c>
      <c r="C3336">
        <v>302371</v>
      </c>
      <c r="D3336">
        <v>21883</v>
      </c>
    </row>
    <row r="3337" spans="1:4" x14ac:dyDescent="0.2">
      <c r="A3337">
        <v>3693409</v>
      </c>
      <c r="B3337">
        <v>30066</v>
      </c>
      <c r="C3337">
        <v>302436</v>
      </c>
      <c r="D3337">
        <v>21883</v>
      </c>
    </row>
    <row r="3338" spans="1:4" x14ac:dyDescent="0.2">
      <c r="A3338">
        <v>3693409</v>
      </c>
      <c r="B3338">
        <v>30067</v>
      </c>
      <c r="C3338">
        <v>302456</v>
      </c>
      <c r="D3338">
        <v>21883</v>
      </c>
    </row>
    <row r="3339" spans="1:4" x14ac:dyDescent="0.2">
      <c r="A3339">
        <v>3693410</v>
      </c>
      <c r="B3339">
        <v>30063</v>
      </c>
      <c r="C3339">
        <v>302357</v>
      </c>
      <c r="D3339">
        <v>21883</v>
      </c>
    </row>
    <row r="3340" spans="1:4" x14ac:dyDescent="0.2">
      <c r="A3340">
        <v>3693410</v>
      </c>
      <c r="B3340">
        <v>30064</v>
      </c>
      <c r="C3340">
        <v>302369</v>
      </c>
      <c r="D3340">
        <v>21883</v>
      </c>
    </row>
    <row r="3341" spans="1:4" x14ac:dyDescent="0.2">
      <c r="A3341">
        <v>3693410</v>
      </c>
      <c r="B3341">
        <v>30065</v>
      </c>
      <c r="C3341">
        <v>302371</v>
      </c>
      <c r="D3341">
        <v>21883</v>
      </c>
    </row>
    <row r="3342" spans="1:4" x14ac:dyDescent="0.2">
      <c r="A3342">
        <v>3693410</v>
      </c>
      <c r="B3342">
        <v>30066</v>
      </c>
      <c r="C3342">
        <v>302436</v>
      </c>
      <c r="D3342">
        <v>21883</v>
      </c>
    </row>
    <row r="3343" spans="1:4" x14ac:dyDescent="0.2">
      <c r="A3343">
        <v>3693410</v>
      </c>
      <c r="B3343">
        <v>30067</v>
      </c>
      <c r="C3343">
        <v>302456</v>
      </c>
      <c r="D3343">
        <v>21883</v>
      </c>
    </row>
    <row r="3344" spans="1:4" x14ac:dyDescent="0.2">
      <c r="A3344">
        <v>3693411</v>
      </c>
      <c r="B3344">
        <v>30063</v>
      </c>
      <c r="C3344">
        <v>302357</v>
      </c>
      <c r="D3344">
        <v>21883</v>
      </c>
    </row>
    <row r="3345" spans="1:4" x14ac:dyDescent="0.2">
      <c r="A3345">
        <v>3693411</v>
      </c>
      <c r="B3345">
        <v>30064</v>
      </c>
      <c r="C3345">
        <v>302369</v>
      </c>
      <c r="D3345">
        <v>21883</v>
      </c>
    </row>
    <row r="3346" spans="1:4" x14ac:dyDescent="0.2">
      <c r="A3346">
        <v>3693411</v>
      </c>
      <c r="B3346">
        <v>30065</v>
      </c>
      <c r="C3346">
        <v>302371</v>
      </c>
      <c r="D3346">
        <v>21883</v>
      </c>
    </row>
    <row r="3347" spans="1:4" x14ac:dyDescent="0.2">
      <c r="A3347">
        <v>3693411</v>
      </c>
      <c r="B3347">
        <v>30066</v>
      </c>
      <c r="C3347">
        <v>302436</v>
      </c>
      <c r="D3347">
        <v>21883</v>
      </c>
    </row>
    <row r="3348" spans="1:4" x14ac:dyDescent="0.2">
      <c r="A3348">
        <v>3693411</v>
      </c>
      <c r="B3348">
        <v>30067</v>
      </c>
      <c r="C3348">
        <v>302456</v>
      </c>
      <c r="D3348">
        <v>21883</v>
      </c>
    </row>
    <row r="3349" spans="1:4" x14ac:dyDescent="0.2">
      <c r="A3349">
        <v>3693412</v>
      </c>
      <c r="B3349">
        <v>30063</v>
      </c>
      <c r="C3349">
        <v>302357</v>
      </c>
      <c r="D3349">
        <v>21883</v>
      </c>
    </row>
    <row r="3350" spans="1:4" x14ac:dyDescent="0.2">
      <c r="A3350">
        <v>3693412</v>
      </c>
      <c r="B3350">
        <v>30064</v>
      </c>
      <c r="C3350">
        <v>302369</v>
      </c>
      <c r="D3350">
        <v>21883</v>
      </c>
    </row>
    <row r="3351" spans="1:4" x14ac:dyDescent="0.2">
      <c r="A3351">
        <v>3693412</v>
      </c>
      <c r="B3351">
        <v>30065</v>
      </c>
      <c r="C3351">
        <v>302371</v>
      </c>
      <c r="D3351">
        <v>21883</v>
      </c>
    </row>
    <row r="3352" spans="1:4" x14ac:dyDescent="0.2">
      <c r="A3352">
        <v>3693412</v>
      </c>
      <c r="B3352">
        <v>30066</v>
      </c>
      <c r="C3352">
        <v>302436</v>
      </c>
      <c r="D3352">
        <v>21883</v>
      </c>
    </row>
    <row r="3353" spans="1:4" x14ac:dyDescent="0.2">
      <c r="A3353">
        <v>3693412</v>
      </c>
      <c r="B3353">
        <v>30067</v>
      </c>
      <c r="C3353">
        <v>302456</v>
      </c>
      <c r="D3353">
        <v>21883</v>
      </c>
    </row>
    <row r="3354" spans="1:4" x14ac:dyDescent="0.2">
      <c r="A3354">
        <v>3693413</v>
      </c>
      <c r="B3354">
        <v>30063</v>
      </c>
      <c r="C3354">
        <v>302357</v>
      </c>
      <c r="D3354">
        <v>21883</v>
      </c>
    </row>
    <row r="3355" spans="1:4" x14ac:dyDescent="0.2">
      <c r="A3355">
        <v>3693413</v>
      </c>
      <c r="B3355">
        <v>30064</v>
      </c>
      <c r="C3355">
        <v>302369</v>
      </c>
      <c r="D3355">
        <v>21883</v>
      </c>
    </row>
    <row r="3356" spans="1:4" x14ac:dyDescent="0.2">
      <c r="A3356">
        <v>3693413</v>
      </c>
      <c r="B3356">
        <v>30065</v>
      </c>
      <c r="C3356">
        <v>302371</v>
      </c>
      <c r="D3356">
        <v>21883</v>
      </c>
    </row>
    <row r="3357" spans="1:4" x14ac:dyDescent="0.2">
      <c r="A3357">
        <v>3693413</v>
      </c>
      <c r="B3357">
        <v>30066</v>
      </c>
      <c r="C3357">
        <v>302436</v>
      </c>
      <c r="D3357">
        <v>21883</v>
      </c>
    </row>
    <row r="3358" spans="1:4" x14ac:dyDescent="0.2">
      <c r="A3358">
        <v>3693413</v>
      </c>
      <c r="B3358">
        <v>30067</v>
      </c>
      <c r="C3358">
        <v>302456</v>
      </c>
      <c r="D3358">
        <v>21883</v>
      </c>
    </row>
    <row r="3359" spans="1:4" x14ac:dyDescent="0.2">
      <c r="A3359">
        <v>3693414</v>
      </c>
      <c r="B3359">
        <v>30063</v>
      </c>
      <c r="C3359">
        <v>302357</v>
      </c>
      <c r="D3359">
        <v>21883</v>
      </c>
    </row>
    <row r="3360" spans="1:4" x14ac:dyDescent="0.2">
      <c r="A3360">
        <v>3693414</v>
      </c>
      <c r="B3360">
        <v>30064</v>
      </c>
      <c r="C3360">
        <v>302369</v>
      </c>
      <c r="D3360">
        <v>21883</v>
      </c>
    </row>
    <row r="3361" spans="1:4" x14ac:dyDescent="0.2">
      <c r="A3361">
        <v>3693414</v>
      </c>
      <c r="B3361">
        <v>30065</v>
      </c>
      <c r="C3361">
        <v>302371</v>
      </c>
      <c r="D3361">
        <v>21883</v>
      </c>
    </row>
    <row r="3362" spans="1:4" x14ac:dyDescent="0.2">
      <c r="A3362">
        <v>3693414</v>
      </c>
      <c r="B3362">
        <v>30066</v>
      </c>
      <c r="C3362">
        <v>302436</v>
      </c>
      <c r="D3362">
        <v>21883</v>
      </c>
    </row>
    <row r="3363" spans="1:4" x14ac:dyDescent="0.2">
      <c r="A3363">
        <v>3693414</v>
      </c>
      <c r="B3363">
        <v>30067</v>
      </c>
      <c r="C3363">
        <v>302457</v>
      </c>
      <c r="D3363">
        <v>21883</v>
      </c>
    </row>
    <row r="3364" spans="1:4" x14ac:dyDescent="0.2">
      <c r="A3364">
        <v>3693415</v>
      </c>
      <c r="B3364">
        <v>30063</v>
      </c>
      <c r="C3364">
        <v>302357</v>
      </c>
      <c r="D3364">
        <v>21883</v>
      </c>
    </row>
    <row r="3365" spans="1:4" x14ac:dyDescent="0.2">
      <c r="A3365">
        <v>3693415</v>
      </c>
      <c r="B3365">
        <v>30064</v>
      </c>
      <c r="C3365">
        <v>302369</v>
      </c>
      <c r="D3365">
        <v>21883</v>
      </c>
    </row>
    <row r="3366" spans="1:4" x14ac:dyDescent="0.2">
      <c r="A3366">
        <v>3693415</v>
      </c>
      <c r="B3366">
        <v>30065</v>
      </c>
      <c r="C3366">
        <v>302371</v>
      </c>
      <c r="D3366">
        <v>21883</v>
      </c>
    </row>
    <row r="3367" spans="1:4" x14ac:dyDescent="0.2">
      <c r="A3367">
        <v>3693415</v>
      </c>
      <c r="B3367">
        <v>30066</v>
      </c>
      <c r="C3367">
        <v>302436</v>
      </c>
      <c r="D3367">
        <v>21883</v>
      </c>
    </row>
    <row r="3368" spans="1:4" x14ac:dyDescent="0.2">
      <c r="A3368">
        <v>3693415</v>
      </c>
      <c r="B3368">
        <v>30067</v>
      </c>
      <c r="C3368">
        <v>302457</v>
      </c>
      <c r="D3368">
        <v>21883</v>
      </c>
    </row>
    <row r="3369" spans="1:4" x14ac:dyDescent="0.2">
      <c r="A3369">
        <v>3693416</v>
      </c>
      <c r="B3369">
        <v>30063</v>
      </c>
      <c r="C3369">
        <v>302357</v>
      </c>
      <c r="D3369">
        <v>21883</v>
      </c>
    </row>
    <row r="3370" spans="1:4" x14ac:dyDescent="0.2">
      <c r="A3370">
        <v>3693416</v>
      </c>
      <c r="B3370">
        <v>30064</v>
      </c>
      <c r="C3370">
        <v>302369</v>
      </c>
      <c r="D3370">
        <v>21883</v>
      </c>
    </row>
    <row r="3371" spans="1:4" x14ac:dyDescent="0.2">
      <c r="A3371">
        <v>3693416</v>
      </c>
      <c r="B3371">
        <v>30065</v>
      </c>
      <c r="C3371">
        <v>302371</v>
      </c>
      <c r="D3371">
        <v>21883</v>
      </c>
    </row>
    <row r="3372" spans="1:4" x14ac:dyDescent="0.2">
      <c r="A3372">
        <v>3693416</v>
      </c>
      <c r="B3372">
        <v>30066</v>
      </c>
      <c r="C3372">
        <v>302436</v>
      </c>
      <c r="D3372">
        <v>21883</v>
      </c>
    </row>
    <row r="3373" spans="1:4" x14ac:dyDescent="0.2">
      <c r="A3373">
        <v>3693416</v>
      </c>
      <c r="B3373">
        <v>30067</v>
      </c>
      <c r="C3373">
        <v>302457</v>
      </c>
      <c r="D3373">
        <v>21883</v>
      </c>
    </row>
    <row r="3374" spans="1:4" x14ac:dyDescent="0.2">
      <c r="A3374">
        <v>3693417</v>
      </c>
      <c r="B3374">
        <v>30063</v>
      </c>
      <c r="C3374">
        <v>302357</v>
      </c>
      <c r="D3374">
        <v>21883</v>
      </c>
    </row>
    <row r="3375" spans="1:4" x14ac:dyDescent="0.2">
      <c r="A3375">
        <v>3693417</v>
      </c>
      <c r="B3375">
        <v>30064</v>
      </c>
      <c r="C3375">
        <v>302369</v>
      </c>
      <c r="D3375">
        <v>21883</v>
      </c>
    </row>
    <row r="3376" spans="1:4" x14ac:dyDescent="0.2">
      <c r="A3376">
        <v>3693417</v>
      </c>
      <c r="B3376">
        <v>30065</v>
      </c>
      <c r="C3376">
        <v>302371</v>
      </c>
      <c r="D3376">
        <v>21883</v>
      </c>
    </row>
    <row r="3377" spans="1:4" x14ac:dyDescent="0.2">
      <c r="A3377">
        <v>3693417</v>
      </c>
      <c r="B3377">
        <v>30066</v>
      </c>
      <c r="C3377">
        <v>302436</v>
      </c>
      <c r="D3377">
        <v>21883</v>
      </c>
    </row>
    <row r="3378" spans="1:4" x14ac:dyDescent="0.2">
      <c r="A3378">
        <v>3693417</v>
      </c>
      <c r="B3378">
        <v>30067</v>
      </c>
      <c r="C3378">
        <v>302457</v>
      </c>
      <c r="D3378">
        <v>21883</v>
      </c>
    </row>
    <row r="3379" spans="1:4" x14ac:dyDescent="0.2">
      <c r="A3379">
        <v>3693418</v>
      </c>
      <c r="B3379">
        <v>30063</v>
      </c>
      <c r="C3379">
        <v>302357</v>
      </c>
      <c r="D3379">
        <v>21883</v>
      </c>
    </row>
    <row r="3380" spans="1:4" x14ac:dyDescent="0.2">
      <c r="A3380">
        <v>3693418</v>
      </c>
      <c r="B3380">
        <v>30064</v>
      </c>
      <c r="C3380">
        <v>302369</v>
      </c>
      <c r="D3380">
        <v>21883</v>
      </c>
    </row>
    <row r="3381" spans="1:4" x14ac:dyDescent="0.2">
      <c r="A3381">
        <v>3693418</v>
      </c>
      <c r="B3381">
        <v>30065</v>
      </c>
      <c r="C3381">
        <v>302371</v>
      </c>
      <c r="D3381">
        <v>21883</v>
      </c>
    </row>
    <row r="3382" spans="1:4" x14ac:dyDescent="0.2">
      <c r="A3382">
        <v>3693418</v>
      </c>
      <c r="B3382">
        <v>30066</v>
      </c>
      <c r="C3382">
        <v>302436</v>
      </c>
      <c r="D3382">
        <v>21883</v>
      </c>
    </row>
    <row r="3383" spans="1:4" x14ac:dyDescent="0.2">
      <c r="A3383">
        <v>3693418</v>
      </c>
      <c r="B3383">
        <v>30067</v>
      </c>
      <c r="C3383">
        <v>302457</v>
      </c>
      <c r="D3383">
        <v>21883</v>
      </c>
    </row>
    <row r="3384" spans="1:4" x14ac:dyDescent="0.2">
      <c r="A3384">
        <v>3693419</v>
      </c>
      <c r="B3384">
        <v>30063</v>
      </c>
      <c r="C3384">
        <v>302357</v>
      </c>
      <c r="D3384">
        <v>21883</v>
      </c>
    </row>
    <row r="3385" spans="1:4" x14ac:dyDescent="0.2">
      <c r="A3385">
        <v>3693419</v>
      </c>
      <c r="B3385">
        <v>30064</v>
      </c>
      <c r="C3385">
        <v>302369</v>
      </c>
      <c r="D3385">
        <v>21883</v>
      </c>
    </row>
    <row r="3386" spans="1:4" x14ac:dyDescent="0.2">
      <c r="A3386">
        <v>3693419</v>
      </c>
      <c r="B3386">
        <v>30065</v>
      </c>
      <c r="C3386">
        <v>302371</v>
      </c>
      <c r="D3386">
        <v>21883</v>
      </c>
    </row>
    <row r="3387" spans="1:4" x14ac:dyDescent="0.2">
      <c r="A3387">
        <v>3693419</v>
      </c>
      <c r="B3387">
        <v>30066</v>
      </c>
      <c r="C3387">
        <v>302436</v>
      </c>
      <c r="D3387">
        <v>21883</v>
      </c>
    </row>
    <row r="3388" spans="1:4" x14ac:dyDescent="0.2">
      <c r="A3388">
        <v>3693419</v>
      </c>
      <c r="B3388">
        <v>30067</v>
      </c>
      <c r="C3388">
        <v>302457</v>
      </c>
      <c r="D3388">
        <v>21883</v>
      </c>
    </row>
    <row r="3389" spans="1:4" x14ac:dyDescent="0.2">
      <c r="A3389">
        <v>3693420</v>
      </c>
      <c r="B3389">
        <v>30063</v>
      </c>
      <c r="C3389">
        <v>302357</v>
      </c>
      <c r="D3389">
        <v>21883</v>
      </c>
    </row>
    <row r="3390" spans="1:4" x14ac:dyDescent="0.2">
      <c r="A3390">
        <v>3693420</v>
      </c>
      <c r="B3390">
        <v>30064</v>
      </c>
      <c r="C3390">
        <v>302369</v>
      </c>
      <c r="D3390">
        <v>21883</v>
      </c>
    </row>
    <row r="3391" spans="1:4" x14ac:dyDescent="0.2">
      <c r="A3391">
        <v>3693420</v>
      </c>
      <c r="B3391">
        <v>30065</v>
      </c>
      <c r="C3391">
        <v>302371</v>
      </c>
      <c r="D3391">
        <v>21883</v>
      </c>
    </row>
    <row r="3392" spans="1:4" x14ac:dyDescent="0.2">
      <c r="A3392">
        <v>3693420</v>
      </c>
      <c r="B3392">
        <v>30066</v>
      </c>
      <c r="C3392">
        <v>302436</v>
      </c>
      <c r="D3392">
        <v>21883</v>
      </c>
    </row>
    <row r="3393" spans="1:4" x14ac:dyDescent="0.2">
      <c r="A3393">
        <v>3693420</v>
      </c>
      <c r="B3393">
        <v>30067</v>
      </c>
      <c r="C3393">
        <v>302457</v>
      </c>
      <c r="D3393">
        <v>21883</v>
      </c>
    </row>
    <row r="3394" spans="1:4" x14ac:dyDescent="0.2">
      <c r="A3394">
        <v>3693421</v>
      </c>
      <c r="B3394">
        <v>30063</v>
      </c>
      <c r="C3394">
        <v>302357</v>
      </c>
      <c r="D3394">
        <v>21883</v>
      </c>
    </row>
    <row r="3395" spans="1:4" x14ac:dyDescent="0.2">
      <c r="A3395">
        <v>3693421</v>
      </c>
      <c r="B3395">
        <v>30064</v>
      </c>
      <c r="C3395">
        <v>302369</v>
      </c>
      <c r="D3395">
        <v>21883</v>
      </c>
    </row>
    <row r="3396" spans="1:4" x14ac:dyDescent="0.2">
      <c r="A3396">
        <v>3693421</v>
      </c>
      <c r="B3396">
        <v>30065</v>
      </c>
      <c r="C3396">
        <v>302371</v>
      </c>
      <c r="D3396">
        <v>21883</v>
      </c>
    </row>
    <row r="3397" spans="1:4" x14ac:dyDescent="0.2">
      <c r="A3397">
        <v>3693421</v>
      </c>
      <c r="B3397">
        <v>30066</v>
      </c>
      <c r="C3397">
        <v>302436</v>
      </c>
      <c r="D3397">
        <v>21883</v>
      </c>
    </row>
    <row r="3398" spans="1:4" x14ac:dyDescent="0.2">
      <c r="A3398">
        <v>3693421</v>
      </c>
      <c r="B3398">
        <v>30067</v>
      </c>
      <c r="C3398">
        <v>302458</v>
      </c>
      <c r="D3398">
        <v>21883</v>
      </c>
    </row>
    <row r="3399" spans="1:4" x14ac:dyDescent="0.2">
      <c r="A3399">
        <v>3693422</v>
      </c>
      <c r="B3399">
        <v>30063</v>
      </c>
      <c r="C3399">
        <v>302357</v>
      </c>
      <c r="D3399">
        <v>21883</v>
      </c>
    </row>
    <row r="3400" spans="1:4" x14ac:dyDescent="0.2">
      <c r="A3400">
        <v>3693422</v>
      </c>
      <c r="B3400">
        <v>30064</v>
      </c>
      <c r="C3400">
        <v>302369</v>
      </c>
      <c r="D3400">
        <v>21883</v>
      </c>
    </row>
    <row r="3401" spans="1:4" x14ac:dyDescent="0.2">
      <c r="A3401">
        <v>3693422</v>
      </c>
      <c r="B3401">
        <v>30065</v>
      </c>
      <c r="C3401">
        <v>302371</v>
      </c>
      <c r="D3401">
        <v>21883</v>
      </c>
    </row>
    <row r="3402" spans="1:4" x14ac:dyDescent="0.2">
      <c r="A3402">
        <v>3693422</v>
      </c>
      <c r="B3402">
        <v>30066</v>
      </c>
      <c r="C3402">
        <v>302436</v>
      </c>
      <c r="D3402">
        <v>21883</v>
      </c>
    </row>
    <row r="3403" spans="1:4" x14ac:dyDescent="0.2">
      <c r="A3403">
        <v>3693422</v>
      </c>
      <c r="B3403">
        <v>30067</v>
      </c>
      <c r="C3403">
        <v>302458</v>
      </c>
      <c r="D3403">
        <v>21883</v>
      </c>
    </row>
    <row r="3404" spans="1:4" x14ac:dyDescent="0.2">
      <c r="A3404">
        <v>3693423</v>
      </c>
      <c r="B3404">
        <v>30063</v>
      </c>
      <c r="C3404">
        <v>302357</v>
      </c>
      <c r="D3404">
        <v>21883</v>
      </c>
    </row>
    <row r="3405" spans="1:4" x14ac:dyDescent="0.2">
      <c r="A3405">
        <v>3693423</v>
      </c>
      <c r="B3405">
        <v>30064</v>
      </c>
      <c r="C3405">
        <v>302369</v>
      </c>
      <c r="D3405">
        <v>21883</v>
      </c>
    </row>
    <row r="3406" spans="1:4" x14ac:dyDescent="0.2">
      <c r="A3406">
        <v>3693423</v>
      </c>
      <c r="B3406">
        <v>30065</v>
      </c>
      <c r="C3406">
        <v>302371</v>
      </c>
      <c r="D3406">
        <v>21883</v>
      </c>
    </row>
    <row r="3407" spans="1:4" x14ac:dyDescent="0.2">
      <c r="A3407">
        <v>3693423</v>
      </c>
      <c r="B3407">
        <v>30066</v>
      </c>
      <c r="C3407">
        <v>302436</v>
      </c>
      <c r="D3407">
        <v>21883</v>
      </c>
    </row>
    <row r="3408" spans="1:4" x14ac:dyDescent="0.2">
      <c r="A3408">
        <v>3693423</v>
      </c>
      <c r="B3408">
        <v>30067</v>
      </c>
      <c r="C3408">
        <v>302458</v>
      </c>
      <c r="D3408">
        <v>21883</v>
      </c>
    </row>
    <row r="3409" spans="1:4" x14ac:dyDescent="0.2">
      <c r="A3409">
        <v>3693424</v>
      </c>
      <c r="B3409">
        <v>30063</v>
      </c>
      <c r="C3409">
        <v>302357</v>
      </c>
      <c r="D3409">
        <v>21883</v>
      </c>
    </row>
    <row r="3410" spans="1:4" x14ac:dyDescent="0.2">
      <c r="A3410">
        <v>3693424</v>
      </c>
      <c r="B3410">
        <v>30064</v>
      </c>
      <c r="C3410">
        <v>302369</v>
      </c>
      <c r="D3410">
        <v>21883</v>
      </c>
    </row>
    <row r="3411" spans="1:4" x14ac:dyDescent="0.2">
      <c r="A3411">
        <v>3693424</v>
      </c>
      <c r="B3411">
        <v>30065</v>
      </c>
      <c r="C3411">
        <v>302371</v>
      </c>
      <c r="D3411">
        <v>21883</v>
      </c>
    </row>
    <row r="3412" spans="1:4" x14ac:dyDescent="0.2">
      <c r="A3412">
        <v>3693424</v>
      </c>
      <c r="B3412">
        <v>30066</v>
      </c>
      <c r="C3412">
        <v>302436</v>
      </c>
      <c r="D3412">
        <v>21883</v>
      </c>
    </row>
    <row r="3413" spans="1:4" x14ac:dyDescent="0.2">
      <c r="A3413">
        <v>3693424</v>
      </c>
      <c r="B3413">
        <v>30067</v>
      </c>
      <c r="C3413">
        <v>302458</v>
      </c>
      <c r="D3413">
        <v>21883</v>
      </c>
    </row>
    <row r="3414" spans="1:4" x14ac:dyDescent="0.2">
      <c r="A3414">
        <v>3693425</v>
      </c>
      <c r="B3414">
        <v>30063</v>
      </c>
      <c r="C3414">
        <v>302357</v>
      </c>
      <c r="D3414">
        <v>21883</v>
      </c>
    </row>
    <row r="3415" spans="1:4" x14ac:dyDescent="0.2">
      <c r="A3415">
        <v>3693425</v>
      </c>
      <c r="B3415">
        <v>30064</v>
      </c>
      <c r="C3415">
        <v>302369</v>
      </c>
      <c r="D3415">
        <v>21883</v>
      </c>
    </row>
    <row r="3416" spans="1:4" x14ac:dyDescent="0.2">
      <c r="A3416">
        <v>3693425</v>
      </c>
      <c r="B3416">
        <v>30065</v>
      </c>
      <c r="C3416">
        <v>302371</v>
      </c>
      <c r="D3416">
        <v>21883</v>
      </c>
    </row>
    <row r="3417" spans="1:4" x14ac:dyDescent="0.2">
      <c r="A3417">
        <v>3693425</v>
      </c>
      <c r="B3417">
        <v>30066</v>
      </c>
      <c r="C3417">
        <v>302436</v>
      </c>
      <c r="D3417">
        <v>21883</v>
      </c>
    </row>
    <row r="3418" spans="1:4" x14ac:dyDescent="0.2">
      <c r="A3418">
        <v>3693425</v>
      </c>
      <c r="B3418">
        <v>30067</v>
      </c>
      <c r="C3418">
        <v>302458</v>
      </c>
      <c r="D3418">
        <v>21883</v>
      </c>
    </row>
    <row r="3419" spans="1:4" x14ac:dyDescent="0.2">
      <c r="A3419">
        <v>3693426</v>
      </c>
      <c r="B3419">
        <v>30063</v>
      </c>
      <c r="C3419">
        <v>302357</v>
      </c>
      <c r="D3419">
        <v>21883</v>
      </c>
    </row>
    <row r="3420" spans="1:4" x14ac:dyDescent="0.2">
      <c r="A3420">
        <v>3693426</v>
      </c>
      <c r="B3420">
        <v>30064</v>
      </c>
      <c r="C3420">
        <v>302369</v>
      </c>
      <c r="D3420">
        <v>21883</v>
      </c>
    </row>
    <row r="3421" spans="1:4" x14ac:dyDescent="0.2">
      <c r="A3421">
        <v>3693426</v>
      </c>
      <c r="B3421">
        <v>30065</v>
      </c>
      <c r="C3421">
        <v>302371</v>
      </c>
      <c r="D3421">
        <v>21883</v>
      </c>
    </row>
    <row r="3422" spans="1:4" x14ac:dyDescent="0.2">
      <c r="A3422">
        <v>3693426</v>
      </c>
      <c r="B3422">
        <v>30066</v>
      </c>
      <c r="C3422">
        <v>302436</v>
      </c>
      <c r="D3422">
        <v>21883</v>
      </c>
    </row>
    <row r="3423" spans="1:4" x14ac:dyDescent="0.2">
      <c r="A3423">
        <v>3693426</v>
      </c>
      <c r="B3423">
        <v>30067</v>
      </c>
      <c r="C3423">
        <v>302458</v>
      </c>
      <c r="D3423">
        <v>21883</v>
      </c>
    </row>
    <row r="3424" spans="1:4" x14ac:dyDescent="0.2">
      <c r="A3424">
        <v>3693427</v>
      </c>
      <c r="B3424">
        <v>30063</v>
      </c>
      <c r="C3424">
        <v>302357</v>
      </c>
      <c r="D3424">
        <v>21883</v>
      </c>
    </row>
    <row r="3425" spans="1:4" x14ac:dyDescent="0.2">
      <c r="A3425">
        <v>3693427</v>
      </c>
      <c r="B3425">
        <v>30064</v>
      </c>
      <c r="C3425">
        <v>302369</v>
      </c>
      <c r="D3425">
        <v>21883</v>
      </c>
    </row>
    <row r="3426" spans="1:4" x14ac:dyDescent="0.2">
      <c r="A3426">
        <v>3693427</v>
      </c>
      <c r="B3426">
        <v>30065</v>
      </c>
      <c r="C3426">
        <v>302371</v>
      </c>
      <c r="D3426">
        <v>21883</v>
      </c>
    </row>
    <row r="3427" spans="1:4" x14ac:dyDescent="0.2">
      <c r="A3427">
        <v>3693427</v>
      </c>
      <c r="B3427">
        <v>30066</v>
      </c>
      <c r="C3427">
        <v>302436</v>
      </c>
      <c r="D3427">
        <v>21883</v>
      </c>
    </row>
    <row r="3428" spans="1:4" x14ac:dyDescent="0.2">
      <c r="A3428">
        <v>3693427</v>
      </c>
      <c r="B3428">
        <v>30067</v>
      </c>
      <c r="C3428">
        <v>302458</v>
      </c>
      <c r="D3428">
        <v>21883</v>
      </c>
    </row>
    <row r="3429" spans="1:4" x14ac:dyDescent="0.2">
      <c r="A3429">
        <v>3693428</v>
      </c>
      <c r="B3429">
        <v>30063</v>
      </c>
      <c r="C3429">
        <v>302357</v>
      </c>
      <c r="D3429">
        <v>21883</v>
      </c>
    </row>
    <row r="3430" spans="1:4" x14ac:dyDescent="0.2">
      <c r="A3430">
        <v>3693428</v>
      </c>
      <c r="B3430">
        <v>30064</v>
      </c>
      <c r="C3430">
        <v>302369</v>
      </c>
      <c r="D3430">
        <v>21883</v>
      </c>
    </row>
    <row r="3431" spans="1:4" x14ac:dyDescent="0.2">
      <c r="A3431">
        <v>3693428</v>
      </c>
      <c r="B3431">
        <v>30065</v>
      </c>
      <c r="C3431">
        <v>302371</v>
      </c>
      <c r="D3431">
        <v>21883</v>
      </c>
    </row>
    <row r="3432" spans="1:4" x14ac:dyDescent="0.2">
      <c r="A3432">
        <v>3693428</v>
      </c>
      <c r="B3432">
        <v>30066</v>
      </c>
      <c r="C3432">
        <v>302436</v>
      </c>
      <c r="D3432">
        <v>21883</v>
      </c>
    </row>
    <row r="3433" spans="1:4" x14ac:dyDescent="0.2">
      <c r="A3433">
        <v>3693428</v>
      </c>
      <c r="B3433">
        <v>30067</v>
      </c>
      <c r="C3433">
        <v>302459</v>
      </c>
      <c r="D3433">
        <v>21883</v>
      </c>
    </row>
    <row r="3434" spans="1:4" x14ac:dyDescent="0.2">
      <c r="A3434">
        <v>3693429</v>
      </c>
      <c r="B3434">
        <v>30063</v>
      </c>
      <c r="C3434">
        <v>302357</v>
      </c>
      <c r="D3434">
        <v>21883</v>
      </c>
    </row>
    <row r="3435" spans="1:4" x14ac:dyDescent="0.2">
      <c r="A3435">
        <v>3693429</v>
      </c>
      <c r="B3435">
        <v>30064</v>
      </c>
      <c r="C3435">
        <v>302369</v>
      </c>
      <c r="D3435">
        <v>21883</v>
      </c>
    </row>
    <row r="3436" spans="1:4" x14ac:dyDescent="0.2">
      <c r="A3436">
        <v>3693429</v>
      </c>
      <c r="B3436">
        <v>30065</v>
      </c>
      <c r="C3436">
        <v>302371</v>
      </c>
      <c r="D3436">
        <v>21883</v>
      </c>
    </row>
    <row r="3437" spans="1:4" x14ac:dyDescent="0.2">
      <c r="A3437">
        <v>3693429</v>
      </c>
      <c r="B3437">
        <v>30066</v>
      </c>
      <c r="C3437">
        <v>302436</v>
      </c>
      <c r="D3437">
        <v>21883</v>
      </c>
    </row>
    <row r="3438" spans="1:4" x14ac:dyDescent="0.2">
      <c r="A3438">
        <v>3693429</v>
      </c>
      <c r="B3438">
        <v>30067</v>
      </c>
      <c r="C3438">
        <v>302459</v>
      </c>
      <c r="D3438">
        <v>21883</v>
      </c>
    </row>
    <row r="3439" spans="1:4" x14ac:dyDescent="0.2">
      <c r="A3439">
        <v>3693430</v>
      </c>
      <c r="B3439">
        <v>30063</v>
      </c>
      <c r="C3439">
        <v>302357</v>
      </c>
      <c r="D3439">
        <v>21883</v>
      </c>
    </row>
    <row r="3440" spans="1:4" x14ac:dyDescent="0.2">
      <c r="A3440">
        <v>3693430</v>
      </c>
      <c r="B3440">
        <v>30064</v>
      </c>
      <c r="C3440">
        <v>302369</v>
      </c>
      <c r="D3440">
        <v>21883</v>
      </c>
    </row>
    <row r="3441" spans="1:4" x14ac:dyDescent="0.2">
      <c r="A3441">
        <v>3693430</v>
      </c>
      <c r="B3441">
        <v>30065</v>
      </c>
      <c r="C3441">
        <v>302371</v>
      </c>
      <c r="D3441">
        <v>21883</v>
      </c>
    </row>
    <row r="3442" spans="1:4" x14ac:dyDescent="0.2">
      <c r="A3442">
        <v>3693430</v>
      </c>
      <c r="B3442">
        <v>30066</v>
      </c>
      <c r="C3442">
        <v>302436</v>
      </c>
      <c r="D3442">
        <v>21883</v>
      </c>
    </row>
    <row r="3443" spans="1:4" x14ac:dyDescent="0.2">
      <c r="A3443">
        <v>3693430</v>
      </c>
      <c r="B3443">
        <v>30067</v>
      </c>
      <c r="C3443">
        <v>302459</v>
      </c>
      <c r="D3443">
        <v>21883</v>
      </c>
    </row>
    <row r="3444" spans="1:4" x14ac:dyDescent="0.2">
      <c r="A3444">
        <v>3693431</v>
      </c>
      <c r="B3444">
        <v>30063</v>
      </c>
      <c r="C3444">
        <v>302357</v>
      </c>
      <c r="D3444">
        <v>21883</v>
      </c>
    </row>
    <row r="3445" spans="1:4" x14ac:dyDescent="0.2">
      <c r="A3445">
        <v>3693431</v>
      </c>
      <c r="B3445">
        <v>30064</v>
      </c>
      <c r="C3445">
        <v>302369</v>
      </c>
      <c r="D3445">
        <v>21883</v>
      </c>
    </row>
    <row r="3446" spans="1:4" x14ac:dyDescent="0.2">
      <c r="A3446">
        <v>3693431</v>
      </c>
      <c r="B3446">
        <v>30065</v>
      </c>
      <c r="C3446">
        <v>302371</v>
      </c>
      <c r="D3446">
        <v>21883</v>
      </c>
    </row>
    <row r="3447" spans="1:4" x14ac:dyDescent="0.2">
      <c r="A3447">
        <v>3693431</v>
      </c>
      <c r="B3447">
        <v>30066</v>
      </c>
      <c r="C3447">
        <v>302436</v>
      </c>
      <c r="D3447">
        <v>21883</v>
      </c>
    </row>
    <row r="3448" spans="1:4" x14ac:dyDescent="0.2">
      <c r="A3448">
        <v>3693431</v>
      </c>
      <c r="B3448">
        <v>30067</v>
      </c>
      <c r="C3448">
        <v>302459</v>
      </c>
      <c r="D3448">
        <v>21883</v>
      </c>
    </row>
    <row r="3449" spans="1:4" x14ac:dyDescent="0.2">
      <c r="A3449">
        <v>3693432</v>
      </c>
      <c r="B3449">
        <v>30063</v>
      </c>
      <c r="C3449">
        <v>302357</v>
      </c>
      <c r="D3449">
        <v>21883</v>
      </c>
    </row>
    <row r="3450" spans="1:4" x14ac:dyDescent="0.2">
      <c r="A3450">
        <v>3693432</v>
      </c>
      <c r="B3450">
        <v>30064</v>
      </c>
      <c r="C3450">
        <v>302369</v>
      </c>
      <c r="D3450">
        <v>21883</v>
      </c>
    </row>
    <row r="3451" spans="1:4" x14ac:dyDescent="0.2">
      <c r="A3451">
        <v>3693432</v>
      </c>
      <c r="B3451">
        <v>30065</v>
      </c>
      <c r="C3451">
        <v>302371</v>
      </c>
      <c r="D3451">
        <v>21883</v>
      </c>
    </row>
    <row r="3452" spans="1:4" x14ac:dyDescent="0.2">
      <c r="A3452">
        <v>3693432</v>
      </c>
      <c r="B3452">
        <v>30066</v>
      </c>
      <c r="C3452">
        <v>302436</v>
      </c>
      <c r="D3452">
        <v>21883</v>
      </c>
    </row>
    <row r="3453" spans="1:4" x14ac:dyDescent="0.2">
      <c r="A3453">
        <v>3693432</v>
      </c>
      <c r="B3453">
        <v>30067</v>
      </c>
      <c r="C3453">
        <v>302459</v>
      </c>
      <c r="D3453">
        <v>21883</v>
      </c>
    </row>
    <row r="3454" spans="1:4" x14ac:dyDescent="0.2">
      <c r="A3454">
        <v>3693433</v>
      </c>
      <c r="B3454">
        <v>30063</v>
      </c>
      <c r="C3454">
        <v>302357</v>
      </c>
      <c r="D3454">
        <v>21883</v>
      </c>
    </row>
    <row r="3455" spans="1:4" x14ac:dyDescent="0.2">
      <c r="A3455">
        <v>3693433</v>
      </c>
      <c r="B3455">
        <v>30064</v>
      </c>
      <c r="C3455">
        <v>302369</v>
      </c>
      <c r="D3455">
        <v>21883</v>
      </c>
    </row>
    <row r="3456" spans="1:4" x14ac:dyDescent="0.2">
      <c r="A3456">
        <v>3693433</v>
      </c>
      <c r="B3456">
        <v>30065</v>
      </c>
      <c r="C3456">
        <v>302371</v>
      </c>
      <c r="D3456">
        <v>21883</v>
      </c>
    </row>
    <row r="3457" spans="1:4" x14ac:dyDescent="0.2">
      <c r="A3457">
        <v>3693433</v>
      </c>
      <c r="B3457">
        <v>30066</v>
      </c>
      <c r="C3457">
        <v>302436</v>
      </c>
      <c r="D3457">
        <v>21883</v>
      </c>
    </row>
    <row r="3458" spans="1:4" x14ac:dyDescent="0.2">
      <c r="A3458">
        <v>3693433</v>
      </c>
      <c r="B3458">
        <v>30067</v>
      </c>
      <c r="C3458">
        <v>302459</v>
      </c>
      <c r="D3458">
        <v>21883</v>
      </c>
    </row>
    <row r="3459" spans="1:4" x14ac:dyDescent="0.2">
      <c r="A3459">
        <v>3693434</v>
      </c>
      <c r="B3459">
        <v>30063</v>
      </c>
      <c r="C3459">
        <v>302357</v>
      </c>
      <c r="D3459">
        <v>21883</v>
      </c>
    </row>
    <row r="3460" spans="1:4" x14ac:dyDescent="0.2">
      <c r="A3460">
        <v>3693434</v>
      </c>
      <c r="B3460">
        <v>30064</v>
      </c>
      <c r="C3460">
        <v>302369</v>
      </c>
      <c r="D3460">
        <v>21883</v>
      </c>
    </row>
    <row r="3461" spans="1:4" x14ac:dyDescent="0.2">
      <c r="A3461">
        <v>3693434</v>
      </c>
      <c r="B3461">
        <v>30065</v>
      </c>
      <c r="C3461">
        <v>302371</v>
      </c>
      <c r="D3461">
        <v>21883</v>
      </c>
    </row>
    <row r="3462" spans="1:4" x14ac:dyDescent="0.2">
      <c r="A3462">
        <v>3693434</v>
      </c>
      <c r="B3462">
        <v>30066</v>
      </c>
      <c r="C3462">
        <v>302436</v>
      </c>
      <c r="D3462">
        <v>21883</v>
      </c>
    </row>
    <row r="3463" spans="1:4" x14ac:dyDescent="0.2">
      <c r="A3463">
        <v>3693434</v>
      </c>
      <c r="B3463">
        <v>30067</v>
      </c>
      <c r="C3463">
        <v>302459</v>
      </c>
      <c r="D3463">
        <v>21883</v>
      </c>
    </row>
    <row r="3464" spans="1:4" x14ac:dyDescent="0.2">
      <c r="A3464">
        <v>3693435</v>
      </c>
      <c r="B3464">
        <v>30063</v>
      </c>
      <c r="C3464">
        <v>302357</v>
      </c>
      <c r="D3464">
        <v>21883</v>
      </c>
    </row>
    <row r="3465" spans="1:4" x14ac:dyDescent="0.2">
      <c r="A3465">
        <v>3693435</v>
      </c>
      <c r="B3465">
        <v>30064</v>
      </c>
      <c r="C3465">
        <v>302369</v>
      </c>
      <c r="D3465">
        <v>21883</v>
      </c>
    </row>
    <row r="3466" spans="1:4" x14ac:dyDescent="0.2">
      <c r="A3466">
        <v>3693435</v>
      </c>
      <c r="B3466">
        <v>30065</v>
      </c>
      <c r="C3466">
        <v>302371</v>
      </c>
      <c r="D3466">
        <v>21883</v>
      </c>
    </row>
    <row r="3467" spans="1:4" x14ac:dyDescent="0.2">
      <c r="A3467">
        <v>3693435</v>
      </c>
      <c r="B3467">
        <v>30066</v>
      </c>
      <c r="C3467">
        <v>302436</v>
      </c>
      <c r="D3467">
        <v>21883</v>
      </c>
    </row>
    <row r="3468" spans="1:4" x14ac:dyDescent="0.2">
      <c r="A3468">
        <v>3693435</v>
      </c>
      <c r="B3468">
        <v>30067</v>
      </c>
      <c r="C3468">
        <v>302460</v>
      </c>
      <c r="D3468">
        <v>21883</v>
      </c>
    </row>
    <row r="3469" spans="1:4" x14ac:dyDescent="0.2">
      <c r="A3469">
        <v>3693436</v>
      </c>
      <c r="B3469">
        <v>30063</v>
      </c>
      <c r="C3469">
        <v>302357</v>
      </c>
      <c r="D3469">
        <v>21883</v>
      </c>
    </row>
    <row r="3470" spans="1:4" x14ac:dyDescent="0.2">
      <c r="A3470">
        <v>3693436</v>
      </c>
      <c r="B3470">
        <v>30064</v>
      </c>
      <c r="C3470">
        <v>302369</v>
      </c>
      <c r="D3470">
        <v>21883</v>
      </c>
    </row>
    <row r="3471" spans="1:4" x14ac:dyDescent="0.2">
      <c r="A3471">
        <v>3693436</v>
      </c>
      <c r="B3471">
        <v>30065</v>
      </c>
      <c r="C3471">
        <v>302371</v>
      </c>
      <c r="D3471">
        <v>21883</v>
      </c>
    </row>
    <row r="3472" spans="1:4" x14ac:dyDescent="0.2">
      <c r="A3472">
        <v>3693436</v>
      </c>
      <c r="B3472">
        <v>30066</v>
      </c>
      <c r="C3472">
        <v>302436</v>
      </c>
      <c r="D3472">
        <v>21883</v>
      </c>
    </row>
    <row r="3473" spans="1:4" x14ac:dyDescent="0.2">
      <c r="A3473">
        <v>3693436</v>
      </c>
      <c r="B3473">
        <v>30067</v>
      </c>
      <c r="C3473">
        <v>302460</v>
      </c>
      <c r="D3473">
        <v>21883</v>
      </c>
    </row>
    <row r="3474" spans="1:4" x14ac:dyDescent="0.2">
      <c r="A3474">
        <v>3693437</v>
      </c>
      <c r="B3474">
        <v>30063</v>
      </c>
      <c r="C3474">
        <v>302357</v>
      </c>
      <c r="D3474">
        <v>21883</v>
      </c>
    </row>
    <row r="3475" spans="1:4" x14ac:dyDescent="0.2">
      <c r="A3475">
        <v>3693437</v>
      </c>
      <c r="B3475">
        <v>30064</v>
      </c>
      <c r="C3475">
        <v>302369</v>
      </c>
      <c r="D3475">
        <v>21883</v>
      </c>
    </row>
    <row r="3476" spans="1:4" x14ac:dyDescent="0.2">
      <c r="A3476">
        <v>3693437</v>
      </c>
      <c r="B3476">
        <v>30065</v>
      </c>
      <c r="C3476">
        <v>302371</v>
      </c>
      <c r="D3476">
        <v>21883</v>
      </c>
    </row>
    <row r="3477" spans="1:4" x14ac:dyDescent="0.2">
      <c r="A3477">
        <v>3693437</v>
      </c>
      <c r="B3477">
        <v>30066</v>
      </c>
      <c r="C3477">
        <v>302436</v>
      </c>
      <c r="D3477">
        <v>21883</v>
      </c>
    </row>
    <row r="3478" spans="1:4" x14ac:dyDescent="0.2">
      <c r="A3478">
        <v>3693437</v>
      </c>
      <c r="B3478">
        <v>30067</v>
      </c>
      <c r="C3478">
        <v>302460</v>
      </c>
      <c r="D3478">
        <v>21883</v>
      </c>
    </row>
    <row r="3479" spans="1:4" x14ac:dyDescent="0.2">
      <c r="A3479">
        <v>3693438</v>
      </c>
      <c r="B3479">
        <v>30063</v>
      </c>
      <c r="C3479">
        <v>302357</v>
      </c>
      <c r="D3479">
        <v>21883</v>
      </c>
    </row>
    <row r="3480" spans="1:4" x14ac:dyDescent="0.2">
      <c r="A3480">
        <v>3693438</v>
      </c>
      <c r="B3480">
        <v>30064</v>
      </c>
      <c r="C3480">
        <v>302369</v>
      </c>
      <c r="D3480">
        <v>21883</v>
      </c>
    </row>
    <row r="3481" spans="1:4" x14ac:dyDescent="0.2">
      <c r="A3481">
        <v>3693438</v>
      </c>
      <c r="B3481">
        <v>30065</v>
      </c>
      <c r="C3481">
        <v>302371</v>
      </c>
      <c r="D3481">
        <v>21883</v>
      </c>
    </row>
    <row r="3482" spans="1:4" x14ac:dyDescent="0.2">
      <c r="A3482">
        <v>3693438</v>
      </c>
      <c r="B3482">
        <v>30066</v>
      </c>
      <c r="C3482">
        <v>302436</v>
      </c>
      <c r="D3482">
        <v>21883</v>
      </c>
    </row>
    <row r="3483" spans="1:4" x14ac:dyDescent="0.2">
      <c r="A3483">
        <v>3693438</v>
      </c>
      <c r="B3483">
        <v>30067</v>
      </c>
      <c r="C3483">
        <v>302460</v>
      </c>
      <c r="D3483">
        <v>21883</v>
      </c>
    </row>
    <row r="3484" spans="1:4" x14ac:dyDescent="0.2">
      <c r="A3484">
        <v>3693439</v>
      </c>
      <c r="B3484">
        <v>30063</v>
      </c>
      <c r="C3484">
        <v>302357</v>
      </c>
      <c r="D3484">
        <v>21883</v>
      </c>
    </row>
    <row r="3485" spans="1:4" x14ac:dyDescent="0.2">
      <c r="A3485">
        <v>3693439</v>
      </c>
      <c r="B3485">
        <v>30064</v>
      </c>
      <c r="C3485">
        <v>302369</v>
      </c>
      <c r="D3485">
        <v>21883</v>
      </c>
    </row>
    <row r="3486" spans="1:4" x14ac:dyDescent="0.2">
      <c r="A3486">
        <v>3693439</v>
      </c>
      <c r="B3486">
        <v>30065</v>
      </c>
      <c r="C3486">
        <v>302371</v>
      </c>
      <c r="D3486">
        <v>21883</v>
      </c>
    </row>
    <row r="3487" spans="1:4" x14ac:dyDescent="0.2">
      <c r="A3487">
        <v>3693439</v>
      </c>
      <c r="B3487">
        <v>30066</v>
      </c>
      <c r="C3487">
        <v>302436</v>
      </c>
      <c r="D3487">
        <v>21883</v>
      </c>
    </row>
    <row r="3488" spans="1:4" x14ac:dyDescent="0.2">
      <c r="A3488">
        <v>3693439</v>
      </c>
      <c r="B3488">
        <v>30067</v>
      </c>
      <c r="C3488">
        <v>302460</v>
      </c>
      <c r="D3488">
        <v>21883</v>
      </c>
    </row>
    <row r="3489" spans="1:4" x14ac:dyDescent="0.2">
      <c r="A3489">
        <v>3693440</v>
      </c>
      <c r="B3489">
        <v>30063</v>
      </c>
      <c r="C3489">
        <v>302357</v>
      </c>
      <c r="D3489">
        <v>21883</v>
      </c>
    </row>
    <row r="3490" spans="1:4" x14ac:dyDescent="0.2">
      <c r="A3490">
        <v>3693440</v>
      </c>
      <c r="B3490">
        <v>30064</v>
      </c>
      <c r="C3490">
        <v>302369</v>
      </c>
      <c r="D3490">
        <v>21883</v>
      </c>
    </row>
    <row r="3491" spans="1:4" x14ac:dyDescent="0.2">
      <c r="A3491">
        <v>3693440</v>
      </c>
      <c r="B3491">
        <v>30065</v>
      </c>
      <c r="C3491">
        <v>302371</v>
      </c>
      <c r="D3491">
        <v>21883</v>
      </c>
    </row>
    <row r="3492" spans="1:4" x14ac:dyDescent="0.2">
      <c r="A3492">
        <v>3693440</v>
      </c>
      <c r="B3492">
        <v>30066</v>
      </c>
      <c r="C3492">
        <v>302436</v>
      </c>
      <c r="D3492">
        <v>21883</v>
      </c>
    </row>
    <row r="3493" spans="1:4" x14ac:dyDescent="0.2">
      <c r="A3493">
        <v>3693440</v>
      </c>
      <c r="B3493">
        <v>30067</v>
      </c>
      <c r="C3493">
        <v>302460</v>
      </c>
      <c r="D3493">
        <v>21883</v>
      </c>
    </row>
    <row r="3494" spans="1:4" x14ac:dyDescent="0.2">
      <c r="A3494">
        <v>3693441</v>
      </c>
      <c r="B3494">
        <v>30063</v>
      </c>
      <c r="C3494">
        <v>302357</v>
      </c>
      <c r="D3494">
        <v>21883</v>
      </c>
    </row>
    <row r="3495" spans="1:4" x14ac:dyDescent="0.2">
      <c r="A3495">
        <v>3693441</v>
      </c>
      <c r="B3495">
        <v>30064</v>
      </c>
      <c r="C3495">
        <v>302369</v>
      </c>
      <c r="D3495">
        <v>21883</v>
      </c>
    </row>
    <row r="3496" spans="1:4" x14ac:dyDescent="0.2">
      <c r="A3496">
        <v>3693441</v>
      </c>
      <c r="B3496">
        <v>30065</v>
      </c>
      <c r="C3496">
        <v>302371</v>
      </c>
      <c r="D3496">
        <v>21883</v>
      </c>
    </row>
    <row r="3497" spans="1:4" x14ac:dyDescent="0.2">
      <c r="A3497">
        <v>3693441</v>
      </c>
      <c r="B3497">
        <v>30066</v>
      </c>
      <c r="C3497">
        <v>302436</v>
      </c>
      <c r="D3497">
        <v>21883</v>
      </c>
    </row>
    <row r="3498" spans="1:4" x14ac:dyDescent="0.2">
      <c r="A3498">
        <v>3693441</v>
      </c>
      <c r="B3498">
        <v>30067</v>
      </c>
      <c r="C3498">
        <v>302460</v>
      </c>
      <c r="D3498">
        <v>21883</v>
      </c>
    </row>
    <row r="3499" spans="1:4" x14ac:dyDescent="0.2">
      <c r="A3499">
        <v>3693442</v>
      </c>
      <c r="B3499">
        <v>30063</v>
      </c>
      <c r="C3499">
        <v>302357</v>
      </c>
      <c r="D3499">
        <v>21883</v>
      </c>
    </row>
    <row r="3500" spans="1:4" x14ac:dyDescent="0.2">
      <c r="A3500">
        <v>3693442</v>
      </c>
      <c r="B3500">
        <v>30064</v>
      </c>
      <c r="C3500">
        <v>302369</v>
      </c>
      <c r="D3500">
        <v>21883</v>
      </c>
    </row>
    <row r="3501" spans="1:4" x14ac:dyDescent="0.2">
      <c r="A3501">
        <v>3693442</v>
      </c>
      <c r="B3501">
        <v>30065</v>
      </c>
      <c r="C3501">
        <v>302371</v>
      </c>
      <c r="D3501">
        <v>21883</v>
      </c>
    </row>
    <row r="3502" spans="1:4" x14ac:dyDescent="0.2">
      <c r="A3502">
        <v>3693442</v>
      </c>
      <c r="B3502">
        <v>30066</v>
      </c>
      <c r="C3502">
        <v>302436</v>
      </c>
      <c r="D3502">
        <v>21883</v>
      </c>
    </row>
    <row r="3503" spans="1:4" x14ac:dyDescent="0.2">
      <c r="A3503">
        <v>3693442</v>
      </c>
      <c r="B3503">
        <v>30067</v>
      </c>
      <c r="C3503">
        <v>302461</v>
      </c>
      <c r="D3503">
        <v>21883</v>
      </c>
    </row>
    <row r="3504" spans="1:4" x14ac:dyDescent="0.2">
      <c r="A3504">
        <v>3693443</v>
      </c>
      <c r="B3504">
        <v>30063</v>
      </c>
      <c r="C3504">
        <v>302357</v>
      </c>
      <c r="D3504">
        <v>21883</v>
      </c>
    </row>
    <row r="3505" spans="1:4" x14ac:dyDescent="0.2">
      <c r="A3505">
        <v>3693443</v>
      </c>
      <c r="B3505">
        <v>30064</v>
      </c>
      <c r="C3505">
        <v>302369</v>
      </c>
      <c r="D3505">
        <v>21883</v>
      </c>
    </row>
    <row r="3506" spans="1:4" x14ac:dyDescent="0.2">
      <c r="A3506">
        <v>3693443</v>
      </c>
      <c r="B3506">
        <v>30065</v>
      </c>
      <c r="C3506">
        <v>302371</v>
      </c>
      <c r="D3506">
        <v>21883</v>
      </c>
    </row>
    <row r="3507" spans="1:4" x14ac:dyDescent="0.2">
      <c r="A3507">
        <v>3693443</v>
      </c>
      <c r="B3507">
        <v>30066</v>
      </c>
      <c r="C3507">
        <v>302436</v>
      </c>
      <c r="D3507">
        <v>21883</v>
      </c>
    </row>
    <row r="3508" spans="1:4" x14ac:dyDescent="0.2">
      <c r="A3508">
        <v>3693443</v>
      </c>
      <c r="B3508">
        <v>30067</v>
      </c>
      <c r="C3508">
        <v>302461</v>
      </c>
      <c r="D3508">
        <v>21883</v>
      </c>
    </row>
    <row r="3509" spans="1:4" x14ac:dyDescent="0.2">
      <c r="A3509">
        <v>3693444</v>
      </c>
      <c r="B3509">
        <v>30063</v>
      </c>
      <c r="C3509">
        <v>302357</v>
      </c>
      <c r="D3509">
        <v>21883</v>
      </c>
    </row>
    <row r="3510" spans="1:4" x14ac:dyDescent="0.2">
      <c r="A3510">
        <v>3693444</v>
      </c>
      <c r="B3510">
        <v>30064</v>
      </c>
      <c r="C3510">
        <v>302369</v>
      </c>
      <c r="D3510">
        <v>21883</v>
      </c>
    </row>
    <row r="3511" spans="1:4" x14ac:dyDescent="0.2">
      <c r="A3511">
        <v>3693444</v>
      </c>
      <c r="B3511">
        <v>30065</v>
      </c>
      <c r="C3511">
        <v>302371</v>
      </c>
      <c r="D3511">
        <v>21883</v>
      </c>
    </row>
    <row r="3512" spans="1:4" x14ac:dyDescent="0.2">
      <c r="A3512">
        <v>3693444</v>
      </c>
      <c r="B3512">
        <v>30066</v>
      </c>
      <c r="C3512">
        <v>302436</v>
      </c>
      <c r="D3512">
        <v>21883</v>
      </c>
    </row>
    <row r="3513" spans="1:4" x14ac:dyDescent="0.2">
      <c r="A3513">
        <v>3693444</v>
      </c>
      <c r="B3513">
        <v>30067</v>
      </c>
      <c r="C3513">
        <v>302461</v>
      </c>
      <c r="D3513">
        <v>21883</v>
      </c>
    </row>
    <row r="3514" spans="1:4" x14ac:dyDescent="0.2">
      <c r="A3514">
        <v>3693445</v>
      </c>
      <c r="B3514">
        <v>30063</v>
      </c>
      <c r="C3514">
        <v>302357</v>
      </c>
      <c r="D3514">
        <v>21883</v>
      </c>
    </row>
    <row r="3515" spans="1:4" x14ac:dyDescent="0.2">
      <c r="A3515">
        <v>3693445</v>
      </c>
      <c r="B3515">
        <v>30064</v>
      </c>
      <c r="C3515">
        <v>302369</v>
      </c>
      <c r="D3515">
        <v>21883</v>
      </c>
    </row>
    <row r="3516" spans="1:4" x14ac:dyDescent="0.2">
      <c r="A3516">
        <v>3693445</v>
      </c>
      <c r="B3516">
        <v>30065</v>
      </c>
      <c r="C3516">
        <v>302371</v>
      </c>
      <c r="D3516">
        <v>21883</v>
      </c>
    </row>
    <row r="3517" spans="1:4" x14ac:dyDescent="0.2">
      <c r="A3517">
        <v>3693445</v>
      </c>
      <c r="B3517">
        <v>30066</v>
      </c>
      <c r="C3517">
        <v>302436</v>
      </c>
      <c r="D3517">
        <v>21883</v>
      </c>
    </row>
    <row r="3518" spans="1:4" x14ac:dyDescent="0.2">
      <c r="A3518">
        <v>3693445</v>
      </c>
      <c r="B3518">
        <v>30067</v>
      </c>
      <c r="C3518">
        <v>302461</v>
      </c>
      <c r="D3518">
        <v>21883</v>
      </c>
    </row>
    <row r="3519" spans="1:4" x14ac:dyDescent="0.2">
      <c r="A3519">
        <v>3693446</v>
      </c>
      <c r="B3519">
        <v>30063</v>
      </c>
      <c r="C3519">
        <v>302357</v>
      </c>
      <c r="D3519">
        <v>21883</v>
      </c>
    </row>
    <row r="3520" spans="1:4" x14ac:dyDescent="0.2">
      <c r="A3520">
        <v>3693446</v>
      </c>
      <c r="B3520">
        <v>30064</v>
      </c>
      <c r="C3520">
        <v>302369</v>
      </c>
      <c r="D3520">
        <v>21883</v>
      </c>
    </row>
    <row r="3521" spans="1:4" x14ac:dyDescent="0.2">
      <c r="A3521">
        <v>3693446</v>
      </c>
      <c r="B3521">
        <v>30065</v>
      </c>
      <c r="C3521">
        <v>302371</v>
      </c>
      <c r="D3521">
        <v>21883</v>
      </c>
    </row>
    <row r="3522" spans="1:4" x14ac:dyDescent="0.2">
      <c r="A3522">
        <v>3693446</v>
      </c>
      <c r="B3522">
        <v>30066</v>
      </c>
      <c r="C3522">
        <v>302436</v>
      </c>
      <c r="D3522">
        <v>21883</v>
      </c>
    </row>
    <row r="3523" spans="1:4" x14ac:dyDescent="0.2">
      <c r="A3523">
        <v>3693446</v>
      </c>
      <c r="B3523">
        <v>30067</v>
      </c>
      <c r="C3523">
        <v>302461</v>
      </c>
      <c r="D3523">
        <v>21883</v>
      </c>
    </row>
    <row r="3524" spans="1:4" x14ac:dyDescent="0.2">
      <c r="A3524">
        <v>3693447</v>
      </c>
      <c r="B3524">
        <v>30063</v>
      </c>
      <c r="C3524">
        <v>302357</v>
      </c>
      <c r="D3524">
        <v>21883</v>
      </c>
    </row>
    <row r="3525" spans="1:4" x14ac:dyDescent="0.2">
      <c r="A3525">
        <v>3693447</v>
      </c>
      <c r="B3525">
        <v>30064</v>
      </c>
      <c r="C3525">
        <v>302369</v>
      </c>
      <c r="D3525">
        <v>21883</v>
      </c>
    </row>
    <row r="3526" spans="1:4" x14ac:dyDescent="0.2">
      <c r="A3526">
        <v>3693447</v>
      </c>
      <c r="B3526">
        <v>30065</v>
      </c>
      <c r="C3526">
        <v>302371</v>
      </c>
      <c r="D3526">
        <v>21883</v>
      </c>
    </row>
    <row r="3527" spans="1:4" x14ac:dyDescent="0.2">
      <c r="A3527">
        <v>3693447</v>
      </c>
      <c r="B3527">
        <v>30066</v>
      </c>
      <c r="C3527">
        <v>302436</v>
      </c>
      <c r="D3527">
        <v>21883</v>
      </c>
    </row>
    <row r="3528" spans="1:4" x14ac:dyDescent="0.2">
      <c r="A3528">
        <v>3693447</v>
      </c>
      <c r="B3528">
        <v>30067</v>
      </c>
      <c r="C3528">
        <v>302461</v>
      </c>
      <c r="D3528">
        <v>21883</v>
      </c>
    </row>
    <row r="3529" spans="1:4" x14ac:dyDescent="0.2">
      <c r="A3529">
        <v>3693448</v>
      </c>
      <c r="B3529">
        <v>30063</v>
      </c>
      <c r="C3529">
        <v>302357</v>
      </c>
      <c r="D3529">
        <v>21883</v>
      </c>
    </row>
    <row r="3530" spans="1:4" x14ac:dyDescent="0.2">
      <c r="A3530">
        <v>3693448</v>
      </c>
      <c r="B3530">
        <v>30064</v>
      </c>
      <c r="C3530">
        <v>302369</v>
      </c>
      <c r="D3530">
        <v>21883</v>
      </c>
    </row>
    <row r="3531" spans="1:4" x14ac:dyDescent="0.2">
      <c r="A3531">
        <v>3693448</v>
      </c>
      <c r="B3531">
        <v>30065</v>
      </c>
      <c r="C3531">
        <v>302371</v>
      </c>
      <c r="D3531">
        <v>21883</v>
      </c>
    </row>
    <row r="3532" spans="1:4" x14ac:dyDescent="0.2">
      <c r="A3532">
        <v>3693448</v>
      </c>
      <c r="B3532">
        <v>30066</v>
      </c>
      <c r="C3532">
        <v>302436</v>
      </c>
      <c r="D3532">
        <v>21883</v>
      </c>
    </row>
    <row r="3533" spans="1:4" x14ac:dyDescent="0.2">
      <c r="A3533">
        <v>3693448</v>
      </c>
      <c r="B3533">
        <v>30067</v>
      </c>
      <c r="C3533">
        <v>302461</v>
      </c>
      <c r="D3533">
        <v>21883</v>
      </c>
    </row>
    <row r="3534" spans="1:4" x14ac:dyDescent="0.2">
      <c r="A3534">
        <v>3693449</v>
      </c>
      <c r="B3534">
        <v>30063</v>
      </c>
      <c r="C3534">
        <v>302357</v>
      </c>
      <c r="D3534">
        <v>21883</v>
      </c>
    </row>
    <row r="3535" spans="1:4" x14ac:dyDescent="0.2">
      <c r="A3535">
        <v>3693449</v>
      </c>
      <c r="B3535">
        <v>30064</v>
      </c>
      <c r="C3535">
        <v>302369</v>
      </c>
      <c r="D3535">
        <v>21883</v>
      </c>
    </row>
    <row r="3536" spans="1:4" x14ac:dyDescent="0.2">
      <c r="A3536">
        <v>3693449</v>
      </c>
      <c r="B3536">
        <v>30065</v>
      </c>
      <c r="C3536">
        <v>302371</v>
      </c>
      <c r="D3536">
        <v>21883</v>
      </c>
    </row>
    <row r="3537" spans="1:4" x14ac:dyDescent="0.2">
      <c r="A3537">
        <v>3693449</v>
      </c>
      <c r="B3537">
        <v>30066</v>
      </c>
      <c r="C3537">
        <v>302436</v>
      </c>
      <c r="D3537">
        <v>21883</v>
      </c>
    </row>
    <row r="3538" spans="1:4" x14ac:dyDescent="0.2">
      <c r="A3538">
        <v>3693449</v>
      </c>
      <c r="B3538">
        <v>30067</v>
      </c>
      <c r="C3538">
        <v>302462</v>
      </c>
      <c r="D3538">
        <v>21883</v>
      </c>
    </row>
    <row r="3539" spans="1:4" x14ac:dyDescent="0.2">
      <c r="A3539">
        <v>3693450</v>
      </c>
      <c r="B3539">
        <v>30063</v>
      </c>
      <c r="C3539">
        <v>302357</v>
      </c>
      <c r="D3539">
        <v>21883</v>
      </c>
    </row>
    <row r="3540" spans="1:4" x14ac:dyDescent="0.2">
      <c r="A3540">
        <v>3693450</v>
      </c>
      <c r="B3540">
        <v>30064</v>
      </c>
      <c r="C3540">
        <v>302369</v>
      </c>
      <c r="D3540">
        <v>21883</v>
      </c>
    </row>
    <row r="3541" spans="1:4" x14ac:dyDescent="0.2">
      <c r="A3541">
        <v>3693450</v>
      </c>
      <c r="B3541">
        <v>30065</v>
      </c>
      <c r="C3541">
        <v>302371</v>
      </c>
      <c r="D3541">
        <v>21883</v>
      </c>
    </row>
    <row r="3542" spans="1:4" x14ac:dyDescent="0.2">
      <c r="A3542">
        <v>3693450</v>
      </c>
      <c r="B3542">
        <v>30066</v>
      </c>
      <c r="C3542">
        <v>302436</v>
      </c>
      <c r="D3542">
        <v>21883</v>
      </c>
    </row>
    <row r="3543" spans="1:4" x14ac:dyDescent="0.2">
      <c r="A3543">
        <v>3693450</v>
      </c>
      <c r="B3543">
        <v>30067</v>
      </c>
      <c r="C3543">
        <v>302462</v>
      </c>
      <c r="D3543">
        <v>21883</v>
      </c>
    </row>
    <row r="3544" spans="1:4" x14ac:dyDescent="0.2">
      <c r="A3544">
        <v>3693451</v>
      </c>
      <c r="B3544">
        <v>30063</v>
      </c>
      <c r="C3544">
        <v>302357</v>
      </c>
      <c r="D3544">
        <v>21883</v>
      </c>
    </row>
    <row r="3545" spans="1:4" x14ac:dyDescent="0.2">
      <c r="A3545">
        <v>3693451</v>
      </c>
      <c r="B3545">
        <v>30064</v>
      </c>
      <c r="C3545">
        <v>302369</v>
      </c>
      <c r="D3545">
        <v>21883</v>
      </c>
    </row>
    <row r="3546" spans="1:4" x14ac:dyDescent="0.2">
      <c r="A3546">
        <v>3693451</v>
      </c>
      <c r="B3546">
        <v>30065</v>
      </c>
      <c r="C3546">
        <v>302371</v>
      </c>
      <c r="D3546">
        <v>21883</v>
      </c>
    </row>
    <row r="3547" spans="1:4" x14ac:dyDescent="0.2">
      <c r="A3547">
        <v>3693451</v>
      </c>
      <c r="B3547">
        <v>30066</v>
      </c>
      <c r="C3547">
        <v>302436</v>
      </c>
      <c r="D3547">
        <v>21883</v>
      </c>
    </row>
    <row r="3548" spans="1:4" x14ac:dyDescent="0.2">
      <c r="A3548">
        <v>3693451</v>
      </c>
      <c r="B3548">
        <v>30067</v>
      </c>
      <c r="C3548">
        <v>302462</v>
      </c>
      <c r="D3548">
        <v>21883</v>
      </c>
    </row>
    <row r="3549" spans="1:4" x14ac:dyDescent="0.2">
      <c r="A3549">
        <v>3693452</v>
      </c>
      <c r="B3549">
        <v>30063</v>
      </c>
      <c r="C3549">
        <v>302357</v>
      </c>
      <c r="D3549">
        <v>21883</v>
      </c>
    </row>
    <row r="3550" spans="1:4" x14ac:dyDescent="0.2">
      <c r="A3550">
        <v>3693452</v>
      </c>
      <c r="B3550">
        <v>30064</v>
      </c>
      <c r="C3550">
        <v>302369</v>
      </c>
      <c r="D3550">
        <v>21883</v>
      </c>
    </row>
    <row r="3551" spans="1:4" x14ac:dyDescent="0.2">
      <c r="A3551">
        <v>3693452</v>
      </c>
      <c r="B3551">
        <v>30065</v>
      </c>
      <c r="C3551">
        <v>302371</v>
      </c>
      <c r="D3551">
        <v>21883</v>
      </c>
    </row>
    <row r="3552" spans="1:4" x14ac:dyDescent="0.2">
      <c r="A3552">
        <v>3693452</v>
      </c>
      <c r="B3552">
        <v>30066</v>
      </c>
      <c r="C3552">
        <v>302436</v>
      </c>
      <c r="D3552">
        <v>21883</v>
      </c>
    </row>
    <row r="3553" spans="1:4" x14ac:dyDescent="0.2">
      <c r="A3553">
        <v>3693452</v>
      </c>
      <c r="B3553">
        <v>30067</v>
      </c>
      <c r="C3553">
        <v>302462</v>
      </c>
      <c r="D3553">
        <v>21883</v>
      </c>
    </row>
    <row r="3554" spans="1:4" x14ac:dyDescent="0.2">
      <c r="A3554">
        <v>3693453</v>
      </c>
      <c r="B3554">
        <v>30063</v>
      </c>
      <c r="C3554">
        <v>302357</v>
      </c>
      <c r="D3554">
        <v>21883</v>
      </c>
    </row>
    <row r="3555" spans="1:4" x14ac:dyDescent="0.2">
      <c r="A3555">
        <v>3693453</v>
      </c>
      <c r="B3555">
        <v>30064</v>
      </c>
      <c r="C3555">
        <v>302369</v>
      </c>
      <c r="D3555">
        <v>21883</v>
      </c>
    </row>
    <row r="3556" spans="1:4" x14ac:dyDescent="0.2">
      <c r="A3556">
        <v>3693453</v>
      </c>
      <c r="B3556">
        <v>30065</v>
      </c>
      <c r="C3556">
        <v>302371</v>
      </c>
      <c r="D3556">
        <v>21883</v>
      </c>
    </row>
    <row r="3557" spans="1:4" x14ac:dyDescent="0.2">
      <c r="A3557">
        <v>3693453</v>
      </c>
      <c r="B3557">
        <v>30066</v>
      </c>
      <c r="C3557">
        <v>302436</v>
      </c>
      <c r="D3557">
        <v>21883</v>
      </c>
    </row>
    <row r="3558" spans="1:4" x14ac:dyDescent="0.2">
      <c r="A3558">
        <v>3693453</v>
      </c>
      <c r="B3558">
        <v>30067</v>
      </c>
      <c r="C3558">
        <v>302462</v>
      </c>
      <c r="D3558">
        <v>21883</v>
      </c>
    </row>
    <row r="3559" spans="1:4" x14ac:dyDescent="0.2">
      <c r="A3559">
        <v>3693454</v>
      </c>
      <c r="B3559">
        <v>30063</v>
      </c>
      <c r="C3559">
        <v>302357</v>
      </c>
      <c r="D3559">
        <v>21883</v>
      </c>
    </row>
    <row r="3560" spans="1:4" x14ac:dyDescent="0.2">
      <c r="A3560">
        <v>3693454</v>
      </c>
      <c r="B3560">
        <v>30064</v>
      </c>
      <c r="C3560">
        <v>302369</v>
      </c>
      <c r="D3560">
        <v>21883</v>
      </c>
    </row>
    <row r="3561" spans="1:4" x14ac:dyDescent="0.2">
      <c r="A3561">
        <v>3693454</v>
      </c>
      <c r="B3561">
        <v>30065</v>
      </c>
      <c r="C3561">
        <v>302371</v>
      </c>
      <c r="D3561">
        <v>21883</v>
      </c>
    </row>
    <row r="3562" spans="1:4" x14ac:dyDescent="0.2">
      <c r="A3562">
        <v>3693454</v>
      </c>
      <c r="B3562">
        <v>30066</v>
      </c>
      <c r="C3562">
        <v>302436</v>
      </c>
      <c r="D3562">
        <v>21883</v>
      </c>
    </row>
    <row r="3563" spans="1:4" x14ac:dyDescent="0.2">
      <c r="A3563">
        <v>3693454</v>
      </c>
      <c r="B3563">
        <v>30067</v>
      </c>
      <c r="C3563">
        <v>302462</v>
      </c>
      <c r="D3563">
        <v>21883</v>
      </c>
    </row>
    <row r="3564" spans="1:4" x14ac:dyDescent="0.2">
      <c r="A3564">
        <v>3693455</v>
      </c>
      <c r="B3564">
        <v>30063</v>
      </c>
      <c r="C3564">
        <v>302357</v>
      </c>
      <c r="D3564">
        <v>21883</v>
      </c>
    </row>
    <row r="3565" spans="1:4" x14ac:dyDescent="0.2">
      <c r="A3565">
        <v>3693455</v>
      </c>
      <c r="B3565">
        <v>30064</v>
      </c>
      <c r="C3565">
        <v>302369</v>
      </c>
      <c r="D3565">
        <v>21883</v>
      </c>
    </row>
    <row r="3566" spans="1:4" x14ac:dyDescent="0.2">
      <c r="A3566">
        <v>3693455</v>
      </c>
      <c r="B3566">
        <v>30065</v>
      </c>
      <c r="C3566">
        <v>302371</v>
      </c>
      <c r="D3566">
        <v>21883</v>
      </c>
    </row>
    <row r="3567" spans="1:4" x14ac:dyDescent="0.2">
      <c r="A3567">
        <v>3693455</v>
      </c>
      <c r="B3567">
        <v>30066</v>
      </c>
      <c r="C3567">
        <v>302436</v>
      </c>
      <c r="D3567">
        <v>21883</v>
      </c>
    </row>
    <row r="3568" spans="1:4" x14ac:dyDescent="0.2">
      <c r="A3568">
        <v>3693455</v>
      </c>
      <c r="B3568">
        <v>30067</v>
      </c>
      <c r="C3568">
        <v>302462</v>
      </c>
      <c r="D3568">
        <v>21883</v>
      </c>
    </row>
    <row r="3569" spans="1:4" x14ac:dyDescent="0.2">
      <c r="A3569">
        <v>3693456</v>
      </c>
      <c r="B3569">
        <v>30063</v>
      </c>
      <c r="C3569">
        <v>302357</v>
      </c>
      <c r="D3569">
        <v>21883</v>
      </c>
    </row>
    <row r="3570" spans="1:4" x14ac:dyDescent="0.2">
      <c r="A3570">
        <v>3693456</v>
      </c>
      <c r="B3570">
        <v>30064</v>
      </c>
      <c r="C3570">
        <v>302369</v>
      </c>
      <c r="D3570">
        <v>21883</v>
      </c>
    </row>
    <row r="3571" spans="1:4" x14ac:dyDescent="0.2">
      <c r="A3571">
        <v>3693456</v>
      </c>
      <c r="B3571">
        <v>30065</v>
      </c>
      <c r="C3571">
        <v>302371</v>
      </c>
      <c r="D3571">
        <v>21883</v>
      </c>
    </row>
    <row r="3572" spans="1:4" x14ac:dyDescent="0.2">
      <c r="A3572">
        <v>3693456</v>
      </c>
      <c r="B3572">
        <v>30066</v>
      </c>
      <c r="C3572">
        <v>302436</v>
      </c>
      <c r="D3572">
        <v>21883</v>
      </c>
    </row>
    <row r="3573" spans="1:4" x14ac:dyDescent="0.2">
      <c r="A3573">
        <v>3693456</v>
      </c>
      <c r="B3573">
        <v>30067</v>
      </c>
      <c r="C3573">
        <v>302463</v>
      </c>
      <c r="D3573">
        <v>21883</v>
      </c>
    </row>
    <row r="3574" spans="1:4" x14ac:dyDescent="0.2">
      <c r="A3574">
        <v>3693457</v>
      </c>
      <c r="B3574">
        <v>30063</v>
      </c>
      <c r="C3574">
        <v>302357</v>
      </c>
      <c r="D3574">
        <v>21883</v>
      </c>
    </row>
    <row r="3575" spans="1:4" x14ac:dyDescent="0.2">
      <c r="A3575">
        <v>3693457</v>
      </c>
      <c r="B3575">
        <v>30064</v>
      </c>
      <c r="C3575">
        <v>302369</v>
      </c>
      <c r="D3575">
        <v>21883</v>
      </c>
    </row>
    <row r="3576" spans="1:4" x14ac:dyDescent="0.2">
      <c r="A3576">
        <v>3693457</v>
      </c>
      <c r="B3576">
        <v>30065</v>
      </c>
      <c r="C3576">
        <v>302371</v>
      </c>
      <c r="D3576">
        <v>21883</v>
      </c>
    </row>
    <row r="3577" spans="1:4" x14ac:dyDescent="0.2">
      <c r="A3577">
        <v>3693457</v>
      </c>
      <c r="B3577">
        <v>30066</v>
      </c>
      <c r="C3577">
        <v>302436</v>
      </c>
      <c r="D3577">
        <v>21883</v>
      </c>
    </row>
    <row r="3578" spans="1:4" x14ac:dyDescent="0.2">
      <c r="A3578">
        <v>3693457</v>
      </c>
      <c r="B3578">
        <v>30067</v>
      </c>
      <c r="C3578">
        <v>302463</v>
      </c>
      <c r="D3578">
        <v>21883</v>
      </c>
    </row>
    <row r="3579" spans="1:4" x14ac:dyDescent="0.2">
      <c r="A3579">
        <v>3693458</v>
      </c>
      <c r="B3579">
        <v>30063</v>
      </c>
      <c r="C3579">
        <v>302357</v>
      </c>
      <c r="D3579">
        <v>21883</v>
      </c>
    </row>
    <row r="3580" spans="1:4" x14ac:dyDescent="0.2">
      <c r="A3580">
        <v>3693458</v>
      </c>
      <c r="B3580">
        <v>30064</v>
      </c>
      <c r="C3580">
        <v>302369</v>
      </c>
      <c r="D3580">
        <v>21883</v>
      </c>
    </row>
    <row r="3581" spans="1:4" x14ac:dyDescent="0.2">
      <c r="A3581">
        <v>3693458</v>
      </c>
      <c r="B3581">
        <v>30065</v>
      </c>
      <c r="C3581">
        <v>302371</v>
      </c>
      <c r="D3581">
        <v>21883</v>
      </c>
    </row>
    <row r="3582" spans="1:4" x14ac:dyDescent="0.2">
      <c r="A3582">
        <v>3693458</v>
      </c>
      <c r="B3582">
        <v>30066</v>
      </c>
      <c r="C3582">
        <v>302436</v>
      </c>
      <c r="D3582">
        <v>21883</v>
      </c>
    </row>
    <row r="3583" spans="1:4" x14ac:dyDescent="0.2">
      <c r="A3583">
        <v>3693458</v>
      </c>
      <c r="B3583">
        <v>30067</v>
      </c>
      <c r="C3583">
        <v>302463</v>
      </c>
      <c r="D3583">
        <v>21883</v>
      </c>
    </row>
    <row r="3584" spans="1:4" x14ac:dyDescent="0.2">
      <c r="A3584">
        <v>3693459</v>
      </c>
      <c r="B3584">
        <v>30063</v>
      </c>
      <c r="C3584">
        <v>302357</v>
      </c>
      <c r="D3584">
        <v>21883</v>
      </c>
    </row>
    <row r="3585" spans="1:4" x14ac:dyDescent="0.2">
      <c r="A3585">
        <v>3693459</v>
      </c>
      <c r="B3585">
        <v>30064</v>
      </c>
      <c r="C3585">
        <v>302369</v>
      </c>
      <c r="D3585">
        <v>21883</v>
      </c>
    </row>
    <row r="3586" spans="1:4" x14ac:dyDescent="0.2">
      <c r="A3586">
        <v>3693459</v>
      </c>
      <c r="B3586">
        <v>30065</v>
      </c>
      <c r="C3586">
        <v>302371</v>
      </c>
      <c r="D3586">
        <v>21883</v>
      </c>
    </row>
    <row r="3587" spans="1:4" x14ac:dyDescent="0.2">
      <c r="A3587">
        <v>3693459</v>
      </c>
      <c r="B3587">
        <v>30066</v>
      </c>
      <c r="C3587">
        <v>302436</v>
      </c>
      <c r="D3587">
        <v>21883</v>
      </c>
    </row>
    <row r="3588" spans="1:4" x14ac:dyDescent="0.2">
      <c r="A3588">
        <v>3693459</v>
      </c>
      <c r="B3588">
        <v>30067</v>
      </c>
      <c r="C3588">
        <v>302463</v>
      </c>
      <c r="D3588">
        <v>21883</v>
      </c>
    </row>
    <row r="3589" spans="1:4" x14ac:dyDescent="0.2">
      <c r="A3589">
        <v>3693460</v>
      </c>
      <c r="B3589">
        <v>30063</v>
      </c>
      <c r="C3589">
        <v>302357</v>
      </c>
      <c r="D3589">
        <v>21883</v>
      </c>
    </row>
    <row r="3590" spans="1:4" x14ac:dyDescent="0.2">
      <c r="A3590">
        <v>3693460</v>
      </c>
      <c r="B3590">
        <v>30064</v>
      </c>
      <c r="C3590">
        <v>302369</v>
      </c>
      <c r="D3590">
        <v>21883</v>
      </c>
    </row>
    <row r="3591" spans="1:4" x14ac:dyDescent="0.2">
      <c r="A3591">
        <v>3693460</v>
      </c>
      <c r="B3591">
        <v>30065</v>
      </c>
      <c r="C3591">
        <v>302371</v>
      </c>
      <c r="D3591">
        <v>21883</v>
      </c>
    </row>
    <row r="3592" spans="1:4" x14ac:dyDescent="0.2">
      <c r="A3592">
        <v>3693460</v>
      </c>
      <c r="B3592">
        <v>30066</v>
      </c>
      <c r="C3592">
        <v>302436</v>
      </c>
      <c r="D3592">
        <v>21883</v>
      </c>
    </row>
    <row r="3593" spans="1:4" x14ac:dyDescent="0.2">
      <c r="A3593">
        <v>3693460</v>
      </c>
      <c r="B3593">
        <v>30067</v>
      </c>
      <c r="C3593">
        <v>302463</v>
      </c>
      <c r="D3593">
        <v>21883</v>
      </c>
    </row>
    <row r="3594" spans="1:4" x14ac:dyDescent="0.2">
      <c r="A3594">
        <v>3693461</v>
      </c>
      <c r="B3594">
        <v>30063</v>
      </c>
      <c r="C3594">
        <v>302357</v>
      </c>
      <c r="D3594">
        <v>21883</v>
      </c>
    </row>
    <row r="3595" spans="1:4" x14ac:dyDescent="0.2">
      <c r="A3595">
        <v>3693461</v>
      </c>
      <c r="B3595">
        <v>30064</v>
      </c>
      <c r="C3595">
        <v>302369</v>
      </c>
      <c r="D3595">
        <v>21883</v>
      </c>
    </row>
    <row r="3596" spans="1:4" x14ac:dyDescent="0.2">
      <c r="A3596">
        <v>3693461</v>
      </c>
      <c r="B3596">
        <v>30065</v>
      </c>
      <c r="C3596">
        <v>302371</v>
      </c>
      <c r="D3596">
        <v>21883</v>
      </c>
    </row>
    <row r="3597" spans="1:4" x14ac:dyDescent="0.2">
      <c r="A3597">
        <v>3693461</v>
      </c>
      <c r="B3597">
        <v>30066</v>
      </c>
      <c r="C3597">
        <v>302436</v>
      </c>
      <c r="D3597">
        <v>21883</v>
      </c>
    </row>
    <row r="3598" spans="1:4" x14ac:dyDescent="0.2">
      <c r="A3598">
        <v>3693461</v>
      </c>
      <c r="B3598">
        <v>30067</v>
      </c>
      <c r="C3598">
        <v>302463</v>
      </c>
      <c r="D3598">
        <v>21883</v>
      </c>
    </row>
    <row r="3599" spans="1:4" x14ac:dyDescent="0.2">
      <c r="A3599">
        <v>3693462</v>
      </c>
      <c r="B3599">
        <v>30063</v>
      </c>
      <c r="C3599">
        <v>302357</v>
      </c>
      <c r="D3599">
        <v>21883</v>
      </c>
    </row>
    <row r="3600" spans="1:4" x14ac:dyDescent="0.2">
      <c r="A3600">
        <v>3693462</v>
      </c>
      <c r="B3600">
        <v>30064</v>
      </c>
      <c r="C3600">
        <v>302369</v>
      </c>
      <c r="D3600">
        <v>21883</v>
      </c>
    </row>
    <row r="3601" spans="1:4" x14ac:dyDescent="0.2">
      <c r="A3601">
        <v>3693462</v>
      </c>
      <c r="B3601">
        <v>30065</v>
      </c>
      <c r="C3601">
        <v>302371</v>
      </c>
      <c r="D3601">
        <v>21883</v>
      </c>
    </row>
    <row r="3602" spans="1:4" x14ac:dyDescent="0.2">
      <c r="A3602">
        <v>3693462</v>
      </c>
      <c r="B3602">
        <v>30066</v>
      </c>
      <c r="C3602">
        <v>302436</v>
      </c>
      <c r="D3602">
        <v>21883</v>
      </c>
    </row>
    <row r="3603" spans="1:4" x14ac:dyDescent="0.2">
      <c r="A3603">
        <v>3693462</v>
      </c>
      <c r="B3603">
        <v>30067</v>
      </c>
      <c r="C3603">
        <v>302463</v>
      </c>
      <c r="D3603">
        <v>21883</v>
      </c>
    </row>
    <row r="3604" spans="1:4" x14ac:dyDescent="0.2">
      <c r="A3604">
        <v>3693463</v>
      </c>
      <c r="B3604">
        <v>30063</v>
      </c>
      <c r="C3604">
        <v>302357</v>
      </c>
      <c r="D3604">
        <v>21883</v>
      </c>
    </row>
    <row r="3605" spans="1:4" x14ac:dyDescent="0.2">
      <c r="A3605">
        <v>3693463</v>
      </c>
      <c r="B3605">
        <v>30064</v>
      </c>
      <c r="C3605">
        <v>302386</v>
      </c>
      <c r="D3605">
        <v>21883</v>
      </c>
    </row>
    <row r="3606" spans="1:4" x14ac:dyDescent="0.2">
      <c r="A3606">
        <v>3693463</v>
      </c>
      <c r="B3606">
        <v>30065</v>
      </c>
      <c r="C3606">
        <v>302371</v>
      </c>
      <c r="D3606">
        <v>21883</v>
      </c>
    </row>
    <row r="3607" spans="1:4" x14ac:dyDescent="0.2">
      <c r="A3607">
        <v>3693463</v>
      </c>
      <c r="B3607">
        <v>30066</v>
      </c>
      <c r="C3607">
        <v>302436</v>
      </c>
      <c r="D3607">
        <v>21883</v>
      </c>
    </row>
    <row r="3608" spans="1:4" x14ac:dyDescent="0.2">
      <c r="A3608">
        <v>3693463</v>
      </c>
      <c r="B3608">
        <v>30067</v>
      </c>
      <c r="C3608">
        <v>302456</v>
      </c>
      <c r="D3608">
        <v>21883</v>
      </c>
    </row>
    <row r="3609" spans="1:4" x14ac:dyDescent="0.2">
      <c r="A3609">
        <v>3693464</v>
      </c>
      <c r="B3609">
        <v>30063</v>
      </c>
      <c r="C3609">
        <v>302357</v>
      </c>
      <c r="D3609">
        <v>21883</v>
      </c>
    </row>
    <row r="3610" spans="1:4" x14ac:dyDescent="0.2">
      <c r="A3610">
        <v>3693464</v>
      </c>
      <c r="B3610">
        <v>30064</v>
      </c>
      <c r="C3610">
        <v>302386</v>
      </c>
      <c r="D3610">
        <v>21883</v>
      </c>
    </row>
    <row r="3611" spans="1:4" x14ac:dyDescent="0.2">
      <c r="A3611">
        <v>3693464</v>
      </c>
      <c r="B3611">
        <v>30065</v>
      </c>
      <c r="C3611">
        <v>302371</v>
      </c>
      <c r="D3611">
        <v>21883</v>
      </c>
    </row>
    <row r="3612" spans="1:4" x14ac:dyDescent="0.2">
      <c r="A3612">
        <v>3693464</v>
      </c>
      <c r="B3612">
        <v>30066</v>
      </c>
      <c r="C3612">
        <v>302436</v>
      </c>
      <c r="D3612">
        <v>21883</v>
      </c>
    </row>
    <row r="3613" spans="1:4" x14ac:dyDescent="0.2">
      <c r="A3613">
        <v>3693465</v>
      </c>
      <c r="B3613">
        <v>30063</v>
      </c>
      <c r="C3613">
        <v>302357</v>
      </c>
      <c r="D3613">
        <v>21883</v>
      </c>
    </row>
    <row r="3614" spans="1:4" x14ac:dyDescent="0.2">
      <c r="A3614">
        <v>3693465</v>
      </c>
      <c r="B3614">
        <v>30064</v>
      </c>
      <c r="C3614">
        <v>302386</v>
      </c>
      <c r="D3614">
        <v>21883</v>
      </c>
    </row>
    <row r="3615" spans="1:4" x14ac:dyDescent="0.2">
      <c r="A3615">
        <v>3693465</v>
      </c>
      <c r="B3615">
        <v>30065</v>
      </c>
      <c r="C3615">
        <v>302371</v>
      </c>
      <c r="D3615">
        <v>21883</v>
      </c>
    </row>
    <row r="3616" spans="1:4" x14ac:dyDescent="0.2">
      <c r="A3616">
        <v>3693465</v>
      </c>
      <c r="B3616">
        <v>30066</v>
      </c>
      <c r="C3616">
        <v>302436</v>
      </c>
      <c r="D3616">
        <v>21883</v>
      </c>
    </row>
    <row r="3617" spans="1:4" x14ac:dyDescent="0.2">
      <c r="A3617">
        <v>3693466</v>
      </c>
      <c r="B3617">
        <v>30063</v>
      </c>
      <c r="C3617">
        <v>302357</v>
      </c>
      <c r="D3617">
        <v>21883</v>
      </c>
    </row>
    <row r="3618" spans="1:4" x14ac:dyDescent="0.2">
      <c r="A3618">
        <v>3693466</v>
      </c>
      <c r="B3618">
        <v>30064</v>
      </c>
      <c r="C3618">
        <v>302386</v>
      </c>
      <c r="D3618">
        <v>21883</v>
      </c>
    </row>
    <row r="3619" spans="1:4" x14ac:dyDescent="0.2">
      <c r="A3619">
        <v>3693466</v>
      </c>
      <c r="B3619">
        <v>30065</v>
      </c>
      <c r="C3619">
        <v>302371</v>
      </c>
      <c r="D3619">
        <v>21883</v>
      </c>
    </row>
    <row r="3620" spans="1:4" x14ac:dyDescent="0.2">
      <c r="A3620">
        <v>3693466</v>
      </c>
      <c r="B3620">
        <v>30066</v>
      </c>
      <c r="C3620">
        <v>302436</v>
      </c>
      <c r="D3620">
        <v>21883</v>
      </c>
    </row>
    <row r="3621" spans="1:4" x14ac:dyDescent="0.2">
      <c r="A3621">
        <v>3693466</v>
      </c>
      <c r="B3621">
        <v>30067</v>
      </c>
      <c r="C3621">
        <v>302463</v>
      </c>
      <c r="D3621">
        <v>21883</v>
      </c>
    </row>
    <row r="3622" spans="1:4" x14ac:dyDescent="0.2">
      <c r="A3622">
        <v>3693467</v>
      </c>
      <c r="B3622">
        <v>30061</v>
      </c>
      <c r="C3622">
        <v>302337</v>
      </c>
      <c r="D3622">
        <v>21883</v>
      </c>
    </row>
    <row r="3623" spans="1:4" x14ac:dyDescent="0.2">
      <c r="A3623">
        <v>3693467</v>
      </c>
      <c r="B3623">
        <v>30063</v>
      </c>
      <c r="C3623">
        <v>302357</v>
      </c>
      <c r="D3623">
        <v>21883</v>
      </c>
    </row>
    <row r="3624" spans="1:4" x14ac:dyDescent="0.2">
      <c r="A3624">
        <v>3693467</v>
      </c>
      <c r="B3624">
        <v>30064</v>
      </c>
      <c r="C3624">
        <v>302360</v>
      </c>
      <c r="D3624">
        <v>21883</v>
      </c>
    </row>
    <row r="3625" spans="1:4" x14ac:dyDescent="0.2">
      <c r="A3625">
        <v>3693467</v>
      </c>
      <c r="B3625">
        <v>30065</v>
      </c>
      <c r="C3625">
        <v>302372</v>
      </c>
      <c r="D3625">
        <v>21883</v>
      </c>
    </row>
    <row r="3626" spans="1:4" x14ac:dyDescent="0.2">
      <c r="A3626">
        <v>3693467</v>
      </c>
      <c r="B3626">
        <v>30066</v>
      </c>
      <c r="C3626">
        <v>302436</v>
      </c>
      <c r="D3626">
        <v>21883</v>
      </c>
    </row>
    <row r="3627" spans="1:4" x14ac:dyDescent="0.2">
      <c r="A3627">
        <v>3693467</v>
      </c>
      <c r="B3627">
        <v>30067</v>
      </c>
      <c r="C3627">
        <v>302455</v>
      </c>
      <c r="D3627">
        <v>21883</v>
      </c>
    </row>
    <row r="3628" spans="1:4" x14ac:dyDescent="0.2">
      <c r="A3628">
        <v>3693468</v>
      </c>
      <c r="B3628">
        <v>30061</v>
      </c>
      <c r="C3628">
        <v>302334</v>
      </c>
      <c r="D3628">
        <v>21883</v>
      </c>
    </row>
    <row r="3629" spans="1:4" x14ac:dyDescent="0.2">
      <c r="A3629">
        <v>3693468</v>
      </c>
      <c r="B3629">
        <v>30062</v>
      </c>
      <c r="C3629">
        <v>302355</v>
      </c>
      <c r="D3629">
        <v>21883</v>
      </c>
    </row>
    <row r="3630" spans="1:4" x14ac:dyDescent="0.2">
      <c r="A3630">
        <v>3693468</v>
      </c>
      <c r="B3630">
        <v>30063</v>
      </c>
      <c r="C3630">
        <v>302357</v>
      </c>
      <c r="D3630">
        <v>21883</v>
      </c>
    </row>
    <row r="3631" spans="1:4" x14ac:dyDescent="0.2">
      <c r="A3631">
        <v>3693468</v>
      </c>
      <c r="B3631">
        <v>30064</v>
      </c>
      <c r="C3631">
        <v>302360</v>
      </c>
      <c r="D3631">
        <v>21883</v>
      </c>
    </row>
    <row r="3632" spans="1:4" x14ac:dyDescent="0.2">
      <c r="A3632">
        <v>3693468</v>
      </c>
      <c r="B3632">
        <v>30065</v>
      </c>
      <c r="C3632">
        <v>302332</v>
      </c>
      <c r="D3632">
        <v>21883</v>
      </c>
    </row>
    <row r="3633" spans="1:4" x14ac:dyDescent="0.2">
      <c r="A3633">
        <v>3693468</v>
      </c>
      <c r="B3633">
        <v>30066</v>
      </c>
      <c r="C3633">
        <v>302436</v>
      </c>
      <c r="D3633">
        <v>21883</v>
      </c>
    </row>
    <row r="3634" spans="1:4" x14ac:dyDescent="0.2">
      <c r="A3634">
        <v>3693468</v>
      </c>
      <c r="B3634">
        <v>30067</v>
      </c>
      <c r="C3634">
        <v>302455</v>
      </c>
      <c r="D3634">
        <v>21883</v>
      </c>
    </row>
    <row r="3635" spans="1:4" x14ac:dyDescent="0.2">
      <c r="A3635">
        <v>3693469</v>
      </c>
      <c r="B3635">
        <v>30061</v>
      </c>
      <c r="C3635">
        <v>302337</v>
      </c>
      <c r="D3635">
        <v>21883</v>
      </c>
    </row>
    <row r="3636" spans="1:4" x14ac:dyDescent="0.2">
      <c r="A3636">
        <v>3693469</v>
      </c>
      <c r="B3636">
        <v>30063</v>
      </c>
      <c r="C3636">
        <v>302357</v>
      </c>
      <c r="D3636">
        <v>21883</v>
      </c>
    </row>
    <row r="3637" spans="1:4" x14ac:dyDescent="0.2">
      <c r="A3637">
        <v>3693469</v>
      </c>
      <c r="B3637">
        <v>30064</v>
      </c>
      <c r="C3637">
        <v>302415</v>
      </c>
      <c r="D3637">
        <v>21883</v>
      </c>
    </row>
    <row r="3638" spans="1:4" x14ac:dyDescent="0.2">
      <c r="A3638">
        <v>3693469</v>
      </c>
      <c r="B3638">
        <v>30065</v>
      </c>
      <c r="C3638">
        <v>302372</v>
      </c>
      <c r="D3638">
        <v>21883</v>
      </c>
    </row>
    <row r="3639" spans="1:4" x14ac:dyDescent="0.2">
      <c r="A3639">
        <v>3693469</v>
      </c>
      <c r="B3639">
        <v>30066</v>
      </c>
      <c r="C3639">
        <v>302436</v>
      </c>
      <c r="D3639">
        <v>21883</v>
      </c>
    </row>
    <row r="3640" spans="1:4" x14ac:dyDescent="0.2">
      <c r="A3640">
        <v>3693469</v>
      </c>
      <c r="B3640">
        <v>30067</v>
      </c>
      <c r="C3640">
        <v>302455</v>
      </c>
      <c r="D3640">
        <v>21883</v>
      </c>
    </row>
    <row r="3641" spans="1:4" x14ac:dyDescent="0.2">
      <c r="A3641">
        <v>3693470</v>
      </c>
      <c r="B3641">
        <v>30061</v>
      </c>
      <c r="C3641">
        <v>302337</v>
      </c>
      <c r="D3641">
        <v>21883</v>
      </c>
    </row>
    <row r="3642" spans="1:4" x14ac:dyDescent="0.2">
      <c r="A3642">
        <v>3693470</v>
      </c>
      <c r="B3642">
        <v>30063</v>
      </c>
      <c r="C3642">
        <v>302357</v>
      </c>
      <c r="D3642">
        <v>21883</v>
      </c>
    </row>
    <row r="3643" spans="1:4" x14ac:dyDescent="0.2">
      <c r="A3643">
        <v>3693470</v>
      </c>
      <c r="B3643">
        <v>30064</v>
      </c>
      <c r="C3643">
        <v>302368</v>
      </c>
      <c r="D3643">
        <v>21883</v>
      </c>
    </row>
    <row r="3644" spans="1:4" x14ac:dyDescent="0.2">
      <c r="A3644">
        <v>3693470</v>
      </c>
      <c r="B3644">
        <v>30065</v>
      </c>
      <c r="C3644">
        <v>302372</v>
      </c>
      <c r="D3644">
        <v>21883</v>
      </c>
    </row>
    <row r="3645" spans="1:4" x14ac:dyDescent="0.2">
      <c r="A3645">
        <v>3693470</v>
      </c>
      <c r="B3645">
        <v>30066</v>
      </c>
      <c r="C3645">
        <v>302436</v>
      </c>
      <c r="D3645">
        <v>21883</v>
      </c>
    </row>
    <row r="3646" spans="1:4" x14ac:dyDescent="0.2">
      <c r="A3646">
        <v>3693470</v>
      </c>
      <c r="B3646">
        <v>30067</v>
      </c>
      <c r="C3646">
        <v>302455</v>
      </c>
      <c r="D3646">
        <v>21883</v>
      </c>
    </row>
    <row r="3647" spans="1:4" x14ac:dyDescent="0.2">
      <c r="A3647">
        <v>3693471</v>
      </c>
      <c r="B3647">
        <v>30061</v>
      </c>
      <c r="C3647">
        <v>302337</v>
      </c>
      <c r="D3647">
        <v>21883</v>
      </c>
    </row>
    <row r="3648" spans="1:4" x14ac:dyDescent="0.2">
      <c r="A3648">
        <v>3693471</v>
      </c>
      <c r="B3648">
        <v>30063</v>
      </c>
      <c r="C3648">
        <v>302357</v>
      </c>
      <c r="D3648">
        <v>21883</v>
      </c>
    </row>
    <row r="3649" spans="1:4" x14ac:dyDescent="0.2">
      <c r="A3649">
        <v>3693471</v>
      </c>
      <c r="B3649">
        <v>30064</v>
      </c>
      <c r="C3649">
        <v>302415</v>
      </c>
      <c r="D3649">
        <v>21883</v>
      </c>
    </row>
    <row r="3650" spans="1:4" x14ac:dyDescent="0.2">
      <c r="A3650">
        <v>3693471</v>
      </c>
      <c r="B3650">
        <v>30065</v>
      </c>
      <c r="C3650">
        <v>302372</v>
      </c>
      <c r="D3650">
        <v>21883</v>
      </c>
    </row>
    <row r="3651" spans="1:4" x14ac:dyDescent="0.2">
      <c r="A3651">
        <v>3693471</v>
      </c>
      <c r="B3651">
        <v>30066</v>
      </c>
      <c r="C3651">
        <v>302436</v>
      </c>
      <c r="D3651">
        <v>21883</v>
      </c>
    </row>
    <row r="3652" spans="1:4" x14ac:dyDescent="0.2">
      <c r="A3652">
        <v>3693471</v>
      </c>
      <c r="B3652">
        <v>30067</v>
      </c>
      <c r="C3652">
        <v>302455</v>
      </c>
      <c r="D3652">
        <v>21883</v>
      </c>
    </row>
    <row r="3653" spans="1:4" x14ac:dyDescent="0.2">
      <c r="A3653">
        <v>3693472</v>
      </c>
      <c r="B3653">
        <v>30061</v>
      </c>
      <c r="C3653">
        <v>302337</v>
      </c>
      <c r="D3653">
        <v>21883</v>
      </c>
    </row>
    <row r="3654" spans="1:4" x14ac:dyDescent="0.2">
      <c r="A3654">
        <v>3693472</v>
      </c>
      <c r="B3654">
        <v>30063</v>
      </c>
      <c r="C3654">
        <v>302357</v>
      </c>
      <c r="D3654">
        <v>21883</v>
      </c>
    </row>
    <row r="3655" spans="1:4" x14ac:dyDescent="0.2">
      <c r="A3655">
        <v>3693472</v>
      </c>
      <c r="B3655">
        <v>30064</v>
      </c>
      <c r="C3655">
        <v>302415</v>
      </c>
      <c r="D3655">
        <v>21883</v>
      </c>
    </row>
    <row r="3656" spans="1:4" x14ac:dyDescent="0.2">
      <c r="A3656">
        <v>3693472</v>
      </c>
      <c r="B3656">
        <v>30065</v>
      </c>
      <c r="C3656">
        <v>302372</v>
      </c>
      <c r="D3656">
        <v>21883</v>
      </c>
    </row>
    <row r="3657" spans="1:4" x14ac:dyDescent="0.2">
      <c r="A3657">
        <v>3693472</v>
      </c>
      <c r="B3657">
        <v>30066</v>
      </c>
      <c r="C3657">
        <v>302436</v>
      </c>
      <c r="D3657">
        <v>21883</v>
      </c>
    </row>
    <row r="3658" spans="1:4" x14ac:dyDescent="0.2">
      <c r="A3658">
        <v>3693472</v>
      </c>
      <c r="B3658">
        <v>30067</v>
      </c>
      <c r="C3658">
        <v>302455</v>
      </c>
      <c r="D3658">
        <v>21883</v>
      </c>
    </row>
    <row r="3659" spans="1:4" x14ac:dyDescent="0.2">
      <c r="A3659">
        <v>3693473</v>
      </c>
      <c r="B3659">
        <v>30061</v>
      </c>
      <c r="C3659">
        <v>302334</v>
      </c>
      <c r="D3659">
        <v>21883</v>
      </c>
    </row>
    <row r="3660" spans="1:4" x14ac:dyDescent="0.2">
      <c r="A3660">
        <v>3693473</v>
      </c>
      <c r="B3660">
        <v>30062</v>
      </c>
      <c r="C3660">
        <v>302355</v>
      </c>
      <c r="D3660">
        <v>21883</v>
      </c>
    </row>
    <row r="3661" spans="1:4" x14ac:dyDescent="0.2">
      <c r="A3661">
        <v>3693473</v>
      </c>
      <c r="B3661">
        <v>30063</v>
      </c>
      <c r="C3661">
        <v>302357</v>
      </c>
      <c r="D3661">
        <v>21883</v>
      </c>
    </row>
    <row r="3662" spans="1:4" x14ac:dyDescent="0.2">
      <c r="A3662">
        <v>3693473</v>
      </c>
      <c r="B3662">
        <v>30064</v>
      </c>
      <c r="C3662">
        <v>302415</v>
      </c>
      <c r="D3662">
        <v>21883</v>
      </c>
    </row>
    <row r="3663" spans="1:4" x14ac:dyDescent="0.2">
      <c r="A3663">
        <v>3693473</v>
      </c>
      <c r="B3663">
        <v>30065</v>
      </c>
      <c r="C3663">
        <v>302332</v>
      </c>
      <c r="D3663">
        <v>21883</v>
      </c>
    </row>
    <row r="3664" spans="1:4" x14ac:dyDescent="0.2">
      <c r="A3664">
        <v>3693473</v>
      </c>
      <c r="B3664">
        <v>30066</v>
      </c>
      <c r="C3664">
        <v>302436</v>
      </c>
      <c r="D3664">
        <v>21883</v>
      </c>
    </row>
    <row r="3665" spans="1:4" x14ac:dyDescent="0.2">
      <c r="A3665">
        <v>3693473</v>
      </c>
      <c r="B3665">
        <v>30067</v>
      </c>
      <c r="C3665">
        <v>302455</v>
      </c>
      <c r="D3665">
        <v>21883</v>
      </c>
    </row>
    <row r="3666" spans="1:4" x14ac:dyDescent="0.2">
      <c r="A3666">
        <v>3693474</v>
      </c>
      <c r="B3666">
        <v>30061</v>
      </c>
      <c r="C3666">
        <v>302337</v>
      </c>
      <c r="D3666">
        <v>21883</v>
      </c>
    </row>
    <row r="3667" spans="1:4" x14ac:dyDescent="0.2">
      <c r="A3667">
        <v>3693474</v>
      </c>
      <c r="B3667">
        <v>30063</v>
      </c>
      <c r="C3667">
        <v>302357</v>
      </c>
      <c r="D3667">
        <v>21883</v>
      </c>
    </row>
    <row r="3668" spans="1:4" x14ac:dyDescent="0.2">
      <c r="A3668">
        <v>3693474</v>
      </c>
      <c r="B3668">
        <v>30064</v>
      </c>
      <c r="C3668">
        <v>302368</v>
      </c>
      <c r="D3668">
        <v>21883</v>
      </c>
    </row>
    <row r="3669" spans="1:4" x14ac:dyDescent="0.2">
      <c r="A3669">
        <v>3693474</v>
      </c>
      <c r="B3669">
        <v>30065</v>
      </c>
      <c r="C3669">
        <v>302372</v>
      </c>
      <c r="D3669">
        <v>21883</v>
      </c>
    </row>
    <row r="3670" spans="1:4" x14ac:dyDescent="0.2">
      <c r="A3670">
        <v>3693474</v>
      </c>
      <c r="B3670">
        <v>30066</v>
      </c>
      <c r="C3670">
        <v>302436</v>
      </c>
      <c r="D3670">
        <v>21883</v>
      </c>
    </row>
    <row r="3671" spans="1:4" x14ac:dyDescent="0.2">
      <c r="A3671">
        <v>3693474</v>
      </c>
      <c r="B3671">
        <v>30067</v>
      </c>
      <c r="C3671">
        <v>302455</v>
      </c>
      <c r="D3671">
        <v>21883</v>
      </c>
    </row>
    <row r="3672" spans="1:4" x14ac:dyDescent="0.2">
      <c r="A3672">
        <v>3693475</v>
      </c>
      <c r="B3672">
        <v>30061</v>
      </c>
      <c r="C3672">
        <v>302334</v>
      </c>
      <c r="D3672">
        <v>21883</v>
      </c>
    </row>
    <row r="3673" spans="1:4" x14ac:dyDescent="0.2">
      <c r="A3673">
        <v>3693475</v>
      </c>
      <c r="B3673">
        <v>30062</v>
      </c>
      <c r="C3673">
        <v>302355</v>
      </c>
      <c r="D3673">
        <v>21883</v>
      </c>
    </row>
    <row r="3674" spans="1:4" x14ac:dyDescent="0.2">
      <c r="A3674">
        <v>3693475</v>
      </c>
      <c r="B3674">
        <v>30063</v>
      </c>
      <c r="C3674">
        <v>302357</v>
      </c>
      <c r="D3674">
        <v>21883</v>
      </c>
    </row>
    <row r="3675" spans="1:4" x14ac:dyDescent="0.2">
      <c r="A3675">
        <v>3693475</v>
      </c>
      <c r="B3675">
        <v>30064</v>
      </c>
      <c r="C3675">
        <v>302415</v>
      </c>
      <c r="D3675">
        <v>21883</v>
      </c>
    </row>
    <row r="3676" spans="1:4" x14ac:dyDescent="0.2">
      <c r="A3676">
        <v>3693475</v>
      </c>
      <c r="B3676">
        <v>30065</v>
      </c>
      <c r="C3676">
        <v>302332</v>
      </c>
      <c r="D3676">
        <v>21883</v>
      </c>
    </row>
    <row r="3677" spans="1:4" x14ac:dyDescent="0.2">
      <c r="A3677">
        <v>3693475</v>
      </c>
      <c r="B3677">
        <v>30066</v>
      </c>
      <c r="C3677">
        <v>302436</v>
      </c>
      <c r="D3677">
        <v>21883</v>
      </c>
    </row>
    <row r="3678" spans="1:4" x14ac:dyDescent="0.2">
      <c r="A3678">
        <v>3693475</v>
      </c>
      <c r="B3678">
        <v>30067</v>
      </c>
      <c r="C3678">
        <v>302455</v>
      </c>
      <c r="D3678">
        <v>21883</v>
      </c>
    </row>
    <row r="3679" spans="1:4" x14ac:dyDescent="0.2">
      <c r="A3679">
        <v>3693476</v>
      </c>
      <c r="B3679">
        <v>30061</v>
      </c>
      <c r="C3679">
        <v>302337</v>
      </c>
      <c r="D3679">
        <v>21883</v>
      </c>
    </row>
    <row r="3680" spans="1:4" x14ac:dyDescent="0.2">
      <c r="A3680">
        <v>3693476</v>
      </c>
      <c r="B3680">
        <v>30063</v>
      </c>
      <c r="C3680">
        <v>302357</v>
      </c>
      <c r="D3680">
        <v>21883</v>
      </c>
    </row>
    <row r="3681" spans="1:4" x14ac:dyDescent="0.2">
      <c r="A3681">
        <v>3693476</v>
      </c>
      <c r="B3681">
        <v>30064</v>
      </c>
      <c r="C3681">
        <v>302415</v>
      </c>
      <c r="D3681">
        <v>21883</v>
      </c>
    </row>
    <row r="3682" spans="1:4" x14ac:dyDescent="0.2">
      <c r="A3682">
        <v>3693476</v>
      </c>
      <c r="B3682">
        <v>30065</v>
      </c>
      <c r="C3682">
        <v>302372</v>
      </c>
      <c r="D3682">
        <v>21883</v>
      </c>
    </row>
    <row r="3683" spans="1:4" x14ac:dyDescent="0.2">
      <c r="A3683">
        <v>3693476</v>
      </c>
      <c r="B3683">
        <v>30066</v>
      </c>
      <c r="C3683">
        <v>302436</v>
      </c>
      <c r="D3683">
        <v>21883</v>
      </c>
    </row>
    <row r="3684" spans="1:4" x14ac:dyDescent="0.2">
      <c r="A3684">
        <v>3693476</v>
      </c>
      <c r="B3684">
        <v>30067</v>
      </c>
      <c r="C3684">
        <v>302455</v>
      </c>
      <c r="D3684">
        <v>21883</v>
      </c>
    </row>
    <row r="3685" spans="1:4" x14ac:dyDescent="0.2">
      <c r="A3685">
        <v>3693477</v>
      </c>
      <c r="B3685">
        <v>30063</v>
      </c>
      <c r="C3685">
        <v>302357</v>
      </c>
      <c r="D3685">
        <v>21883</v>
      </c>
    </row>
    <row r="3686" spans="1:4" x14ac:dyDescent="0.2">
      <c r="A3686">
        <v>3693477</v>
      </c>
      <c r="B3686">
        <v>30064</v>
      </c>
      <c r="C3686">
        <v>302415</v>
      </c>
      <c r="D3686">
        <v>21883</v>
      </c>
    </row>
    <row r="3687" spans="1:4" x14ac:dyDescent="0.2">
      <c r="A3687">
        <v>3693477</v>
      </c>
      <c r="B3687">
        <v>30065</v>
      </c>
      <c r="C3687">
        <v>302372</v>
      </c>
      <c r="D3687">
        <v>21883</v>
      </c>
    </row>
    <row r="3688" spans="1:4" x14ac:dyDescent="0.2">
      <c r="A3688">
        <v>3693477</v>
      </c>
      <c r="B3688">
        <v>30066</v>
      </c>
      <c r="C3688">
        <v>302436</v>
      </c>
      <c r="D3688">
        <v>21883</v>
      </c>
    </row>
    <row r="3689" spans="1:4" x14ac:dyDescent="0.2">
      <c r="A3689">
        <v>3693477</v>
      </c>
      <c r="B3689">
        <v>30067</v>
      </c>
      <c r="C3689">
        <v>302455</v>
      </c>
      <c r="D3689">
        <v>21883</v>
      </c>
    </row>
    <row r="3690" spans="1:4" x14ac:dyDescent="0.2">
      <c r="A3690">
        <v>3693478</v>
      </c>
      <c r="B3690">
        <v>30063</v>
      </c>
      <c r="C3690">
        <v>302357</v>
      </c>
      <c r="D3690">
        <v>21883</v>
      </c>
    </row>
    <row r="3691" spans="1:4" x14ac:dyDescent="0.2">
      <c r="A3691">
        <v>3693478</v>
      </c>
      <c r="B3691">
        <v>30064</v>
      </c>
      <c r="C3691">
        <v>302417</v>
      </c>
      <c r="D3691">
        <v>21883</v>
      </c>
    </row>
    <row r="3692" spans="1:4" x14ac:dyDescent="0.2">
      <c r="A3692">
        <v>3693478</v>
      </c>
      <c r="B3692">
        <v>30065</v>
      </c>
      <c r="C3692">
        <v>302372</v>
      </c>
      <c r="D3692">
        <v>21883</v>
      </c>
    </row>
    <row r="3693" spans="1:4" x14ac:dyDescent="0.2">
      <c r="A3693">
        <v>3693478</v>
      </c>
      <c r="B3693">
        <v>30066</v>
      </c>
      <c r="C3693">
        <v>302436</v>
      </c>
      <c r="D3693">
        <v>21883</v>
      </c>
    </row>
    <row r="3694" spans="1:4" x14ac:dyDescent="0.2">
      <c r="A3694">
        <v>3693478</v>
      </c>
      <c r="B3694">
        <v>30067</v>
      </c>
      <c r="C3694">
        <v>302455</v>
      </c>
      <c r="D3694">
        <v>21883</v>
      </c>
    </row>
    <row r="3695" spans="1:4" x14ac:dyDescent="0.2">
      <c r="A3695">
        <v>3693479</v>
      </c>
      <c r="B3695">
        <v>30063</v>
      </c>
      <c r="C3695">
        <v>302357</v>
      </c>
      <c r="D3695">
        <v>21883</v>
      </c>
    </row>
    <row r="3696" spans="1:4" x14ac:dyDescent="0.2">
      <c r="A3696">
        <v>3693479</v>
      </c>
      <c r="B3696">
        <v>30064</v>
      </c>
      <c r="C3696">
        <v>302416</v>
      </c>
      <c r="D3696">
        <v>21883</v>
      </c>
    </row>
    <row r="3697" spans="1:4" x14ac:dyDescent="0.2">
      <c r="A3697">
        <v>3693479</v>
      </c>
      <c r="B3697">
        <v>30065</v>
      </c>
      <c r="C3697">
        <v>302372</v>
      </c>
      <c r="D3697">
        <v>21883</v>
      </c>
    </row>
    <row r="3698" spans="1:4" x14ac:dyDescent="0.2">
      <c r="A3698">
        <v>3693479</v>
      </c>
      <c r="B3698">
        <v>30066</v>
      </c>
      <c r="C3698">
        <v>302436</v>
      </c>
      <c r="D3698">
        <v>21883</v>
      </c>
    </row>
    <row r="3699" spans="1:4" x14ac:dyDescent="0.2">
      <c r="A3699">
        <v>3693479</v>
      </c>
      <c r="B3699">
        <v>30067</v>
      </c>
      <c r="C3699">
        <v>302455</v>
      </c>
      <c r="D3699">
        <v>21883</v>
      </c>
    </row>
    <row r="3700" spans="1:4" x14ac:dyDescent="0.2">
      <c r="A3700">
        <v>3693480</v>
      </c>
      <c r="B3700">
        <v>30061</v>
      </c>
      <c r="C3700">
        <v>302337</v>
      </c>
      <c r="D3700">
        <v>21883</v>
      </c>
    </row>
    <row r="3701" spans="1:4" x14ac:dyDescent="0.2">
      <c r="A3701">
        <v>3693480</v>
      </c>
      <c r="B3701">
        <v>30063</v>
      </c>
      <c r="C3701">
        <v>302357</v>
      </c>
      <c r="D3701">
        <v>21883</v>
      </c>
    </row>
    <row r="3702" spans="1:4" x14ac:dyDescent="0.2">
      <c r="A3702">
        <v>3693480</v>
      </c>
      <c r="B3702">
        <v>30064</v>
      </c>
      <c r="C3702">
        <v>302360</v>
      </c>
      <c r="D3702">
        <v>21883</v>
      </c>
    </row>
    <row r="3703" spans="1:4" x14ac:dyDescent="0.2">
      <c r="A3703">
        <v>3693480</v>
      </c>
      <c r="B3703">
        <v>30065</v>
      </c>
      <c r="C3703">
        <v>302372</v>
      </c>
      <c r="D3703">
        <v>21883</v>
      </c>
    </row>
    <row r="3704" spans="1:4" x14ac:dyDescent="0.2">
      <c r="A3704">
        <v>3693480</v>
      </c>
      <c r="B3704">
        <v>30066</v>
      </c>
      <c r="C3704">
        <v>302436</v>
      </c>
      <c r="D3704">
        <v>21883</v>
      </c>
    </row>
    <row r="3705" spans="1:4" x14ac:dyDescent="0.2">
      <c r="A3705">
        <v>3693480</v>
      </c>
      <c r="B3705">
        <v>30067</v>
      </c>
      <c r="C3705">
        <v>302455</v>
      </c>
      <c r="D3705">
        <v>21883</v>
      </c>
    </row>
    <row r="3706" spans="1:4" x14ac:dyDescent="0.2">
      <c r="A3706">
        <v>3693481</v>
      </c>
      <c r="B3706">
        <v>30061</v>
      </c>
      <c r="C3706">
        <v>302337</v>
      </c>
      <c r="D3706">
        <v>21883</v>
      </c>
    </row>
    <row r="3707" spans="1:4" x14ac:dyDescent="0.2">
      <c r="A3707">
        <v>3693481</v>
      </c>
      <c r="B3707">
        <v>30063</v>
      </c>
      <c r="C3707">
        <v>302357</v>
      </c>
      <c r="D3707">
        <v>21883</v>
      </c>
    </row>
    <row r="3708" spans="1:4" x14ac:dyDescent="0.2">
      <c r="A3708">
        <v>3693481</v>
      </c>
      <c r="B3708">
        <v>30064</v>
      </c>
      <c r="C3708">
        <v>302360</v>
      </c>
      <c r="D3708">
        <v>21883</v>
      </c>
    </row>
    <row r="3709" spans="1:4" x14ac:dyDescent="0.2">
      <c r="A3709">
        <v>3693481</v>
      </c>
      <c r="B3709">
        <v>30065</v>
      </c>
      <c r="C3709">
        <v>302372</v>
      </c>
      <c r="D3709">
        <v>21883</v>
      </c>
    </row>
    <row r="3710" spans="1:4" x14ac:dyDescent="0.2">
      <c r="A3710">
        <v>3693481</v>
      </c>
      <c r="B3710">
        <v>30066</v>
      </c>
      <c r="C3710">
        <v>302436</v>
      </c>
      <c r="D3710">
        <v>21883</v>
      </c>
    </row>
    <row r="3711" spans="1:4" x14ac:dyDescent="0.2">
      <c r="A3711">
        <v>3693481</v>
      </c>
      <c r="B3711">
        <v>30067</v>
      </c>
      <c r="C3711">
        <v>302455</v>
      </c>
      <c r="D3711">
        <v>21883</v>
      </c>
    </row>
    <row r="3712" spans="1:4" x14ac:dyDescent="0.2">
      <c r="A3712">
        <v>3693482</v>
      </c>
      <c r="B3712">
        <v>30061</v>
      </c>
      <c r="C3712">
        <v>302334</v>
      </c>
      <c r="D3712">
        <v>21883</v>
      </c>
    </row>
    <row r="3713" spans="1:4" x14ac:dyDescent="0.2">
      <c r="A3713">
        <v>3693482</v>
      </c>
      <c r="B3713">
        <v>30062</v>
      </c>
      <c r="C3713">
        <v>302355</v>
      </c>
      <c r="D3713">
        <v>21883</v>
      </c>
    </row>
    <row r="3714" spans="1:4" x14ac:dyDescent="0.2">
      <c r="A3714">
        <v>3693482</v>
      </c>
      <c r="B3714">
        <v>30063</v>
      </c>
      <c r="C3714">
        <v>302357</v>
      </c>
      <c r="D3714">
        <v>21883</v>
      </c>
    </row>
    <row r="3715" spans="1:4" x14ac:dyDescent="0.2">
      <c r="A3715">
        <v>3693482</v>
      </c>
      <c r="B3715">
        <v>30064</v>
      </c>
      <c r="C3715">
        <v>302360</v>
      </c>
      <c r="D3715">
        <v>21883</v>
      </c>
    </row>
    <row r="3716" spans="1:4" x14ac:dyDescent="0.2">
      <c r="A3716">
        <v>3693482</v>
      </c>
      <c r="B3716">
        <v>30065</v>
      </c>
      <c r="C3716">
        <v>302332</v>
      </c>
      <c r="D3716">
        <v>21883</v>
      </c>
    </row>
    <row r="3717" spans="1:4" x14ac:dyDescent="0.2">
      <c r="A3717">
        <v>3693482</v>
      </c>
      <c r="B3717">
        <v>30066</v>
      </c>
      <c r="C3717">
        <v>302436</v>
      </c>
      <c r="D3717">
        <v>21883</v>
      </c>
    </row>
    <row r="3718" spans="1:4" x14ac:dyDescent="0.2">
      <c r="A3718">
        <v>3693482</v>
      </c>
      <c r="B3718">
        <v>30067</v>
      </c>
      <c r="C3718">
        <v>302455</v>
      </c>
      <c r="D3718">
        <v>21883</v>
      </c>
    </row>
    <row r="3719" spans="1:4" x14ac:dyDescent="0.2">
      <c r="A3719">
        <v>3693483</v>
      </c>
      <c r="B3719">
        <v>30061</v>
      </c>
      <c r="C3719">
        <v>302337</v>
      </c>
      <c r="D3719">
        <v>21883</v>
      </c>
    </row>
    <row r="3720" spans="1:4" x14ac:dyDescent="0.2">
      <c r="A3720">
        <v>3693483</v>
      </c>
      <c r="B3720">
        <v>30063</v>
      </c>
      <c r="C3720">
        <v>302357</v>
      </c>
      <c r="D3720">
        <v>21883</v>
      </c>
    </row>
    <row r="3721" spans="1:4" x14ac:dyDescent="0.2">
      <c r="A3721">
        <v>3693483</v>
      </c>
      <c r="B3721">
        <v>30064</v>
      </c>
      <c r="C3721">
        <v>302416</v>
      </c>
      <c r="D3721">
        <v>21883</v>
      </c>
    </row>
    <row r="3722" spans="1:4" x14ac:dyDescent="0.2">
      <c r="A3722">
        <v>3693483</v>
      </c>
      <c r="B3722">
        <v>30065</v>
      </c>
      <c r="C3722">
        <v>302372</v>
      </c>
      <c r="D3722">
        <v>21883</v>
      </c>
    </row>
    <row r="3723" spans="1:4" x14ac:dyDescent="0.2">
      <c r="A3723">
        <v>3693483</v>
      </c>
      <c r="B3723">
        <v>30066</v>
      </c>
      <c r="C3723">
        <v>302436</v>
      </c>
      <c r="D3723">
        <v>21883</v>
      </c>
    </row>
    <row r="3724" spans="1:4" x14ac:dyDescent="0.2">
      <c r="A3724">
        <v>3693483</v>
      </c>
      <c r="B3724">
        <v>30067</v>
      </c>
      <c r="C3724">
        <v>302455</v>
      </c>
      <c r="D3724">
        <v>21883</v>
      </c>
    </row>
    <row r="3725" spans="1:4" x14ac:dyDescent="0.2">
      <c r="A3725">
        <v>3693484</v>
      </c>
      <c r="B3725">
        <v>30061</v>
      </c>
      <c r="C3725">
        <v>302337</v>
      </c>
      <c r="D3725">
        <v>21883</v>
      </c>
    </row>
    <row r="3726" spans="1:4" x14ac:dyDescent="0.2">
      <c r="A3726">
        <v>3693484</v>
      </c>
      <c r="B3726">
        <v>30063</v>
      </c>
      <c r="C3726">
        <v>302357</v>
      </c>
      <c r="D3726">
        <v>21883</v>
      </c>
    </row>
    <row r="3727" spans="1:4" x14ac:dyDescent="0.2">
      <c r="A3727">
        <v>3693484</v>
      </c>
      <c r="B3727">
        <v>30064</v>
      </c>
      <c r="C3727">
        <v>302415</v>
      </c>
      <c r="D3727">
        <v>21883</v>
      </c>
    </row>
    <row r="3728" spans="1:4" x14ac:dyDescent="0.2">
      <c r="A3728">
        <v>3693484</v>
      </c>
      <c r="B3728">
        <v>30065</v>
      </c>
      <c r="C3728">
        <v>302372</v>
      </c>
      <c r="D3728">
        <v>21883</v>
      </c>
    </row>
    <row r="3729" spans="1:4" x14ac:dyDescent="0.2">
      <c r="A3729">
        <v>3693484</v>
      </c>
      <c r="B3729">
        <v>30066</v>
      </c>
      <c r="C3729">
        <v>302436</v>
      </c>
      <c r="D3729">
        <v>21883</v>
      </c>
    </row>
    <row r="3730" spans="1:4" x14ac:dyDescent="0.2">
      <c r="A3730">
        <v>3693484</v>
      </c>
      <c r="B3730">
        <v>30067</v>
      </c>
      <c r="C3730">
        <v>302455</v>
      </c>
      <c r="D3730">
        <v>21883</v>
      </c>
    </row>
    <row r="3731" spans="1:4" x14ac:dyDescent="0.2">
      <c r="A3731">
        <v>3693485</v>
      </c>
      <c r="B3731">
        <v>30061</v>
      </c>
      <c r="C3731">
        <v>302337</v>
      </c>
      <c r="D3731">
        <v>21883</v>
      </c>
    </row>
    <row r="3732" spans="1:4" x14ac:dyDescent="0.2">
      <c r="A3732">
        <v>3693485</v>
      </c>
      <c r="B3732">
        <v>30063</v>
      </c>
      <c r="C3732">
        <v>302357</v>
      </c>
      <c r="D3732">
        <v>21883</v>
      </c>
    </row>
    <row r="3733" spans="1:4" x14ac:dyDescent="0.2">
      <c r="A3733">
        <v>3693485</v>
      </c>
      <c r="B3733">
        <v>30064</v>
      </c>
      <c r="C3733">
        <v>302360</v>
      </c>
      <c r="D3733">
        <v>21883</v>
      </c>
    </row>
    <row r="3734" spans="1:4" x14ac:dyDescent="0.2">
      <c r="A3734">
        <v>3693485</v>
      </c>
      <c r="B3734">
        <v>30065</v>
      </c>
      <c r="C3734">
        <v>302372</v>
      </c>
      <c r="D3734">
        <v>21883</v>
      </c>
    </row>
    <row r="3735" spans="1:4" x14ac:dyDescent="0.2">
      <c r="A3735">
        <v>3693485</v>
      </c>
      <c r="B3735">
        <v>30066</v>
      </c>
      <c r="C3735">
        <v>302436</v>
      </c>
      <c r="D3735">
        <v>21883</v>
      </c>
    </row>
    <row r="3736" spans="1:4" x14ac:dyDescent="0.2">
      <c r="A3736">
        <v>3693485</v>
      </c>
      <c r="B3736">
        <v>30067</v>
      </c>
      <c r="C3736">
        <v>302454</v>
      </c>
      <c r="D3736">
        <v>21883</v>
      </c>
    </row>
    <row r="3737" spans="1:4" x14ac:dyDescent="0.2">
      <c r="A3737">
        <v>3693486</v>
      </c>
      <c r="B3737">
        <v>30061</v>
      </c>
      <c r="C3737">
        <v>302334</v>
      </c>
      <c r="D3737">
        <v>21883</v>
      </c>
    </row>
    <row r="3738" spans="1:4" x14ac:dyDescent="0.2">
      <c r="A3738">
        <v>3693486</v>
      </c>
      <c r="B3738">
        <v>30062</v>
      </c>
      <c r="C3738">
        <v>302355</v>
      </c>
      <c r="D3738">
        <v>21883</v>
      </c>
    </row>
    <row r="3739" spans="1:4" x14ac:dyDescent="0.2">
      <c r="A3739">
        <v>3693486</v>
      </c>
      <c r="B3739">
        <v>30063</v>
      </c>
      <c r="C3739">
        <v>302357</v>
      </c>
      <c r="D3739">
        <v>21883</v>
      </c>
    </row>
    <row r="3740" spans="1:4" x14ac:dyDescent="0.2">
      <c r="A3740">
        <v>3693486</v>
      </c>
      <c r="B3740">
        <v>30064</v>
      </c>
      <c r="C3740">
        <v>302360</v>
      </c>
      <c r="D3740">
        <v>21883</v>
      </c>
    </row>
    <row r="3741" spans="1:4" x14ac:dyDescent="0.2">
      <c r="A3741">
        <v>3693486</v>
      </c>
      <c r="B3741">
        <v>30065</v>
      </c>
      <c r="C3741">
        <v>302332</v>
      </c>
      <c r="D3741">
        <v>21883</v>
      </c>
    </row>
    <row r="3742" spans="1:4" x14ac:dyDescent="0.2">
      <c r="A3742">
        <v>3693486</v>
      </c>
      <c r="B3742">
        <v>30066</v>
      </c>
      <c r="C3742">
        <v>302436</v>
      </c>
      <c r="D3742">
        <v>21883</v>
      </c>
    </row>
    <row r="3743" spans="1:4" x14ac:dyDescent="0.2">
      <c r="A3743">
        <v>3693486</v>
      </c>
      <c r="B3743">
        <v>30067</v>
      </c>
      <c r="C3743">
        <v>302454</v>
      </c>
      <c r="D3743">
        <v>21883</v>
      </c>
    </row>
    <row r="3744" spans="1:4" x14ac:dyDescent="0.2">
      <c r="A3744">
        <v>3693487</v>
      </c>
      <c r="B3744">
        <v>30063</v>
      </c>
      <c r="C3744">
        <v>302357</v>
      </c>
      <c r="D3744">
        <v>21883</v>
      </c>
    </row>
    <row r="3745" spans="1:4" x14ac:dyDescent="0.2">
      <c r="A3745">
        <v>3693487</v>
      </c>
      <c r="B3745">
        <v>30064</v>
      </c>
      <c r="C3745">
        <v>302415</v>
      </c>
      <c r="D3745">
        <v>21883</v>
      </c>
    </row>
    <row r="3746" spans="1:4" x14ac:dyDescent="0.2">
      <c r="A3746">
        <v>3693487</v>
      </c>
      <c r="B3746">
        <v>30065</v>
      </c>
      <c r="C3746">
        <v>302372</v>
      </c>
      <c r="D3746">
        <v>21883</v>
      </c>
    </row>
    <row r="3747" spans="1:4" x14ac:dyDescent="0.2">
      <c r="A3747">
        <v>3693487</v>
      </c>
      <c r="B3747">
        <v>30066</v>
      </c>
      <c r="C3747">
        <v>302436</v>
      </c>
      <c r="D3747">
        <v>21883</v>
      </c>
    </row>
    <row r="3748" spans="1:4" x14ac:dyDescent="0.2">
      <c r="A3748">
        <v>3693487</v>
      </c>
      <c r="B3748">
        <v>30067</v>
      </c>
      <c r="C3748">
        <v>302454</v>
      </c>
      <c r="D3748">
        <v>21883</v>
      </c>
    </row>
    <row r="3749" spans="1:4" x14ac:dyDescent="0.2">
      <c r="A3749">
        <v>3693488</v>
      </c>
      <c r="B3749">
        <v>30063</v>
      </c>
      <c r="C3749">
        <v>302357</v>
      </c>
      <c r="D3749">
        <v>21883</v>
      </c>
    </row>
    <row r="3750" spans="1:4" x14ac:dyDescent="0.2">
      <c r="A3750">
        <v>3693488</v>
      </c>
      <c r="B3750">
        <v>30064</v>
      </c>
      <c r="C3750">
        <v>302368</v>
      </c>
      <c r="D3750">
        <v>21883</v>
      </c>
    </row>
    <row r="3751" spans="1:4" x14ac:dyDescent="0.2">
      <c r="A3751">
        <v>3693488</v>
      </c>
      <c r="B3751">
        <v>30065</v>
      </c>
      <c r="C3751">
        <v>302372</v>
      </c>
      <c r="D3751">
        <v>21883</v>
      </c>
    </row>
    <row r="3752" spans="1:4" x14ac:dyDescent="0.2">
      <c r="A3752">
        <v>3693488</v>
      </c>
      <c r="B3752">
        <v>30066</v>
      </c>
      <c r="C3752">
        <v>302436</v>
      </c>
      <c r="D3752">
        <v>21883</v>
      </c>
    </row>
    <row r="3753" spans="1:4" x14ac:dyDescent="0.2">
      <c r="A3753">
        <v>3693488</v>
      </c>
      <c r="B3753">
        <v>30067</v>
      </c>
      <c r="C3753">
        <v>302454</v>
      </c>
      <c r="D3753">
        <v>21883</v>
      </c>
    </row>
    <row r="3754" spans="1:4" x14ac:dyDescent="0.2">
      <c r="A3754">
        <v>3693489</v>
      </c>
      <c r="B3754">
        <v>30063</v>
      </c>
      <c r="C3754">
        <v>302357</v>
      </c>
      <c r="D3754">
        <v>21883</v>
      </c>
    </row>
    <row r="3755" spans="1:4" x14ac:dyDescent="0.2">
      <c r="A3755">
        <v>3693489</v>
      </c>
      <c r="B3755">
        <v>30064</v>
      </c>
      <c r="C3755">
        <v>302415</v>
      </c>
      <c r="D3755">
        <v>21883</v>
      </c>
    </row>
    <row r="3756" spans="1:4" x14ac:dyDescent="0.2">
      <c r="A3756">
        <v>3693489</v>
      </c>
      <c r="B3756">
        <v>30065</v>
      </c>
      <c r="C3756">
        <v>302372</v>
      </c>
      <c r="D3756">
        <v>21883</v>
      </c>
    </row>
    <row r="3757" spans="1:4" x14ac:dyDescent="0.2">
      <c r="A3757">
        <v>3693489</v>
      </c>
      <c r="B3757">
        <v>30066</v>
      </c>
      <c r="C3757">
        <v>302436</v>
      </c>
      <c r="D3757">
        <v>21883</v>
      </c>
    </row>
    <row r="3758" spans="1:4" x14ac:dyDescent="0.2">
      <c r="A3758">
        <v>3693489</v>
      </c>
      <c r="B3758">
        <v>30067</v>
      </c>
      <c r="C3758">
        <v>302454</v>
      </c>
      <c r="D3758">
        <v>21883</v>
      </c>
    </row>
    <row r="3759" spans="1:4" x14ac:dyDescent="0.2">
      <c r="A3759">
        <v>3693490</v>
      </c>
      <c r="B3759">
        <v>30063</v>
      </c>
      <c r="C3759">
        <v>302357</v>
      </c>
      <c r="D3759">
        <v>21883</v>
      </c>
    </row>
    <row r="3760" spans="1:4" x14ac:dyDescent="0.2">
      <c r="A3760">
        <v>3693490</v>
      </c>
      <c r="B3760">
        <v>30064</v>
      </c>
      <c r="C3760">
        <v>302415</v>
      </c>
      <c r="D3760">
        <v>21883</v>
      </c>
    </row>
    <row r="3761" spans="1:4" x14ac:dyDescent="0.2">
      <c r="A3761">
        <v>3693490</v>
      </c>
      <c r="B3761">
        <v>30065</v>
      </c>
      <c r="C3761">
        <v>302372</v>
      </c>
      <c r="D3761">
        <v>21883</v>
      </c>
    </row>
    <row r="3762" spans="1:4" x14ac:dyDescent="0.2">
      <c r="A3762">
        <v>3693490</v>
      </c>
      <c r="B3762">
        <v>30066</v>
      </c>
      <c r="C3762">
        <v>302436</v>
      </c>
      <c r="D3762">
        <v>21883</v>
      </c>
    </row>
    <row r="3763" spans="1:4" x14ac:dyDescent="0.2">
      <c r="A3763">
        <v>3693490</v>
      </c>
      <c r="B3763">
        <v>30067</v>
      </c>
      <c r="C3763">
        <v>302454</v>
      </c>
      <c r="D3763">
        <v>21883</v>
      </c>
    </row>
    <row r="3764" spans="1:4" x14ac:dyDescent="0.2">
      <c r="A3764">
        <v>3693491</v>
      </c>
      <c r="B3764">
        <v>30061</v>
      </c>
      <c r="C3764">
        <v>302334</v>
      </c>
      <c r="D3764">
        <v>21883</v>
      </c>
    </row>
    <row r="3765" spans="1:4" x14ac:dyDescent="0.2">
      <c r="A3765">
        <v>3693491</v>
      </c>
      <c r="B3765">
        <v>30062</v>
      </c>
      <c r="C3765">
        <v>302355</v>
      </c>
      <c r="D3765">
        <v>21883</v>
      </c>
    </row>
    <row r="3766" spans="1:4" x14ac:dyDescent="0.2">
      <c r="A3766">
        <v>3693491</v>
      </c>
      <c r="B3766">
        <v>30063</v>
      </c>
      <c r="C3766">
        <v>302357</v>
      </c>
      <c r="D3766">
        <v>21883</v>
      </c>
    </row>
    <row r="3767" spans="1:4" x14ac:dyDescent="0.2">
      <c r="A3767">
        <v>3693491</v>
      </c>
      <c r="B3767">
        <v>30064</v>
      </c>
      <c r="C3767">
        <v>302415</v>
      </c>
      <c r="D3767">
        <v>21883</v>
      </c>
    </row>
    <row r="3768" spans="1:4" x14ac:dyDescent="0.2">
      <c r="A3768">
        <v>3693491</v>
      </c>
      <c r="B3768">
        <v>30065</v>
      </c>
      <c r="C3768">
        <v>302332</v>
      </c>
      <c r="D3768">
        <v>21883</v>
      </c>
    </row>
    <row r="3769" spans="1:4" x14ac:dyDescent="0.2">
      <c r="A3769">
        <v>3693491</v>
      </c>
      <c r="B3769">
        <v>30066</v>
      </c>
      <c r="C3769">
        <v>302436</v>
      </c>
      <c r="D3769">
        <v>21883</v>
      </c>
    </row>
    <row r="3770" spans="1:4" x14ac:dyDescent="0.2">
      <c r="A3770">
        <v>3693491</v>
      </c>
      <c r="B3770">
        <v>30067</v>
      </c>
      <c r="C3770">
        <v>302454</v>
      </c>
      <c r="D3770">
        <v>21883</v>
      </c>
    </row>
    <row r="3771" spans="1:4" x14ac:dyDescent="0.2">
      <c r="A3771">
        <v>3693492</v>
      </c>
      <c r="B3771">
        <v>30063</v>
      </c>
      <c r="C3771">
        <v>302357</v>
      </c>
      <c r="D3771">
        <v>21883</v>
      </c>
    </row>
    <row r="3772" spans="1:4" x14ac:dyDescent="0.2">
      <c r="A3772">
        <v>3693492</v>
      </c>
      <c r="B3772">
        <v>30064</v>
      </c>
      <c r="C3772">
        <v>302368</v>
      </c>
      <c r="D3772">
        <v>21883</v>
      </c>
    </row>
    <row r="3773" spans="1:4" x14ac:dyDescent="0.2">
      <c r="A3773">
        <v>3693492</v>
      </c>
      <c r="B3773">
        <v>30065</v>
      </c>
      <c r="C3773">
        <v>302372</v>
      </c>
      <c r="D3773">
        <v>21883</v>
      </c>
    </row>
    <row r="3774" spans="1:4" x14ac:dyDescent="0.2">
      <c r="A3774">
        <v>3693492</v>
      </c>
      <c r="B3774">
        <v>30066</v>
      </c>
      <c r="C3774">
        <v>302436</v>
      </c>
      <c r="D3774">
        <v>21883</v>
      </c>
    </row>
    <row r="3775" spans="1:4" x14ac:dyDescent="0.2">
      <c r="A3775">
        <v>3693492</v>
      </c>
      <c r="B3775">
        <v>30067</v>
      </c>
      <c r="C3775">
        <v>302454</v>
      </c>
      <c r="D3775">
        <v>21883</v>
      </c>
    </row>
    <row r="3776" spans="1:4" x14ac:dyDescent="0.2">
      <c r="A3776">
        <v>3693493</v>
      </c>
      <c r="B3776">
        <v>30061</v>
      </c>
      <c r="C3776">
        <v>302334</v>
      </c>
      <c r="D3776">
        <v>21883</v>
      </c>
    </row>
    <row r="3777" spans="1:4" x14ac:dyDescent="0.2">
      <c r="A3777">
        <v>3693493</v>
      </c>
      <c r="B3777">
        <v>30062</v>
      </c>
      <c r="C3777">
        <v>302355</v>
      </c>
      <c r="D3777">
        <v>21883</v>
      </c>
    </row>
    <row r="3778" spans="1:4" x14ac:dyDescent="0.2">
      <c r="A3778">
        <v>3693493</v>
      </c>
      <c r="B3778">
        <v>30063</v>
      </c>
      <c r="C3778">
        <v>302357</v>
      </c>
      <c r="D3778">
        <v>21883</v>
      </c>
    </row>
    <row r="3779" spans="1:4" x14ac:dyDescent="0.2">
      <c r="A3779">
        <v>3693493</v>
      </c>
      <c r="B3779">
        <v>30064</v>
      </c>
      <c r="C3779">
        <v>302415</v>
      </c>
      <c r="D3779">
        <v>21883</v>
      </c>
    </row>
    <row r="3780" spans="1:4" x14ac:dyDescent="0.2">
      <c r="A3780">
        <v>3693493</v>
      </c>
      <c r="B3780">
        <v>30065</v>
      </c>
      <c r="C3780">
        <v>302332</v>
      </c>
      <c r="D3780">
        <v>21883</v>
      </c>
    </row>
    <row r="3781" spans="1:4" x14ac:dyDescent="0.2">
      <c r="A3781">
        <v>3693493</v>
      </c>
      <c r="B3781">
        <v>30066</v>
      </c>
      <c r="C3781">
        <v>302436</v>
      </c>
      <c r="D3781">
        <v>21883</v>
      </c>
    </row>
    <row r="3782" spans="1:4" x14ac:dyDescent="0.2">
      <c r="A3782">
        <v>3693493</v>
      </c>
      <c r="B3782">
        <v>30067</v>
      </c>
      <c r="C3782">
        <v>302454</v>
      </c>
      <c r="D3782">
        <v>21883</v>
      </c>
    </row>
    <row r="3783" spans="1:4" x14ac:dyDescent="0.2">
      <c r="A3783">
        <v>3693494</v>
      </c>
      <c r="B3783">
        <v>30063</v>
      </c>
      <c r="C3783">
        <v>302357</v>
      </c>
      <c r="D3783">
        <v>21883</v>
      </c>
    </row>
    <row r="3784" spans="1:4" x14ac:dyDescent="0.2">
      <c r="A3784">
        <v>3693494</v>
      </c>
      <c r="B3784">
        <v>30064</v>
      </c>
      <c r="C3784">
        <v>302415</v>
      </c>
      <c r="D3784">
        <v>21883</v>
      </c>
    </row>
    <row r="3785" spans="1:4" x14ac:dyDescent="0.2">
      <c r="A3785">
        <v>3693494</v>
      </c>
      <c r="B3785">
        <v>30065</v>
      </c>
      <c r="C3785">
        <v>302372</v>
      </c>
      <c r="D3785">
        <v>21883</v>
      </c>
    </row>
    <row r="3786" spans="1:4" x14ac:dyDescent="0.2">
      <c r="A3786">
        <v>3693494</v>
      </c>
      <c r="B3786">
        <v>30066</v>
      </c>
      <c r="C3786">
        <v>302436</v>
      </c>
      <c r="D3786">
        <v>21883</v>
      </c>
    </row>
    <row r="3787" spans="1:4" x14ac:dyDescent="0.2">
      <c r="A3787">
        <v>3693494</v>
      </c>
      <c r="B3787">
        <v>30067</v>
      </c>
      <c r="C3787">
        <v>302454</v>
      </c>
      <c r="D3787">
        <v>21883</v>
      </c>
    </row>
    <row r="3788" spans="1:4" x14ac:dyDescent="0.2">
      <c r="A3788">
        <v>3693495</v>
      </c>
      <c r="B3788">
        <v>30063</v>
      </c>
      <c r="C3788">
        <v>302357</v>
      </c>
      <c r="D3788">
        <v>21883</v>
      </c>
    </row>
    <row r="3789" spans="1:4" x14ac:dyDescent="0.2">
      <c r="A3789">
        <v>3693495</v>
      </c>
      <c r="B3789">
        <v>30064</v>
      </c>
      <c r="C3789">
        <v>302415</v>
      </c>
      <c r="D3789">
        <v>21883</v>
      </c>
    </row>
    <row r="3790" spans="1:4" x14ac:dyDescent="0.2">
      <c r="A3790">
        <v>3693495</v>
      </c>
      <c r="B3790">
        <v>30065</v>
      </c>
      <c r="C3790">
        <v>302372</v>
      </c>
      <c r="D3790">
        <v>21883</v>
      </c>
    </row>
    <row r="3791" spans="1:4" x14ac:dyDescent="0.2">
      <c r="A3791">
        <v>3693495</v>
      </c>
      <c r="B3791">
        <v>30066</v>
      </c>
      <c r="C3791">
        <v>302436</v>
      </c>
      <c r="D3791">
        <v>21883</v>
      </c>
    </row>
    <row r="3792" spans="1:4" x14ac:dyDescent="0.2">
      <c r="A3792">
        <v>3693495</v>
      </c>
      <c r="B3792">
        <v>30067</v>
      </c>
      <c r="C3792">
        <v>302454</v>
      </c>
      <c r="D3792">
        <v>21883</v>
      </c>
    </row>
    <row r="3793" spans="1:4" x14ac:dyDescent="0.2">
      <c r="A3793">
        <v>3693496</v>
      </c>
      <c r="B3793">
        <v>30063</v>
      </c>
      <c r="C3793">
        <v>302357</v>
      </c>
      <c r="D3793">
        <v>21883</v>
      </c>
    </row>
    <row r="3794" spans="1:4" x14ac:dyDescent="0.2">
      <c r="A3794">
        <v>3693496</v>
      </c>
      <c r="B3794">
        <v>30064</v>
      </c>
      <c r="C3794">
        <v>302416</v>
      </c>
      <c r="D3794">
        <v>21883</v>
      </c>
    </row>
    <row r="3795" spans="1:4" x14ac:dyDescent="0.2">
      <c r="A3795">
        <v>3693496</v>
      </c>
      <c r="B3795">
        <v>30065</v>
      </c>
      <c r="C3795">
        <v>302372</v>
      </c>
      <c r="D3795">
        <v>21883</v>
      </c>
    </row>
    <row r="3796" spans="1:4" x14ac:dyDescent="0.2">
      <c r="A3796">
        <v>3693496</v>
      </c>
      <c r="B3796">
        <v>30066</v>
      </c>
      <c r="C3796">
        <v>302436</v>
      </c>
      <c r="D3796">
        <v>21883</v>
      </c>
    </row>
    <row r="3797" spans="1:4" x14ac:dyDescent="0.2">
      <c r="A3797">
        <v>3693496</v>
      </c>
      <c r="B3797">
        <v>30067</v>
      </c>
      <c r="C3797">
        <v>302454</v>
      </c>
      <c r="D3797">
        <v>21883</v>
      </c>
    </row>
    <row r="3798" spans="1:4" x14ac:dyDescent="0.2">
      <c r="A3798">
        <v>3693497</v>
      </c>
      <c r="B3798">
        <v>30063</v>
      </c>
      <c r="C3798">
        <v>302357</v>
      </c>
      <c r="D3798">
        <v>21883</v>
      </c>
    </row>
    <row r="3799" spans="1:4" x14ac:dyDescent="0.2">
      <c r="A3799">
        <v>3693497</v>
      </c>
      <c r="B3799">
        <v>30064</v>
      </c>
      <c r="C3799">
        <v>302417</v>
      </c>
      <c r="D3799">
        <v>21883</v>
      </c>
    </row>
    <row r="3800" spans="1:4" x14ac:dyDescent="0.2">
      <c r="A3800">
        <v>3693497</v>
      </c>
      <c r="B3800">
        <v>30065</v>
      </c>
      <c r="C3800">
        <v>302372</v>
      </c>
      <c r="D3800">
        <v>21883</v>
      </c>
    </row>
    <row r="3801" spans="1:4" x14ac:dyDescent="0.2">
      <c r="A3801">
        <v>3693497</v>
      </c>
      <c r="B3801">
        <v>30066</v>
      </c>
      <c r="C3801">
        <v>302436</v>
      </c>
      <c r="D3801">
        <v>21883</v>
      </c>
    </row>
    <row r="3802" spans="1:4" x14ac:dyDescent="0.2">
      <c r="A3802">
        <v>3693497</v>
      </c>
      <c r="B3802">
        <v>30067</v>
      </c>
      <c r="C3802">
        <v>302454</v>
      </c>
      <c r="D3802">
        <v>21883</v>
      </c>
    </row>
    <row r="3803" spans="1:4" x14ac:dyDescent="0.2">
      <c r="A3803">
        <v>3693498</v>
      </c>
      <c r="B3803">
        <v>30061</v>
      </c>
      <c r="C3803">
        <v>302337</v>
      </c>
      <c r="D3803">
        <v>21883</v>
      </c>
    </row>
    <row r="3804" spans="1:4" x14ac:dyDescent="0.2">
      <c r="A3804">
        <v>3693498</v>
      </c>
      <c r="B3804">
        <v>30063</v>
      </c>
      <c r="C3804">
        <v>302357</v>
      </c>
      <c r="D3804">
        <v>21883</v>
      </c>
    </row>
    <row r="3805" spans="1:4" x14ac:dyDescent="0.2">
      <c r="A3805">
        <v>3693498</v>
      </c>
      <c r="B3805">
        <v>30064</v>
      </c>
      <c r="C3805">
        <v>302360</v>
      </c>
      <c r="D3805">
        <v>21883</v>
      </c>
    </row>
    <row r="3806" spans="1:4" x14ac:dyDescent="0.2">
      <c r="A3806">
        <v>3693498</v>
      </c>
      <c r="B3806">
        <v>30065</v>
      </c>
      <c r="C3806">
        <v>302372</v>
      </c>
      <c r="D3806">
        <v>21883</v>
      </c>
    </row>
    <row r="3807" spans="1:4" x14ac:dyDescent="0.2">
      <c r="A3807">
        <v>3693498</v>
      </c>
      <c r="B3807">
        <v>30066</v>
      </c>
      <c r="C3807">
        <v>302436</v>
      </c>
      <c r="D3807">
        <v>21883</v>
      </c>
    </row>
    <row r="3808" spans="1:4" x14ac:dyDescent="0.2">
      <c r="A3808">
        <v>3693498</v>
      </c>
      <c r="B3808">
        <v>30067</v>
      </c>
      <c r="C3808">
        <v>302454</v>
      </c>
      <c r="D3808">
        <v>21883</v>
      </c>
    </row>
    <row r="3809" spans="1:4" x14ac:dyDescent="0.2">
      <c r="A3809">
        <v>3693499</v>
      </c>
      <c r="B3809">
        <v>30061</v>
      </c>
      <c r="C3809">
        <v>302337</v>
      </c>
      <c r="D3809">
        <v>21883</v>
      </c>
    </row>
    <row r="3810" spans="1:4" x14ac:dyDescent="0.2">
      <c r="A3810">
        <v>3693499</v>
      </c>
      <c r="B3810">
        <v>30063</v>
      </c>
      <c r="C3810">
        <v>302357</v>
      </c>
      <c r="D3810">
        <v>21883</v>
      </c>
    </row>
    <row r="3811" spans="1:4" x14ac:dyDescent="0.2">
      <c r="A3811">
        <v>3693499</v>
      </c>
      <c r="B3811">
        <v>30064</v>
      </c>
      <c r="C3811">
        <v>302360</v>
      </c>
      <c r="D3811">
        <v>21883</v>
      </c>
    </row>
    <row r="3812" spans="1:4" x14ac:dyDescent="0.2">
      <c r="A3812">
        <v>3693499</v>
      </c>
      <c r="B3812">
        <v>30065</v>
      </c>
      <c r="C3812">
        <v>302372</v>
      </c>
      <c r="D3812">
        <v>21883</v>
      </c>
    </row>
    <row r="3813" spans="1:4" x14ac:dyDescent="0.2">
      <c r="A3813">
        <v>3693499</v>
      </c>
      <c r="B3813">
        <v>30066</v>
      </c>
      <c r="C3813">
        <v>302436</v>
      </c>
      <c r="D3813">
        <v>21883</v>
      </c>
    </row>
    <row r="3814" spans="1:4" x14ac:dyDescent="0.2">
      <c r="A3814">
        <v>3693499</v>
      </c>
      <c r="B3814">
        <v>30067</v>
      </c>
      <c r="C3814">
        <v>302454</v>
      </c>
      <c r="D3814">
        <v>21883</v>
      </c>
    </row>
    <row r="3815" spans="1:4" x14ac:dyDescent="0.2">
      <c r="A3815">
        <v>3693500</v>
      </c>
      <c r="B3815">
        <v>30061</v>
      </c>
      <c r="C3815">
        <v>302334</v>
      </c>
      <c r="D3815">
        <v>21883</v>
      </c>
    </row>
    <row r="3816" spans="1:4" x14ac:dyDescent="0.2">
      <c r="A3816">
        <v>3693500</v>
      </c>
      <c r="B3816">
        <v>30062</v>
      </c>
      <c r="C3816">
        <v>302355</v>
      </c>
      <c r="D3816">
        <v>21883</v>
      </c>
    </row>
    <row r="3817" spans="1:4" x14ac:dyDescent="0.2">
      <c r="A3817">
        <v>3693500</v>
      </c>
      <c r="B3817">
        <v>30063</v>
      </c>
      <c r="C3817">
        <v>302357</v>
      </c>
      <c r="D3817">
        <v>21883</v>
      </c>
    </row>
    <row r="3818" spans="1:4" x14ac:dyDescent="0.2">
      <c r="A3818">
        <v>3693500</v>
      </c>
      <c r="B3818">
        <v>30064</v>
      </c>
      <c r="C3818">
        <v>302360</v>
      </c>
      <c r="D3818">
        <v>21883</v>
      </c>
    </row>
    <row r="3819" spans="1:4" x14ac:dyDescent="0.2">
      <c r="A3819">
        <v>3693500</v>
      </c>
      <c r="B3819">
        <v>30065</v>
      </c>
      <c r="C3819">
        <v>302332</v>
      </c>
      <c r="D3819">
        <v>21883</v>
      </c>
    </row>
    <row r="3820" spans="1:4" x14ac:dyDescent="0.2">
      <c r="A3820">
        <v>3693500</v>
      </c>
      <c r="B3820">
        <v>30066</v>
      </c>
      <c r="C3820">
        <v>302436</v>
      </c>
      <c r="D3820">
        <v>21883</v>
      </c>
    </row>
    <row r="3821" spans="1:4" x14ac:dyDescent="0.2">
      <c r="A3821">
        <v>3693500</v>
      </c>
      <c r="B3821">
        <v>30067</v>
      </c>
      <c r="C3821">
        <v>302454</v>
      </c>
      <c r="D3821">
        <v>21883</v>
      </c>
    </row>
    <row r="3822" spans="1:4" x14ac:dyDescent="0.2">
      <c r="A3822">
        <v>3693501</v>
      </c>
      <c r="B3822">
        <v>30063</v>
      </c>
      <c r="C3822">
        <v>302357</v>
      </c>
      <c r="D3822">
        <v>21883</v>
      </c>
    </row>
    <row r="3823" spans="1:4" x14ac:dyDescent="0.2">
      <c r="A3823">
        <v>3693501</v>
      </c>
      <c r="B3823">
        <v>30064</v>
      </c>
      <c r="C3823">
        <v>302416</v>
      </c>
      <c r="D3823">
        <v>21883</v>
      </c>
    </row>
    <row r="3824" spans="1:4" x14ac:dyDescent="0.2">
      <c r="A3824">
        <v>3693501</v>
      </c>
      <c r="B3824">
        <v>30065</v>
      </c>
      <c r="C3824">
        <v>302372</v>
      </c>
      <c r="D3824">
        <v>21883</v>
      </c>
    </row>
    <row r="3825" spans="1:4" x14ac:dyDescent="0.2">
      <c r="A3825">
        <v>3693501</v>
      </c>
      <c r="B3825">
        <v>30066</v>
      </c>
      <c r="C3825">
        <v>302436</v>
      </c>
      <c r="D3825">
        <v>21883</v>
      </c>
    </row>
    <row r="3826" spans="1:4" x14ac:dyDescent="0.2">
      <c r="A3826">
        <v>3693501</v>
      </c>
      <c r="B3826">
        <v>30067</v>
      </c>
      <c r="C3826">
        <v>302454</v>
      </c>
      <c r="D3826">
        <v>21883</v>
      </c>
    </row>
    <row r="3827" spans="1:4" x14ac:dyDescent="0.2">
      <c r="A3827">
        <v>3693502</v>
      </c>
      <c r="B3827">
        <v>30063</v>
      </c>
      <c r="C3827">
        <v>302357</v>
      </c>
      <c r="D3827">
        <v>21883</v>
      </c>
    </row>
    <row r="3828" spans="1:4" x14ac:dyDescent="0.2">
      <c r="A3828">
        <v>3693502</v>
      </c>
      <c r="B3828">
        <v>30064</v>
      </c>
      <c r="C3828">
        <v>302415</v>
      </c>
      <c r="D3828">
        <v>21883</v>
      </c>
    </row>
    <row r="3829" spans="1:4" x14ac:dyDescent="0.2">
      <c r="A3829">
        <v>3693502</v>
      </c>
      <c r="B3829">
        <v>30065</v>
      </c>
      <c r="C3829">
        <v>302372</v>
      </c>
      <c r="D3829">
        <v>21883</v>
      </c>
    </row>
    <row r="3830" spans="1:4" x14ac:dyDescent="0.2">
      <c r="A3830">
        <v>3693502</v>
      </c>
      <c r="B3830">
        <v>30066</v>
      </c>
      <c r="C3830">
        <v>302436</v>
      </c>
      <c r="D3830">
        <v>21883</v>
      </c>
    </row>
    <row r="3831" spans="1:4" x14ac:dyDescent="0.2">
      <c r="A3831">
        <v>3693502</v>
      </c>
      <c r="B3831">
        <v>30067</v>
      </c>
      <c r="C3831">
        <v>302454</v>
      </c>
      <c r="D3831">
        <v>21883</v>
      </c>
    </row>
    <row r="3832" spans="1:4" x14ac:dyDescent="0.2">
      <c r="A3832">
        <v>3693503</v>
      </c>
      <c r="B3832">
        <v>30061</v>
      </c>
      <c r="C3832">
        <v>302334</v>
      </c>
      <c r="D3832">
        <v>21883</v>
      </c>
    </row>
    <row r="3833" spans="1:4" x14ac:dyDescent="0.2">
      <c r="A3833">
        <v>3693503</v>
      </c>
      <c r="B3833">
        <v>30062</v>
      </c>
      <c r="C3833">
        <v>302355</v>
      </c>
      <c r="D3833">
        <v>21883</v>
      </c>
    </row>
    <row r="3834" spans="1:4" x14ac:dyDescent="0.2">
      <c r="A3834">
        <v>3693503</v>
      </c>
      <c r="B3834">
        <v>30063</v>
      </c>
      <c r="C3834">
        <v>302357</v>
      </c>
      <c r="D3834">
        <v>21883</v>
      </c>
    </row>
    <row r="3835" spans="1:4" x14ac:dyDescent="0.2">
      <c r="A3835">
        <v>3693503</v>
      </c>
      <c r="B3835">
        <v>30064</v>
      </c>
      <c r="C3835">
        <v>302360</v>
      </c>
      <c r="D3835">
        <v>21883</v>
      </c>
    </row>
    <row r="3836" spans="1:4" x14ac:dyDescent="0.2">
      <c r="A3836">
        <v>3693503</v>
      </c>
      <c r="B3836">
        <v>30065</v>
      </c>
      <c r="C3836">
        <v>302332</v>
      </c>
      <c r="D3836">
        <v>21883</v>
      </c>
    </row>
    <row r="3837" spans="1:4" x14ac:dyDescent="0.2">
      <c r="A3837">
        <v>3693503</v>
      </c>
      <c r="B3837">
        <v>30066</v>
      </c>
      <c r="C3837">
        <v>302436</v>
      </c>
      <c r="D3837">
        <v>21883</v>
      </c>
    </row>
    <row r="3838" spans="1:4" x14ac:dyDescent="0.2">
      <c r="A3838">
        <v>3693503</v>
      </c>
      <c r="B3838">
        <v>30067</v>
      </c>
      <c r="C3838">
        <v>302447</v>
      </c>
      <c r="D3838">
        <v>21883</v>
      </c>
    </row>
    <row r="3839" spans="1:4" x14ac:dyDescent="0.2">
      <c r="A3839">
        <v>3693504</v>
      </c>
      <c r="B3839">
        <v>30063</v>
      </c>
      <c r="C3839">
        <v>302357</v>
      </c>
      <c r="D3839">
        <v>21883</v>
      </c>
    </row>
    <row r="3840" spans="1:4" x14ac:dyDescent="0.2">
      <c r="A3840">
        <v>3693504</v>
      </c>
      <c r="B3840">
        <v>30064</v>
      </c>
      <c r="C3840">
        <v>302368</v>
      </c>
      <c r="D3840">
        <v>21883</v>
      </c>
    </row>
    <row r="3841" spans="1:4" x14ac:dyDescent="0.2">
      <c r="A3841">
        <v>3693504</v>
      </c>
      <c r="B3841">
        <v>30065</v>
      </c>
      <c r="C3841">
        <v>302372</v>
      </c>
      <c r="D3841">
        <v>21883</v>
      </c>
    </row>
    <row r="3842" spans="1:4" x14ac:dyDescent="0.2">
      <c r="A3842">
        <v>3693504</v>
      </c>
      <c r="B3842">
        <v>30066</v>
      </c>
      <c r="C3842">
        <v>302436</v>
      </c>
      <c r="D3842">
        <v>21883</v>
      </c>
    </row>
    <row r="3843" spans="1:4" x14ac:dyDescent="0.2">
      <c r="A3843">
        <v>3693504</v>
      </c>
      <c r="B3843">
        <v>30067</v>
      </c>
      <c r="C3843">
        <v>302447</v>
      </c>
      <c r="D3843">
        <v>21883</v>
      </c>
    </row>
    <row r="3844" spans="1:4" x14ac:dyDescent="0.2">
      <c r="A3844">
        <v>3693505</v>
      </c>
      <c r="B3844">
        <v>30063</v>
      </c>
      <c r="C3844">
        <v>302357</v>
      </c>
      <c r="D3844">
        <v>21883</v>
      </c>
    </row>
    <row r="3845" spans="1:4" x14ac:dyDescent="0.2">
      <c r="A3845">
        <v>3693505</v>
      </c>
      <c r="B3845">
        <v>30064</v>
      </c>
      <c r="C3845">
        <v>302362</v>
      </c>
      <c r="D3845">
        <v>21883</v>
      </c>
    </row>
    <row r="3846" spans="1:4" x14ac:dyDescent="0.2">
      <c r="A3846">
        <v>3693505</v>
      </c>
      <c r="B3846">
        <v>30065</v>
      </c>
      <c r="C3846">
        <v>302372</v>
      </c>
      <c r="D3846">
        <v>21883</v>
      </c>
    </row>
    <row r="3847" spans="1:4" x14ac:dyDescent="0.2">
      <c r="A3847">
        <v>3693505</v>
      </c>
      <c r="B3847">
        <v>30066</v>
      </c>
      <c r="C3847">
        <v>302436</v>
      </c>
      <c r="D3847">
        <v>21883</v>
      </c>
    </row>
    <row r="3848" spans="1:4" x14ac:dyDescent="0.2">
      <c r="A3848">
        <v>3693505</v>
      </c>
      <c r="B3848">
        <v>30067</v>
      </c>
      <c r="C3848">
        <v>302447</v>
      </c>
      <c r="D3848">
        <v>21883</v>
      </c>
    </row>
    <row r="3849" spans="1:4" x14ac:dyDescent="0.2">
      <c r="A3849">
        <v>3693506</v>
      </c>
      <c r="B3849">
        <v>30063</v>
      </c>
      <c r="C3849">
        <v>302357</v>
      </c>
      <c r="D3849">
        <v>21883</v>
      </c>
    </row>
    <row r="3850" spans="1:4" x14ac:dyDescent="0.2">
      <c r="A3850">
        <v>3693506</v>
      </c>
      <c r="B3850">
        <v>30064</v>
      </c>
      <c r="C3850">
        <v>302362</v>
      </c>
      <c r="D3850">
        <v>21883</v>
      </c>
    </row>
    <row r="3851" spans="1:4" x14ac:dyDescent="0.2">
      <c r="A3851">
        <v>3693506</v>
      </c>
      <c r="B3851">
        <v>30065</v>
      </c>
      <c r="C3851">
        <v>302372</v>
      </c>
      <c r="D3851">
        <v>21883</v>
      </c>
    </row>
    <row r="3852" spans="1:4" x14ac:dyDescent="0.2">
      <c r="A3852">
        <v>3693506</v>
      </c>
      <c r="B3852">
        <v>30066</v>
      </c>
      <c r="C3852">
        <v>302436</v>
      </c>
      <c r="D3852">
        <v>21883</v>
      </c>
    </row>
    <row r="3853" spans="1:4" x14ac:dyDescent="0.2">
      <c r="A3853">
        <v>3693506</v>
      </c>
      <c r="B3853">
        <v>30067</v>
      </c>
      <c r="C3853">
        <v>302447</v>
      </c>
      <c r="D3853">
        <v>21883</v>
      </c>
    </row>
    <row r="3854" spans="1:4" x14ac:dyDescent="0.2">
      <c r="A3854">
        <v>3693507</v>
      </c>
      <c r="B3854">
        <v>30061</v>
      </c>
      <c r="C3854">
        <v>302334</v>
      </c>
      <c r="D3854">
        <v>21883</v>
      </c>
    </row>
    <row r="3855" spans="1:4" x14ac:dyDescent="0.2">
      <c r="A3855">
        <v>3693507</v>
      </c>
      <c r="B3855">
        <v>30062</v>
      </c>
      <c r="C3855">
        <v>302355</v>
      </c>
      <c r="D3855">
        <v>21883</v>
      </c>
    </row>
    <row r="3856" spans="1:4" x14ac:dyDescent="0.2">
      <c r="A3856">
        <v>3693507</v>
      </c>
      <c r="B3856">
        <v>30063</v>
      </c>
      <c r="C3856">
        <v>302357</v>
      </c>
      <c r="D3856">
        <v>21883</v>
      </c>
    </row>
    <row r="3857" spans="1:4" x14ac:dyDescent="0.2">
      <c r="A3857">
        <v>3693507</v>
      </c>
      <c r="B3857">
        <v>30064</v>
      </c>
      <c r="C3857">
        <v>302362</v>
      </c>
      <c r="D3857">
        <v>21883</v>
      </c>
    </row>
    <row r="3858" spans="1:4" x14ac:dyDescent="0.2">
      <c r="A3858">
        <v>3693507</v>
      </c>
      <c r="B3858">
        <v>30065</v>
      </c>
      <c r="C3858">
        <v>302332</v>
      </c>
      <c r="D3858">
        <v>21883</v>
      </c>
    </row>
    <row r="3859" spans="1:4" x14ac:dyDescent="0.2">
      <c r="A3859">
        <v>3693507</v>
      </c>
      <c r="B3859">
        <v>30066</v>
      </c>
      <c r="C3859">
        <v>302436</v>
      </c>
      <c r="D3859">
        <v>21883</v>
      </c>
    </row>
    <row r="3860" spans="1:4" x14ac:dyDescent="0.2">
      <c r="A3860">
        <v>3693507</v>
      </c>
      <c r="B3860">
        <v>30067</v>
      </c>
      <c r="C3860">
        <v>302447</v>
      </c>
      <c r="D3860">
        <v>21883</v>
      </c>
    </row>
    <row r="3861" spans="1:4" x14ac:dyDescent="0.2">
      <c r="A3861">
        <v>3693508</v>
      </c>
      <c r="B3861">
        <v>30061</v>
      </c>
      <c r="C3861">
        <v>302337</v>
      </c>
      <c r="D3861">
        <v>21883</v>
      </c>
    </row>
    <row r="3862" spans="1:4" x14ac:dyDescent="0.2">
      <c r="A3862">
        <v>3693508</v>
      </c>
      <c r="B3862">
        <v>30063</v>
      </c>
      <c r="C3862">
        <v>302357</v>
      </c>
      <c r="D3862">
        <v>21883</v>
      </c>
    </row>
    <row r="3863" spans="1:4" x14ac:dyDescent="0.2">
      <c r="A3863">
        <v>3693508</v>
      </c>
      <c r="B3863">
        <v>30064</v>
      </c>
      <c r="C3863">
        <v>302360</v>
      </c>
      <c r="D3863">
        <v>21883</v>
      </c>
    </row>
    <row r="3864" spans="1:4" x14ac:dyDescent="0.2">
      <c r="A3864">
        <v>3693508</v>
      </c>
      <c r="B3864">
        <v>30065</v>
      </c>
      <c r="C3864">
        <v>302372</v>
      </c>
      <c r="D3864">
        <v>21883</v>
      </c>
    </row>
    <row r="3865" spans="1:4" x14ac:dyDescent="0.2">
      <c r="A3865">
        <v>3693508</v>
      </c>
      <c r="B3865">
        <v>30066</v>
      </c>
      <c r="C3865">
        <v>302436</v>
      </c>
      <c r="D3865">
        <v>21883</v>
      </c>
    </row>
    <row r="3866" spans="1:4" x14ac:dyDescent="0.2">
      <c r="A3866">
        <v>3693508</v>
      </c>
      <c r="B3866">
        <v>30067</v>
      </c>
      <c r="C3866">
        <v>302447</v>
      </c>
      <c r="D3866">
        <v>21883</v>
      </c>
    </row>
    <row r="3867" spans="1:4" x14ac:dyDescent="0.2">
      <c r="A3867">
        <v>3693509</v>
      </c>
      <c r="B3867">
        <v>30061</v>
      </c>
      <c r="C3867">
        <v>302337</v>
      </c>
      <c r="D3867">
        <v>21883</v>
      </c>
    </row>
    <row r="3868" spans="1:4" x14ac:dyDescent="0.2">
      <c r="A3868">
        <v>3693509</v>
      </c>
      <c r="B3868">
        <v>30063</v>
      </c>
      <c r="C3868">
        <v>302357</v>
      </c>
      <c r="D3868">
        <v>21883</v>
      </c>
    </row>
    <row r="3869" spans="1:4" x14ac:dyDescent="0.2">
      <c r="A3869">
        <v>3693509</v>
      </c>
      <c r="B3869">
        <v>30064</v>
      </c>
      <c r="C3869">
        <v>302360</v>
      </c>
      <c r="D3869">
        <v>21883</v>
      </c>
    </row>
    <row r="3870" spans="1:4" x14ac:dyDescent="0.2">
      <c r="A3870">
        <v>3693509</v>
      </c>
      <c r="B3870">
        <v>30065</v>
      </c>
      <c r="C3870">
        <v>302372</v>
      </c>
      <c r="D3870">
        <v>21883</v>
      </c>
    </row>
    <row r="3871" spans="1:4" x14ac:dyDescent="0.2">
      <c r="A3871">
        <v>3693509</v>
      </c>
      <c r="B3871">
        <v>30066</v>
      </c>
      <c r="C3871">
        <v>302436</v>
      </c>
      <c r="D3871">
        <v>21883</v>
      </c>
    </row>
    <row r="3872" spans="1:4" x14ac:dyDescent="0.2">
      <c r="A3872">
        <v>3693509</v>
      </c>
      <c r="B3872">
        <v>30067</v>
      </c>
      <c r="C3872">
        <v>302447</v>
      </c>
      <c r="D3872">
        <v>21883</v>
      </c>
    </row>
    <row r="3873" spans="1:4" x14ac:dyDescent="0.2">
      <c r="A3873">
        <v>3693510</v>
      </c>
      <c r="B3873">
        <v>30061</v>
      </c>
      <c r="C3873">
        <v>302337</v>
      </c>
      <c r="D3873">
        <v>21883</v>
      </c>
    </row>
    <row r="3874" spans="1:4" x14ac:dyDescent="0.2">
      <c r="A3874">
        <v>3693510</v>
      </c>
      <c r="B3874">
        <v>30063</v>
      </c>
      <c r="C3874">
        <v>302357</v>
      </c>
      <c r="D3874">
        <v>21883</v>
      </c>
    </row>
    <row r="3875" spans="1:4" x14ac:dyDescent="0.2">
      <c r="A3875">
        <v>3693510</v>
      </c>
      <c r="B3875">
        <v>30064</v>
      </c>
      <c r="C3875">
        <v>302360</v>
      </c>
      <c r="D3875">
        <v>21883</v>
      </c>
    </row>
    <row r="3876" spans="1:4" x14ac:dyDescent="0.2">
      <c r="A3876">
        <v>3693510</v>
      </c>
      <c r="B3876">
        <v>30065</v>
      </c>
      <c r="C3876">
        <v>302372</v>
      </c>
      <c r="D3876">
        <v>21883</v>
      </c>
    </row>
    <row r="3877" spans="1:4" x14ac:dyDescent="0.2">
      <c r="A3877">
        <v>3693510</v>
      </c>
      <c r="B3877">
        <v>30066</v>
      </c>
      <c r="C3877">
        <v>302436</v>
      </c>
      <c r="D3877">
        <v>21883</v>
      </c>
    </row>
    <row r="3878" spans="1:4" x14ac:dyDescent="0.2">
      <c r="A3878">
        <v>3693510</v>
      </c>
      <c r="B3878">
        <v>30067</v>
      </c>
      <c r="C3878">
        <v>302447</v>
      </c>
      <c r="D3878">
        <v>21883</v>
      </c>
    </row>
    <row r="3879" spans="1:4" x14ac:dyDescent="0.2">
      <c r="A3879">
        <v>3693511</v>
      </c>
      <c r="B3879">
        <v>30063</v>
      </c>
      <c r="C3879">
        <v>302357</v>
      </c>
      <c r="D3879">
        <v>21883</v>
      </c>
    </row>
    <row r="3880" spans="1:4" x14ac:dyDescent="0.2">
      <c r="A3880">
        <v>3693511</v>
      </c>
      <c r="B3880">
        <v>30064</v>
      </c>
      <c r="C3880">
        <v>302362</v>
      </c>
      <c r="D3880">
        <v>21883</v>
      </c>
    </row>
    <row r="3881" spans="1:4" x14ac:dyDescent="0.2">
      <c r="A3881">
        <v>3693511</v>
      </c>
      <c r="B3881">
        <v>30065</v>
      </c>
      <c r="C3881">
        <v>302372</v>
      </c>
      <c r="D3881">
        <v>21883</v>
      </c>
    </row>
    <row r="3882" spans="1:4" x14ac:dyDescent="0.2">
      <c r="A3882">
        <v>3693511</v>
      </c>
      <c r="B3882">
        <v>30066</v>
      </c>
      <c r="C3882">
        <v>302436</v>
      </c>
      <c r="D3882">
        <v>21883</v>
      </c>
    </row>
    <row r="3883" spans="1:4" x14ac:dyDescent="0.2">
      <c r="A3883">
        <v>3693511</v>
      </c>
      <c r="B3883">
        <v>30067</v>
      </c>
      <c r="C3883">
        <v>302447</v>
      </c>
      <c r="D3883">
        <v>21883</v>
      </c>
    </row>
    <row r="3884" spans="1:4" x14ac:dyDescent="0.2">
      <c r="A3884">
        <v>3693512</v>
      </c>
      <c r="B3884">
        <v>30063</v>
      </c>
      <c r="C3884">
        <v>302357</v>
      </c>
      <c r="D3884">
        <v>21883</v>
      </c>
    </row>
    <row r="3885" spans="1:4" x14ac:dyDescent="0.2">
      <c r="A3885">
        <v>3693512</v>
      </c>
      <c r="B3885">
        <v>30064</v>
      </c>
      <c r="C3885">
        <v>302362</v>
      </c>
      <c r="D3885">
        <v>21883</v>
      </c>
    </row>
    <row r="3886" spans="1:4" x14ac:dyDescent="0.2">
      <c r="A3886">
        <v>3693512</v>
      </c>
      <c r="B3886">
        <v>30065</v>
      </c>
      <c r="C3886">
        <v>302372</v>
      </c>
      <c r="D3886">
        <v>21883</v>
      </c>
    </row>
    <row r="3887" spans="1:4" x14ac:dyDescent="0.2">
      <c r="A3887">
        <v>3693512</v>
      </c>
      <c r="B3887">
        <v>30066</v>
      </c>
      <c r="C3887">
        <v>302436</v>
      </c>
      <c r="D3887">
        <v>21883</v>
      </c>
    </row>
    <row r="3888" spans="1:4" x14ac:dyDescent="0.2">
      <c r="A3888">
        <v>3693512</v>
      </c>
      <c r="B3888">
        <v>30067</v>
      </c>
      <c r="C3888">
        <v>302447</v>
      </c>
      <c r="D3888">
        <v>21883</v>
      </c>
    </row>
    <row r="3889" spans="1:4" x14ac:dyDescent="0.2">
      <c r="A3889">
        <v>3693513</v>
      </c>
      <c r="B3889">
        <v>30063</v>
      </c>
      <c r="C3889">
        <v>302357</v>
      </c>
      <c r="D3889">
        <v>21883</v>
      </c>
    </row>
    <row r="3890" spans="1:4" x14ac:dyDescent="0.2">
      <c r="A3890">
        <v>3693513</v>
      </c>
      <c r="B3890">
        <v>30064</v>
      </c>
      <c r="C3890">
        <v>302362</v>
      </c>
      <c r="D3890">
        <v>21883</v>
      </c>
    </row>
    <row r="3891" spans="1:4" x14ac:dyDescent="0.2">
      <c r="A3891">
        <v>3693513</v>
      </c>
      <c r="B3891">
        <v>30065</v>
      </c>
      <c r="C3891">
        <v>302372</v>
      </c>
      <c r="D3891">
        <v>21883</v>
      </c>
    </row>
    <row r="3892" spans="1:4" x14ac:dyDescent="0.2">
      <c r="A3892">
        <v>3693513</v>
      </c>
      <c r="B3892">
        <v>30066</v>
      </c>
      <c r="C3892">
        <v>302436</v>
      </c>
      <c r="D3892">
        <v>21883</v>
      </c>
    </row>
    <row r="3893" spans="1:4" x14ac:dyDescent="0.2">
      <c r="A3893">
        <v>3693513</v>
      </c>
      <c r="B3893">
        <v>30067</v>
      </c>
      <c r="C3893">
        <v>302447</v>
      </c>
      <c r="D3893">
        <v>21883</v>
      </c>
    </row>
    <row r="3894" spans="1:4" x14ac:dyDescent="0.2">
      <c r="A3894">
        <v>3693514</v>
      </c>
      <c r="B3894">
        <v>30063</v>
      </c>
      <c r="C3894">
        <v>302357</v>
      </c>
      <c r="D3894">
        <v>21883</v>
      </c>
    </row>
    <row r="3895" spans="1:4" x14ac:dyDescent="0.2">
      <c r="A3895">
        <v>3693514</v>
      </c>
      <c r="B3895">
        <v>30064</v>
      </c>
      <c r="C3895">
        <v>302362</v>
      </c>
      <c r="D3895">
        <v>21883</v>
      </c>
    </row>
    <row r="3896" spans="1:4" x14ac:dyDescent="0.2">
      <c r="A3896">
        <v>3693514</v>
      </c>
      <c r="B3896">
        <v>30065</v>
      </c>
      <c r="C3896">
        <v>302372</v>
      </c>
      <c r="D3896">
        <v>21883</v>
      </c>
    </row>
    <row r="3897" spans="1:4" x14ac:dyDescent="0.2">
      <c r="A3897">
        <v>3693514</v>
      </c>
      <c r="B3897">
        <v>30066</v>
      </c>
      <c r="C3897">
        <v>302436</v>
      </c>
      <c r="D3897">
        <v>21883</v>
      </c>
    </row>
    <row r="3898" spans="1:4" x14ac:dyDescent="0.2">
      <c r="A3898">
        <v>3693514</v>
      </c>
      <c r="B3898">
        <v>30067</v>
      </c>
      <c r="C3898">
        <v>302447</v>
      </c>
      <c r="D3898">
        <v>21883</v>
      </c>
    </row>
    <row r="3899" spans="1:4" x14ac:dyDescent="0.2">
      <c r="A3899">
        <v>3693515</v>
      </c>
      <c r="B3899">
        <v>30061</v>
      </c>
      <c r="C3899">
        <v>302334</v>
      </c>
      <c r="D3899">
        <v>21883</v>
      </c>
    </row>
    <row r="3900" spans="1:4" x14ac:dyDescent="0.2">
      <c r="A3900">
        <v>3693515</v>
      </c>
      <c r="B3900">
        <v>30062</v>
      </c>
      <c r="C3900">
        <v>302355</v>
      </c>
      <c r="D3900">
        <v>21883</v>
      </c>
    </row>
    <row r="3901" spans="1:4" x14ac:dyDescent="0.2">
      <c r="A3901">
        <v>3693515</v>
      </c>
      <c r="B3901">
        <v>30063</v>
      </c>
      <c r="C3901">
        <v>302357</v>
      </c>
      <c r="D3901">
        <v>21883</v>
      </c>
    </row>
    <row r="3902" spans="1:4" x14ac:dyDescent="0.2">
      <c r="A3902">
        <v>3693515</v>
      </c>
      <c r="B3902">
        <v>30064</v>
      </c>
      <c r="C3902">
        <v>302360</v>
      </c>
      <c r="D3902">
        <v>21883</v>
      </c>
    </row>
    <row r="3903" spans="1:4" x14ac:dyDescent="0.2">
      <c r="A3903">
        <v>3693515</v>
      </c>
      <c r="B3903">
        <v>30065</v>
      </c>
      <c r="C3903">
        <v>302332</v>
      </c>
      <c r="D3903">
        <v>21883</v>
      </c>
    </row>
    <row r="3904" spans="1:4" x14ac:dyDescent="0.2">
      <c r="A3904">
        <v>3693515</v>
      </c>
      <c r="B3904">
        <v>30066</v>
      </c>
      <c r="C3904">
        <v>302436</v>
      </c>
      <c r="D3904">
        <v>21883</v>
      </c>
    </row>
    <row r="3905" spans="1:4" x14ac:dyDescent="0.2">
      <c r="A3905">
        <v>3693515</v>
      </c>
      <c r="B3905">
        <v>30067</v>
      </c>
      <c r="C3905">
        <v>302448</v>
      </c>
      <c r="D3905">
        <v>21883</v>
      </c>
    </row>
    <row r="3906" spans="1:4" x14ac:dyDescent="0.2">
      <c r="A3906">
        <v>3693516</v>
      </c>
      <c r="B3906">
        <v>30063</v>
      </c>
      <c r="C3906">
        <v>302357</v>
      </c>
      <c r="D3906">
        <v>21883</v>
      </c>
    </row>
    <row r="3907" spans="1:4" x14ac:dyDescent="0.2">
      <c r="A3907">
        <v>3693516</v>
      </c>
      <c r="B3907">
        <v>30064</v>
      </c>
      <c r="C3907">
        <v>302368</v>
      </c>
      <c r="D3907">
        <v>21883</v>
      </c>
    </row>
    <row r="3908" spans="1:4" x14ac:dyDescent="0.2">
      <c r="A3908">
        <v>3693516</v>
      </c>
      <c r="B3908">
        <v>30065</v>
      </c>
      <c r="C3908">
        <v>302372</v>
      </c>
      <c r="D3908">
        <v>21883</v>
      </c>
    </row>
    <row r="3909" spans="1:4" x14ac:dyDescent="0.2">
      <c r="A3909">
        <v>3693516</v>
      </c>
      <c r="B3909">
        <v>30066</v>
      </c>
      <c r="C3909">
        <v>302436</v>
      </c>
      <c r="D3909">
        <v>21883</v>
      </c>
    </row>
    <row r="3910" spans="1:4" x14ac:dyDescent="0.2">
      <c r="A3910">
        <v>3693516</v>
      </c>
      <c r="B3910">
        <v>30067</v>
      </c>
      <c r="C3910">
        <v>302448</v>
      </c>
      <c r="D3910">
        <v>21883</v>
      </c>
    </row>
    <row r="3911" spans="1:4" x14ac:dyDescent="0.2">
      <c r="A3911">
        <v>3693517</v>
      </c>
      <c r="B3911">
        <v>30063</v>
      </c>
      <c r="C3911">
        <v>302357</v>
      </c>
      <c r="D3911">
        <v>21883</v>
      </c>
    </row>
    <row r="3912" spans="1:4" x14ac:dyDescent="0.2">
      <c r="A3912">
        <v>3693517</v>
      </c>
      <c r="B3912">
        <v>30064</v>
      </c>
      <c r="C3912">
        <v>302362</v>
      </c>
      <c r="D3912">
        <v>21883</v>
      </c>
    </row>
    <row r="3913" spans="1:4" x14ac:dyDescent="0.2">
      <c r="A3913">
        <v>3693517</v>
      </c>
      <c r="B3913">
        <v>30065</v>
      </c>
      <c r="C3913">
        <v>302372</v>
      </c>
      <c r="D3913">
        <v>21883</v>
      </c>
    </row>
    <row r="3914" spans="1:4" x14ac:dyDescent="0.2">
      <c r="A3914">
        <v>3693517</v>
      </c>
      <c r="B3914">
        <v>30066</v>
      </c>
      <c r="C3914">
        <v>302436</v>
      </c>
      <c r="D3914">
        <v>21883</v>
      </c>
    </row>
    <row r="3915" spans="1:4" x14ac:dyDescent="0.2">
      <c r="A3915">
        <v>3693517</v>
      </c>
      <c r="B3915">
        <v>30067</v>
      </c>
      <c r="C3915">
        <v>302448</v>
      </c>
      <c r="D3915">
        <v>21883</v>
      </c>
    </row>
    <row r="3916" spans="1:4" x14ac:dyDescent="0.2">
      <c r="A3916">
        <v>3693518</v>
      </c>
      <c r="B3916">
        <v>30063</v>
      </c>
      <c r="C3916">
        <v>302357</v>
      </c>
      <c r="D3916">
        <v>21883</v>
      </c>
    </row>
    <row r="3917" spans="1:4" x14ac:dyDescent="0.2">
      <c r="A3917">
        <v>3693518</v>
      </c>
      <c r="B3917">
        <v>30064</v>
      </c>
      <c r="C3917">
        <v>302362</v>
      </c>
      <c r="D3917">
        <v>21883</v>
      </c>
    </row>
    <row r="3918" spans="1:4" x14ac:dyDescent="0.2">
      <c r="A3918">
        <v>3693518</v>
      </c>
      <c r="B3918">
        <v>30065</v>
      </c>
      <c r="C3918">
        <v>302372</v>
      </c>
      <c r="D3918">
        <v>21883</v>
      </c>
    </row>
    <row r="3919" spans="1:4" x14ac:dyDescent="0.2">
      <c r="A3919">
        <v>3693518</v>
      </c>
      <c r="B3919">
        <v>30066</v>
      </c>
      <c r="C3919">
        <v>302436</v>
      </c>
      <c r="D3919">
        <v>21883</v>
      </c>
    </row>
    <row r="3920" spans="1:4" x14ac:dyDescent="0.2">
      <c r="A3920">
        <v>3693518</v>
      </c>
      <c r="B3920">
        <v>30067</v>
      </c>
      <c r="C3920">
        <v>302448</v>
      </c>
      <c r="D3920">
        <v>21883</v>
      </c>
    </row>
    <row r="3921" spans="1:4" x14ac:dyDescent="0.2">
      <c r="A3921">
        <v>3693519</v>
      </c>
      <c r="B3921">
        <v>30061</v>
      </c>
      <c r="C3921">
        <v>302334</v>
      </c>
      <c r="D3921">
        <v>21883</v>
      </c>
    </row>
    <row r="3922" spans="1:4" x14ac:dyDescent="0.2">
      <c r="A3922">
        <v>3693519</v>
      </c>
      <c r="B3922">
        <v>30062</v>
      </c>
      <c r="C3922">
        <v>302355</v>
      </c>
      <c r="D3922">
        <v>21883</v>
      </c>
    </row>
    <row r="3923" spans="1:4" x14ac:dyDescent="0.2">
      <c r="A3923">
        <v>3693519</v>
      </c>
      <c r="B3923">
        <v>30063</v>
      </c>
      <c r="C3923">
        <v>302357</v>
      </c>
      <c r="D3923">
        <v>21883</v>
      </c>
    </row>
    <row r="3924" spans="1:4" x14ac:dyDescent="0.2">
      <c r="A3924">
        <v>3693519</v>
      </c>
      <c r="B3924">
        <v>30064</v>
      </c>
      <c r="C3924">
        <v>302362</v>
      </c>
      <c r="D3924">
        <v>21883</v>
      </c>
    </row>
    <row r="3925" spans="1:4" x14ac:dyDescent="0.2">
      <c r="A3925">
        <v>3693519</v>
      </c>
      <c r="B3925">
        <v>30065</v>
      </c>
      <c r="C3925">
        <v>302332</v>
      </c>
      <c r="D3925">
        <v>21883</v>
      </c>
    </row>
    <row r="3926" spans="1:4" x14ac:dyDescent="0.2">
      <c r="A3926">
        <v>3693519</v>
      </c>
      <c r="B3926">
        <v>30066</v>
      </c>
      <c r="C3926">
        <v>302436</v>
      </c>
      <c r="D3926">
        <v>21883</v>
      </c>
    </row>
    <row r="3927" spans="1:4" x14ac:dyDescent="0.2">
      <c r="A3927">
        <v>3693519</v>
      </c>
      <c r="B3927">
        <v>30067</v>
      </c>
      <c r="C3927">
        <v>302448</v>
      </c>
      <c r="D3927">
        <v>21883</v>
      </c>
    </row>
    <row r="3928" spans="1:4" x14ac:dyDescent="0.2">
      <c r="A3928">
        <v>3693520</v>
      </c>
      <c r="B3928">
        <v>30061</v>
      </c>
      <c r="C3928">
        <v>302337</v>
      </c>
      <c r="D3928">
        <v>21883</v>
      </c>
    </row>
    <row r="3929" spans="1:4" x14ac:dyDescent="0.2">
      <c r="A3929">
        <v>3693520</v>
      </c>
      <c r="B3929">
        <v>30063</v>
      </c>
      <c r="C3929">
        <v>302357</v>
      </c>
      <c r="D3929">
        <v>21883</v>
      </c>
    </row>
    <row r="3930" spans="1:4" x14ac:dyDescent="0.2">
      <c r="A3930">
        <v>3693520</v>
      </c>
      <c r="B3930">
        <v>30064</v>
      </c>
      <c r="C3930">
        <v>302360</v>
      </c>
      <c r="D3930">
        <v>21883</v>
      </c>
    </row>
    <row r="3931" spans="1:4" x14ac:dyDescent="0.2">
      <c r="A3931">
        <v>3693520</v>
      </c>
      <c r="B3931">
        <v>30065</v>
      </c>
      <c r="C3931">
        <v>302372</v>
      </c>
      <c r="D3931">
        <v>21883</v>
      </c>
    </row>
    <row r="3932" spans="1:4" x14ac:dyDescent="0.2">
      <c r="A3932">
        <v>3693520</v>
      </c>
      <c r="B3932">
        <v>30066</v>
      </c>
      <c r="C3932">
        <v>302436</v>
      </c>
      <c r="D3932">
        <v>21883</v>
      </c>
    </row>
    <row r="3933" spans="1:4" x14ac:dyDescent="0.2">
      <c r="A3933">
        <v>3693520</v>
      </c>
      <c r="B3933">
        <v>30067</v>
      </c>
      <c r="C3933">
        <v>302448</v>
      </c>
      <c r="D3933">
        <v>21883</v>
      </c>
    </row>
    <row r="3934" spans="1:4" x14ac:dyDescent="0.2">
      <c r="A3934">
        <v>3693521</v>
      </c>
      <c r="B3934">
        <v>30061</v>
      </c>
      <c r="C3934">
        <v>302337</v>
      </c>
      <c r="D3934">
        <v>21883</v>
      </c>
    </row>
    <row r="3935" spans="1:4" x14ac:dyDescent="0.2">
      <c r="A3935">
        <v>3693521</v>
      </c>
      <c r="B3935">
        <v>30063</v>
      </c>
      <c r="C3935">
        <v>302357</v>
      </c>
      <c r="D3935">
        <v>21883</v>
      </c>
    </row>
    <row r="3936" spans="1:4" x14ac:dyDescent="0.2">
      <c r="A3936">
        <v>3693521</v>
      </c>
      <c r="B3936">
        <v>30064</v>
      </c>
      <c r="C3936">
        <v>302360</v>
      </c>
      <c r="D3936">
        <v>21883</v>
      </c>
    </row>
    <row r="3937" spans="1:4" x14ac:dyDescent="0.2">
      <c r="A3937">
        <v>3693521</v>
      </c>
      <c r="B3937">
        <v>30065</v>
      </c>
      <c r="C3937">
        <v>302372</v>
      </c>
      <c r="D3937">
        <v>21883</v>
      </c>
    </row>
    <row r="3938" spans="1:4" x14ac:dyDescent="0.2">
      <c r="A3938">
        <v>3693521</v>
      </c>
      <c r="B3938">
        <v>30066</v>
      </c>
      <c r="C3938">
        <v>302436</v>
      </c>
      <c r="D3938">
        <v>21883</v>
      </c>
    </row>
    <row r="3939" spans="1:4" x14ac:dyDescent="0.2">
      <c r="A3939">
        <v>3693521</v>
      </c>
      <c r="B3939">
        <v>30067</v>
      </c>
      <c r="C3939">
        <v>302448</v>
      </c>
      <c r="D3939">
        <v>21883</v>
      </c>
    </row>
    <row r="3940" spans="1:4" x14ac:dyDescent="0.2">
      <c r="A3940">
        <v>3693522</v>
      </c>
      <c r="B3940">
        <v>30061</v>
      </c>
      <c r="C3940">
        <v>302337</v>
      </c>
      <c r="D3940">
        <v>21883</v>
      </c>
    </row>
    <row r="3941" spans="1:4" x14ac:dyDescent="0.2">
      <c r="A3941">
        <v>3693522</v>
      </c>
      <c r="B3941">
        <v>30063</v>
      </c>
      <c r="C3941">
        <v>302357</v>
      </c>
      <c r="D3941">
        <v>21883</v>
      </c>
    </row>
    <row r="3942" spans="1:4" x14ac:dyDescent="0.2">
      <c r="A3942">
        <v>3693522</v>
      </c>
      <c r="B3942">
        <v>30064</v>
      </c>
      <c r="C3942">
        <v>302360</v>
      </c>
      <c r="D3942">
        <v>21883</v>
      </c>
    </row>
    <row r="3943" spans="1:4" x14ac:dyDescent="0.2">
      <c r="A3943">
        <v>3693522</v>
      </c>
      <c r="B3943">
        <v>30065</v>
      </c>
      <c r="C3943">
        <v>302372</v>
      </c>
      <c r="D3943">
        <v>21883</v>
      </c>
    </row>
    <row r="3944" spans="1:4" x14ac:dyDescent="0.2">
      <c r="A3944">
        <v>3693522</v>
      </c>
      <c r="B3944">
        <v>30066</v>
      </c>
      <c r="C3944">
        <v>302436</v>
      </c>
      <c r="D3944">
        <v>21883</v>
      </c>
    </row>
    <row r="3945" spans="1:4" x14ac:dyDescent="0.2">
      <c r="A3945">
        <v>3693522</v>
      </c>
      <c r="B3945">
        <v>30067</v>
      </c>
      <c r="C3945">
        <v>302448</v>
      </c>
      <c r="D3945">
        <v>21883</v>
      </c>
    </row>
    <row r="3946" spans="1:4" x14ac:dyDescent="0.2">
      <c r="A3946">
        <v>3693523</v>
      </c>
      <c r="B3946">
        <v>30063</v>
      </c>
      <c r="C3946">
        <v>302357</v>
      </c>
      <c r="D3946">
        <v>21883</v>
      </c>
    </row>
    <row r="3947" spans="1:4" x14ac:dyDescent="0.2">
      <c r="A3947">
        <v>3693523</v>
      </c>
      <c r="B3947">
        <v>30064</v>
      </c>
      <c r="C3947">
        <v>302362</v>
      </c>
      <c r="D3947">
        <v>21883</v>
      </c>
    </row>
    <row r="3948" spans="1:4" x14ac:dyDescent="0.2">
      <c r="A3948">
        <v>3693523</v>
      </c>
      <c r="B3948">
        <v>30065</v>
      </c>
      <c r="C3948">
        <v>302372</v>
      </c>
      <c r="D3948">
        <v>21883</v>
      </c>
    </row>
    <row r="3949" spans="1:4" x14ac:dyDescent="0.2">
      <c r="A3949">
        <v>3693523</v>
      </c>
      <c r="B3949">
        <v>30066</v>
      </c>
      <c r="C3949">
        <v>302436</v>
      </c>
      <c r="D3949">
        <v>21883</v>
      </c>
    </row>
    <row r="3950" spans="1:4" x14ac:dyDescent="0.2">
      <c r="A3950">
        <v>3693523</v>
      </c>
      <c r="B3950">
        <v>30067</v>
      </c>
      <c r="C3950">
        <v>302448</v>
      </c>
      <c r="D3950">
        <v>21883</v>
      </c>
    </row>
    <row r="3951" spans="1:4" x14ac:dyDescent="0.2">
      <c r="A3951">
        <v>3693524</v>
      </c>
      <c r="B3951">
        <v>30063</v>
      </c>
      <c r="C3951">
        <v>302357</v>
      </c>
      <c r="D3951">
        <v>21883</v>
      </c>
    </row>
    <row r="3952" spans="1:4" x14ac:dyDescent="0.2">
      <c r="A3952">
        <v>3693524</v>
      </c>
      <c r="B3952">
        <v>30064</v>
      </c>
      <c r="C3952">
        <v>302362</v>
      </c>
      <c r="D3952">
        <v>21883</v>
      </c>
    </row>
    <row r="3953" spans="1:4" x14ac:dyDescent="0.2">
      <c r="A3953">
        <v>3693524</v>
      </c>
      <c r="B3953">
        <v>30065</v>
      </c>
      <c r="C3953">
        <v>302372</v>
      </c>
      <c r="D3953">
        <v>21883</v>
      </c>
    </row>
    <row r="3954" spans="1:4" x14ac:dyDescent="0.2">
      <c r="A3954">
        <v>3693524</v>
      </c>
      <c r="B3954">
        <v>30066</v>
      </c>
      <c r="C3954">
        <v>302436</v>
      </c>
      <c r="D3954">
        <v>21883</v>
      </c>
    </row>
    <row r="3955" spans="1:4" x14ac:dyDescent="0.2">
      <c r="A3955">
        <v>3693524</v>
      </c>
      <c r="B3955">
        <v>30067</v>
      </c>
      <c r="C3955">
        <v>302448</v>
      </c>
      <c r="D3955">
        <v>21883</v>
      </c>
    </row>
    <row r="3956" spans="1:4" x14ac:dyDescent="0.2">
      <c r="A3956">
        <v>3693525</v>
      </c>
      <c r="B3956">
        <v>30063</v>
      </c>
      <c r="C3956">
        <v>302357</v>
      </c>
      <c r="D3956">
        <v>21883</v>
      </c>
    </row>
    <row r="3957" spans="1:4" x14ac:dyDescent="0.2">
      <c r="A3957">
        <v>3693525</v>
      </c>
      <c r="B3957">
        <v>30064</v>
      </c>
      <c r="C3957">
        <v>302362</v>
      </c>
      <c r="D3957">
        <v>21883</v>
      </c>
    </row>
    <row r="3958" spans="1:4" x14ac:dyDescent="0.2">
      <c r="A3958">
        <v>3693525</v>
      </c>
      <c r="B3958">
        <v>30065</v>
      </c>
      <c r="C3958">
        <v>302372</v>
      </c>
      <c r="D3958">
        <v>21883</v>
      </c>
    </row>
    <row r="3959" spans="1:4" x14ac:dyDescent="0.2">
      <c r="A3959">
        <v>3693525</v>
      </c>
      <c r="B3959">
        <v>30066</v>
      </c>
      <c r="C3959">
        <v>302436</v>
      </c>
      <c r="D3959">
        <v>21883</v>
      </c>
    </row>
    <row r="3960" spans="1:4" x14ac:dyDescent="0.2">
      <c r="A3960">
        <v>3693525</v>
      </c>
      <c r="B3960">
        <v>30067</v>
      </c>
      <c r="C3960">
        <v>302448</v>
      </c>
      <c r="D3960">
        <v>21883</v>
      </c>
    </row>
    <row r="3961" spans="1:4" x14ac:dyDescent="0.2">
      <c r="A3961">
        <v>3693526</v>
      </c>
      <c r="B3961">
        <v>30061</v>
      </c>
      <c r="C3961">
        <v>302334</v>
      </c>
      <c r="D3961">
        <v>21883</v>
      </c>
    </row>
    <row r="3962" spans="1:4" x14ac:dyDescent="0.2">
      <c r="A3962">
        <v>3693526</v>
      </c>
      <c r="B3962">
        <v>30062</v>
      </c>
      <c r="C3962">
        <v>302355</v>
      </c>
      <c r="D3962">
        <v>21883</v>
      </c>
    </row>
    <row r="3963" spans="1:4" x14ac:dyDescent="0.2">
      <c r="A3963">
        <v>3693526</v>
      </c>
      <c r="B3963">
        <v>30063</v>
      </c>
      <c r="C3963">
        <v>302357</v>
      </c>
      <c r="D3963">
        <v>21883</v>
      </c>
    </row>
    <row r="3964" spans="1:4" x14ac:dyDescent="0.2">
      <c r="A3964">
        <v>3693526</v>
      </c>
      <c r="B3964">
        <v>30064</v>
      </c>
      <c r="C3964">
        <v>302360</v>
      </c>
      <c r="D3964">
        <v>21883</v>
      </c>
    </row>
    <row r="3965" spans="1:4" x14ac:dyDescent="0.2">
      <c r="A3965">
        <v>3693526</v>
      </c>
      <c r="B3965">
        <v>30065</v>
      </c>
      <c r="C3965">
        <v>302332</v>
      </c>
      <c r="D3965">
        <v>21883</v>
      </c>
    </row>
    <row r="3966" spans="1:4" x14ac:dyDescent="0.2">
      <c r="A3966">
        <v>3693526</v>
      </c>
      <c r="B3966">
        <v>30066</v>
      </c>
      <c r="C3966">
        <v>302436</v>
      </c>
      <c r="D3966">
        <v>21883</v>
      </c>
    </row>
    <row r="3967" spans="1:4" x14ac:dyDescent="0.2">
      <c r="A3967">
        <v>3693526</v>
      </c>
      <c r="B3967">
        <v>30067</v>
      </c>
      <c r="C3967">
        <v>302449</v>
      </c>
      <c r="D3967">
        <v>21883</v>
      </c>
    </row>
    <row r="3968" spans="1:4" x14ac:dyDescent="0.2">
      <c r="A3968">
        <v>3693527</v>
      </c>
      <c r="B3968">
        <v>30063</v>
      </c>
      <c r="C3968">
        <v>302357</v>
      </c>
      <c r="D3968">
        <v>21883</v>
      </c>
    </row>
    <row r="3969" spans="1:4" x14ac:dyDescent="0.2">
      <c r="A3969">
        <v>3693527</v>
      </c>
      <c r="B3969">
        <v>30064</v>
      </c>
      <c r="C3969">
        <v>302368</v>
      </c>
      <c r="D3969">
        <v>21883</v>
      </c>
    </row>
    <row r="3970" spans="1:4" x14ac:dyDescent="0.2">
      <c r="A3970">
        <v>3693527</v>
      </c>
      <c r="B3970">
        <v>30065</v>
      </c>
      <c r="C3970">
        <v>302372</v>
      </c>
      <c r="D3970">
        <v>21883</v>
      </c>
    </row>
    <row r="3971" spans="1:4" x14ac:dyDescent="0.2">
      <c r="A3971">
        <v>3693527</v>
      </c>
      <c r="B3971">
        <v>30066</v>
      </c>
      <c r="C3971">
        <v>302436</v>
      </c>
      <c r="D3971">
        <v>21883</v>
      </c>
    </row>
    <row r="3972" spans="1:4" x14ac:dyDescent="0.2">
      <c r="A3972">
        <v>3693527</v>
      </c>
      <c r="B3972">
        <v>30067</v>
      </c>
      <c r="C3972">
        <v>302449</v>
      </c>
      <c r="D3972">
        <v>21883</v>
      </c>
    </row>
    <row r="3973" spans="1:4" x14ac:dyDescent="0.2">
      <c r="A3973">
        <v>3693528</v>
      </c>
      <c r="B3973">
        <v>30063</v>
      </c>
      <c r="C3973">
        <v>302357</v>
      </c>
      <c r="D3973">
        <v>21883</v>
      </c>
    </row>
    <row r="3974" spans="1:4" x14ac:dyDescent="0.2">
      <c r="A3974">
        <v>3693528</v>
      </c>
      <c r="B3974">
        <v>30064</v>
      </c>
      <c r="C3974">
        <v>302362</v>
      </c>
      <c r="D3974">
        <v>21883</v>
      </c>
    </row>
    <row r="3975" spans="1:4" x14ac:dyDescent="0.2">
      <c r="A3975">
        <v>3693528</v>
      </c>
      <c r="B3975">
        <v>30065</v>
      </c>
      <c r="C3975">
        <v>302372</v>
      </c>
      <c r="D3975">
        <v>21883</v>
      </c>
    </row>
    <row r="3976" spans="1:4" x14ac:dyDescent="0.2">
      <c r="A3976">
        <v>3693528</v>
      </c>
      <c r="B3976">
        <v>30066</v>
      </c>
      <c r="C3976">
        <v>302436</v>
      </c>
      <c r="D3976">
        <v>21883</v>
      </c>
    </row>
    <row r="3977" spans="1:4" x14ac:dyDescent="0.2">
      <c r="A3977">
        <v>3693528</v>
      </c>
      <c r="B3977">
        <v>30067</v>
      </c>
      <c r="C3977">
        <v>302449</v>
      </c>
      <c r="D3977">
        <v>21883</v>
      </c>
    </row>
    <row r="3978" spans="1:4" x14ac:dyDescent="0.2">
      <c r="A3978">
        <v>3693529</v>
      </c>
      <c r="B3978">
        <v>30063</v>
      </c>
      <c r="C3978">
        <v>302357</v>
      </c>
      <c r="D3978">
        <v>21883</v>
      </c>
    </row>
    <row r="3979" spans="1:4" x14ac:dyDescent="0.2">
      <c r="A3979">
        <v>3693529</v>
      </c>
      <c r="B3979">
        <v>30064</v>
      </c>
      <c r="C3979">
        <v>302362</v>
      </c>
      <c r="D3979">
        <v>21883</v>
      </c>
    </row>
    <row r="3980" spans="1:4" x14ac:dyDescent="0.2">
      <c r="A3980">
        <v>3693529</v>
      </c>
      <c r="B3980">
        <v>30065</v>
      </c>
      <c r="C3980">
        <v>302372</v>
      </c>
      <c r="D3980">
        <v>21883</v>
      </c>
    </row>
    <row r="3981" spans="1:4" x14ac:dyDescent="0.2">
      <c r="A3981">
        <v>3693529</v>
      </c>
      <c r="B3981">
        <v>30066</v>
      </c>
      <c r="C3981">
        <v>302436</v>
      </c>
      <c r="D3981">
        <v>21883</v>
      </c>
    </row>
    <row r="3982" spans="1:4" x14ac:dyDescent="0.2">
      <c r="A3982">
        <v>3693529</v>
      </c>
      <c r="B3982">
        <v>30067</v>
      </c>
      <c r="C3982">
        <v>302449</v>
      </c>
      <c r="D3982">
        <v>21883</v>
      </c>
    </row>
    <row r="3983" spans="1:4" x14ac:dyDescent="0.2">
      <c r="A3983">
        <v>3693530</v>
      </c>
      <c r="B3983">
        <v>30061</v>
      </c>
      <c r="C3983">
        <v>302334</v>
      </c>
      <c r="D3983">
        <v>21883</v>
      </c>
    </row>
    <row r="3984" spans="1:4" x14ac:dyDescent="0.2">
      <c r="A3984">
        <v>3693530</v>
      </c>
      <c r="B3984">
        <v>30062</v>
      </c>
      <c r="C3984">
        <v>302355</v>
      </c>
      <c r="D3984">
        <v>21883</v>
      </c>
    </row>
    <row r="3985" spans="1:4" x14ac:dyDescent="0.2">
      <c r="A3985">
        <v>3693530</v>
      </c>
      <c r="B3985">
        <v>30063</v>
      </c>
      <c r="C3985">
        <v>302357</v>
      </c>
      <c r="D3985">
        <v>21883</v>
      </c>
    </row>
    <row r="3986" spans="1:4" x14ac:dyDescent="0.2">
      <c r="A3986">
        <v>3693530</v>
      </c>
      <c r="B3986">
        <v>30064</v>
      </c>
      <c r="C3986">
        <v>302362</v>
      </c>
      <c r="D3986">
        <v>21883</v>
      </c>
    </row>
    <row r="3987" spans="1:4" x14ac:dyDescent="0.2">
      <c r="A3987">
        <v>3693530</v>
      </c>
      <c r="B3987">
        <v>30065</v>
      </c>
      <c r="C3987">
        <v>302332</v>
      </c>
      <c r="D3987">
        <v>21883</v>
      </c>
    </row>
    <row r="3988" spans="1:4" x14ac:dyDescent="0.2">
      <c r="A3988">
        <v>3693530</v>
      </c>
      <c r="B3988">
        <v>30066</v>
      </c>
      <c r="C3988">
        <v>302436</v>
      </c>
      <c r="D3988">
        <v>21883</v>
      </c>
    </row>
    <row r="3989" spans="1:4" x14ac:dyDescent="0.2">
      <c r="A3989">
        <v>3693530</v>
      </c>
      <c r="B3989">
        <v>30067</v>
      </c>
      <c r="C3989">
        <v>302449</v>
      </c>
      <c r="D3989">
        <v>21883</v>
      </c>
    </row>
    <row r="3990" spans="1:4" x14ac:dyDescent="0.2">
      <c r="A3990">
        <v>3693531</v>
      </c>
      <c r="B3990">
        <v>30063</v>
      </c>
      <c r="C3990">
        <v>302357</v>
      </c>
      <c r="D3990">
        <v>21883</v>
      </c>
    </row>
    <row r="3991" spans="1:4" x14ac:dyDescent="0.2">
      <c r="A3991">
        <v>3693531</v>
      </c>
      <c r="B3991">
        <v>30064</v>
      </c>
      <c r="C3991">
        <v>302362</v>
      </c>
      <c r="D3991">
        <v>21883</v>
      </c>
    </row>
    <row r="3992" spans="1:4" x14ac:dyDescent="0.2">
      <c r="A3992">
        <v>3693531</v>
      </c>
      <c r="B3992">
        <v>30065</v>
      </c>
      <c r="C3992">
        <v>302372</v>
      </c>
      <c r="D3992">
        <v>21883</v>
      </c>
    </row>
    <row r="3993" spans="1:4" x14ac:dyDescent="0.2">
      <c r="A3993">
        <v>3693531</v>
      </c>
      <c r="B3993">
        <v>30066</v>
      </c>
      <c r="C3993">
        <v>302436</v>
      </c>
      <c r="D3993">
        <v>21883</v>
      </c>
    </row>
    <row r="3994" spans="1:4" x14ac:dyDescent="0.2">
      <c r="A3994">
        <v>3693531</v>
      </c>
      <c r="B3994">
        <v>30067</v>
      </c>
      <c r="C3994">
        <v>302449</v>
      </c>
      <c r="D3994">
        <v>21883</v>
      </c>
    </row>
    <row r="3995" spans="1:4" x14ac:dyDescent="0.2">
      <c r="A3995">
        <v>3693532</v>
      </c>
      <c r="B3995">
        <v>30063</v>
      </c>
      <c r="C3995">
        <v>302357</v>
      </c>
      <c r="D3995">
        <v>21883</v>
      </c>
    </row>
    <row r="3996" spans="1:4" x14ac:dyDescent="0.2">
      <c r="A3996">
        <v>3693532</v>
      </c>
      <c r="B3996">
        <v>30064</v>
      </c>
      <c r="C3996">
        <v>302360</v>
      </c>
      <c r="D3996">
        <v>21883</v>
      </c>
    </row>
    <row r="3997" spans="1:4" x14ac:dyDescent="0.2">
      <c r="A3997">
        <v>3693532</v>
      </c>
      <c r="B3997">
        <v>30065</v>
      </c>
      <c r="C3997">
        <v>302372</v>
      </c>
      <c r="D3997">
        <v>21883</v>
      </c>
    </row>
    <row r="3998" spans="1:4" x14ac:dyDescent="0.2">
      <c r="A3998">
        <v>3693532</v>
      </c>
      <c r="B3998">
        <v>30066</v>
      </c>
      <c r="C3998">
        <v>302436</v>
      </c>
      <c r="D3998">
        <v>21883</v>
      </c>
    </row>
    <row r="3999" spans="1:4" x14ac:dyDescent="0.2">
      <c r="A3999">
        <v>3693532</v>
      </c>
      <c r="B3999">
        <v>30067</v>
      </c>
      <c r="C3999">
        <v>302449</v>
      </c>
      <c r="D3999">
        <v>21883</v>
      </c>
    </row>
    <row r="4000" spans="1:4" x14ac:dyDescent="0.2">
      <c r="A4000">
        <v>3693533</v>
      </c>
      <c r="B4000">
        <v>30063</v>
      </c>
      <c r="C4000">
        <v>302357</v>
      </c>
      <c r="D4000">
        <v>21883</v>
      </c>
    </row>
    <row r="4001" spans="1:4" x14ac:dyDescent="0.2">
      <c r="A4001">
        <v>3693533</v>
      </c>
      <c r="B4001">
        <v>30064</v>
      </c>
      <c r="C4001">
        <v>302360</v>
      </c>
      <c r="D4001">
        <v>21883</v>
      </c>
    </row>
    <row r="4002" spans="1:4" x14ac:dyDescent="0.2">
      <c r="A4002">
        <v>3693533</v>
      </c>
      <c r="B4002">
        <v>30065</v>
      </c>
      <c r="C4002">
        <v>302372</v>
      </c>
      <c r="D4002">
        <v>21883</v>
      </c>
    </row>
    <row r="4003" spans="1:4" x14ac:dyDescent="0.2">
      <c r="A4003">
        <v>3693533</v>
      </c>
      <c r="B4003">
        <v>30066</v>
      </c>
      <c r="C4003">
        <v>302436</v>
      </c>
      <c r="D4003">
        <v>21883</v>
      </c>
    </row>
    <row r="4004" spans="1:4" x14ac:dyDescent="0.2">
      <c r="A4004">
        <v>3693533</v>
      </c>
      <c r="B4004">
        <v>30067</v>
      </c>
      <c r="C4004">
        <v>302449</v>
      </c>
      <c r="D4004">
        <v>21883</v>
      </c>
    </row>
    <row r="4005" spans="1:4" x14ac:dyDescent="0.2">
      <c r="A4005">
        <v>3693534</v>
      </c>
      <c r="B4005">
        <v>30063</v>
      </c>
      <c r="C4005">
        <v>302357</v>
      </c>
      <c r="D4005">
        <v>21883</v>
      </c>
    </row>
    <row r="4006" spans="1:4" x14ac:dyDescent="0.2">
      <c r="A4006">
        <v>3693534</v>
      </c>
      <c r="B4006">
        <v>30064</v>
      </c>
      <c r="C4006">
        <v>302362</v>
      </c>
      <c r="D4006">
        <v>21883</v>
      </c>
    </row>
    <row r="4007" spans="1:4" x14ac:dyDescent="0.2">
      <c r="A4007">
        <v>3693534</v>
      </c>
      <c r="B4007">
        <v>30065</v>
      </c>
      <c r="C4007">
        <v>302372</v>
      </c>
      <c r="D4007">
        <v>21883</v>
      </c>
    </row>
    <row r="4008" spans="1:4" x14ac:dyDescent="0.2">
      <c r="A4008">
        <v>3693534</v>
      </c>
      <c r="B4008">
        <v>30066</v>
      </c>
      <c r="C4008">
        <v>302436</v>
      </c>
      <c r="D4008">
        <v>21883</v>
      </c>
    </row>
    <row r="4009" spans="1:4" x14ac:dyDescent="0.2">
      <c r="A4009">
        <v>3693534</v>
      </c>
      <c r="B4009">
        <v>30067</v>
      </c>
      <c r="C4009">
        <v>302449</v>
      </c>
      <c r="D4009">
        <v>21883</v>
      </c>
    </row>
    <row r="4010" spans="1:4" x14ac:dyDescent="0.2">
      <c r="A4010">
        <v>3693535</v>
      </c>
      <c r="B4010">
        <v>30063</v>
      </c>
      <c r="C4010">
        <v>302357</v>
      </c>
      <c r="D4010">
        <v>21883</v>
      </c>
    </row>
    <row r="4011" spans="1:4" x14ac:dyDescent="0.2">
      <c r="A4011">
        <v>3693535</v>
      </c>
      <c r="B4011">
        <v>30064</v>
      </c>
      <c r="C4011">
        <v>302362</v>
      </c>
      <c r="D4011">
        <v>21883</v>
      </c>
    </row>
    <row r="4012" spans="1:4" x14ac:dyDescent="0.2">
      <c r="A4012">
        <v>3693535</v>
      </c>
      <c r="B4012">
        <v>30065</v>
      </c>
      <c r="C4012">
        <v>302372</v>
      </c>
      <c r="D4012">
        <v>21883</v>
      </c>
    </row>
    <row r="4013" spans="1:4" x14ac:dyDescent="0.2">
      <c r="A4013">
        <v>3693535</v>
      </c>
      <c r="B4013">
        <v>30066</v>
      </c>
      <c r="C4013">
        <v>302436</v>
      </c>
      <c r="D4013">
        <v>21883</v>
      </c>
    </row>
    <row r="4014" spans="1:4" x14ac:dyDescent="0.2">
      <c r="A4014">
        <v>3693535</v>
      </c>
      <c r="B4014">
        <v>30067</v>
      </c>
      <c r="C4014">
        <v>302449</v>
      </c>
      <c r="D4014">
        <v>21883</v>
      </c>
    </row>
    <row r="4015" spans="1:4" x14ac:dyDescent="0.2">
      <c r="A4015">
        <v>3693536</v>
      </c>
      <c r="B4015">
        <v>30063</v>
      </c>
      <c r="C4015">
        <v>302357</v>
      </c>
      <c r="D4015">
        <v>21883</v>
      </c>
    </row>
    <row r="4016" spans="1:4" x14ac:dyDescent="0.2">
      <c r="A4016">
        <v>3693536</v>
      </c>
      <c r="B4016">
        <v>30064</v>
      </c>
      <c r="C4016">
        <v>302362</v>
      </c>
      <c r="D4016">
        <v>21883</v>
      </c>
    </row>
    <row r="4017" spans="1:4" x14ac:dyDescent="0.2">
      <c r="A4017">
        <v>3693536</v>
      </c>
      <c r="B4017">
        <v>30065</v>
      </c>
      <c r="C4017">
        <v>302372</v>
      </c>
      <c r="D4017">
        <v>21883</v>
      </c>
    </row>
    <row r="4018" spans="1:4" x14ac:dyDescent="0.2">
      <c r="A4018">
        <v>3693536</v>
      </c>
      <c r="B4018">
        <v>30066</v>
      </c>
      <c r="C4018">
        <v>302436</v>
      </c>
      <c r="D4018">
        <v>21883</v>
      </c>
    </row>
    <row r="4019" spans="1:4" x14ac:dyDescent="0.2">
      <c r="A4019">
        <v>3693536</v>
      </c>
      <c r="B4019">
        <v>30067</v>
      </c>
      <c r="C4019">
        <v>302449</v>
      </c>
      <c r="D4019">
        <v>21883</v>
      </c>
    </row>
    <row r="4020" spans="1:4" x14ac:dyDescent="0.2">
      <c r="A4020">
        <v>3693537</v>
      </c>
      <c r="B4020">
        <v>30061</v>
      </c>
      <c r="C4020">
        <v>302334</v>
      </c>
      <c r="D4020">
        <v>21883</v>
      </c>
    </row>
    <row r="4021" spans="1:4" x14ac:dyDescent="0.2">
      <c r="A4021">
        <v>3693537</v>
      </c>
      <c r="B4021">
        <v>30062</v>
      </c>
      <c r="C4021">
        <v>302355</v>
      </c>
      <c r="D4021">
        <v>21883</v>
      </c>
    </row>
    <row r="4022" spans="1:4" x14ac:dyDescent="0.2">
      <c r="A4022">
        <v>3693537</v>
      </c>
      <c r="B4022">
        <v>30063</v>
      </c>
      <c r="C4022">
        <v>302357</v>
      </c>
      <c r="D4022">
        <v>21883</v>
      </c>
    </row>
    <row r="4023" spans="1:4" x14ac:dyDescent="0.2">
      <c r="A4023">
        <v>3693537</v>
      </c>
      <c r="B4023">
        <v>30064</v>
      </c>
      <c r="C4023">
        <v>302360</v>
      </c>
      <c r="D4023">
        <v>21883</v>
      </c>
    </row>
    <row r="4024" spans="1:4" x14ac:dyDescent="0.2">
      <c r="A4024">
        <v>3693537</v>
      </c>
      <c r="B4024">
        <v>30065</v>
      </c>
      <c r="C4024">
        <v>302332</v>
      </c>
      <c r="D4024">
        <v>21883</v>
      </c>
    </row>
    <row r="4025" spans="1:4" x14ac:dyDescent="0.2">
      <c r="A4025">
        <v>3693537</v>
      </c>
      <c r="B4025">
        <v>30066</v>
      </c>
      <c r="C4025">
        <v>302436</v>
      </c>
      <c r="D4025">
        <v>21883</v>
      </c>
    </row>
    <row r="4026" spans="1:4" x14ac:dyDescent="0.2">
      <c r="A4026">
        <v>3693537</v>
      </c>
      <c r="B4026">
        <v>30067</v>
      </c>
      <c r="C4026">
        <v>302450</v>
      </c>
      <c r="D4026">
        <v>21883</v>
      </c>
    </row>
    <row r="4027" spans="1:4" x14ac:dyDescent="0.2">
      <c r="A4027">
        <v>3693538</v>
      </c>
      <c r="B4027">
        <v>30063</v>
      </c>
      <c r="C4027">
        <v>302357</v>
      </c>
      <c r="D4027">
        <v>21883</v>
      </c>
    </row>
    <row r="4028" spans="1:4" x14ac:dyDescent="0.2">
      <c r="A4028">
        <v>3693538</v>
      </c>
      <c r="B4028">
        <v>30064</v>
      </c>
      <c r="C4028">
        <v>302368</v>
      </c>
      <c r="D4028">
        <v>21883</v>
      </c>
    </row>
    <row r="4029" spans="1:4" x14ac:dyDescent="0.2">
      <c r="A4029">
        <v>3693538</v>
      </c>
      <c r="B4029">
        <v>30065</v>
      </c>
      <c r="C4029">
        <v>302372</v>
      </c>
      <c r="D4029">
        <v>21883</v>
      </c>
    </row>
    <row r="4030" spans="1:4" x14ac:dyDescent="0.2">
      <c r="A4030">
        <v>3693538</v>
      </c>
      <c r="B4030">
        <v>30066</v>
      </c>
      <c r="C4030">
        <v>302436</v>
      </c>
      <c r="D4030">
        <v>21883</v>
      </c>
    </row>
    <row r="4031" spans="1:4" x14ac:dyDescent="0.2">
      <c r="A4031">
        <v>3693538</v>
      </c>
      <c r="B4031">
        <v>30067</v>
      </c>
      <c r="C4031">
        <v>302450</v>
      </c>
      <c r="D4031">
        <v>21883</v>
      </c>
    </row>
    <row r="4032" spans="1:4" x14ac:dyDescent="0.2">
      <c r="A4032">
        <v>3693539</v>
      </c>
      <c r="B4032">
        <v>30063</v>
      </c>
      <c r="C4032">
        <v>302357</v>
      </c>
      <c r="D4032">
        <v>21883</v>
      </c>
    </row>
    <row r="4033" spans="1:4" x14ac:dyDescent="0.2">
      <c r="A4033">
        <v>3693539</v>
      </c>
      <c r="B4033">
        <v>30064</v>
      </c>
      <c r="C4033">
        <v>302362</v>
      </c>
      <c r="D4033">
        <v>21883</v>
      </c>
    </row>
    <row r="4034" spans="1:4" x14ac:dyDescent="0.2">
      <c r="A4034">
        <v>3693539</v>
      </c>
      <c r="B4034">
        <v>30065</v>
      </c>
      <c r="C4034">
        <v>302372</v>
      </c>
      <c r="D4034">
        <v>21883</v>
      </c>
    </row>
    <row r="4035" spans="1:4" x14ac:dyDescent="0.2">
      <c r="A4035">
        <v>3693539</v>
      </c>
      <c r="B4035">
        <v>30066</v>
      </c>
      <c r="C4035">
        <v>302436</v>
      </c>
      <c r="D4035">
        <v>21883</v>
      </c>
    </row>
    <row r="4036" spans="1:4" x14ac:dyDescent="0.2">
      <c r="A4036">
        <v>3693539</v>
      </c>
      <c r="B4036">
        <v>30067</v>
      </c>
      <c r="C4036">
        <v>302450</v>
      </c>
      <c r="D4036">
        <v>21883</v>
      </c>
    </row>
    <row r="4037" spans="1:4" x14ac:dyDescent="0.2">
      <c r="A4037">
        <v>3693540</v>
      </c>
      <c r="B4037">
        <v>30063</v>
      </c>
      <c r="C4037">
        <v>302357</v>
      </c>
      <c r="D4037">
        <v>21883</v>
      </c>
    </row>
    <row r="4038" spans="1:4" x14ac:dyDescent="0.2">
      <c r="A4038">
        <v>3693540</v>
      </c>
      <c r="B4038">
        <v>30064</v>
      </c>
      <c r="C4038">
        <v>302362</v>
      </c>
      <c r="D4038">
        <v>21883</v>
      </c>
    </row>
    <row r="4039" spans="1:4" x14ac:dyDescent="0.2">
      <c r="A4039">
        <v>3693540</v>
      </c>
      <c r="B4039">
        <v>30065</v>
      </c>
      <c r="C4039">
        <v>302372</v>
      </c>
      <c r="D4039">
        <v>21883</v>
      </c>
    </row>
    <row r="4040" spans="1:4" x14ac:dyDescent="0.2">
      <c r="A4040">
        <v>3693540</v>
      </c>
      <c r="B4040">
        <v>30066</v>
      </c>
      <c r="C4040">
        <v>302436</v>
      </c>
      <c r="D4040">
        <v>21883</v>
      </c>
    </row>
    <row r="4041" spans="1:4" x14ac:dyDescent="0.2">
      <c r="A4041">
        <v>3693540</v>
      </c>
      <c r="B4041">
        <v>30067</v>
      </c>
      <c r="C4041">
        <v>302450</v>
      </c>
      <c r="D4041">
        <v>21883</v>
      </c>
    </row>
    <row r="4042" spans="1:4" x14ac:dyDescent="0.2">
      <c r="A4042">
        <v>3693541</v>
      </c>
      <c r="B4042">
        <v>30061</v>
      </c>
      <c r="C4042">
        <v>302334</v>
      </c>
      <c r="D4042">
        <v>21883</v>
      </c>
    </row>
    <row r="4043" spans="1:4" x14ac:dyDescent="0.2">
      <c r="A4043">
        <v>3693541</v>
      </c>
      <c r="B4043">
        <v>30062</v>
      </c>
      <c r="C4043">
        <v>302355</v>
      </c>
      <c r="D4043">
        <v>21883</v>
      </c>
    </row>
    <row r="4044" spans="1:4" x14ac:dyDescent="0.2">
      <c r="A4044">
        <v>3693541</v>
      </c>
      <c r="B4044">
        <v>30063</v>
      </c>
      <c r="C4044">
        <v>302357</v>
      </c>
      <c r="D4044">
        <v>21883</v>
      </c>
    </row>
    <row r="4045" spans="1:4" x14ac:dyDescent="0.2">
      <c r="A4045">
        <v>3693541</v>
      </c>
      <c r="B4045">
        <v>30064</v>
      </c>
      <c r="C4045">
        <v>302362</v>
      </c>
      <c r="D4045">
        <v>21883</v>
      </c>
    </row>
    <row r="4046" spans="1:4" x14ac:dyDescent="0.2">
      <c r="A4046">
        <v>3693541</v>
      </c>
      <c r="B4046">
        <v>30065</v>
      </c>
      <c r="C4046">
        <v>302332</v>
      </c>
      <c r="D4046">
        <v>21883</v>
      </c>
    </row>
    <row r="4047" spans="1:4" x14ac:dyDescent="0.2">
      <c r="A4047">
        <v>3693541</v>
      </c>
      <c r="B4047">
        <v>30066</v>
      </c>
      <c r="C4047">
        <v>302436</v>
      </c>
      <c r="D4047">
        <v>21883</v>
      </c>
    </row>
    <row r="4048" spans="1:4" x14ac:dyDescent="0.2">
      <c r="A4048">
        <v>3693541</v>
      </c>
      <c r="B4048">
        <v>30067</v>
      </c>
      <c r="C4048">
        <v>302450</v>
      </c>
      <c r="D4048">
        <v>21883</v>
      </c>
    </row>
    <row r="4049" spans="1:4" x14ac:dyDescent="0.2">
      <c r="A4049">
        <v>3693542</v>
      </c>
      <c r="B4049">
        <v>30063</v>
      </c>
      <c r="C4049">
        <v>302357</v>
      </c>
      <c r="D4049">
        <v>21883</v>
      </c>
    </row>
    <row r="4050" spans="1:4" x14ac:dyDescent="0.2">
      <c r="A4050">
        <v>3693542</v>
      </c>
      <c r="B4050">
        <v>30064</v>
      </c>
      <c r="C4050">
        <v>302362</v>
      </c>
      <c r="D4050">
        <v>21883</v>
      </c>
    </row>
    <row r="4051" spans="1:4" x14ac:dyDescent="0.2">
      <c r="A4051">
        <v>3693542</v>
      </c>
      <c r="B4051">
        <v>30065</v>
      </c>
      <c r="C4051">
        <v>302372</v>
      </c>
      <c r="D4051">
        <v>21883</v>
      </c>
    </row>
    <row r="4052" spans="1:4" x14ac:dyDescent="0.2">
      <c r="A4052">
        <v>3693542</v>
      </c>
      <c r="B4052">
        <v>30066</v>
      </c>
      <c r="C4052">
        <v>302436</v>
      </c>
      <c r="D4052">
        <v>21883</v>
      </c>
    </row>
    <row r="4053" spans="1:4" x14ac:dyDescent="0.2">
      <c r="A4053">
        <v>3693542</v>
      </c>
      <c r="B4053">
        <v>30067</v>
      </c>
      <c r="C4053">
        <v>302450</v>
      </c>
      <c r="D4053">
        <v>21883</v>
      </c>
    </row>
    <row r="4054" spans="1:4" x14ac:dyDescent="0.2">
      <c r="A4054">
        <v>3693543</v>
      </c>
      <c r="B4054">
        <v>30063</v>
      </c>
      <c r="C4054">
        <v>302357</v>
      </c>
      <c r="D4054">
        <v>21883</v>
      </c>
    </row>
    <row r="4055" spans="1:4" x14ac:dyDescent="0.2">
      <c r="A4055">
        <v>3693543</v>
      </c>
      <c r="B4055">
        <v>30064</v>
      </c>
      <c r="C4055">
        <v>302360</v>
      </c>
      <c r="D4055">
        <v>21883</v>
      </c>
    </row>
    <row r="4056" spans="1:4" x14ac:dyDescent="0.2">
      <c r="A4056">
        <v>3693543</v>
      </c>
      <c r="B4056">
        <v>30065</v>
      </c>
      <c r="C4056">
        <v>302372</v>
      </c>
      <c r="D4056">
        <v>21883</v>
      </c>
    </row>
    <row r="4057" spans="1:4" x14ac:dyDescent="0.2">
      <c r="A4057">
        <v>3693543</v>
      </c>
      <c r="B4057">
        <v>30066</v>
      </c>
      <c r="C4057">
        <v>302436</v>
      </c>
      <c r="D4057">
        <v>21883</v>
      </c>
    </row>
    <row r="4058" spans="1:4" x14ac:dyDescent="0.2">
      <c r="A4058">
        <v>3693543</v>
      </c>
      <c r="B4058">
        <v>30067</v>
      </c>
      <c r="C4058">
        <v>302450</v>
      </c>
      <c r="D4058">
        <v>21883</v>
      </c>
    </row>
    <row r="4059" spans="1:4" x14ac:dyDescent="0.2">
      <c r="A4059">
        <v>3693544</v>
      </c>
      <c r="B4059">
        <v>30063</v>
      </c>
      <c r="C4059">
        <v>302357</v>
      </c>
      <c r="D4059">
        <v>21883</v>
      </c>
    </row>
    <row r="4060" spans="1:4" x14ac:dyDescent="0.2">
      <c r="A4060">
        <v>3693544</v>
      </c>
      <c r="B4060">
        <v>30064</v>
      </c>
      <c r="C4060">
        <v>302360</v>
      </c>
      <c r="D4060">
        <v>21883</v>
      </c>
    </row>
    <row r="4061" spans="1:4" x14ac:dyDescent="0.2">
      <c r="A4061">
        <v>3693544</v>
      </c>
      <c r="B4061">
        <v>30065</v>
      </c>
      <c r="C4061">
        <v>302372</v>
      </c>
      <c r="D4061">
        <v>21883</v>
      </c>
    </row>
    <row r="4062" spans="1:4" x14ac:dyDescent="0.2">
      <c r="A4062">
        <v>3693544</v>
      </c>
      <c r="B4062">
        <v>30066</v>
      </c>
      <c r="C4062">
        <v>302436</v>
      </c>
      <c r="D4062">
        <v>21883</v>
      </c>
    </row>
    <row r="4063" spans="1:4" x14ac:dyDescent="0.2">
      <c r="A4063">
        <v>3693544</v>
      </c>
      <c r="B4063">
        <v>30067</v>
      </c>
      <c r="C4063">
        <v>302450</v>
      </c>
      <c r="D4063">
        <v>21883</v>
      </c>
    </row>
    <row r="4064" spans="1:4" x14ac:dyDescent="0.2">
      <c r="A4064">
        <v>3693545</v>
      </c>
      <c r="B4064">
        <v>30063</v>
      </c>
      <c r="C4064">
        <v>302357</v>
      </c>
      <c r="D4064">
        <v>21883</v>
      </c>
    </row>
    <row r="4065" spans="1:4" x14ac:dyDescent="0.2">
      <c r="A4065">
        <v>3693545</v>
      </c>
      <c r="B4065">
        <v>30064</v>
      </c>
      <c r="C4065">
        <v>302362</v>
      </c>
      <c r="D4065">
        <v>21883</v>
      </c>
    </row>
    <row r="4066" spans="1:4" x14ac:dyDescent="0.2">
      <c r="A4066">
        <v>3693545</v>
      </c>
      <c r="B4066">
        <v>30065</v>
      </c>
      <c r="C4066">
        <v>302372</v>
      </c>
      <c r="D4066">
        <v>21883</v>
      </c>
    </row>
    <row r="4067" spans="1:4" x14ac:dyDescent="0.2">
      <c r="A4067">
        <v>3693545</v>
      </c>
      <c r="B4067">
        <v>30066</v>
      </c>
      <c r="C4067">
        <v>302436</v>
      </c>
      <c r="D4067">
        <v>21883</v>
      </c>
    </row>
    <row r="4068" spans="1:4" x14ac:dyDescent="0.2">
      <c r="A4068">
        <v>3693545</v>
      </c>
      <c r="B4068">
        <v>30067</v>
      </c>
      <c r="C4068">
        <v>302450</v>
      </c>
      <c r="D4068">
        <v>21883</v>
      </c>
    </row>
    <row r="4069" spans="1:4" x14ac:dyDescent="0.2">
      <c r="A4069">
        <v>3693546</v>
      </c>
      <c r="B4069">
        <v>30063</v>
      </c>
      <c r="C4069">
        <v>302357</v>
      </c>
      <c r="D4069">
        <v>21883</v>
      </c>
    </row>
    <row r="4070" spans="1:4" x14ac:dyDescent="0.2">
      <c r="A4070">
        <v>3693546</v>
      </c>
      <c r="B4070">
        <v>30064</v>
      </c>
      <c r="C4070">
        <v>302362</v>
      </c>
      <c r="D4070">
        <v>21883</v>
      </c>
    </row>
    <row r="4071" spans="1:4" x14ac:dyDescent="0.2">
      <c r="A4071">
        <v>3693546</v>
      </c>
      <c r="B4071">
        <v>30065</v>
      </c>
      <c r="C4071">
        <v>302372</v>
      </c>
      <c r="D4071">
        <v>21883</v>
      </c>
    </row>
    <row r="4072" spans="1:4" x14ac:dyDescent="0.2">
      <c r="A4072">
        <v>3693546</v>
      </c>
      <c r="B4072">
        <v>30066</v>
      </c>
      <c r="C4072">
        <v>302436</v>
      </c>
      <c r="D4072">
        <v>21883</v>
      </c>
    </row>
    <row r="4073" spans="1:4" x14ac:dyDescent="0.2">
      <c r="A4073">
        <v>3693546</v>
      </c>
      <c r="B4073">
        <v>30067</v>
      </c>
      <c r="C4073">
        <v>302450</v>
      </c>
      <c r="D4073">
        <v>21883</v>
      </c>
    </row>
    <row r="4074" spans="1:4" x14ac:dyDescent="0.2">
      <c r="A4074">
        <v>3693547</v>
      </c>
      <c r="B4074">
        <v>30063</v>
      </c>
      <c r="C4074">
        <v>302357</v>
      </c>
      <c r="D4074">
        <v>21883</v>
      </c>
    </row>
    <row r="4075" spans="1:4" x14ac:dyDescent="0.2">
      <c r="A4075">
        <v>3693547</v>
      </c>
      <c r="B4075">
        <v>30064</v>
      </c>
      <c r="C4075">
        <v>302362</v>
      </c>
      <c r="D4075">
        <v>21883</v>
      </c>
    </row>
    <row r="4076" spans="1:4" x14ac:dyDescent="0.2">
      <c r="A4076">
        <v>3693547</v>
      </c>
      <c r="B4076">
        <v>30065</v>
      </c>
      <c r="C4076">
        <v>302372</v>
      </c>
      <c r="D4076">
        <v>21883</v>
      </c>
    </row>
    <row r="4077" spans="1:4" x14ac:dyDescent="0.2">
      <c r="A4077">
        <v>3693547</v>
      </c>
      <c r="B4077">
        <v>30066</v>
      </c>
      <c r="C4077">
        <v>302436</v>
      </c>
      <c r="D4077">
        <v>21883</v>
      </c>
    </row>
    <row r="4078" spans="1:4" x14ac:dyDescent="0.2">
      <c r="A4078">
        <v>3693547</v>
      </c>
      <c r="B4078">
        <v>30067</v>
      </c>
      <c r="C4078">
        <v>302450</v>
      </c>
      <c r="D4078">
        <v>21883</v>
      </c>
    </row>
    <row r="4079" spans="1:4" x14ac:dyDescent="0.2">
      <c r="A4079">
        <v>3693548</v>
      </c>
      <c r="B4079">
        <v>30061</v>
      </c>
      <c r="C4079">
        <v>302334</v>
      </c>
      <c r="D4079">
        <v>21883</v>
      </c>
    </row>
    <row r="4080" spans="1:4" x14ac:dyDescent="0.2">
      <c r="A4080">
        <v>3693548</v>
      </c>
      <c r="B4080">
        <v>30062</v>
      </c>
      <c r="C4080">
        <v>302355</v>
      </c>
      <c r="D4080">
        <v>21883</v>
      </c>
    </row>
    <row r="4081" spans="1:4" x14ac:dyDescent="0.2">
      <c r="A4081">
        <v>3693548</v>
      </c>
      <c r="B4081">
        <v>30063</v>
      </c>
      <c r="C4081">
        <v>302357</v>
      </c>
      <c r="D4081">
        <v>21883</v>
      </c>
    </row>
    <row r="4082" spans="1:4" x14ac:dyDescent="0.2">
      <c r="A4082">
        <v>3693548</v>
      </c>
      <c r="B4082">
        <v>30064</v>
      </c>
      <c r="C4082">
        <v>302359</v>
      </c>
      <c r="D4082">
        <v>21883</v>
      </c>
    </row>
    <row r="4083" spans="1:4" x14ac:dyDescent="0.2">
      <c r="A4083">
        <v>3693548</v>
      </c>
      <c r="B4083">
        <v>30065</v>
      </c>
      <c r="C4083">
        <v>302332</v>
      </c>
      <c r="D4083">
        <v>21883</v>
      </c>
    </row>
    <row r="4084" spans="1:4" x14ac:dyDescent="0.2">
      <c r="A4084">
        <v>3693548</v>
      </c>
      <c r="B4084">
        <v>30066</v>
      </c>
      <c r="C4084">
        <v>302436</v>
      </c>
      <c r="D4084">
        <v>21883</v>
      </c>
    </row>
    <row r="4085" spans="1:4" x14ac:dyDescent="0.2">
      <c r="A4085">
        <v>3693548</v>
      </c>
      <c r="B4085">
        <v>30067</v>
      </c>
      <c r="C4085">
        <v>302451</v>
      </c>
      <c r="D4085">
        <v>21883</v>
      </c>
    </row>
    <row r="4086" spans="1:4" x14ac:dyDescent="0.2">
      <c r="A4086">
        <v>3693549</v>
      </c>
      <c r="B4086">
        <v>30063</v>
      </c>
      <c r="C4086">
        <v>302357</v>
      </c>
      <c r="D4086">
        <v>21883</v>
      </c>
    </row>
    <row r="4087" spans="1:4" x14ac:dyDescent="0.2">
      <c r="A4087">
        <v>3693549</v>
      </c>
      <c r="B4087">
        <v>30064</v>
      </c>
      <c r="C4087">
        <v>302362</v>
      </c>
      <c r="D4087">
        <v>21883</v>
      </c>
    </row>
    <row r="4088" spans="1:4" x14ac:dyDescent="0.2">
      <c r="A4088">
        <v>3693549</v>
      </c>
      <c r="B4088">
        <v>30065</v>
      </c>
      <c r="C4088">
        <v>302372</v>
      </c>
      <c r="D4088">
        <v>21883</v>
      </c>
    </row>
    <row r="4089" spans="1:4" x14ac:dyDescent="0.2">
      <c r="A4089">
        <v>3693549</v>
      </c>
      <c r="B4089">
        <v>30066</v>
      </c>
      <c r="C4089">
        <v>302436</v>
      </c>
      <c r="D4089">
        <v>21883</v>
      </c>
    </row>
    <row r="4090" spans="1:4" x14ac:dyDescent="0.2">
      <c r="A4090">
        <v>3693549</v>
      </c>
      <c r="B4090">
        <v>30067</v>
      </c>
      <c r="C4090">
        <v>302451</v>
      </c>
      <c r="D4090">
        <v>21883</v>
      </c>
    </row>
    <row r="4091" spans="1:4" x14ac:dyDescent="0.2">
      <c r="A4091">
        <v>3693550</v>
      </c>
      <c r="B4091">
        <v>30063</v>
      </c>
      <c r="C4091">
        <v>302357</v>
      </c>
      <c r="D4091">
        <v>21883</v>
      </c>
    </row>
    <row r="4092" spans="1:4" x14ac:dyDescent="0.2">
      <c r="A4092">
        <v>3693550</v>
      </c>
      <c r="B4092">
        <v>30064</v>
      </c>
      <c r="C4092">
        <v>302368</v>
      </c>
      <c r="D4092">
        <v>21883</v>
      </c>
    </row>
    <row r="4093" spans="1:4" x14ac:dyDescent="0.2">
      <c r="A4093">
        <v>3693550</v>
      </c>
      <c r="B4093">
        <v>30065</v>
      </c>
      <c r="C4093">
        <v>302372</v>
      </c>
      <c r="D4093">
        <v>21883</v>
      </c>
    </row>
    <row r="4094" spans="1:4" x14ac:dyDescent="0.2">
      <c r="A4094">
        <v>3693550</v>
      </c>
      <c r="B4094">
        <v>30066</v>
      </c>
      <c r="C4094">
        <v>302436</v>
      </c>
      <c r="D4094">
        <v>21883</v>
      </c>
    </row>
    <row r="4095" spans="1:4" x14ac:dyDescent="0.2">
      <c r="A4095">
        <v>3693550</v>
      </c>
      <c r="B4095">
        <v>30067</v>
      </c>
      <c r="C4095">
        <v>302451</v>
      </c>
      <c r="D4095">
        <v>21883</v>
      </c>
    </row>
    <row r="4096" spans="1:4" x14ac:dyDescent="0.2">
      <c r="A4096">
        <v>3693551</v>
      </c>
      <c r="B4096">
        <v>30063</v>
      </c>
      <c r="C4096">
        <v>302357</v>
      </c>
      <c r="D4096">
        <v>21883</v>
      </c>
    </row>
    <row r="4097" spans="1:4" x14ac:dyDescent="0.2">
      <c r="A4097">
        <v>3693551</v>
      </c>
      <c r="B4097">
        <v>30064</v>
      </c>
      <c r="C4097">
        <v>302362</v>
      </c>
      <c r="D4097">
        <v>21883</v>
      </c>
    </row>
    <row r="4098" spans="1:4" x14ac:dyDescent="0.2">
      <c r="A4098">
        <v>3693551</v>
      </c>
      <c r="B4098">
        <v>30065</v>
      </c>
      <c r="C4098">
        <v>302372</v>
      </c>
      <c r="D4098">
        <v>21883</v>
      </c>
    </row>
    <row r="4099" spans="1:4" x14ac:dyDescent="0.2">
      <c r="A4099">
        <v>3693551</v>
      </c>
      <c r="B4099">
        <v>30066</v>
      </c>
      <c r="C4099">
        <v>302436</v>
      </c>
      <c r="D4099">
        <v>21883</v>
      </c>
    </row>
    <row r="4100" spans="1:4" x14ac:dyDescent="0.2">
      <c r="A4100">
        <v>3693551</v>
      </c>
      <c r="B4100">
        <v>30067</v>
      </c>
      <c r="C4100">
        <v>302451</v>
      </c>
      <c r="D4100">
        <v>21883</v>
      </c>
    </row>
    <row r="4101" spans="1:4" x14ac:dyDescent="0.2">
      <c r="A4101">
        <v>3693552</v>
      </c>
      <c r="B4101">
        <v>30063</v>
      </c>
      <c r="C4101">
        <v>302357</v>
      </c>
      <c r="D4101">
        <v>21883</v>
      </c>
    </row>
    <row r="4102" spans="1:4" x14ac:dyDescent="0.2">
      <c r="A4102">
        <v>3693552</v>
      </c>
      <c r="B4102">
        <v>30064</v>
      </c>
      <c r="C4102">
        <v>302368</v>
      </c>
      <c r="D4102">
        <v>21883</v>
      </c>
    </row>
    <row r="4103" spans="1:4" x14ac:dyDescent="0.2">
      <c r="A4103">
        <v>3693552</v>
      </c>
      <c r="B4103">
        <v>30065</v>
      </c>
      <c r="C4103">
        <v>302372</v>
      </c>
      <c r="D4103">
        <v>21883</v>
      </c>
    </row>
    <row r="4104" spans="1:4" x14ac:dyDescent="0.2">
      <c r="A4104">
        <v>3693552</v>
      </c>
      <c r="B4104">
        <v>30066</v>
      </c>
      <c r="C4104">
        <v>302436</v>
      </c>
      <c r="D4104">
        <v>21883</v>
      </c>
    </row>
    <row r="4105" spans="1:4" x14ac:dyDescent="0.2">
      <c r="A4105">
        <v>3693552</v>
      </c>
      <c r="B4105">
        <v>30067</v>
      </c>
      <c r="C4105">
        <v>302451</v>
      </c>
      <c r="D4105">
        <v>21883</v>
      </c>
    </row>
    <row r="4106" spans="1:4" x14ac:dyDescent="0.2">
      <c r="A4106">
        <v>3693553</v>
      </c>
      <c r="B4106">
        <v>30063</v>
      </c>
      <c r="C4106">
        <v>302357</v>
      </c>
      <c r="D4106">
        <v>21883</v>
      </c>
    </row>
    <row r="4107" spans="1:4" x14ac:dyDescent="0.2">
      <c r="A4107">
        <v>3693553</v>
      </c>
      <c r="B4107">
        <v>30064</v>
      </c>
      <c r="C4107">
        <v>302362</v>
      </c>
      <c r="D4107">
        <v>21883</v>
      </c>
    </row>
    <row r="4108" spans="1:4" x14ac:dyDescent="0.2">
      <c r="A4108">
        <v>3693553</v>
      </c>
      <c r="B4108">
        <v>30065</v>
      </c>
      <c r="C4108">
        <v>302372</v>
      </c>
      <c r="D4108">
        <v>21883</v>
      </c>
    </row>
    <row r="4109" spans="1:4" x14ac:dyDescent="0.2">
      <c r="A4109">
        <v>3693553</v>
      </c>
      <c r="B4109">
        <v>30066</v>
      </c>
      <c r="C4109">
        <v>302436</v>
      </c>
      <c r="D4109">
        <v>21883</v>
      </c>
    </row>
    <row r="4110" spans="1:4" x14ac:dyDescent="0.2">
      <c r="A4110">
        <v>3693553</v>
      </c>
      <c r="B4110">
        <v>30067</v>
      </c>
      <c r="C4110">
        <v>302451</v>
      </c>
      <c r="D4110">
        <v>21883</v>
      </c>
    </row>
    <row r="4111" spans="1:4" x14ac:dyDescent="0.2">
      <c r="A4111">
        <v>3693554</v>
      </c>
      <c r="B4111">
        <v>30061</v>
      </c>
      <c r="C4111">
        <v>302334</v>
      </c>
      <c r="D4111">
        <v>21883</v>
      </c>
    </row>
    <row r="4112" spans="1:4" x14ac:dyDescent="0.2">
      <c r="A4112">
        <v>3693554</v>
      </c>
      <c r="B4112">
        <v>30062</v>
      </c>
      <c r="C4112">
        <v>302355</v>
      </c>
      <c r="D4112">
        <v>21883</v>
      </c>
    </row>
    <row r="4113" spans="1:4" x14ac:dyDescent="0.2">
      <c r="A4113">
        <v>3693554</v>
      </c>
      <c r="B4113">
        <v>30063</v>
      </c>
      <c r="C4113">
        <v>302357</v>
      </c>
      <c r="D4113">
        <v>21883</v>
      </c>
    </row>
    <row r="4114" spans="1:4" x14ac:dyDescent="0.2">
      <c r="A4114">
        <v>3693554</v>
      </c>
      <c r="B4114">
        <v>30064</v>
      </c>
      <c r="C4114">
        <v>302362</v>
      </c>
      <c r="D4114">
        <v>21883</v>
      </c>
    </row>
    <row r="4115" spans="1:4" x14ac:dyDescent="0.2">
      <c r="A4115">
        <v>3693554</v>
      </c>
      <c r="B4115">
        <v>30065</v>
      </c>
      <c r="C4115">
        <v>302332</v>
      </c>
      <c r="D4115">
        <v>21883</v>
      </c>
    </row>
    <row r="4116" spans="1:4" x14ac:dyDescent="0.2">
      <c r="A4116">
        <v>3693554</v>
      </c>
      <c r="B4116">
        <v>30066</v>
      </c>
      <c r="C4116">
        <v>302436</v>
      </c>
      <c r="D4116">
        <v>21883</v>
      </c>
    </row>
    <row r="4117" spans="1:4" x14ac:dyDescent="0.2">
      <c r="A4117">
        <v>3693554</v>
      </c>
      <c r="B4117">
        <v>30067</v>
      </c>
      <c r="C4117">
        <v>302451</v>
      </c>
      <c r="D4117">
        <v>21883</v>
      </c>
    </row>
    <row r="4118" spans="1:4" x14ac:dyDescent="0.2">
      <c r="A4118">
        <v>3693555</v>
      </c>
      <c r="B4118">
        <v>30063</v>
      </c>
      <c r="C4118">
        <v>302357</v>
      </c>
      <c r="D4118">
        <v>21883</v>
      </c>
    </row>
    <row r="4119" spans="1:4" x14ac:dyDescent="0.2">
      <c r="A4119">
        <v>3693555</v>
      </c>
      <c r="B4119">
        <v>30064</v>
      </c>
      <c r="C4119">
        <v>302362</v>
      </c>
      <c r="D4119">
        <v>21883</v>
      </c>
    </row>
    <row r="4120" spans="1:4" x14ac:dyDescent="0.2">
      <c r="A4120">
        <v>3693555</v>
      </c>
      <c r="B4120">
        <v>30065</v>
      </c>
      <c r="C4120">
        <v>302372</v>
      </c>
      <c r="D4120">
        <v>21883</v>
      </c>
    </row>
    <row r="4121" spans="1:4" x14ac:dyDescent="0.2">
      <c r="A4121">
        <v>3693555</v>
      </c>
      <c r="B4121">
        <v>30066</v>
      </c>
      <c r="C4121">
        <v>302436</v>
      </c>
      <c r="D4121">
        <v>21883</v>
      </c>
    </row>
    <row r="4122" spans="1:4" x14ac:dyDescent="0.2">
      <c r="A4122">
        <v>3693555</v>
      </c>
      <c r="B4122">
        <v>30067</v>
      </c>
      <c r="C4122">
        <v>302451</v>
      </c>
      <c r="D4122">
        <v>21883</v>
      </c>
    </row>
    <row r="4123" spans="1:4" x14ac:dyDescent="0.2">
      <c r="A4123">
        <v>3693556</v>
      </c>
      <c r="B4123">
        <v>30061</v>
      </c>
      <c r="C4123">
        <v>302334</v>
      </c>
      <c r="D4123">
        <v>21883</v>
      </c>
    </row>
    <row r="4124" spans="1:4" x14ac:dyDescent="0.2">
      <c r="A4124">
        <v>3693556</v>
      </c>
      <c r="B4124">
        <v>30062</v>
      </c>
      <c r="C4124">
        <v>302355</v>
      </c>
      <c r="D4124">
        <v>21883</v>
      </c>
    </row>
    <row r="4125" spans="1:4" x14ac:dyDescent="0.2">
      <c r="A4125">
        <v>3693556</v>
      </c>
      <c r="B4125">
        <v>30063</v>
      </c>
      <c r="C4125">
        <v>302357</v>
      </c>
      <c r="D4125">
        <v>21883</v>
      </c>
    </row>
    <row r="4126" spans="1:4" x14ac:dyDescent="0.2">
      <c r="A4126">
        <v>3693556</v>
      </c>
      <c r="B4126">
        <v>30064</v>
      </c>
      <c r="C4126">
        <v>302362</v>
      </c>
      <c r="D4126">
        <v>21883</v>
      </c>
    </row>
    <row r="4127" spans="1:4" x14ac:dyDescent="0.2">
      <c r="A4127">
        <v>3693556</v>
      </c>
      <c r="B4127">
        <v>30065</v>
      </c>
      <c r="C4127">
        <v>302332</v>
      </c>
      <c r="D4127">
        <v>21883</v>
      </c>
    </row>
    <row r="4128" spans="1:4" x14ac:dyDescent="0.2">
      <c r="A4128">
        <v>3693556</v>
      </c>
      <c r="B4128">
        <v>30066</v>
      </c>
      <c r="C4128">
        <v>302436</v>
      </c>
      <c r="D4128">
        <v>21883</v>
      </c>
    </row>
    <row r="4129" spans="1:4" x14ac:dyDescent="0.2">
      <c r="A4129">
        <v>3693556</v>
      </c>
      <c r="B4129">
        <v>30067</v>
      </c>
      <c r="C4129">
        <v>302451</v>
      </c>
      <c r="D4129">
        <v>21883</v>
      </c>
    </row>
    <row r="4130" spans="1:4" x14ac:dyDescent="0.2">
      <c r="A4130">
        <v>3693557</v>
      </c>
      <c r="B4130">
        <v>30063</v>
      </c>
      <c r="C4130">
        <v>302357</v>
      </c>
      <c r="D4130">
        <v>21883</v>
      </c>
    </row>
    <row r="4131" spans="1:4" x14ac:dyDescent="0.2">
      <c r="A4131">
        <v>3693557</v>
      </c>
      <c r="B4131">
        <v>30064</v>
      </c>
      <c r="C4131">
        <v>302359</v>
      </c>
      <c r="D4131">
        <v>21883</v>
      </c>
    </row>
    <row r="4132" spans="1:4" x14ac:dyDescent="0.2">
      <c r="A4132">
        <v>3693557</v>
      </c>
      <c r="B4132">
        <v>30065</v>
      </c>
      <c r="C4132">
        <v>302372</v>
      </c>
      <c r="D4132">
        <v>21883</v>
      </c>
    </row>
    <row r="4133" spans="1:4" x14ac:dyDescent="0.2">
      <c r="A4133">
        <v>3693557</v>
      </c>
      <c r="B4133">
        <v>30066</v>
      </c>
      <c r="C4133">
        <v>302436</v>
      </c>
      <c r="D4133">
        <v>21883</v>
      </c>
    </row>
    <row r="4134" spans="1:4" x14ac:dyDescent="0.2">
      <c r="A4134">
        <v>3693557</v>
      </c>
      <c r="B4134">
        <v>30067</v>
      </c>
      <c r="C4134">
        <v>302451</v>
      </c>
      <c r="D4134">
        <v>21883</v>
      </c>
    </row>
    <row r="4135" spans="1:4" x14ac:dyDescent="0.2">
      <c r="A4135">
        <v>3693558</v>
      </c>
      <c r="B4135">
        <v>30063</v>
      </c>
      <c r="C4135">
        <v>302357</v>
      </c>
      <c r="D4135">
        <v>21883</v>
      </c>
    </row>
    <row r="4136" spans="1:4" x14ac:dyDescent="0.2">
      <c r="A4136">
        <v>3693558</v>
      </c>
      <c r="B4136">
        <v>30064</v>
      </c>
      <c r="C4136">
        <v>302362</v>
      </c>
      <c r="D4136">
        <v>21883</v>
      </c>
    </row>
    <row r="4137" spans="1:4" x14ac:dyDescent="0.2">
      <c r="A4137">
        <v>3693558</v>
      </c>
      <c r="B4137">
        <v>30065</v>
      </c>
      <c r="C4137">
        <v>302372</v>
      </c>
      <c r="D4137">
        <v>21883</v>
      </c>
    </row>
    <row r="4138" spans="1:4" x14ac:dyDescent="0.2">
      <c r="A4138">
        <v>3693558</v>
      </c>
      <c r="B4138">
        <v>30066</v>
      </c>
      <c r="C4138">
        <v>302436</v>
      </c>
      <c r="D4138">
        <v>21883</v>
      </c>
    </row>
    <row r="4139" spans="1:4" x14ac:dyDescent="0.2">
      <c r="A4139">
        <v>3693558</v>
      </c>
      <c r="B4139">
        <v>30067</v>
      </c>
      <c r="C4139">
        <v>302451</v>
      </c>
      <c r="D4139">
        <v>21883</v>
      </c>
    </row>
    <row r="4140" spans="1:4" x14ac:dyDescent="0.2">
      <c r="A4140">
        <v>3693559</v>
      </c>
      <c r="B4140">
        <v>30063</v>
      </c>
      <c r="C4140">
        <v>302357</v>
      </c>
      <c r="D4140">
        <v>21883</v>
      </c>
    </row>
    <row r="4141" spans="1:4" x14ac:dyDescent="0.2">
      <c r="A4141">
        <v>3693559</v>
      </c>
      <c r="B4141">
        <v>30064</v>
      </c>
      <c r="C4141">
        <v>302359</v>
      </c>
      <c r="D4141">
        <v>21883</v>
      </c>
    </row>
    <row r="4142" spans="1:4" x14ac:dyDescent="0.2">
      <c r="A4142">
        <v>3693559</v>
      </c>
      <c r="B4142">
        <v>30065</v>
      </c>
      <c r="C4142">
        <v>302372</v>
      </c>
      <c r="D4142">
        <v>21883</v>
      </c>
    </row>
    <row r="4143" spans="1:4" x14ac:dyDescent="0.2">
      <c r="A4143">
        <v>3693559</v>
      </c>
      <c r="B4143">
        <v>30066</v>
      </c>
      <c r="C4143">
        <v>302436</v>
      </c>
      <c r="D4143">
        <v>21883</v>
      </c>
    </row>
    <row r="4144" spans="1:4" x14ac:dyDescent="0.2">
      <c r="A4144">
        <v>3693559</v>
      </c>
      <c r="B4144">
        <v>30067</v>
      </c>
      <c r="C4144">
        <v>302451</v>
      </c>
      <c r="D4144">
        <v>21883</v>
      </c>
    </row>
    <row r="4145" spans="1:4" x14ac:dyDescent="0.2">
      <c r="A4145">
        <v>3693560</v>
      </c>
      <c r="B4145">
        <v>30063</v>
      </c>
      <c r="C4145">
        <v>302357</v>
      </c>
      <c r="D4145">
        <v>21883</v>
      </c>
    </row>
    <row r="4146" spans="1:4" x14ac:dyDescent="0.2">
      <c r="A4146">
        <v>3693560</v>
      </c>
      <c r="B4146">
        <v>30064</v>
      </c>
      <c r="C4146">
        <v>302362</v>
      </c>
      <c r="D4146">
        <v>21883</v>
      </c>
    </row>
    <row r="4147" spans="1:4" x14ac:dyDescent="0.2">
      <c r="A4147">
        <v>3693560</v>
      </c>
      <c r="B4147">
        <v>30065</v>
      </c>
      <c r="C4147">
        <v>302372</v>
      </c>
      <c r="D4147">
        <v>21883</v>
      </c>
    </row>
    <row r="4148" spans="1:4" x14ac:dyDescent="0.2">
      <c r="A4148">
        <v>3693560</v>
      </c>
      <c r="B4148">
        <v>30066</v>
      </c>
      <c r="C4148">
        <v>302436</v>
      </c>
      <c r="D4148">
        <v>21883</v>
      </c>
    </row>
    <row r="4149" spans="1:4" x14ac:dyDescent="0.2">
      <c r="A4149">
        <v>3693560</v>
      </c>
      <c r="B4149">
        <v>30067</v>
      </c>
      <c r="C4149">
        <v>302451</v>
      </c>
      <c r="D4149">
        <v>21883</v>
      </c>
    </row>
    <row r="4150" spans="1:4" x14ac:dyDescent="0.2">
      <c r="A4150">
        <v>3693561</v>
      </c>
      <c r="B4150">
        <v>30063</v>
      </c>
      <c r="C4150">
        <v>302357</v>
      </c>
      <c r="D4150">
        <v>21883</v>
      </c>
    </row>
    <row r="4151" spans="1:4" x14ac:dyDescent="0.2">
      <c r="A4151">
        <v>3693561</v>
      </c>
      <c r="B4151">
        <v>30064</v>
      </c>
      <c r="C4151">
        <v>302362</v>
      </c>
      <c r="D4151">
        <v>21883</v>
      </c>
    </row>
    <row r="4152" spans="1:4" x14ac:dyDescent="0.2">
      <c r="A4152">
        <v>3693561</v>
      </c>
      <c r="B4152">
        <v>30065</v>
      </c>
      <c r="C4152">
        <v>302372</v>
      </c>
      <c r="D4152">
        <v>21883</v>
      </c>
    </row>
    <row r="4153" spans="1:4" x14ac:dyDescent="0.2">
      <c r="A4153">
        <v>3693561</v>
      </c>
      <c r="B4153">
        <v>30066</v>
      </c>
      <c r="C4153">
        <v>302436</v>
      </c>
      <c r="D4153">
        <v>21883</v>
      </c>
    </row>
    <row r="4154" spans="1:4" x14ac:dyDescent="0.2">
      <c r="A4154">
        <v>3693561</v>
      </c>
      <c r="B4154">
        <v>30067</v>
      </c>
      <c r="C4154">
        <v>302451</v>
      </c>
      <c r="D4154">
        <v>21883</v>
      </c>
    </row>
    <row r="4155" spans="1:4" x14ac:dyDescent="0.2">
      <c r="A4155">
        <v>3693562</v>
      </c>
      <c r="B4155">
        <v>30061</v>
      </c>
      <c r="C4155">
        <v>302334</v>
      </c>
      <c r="D4155">
        <v>21883</v>
      </c>
    </row>
    <row r="4156" spans="1:4" x14ac:dyDescent="0.2">
      <c r="A4156">
        <v>3693562</v>
      </c>
      <c r="B4156">
        <v>30062</v>
      </c>
      <c r="C4156">
        <v>302355</v>
      </c>
      <c r="D4156">
        <v>21883</v>
      </c>
    </row>
    <row r="4157" spans="1:4" x14ac:dyDescent="0.2">
      <c r="A4157">
        <v>3693562</v>
      </c>
      <c r="B4157">
        <v>30063</v>
      </c>
      <c r="C4157">
        <v>302357</v>
      </c>
      <c r="D4157">
        <v>21883</v>
      </c>
    </row>
    <row r="4158" spans="1:4" x14ac:dyDescent="0.2">
      <c r="A4158">
        <v>3693562</v>
      </c>
      <c r="B4158">
        <v>30064</v>
      </c>
      <c r="C4158">
        <v>302359</v>
      </c>
      <c r="D4158">
        <v>21883</v>
      </c>
    </row>
    <row r="4159" spans="1:4" x14ac:dyDescent="0.2">
      <c r="A4159">
        <v>3693562</v>
      </c>
      <c r="B4159">
        <v>30065</v>
      </c>
      <c r="C4159">
        <v>302332</v>
      </c>
      <c r="D4159">
        <v>21883</v>
      </c>
    </row>
    <row r="4160" spans="1:4" x14ac:dyDescent="0.2">
      <c r="A4160">
        <v>3693562</v>
      </c>
      <c r="B4160">
        <v>30066</v>
      </c>
      <c r="C4160">
        <v>302436</v>
      </c>
      <c r="D4160">
        <v>21883</v>
      </c>
    </row>
    <row r="4161" spans="1:4" x14ac:dyDescent="0.2">
      <c r="A4161">
        <v>3693562</v>
      </c>
      <c r="B4161">
        <v>30067</v>
      </c>
      <c r="C4161">
        <v>302452</v>
      </c>
      <c r="D4161">
        <v>21883</v>
      </c>
    </row>
    <row r="4162" spans="1:4" x14ac:dyDescent="0.2">
      <c r="A4162">
        <v>3693563</v>
      </c>
      <c r="B4162">
        <v>30063</v>
      </c>
      <c r="C4162">
        <v>302357</v>
      </c>
      <c r="D4162">
        <v>21883</v>
      </c>
    </row>
    <row r="4163" spans="1:4" x14ac:dyDescent="0.2">
      <c r="A4163">
        <v>3693563</v>
      </c>
      <c r="B4163">
        <v>30064</v>
      </c>
      <c r="C4163">
        <v>302362</v>
      </c>
      <c r="D4163">
        <v>21883</v>
      </c>
    </row>
    <row r="4164" spans="1:4" x14ac:dyDescent="0.2">
      <c r="A4164">
        <v>3693563</v>
      </c>
      <c r="B4164">
        <v>30065</v>
      </c>
      <c r="C4164">
        <v>302372</v>
      </c>
      <c r="D4164">
        <v>21883</v>
      </c>
    </row>
    <row r="4165" spans="1:4" x14ac:dyDescent="0.2">
      <c r="A4165">
        <v>3693563</v>
      </c>
      <c r="B4165">
        <v>30066</v>
      </c>
      <c r="C4165">
        <v>302436</v>
      </c>
      <c r="D4165">
        <v>21883</v>
      </c>
    </row>
    <row r="4166" spans="1:4" x14ac:dyDescent="0.2">
      <c r="A4166">
        <v>3693563</v>
      </c>
      <c r="B4166">
        <v>30067</v>
      </c>
      <c r="C4166">
        <v>302452</v>
      </c>
      <c r="D4166">
        <v>21883</v>
      </c>
    </row>
    <row r="4167" spans="1:4" x14ac:dyDescent="0.2">
      <c r="A4167">
        <v>3693564</v>
      </c>
      <c r="B4167">
        <v>30063</v>
      </c>
      <c r="C4167">
        <v>302357</v>
      </c>
      <c r="D4167">
        <v>21883</v>
      </c>
    </row>
    <row r="4168" spans="1:4" x14ac:dyDescent="0.2">
      <c r="A4168">
        <v>3693564</v>
      </c>
      <c r="B4168">
        <v>30064</v>
      </c>
      <c r="C4168">
        <v>302368</v>
      </c>
      <c r="D4168">
        <v>21883</v>
      </c>
    </row>
    <row r="4169" spans="1:4" x14ac:dyDescent="0.2">
      <c r="A4169">
        <v>3693564</v>
      </c>
      <c r="B4169">
        <v>30065</v>
      </c>
      <c r="C4169">
        <v>302372</v>
      </c>
      <c r="D4169">
        <v>21883</v>
      </c>
    </row>
    <row r="4170" spans="1:4" x14ac:dyDescent="0.2">
      <c r="A4170">
        <v>3693564</v>
      </c>
      <c r="B4170">
        <v>30066</v>
      </c>
      <c r="C4170">
        <v>302436</v>
      </c>
      <c r="D4170">
        <v>21883</v>
      </c>
    </row>
    <row r="4171" spans="1:4" x14ac:dyDescent="0.2">
      <c r="A4171">
        <v>3693564</v>
      </c>
      <c r="B4171">
        <v>30067</v>
      </c>
      <c r="C4171">
        <v>302452</v>
      </c>
      <c r="D4171">
        <v>21883</v>
      </c>
    </row>
    <row r="4172" spans="1:4" x14ac:dyDescent="0.2">
      <c r="A4172">
        <v>3693565</v>
      </c>
      <c r="B4172">
        <v>30063</v>
      </c>
      <c r="C4172">
        <v>302357</v>
      </c>
      <c r="D4172">
        <v>21883</v>
      </c>
    </row>
    <row r="4173" spans="1:4" x14ac:dyDescent="0.2">
      <c r="A4173">
        <v>3693565</v>
      </c>
      <c r="B4173">
        <v>30064</v>
      </c>
      <c r="C4173">
        <v>302362</v>
      </c>
      <c r="D4173">
        <v>21883</v>
      </c>
    </row>
    <row r="4174" spans="1:4" x14ac:dyDescent="0.2">
      <c r="A4174">
        <v>3693565</v>
      </c>
      <c r="B4174">
        <v>30065</v>
      </c>
      <c r="C4174">
        <v>302372</v>
      </c>
      <c r="D4174">
        <v>21883</v>
      </c>
    </row>
    <row r="4175" spans="1:4" x14ac:dyDescent="0.2">
      <c r="A4175">
        <v>3693565</v>
      </c>
      <c r="B4175">
        <v>30066</v>
      </c>
      <c r="C4175">
        <v>302436</v>
      </c>
      <c r="D4175">
        <v>21883</v>
      </c>
    </row>
    <row r="4176" spans="1:4" x14ac:dyDescent="0.2">
      <c r="A4176">
        <v>3693565</v>
      </c>
      <c r="B4176">
        <v>30067</v>
      </c>
      <c r="C4176">
        <v>302452</v>
      </c>
      <c r="D4176">
        <v>21883</v>
      </c>
    </row>
    <row r="4177" spans="1:4" x14ac:dyDescent="0.2">
      <c r="A4177">
        <v>3693566</v>
      </c>
      <c r="B4177">
        <v>30063</v>
      </c>
      <c r="C4177">
        <v>302357</v>
      </c>
      <c r="D4177">
        <v>21883</v>
      </c>
    </row>
    <row r="4178" spans="1:4" x14ac:dyDescent="0.2">
      <c r="A4178">
        <v>3693566</v>
      </c>
      <c r="B4178">
        <v>30064</v>
      </c>
      <c r="C4178">
        <v>302368</v>
      </c>
      <c r="D4178">
        <v>21883</v>
      </c>
    </row>
    <row r="4179" spans="1:4" x14ac:dyDescent="0.2">
      <c r="A4179">
        <v>3693566</v>
      </c>
      <c r="B4179">
        <v>30065</v>
      </c>
      <c r="C4179">
        <v>302372</v>
      </c>
      <c r="D4179">
        <v>21883</v>
      </c>
    </row>
    <row r="4180" spans="1:4" x14ac:dyDescent="0.2">
      <c r="A4180">
        <v>3693566</v>
      </c>
      <c r="B4180">
        <v>30066</v>
      </c>
      <c r="C4180">
        <v>302436</v>
      </c>
      <c r="D4180">
        <v>21883</v>
      </c>
    </row>
    <row r="4181" spans="1:4" x14ac:dyDescent="0.2">
      <c r="A4181">
        <v>3693566</v>
      </c>
      <c r="B4181">
        <v>30067</v>
      </c>
      <c r="C4181">
        <v>302452</v>
      </c>
      <c r="D4181">
        <v>21883</v>
      </c>
    </row>
    <row r="4182" spans="1:4" x14ac:dyDescent="0.2">
      <c r="A4182">
        <v>3693567</v>
      </c>
      <c r="B4182">
        <v>30063</v>
      </c>
      <c r="C4182">
        <v>302357</v>
      </c>
      <c r="D4182">
        <v>21883</v>
      </c>
    </row>
    <row r="4183" spans="1:4" x14ac:dyDescent="0.2">
      <c r="A4183">
        <v>3693567</v>
      </c>
      <c r="B4183">
        <v>30064</v>
      </c>
      <c r="C4183">
        <v>302362</v>
      </c>
      <c r="D4183">
        <v>21883</v>
      </c>
    </row>
    <row r="4184" spans="1:4" x14ac:dyDescent="0.2">
      <c r="A4184">
        <v>3693567</v>
      </c>
      <c r="B4184">
        <v>30065</v>
      </c>
      <c r="C4184">
        <v>302372</v>
      </c>
      <c r="D4184">
        <v>21883</v>
      </c>
    </row>
    <row r="4185" spans="1:4" x14ac:dyDescent="0.2">
      <c r="A4185">
        <v>3693567</v>
      </c>
      <c r="B4185">
        <v>30066</v>
      </c>
      <c r="C4185">
        <v>302436</v>
      </c>
      <c r="D4185">
        <v>21883</v>
      </c>
    </row>
    <row r="4186" spans="1:4" x14ac:dyDescent="0.2">
      <c r="A4186">
        <v>3693567</v>
      </c>
      <c r="B4186">
        <v>30067</v>
      </c>
      <c r="C4186">
        <v>302452</v>
      </c>
      <c r="D4186">
        <v>21883</v>
      </c>
    </row>
    <row r="4187" spans="1:4" x14ac:dyDescent="0.2">
      <c r="A4187">
        <v>3693568</v>
      </c>
      <c r="B4187">
        <v>30061</v>
      </c>
      <c r="C4187">
        <v>302334</v>
      </c>
      <c r="D4187">
        <v>21883</v>
      </c>
    </row>
    <row r="4188" spans="1:4" x14ac:dyDescent="0.2">
      <c r="A4188">
        <v>3693568</v>
      </c>
      <c r="B4188">
        <v>30062</v>
      </c>
      <c r="C4188">
        <v>302355</v>
      </c>
      <c r="D4188">
        <v>21883</v>
      </c>
    </row>
    <row r="4189" spans="1:4" x14ac:dyDescent="0.2">
      <c r="A4189">
        <v>3693568</v>
      </c>
      <c r="B4189">
        <v>30063</v>
      </c>
      <c r="C4189">
        <v>302357</v>
      </c>
      <c r="D4189">
        <v>21883</v>
      </c>
    </row>
    <row r="4190" spans="1:4" x14ac:dyDescent="0.2">
      <c r="A4190">
        <v>3693568</v>
      </c>
      <c r="B4190">
        <v>30064</v>
      </c>
      <c r="C4190">
        <v>302362</v>
      </c>
      <c r="D4190">
        <v>21883</v>
      </c>
    </row>
    <row r="4191" spans="1:4" x14ac:dyDescent="0.2">
      <c r="A4191">
        <v>3693568</v>
      </c>
      <c r="B4191">
        <v>30065</v>
      </c>
      <c r="C4191">
        <v>302332</v>
      </c>
      <c r="D4191">
        <v>21883</v>
      </c>
    </row>
    <row r="4192" spans="1:4" x14ac:dyDescent="0.2">
      <c r="A4192">
        <v>3693568</v>
      </c>
      <c r="B4192">
        <v>30066</v>
      </c>
      <c r="C4192">
        <v>302436</v>
      </c>
      <c r="D4192">
        <v>21883</v>
      </c>
    </row>
    <row r="4193" spans="1:4" x14ac:dyDescent="0.2">
      <c r="A4193">
        <v>3693568</v>
      </c>
      <c r="B4193">
        <v>30067</v>
      </c>
      <c r="C4193">
        <v>302452</v>
      </c>
      <c r="D4193">
        <v>21883</v>
      </c>
    </row>
    <row r="4194" spans="1:4" x14ac:dyDescent="0.2">
      <c r="A4194">
        <v>3693569</v>
      </c>
      <c r="B4194">
        <v>30063</v>
      </c>
      <c r="C4194">
        <v>302357</v>
      </c>
      <c r="D4194">
        <v>21883</v>
      </c>
    </row>
    <row r="4195" spans="1:4" x14ac:dyDescent="0.2">
      <c r="A4195">
        <v>3693569</v>
      </c>
      <c r="B4195">
        <v>30064</v>
      </c>
      <c r="C4195">
        <v>302362</v>
      </c>
      <c r="D4195">
        <v>21883</v>
      </c>
    </row>
    <row r="4196" spans="1:4" x14ac:dyDescent="0.2">
      <c r="A4196">
        <v>3693569</v>
      </c>
      <c r="B4196">
        <v>30065</v>
      </c>
      <c r="C4196">
        <v>302372</v>
      </c>
      <c r="D4196">
        <v>21883</v>
      </c>
    </row>
    <row r="4197" spans="1:4" x14ac:dyDescent="0.2">
      <c r="A4197">
        <v>3693569</v>
      </c>
      <c r="B4197">
        <v>30066</v>
      </c>
      <c r="C4197">
        <v>302436</v>
      </c>
      <c r="D4197">
        <v>21883</v>
      </c>
    </row>
    <row r="4198" spans="1:4" x14ac:dyDescent="0.2">
      <c r="A4198">
        <v>3693569</v>
      </c>
      <c r="B4198">
        <v>30067</v>
      </c>
      <c r="C4198">
        <v>302452</v>
      </c>
      <c r="D4198">
        <v>21883</v>
      </c>
    </row>
    <row r="4199" spans="1:4" x14ac:dyDescent="0.2">
      <c r="A4199">
        <v>3693570</v>
      </c>
      <c r="B4199">
        <v>30061</v>
      </c>
      <c r="C4199">
        <v>302334</v>
      </c>
      <c r="D4199">
        <v>21883</v>
      </c>
    </row>
    <row r="4200" spans="1:4" x14ac:dyDescent="0.2">
      <c r="A4200">
        <v>3693570</v>
      </c>
      <c r="B4200">
        <v>30062</v>
      </c>
      <c r="C4200">
        <v>302355</v>
      </c>
      <c r="D4200">
        <v>21883</v>
      </c>
    </row>
    <row r="4201" spans="1:4" x14ac:dyDescent="0.2">
      <c r="A4201">
        <v>3693570</v>
      </c>
      <c r="B4201">
        <v>30063</v>
      </c>
      <c r="C4201">
        <v>302357</v>
      </c>
      <c r="D4201">
        <v>21883</v>
      </c>
    </row>
    <row r="4202" spans="1:4" x14ac:dyDescent="0.2">
      <c r="A4202">
        <v>3693570</v>
      </c>
      <c r="B4202">
        <v>30064</v>
      </c>
      <c r="C4202">
        <v>302362</v>
      </c>
      <c r="D4202">
        <v>21883</v>
      </c>
    </row>
    <row r="4203" spans="1:4" x14ac:dyDescent="0.2">
      <c r="A4203">
        <v>3693570</v>
      </c>
      <c r="B4203">
        <v>30065</v>
      </c>
      <c r="C4203">
        <v>302332</v>
      </c>
      <c r="D4203">
        <v>21883</v>
      </c>
    </row>
    <row r="4204" spans="1:4" x14ac:dyDescent="0.2">
      <c r="A4204">
        <v>3693570</v>
      </c>
      <c r="B4204">
        <v>30066</v>
      </c>
      <c r="C4204">
        <v>302436</v>
      </c>
      <c r="D4204">
        <v>21883</v>
      </c>
    </row>
    <row r="4205" spans="1:4" x14ac:dyDescent="0.2">
      <c r="A4205">
        <v>3693570</v>
      </c>
      <c r="B4205">
        <v>30067</v>
      </c>
      <c r="C4205">
        <v>302452</v>
      </c>
      <c r="D4205">
        <v>21883</v>
      </c>
    </row>
    <row r="4206" spans="1:4" x14ac:dyDescent="0.2">
      <c r="A4206">
        <v>3693571</v>
      </c>
      <c r="B4206">
        <v>30063</v>
      </c>
      <c r="C4206">
        <v>302357</v>
      </c>
      <c r="D4206">
        <v>21883</v>
      </c>
    </row>
    <row r="4207" spans="1:4" x14ac:dyDescent="0.2">
      <c r="A4207">
        <v>3693571</v>
      </c>
      <c r="B4207">
        <v>30064</v>
      </c>
      <c r="C4207">
        <v>302359</v>
      </c>
      <c r="D4207">
        <v>21883</v>
      </c>
    </row>
    <row r="4208" spans="1:4" x14ac:dyDescent="0.2">
      <c r="A4208">
        <v>3693571</v>
      </c>
      <c r="B4208">
        <v>30065</v>
      </c>
      <c r="C4208">
        <v>302372</v>
      </c>
      <c r="D4208">
        <v>21883</v>
      </c>
    </row>
    <row r="4209" spans="1:4" x14ac:dyDescent="0.2">
      <c r="A4209">
        <v>3693571</v>
      </c>
      <c r="B4209">
        <v>30066</v>
      </c>
      <c r="C4209">
        <v>302436</v>
      </c>
      <c r="D4209">
        <v>21883</v>
      </c>
    </row>
    <row r="4210" spans="1:4" x14ac:dyDescent="0.2">
      <c r="A4210">
        <v>3693571</v>
      </c>
      <c r="B4210">
        <v>30067</v>
      </c>
      <c r="C4210">
        <v>302452</v>
      </c>
      <c r="D4210">
        <v>21883</v>
      </c>
    </row>
    <row r="4211" spans="1:4" x14ac:dyDescent="0.2">
      <c r="A4211">
        <v>3693572</v>
      </c>
      <c r="B4211">
        <v>30063</v>
      </c>
      <c r="C4211">
        <v>302357</v>
      </c>
      <c r="D4211">
        <v>21883</v>
      </c>
    </row>
    <row r="4212" spans="1:4" x14ac:dyDescent="0.2">
      <c r="A4212">
        <v>3693572</v>
      </c>
      <c r="B4212">
        <v>30064</v>
      </c>
      <c r="C4212">
        <v>302359</v>
      </c>
      <c r="D4212">
        <v>21883</v>
      </c>
    </row>
    <row r="4213" spans="1:4" x14ac:dyDescent="0.2">
      <c r="A4213">
        <v>3693572</v>
      </c>
      <c r="B4213">
        <v>30065</v>
      </c>
      <c r="C4213">
        <v>302372</v>
      </c>
      <c r="D4213">
        <v>21883</v>
      </c>
    </row>
    <row r="4214" spans="1:4" x14ac:dyDescent="0.2">
      <c r="A4214">
        <v>3693572</v>
      </c>
      <c r="B4214">
        <v>30066</v>
      </c>
      <c r="C4214">
        <v>302436</v>
      </c>
      <c r="D4214">
        <v>21883</v>
      </c>
    </row>
    <row r="4215" spans="1:4" x14ac:dyDescent="0.2">
      <c r="A4215">
        <v>3693572</v>
      </c>
      <c r="B4215">
        <v>30067</v>
      </c>
      <c r="C4215">
        <v>302452</v>
      </c>
      <c r="D4215">
        <v>21883</v>
      </c>
    </row>
    <row r="4216" spans="1:4" x14ac:dyDescent="0.2">
      <c r="A4216">
        <v>3693573</v>
      </c>
      <c r="B4216">
        <v>30063</v>
      </c>
      <c r="C4216">
        <v>302357</v>
      </c>
      <c r="D4216">
        <v>21883</v>
      </c>
    </row>
    <row r="4217" spans="1:4" x14ac:dyDescent="0.2">
      <c r="A4217">
        <v>3693573</v>
      </c>
      <c r="B4217">
        <v>30064</v>
      </c>
      <c r="C4217">
        <v>302362</v>
      </c>
      <c r="D4217">
        <v>21883</v>
      </c>
    </row>
    <row r="4218" spans="1:4" x14ac:dyDescent="0.2">
      <c r="A4218">
        <v>3693573</v>
      </c>
      <c r="B4218">
        <v>30065</v>
      </c>
      <c r="C4218">
        <v>302372</v>
      </c>
      <c r="D4218">
        <v>21883</v>
      </c>
    </row>
    <row r="4219" spans="1:4" x14ac:dyDescent="0.2">
      <c r="A4219">
        <v>3693573</v>
      </c>
      <c r="B4219">
        <v>30066</v>
      </c>
      <c r="C4219">
        <v>302436</v>
      </c>
      <c r="D4219">
        <v>21883</v>
      </c>
    </row>
    <row r="4220" spans="1:4" x14ac:dyDescent="0.2">
      <c r="A4220">
        <v>3693573</v>
      </c>
      <c r="B4220">
        <v>30067</v>
      </c>
      <c r="C4220">
        <v>302452</v>
      </c>
      <c r="D4220">
        <v>21883</v>
      </c>
    </row>
    <row r="4221" spans="1:4" x14ac:dyDescent="0.2">
      <c r="A4221">
        <v>3693574</v>
      </c>
      <c r="B4221">
        <v>30063</v>
      </c>
      <c r="C4221">
        <v>302357</v>
      </c>
      <c r="D4221">
        <v>21883</v>
      </c>
    </row>
    <row r="4222" spans="1:4" x14ac:dyDescent="0.2">
      <c r="A4222">
        <v>3693574</v>
      </c>
      <c r="B4222">
        <v>30064</v>
      </c>
      <c r="C4222">
        <v>302362</v>
      </c>
      <c r="D4222">
        <v>21883</v>
      </c>
    </row>
    <row r="4223" spans="1:4" x14ac:dyDescent="0.2">
      <c r="A4223">
        <v>3693574</v>
      </c>
      <c r="B4223">
        <v>30065</v>
      </c>
      <c r="C4223">
        <v>302372</v>
      </c>
      <c r="D4223">
        <v>21883</v>
      </c>
    </row>
    <row r="4224" spans="1:4" x14ac:dyDescent="0.2">
      <c r="A4224">
        <v>3693574</v>
      </c>
      <c r="B4224">
        <v>30066</v>
      </c>
      <c r="C4224">
        <v>302436</v>
      </c>
      <c r="D4224">
        <v>21883</v>
      </c>
    </row>
    <row r="4225" spans="1:4" x14ac:dyDescent="0.2">
      <c r="A4225">
        <v>3693574</v>
      </c>
      <c r="B4225">
        <v>30067</v>
      </c>
      <c r="C4225">
        <v>302452</v>
      </c>
      <c r="D4225">
        <v>21883</v>
      </c>
    </row>
    <row r="4226" spans="1:4" x14ac:dyDescent="0.2">
      <c r="A4226">
        <v>3693575</v>
      </c>
      <c r="B4226">
        <v>30063</v>
      </c>
      <c r="C4226">
        <v>302357</v>
      </c>
      <c r="D4226">
        <v>21883</v>
      </c>
    </row>
    <row r="4227" spans="1:4" x14ac:dyDescent="0.2">
      <c r="A4227">
        <v>3693575</v>
      </c>
      <c r="B4227">
        <v>30064</v>
      </c>
      <c r="C4227">
        <v>302362</v>
      </c>
      <c r="D4227">
        <v>21883</v>
      </c>
    </row>
    <row r="4228" spans="1:4" x14ac:dyDescent="0.2">
      <c r="A4228">
        <v>3693575</v>
      </c>
      <c r="B4228">
        <v>30065</v>
      </c>
      <c r="C4228">
        <v>302372</v>
      </c>
      <c r="D4228">
        <v>21883</v>
      </c>
    </row>
    <row r="4229" spans="1:4" x14ac:dyDescent="0.2">
      <c r="A4229">
        <v>3693575</v>
      </c>
      <c r="B4229">
        <v>30066</v>
      </c>
      <c r="C4229">
        <v>302436</v>
      </c>
      <c r="D4229">
        <v>21883</v>
      </c>
    </row>
    <row r="4230" spans="1:4" x14ac:dyDescent="0.2">
      <c r="A4230">
        <v>3693575</v>
      </c>
      <c r="B4230">
        <v>30067</v>
      </c>
      <c r="C4230">
        <v>302452</v>
      </c>
      <c r="D4230">
        <v>21883</v>
      </c>
    </row>
    <row r="4231" spans="1:4" x14ac:dyDescent="0.2">
      <c r="A4231">
        <v>3693576</v>
      </c>
      <c r="B4231">
        <v>30061</v>
      </c>
      <c r="C4231">
        <v>302334</v>
      </c>
      <c r="D4231">
        <v>21883</v>
      </c>
    </row>
    <row r="4232" spans="1:4" x14ac:dyDescent="0.2">
      <c r="A4232">
        <v>3693576</v>
      </c>
      <c r="B4232">
        <v>30062</v>
      </c>
      <c r="C4232">
        <v>302355</v>
      </c>
      <c r="D4232">
        <v>21883</v>
      </c>
    </row>
    <row r="4233" spans="1:4" x14ac:dyDescent="0.2">
      <c r="A4233">
        <v>3693576</v>
      </c>
      <c r="B4233">
        <v>30063</v>
      </c>
      <c r="C4233">
        <v>302357</v>
      </c>
      <c r="D4233">
        <v>21883</v>
      </c>
    </row>
    <row r="4234" spans="1:4" x14ac:dyDescent="0.2">
      <c r="A4234">
        <v>3693576</v>
      </c>
      <c r="B4234">
        <v>30064</v>
      </c>
      <c r="C4234">
        <v>302359</v>
      </c>
      <c r="D4234">
        <v>21883</v>
      </c>
    </row>
    <row r="4235" spans="1:4" x14ac:dyDescent="0.2">
      <c r="A4235">
        <v>3693576</v>
      </c>
      <c r="B4235">
        <v>30065</v>
      </c>
      <c r="C4235">
        <v>302332</v>
      </c>
      <c r="D4235">
        <v>21883</v>
      </c>
    </row>
    <row r="4236" spans="1:4" x14ac:dyDescent="0.2">
      <c r="A4236">
        <v>3693576</v>
      </c>
      <c r="B4236">
        <v>30066</v>
      </c>
      <c r="C4236">
        <v>302436</v>
      </c>
      <c r="D4236">
        <v>21883</v>
      </c>
    </row>
    <row r="4237" spans="1:4" x14ac:dyDescent="0.2">
      <c r="A4237">
        <v>3693576</v>
      </c>
      <c r="B4237">
        <v>30067</v>
      </c>
      <c r="C4237">
        <v>302453</v>
      </c>
      <c r="D4237">
        <v>21883</v>
      </c>
    </row>
    <row r="4238" spans="1:4" x14ac:dyDescent="0.2">
      <c r="A4238">
        <v>3693577</v>
      </c>
      <c r="B4238">
        <v>30063</v>
      </c>
      <c r="C4238">
        <v>302357</v>
      </c>
      <c r="D4238">
        <v>21883</v>
      </c>
    </row>
    <row r="4239" spans="1:4" x14ac:dyDescent="0.2">
      <c r="A4239">
        <v>3693577</v>
      </c>
      <c r="B4239">
        <v>30064</v>
      </c>
      <c r="C4239">
        <v>302368</v>
      </c>
      <c r="D4239">
        <v>21883</v>
      </c>
    </row>
    <row r="4240" spans="1:4" x14ac:dyDescent="0.2">
      <c r="A4240">
        <v>3693577</v>
      </c>
      <c r="B4240">
        <v>30065</v>
      </c>
      <c r="C4240">
        <v>302372</v>
      </c>
      <c r="D4240">
        <v>21883</v>
      </c>
    </row>
    <row r="4241" spans="1:4" x14ac:dyDescent="0.2">
      <c r="A4241">
        <v>3693577</v>
      </c>
      <c r="B4241">
        <v>30066</v>
      </c>
      <c r="C4241">
        <v>302436</v>
      </c>
      <c r="D4241">
        <v>21883</v>
      </c>
    </row>
    <row r="4242" spans="1:4" x14ac:dyDescent="0.2">
      <c r="A4242">
        <v>3693577</v>
      </c>
      <c r="B4242">
        <v>30067</v>
      </c>
      <c r="C4242">
        <v>302453</v>
      </c>
      <c r="D4242">
        <v>21883</v>
      </c>
    </row>
    <row r="4243" spans="1:4" x14ac:dyDescent="0.2">
      <c r="A4243">
        <v>3693578</v>
      </c>
      <c r="B4243">
        <v>30063</v>
      </c>
      <c r="C4243">
        <v>302357</v>
      </c>
      <c r="D4243">
        <v>21883</v>
      </c>
    </row>
    <row r="4244" spans="1:4" x14ac:dyDescent="0.2">
      <c r="A4244">
        <v>3693578</v>
      </c>
      <c r="B4244">
        <v>30064</v>
      </c>
      <c r="C4244">
        <v>302362</v>
      </c>
      <c r="D4244">
        <v>21883</v>
      </c>
    </row>
    <row r="4245" spans="1:4" x14ac:dyDescent="0.2">
      <c r="A4245">
        <v>3693578</v>
      </c>
      <c r="B4245">
        <v>30065</v>
      </c>
      <c r="C4245">
        <v>302372</v>
      </c>
      <c r="D4245">
        <v>21883</v>
      </c>
    </row>
    <row r="4246" spans="1:4" x14ac:dyDescent="0.2">
      <c r="A4246">
        <v>3693578</v>
      </c>
      <c r="B4246">
        <v>30066</v>
      </c>
      <c r="C4246">
        <v>302436</v>
      </c>
      <c r="D4246">
        <v>21883</v>
      </c>
    </row>
    <row r="4247" spans="1:4" x14ac:dyDescent="0.2">
      <c r="A4247">
        <v>3693578</v>
      </c>
      <c r="B4247">
        <v>30067</v>
      </c>
      <c r="C4247">
        <v>302453</v>
      </c>
      <c r="D4247">
        <v>21883</v>
      </c>
    </row>
    <row r="4248" spans="1:4" x14ac:dyDescent="0.2">
      <c r="A4248">
        <v>3693579</v>
      </c>
      <c r="B4248">
        <v>30063</v>
      </c>
      <c r="C4248">
        <v>302357</v>
      </c>
      <c r="D4248">
        <v>21883</v>
      </c>
    </row>
    <row r="4249" spans="1:4" x14ac:dyDescent="0.2">
      <c r="A4249">
        <v>3693579</v>
      </c>
      <c r="B4249">
        <v>30064</v>
      </c>
      <c r="C4249">
        <v>302362</v>
      </c>
      <c r="D4249">
        <v>21883</v>
      </c>
    </row>
    <row r="4250" spans="1:4" x14ac:dyDescent="0.2">
      <c r="A4250">
        <v>3693579</v>
      </c>
      <c r="B4250">
        <v>30065</v>
      </c>
      <c r="C4250">
        <v>302372</v>
      </c>
      <c r="D4250">
        <v>21883</v>
      </c>
    </row>
    <row r="4251" spans="1:4" x14ac:dyDescent="0.2">
      <c r="A4251">
        <v>3693579</v>
      </c>
      <c r="B4251">
        <v>30066</v>
      </c>
      <c r="C4251">
        <v>302436</v>
      </c>
      <c r="D4251">
        <v>21883</v>
      </c>
    </row>
    <row r="4252" spans="1:4" x14ac:dyDescent="0.2">
      <c r="A4252">
        <v>3693579</v>
      </c>
      <c r="B4252">
        <v>30067</v>
      </c>
      <c r="C4252">
        <v>302453</v>
      </c>
      <c r="D4252">
        <v>21883</v>
      </c>
    </row>
    <row r="4253" spans="1:4" x14ac:dyDescent="0.2">
      <c r="A4253">
        <v>3693580</v>
      </c>
      <c r="B4253">
        <v>30063</v>
      </c>
      <c r="C4253">
        <v>302357</v>
      </c>
      <c r="D4253">
        <v>21883</v>
      </c>
    </row>
    <row r="4254" spans="1:4" x14ac:dyDescent="0.2">
      <c r="A4254">
        <v>3693580</v>
      </c>
      <c r="B4254">
        <v>30064</v>
      </c>
      <c r="C4254">
        <v>302368</v>
      </c>
      <c r="D4254">
        <v>21883</v>
      </c>
    </row>
    <row r="4255" spans="1:4" x14ac:dyDescent="0.2">
      <c r="A4255">
        <v>3693580</v>
      </c>
      <c r="B4255">
        <v>30065</v>
      </c>
      <c r="C4255">
        <v>302372</v>
      </c>
      <c r="D4255">
        <v>21883</v>
      </c>
    </row>
    <row r="4256" spans="1:4" x14ac:dyDescent="0.2">
      <c r="A4256">
        <v>3693580</v>
      </c>
      <c r="B4256">
        <v>30066</v>
      </c>
      <c r="C4256">
        <v>302436</v>
      </c>
      <c r="D4256">
        <v>21883</v>
      </c>
    </row>
    <row r="4257" spans="1:4" x14ac:dyDescent="0.2">
      <c r="A4257">
        <v>3693580</v>
      </c>
      <c r="B4257">
        <v>30067</v>
      </c>
      <c r="C4257">
        <v>302453</v>
      </c>
      <c r="D4257">
        <v>21883</v>
      </c>
    </row>
    <row r="4258" spans="1:4" x14ac:dyDescent="0.2">
      <c r="A4258">
        <v>3693581</v>
      </c>
      <c r="B4258">
        <v>30063</v>
      </c>
      <c r="C4258">
        <v>302357</v>
      </c>
      <c r="D4258">
        <v>21883</v>
      </c>
    </row>
    <row r="4259" spans="1:4" x14ac:dyDescent="0.2">
      <c r="A4259">
        <v>3693581</v>
      </c>
      <c r="B4259">
        <v>30064</v>
      </c>
      <c r="C4259">
        <v>302362</v>
      </c>
      <c r="D4259">
        <v>21883</v>
      </c>
    </row>
    <row r="4260" spans="1:4" x14ac:dyDescent="0.2">
      <c r="A4260">
        <v>3693581</v>
      </c>
      <c r="B4260">
        <v>30065</v>
      </c>
      <c r="C4260">
        <v>302372</v>
      </c>
      <c r="D4260">
        <v>21883</v>
      </c>
    </row>
    <row r="4261" spans="1:4" x14ac:dyDescent="0.2">
      <c r="A4261">
        <v>3693581</v>
      </c>
      <c r="B4261">
        <v>30066</v>
      </c>
      <c r="C4261">
        <v>302436</v>
      </c>
      <c r="D4261">
        <v>21883</v>
      </c>
    </row>
    <row r="4262" spans="1:4" x14ac:dyDescent="0.2">
      <c r="A4262">
        <v>3693581</v>
      </c>
      <c r="B4262">
        <v>30067</v>
      </c>
      <c r="C4262">
        <v>302453</v>
      </c>
      <c r="D4262">
        <v>21883</v>
      </c>
    </row>
    <row r="4263" spans="1:4" x14ac:dyDescent="0.2">
      <c r="A4263">
        <v>3693582</v>
      </c>
      <c r="B4263">
        <v>30061</v>
      </c>
      <c r="C4263">
        <v>302334</v>
      </c>
      <c r="D4263">
        <v>21883</v>
      </c>
    </row>
    <row r="4264" spans="1:4" x14ac:dyDescent="0.2">
      <c r="A4264">
        <v>3693582</v>
      </c>
      <c r="B4264">
        <v>30062</v>
      </c>
      <c r="C4264">
        <v>302355</v>
      </c>
      <c r="D4264">
        <v>21883</v>
      </c>
    </row>
    <row r="4265" spans="1:4" x14ac:dyDescent="0.2">
      <c r="A4265">
        <v>3693582</v>
      </c>
      <c r="B4265">
        <v>30063</v>
      </c>
      <c r="C4265">
        <v>302357</v>
      </c>
      <c r="D4265">
        <v>21883</v>
      </c>
    </row>
    <row r="4266" spans="1:4" x14ac:dyDescent="0.2">
      <c r="A4266">
        <v>3693582</v>
      </c>
      <c r="B4266">
        <v>30064</v>
      </c>
      <c r="C4266">
        <v>302362</v>
      </c>
      <c r="D4266">
        <v>21883</v>
      </c>
    </row>
    <row r="4267" spans="1:4" x14ac:dyDescent="0.2">
      <c r="A4267">
        <v>3693582</v>
      </c>
      <c r="B4267">
        <v>30065</v>
      </c>
      <c r="C4267">
        <v>302332</v>
      </c>
      <c r="D4267">
        <v>21883</v>
      </c>
    </row>
    <row r="4268" spans="1:4" x14ac:dyDescent="0.2">
      <c r="A4268">
        <v>3693582</v>
      </c>
      <c r="B4268">
        <v>30066</v>
      </c>
      <c r="C4268">
        <v>302436</v>
      </c>
      <c r="D4268">
        <v>21883</v>
      </c>
    </row>
    <row r="4269" spans="1:4" x14ac:dyDescent="0.2">
      <c r="A4269">
        <v>3693582</v>
      </c>
      <c r="B4269">
        <v>30067</v>
      </c>
      <c r="C4269">
        <v>302453</v>
      </c>
      <c r="D4269">
        <v>21883</v>
      </c>
    </row>
    <row r="4270" spans="1:4" x14ac:dyDescent="0.2">
      <c r="A4270">
        <v>3693583</v>
      </c>
      <c r="B4270">
        <v>30063</v>
      </c>
      <c r="C4270">
        <v>302357</v>
      </c>
      <c r="D4270">
        <v>21883</v>
      </c>
    </row>
    <row r="4271" spans="1:4" x14ac:dyDescent="0.2">
      <c r="A4271">
        <v>3693583</v>
      </c>
      <c r="B4271">
        <v>30064</v>
      </c>
      <c r="C4271">
        <v>302362</v>
      </c>
      <c r="D4271">
        <v>21883</v>
      </c>
    </row>
    <row r="4272" spans="1:4" x14ac:dyDescent="0.2">
      <c r="A4272">
        <v>3693583</v>
      </c>
      <c r="B4272">
        <v>30065</v>
      </c>
      <c r="C4272">
        <v>302372</v>
      </c>
      <c r="D4272">
        <v>21883</v>
      </c>
    </row>
    <row r="4273" spans="1:4" x14ac:dyDescent="0.2">
      <c r="A4273">
        <v>3693583</v>
      </c>
      <c r="B4273">
        <v>30066</v>
      </c>
      <c r="C4273">
        <v>302436</v>
      </c>
      <c r="D4273">
        <v>21883</v>
      </c>
    </row>
    <row r="4274" spans="1:4" x14ac:dyDescent="0.2">
      <c r="A4274">
        <v>3693583</v>
      </c>
      <c r="B4274">
        <v>30067</v>
      </c>
      <c r="C4274">
        <v>302453</v>
      </c>
      <c r="D4274">
        <v>21883</v>
      </c>
    </row>
    <row r="4275" spans="1:4" x14ac:dyDescent="0.2">
      <c r="A4275">
        <v>3693584</v>
      </c>
      <c r="B4275">
        <v>30061</v>
      </c>
      <c r="C4275">
        <v>302334</v>
      </c>
      <c r="D4275">
        <v>21883</v>
      </c>
    </row>
    <row r="4276" spans="1:4" x14ac:dyDescent="0.2">
      <c r="A4276">
        <v>3693584</v>
      </c>
      <c r="B4276">
        <v>30062</v>
      </c>
      <c r="C4276">
        <v>302355</v>
      </c>
      <c r="D4276">
        <v>21883</v>
      </c>
    </row>
    <row r="4277" spans="1:4" x14ac:dyDescent="0.2">
      <c r="A4277">
        <v>3693584</v>
      </c>
      <c r="B4277">
        <v>30063</v>
      </c>
      <c r="C4277">
        <v>302357</v>
      </c>
      <c r="D4277">
        <v>21883</v>
      </c>
    </row>
    <row r="4278" spans="1:4" x14ac:dyDescent="0.2">
      <c r="A4278">
        <v>3693584</v>
      </c>
      <c r="B4278">
        <v>30064</v>
      </c>
      <c r="C4278">
        <v>302362</v>
      </c>
      <c r="D4278">
        <v>21883</v>
      </c>
    </row>
    <row r="4279" spans="1:4" x14ac:dyDescent="0.2">
      <c r="A4279">
        <v>3693584</v>
      </c>
      <c r="B4279">
        <v>30065</v>
      </c>
      <c r="C4279">
        <v>302332</v>
      </c>
      <c r="D4279">
        <v>21883</v>
      </c>
    </row>
    <row r="4280" spans="1:4" x14ac:dyDescent="0.2">
      <c r="A4280">
        <v>3693584</v>
      </c>
      <c r="B4280">
        <v>30066</v>
      </c>
      <c r="C4280">
        <v>302436</v>
      </c>
      <c r="D4280">
        <v>21883</v>
      </c>
    </row>
    <row r="4281" spans="1:4" x14ac:dyDescent="0.2">
      <c r="A4281">
        <v>3693584</v>
      </c>
      <c r="B4281">
        <v>30067</v>
      </c>
      <c r="C4281">
        <v>302453</v>
      </c>
      <c r="D4281">
        <v>21883</v>
      </c>
    </row>
    <row r="4282" spans="1:4" x14ac:dyDescent="0.2">
      <c r="A4282">
        <v>3693585</v>
      </c>
      <c r="B4282">
        <v>30063</v>
      </c>
      <c r="C4282">
        <v>302357</v>
      </c>
      <c r="D4282">
        <v>21883</v>
      </c>
    </row>
    <row r="4283" spans="1:4" x14ac:dyDescent="0.2">
      <c r="A4283">
        <v>3693585</v>
      </c>
      <c r="B4283">
        <v>30064</v>
      </c>
      <c r="C4283">
        <v>302359</v>
      </c>
      <c r="D4283">
        <v>21883</v>
      </c>
    </row>
    <row r="4284" spans="1:4" x14ac:dyDescent="0.2">
      <c r="A4284">
        <v>3693585</v>
      </c>
      <c r="B4284">
        <v>30065</v>
      </c>
      <c r="C4284">
        <v>302372</v>
      </c>
      <c r="D4284">
        <v>21883</v>
      </c>
    </row>
    <row r="4285" spans="1:4" x14ac:dyDescent="0.2">
      <c r="A4285">
        <v>3693585</v>
      </c>
      <c r="B4285">
        <v>30066</v>
      </c>
      <c r="C4285">
        <v>302436</v>
      </c>
      <c r="D4285">
        <v>21883</v>
      </c>
    </row>
    <row r="4286" spans="1:4" x14ac:dyDescent="0.2">
      <c r="A4286">
        <v>3693585</v>
      </c>
      <c r="B4286">
        <v>30067</v>
      </c>
      <c r="C4286">
        <v>302453</v>
      </c>
      <c r="D4286">
        <v>21883</v>
      </c>
    </row>
    <row r="4287" spans="1:4" x14ac:dyDescent="0.2">
      <c r="A4287">
        <v>3693586</v>
      </c>
      <c r="B4287">
        <v>30063</v>
      </c>
      <c r="C4287">
        <v>302357</v>
      </c>
      <c r="D4287">
        <v>21883</v>
      </c>
    </row>
    <row r="4288" spans="1:4" x14ac:dyDescent="0.2">
      <c r="A4288">
        <v>3693586</v>
      </c>
      <c r="B4288">
        <v>30064</v>
      </c>
      <c r="C4288">
        <v>302359</v>
      </c>
      <c r="D4288">
        <v>21883</v>
      </c>
    </row>
    <row r="4289" spans="1:4" x14ac:dyDescent="0.2">
      <c r="A4289">
        <v>3693586</v>
      </c>
      <c r="B4289">
        <v>30065</v>
      </c>
      <c r="C4289">
        <v>302372</v>
      </c>
      <c r="D4289">
        <v>21883</v>
      </c>
    </row>
    <row r="4290" spans="1:4" x14ac:dyDescent="0.2">
      <c r="A4290">
        <v>3693586</v>
      </c>
      <c r="B4290">
        <v>30066</v>
      </c>
      <c r="C4290">
        <v>302436</v>
      </c>
      <c r="D4290">
        <v>21883</v>
      </c>
    </row>
    <row r="4291" spans="1:4" x14ac:dyDescent="0.2">
      <c r="A4291">
        <v>3693586</v>
      </c>
      <c r="B4291">
        <v>30067</v>
      </c>
      <c r="C4291">
        <v>302453</v>
      </c>
      <c r="D4291">
        <v>21883</v>
      </c>
    </row>
    <row r="4292" spans="1:4" x14ac:dyDescent="0.2">
      <c r="A4292">
        <v>3693587</v>
      </c>
      <c r="B4292">
        <v>30063</v>
      </c>
      <c r="C4292">
        <v>302357</v>
      </c>
      <c r="D4292">
        <v>21883</v>
      </c>
    </row>
    <row r="4293" spans="1:4" x14ac:dyDescent="0.2">
      <c r="A4293">
        <v>3693587</v>
      </c>
      <c r="B4293">
        <v>30064</v>
      </c>
      <c r="C4293">
        <v>302362</v>
      </c>
      <c r="D4293">
        <v>21883</v>
      </c>
    </row>
    <row r="4294" spans="1:4" x14ac:dyDescent="0.2">
      <c r="A4294">
        <v>3693587</v>
      </c>
      <c r="B4294">
        <v>30065</v>
      </c>
      <c r="C4294">
        <v>302372</v>
      </c>
      <c r="D4294">
        <v>21883</v>
      </c>
    </row>
    <row r="4295" spans="1:4" x14ac:dyDescent="0.2">
      <c r="A4295">
        <v>3693587</v>
      </c>
      <c r="B4295">
        <v>30066</v>
      </c>
      <c r="C4295">
        <v>302436</v>
      </c>
      <c r="D4295">
        <v>21883</v>
      </c>
    </row>
    <row r="4296" spans="1:4" x14ac:dyDescent="0.2">
      <c r="A4296">
        <v>3693587</v>
      </c>
      <c r="B4296">
        <v>30067</v>
      </c>
      <c r="C4296">
        <v>302453</v>
      </c>
      <c r="D4296">
        <v>21883</v>
      </c>
    </row>
    <row r="4297" spans="1:4" x14ac:dyDescent="0.2">
      <c r="A4297">
        <v>3693588</v>
      </c>
      <c r="B4297">
        <v>30063</v>
      </c>
      <c r="C4297">
        <v>302357</v>
      </c>
      <c r="D4297">
        <v>21883</v>
      </c>
    </row>
    <row r="4298" spans="1:4" x14ac:dyDescent="0.2">
      <c r="A4298">
        <v>3693588</v>
      </c>
      <c r="B4298">
        <v>30064</v>
      </c>
      <c r="C4298">
        <v>302362</v>
      </c>
      <c r="D4298">
        <v>21883</v>
      </c>
    </row>
    <row r="4299" spans="1:4" x14ac:dyDescent="0.2">
      <c r="A4299">
        <v>3693588</v>
      </c>
      <c r="B4299">
        <v>30065</v>
      </c>
      <c r="C4299">
        <v>302372</v>
      </c>
      <c r="D4299">
        <v>21883</v>
      </c>
    </row>
    <row r="4300" spans="1:4" x14ac:dyDescent="0.2">
      <c r="A4300">
        <v>3693588</v>
      </c>
      <c r="B4300">
        <v>30066</v>
      </c>
      <c r="C4300">
        <v>302436</v>
      </c>
      <c r="D4300">
        <v>21883</v>
      </c>
    </row>
    <row r="4301" spans="1:4" x14ac:dyDescent="0.2">
      <c r="A4301">
        <v>3693588</v>
      </c>
      <c r="B4301">
        <v>30067</v>
      </c>
      <c r="C4301">
        <v>302453</v>
      </c>
      <c r="D4301">
        <v>21883</v>
      </c>
    </row>
    <row r="4302" spans="1:4" x14ac:dyDescent="0.2">
      <c r="A4302">
        <v>3693589</v>
      </c>
      <c r="B4302">
        <v>30063</v>
      </c>
      <c r="C4302">
        <v>302357</v>
      </c>
      <c r="D4302">
        <v>21883</v>
      </c>
    </row>
    <row r="4303" spans="1:4" x14ac:dyDescent="0.2">
      <c r="A4303">
        <v>3693589</v>
      </c>
      <c r="B4303">
        <v>30064</v>
      </c>
      <c r="C4303">
        <v>302362</v>
      </c>
      <c r="D4303">
        <v>21883</v>
      </c>
    </row>
    <row r="4304" spans="1:4" x14ac:dyDescent="0.2">
      <c r="A4304">
        <v>3693589</v>
      </c>
      <c r="B4304">
        <v>30065</v>
      </c>
      <c r="C4304">
        <v>302372</v>
      </c>
      <c r="D4304">
        <v>21883</v>
      </c>
    </row>
    <row r="4305" spans="1:4" x14ac:dyDescent="0.2">
      <c r="A4305">
        <v>3693589</v>
      </c>
      <c r="B4305">
        <v>30066</v>
      </c>
      <c r="C4305">
        <v>302436</v>
      </c>
      <c r="D4305">
        <v>21883</v>
      </c>
    </row>
    <row r="4306" spans="1:4" x14ac:dyDescent="0.2">
      <c r="A4306">
        <v>3693589</v>
      </c>
      <c r="B4306">
        <v>30067</v>
      </c>
      <c r="C4306">
        <v>302453</v>
      </c>
      <c r="D4306">
        <v>21883</v>
      </c>
    </row>
    <row r="4307" spans="1:4" x14ac:dyDescent="0.2">
      <c r="A4307">
        <v>3693590</v>
      </c>
      <c r="B4307">
        <v>30061</v>
      </c>
      <c r="C4307">
        <v>302333</v>
      </c>
      <c r="D4307">
        <v>21883</v>
      </c>
    </row>
    <row r="4308" spans="1:4" x14ac:dyDescent="0.2">
      <c r="A4308">
        <v>3693590</v>
      </c>
      <c r="B4308">
        <v>30062</v>
      </c>
      <c r="C4308">
        <v>302355</v>
      </c>
      <c r="D4308">
        <v>21883</v>
      </c>
    </row>
    <row r="4309" spans="1:4" x14ac:dyDescent="0.2">
      <c r="A4309">
        <v>3693590</v>
      </c>
      <c r="B4309">
        <v>30063</v>
      </c>
      <c r="C4309">
        <v>302357</v>
      </c>
      <c r="D4309">
        <v>21883</v>
      </c>
    </row>
    <row r="4310" spans="1:4" x14ac:dyDescent="0.2">
      <c r="A4310">
        <v>3693590</v>
      </c>
      <c r="B4310">
        <v>30064</v>
      </c>
      <c r="C4310">
        <v>302382</v>
      </c>
      <c r="D4310">
        <v>21883</v>
      </c>
    </row>
    <row r="4311" spans="1:4" x14ac:dyDescent="0.2">
      <c r="A4311">
        <v>3693590</v>
      </c>
      <c r="B4311">
        <v>30065</v>
      </c>
      <c r="C4311">
        <v>302332</v>
      </c>
      <c r="D4311">
        <v>21883</v>
      </c>
    </row>
    <row r="4312" spans="1:4" x14ac:dyDescent="0.2">
      <c r="A4312">
        <v>3693590</v>
      </c>
      <c r="B4312">
        <v>30066</v>
      </c>
      <c r="C4312">
        <v>302436</v>
      </c>
      <c r="D4312">
        <v>21883</v>
      </c>
    </row>
    <row r="4313" spans="1:4" x14ac:dyDescent="0.2">
      <c r="A4313">
        <v>3693590</v>
      </c>
      <c r="B4313">
        <v>30067</v>
      </c>
      <c r="C4313">
        <v>302456</v>
      </c>
      <c r="D4313">
        <v>21883</v>
      </c>
    </row>
    <row r="4314" spans="1:4" x14ac:dyDescent="0.2">
      <c r="A4314">
        <v>3693591</v>
      </c>
      <c r="B4314">
        <v>30061</v>
      </c>
      <c r="C4314">
        <v>302337</v>
      </c>
      <c r="D4314">
        <v>21883</v>
      </c>
    </row>
    <row r="4315" spans="1:4" x14ac:dyDescent="0.2">
      <c r="A4315">
        <v>3693591</v>
      </c>
      <c r="B4315">
        <v>30063</v>
      </c>
      <c r="C4315">
        <v>302357</v>
      </c>
      <c r="D4315">
        <v>21883</v>
      </c>
    </row>
    <row r="4316" spans="1:4" x14ac:dyDescent="0.2">
      <c r="A4316">
        <v>3693591</v>
      </c>
      <c r="B4316">
        <v>30064</v>
      </c>
      <c r="C4316">
        <v>302369</v>
      </c>
      <c r="D4316">
        <v>21883</v>
      </c>
    </row>
    <row r="4317" spans="1:4" x14ac:dyDescent="0.2">
      <c r="A4317">
        <v>3693591</v>
      </c>
      <c r="B4317">
        <v>30065</v>
      </c>
      <c r="C4317">
        <v>302372</v>
      </c>
      <c r="D4317">
        <v>21883</v>
      </c>
    </row>
    <row r="4318" spans="1:4" x14ac:dyDescent="0.2">
      <c r="A4318">
        <v>3693591</v>
      </c>
      <c r="B4318">
        <v>30066</v>
      </c>
      <c r="C4318">
        <v>302436</v>
      </c>
      <c r="D4318">
        <v>21883</v>
      </c>
    </row>
    <row r="4319" spans="1:4" x14ac:dyDescent="0.2">
      <c r="A4319">
        <v>3693591</v>
      </c>
      <c r="B4319">
        <v>30067</v>
      </c>
      <c r="C4319">
        <v>302456</v>
      </c>
      <c r="D4319">
        <v>21883</v>
      </c>
    </row>
    <row r="4320" spans="1:4" x14ac:dyDescent="0.2">
      <c r="A4320">
        <v>3693592</v>
      </c>
      <c r="B4320">
        <v>30061</v>
      </c>
      <c r="C4320">
        <v>302337</v>
      </c>
      <c r="D4320">
        <v>21883</v>
      </c>
    </row>
    <row r="4321" spans="1:4" x14ac:dyDescent="0.2">
      <c r="A4321">
        <v>3693592</v>
      </c>
      <c r="B4321">
        <v>30063</v>
      </c>
      <c r="C4321">
        <v>302357</v>
      </c>
      <c r="D4321">
        <v>21883</v>
      </c>
    </row>
    <row r="4322" spans="1:4" x14ac:dyDescent="0.2">
      <c r="A4322">
        <v>3693592</v>
      </c>
      <c r="B4322">
        <v>30064</v>
      </c>
      <c r="C4322">
        <v>302419</v>
      </c>
      <c r="D4322">
        <v>21883</v>
      </c>
    </row>
    <row r="4323" spans="1:4" x14ac:dyDescent="0.2">
      <c r="A4323">
        <v>3693592</v>
      </c>
      <c r="B4323">
        <v>30065</v>
      </c>
      <c r="C4323">
        <v>302372</v>
      </c>
      <c r="D4323">
        <v>21883</v>
      </c>
    </row>
    <row r="4324" spans="1:4" x14ac:dyDescent="0.2">
      <c r="A4324">
        <v>3693592</v>
      </c>
      <c r="B4324">
        <v>30066</v>
      </c>
      <c r="C4324">
        <v>302436</v>
      </c>
      <c r="D4324">
        <v>21883</v>
      </c>
    </row>
    <row r="4325" spans="1:4" x14ac:dyDescent="0.2">
      <c r="A4325">
        <v>3693592</v>
      </c>
      <c r="B4325">
        <v>30067</v>
      </c>
      <c r="C4325">
        <v>302456</v>
      </c>
      <c r="D4325">
        <v>21883</v>
      </c>
    </row>
    <row r="4326" spans="1:4" x14ac:dyDescent="0.2">
      <c r="A4326">
        <v>3693593</v>
      </c>
      <c r="B4326">
        <v>30061</v>
      </c>
      <c r="C4326">
        <v>302337</v>
      </c>
      <c r="D4326">
        <v>21883</v>
      </c>
    </row>
    <row r="4327" spans="1:4" x14ac:dyDescent="0.2">
      <c r="A4327">
        <v>3693593</v>
      </c>
      <c r="B4327">
        <v>30063</v>
      </c>
      <c r="C4327">
        <v>302357</v>
      </c>
      <c r="D4327">
        <v>21883</v>
      </c>
    </row>
    <row r="4328" spans="1:4" x14ac:dyDescent="0.2">
      <c r="A4328">
        <v>3693593</v>
      </c>
      <c r="B4328">
        <v>30064</v>
      </c>
      <c r="C4328">
        <v>302369</v>
      </c>
      <c r="D4328">
        <v>21883</v>
      </c>
    </row>
    <row r="4329" spans="1:4" x14ac:dyDescent="0.2">
      <c r="A4329">
        <v>3693593</v>
      </c>
      <c r="B4329">
        <v>30065</v>
      </c>
      <c r="C4329">
        <v>302372</v>
      </c>
      <c r="D4329">
        <v>21883</v>
      </c>
    </row>
    <row r="4330" spans="1:4" x14ac:dyDescent="0.2">
      <c r="A4330">
        <v>3693593</v>
      </c>
      <c r="B4330">
        <v>30066</v>
      </c>
      <c r="C4330">
        <v>302436</v>
      </c>
      <c r="D4330">
        <v>21883</v>
      </c>
    </row>
    <row r="4331" spans="1:4" x14ac:dyDescent="0.2">
      <c r="A4331">
        <v>3693593</v>
      </c>
      <c r="B4331">
        <v>30067</v>
      </c>
      <c r="C4331">
        <v>302456</v>
      </c>
      <c r="D4331">
        <v>21883</v>
      </c>
    </row>
    <row r="4332" spans="1:4" x14ac:dyDescent="0.2">
      <c r="A4332">
        <v>3693594</v>
      </c>
      <c r="B4332">
        <v>30061</v>
      </c>
      <c r="C4332">
        <v>302333</v>
      </c>
      <c r="D4332">
        <v>21883</v>
      </c>
    </row>
    <row r="4333" spans="1:4" x14ac:dyDescent="0.2">
      <c r="A4333">
        <v>3693594</v>
      </c>
      <c r="B4333">
        <v>30062</v>
      </c>
      <c r="C4333">
        <v>302355</v>
      </c>
      <c r="D4333">
        <v>21883</v>
      </c>
    </row>
    <row r="4334" spans="1:4" x14ac:dyDescent="0.2">
      <c r="A4334">
        <v>3693594</v>
      </c>
      <c r="B4334">
        <v>30063</v>
      </c>
      <c r="C4334">
        <v>302357</v>
      </c>
      <c r="D4334">
        <v>21883</v>
      </c>
    </row>
    <row r="4335" spans="1:4" x14ac:dyDescent="0.2">
      <c r="A4335">
        <v>3693594</v>
      </c>
      <c r="B4335">
        <v>30064</v>
      </c>
      <c r="C4335">
        <v>302369</v>
      </c>
      <c r="D4335">
        <v>21883</v>
      </c>
    </row>
    <row r="4336" spans="1:4" x14ac:dyDescent="0.2">
      <c r="A4336">
        <v>3693594</v>
      </c>
      <c r="B4336">
        <v>30065</v>
      </c>
      <c r="C4336">
        <v>302332</v>
      </c>
      <c r="D4336">
        <v>21883</v>
      </c>
    </row>
    <row r="4337" spans="1:4" x14ac:dyDescent="0.2">
      <c r="A4337">
        <v>3693594</v>
      </c>
      <c r="B4337">
        <v>30066</v>
      </c>
      <c r="C4337">
        <v>302436</v>
      </c>
      <c r="D4337">
        <v>21883</v>
      </c>
    </row>
    <row r="4338" spans="1:4" x14ac:dyDescent="0.2">
      <c r="A4338">
        <v>3693594</v>
      </c>
      <c r="B4338">
        <v>30067</v>
      </c>
      <c r="C4338">
        <v>302456</v>
      </c>
      <c r="D4338">
        <v>21883</v>
      </c>
    </row>
    <row r="4339" spans="1:4" x14ac:dyDescent="0.2">
      <c r="A4339">
        <v>3693595</v>
      </c>
      <c r="B4339">
        <v>30061</v>
      </c>
      <c r="C4339">
        <v>302337</v>
      </c>
      <c r="D4339">
        <v>21883</v>
      </c>
    </row>
    <row r="4340" spans="1:4" x14ac:dyDescent="0.2">
      <c r="A4340">
        <v>3693595</v>
      </c>
      <c r="B4340">
        <v>30063</v>
      </c>
      <c r="C4340">
        <v>302357</v>
      </c>
      <c r="D4340">
        <v>21883</v>
      </c>
    </row>
    <row r="4341" spans="1:4" x14ac:dyDescent="0.2">
      <c r="A4341">
        <v>3693595</v>
      </c>
      <c r="B4341">
        <v>30064</v>
      </c>
      <c r="C4341">
        <v>302368</v>
      </c>
      <c r="D4341">
        <v>21883</v>
      </c>
    </row>
    <row r="4342" spans="1:4" x14ac:dyDescent="0.2">
      <c r="A4342">
        <v>3693595</v>
      </c>
      <c r="B4342">
        <v>30065</v>
      </c>
      <c r="C4342">
        <v>302372</v>
      </c>
      <c r="D4342">
        <v>21883</v>
      </c>
    </row>
    <row r="4343" spans="1:4" x14ac:dyDescent="0.2">
      <c r="A4343">
        <v>3693595</v>
      </c>
      <c r="B4343">
        <v>30066</v>
      </c>
      <c r="C4343">
        <v>302436</v>
      </c>
      <c r="D4343">
        <v>21883</v>
      </c>
    </row>
    <row r="4344" spans="1:4" x14ac:dyDescent="0.2">
      <c r="A4344">
        <v>3693595</v>
      </c>
      <c r="B4344">
        <v>30067</v>
      </c>
      <c r="C4344">
        <v>302456</v>
      </c>
      <c r="D4344">
        <v>21883</v>
      </c>
    </row>
    <row r="4345" spans="1:4" x14ac:dyDescent="0.2">
      <c r="A4345">
        <v>3693596</v>
      </c>
      <c r="B4345">
        <v>30063</v>
      </c>
      <c r="C4345">
        <v>302357</v>
      </c>
      <c r="D4345">
        <v>21883</v>
      </c>
    </row>
    <row r="4346" spans="1:4" x14ac:dyDescent="0.2">
      <c r="A4346">
        <v>3693596</v>
      </c>
      <c r="B4346">
        <v>30064</v>
      </c>
      <c r="C4346">
        <v>302382</v>
      </c>
      <c r="D4346">
        <v>21883</v>
      </c>
    </row>
    <row r="4347" spans="1:4" x14ac:dyDescent="0.2">
      <c r="A4347">
        <v>3693596</v>
      </c>
      <c r="B4347">
        <v>30065</v>
      </c>
      <c r="C4347">
        <v>302372</v>
      </c>
      <c r="D4347">
        <v>21883</v>
      </c>
    </row>
    <row r="4348" spans="1:4" x14ac:dyDescent="0.2">
      <c r="A4348">
        <v>3693596</v>
      </c>
      <c r="B4348">
        <v>30066</v>
      </c>
      <c r="C4348">
        <v>302436</v>
      </c>
      <c r="D4348">
        <v>21883</v>
      </c>
    </row>
    <row r="4349" spans="1:4" x14ac:dyDescent="0.2">
      <c r="A4349">
        <v>3693596</v>
      </c>
      <c r="B4349">
        <v>30067</v>
      </c>
      <c r="C4349">
        <v>302456</v>
      </c>
      <c r="D4349">
        <v>21883</v>
      </c>
    </row>
    <row r="4350" spans="1:4" x14ac:dyDescent="0.2">
      <c r="A4350">
        <v>3693597</v>
      </c>
      <c r="B4350">
        <v>30063</v>
      </c>
      <c r="C4350">
        <v>302357</v>
      </c>
      <c r="D4350">
        <v>21883</v>
      </c>
    </row>
    <row r="4351" spans="1:4" x14ac:dyDescent="0.2">
      <c r="A4351">
        <v>3693597</v>
      </c>
      <c r="B4351">
        <v>30064</v>
      </c>
      <c r="C4351">
        <v>302382</v>
      </c>
      <c r="D4351">
        <v>21883</v>
      </c>
    </row>
    <row r="4352" spans="1:4" x14ac:dyDescent="0.2">
      <c r="A4352">
        <v>3693597</v>
      </c>
      <c r="B4352">
        <v>30065</v>
      </c>
      <c r="C4352">
        <v>302372</v>
      </c>
      <c r="D4352">
        <v>21883</v>
      </c>
    </row>
    <row r="4353" spans="1:4" x14ac:dyDescent="0.2">
      <c r="A4353">
        <v>3693597</v>
      </c>
      <c r="B4353">
        <v>30066</v>
      </c>
      <c r="C4353">
        <v>302436</v>
      </c>
      <c r="D4353">
        <v>21883</v>
      </c>
    </row>
    <row r="4354" spans="1:4" x14ac:dyDescent="0.2">
      <c r="A4354">
        <v>3693597</v>
      </c>
      <c r="B4354">
        <v>30067</v>
      </c>
      <c r="C4354">
        <v>302456</v>
      </c>
      <c r="D4354">
        <v>21883</v>
      </c>
    </row>
    <row r="4355" spans="1:4" x14ac:dyDescent="0.2">
      <c r="A4355">
        <v>3693598</v>
      </c>
      <c r="B4355">
        <v>30061</v>
      </c>
      <c r="C4355">
        <v>302337</v>
      </c>
      <c r="D4355">
        <v>21883</v>
      </c>
    </row>
    <row r="4356" spans="1:4" x14ac:dyDescent="0.2">
      <c r="A4356">
        <v>3693598</v>
      </c>
      <c r="B4356">
        <v>30063</v>
      </c>
      <c r="C4356">
        <v>302357</v>
      </c>
      <c r="D4356">
        <v>21883</v>
      </c>
    </row>
    <row r="4357" spans="1:4" x14ac:dyDescent="0.2">
      <c r="A4357">
        <v>3693598</v>
      </c>
      <c r="B4357">
        <v>30064</v>
      </c>
      <c r="C4357">
        <v>302369</v>
      </c>
      <c r="D4357">
        <v>21883</v>
      </c>
    </row>
    <row r="4358" spans="1:4" x14ac:dyDescent="0.2">
      <c r="A4358">
        <v>3693598</v>
      </c>
      <c r="B4358">
        <v>30065</v>
      </c>
      <c r="C4358">
        <v>302372</v>
      </c>
      <c r="D4358">
        <v>21883</v>
      </c>
    </row>
    <row r="4359" spans="1:4" x14ac:dyDescent="0.2">
      <c r="A4359">
        <v>3693598</v>
      </c>
      <c r="B4359">
        <v>30066</v>
      </c>
      <c r="C4359">
        <v>302436</v>
      </c>
      <c r="D4359">
        <v>21883</v>
      </c>
    </row>
    <row r="4360" spans="1:4" x14ac:dyDescent="0.2">
      <c r="A4360">
        <v>3693598</v>
      </c>
      <c r="B4360">
        <v>30067</v>
      </c>
      <c r="C4360">
        <v>302456</v>
      </c>
      <c r="D4360">
        <v>21883</v>
      </c>
    </row>
    <row r="4361" spans="1:4" x14ac:dyDescent="0.2">
      <c r="A4361">
        <v>3693599</v>
      </c>
      <c r="B4361">
        <v>30061</v>
      </c>
      <c r="C4361">
        <v>302337</v>
      </c>
      <c r="D4361">
        <v>21883</v>
      </c>
    </row>
    <row r="4362" spans="1:4" x14ac:dyDescent="0.2">
      <c r="A4362">
        <v>3693599</v>
      </c>
      <c r="B4362">
        <v>30063</v>
      </c>
      <c r="C4362">
        <v>302357</v>
      </c>
      <c r="D4362">
        <v>21883</v>
      </c>
    </row>
    <row r="4363" spans="1:4" x14ac:dyDescent="0.2">
      <c r="A4363">
        <v>3693599</v>
      </c>
      <c r="B4363">
        <v>30064</v>
      </c>
      <c r="C4363">
        <v>302369</v>
      </c>
      <c r="D4363">
        <v>21883</v>
      </c>
    </row>
    <row r="4364" spans="1:4" x14ac:dyDescent="0.2">
      <c r="A4364">
        <v>3693599</v>
      </c>
      <c r="B4364">
        <v>30065</v>
      </c>
      <c r="C4364">
        <v>302372</v>
      </c>
      <c r="D4364">
        <v>21883</v>
      </c>
    </row>
    <row r="4365" spans="1:4" x14ac:dyDescent="0.2">
      <c r="A4365">
        <v>3693599</v>
      </c>
      <c r="B4365">
        <v>30066</v>
      </c>
      <c r="C4365">
        <v>302436</v>
      </c>
      <c r="D4365">
        <v>21883</v>
      </c>
    </row>
    <row r="4366" spans="1:4" x14ac:dyDescent="0.2">
      <c r="A4366">
        <v>3693599</v>
      </c>
      <c r="B4366">
        <v>30067</v>
      </c>
      <c r="C4366">
        <v>302456</v>
      </c>
      <c r="D4366">
        <v>21883</v>
      </c>
    </row>
    <row r="4367" spans="1:4" x14ac:dyDescent="0.2">
      <c r="A4367">
        <v>3693600</v>
      </c>
      <c r="B4367">
        <v>30061</v>
      </c>
      <c r="C4367">
        <v>302337</v>
      </c>
      <c r="D4367">
        <v>21883</v>
      </c>
    </row>
    <row r="4368" spans="1:4" x14ac:dyDescent="0.2">
      <c r="A4368">
        <v>3693600</v>
      </c>
      <c r="B4368">
        <v>30063</v>
      </c>
      <c r="C4368">
        <v>302357</v>
      </c>
      <c r="D4368">
        <v>21883</v>
      </c>
    </row>
    <row r="4369" spans="1:4" x14ac:dyDescent="0.2">
      <c r="A4369">
        <v>3693600</v>
      </c>
      <c r="B4369">
        <v>30064</v>
      </c>
      <c r="C4369">
        <v>302369</v>
      </c>
      <c r="D4369">
        <v>21883</v>
      </c>
    </row>
    <row r="4370" spans="1:4" x14ac:dyDescent="0.2">
      <c r="A4370">
        <v>3693600</v>
      </c>
      <c r="B4370">
        <v>30065</v>
      </c>
      <c r="C4370">
        <v>302372</v>
      </c>
      <c r="D4370">
        <v>21883</v>
      </c>
    </row>
    <row r="4371" spans="1:4" x14ac:dyDescent="0.2">
      <c r="A4371">
        <v>3693600</v>
      </c>
      <c r="B4371">
        <v>30066</v>
      </c>
      <c r="C4371">
        <v>302436</v>
      </c>
      <c r="D4371">
        <v>21883</v>
      </c>
    </row>
    <row r="4372" spans="1:4" x14ac:dyDescent="0.2">
      <c r="A4372">
        <v>3693600</v>
      </c>
      <c r="B4372">
        <v>30067</v>
      </c>
      <c r="C4372">
        <v>302456</v>
      </c>
      <c r="D4372">
        <v>21883</v>
      </c>
    </row>
    <row r="4373" spans="1:4" x14ac:dyDescent="0.2">
      <c r="A4373">
        <v>3693601</v>
      </c>
      <c r="B4373">
        <v>30061</v>
      </c>
      <c r="C4373">
        <v>302337</v>
      </c>
      <c r="D4373">
        <v>21883</v>
      </c>
    </row>
    <row r="4374" spans="1:4" x14ac:dyDescent="0.2">
      <c r="A4374">
        <v>3693601</v>
      </c>
      <c r="B4374">
        <v>30063</v>
      </c>
      <c r="C4374">
        <v>302357</v>
      </c>
      <c r="D4374">
        <v>21883</v>
      </c>
    </row>
    <row r="4375" spans="1:4" x14ac:dyDescent="0.2">
      <c r="A4375">
        <v>3693601</v>
      </c>
      <c r="B4375">
        <v>30064</v>
      </c>
      <c r="C4375">
        <v>302369</v>
      </c>
      <c r="D4375">
        <v>21883</v>
      </c>
    </row>
    <row r="4376" spans="1:4" x14ac:dyDescent="0.2">
      <c r="A4376">
        <v>3693601</v>
      </c>
      <c r="B4376">
        <v>30065</v>
      </c>
      <c r="C4376">
        <v>302372</v>
      </c>
      <c r="D4376">
        <v>21883</v>
      </c>
    </row>
    <row r="4377" spans="1:4" x14ac:dyDescent="0.2">
      <c r="A4377">
        <v>3693601</v>
      </c>
      <c r="B4377">
        <v>30066</v>
      </c>
      <c r="C4377">
        <v>302436</v>
      </c>
      <c r="D4377">
        <v>21883</v>
      </c>
    </row>
    <row r="4378" spans="1:4" x14ac:dyDescent="0.2">
      <c r="A4378">
        <v>3693601</v>
      </c>
      <c r="B4378">
        <v>30067</v>
      </c>
      <c r="C4378">
        <v>302456</v>
      </c>
      <c r="D4378">
        <v>21883</v>
      </c>
    </row>
    <row r="4379" spans="1:4" x14ac:dyDescent="0.2">
      <c r="A4379">
        <v>3693602</v>
      </c>
      <c r="B4379">
        <v>30061</v>
      </c>
      <c r="C4379">
        <v>302337</v>
      </c>
      <c r="D4379">
        <v>21883</v>
      </c>
    </row>
    <row r="4380" spans="1:4" x14ac:dyDescent="0.2">
      <c r="A4380">
        <v>3693602</v>
      </c>
      <c r="B4380">
        <v>30063</v>
      </c>
      <c r="C4380">
        <v>302357</v>
      </c>
      <c r="D4380">
        <v>21883</v>
      </c>
    </row>
    <row r="4381" spans="1:4" x14ac:dyDescent="0.2">
      <c r="A4381">
        <v>3693602</v>
      </c>
      <c r="B4381">
        <v>30064</v>
      </c>
      <c r="C4381">
        <v>302369</v>
      </c>
      <c r="D4381">
        <v>21883</v>
      </c>
    </row>
    <row r="4382" spans="1:4" x14ac:dyDescent="0.2">
      <c r="A4382">
        <v>3693602</v>
      </c>
      <c r="B4382">
        <v>30065</v>
      </c>
      <c r="C4382">
        <v>302372</v>
      </c>
      <c r="D4382">
        <v>21883</v>
      </c>
    </row>
    <row r="4383" spans="1:4" x14ac:dyDescent="0.2">
      <c r="A4383">
        <v>3693602</v>
      </c>
      <c r="B4383">
        <v>30066</v>
      </c>
      <c r="C4383">
        <v>302436</v>
      </c>
      <c r="D4383">
        <v>21883</v>
      </c>
    </row>
    <row r="4384" spans="1:4" x14ac:dyDescent="0.2">
      <c r="A4384">
        <v>3693602</v>
      </c>
      <c r="B4384">
        <v>30067</v>
      </c>
      <c r="C4384">
        <v>302456</v>
      </c>
      <c r="D4384">
        <v>21883</v>
      </c>
    </row>
    <row r="4385" spans="1:4" x14ac:dyDescent="0.2">
      <c r="A4385">
        <v>3693603</v>
      </c>
      <c r="B4385">
        <v>30063</v>
      </c>
      <c r="C4385">
        <v>302357</v>
      </c>
      <c r="D4385">
        <v>21883</v>
      </c>
    </row>
    <row r="4386" spans="1:4" x14ac:dyDescent="0.2">
      <c r="A4386">
        <v>3693603</v>
      </c>
      <c r="B4386">
        <v>30064</v>
      </c>
      <c r="C4386">
        <v>302369</v>
      </c>
      <c r="D4386">
        <v>21883</v>
      </c>
    </row>
    <row r="4387" spans="1:4" x14ac:dyDescent="0.2">
      <c r="A4387">
        <v>3693603</v>
      </c>
      <c r="B4387">
        <v>30065</v>
      </c>
      <c r="C4387">
        <v>302372</v>
      </c>
      <c r="D4387">
        <v>21883</v>
      </c>
    </row>
    <row r="4388" spans="1:4" x14ac:dyDescent="0.2">
      <c r="A4388">
        <v>3693603</v>
      </c>
      <c r="B4388">
        <v>30066</v>
      </c>
      <c r="C4388">
        <v>302436</v>
      </c>
      <c r="D4388">
        <v>21883</v>
      </c>
    </row>
    <row r="4389" spans="1:4" x14ac:dyDescent="0.2">
      <c r="A4389">
        <v>3693603</v>
      </c>
      <c r="B4389">
        <v>30067</v>
      </c>
      <c r="C4389">
        <v>302456</v>
      </c>
      <c r="D4389">
        <v>21883</v>
      </c>
    </row>
    <row r="4390" spans="1:4" x14ac:dyDescent="0.2">
      <c r="A4390">
        <v>3693604</v>
      </c>
      <c r="B4390">
        <v>30063</v>
      </c>
      <c r="C4390">
        <v>302357</v>
      </c>
      <c r="D4390">
        <v>21883</v>
      </c>
    </row>
    <row r="4391" spans="1:4" x14ac:dyDescent="0.2">
      <c r="A4391">
        <v>3693604</v>
      </c>
      <c r="B4391">
        <v>30064</v>
      </c>
      <c r="C4391">
        <v>302369</v>
      </c>
      <c r="D4391">
        <v>21883</v>
      </c>
    </row>
    <row r="4392" spans="1:4" x14ac:dyDescent="0.2">
      <c r="A4392">
        <v>3693604</v>
      </c>
      <c r="B4392">
        <v>30065</v>
      </c>
      <c r="C4392">
        <v>302372</v>
      </c>
      <c r="D4392">
        <v>21883</v>
      </c>
    </row>
    <row r="4393" spans="1:4" x14ac:dyDescent="0.2">
      <c r="A4393">
        <v>3693604</v>
      </c>
      <c r="B4393">
        <v>30066</v>
      </c>
      <c r="C4393">
        <v>302436</v>
      </c>
      <c r="D4393">
        <v>21883</v>
      </c>
    </row>
    <row r="4394" spans="1:4" x14ac:dyDescent="0.2">
      <c r="A4394">
        <v>3693604</v>
      </c>
      <c r="B4394">
        <v>30067</v>
      </c>
      <c r="C4394">
        <v>302456</v>
      </c>
      <c r="D4394">
        <v>21883</v>
      </c>
    </row>
    <row r="4395" spans="1:4" x14ac:dyDescent="0.2">
      <c r="A4395">
        <v>3693605</v>
      </c>
      <c r="B4395">
        <v>30061</v>
      </c>
      <c r="C4395">
        <v>302333</v>
      </c>
      <c r="D4395">
        <v>21883</v>
      </c>
    </row>
    <row r="4396" spans="1:4" x14ac:dyDescent="0.2">
      <c r="A4396">
        <v>3693605</v>
      </c>
      <c r="B4396">
        <v>30062</v>
      </c>
      <c r="C4396">
        <v>302355</v>
      </c>
      <c r="D4396">
        <v>21883</v>
      </c>
    </row>
    <row r="4397" spans="1:4" x14ac:dyDescent="0.2">
      <c r="A4397">
        <v>3693605</v>
      </c>
      <c r="B4397">
        <v>30063</v>
      </c>
      <c r="C4397">
        <v>302357</v>
      </c>
      <c r="D4397">
        <v>21883</v>
      </c>
    </row>
    <row r="4398" spans="1:4" x14ac:dyDescent="0.2">
      <c r="A4398">
        <v>3693605</v>
      </c>
      <c r="B4398">
        <v>30064</v>
      </c>
      <c r="C4398">
        <v>302382</v>
      </c>
      <c r="D4398">
        <v>21883</v>
      </c>
    </row>
    <row r="4399" spans="1:4" x14ac:dyDescent="0.2">
      <c r="A4399">
        <v>3693605</v>
      </c>
      <c r="B4399">
        <v>30065</v>
      </c>
      <c r="C4399">
        <v>302332</v>
      </c>
      <c r="D4399">
        <v>21883</v>
      </c>
    </row>
    <row r="4400" spans="1:4" x14ac:dyDescent="0.2">
      <c r="A4400">
        <v>3693605</v>
      </c>
      <c r="B4400">
        <v>30066</v>
      </c>
      <c r="C4400">
        <v>302436</v>
      </c>
      <c r="D4400">
        <v>21883</v>
      </c>
    </row>
    <row r="4401" spans="1:4" x14ac:dyDescent="0.2">
      <c r="A4401">
        <v>3693605</v>
      </c>
      <c r="B4401">
        <v>30067</v>
      </c>
      <c r="C4401">
        <v>302457</v>
      </c>
      <c r="D4401">
        <v>21883</v>
      </c>
    </row>
    <row r="4402" spans="1:4" x14ac:dyDescent="0.2">
      <c r="A4402">
        <v>3693606</v>
      </c>
      <c r="B4402">
        <v>30063</v>
      </c>
      <c r="C4402">
        <v>302357</v>
      </c>
      <c r="D4402">
        <v>21883</v>
      </c>
    </row>
    <row r="4403" spans="1:4" x14ac:dyDescent="0.2">
      <c r="A4403">
        <v>3693606</v>
      </c>
      <c r="B4403">
        <v>30064</v>
      </c>
      <c r="C4403">
        <v>302369</v>
      </c>
      <c r="D4403">
        <v>21883</v>
      </c>
    </row>
    <row r="4404" spans="1:4" x14ac:dyDescent="0.2">
      <c r="A4404">
        <v>3693606</v>
      </c>
      <c r="B4404">
        <v>30065</v>
      </c>
      <c r="C4404">
        <v>302372</v>
      </c>
      <c r="D4404">
        <v>21883</v>
      </c>
    </row>
    <row r="4405" spans="1:4" x14ac:dyDescent="0.2">
      <c r="A4405">
        <v>3693606</v>
      </c>
      <c r="B4405">
        <v>30066</v>
      </c>
      <c r="C4405">
        <v>302436</v>
      </c>
      <c r="D4405">
        <v>21883</v>
      </c>
    </row>
    <row r="4406" spans="1:4" x14ac:dyDescent="0.2">
      <c r="A4406">
        <v>3693606</v>
      </c>
      <c r="B4406">
        <v>30067</v>
      </c>
      <c r="C4406">
        <v>302457</v>
      </c>
      <c r="D4406">
        <v>21883</v>
      </c>
    </row>
    <row r="4407" spans="1:4" x14ac:dyDescent="0.2">
      <c r="A4407">
        <v>3693607</v>
      </c>
      <c r="B4407">
        <v>30063</v>
      </c>
      <c r="C4407">
        <v>302357</v>
      </c>
      <c r="D4407">
        <v>21883</v>
      </c>
    </row>
    <row r="4408" spans="1:4" x14ac:dyDescent="0.2">
      <c r="A4408">
        <v>3693607</v>
      </c>
      <c r="B4408">
        <v>30064</v>
      </c>
      <c r="C4408">
        <v>302419</v>
      </c>
      <c r="D4408">
        <v>21883</v>
      </c>
    </row>
    <row r="4409" spans="1:4" x14ac:dyDescent="0.2">
      <c r="A4409">
        <v>3693607</v>
      </c>
      <c r="B4409">
        <v>30065</v>
      </c>
      <c r="C4409">
        <v>302372</v>
      </c>
      <c r="D4409">
        <v>21883</v>
      </c>
    </row>
    <row r="4410" spans="1:4" x14ac:dyDescent="0.2">
      <c r="A4410">
        <v>3693607</v>
      </c>
      <c r="B4410">
        <v>30066</v>
      </c>
      <c r="C4410">
        <v>302436</v>
      </c>
      <c r="D4410">
        <v>21883</v>
      </c>
    </row>
    <row r="4411" spans="1:4" x14ac:dyDescent="0.2">
      <c r="A4411">
        <v>3693607</v>
      </c>
      <c r="B4411">
        <v>30067</v>
      </c>
      <c r="C4411">
        <v>302457</v>
      </c>
      <c r="D4411">
        <v>21883</v>
      </c>
    </row>
    <row r="4412" spans="1:4" x14ac:dyDescent="0.2">
      <c r="A4412">
        <v>3693608</v>
      </c>
      <c r="B4412">
        <v>30063</v>
      </c>
      <c r="C4412">
        <v>302357</v>
      </c>
      <c r="D4412">
        <v>21883</v>
      </c>
    </row>
    <row r="4413" spans="1:4" x14ac:dyDescent="0.2">
      <c r="A4413">
        <v>3693608</v>
      </c>
      <c r="B4413">
        <v>30064</v>
      </c>
      <c r="C4413">
        <v>302369</v>
      </c>
      <c r="D4413">
        <v>21883</v>
      </c>
    </row>
    <row r="4414" spans="1:4" x14ac:dyDescent="0.2">
      <c r="A4414">
        <v>3693608</v>
      </c>
      <c r="B4414">
        <v>30065</v>
      </c>
      <c r="C4414">
        <v>302372</v>
      </c>
      <c r="D4414">
        <v>21883</v>
      </c>
    </row>
    <row r="4415" spans="1:4" x14ac:dyDescent="0.2">
      <c r="A4415">
        <v>3693608</v>
      </c>
      <c r="B4415">
        <v>30066</v>
      </c>
      <c r="C4415">
        <v>302436</v>
      </c>
      <c r="D4415">
        <v>21883</v>
      </c>
    </row>
    <row r="4416" spans="1:4" x14ac:dyDescent="0.2">
      <c r="A4416">
        <v>3693608</v>
      </c>
      <c r="B4416">
        <v>30067</v>
      </c>
      <c r="C4416">
        <v>302457</v>
      </c>
      <c r="D4416">
        <v>21883</v>
      </c>
    </row>
    <row r="4417" spans="1:4" x14ac:dyDescent="0.2">
      <c r="A4417">
        <v>3693609</v>
      </c>
      <c r="B4417">
        <v>30061</v>
      </c>
      <c r="C4417">
        <v>302333</v>
      </c>
      <c r="D4417">
        <v>21883</v>
      </c>
    </row>
    <row r="4418" spans="1:4" x14ac:dyDescent="0.2">
      <c r="A4418">
        <v>3693609</v>
      </c>
      <c r="B4418">
        <v>30062</v>
      </c>
      <c r="C4418">
        <v>302355</v>
      </c>
      <c r="D4418">
        <v>21883</v>
      </c>
    </row>
    <row r="4419" spans="1:4" x14ac:dyDescent="0.2">
      <c r="A4419">
        <v>3693609</v>
      </c>
      <c r="B4419">
        <v>30063</v>
      </c>
      <c r="C4419">
        <v>302357</v>
      </c>
      <c r="D4419">
        <v>21883</v>
      </c>
    </row>
    <row r="4420" spans="1:4" x14ac:dyDescent="0.2">
      <c r="A4420">
        <v>3693609</v>
      </c>
      <c r="B4420">
        <v>30064</v>
      </c>
      <c r="C4420">
        <v>302369</v>
      </c>
      <c r="D4420">
        <v>21883</v>
      </c>
    </row>
    <row r="4421" spans="1:4" x14ac:dyDescent="0.2">
      <c r="A4421">
        <v>3693609</v>
      </c>
      <c r="B4421">
        <v>30065</v>
      </c>
      <c r="C4421">
        <v>302332</v>
      </c>
      <c r="D4421">
        <v>21883</v>
      </c>
    </row>
    <row r="4422" spans="1:4" x14ac:dyDescent="0.2">
      <c r="A4422">
        <v>3693609</v>
      </c>
      <c r="B4422">
        <v>30066</v>
      </c>
      <c r="C4422">
        <v>302436</v>
      </c>
      <c r="D4422">
        <v>21883</v>
      </c>
    </row>
    <row r="4423" spans="1:4" x14ac:dyDescent="0.2">
      <c r="A4423">
        <v>3693609</v>
      </c>
      <c r="B4423">
        <v>30067</v>
      </c>
      <c r="C4423">
        <v>302457</v>
      </c>
      <c r="D4423">
        <v>21883</v>
      </c>
    </row>
    <row r="4424" spans="1:4" x14ac:dyDescent="0.2">
      <c r="A4424">
        <v>3693610</v>
      </c>
      <c r="B4424">
        <v>30063</v>
      </c>
      <c r="C4424">
        <v>302357</v>
      </c>
      <c r="D4424">
        <v>21883</v>
      </c>
    </row>
    <row r="4425" spans="1:4" x14ac:dyDescent="0.2">
      <c r="A4425">
        <v>3693610</v>
      </c>
      <c r="B4425">
        <v>30064</v>
      </c>
      <c r="C4425">
        <v>302368</v>
      </c>
      <c r="D4425">
        <v>21883</v>
      </c>
    </row>
    <row r="4426" spans="1:4" x14ac:dyDescent="0.2">
      <c r="A4426">
        <v>3693610</v>
      </c>
      <c r="B4426">
        <v>30065</v>
      </c>
      <c r="C4426">
        <v>302372</v>
      </c>
      <c r="D4426">
        <v>21883</v>
      </c>
    </row>
    <row r="4427" spans="1:4" x14ac:dyDescent="0.2">
      <c r="A4427">
        <v>3693610</v>
      </c>
      <c r="B4427">
        <v>30066</v>
      </c>
      <c r="C4427">
        <v>302436</v>
      </c>
      <c r="D4427">
        <v>21883</v>
      </c>
    </row>
    <row r="4428" spans="1:4" x14ac:dyDescent="0.2">
      <c r="A4428">
        <v>3693610</v>
      </c>
      <c r="B4428">
        <v>30067</v>
      </c>
      <c r="C4428">
        <v>302457</v>
      </c>
      <c r="D4428">
        <v>21883</v>
      </c>
    </row>
    <row r="4429" spans="1:4" x14ac:dyDescent="0.2">
      <c r="A4429">
        <v>3693611</v>
      </c>
      <c r="B4429">
        <v>30063</v>
      </c>
      <c r="C4429">
        <v>302357</v>
      </c>
      <c r="D4429">
        <v>21883</v>
      </c>
    </row>
    <row r="4430" spans="1:4" x14ac:dyDescent="0.2">
      <c r="A4430">
        <v>3693611</v>
      </c>
      <c r="B4430">
        <v>30064</v>
      </c>
      <c r="C4430">
        <v>302382</v>
      </c>
      <c r="D4430">
        <v>21883</v>
      </c>
    </row>
    <row r="4431" spans="1:4" x14ac:dyDescent="0.2">
      <c r="A4431">
        <v>3693611</v>
      </c>
      <c r="B4431">
        <v>30065</v>
      </c>
      <c r="C4431">
        <v>302372</v>
      </c>
      <c r="D4431">
        <v>21883</v>
      </c>
    </row>
    <row r="4432" spans="1:4" x14ac:dyDescent="0.2">
      <c r="A4432">
        <v>3693611</v>
      </c>
      <c r="B4432">
        <v>30066</v>
      </c>
      <c r="C4432">
        <v>302436</v>
      </c>
      <c r="D4432">
        <v>21883</v>
      </c>
    </row>
    <row r="4433" spans="1:4" x14ac:dyDescent="0.2">
      <c r="A4433">
        <v>3693611</v>
      </c>
      <c r="B4433">
        <v>30067</v>
      </c>
      <c r="C4433">
        <v>302457</v>
      </c>
      <c r="D4433">
        <v>21883</v>
      </c>
    </row>
    <row r="4434" spans="1:4" x14ac:dyDescent="0.2">
      <c r="A4434">
        <v>3693612</v>
      </c>
      <c r="B4434">
        <v>30063</v>
      </c>
      <c r="C4434">
        <v>302357</v>
      </c>
      <c r="D4434">
        <v>21883</v>
      </c>
    </row>
    <row r="4435" spans="1:4" x14ac:dyDescent="0.2">
      <c r="A4435">
        <v>3693612</v>
      </c>
      <c r="B4435">
        <v>30064</v>
      </c>
      <c r="C4435">
        <v>302382</v>
      </c>
      <c r="D4435">
        <v>21883</v>
      </c>
    </row>
    <row r="4436" spans="1:4" x14ac:dyDescent="0.2">
      <c r="A4436">
        <v>3693612</v>
      </c>
      <c r="B4436">
        <v>30065</v>
      </c>
      <c r="C4436">
        <v>302372</v>
      </c>
      <c r="D4436">
        <v>21883</v>
      </c>
    </row>
    <row r="4437" spans="1:4" x14ac:dyDescent="0.2">
      <c r="A4437">
        <v>3693612</v>
      </c>
      <c r="B4437">
        <v>30066</v>
      </c>
      <c r="C4437">
        <v>302436</v>
      </c>
      <c r="D4437">
        <v>21883</v>
      </c>
    </row>
    <row r="4438" spans="1:4" x14ac:dyDescent="0.2">
      <c r="A4438">
        <v>3693612</v>
      </c>
      <c r="B4438">
        <v>30067</v>
      </c>
      <c r="C4438">
        <v>302457</v>
      </c>
      <c r="D4438">
        <v>21883</v>
      </c>
    </row>
    <row r="4439" spans="1:4" x14ac:dyDescent="0.2">
      <c r="A4439">
        <v>3693613</v>
      </c>
      <c r="B4439">
        <v>30063</v>
      </c>
      <c r="C4439">
        <v>302357</v>
      </c>
      <c r="D4439">
        <v>21883</v>
      </c>
    </row>
    <row r="4440" spans="1:4" x14ac:dyDescent="0.2">
      <c r="A4440">
        <v>3693613</v>
      </c>
      <c r="B4440">
        <v>30064</v>
      </c>
      <c r="C4440">
        <v>302369</v>
      </c>
      <c r="D4440">
        <v>21883</v>
      </c>
    </row>
    <row r="4441" spans="1:4" x14ac:dyDescent="0.2">
      <c r="A4441">
        <v>3693613</v>
      </c>
      <c r="B4441">
        <v>30065</v>
      </c>
      <c r="C4441">
        <v>302372</v>
      </c>
      <c r="D4441">
        <v>21883</v>
      </c>
    </row>
    <row r="4442" spans="1:4" x14ac:dyDescent="0.2">
      <c r="A4442">
        <v>3693613</v>
      </c>
      <c r="B4442">
        <v>30066</v>
      </c>
      <c r="C4442">
        <v>302436</v>
      </c>
      <c r="D4442">
        <v>21883</v>
      </c>
    </row>
    <row r="4443" spans="1:4" x14ac:dyDescent="0.2">
      <c r="A4443">
        <v>3693613</v>
      </c>
      <c r="B4443">
        <v>30067</v>
      </c>
      <c r="C4443">
        <v>302457</v>
      </c>
      <c r="D4443">
        <v>21883</v>
      </c>
    </row>
    <row r="4444" spans="1:4" x14ac:dyDescent="0.2">
      <c r="A4444">
        <v>3693614</v>
      </c>
      <c r="B4444">
        <v>30063</v>
      </c>
      <c r="C4444">
        <v>302357</v>
      </c>
      <c r="D4444">
        <v>21883</v>
      </c>
    </row>
    <row r="4445" spans="1:4" x14ac:dyDescent="0.2">
      <c r="A4445">
        <v>3693614</v>
      </c>
      <c r="B4445">
        <v>30064</v>
      </c>
      <c r="C4445">
        <v>302369</v>
      </c>
      <c r="D4445">
        <v>21883</v>
      </c>
    </row>
    <row r="4446" spans="1:4" x14ac:dyDescent="0.2">
      <c r="A4446">
        <v>3693614</v>
      </c>
      <c r="B4446">
        <v>30065</v>
      </c>
      <c r="C4446">
        <v>302372</v>
      </c>
      <c r="D4446">
        <v>21883</v>
      </c>
    </row>
    <row r="4447" spans="1:4" x14ac:dyDescent="0.2">
      <c r="A4447">
        <v>3693614</v>
      </c>
      <c r="B4447">
        <v>30066</v>
      </c>
      <c r="C4447">
        <v>302436</v>
      </c>
      <c r="D4447">
        <v>21883</v>
      </c>
    </row>
    <row r="4448" spans="1:4" x14ac:dyDescent="0.2">
      <c r="A4448">
        <v>3693614</v>
      </c>
      <c r="B4448">
        <v>30067</v>
      </c>
      <c r="C4448">
        <v>302457</v>
      </c>
      <c r="D4448">
        <v>21883</v>
      </c>
    </row>
    <row r="4449" spans="1:4" x14ac:dyDescent="0.2">
      <c r="A4449">
        <v>3693615</v>
      </c>
      <c r="B4449">
        <v>30063</v>
      </c>
      <c r="C4449">
        <v>302357</v>
      </c>
      <c r="D4449">
        <v>21883</v>
      </c>
    </row>
    <row r="4450" spans="1:4" x14ac:dyDescent="0.2">
      <c r="A4450">
        <v>3693615</v>
      </c>
      <c r="B4450">
        <v>30064</v>
      </c>
      <c r="C4450">
        <v>302369</v>
      </c>
      <c r="D4450">
        <v>21883</v>
      </c>
    </row>
    <row r="4451" spans="1:4" x14ac:dyDescent="0.2">
      <c r="A4451">
        <v>3693615</v>
      </c>
      <c r="B4451">
        <v>30065</v>
      </c>
      <c r="C4451">
        <v>302372</v>
      </c>
      <c r="D4451">
        <v>21883</v>
      </c>
    </row>
    <row r="4452" spans="1:4" x14ac:dyDescent="0.2">
      <c r="A4452">
        <v>3693615</v>
      </c>
      <c r="B4452">
        <v>30066</v>
      </c>
      <c r="C4452">
        <v>302436</v>
      </c>
      <c r="D4452">
        <v>21883</v>
      </c>
    </row>
    <row r="4453" spans="1:4" x14ac:dyDescent="0.2">
      <c r="A4453">
        <v>3693615</v>
      </c>
      <c r="B4453">
        <v>30067</v>
      </c>
      <c r="C4453">
        <v>302457</v>
      </c>
      <c r="D4453">
        <v>21883</v>
      </c>
    </row>
    <row r="4454" spans="1:4" x14ac:dyDescent="0.2">
      <c r="A4454">
        <v>3693616</v>
      </c>
      <c r="B4454">
        <v>30063</v>
      </c>
      <c r="C4454">
        <v>302357</v>
      </c>
      <c r="D4454">
        <v>21883</v>
      </c>
    </row>
    <row r="4455" spans="1:4" x14ac:dyDescent="0.2">
      <c r="A4455">
        <v>3693616</v>
      </c>
      <c r="B4455">
        <v>30064</v>
      </c>
      <c r="C4455">
        <v>302369</v>
      </c>
      <c r="D4455">
        <v>21883</v>
      </c>
    </row>
    <row r="4456" spans="1:4" x14ac:dyDescent="0.2">
      <c r="A4456">
        <v>3693616</v>
      </c>
      <c r="B4456">
        <v>30065</v>
      </c>
      <c r="C4456">
        <v>302372</v>
      </c>
      <c r="D4456">
        <v>21883</v>
      </c>
    </row>
    <row r="4457" spans="1:4" x14ac:dyDescent="0.2">
      <c r="A4457">
        <v>3693616</v>
      </c>
      <c r="B4457">
        <v>30066</v>
      </c>
      <c r="C4457">
        <v>302436</v>
      </c>
      <c r="D4457">
        <v>21883</v>
      </c>
    </row>
    <row r="4458" spans="1:4" x14ac:dyDescent="0.2">
      <c r="A4458">
        <v>3693616</v>
      </c>
      <c r="B4458">
        <v>30067</v>
      </c>
      <c r="C4458">
        <v>302457</v>
      </c>
      <c r="D4458">
        <v>21883</v>
      </c>
    </row>
    <row r="4459" spans="1:4" x14ac:dyDescent="0.2">
      <c r="A4459">
        <v>3693617</v>
      </c>
      <c r="B4459">
        <v>30063</v>
      </c>
      <c r="C4459">
        <v>302357</v>
      </c>
      <c r="D4459">
        <v>21883</v>
      </c>
    </row>
    <row r="4460" spans="1:4" x14ac:dyDescent="0.2">
      <c r="A4460">
        <v>3693617</v>
      </c>
      <c r="B4460">
        <v>30064</v>
      </c>
      <c r="C4460">
        <v>302369</v>
      </c>
      <c r="D4460">
        <v>21883</v>
      </c>
    </row>
    <row r="4461" spans="1:4" x14ac:dyDescent="0.2">
      <c r="A4461">
        <v>3693617</v>
      </c>
      <c r="B4461">
        <v>30065</v>
      </c>
      <c r="C4461">
        <v>302372</v>
      </c>
      <c r="D4461">
        <v>21883</v>
      </c>
    </row>
    <row r="4462" spans="1:4" x14ac:dyDescent="0.2">
      <c r="A4462">
        <v>3693617</v>
      </c>
      <c r="B4462">
        <v>30066</v>
      </c>
      <c r="C4462">
        <v>302436</v>
      </c>
      <c r="D4462">
        <v>21883</v>
      </c>
    </row>
    <row r="4463" spans="1:4" x14ac:dyDescent="0.2">
      <c r="A4463">
        <v>3693617</v>
      </c>
      <c r="B4463">
        <v>30067</v>
      </c>
      <c r="C4463">
        <v>302457</v>
      </c>
      <c r="D4463">
        <v>21883</v>
      </c>
    </row>
    <row r="4464" spans="1:4" x14ac:dyDescent="0.2">
      <c r="A4464">
        <v>3693618</v>
      </c>
      <c r="B4464">
        <v>30063</v>
      </c>
      <c r="C4464">
        <v>302357</v>
      </c>
      <c r="D4464">
        <v>21883</v>
      </c>
    </row>
    <row r="4465" spans="1:4" x14ac:dyDescent="0.2">
      <c r="A4465">
        <v>3693618</v>
      </c>
      <c r="B4465">
        <v>30064</v>
      </c>
      <c r="C4465">
        <v>302369</v>
      </c>
      <c r="D4465">
        <v>21883</v>
      </c>
    </row>
    <row r="4466" spans="1:4" x14ac:dyDescent="0.2">
      <c r="A4466">
        <v>3693618</v>
      </c>
      <c r="B4466">
        <v>30065</v>
      </c>
      <c r="C4466">
        <v>302372</v>
      </c>
      <c r="D4466">
        <v>21883</v>
      </c>
    </row>
    <row r="4467" spans="1:4" x14ac:dyDescent="0.2">
      <c r="A4467">
        <v>3693618</v>
      </c>
      <c r="B4467">
        <v>30066</v>
      </c>
      <c r="C4467">
        <v>302436</v>
      </c>
      <c r="D4467">
        <v>21883</v>
      </c>
    </row>
    <row r="4468" spans="1:4" x14ac:dyDescent="0.2">
      <c r="A4468">
        <v>3693618</v>
      </c>
      <c r="B4468">
        <v>30067</v>
      </c>
      <c r="C4468">
        <v>302457</v>
      </c>
      <c r="D4468">
        <v>21883</v>
      </c>
    </row>
    <row r="4469" spans="1:4" x14ac:dyDescent="0.2">
      <c r="A4469">
        <v>3693619</v>
      </c>
      <c r="B4469">
        <v>30063</v>
      </c>
      <c r="C4469">
        <v>302357</v>
      </c>
      <c r="D4469">
        <v>21883</v>
      </c>
    </row>
    <row r="4470" spans="1:4" x14ac:dyDescent="0.2">
      <c r="A4470">
        <v>3693619</v>
      </c>
      <c r="B4470">
        <v>30064</v>
      </c>
      <c r="C4470">
        <v>302369</v>
      </c>
      <c r="D4470">
        <v>21883</v>
      </c>
    </row>
    <row r="4471" spans="1:4" x14ac:dyDescent="0.2">
      <c r="A4471">
        <v>3693619</v>
      </c>
      <c r="B4471">
        <v>30065</v>
      </c>
      <c r="C4471">
        <v>302372</v>
      </c>
      <c r="D4471">
        <v>21883</v>
      </c>
    </row>
    <row r="4472" spans="1:4" x14ac:dyDescent="0.2">
      <c r="A4472">
        <v>3693619</v>
      </c>
      <c r="B4472">
        <v>30066</v>
      </c>
      <c r="C4472">
        <v>302436</v>
      </c>
      <c r="D4472">
        <v>21883</v>
      </c>
    </row>
    <row r="4473" spans="1:4" x14ac:dyDescent="0.2">
      <c r="A4473">
        <v>3693619</v>
      </c>
      <c r="B4473">
        <v>30067</v>
      </c>
      <c r="C4473">
        <v>302457</v>
      </c>
      <c r="D4473">
        <v>21883</v>
      </c>
    </row>
    <row r="4474" spans="1:4" x14ac:dyDescent="0.2">
      <c r="A4474">
        <v>3693620</v>
      </c>
      <c r="B4474">
        <v>30061</v>
      </c>
      <c r="C4474">
        <v>302333</v>
      </c>
      <c r="D4474">
        <v>21883</v>
      </c>
    </row>
    <row r="4475" spans="1:4" x14ac:dyDescent="0.2">
      <c r="A4475">
        <v>3693620</v>
      </c>
      <c r="B4475">
        <v>30062</v>
      </c>
      <c r="C4475">
        <v>302355</v>
      </c>
      <c r="D4475">
        <v>21883</v>
      </c>
    </row>
    <row r="4476" spans="1:4" x14ac:dyDescent="0.2">
      <c r="A4476">
        <v>3693620</v>
      </c>
      <c r="B4476">
        <v>30063</v>
      </c>
      <c r="C4476">
        <v>302357</v>
      </c>
      <c r="D4476">
        <v>21883</v>
      </c>
    </row>
    <row r="4477" spans="1:4" x14ac:dyDescent="0.2">
      <c r="A4477">
        <v>3693620</v>
      </c>
      <c r="B4477">
        <v>30064</v>
      </c>
      <c r="C4477">
        <v>302382</v>
      </c>
      <c r="D4477">
        <v>21883</v>
      </c>
    </row>
    <row r="4478" spans="1:4" x14ac:dyDescent="0.2">
      <c r="A4478">
        <v>3693620</v>
      </c>
      <c r="B4478">
        <v>30065</v>
      </c>
      <c r="C4478">
        <v>302332</v>
      </c>
      <c r="D4478">
        <v>21883</v>
      </c>
    </row>
    <row r="4479" spans="1:4" x14ac:dyDescent="0.2">
      <c r="A4479">
        <v>3693620</v>
      </c>
      <c r="B4479">
        <v>30066</v>
      </c>
      <c r="C4479">
        <v>302436</v>
      </c>
      <c r="D4479">
        <v>21883</v>
      </c>
    </row>
    <row r="4480" spans="1:4" x14ac:dyDescent="0.2">
      <c r="A4480">
        <v>3693620</v>
      </c>
      <c r="B4480">
        <v>30067</v>
      </c>
      <c r="C4480">
        <v>302458</v>
      </c>
      <c r="D4480">
        <v>21883</v>
      </c>
    </row>
    <row r="4481" spans="1:4" x14ac:dyDescent="0.2">
      <c r="A4481">
        <v>3693621</v>
      </c>
      <c r="B4481">
        <v>30063</v>
      </c>
      <c r="C4481">
        <v>302357</v>
      </c>
      <c r="D4481">
        <v>21883</v>
      </c>
    </row>
    <row r="4482" spans="1:4" x14ac:dyDescent="0.2">
      <c r="A4482">
        <v>3693621</v>
      </c>
      <c r="B4482">
        <v>30064</v>
      </c>
      <c r="C4482">
        <v>302369</v>
      </c>
      <c r="D4482">
        <v>21883</v>
      </c>
    </row>
    <row r="4483" spans="1:4" x14ac:dyDescent="0.2">
      <c r="A4483">
        <v>3693621</v>
      </c>
      <c r="B4483">
        <v>30065</v>
      </c>
      <c r="C4483">
        <v>302372</v>
      </c>
      <c r="D4483">
        <v>21883</v>
      </c>
    </row>
    <row r="4484" spans="1:4" x14ac:dyDescent="0.2">
      <c r="A4484">
        <v>3693621</v>
      </c>
      <c r="B4484">
        <v>30066</v>
      </c>
      <c r="C4484">
        <v>302436</v>
      </c>
      <c r="D4484">
        <v>21883</v>
      </c>
    </row>
    <row r="4485" spans="1:4" x14ac:dyDescent="0.2">
      <c r="A4485">
        <v>3693621</v>
      </c>
      <c r="B4485">
        <v>30067</v>
      </c>
      <c r="C4485">
        <v>302458</v>
      </c>
      <c r="D4485">
        <v>21883</v>
      </c>
    </row>
    <row r="4486" spans="1:4" x14ac:dyDescent="0.2">
      <c r="A4486">
        <v>3693622</v>
      </c>
      <c r="B4486">
        <v>30063</v>
      </c>
      <c r="C4486">
        <v>302357</v>
      </c>
      <c r="D4486">
        <v>21883</v>
      </c>
    </row>
    <row r="4487" spans="1:4" x14ac:dyDescent="0.2">
      <c r="A4487">
        <v>3693622</v>
      </c>
      <c r="B4487">
        <v>30064</v>
      </c>
      <c r="C4487">
        <v>302419</v>
      </c>
      <c r="D4487">
        <v>21883</v>
      </c>
    </row>
    <row r="4488" spans="1:4" x14ac:dyDescent="0.2">
      <c r="A4488">
        <v>3693622</v>
      </c>
      <c r="B4488">
        <v>30065</v>
      </c>
      <c r="C4488">
        <v>302372</v>
      </c>
      <c r="D4488">
        <v>21883</v>
      </c>
    </row>
    <row r="4489" spans="1:4" x14ac:dyDescent="0.2">
      <c r="A4489">
        <v>3693622</v>
      </c>
      <c r="B4489">
        <v>30066</v>
      </c>
      <c r="C4489">
        <v>302436</v>
      </c>
      <c r="D4489">
        <v>21883</v>
      </c>
    </row>
    <row r="4490" spans="1:4" x14ac:dyDescent="0.2">
      <c r="A4490">
        <v>3693622</v>
      </c>
      <c r="B4490">
        <v>30067</v>
      </c>
      <c r="C4490">
        <v>302458</v>
      </c>
      <c r="D4490">
        <v>21883</v>
      </c>
    </row>
    <row r="4491" spans="1:4" x14ac:dyDescent="0.2">
      <c r="A4491">
        <v>3693623</v>
      </c>
      <c r="B4491">
        <v>30063</v>
      </c>
      <c r="C4491">
        <v>302357</v>
      </c>
      <c r="D4491">
        <v>21883</v>
      </c>
    </row>
    <row r="4492" spans="1:4" x14ac:dyDescent="0.2">
      <c r="A4492">
        <v>3693623</v>
      </c>
      <c r="B4492">
        <v>30064</v>
      </c>
      <c r="C4492">
        <v>302369</v>
      </c>
      <c r="D4492">
        <v>21883</v>
      </c>
    </row>
    <row r="4493" spans="1:4" x14ac:dyDescent="0.2">
      <c r="A4493">
        <v>3693623</v>
      </c>
      <c r="B4493">
        <v>30065</v>
      </c>
      <c r="C4493">
        <v>302372</v>
      </c>
      <c r="D4493">
        <v>21883</v>
      </c>
    </row>
    <row r="4494" spans="1:4" x14ac:dyDescent="0.2">
      <c r="A4494">
        <v>3693623</v>
      </c>
      <c r="B4494">
        <v>30066</v>
      </c>
      <c r="C4494">
        <v>302436</v>
      </c>
      <c r="D4494">
        <v>21883</v>
      </c>
    </row>
    <row r="4495" spans="1:4" x14ac:dyDescent="0.2">
      <c r="A4495">
        <v>3693623</v>
      </c>
      <c r="B4495">
        <v>30067</v>
      </c>
      <c r="C4495">
        <v>302458</v>
      </c>
      <c r="D4495">
        <v>21883</v>
      </c>
    </row>
    <row r="4496" spans="1:4" x14ac:dyDescent="0.2">
      <c r="A4496">
        <v>3693624</v>
      </c>
      <c r="B4496">
        <v>30061</v>
      </c>
      <c r="C4496">
        <v>302333</v>
      </c>
      <c r="D4496">
        <v>21883</v>
      </c>
    </row>
    <row r="4497" spans="1:4" x14ac:dyDescent="0.2">
      <c r="A4497">
        <v>3693624</v>
      </c>
      <c r="B4497">
        <v>30062</v>
      </c>
      <c r="C4497">
        <v>302355</v>
      </c>
      <c r="D4497">
        <v>21883</v>
      </c>
    </row>
    <row r="4498" spans="1:4" x14ac:dyDescent="0.2">
      <c r="A4498">
        <v>3693624</v>
      </c>
      <c r="B4498">
        <v>30063</v>
      </c>
      <c r="C4498">
        <v>302357</v>
      </c>
      <c r="D4498">
        <v>21883</v>
      </c>
    </row>
    <row r="4499" spans="1:4" x14ac:dyDescent="0.2">
      <c r="A4499">
        <v>3693624</v>
      </c>
      <c r="B4499">
        <v>30064</v>
      </c>
      <c r="C4499">
        <v>302369</v>
      </c>
      <c r="D4499">
        <v>21883</v>
      </c>
    </row>
    <row r="4500" spans="1:4" x14ac:dyDescent="0.2">
      <c r="A4500">
        <v>3693624</v>
      </c>
      <c r="B4500">
        <v>30065</v>
      </c>
      <c r="C4500">
        <v>302332</v>
      </c>
      <c r="D4500">
        <v>21883</v>
      </c>
    </row>
    <row r="4501" spans="1:4" x14ac:dyDescent="0.2">
      <c r="A4501">
        <v>3693624</v>
      </c>
      <c r="B4501">
        <v>30066</v>
      </c>
      <c r="C4501">
        <v>302436</v>
      </c>
      <c r="D4501">
        <v>21883</v>
      </c>
    </row>
    <row r="4502" spans="1:4" x14ac:dyDescent="0.2">
      <c r="A4502">
        <v>3693624</v>
      </c>
      <c r="B4502">
        <v>30067</v>
      </c>
      <c r="C4502">
        <v>302458</v>
      </c>
      <c r="D4502">
        <v>21883</v>
      </c>
    </row>
    <row r="4503" spans="1:4" x14ac:dyDescent="0.2">
      <c r="A4503">
        <v>3693625</v>
      </c>
      <c r="B4503">
        <v>30063</v>
      </c>
      <c r="C4503">
        <v>302357</v>
      </c>
      <c r="D4503">
        <v>21883</v>
      </c>
    </row>
    <row r="4504" spans="1:4" x14ac:dyDescent="0.2">
      <c r="A4504">
        <v>3693625</v>
      </c>
      <c r="B4504">
        <v>30064</v>
      </c>
      <c r="C4504">
        <v>302368</v>
      </c>
      <c r="D4504">
        <v>21883</v>
      </c>
    </row>
    <row r="4505" spans="1:4" x14ac:dyDescent="0.2">
      <c r="A4505">
        <v>3693625</v>
      </c>
      <c r="B4505">
        <v>30065</v>
      </c>
      <c r="C4505">
        <v>302372</v>
      </c>
      <c r="D4505">
        <v>21883</v>
      </c>
    </row>
    <row r="4506" spans="1:4" x14ac:dyDescent="0.2">
      <c r="A4506">
        <v>3693625</v>
      </c>
      <c r="B4506">
        <v>30066</v>
      </c>
      <c r="C4506">
        <v>302436</v>
      </c>
      <c r="D4506">
        <v>21883</v>
      </c>
    </row>
    <row r="4507" spans="1:4" x14ac:dyDescent="0.2">
      <c r="A4507">
        <v>3693625</v>
      </c>
      <c r="B4507">
        <v>30067</v>
      </c>
      <c r="C4507">
        <v>302458</v>
      </c>
      <c r="D4507">
        <v>21883</v>
      </c>
    </row>
    <row r="4508" spans="1:4" x14ac:dyDescent="0.2">
      <c r="A4508">
        <v>3693626</v>
      </c>
      <c r="B4508">
        <v>30063</v>
      </c>
      <c r="C4508">
        <v>302357</v>
      </c>
      <c r="D4508">
        <v>21883</v>
      </c>
    </row>
    <row r="4509" spans="1:4" x14ac:dyDescent="0.2">
      <c r="A4509">
        <v>3693626</v>
      </c>
      <c r="B4509">
        <v>30064</v>
      </c>
      <c r="C4509">
        <v>302382</v>
      </c>
      <c r="D4509">
        <v>21883</v>
      </c>
    </row>
    <row r="4510" spans="1:4" x14ac:dyDescent="0.2">
      <c r="A4510">
        <v>3693626</v>
      </c>
      <c r="B4510">
        <v>30065</v>
      </c>
      <c r="C4510">
        <v>302372</v>
      </c>
      <c r="D4510">
        <v>21883</v>
      </c>
    </row>
    <row r="4511" spans="1:4" x14ac:dyDescent="0.2">
      <c r="A4511">
        <v>3693626</v>
      </c>
      <c r="B4511">
        <v>30066</v>
      </c>
      <c r="C4511">
        <v>302436</v>
      </c>
      <c r="D4511">
        <v>21883</v>
      </c>
    </row>
    <row r="4512" spans="1:4" x14ac:dyDescent="0.2">
      <c r="A4512">
        <v>3693626</v>
      </c>
      <c r="B4512">
        <v>30067</v>
      </c>
      <c r="C4512">
        <v>302458</v>
      </c>
      <c r="D4512">
        <v>21883</v>
      </c>
    </row>
    <row r="4513" spans="1:4" x14ac:dyDescent="0.2">
      <c r="A4513">
        <v>3693627</v>
      </c>
      <c r="B4513">
        <v>30063</v>
      </c>
      <c r="C4513">
        <v>302357</v>
      </c>
      <c r="D4513">
        <v>21883</v>
      </c>
    </row>
    <row r="4514" spans="1:4" x14ac:dyDescent="0.2">
      <c r="A4514">
        <v>3693627</v>
      </c>
      <c r="B4514">
        <v>30064</v>
      </c>
      <c r="C4514">
        <v>302382</v>
      </c>
      <c r="D4514">
        <v>21883</v>
      </c>
    </row>
    <row r="4515" spans="1:4" x14ac:dyDescent="0.2">
      <c r="A4515">
        <v>3693627</v>
      </c>
      <c r="B4515">
        <v>30065</v>
      </c>
      <c r="C4515">
        <v>302372</v>
      </c>
      <c r="D4515">
        <v>21883</v>
      </c>
    </row>
    <row r="4516" spans="1:4" x14ac:dyDescent="0.2">
      <c r="A4516">
        <v>3693627</v>
      </c>
      <c r="B4516">
        <v>30066</v>
      </c>
      <c r="C4516">
        <v>302436</v>
      </c>
      <c r="D4516">
        <v>21883</v>
      </c>
    </row>
    <row r="4517" spans="1:4" x14ac:dyDescent="0.2">
      <c r="A4517">
        <v>3693627</v>
      </c>
      <c r="B4517">
        <v>30067</v>
      </c>
      <c r="C4517">
        <v>302458</v>
      </c>
      <c r="D4517">
        <v>21883</v>
      </c>
    </row>
    <row r="4518" spans="1:4" x14ac:dyDescent="0.2">
      <c r="A4518">
        <v>3693628</v>
      </c>
      <c r="B4518">
        <v>30063</v>
      </c>
      <c r="C4518">
        <v>302357</v>
      </c>
      <c r="D4518">
        <v>21883</v>
      </c>
    </row>
    <row r="4519" spans="1:4" x14ac:dyDescent="0.2">
      <c r="A4519">
        <v>3693628</v>
      </c>
      <c r="B4519">
        <v>30064</v>
      </c>
      <c r="C4519">
        <v>302369</v>
      </c>
      <c r="D4519">
        <v>21883</v>
      </c>
    </row>
    <row r="4520" spans="1:4" x14ac:dyDescent="0.2">
      <c r="A4520">
        <v>3693628</v>
      </c>
      <c r="B4520">
        <v>30065</v>
      </c>
      <c r="C4520">
        <v>302372</v>
      </c>
      <c r="D4520">
        <v>21883</v>
      </c>
    </row>
    <row r="4521" spans="1:4" x14ac:dyDescent="0.2">
      <c r="A4521">
        <v>3693628</v>
      </c>
      <c r="B4521">
        <v>30066</v>
      </c>
      <c r="C4521">
        <v>302436</v>
      </c>
      <c r="D4521">
        <v>21883</v>
      </c>
    </row>
    <row r="4522" spans="1:4" x14ac:dyDescent="0.2">
      <c r="A4522">
        <v>3693628</v>
      </c>
      <c r="B4522">
        <v>30067</v>
      </c>
      <c r="C4522">
        <v>302458</v>
      </c>
      <c r="D4522">
        <v>21883</v>
      </c>
    </row>
    <row r="4523" spans="1:4" x14ac:dyDescent="0.2">
      <c r="A4523">
        <v>3693629</v>
      </c>
      <c r="B4523">
        <v>30063</v>
      </c>
      <c r="C4523">
        <v>302357</v>
      </c>
      <c r="D4523">
        <v>21883</v>
      </c>
    </row>
    <row r="4524" spans="1:4" x14ac:dyDescent="0.2">
      <c r="A4524">
        <v>3693629</v>
      </c>
      <c r="B4524">
        <v>30064</v>
      </c>
      <c r="C4524">
        <v>302369</v>
      </c>
      <c r="D4524">
        <v>21883</v>
      </c>
    </row>
    <row r="4525" spans="1:4" x14ac:dyDescent="0.2">
      <c r="A4525">
        <v>3693629</v>
      </c>
      <c r="B4525">
        <v>30065</v>
      </c>
      <c r="C4525">
        <v>302372</v>
      </c>
      <c r="D4525">
        <v>21883</v>
      </c>
    </row>
    <row r="4526" spans="1:4" x14ac:dyDescent="0.2">
      <c r="A4526">
        <v>3693629</v>
      </c>
      <c r="B4526">
        <v>30066</v>
      </c>
      <c r="C4526">
        <v>302436</v>
      </c>
      <c r="D4526">
        <v>21883</v>
      </c>
    </row>
    <row r="4527" spans="1:4" x14ac:dyDescent="0.2">
      <c r="A4527">
        <v>3693629</v>
      </c>
      <c r="B4527">
        <v>30067</v>
      </c>
      <c r="C4527">
        <v>302458</v>
      </c>
      <c r="D4527">
        <v>21883</v>
      </c>
    </row>
    <row r="4528" spans="1:4" x14ac:dyDescent="0.2">
      <c r="A4528">
        <v>3693630</v>
      </c>
      <c r="B4528">
        <v>30063</v>
      </c>
      <c r="C4528">
        <v>302357</v>
      </c>
      <c r="D4528">
        <v>21883</v>
      </c>
    </row>
    <row r="4529" spans="1:4" x14ac:dyDescent="0.2">
      <c r="A4529">
        <v>3693630</v>
      </c>
      <c r="B4529">
        <v>30064</v>
      </c>
      <c r="C4529">
        <v>302369</v>
      </c>
      <c r="D4529">
        <v>21883</v>
      </c>
    </row>
    <row r="4530" spans="1:4" x14ac:dyDescent="0.2">
      <c r="A4530">
        <v>3693630</v>
      </c>
      <c r="B4530">
        <v>30065</v>
      </c>
      <c r="C4530">
        <v>302372</v>
      </c>
      <c r="D4530">
        <v>21883</v>
      </c>
    </row>
    <row r="4531" spans="1:4" x14ac:dyDescent="0.2">
      <c r="A4531">
        <v>3693630</v>
      </c>
      <c r="B4531">
        <v>30066</v>
      </c>
      <c r="C4531">
        <v>302436</v>
      </c>
      <c r="D4531">
        <v>21883</v>
      </c>
    </row>
    <row r="4532" spans="1:4" x14ac:dyDescent="0.2">
      <c r="A4532">
        <v>3693630</v>
      </c>
      <c r="B4532">
        <v>30067</v>
      </c>
      <c r="C4532">
        <v>302458</v>
      </c>
      <c r="D4532">
        <v>21883</v>
      </c>
    </row>
    <row r="4533" spans="1:4" x14ac:dyDescent="0.2">
      <c r="A4533">
        <v>3693631</v>
      </c>
      <c r="B4533">
        <v>30063</v>
      </c>
      <c r="C4533">
        <v>302357</v>
      </c>
      <c r="D4533">
        <v>21883</v>
      </c>
    </row>
    <row r="4534" spans="1:4" x14ac:dyDescent="0.2">
      <c r="A4534">
        <v>3693631</v>
      </c>
      <c r="B4534">
        <v>30064</v>
      </c>
      <c r="C4534">
        <v>302369</v>
      </c>
      <c r="D4534">
        <v>21883</v>
      </c>
    </row>
    <row r="4535" spans="1:4" x14ac:dyDescent="0.2">
      <c r="A4535">
        <v>3693631</v>
      </c>
      <c r="B4535">
        <v>30065</v>
      </c>
      <c r="C4535">
        <v>302372</v>
      </c>
      <c r="D4535">
        <v>21883</v>
      </c>
    </row>
    <row r="4536" spans="1:4" x14ac:dyDescent="0.2">
      <c r="A4536">
        <v>3693631</v>
      </c>
      <c r="B4536">
        <v>30066</v>
      </c>
      <c r="C4536">
        <v>302436</v>
      </c>
      <c r="D4536">
        <v>21883</v>
      </c>
    </row>
    <row r="4537" spans="1:4" x14ac:dyDescent="0.2">
      <c r="A4537">
        <v>3693631</v>
      </c>
      <c r="B4537">
        <v>30067</v>
      </c>
      <c r="C4537">
        <v>302458</v>
      </c>
      <c r="D4537">
        <v>21883</v>
      </c>
    </row>
    <row r="4538" spans="1:4" x14ac:dyDescent="0.2">
      <c r="A4538">
        <v>3693632</v>
      </c>
      <c r="B4538">
        <v>30063</v>
      </c>
      <c r="C4538">
        <v>302357</v>
      </c>
      <c r="D4538">
        <v>21883</v>
      </c>
    </row>
    <row r="4539" spans="1:4" x14ac:dyDescent="0.2">
      <c r="A4539">
        <v>3693632</v>
      </c>
      <c r="B4539">
        <v>30064</v>
      </c>
      <c r="C4539">
        <v>302369</v>
      </c>
      <c r="D4539">
        <v>21883</v>
      </c>
    </row>
    <row r="4540" spans="1:4" x14ac:dyDescent="0.2">
      <c r="A4540">
        <v>3693632</v>
      </c>
      <c r="B4540">
        <v>30065</v>
      </c>
      <c r="C4540">
        <v>302372</v>
      </c>
      <c r="D4540">
        <v>21883</v>
      </c>
    </row>
    <row r="4541" spans="1:4" x14ac:dyDescent="0.2">
      <c r="A4541">
        <v>3693632</v>
      </c>
      <c r="B4541">
        <v>30066</v>
      </c>
      <c r="C4541">
        <v>302436</v>
      </c>
      <c r="D4541">
        <v>21883</v>
      </c>
    </row>
    <row r="4542" spans="1:4" x14ac:dyDescent="0.2">
      <c r="A4542">
        <v>3693632</v>
      </c>
      <c r="B4542">
        <v>30067</v>
      </c>
      <c r="C4542">
        <v>302458</v>
      </c>
      <c r="D4542">
        <v>21883</v>
      </c>
    </row>
    <row r="4543" spans="1:4" x14ac:dyDescent="0.2">
      <c r="A4543">
        <v>3693633</v>
      </c>
      <c r="B4543">
        <v>30063</v>
      </c>
      <c r="C4543">
        <v>302357</v>
      </c>
      <c r="D4543">
        <v>21883</v>
      </c>
    </row>
    <row r="4544" spans="1:4" x14ac:dyDescent="0.2">
      <c r="A4544">
        <v>3693633</v>
      </c>
      <c r="B4544">
        <v>30064</v>
      </c>
      <c r="C4544">
        <v>302369</v>
      </c>
      <c r="D4544">
        <v>21883</v>
      </c>
    </row>
    <row r="4545" spans="1:4" x14ac:dyDescent="0.2">
      <c r="A4545">
        <v>3693633</v>
      </c>
      <c r="B4545">
        <v>30065</v>
      </c>
      <c r="C4545">
        <v>302372</v>
      </c>
      <c r="D4545">
        <v>21883</v>
      </c>
    </row>
    <row r="4546" spans="1:4" x14ac:dyDescent="0.2">
      <c r="A4546">
        <v>3693633</v>
      </c>
      <c r="B4546">
        <v>30066</v>
      </c>
      <c r="C4546">
        <v>302436</v>
      </c>
      <c r="D4546">
        <v>21883</v>
      </c>
    </row>
    <row r="4547" spans="1:4" x14ac:dyDescent="0.2">
      <c r="A4547">
        <v>3693633</v>
      </c>
      <c r="B4547">
        <v>30067</v>
      </c>
      <c r="C4547">
        <v>302458</v>
      </c>
      <c r="D4547">
        <v>21883</v>
      </c>
    </row>
    <row r="4548" spans="1:4" x14ac:dyDescent="0.2">
      <c r="A4548">
        <v>3693634</v>
      </c>
      <c r="B4548">
        <v>30063</v>
      </c>
      <c r="C4548">
        <v>302357</v>
      </c>
      <c r="D4548">
        <v>21883</v>
      </c>
    </row>
    <row r="4549" spans="1:4" x14ac:dyDescent="0.2">
      <c r="A4549">
        <v>3693634</v>
      </c>
      <c r="B4549">
        <v>30064</v>
      </c>
      <c r="C4549">
        <v>302369</v>
      </c>
      <c r="D4549">
        <v>21883</v>
      </c>
    </row>
    <row r="4550" spans="1:4" x14ac:dyDescent="0.2">
      <c r="A4550">
        <v>3693634</v>
      </c>
      <c r="B4550">
        <v>30065</v>
      </c>
      <c r="C4550">
        <v>302372</v>
      </c>
      <c r="D4550">
        <v>21883</v>
      </c>
    </row>
    <row r="4551" spans="1:4" x14ac:dyDescent="0.2">
      <c r="A4551">
        <v>3693634</v>
      </c>
      <c r="B4551">
        <v>30066</v>
      </c>
      <c r="C4551">
        <v>302436</v>
      </c>
      <c r="D4551">
        <v>21883</v>
      </c>
    </row>
    <row r="4552" spans="1:4" x14ac:dyDescent="0.2">
      <c r="A4552">
        <v>3693634</v>
      </c>
      <c r="B4552">
        <v>30067</v>
      </c>
      <c r="C4552">
        <v>302458</v>
      </c>
      <c r="D4552">
        <v>21883</v>
      </c>
    </row>
    <row r="4553" spans="1:4" x14ac:dyDescent="0.2">
      <c r="A4553">
        <v>3693635</v>
      </c>
      <c r="B4553">
        <v>30061</v>
      </c>
      <c r="C4553">
        <v>302333</v>
      </c>
      <c r="D4553">
        <v>21883</v>
      </c>
    </row>
    <row r="4554" spans="1:4" x14ac:dyDescent="0.2">
      <c r="A4554">
        <v>3693635</v>
      </c>
      <c r="B4554">
        <v>30062</v>
      </c>
      <c r="C4554">
        <v>302355</v>
      </c>
      <c r="D4554">
        <v>21883</v>
      </c>
    </row>
    <row r="4555" spans="1:4" x14ac:dyDescent="0.2">
      <c r="A4555">
        <v>3693635</v>
      </c>
      <c r="B4555">
        <v>30063</v>
      </c>
      <c r="C4555">
        <v>302357</v>
      </c>
      <c r="D4555">
        <v>21883</v>
      </c>
    </row>
    <row r="4556" spans="1:4" x14ac:dyDescent="0.2">
      <c r="A4556">
        <v>3693635</v>
      </c>
      <c r="B4556">
        <v>30064</v>
      </c>
      <c r="C4556">
        <v>302382</v>
      </c>
      <c r="D4556">
        <v>21883</v>
      </c>
    </row>
    <row r="4557" spans="1:4" x14ac:dyDescent="0.2">
      <c r="A4557">
        <v>3693635</v>
      </c>
      <c r="B4557">
        <v>30065</v>
      </c>
      <c r="C4557">
        <v>302332</v>
      </c>
      <c r="D4557">
        <v>21883</v>
      </c>
    </row>
    <row r="4558" spans="1:4" x14ac:dyDescent="0.2">
      <c r="A4558">
        <v>3693635</v>
      </c>
      <c r="B4558">
        <v>30066</v>
      </c>
      <c r="C4558">
        <v>302436</v>
      </c>
      <c r="D4558">
        <v>21883</v>
      </c>
    </row>
    <row r="4559" spans="1:4" x14ac:dyDescent="0.2">
      <c r="A4559">
        <v>3693635</v>
      </c>
      <c r="B4559">
        <v>30067</v>
      </c>
      <c r="C4559">
        <v>302459</v>
      </c>
      <c r="D4559">
        <v>21883</v>
      </c>
    </row>
    <row r="4560" spans="1:4" x14ac:dyDescent="0.2">
      <c r="A4560">
        <v>3693636</v>
      </c>
      <c r="B4560">
        <v>30063</v>
      </c>
      <c r="C4560">
        <v>302357</v>
      </c>
      <c r="D4560">
        <v>21883</v>
      </c>
    </row>
    <row r="4561" spans="1:4" x14ac:dyDescent="0.2">
      <c r="A4561">
        <v>3693636</v>
      </c>
      <c r="B4561">
        <v>30064</v>
      </c>
      <c r="C4561">
        <v>302369</v>
      </c>
      <c r="D4561">
        <v>21883</v>
      </c>
    </row>
    <row r="4562" spans="1:4" x14ac:dyDescent="0.2">
      <c r="A4562">
        <v>3693636</v>
      </c>
      <c r="B4562">
        <v>30065</v>
      </c>
      <c r="C4562">
        <v>302372</v>
      </c>
      <c r="D4562">
        <v>21883</v>
      </c>
    </row>
    <row r="4563" spans="1:4" x14ac:dyDescent="0.2">
      <c r="A4563">
        <v>3693636</v>
      </c>
      <c r="B4563">
        <v>30066</v>
      </c>
      <c r="C4563">
        <v>302436</v>
      </c>
      <c r="D4563">
        <v>21883</v>
      </c>
    </row>
    <row r="4564" spans="1:4" x14ac:dyDescent="0.2">
      <c r="A4564">
        <v>3693636</v>
      </c>
      <c r="B4564">
        <v>30067</v>
      </c>
      <c r="C4564">
        <v>302459</v>
      </c>
      <c r="D4564">
        <v>21883</v>
      </c>
    </row>
    <row r="4565" spans="1:4" x14ac:dyDescent="0.2">
      <c r="A4565">
        <v>3693637</v>
      </c>
      <c r="B4565">
        <v>30063</v>
      </c>
      <c r="C4565">
        <v>302357</v>
      </c>
      <c r="D4565">
        <v>21883</v>
      </c>
    </row>
    <row r="4566" spans="1:4" x14ac:dyDescent="0.2">
      <c r="A4566">
        <v>3693637</v>
      </c>
      <c r="B4566">
        <v>30064</v>
      </c>
      <c r="C4566">
        <v>302419</v>
      </c>
      <c r="D4566">
        <v>21883</v>
      </c>
    </row>
    <row r="4567" spans="1:4" x14ac:dyDescent="0.2">
      <c r="A4567">
        <v>3693637</v>
      </c>
      <c r="B4567">
        <v>30065</v>
      </c>
      <c r="C4567">
        <v>302372</v>
      </c>
      <c r="D4567">
        <v>21883</v>
      </c>
    </row>
    <row r="4568" spans="1:4" x14ac:dyDescent="0.2">
      <c r="A4568">
        <v>3693637</v>
      </c>
      <c r="B4568">
        <v>30066</v>
      </c>
      <c r="C4568">
        <v>302436</v>
      </c>
      <c r="D4568">
        <v>21883</v>
      </c>
    </row>
    <row r="4569" spans="1:4" x14ac:dyDescent="0.2">
      <c r="A4569">
        <v>3693637</v>
      </c>
      <c r="B4569">
        <v>30067</v>
      </c>
      <c r="C4569">
        <v>302459</v>
      </c>
      <c r="D4569">
        <v>21883</v>
      </c>
    </row>
    <row r="4570" spans="1:4" x14ac:dyDescent="0.2">
      <c r="A4570">
        <v>3693638</v>
      </c>
      <c r="B4570">
        <v>30063</v>
      </c>
      <c r="C4570">
        <v>302357</v>
      </c>
      <c r="D4570">
        <v>21883</v>
      </c>
    </row>
    <row r="4571" spans="1:4" x14ac:dyDescent="0.2">
      <c r="A4571">
        <v>3693638</v>
      </c>
      <c r="B4571">
        <v>30064</v>
      </c>
      <c r="C4571">
        <v>302369</v>
      </c>
      <c r="D4571">
        <v>21883</v>
      </c>
    </row>
    <row r="4572" spans="1:4" x14ac:dyDescent="0.2">
      <c r="A4572">
        <v>3693638</v>
      </c>
      <c r="B4572">
        <v>30065</v>
      </c>
      <c r="C4572">
        <v>302372</v>
      </c>
      <c r="D4572">
        <v>21883</v>
      </c>
    </row>
    <row r="4573" spans="1:4" x14ac:dyDescent="0.2">
      <c r="A4573">
        <v>3693638</v>
      </c>
      <c r="B4573">
        <v>30066</v>
      </c>
      <c r="C4573">
        <v>302436</v>
      </c>
      <c r="D4573">
        <v>21883</v>
      </c>
    </row>
    <row r="4574" spans="1:4" x14ac:dyDescent="0.2">
      <c r="A4574">
        <v>3693638</v>
      </c>
      <c r="B4574">
        <v>30067</v>
      </c>
      <c r="C4574">
        <v>302459</v>
      </c>
      <c r="D4574">
        <v>21883</v>
      </c>
    </row>
    <row r="4575" spans="1:4" x14ac:dyDescent="0.2">
      <c r="A4575">
        <v>3693639</v>
      </c>
      <c r="B4575">
        <v>30061</v>
      </c>
      <c r="C4575">
        <v>302333</v>
      </c>
      <c r="D4575">
        <v>21883</v>
      </c>
    </row>
    <row r="4576" spans="1:4" x14ac:dyDescent="0.2">
      <c r="A4576">
        <v>3693639</v>
      </c>
      <c r="B4576">
        <v>30062</v>
      </c>
      <c r="C4576">
        <v>302355</v>
      </c>
      <c r="D4576">
        <v>21883</v>
      </c>
    </row>
    <row r="4577" spans="1:4" x14ac:dyDescent="0.2">
      <c r="A4577">
        <v>3693639</v>
      </c>
      <c r="B4577">
        <v>30063</v>
      </c>
      <c r="C4577">
        <v>302357</v>
      </c>
      <c r="D4577">
        <v>21883</v>
      </c>
    </row>
    <row r="4578" spans="1:4" x14ac:dyDescent="0.2">
      <c r="A4578">
        <v>3693639</v>
      </c>
      <c r="B4578">
        <v>30064</v>
      </c>
      <c r="C4578">
        <v>302369</v>
      </c>
      <c r="D4578">
        <v>21883</v>
      </c>
    </row>
    <row r="4579" spans="1:4" x14ac:dyDescent="0.2">
      <c r="A4579">
        <v>3693639</v>
      </c>
      <c r="B4579">
        <v>30065</v>
      </c>
      <c r="C4579">
        <v>302332</v>
      </c>
      <c r="D4579">
        <v>21883</v>
      </c>
    </row>
    <row r="4580" spans="1:4" x14ac:dyDescent="0.2">
      <c r="A4580">
        <v>3693639</v>
      </c>
      <c r="B4580">
        <v>30066</v>
      </c>
      <c r="C4580">
        <v>302436</v>
      </c>
      <c r="D4580">
        <v>21883</v>
      </c>
    </row>
    <row r="4581" spans="1:4" x14ac:dyDescent="0.2">
      <c r="A4581">
        <v>3693639</v>
      </c>
      <c r="B4581">
        <v>30067</v>
      </c>
      <c r="C4581">
        <v>302459</v>
      </c>
      <c r="D4581">
        <v>21883</v>
      </c>
    </row>
    <row r="4582" spans="1:4" x14ac:dyDescent="0.2">
      <c r="A4582">
        <v>3693640</v>
      </c>
      <c r="B4582">
        <v>30063</v>
      </c>
      <c r="C4582">
        <v>302357</v>
      </c>
      <c r="D4582">
        <v>21883</v>
      </c>
    </row>
    <row r="4583" spans="1:4" x14ac:dyDescent="0.2">
      <c r="A4583">
        <v>3693640</v>
      </c>
      <c r="B4583">
        <v>30064</v>
      </c>
      <c r="C4583">
        <v>302368</v>
      </c>
      <c r="D4583">
        <v>21883</v>
      </c>
    </row>
    <row r="4584" spans="1:4" x14ac:dyDescent="0.2">
      <c r="A4584">
        <v>3693640</v>
      </c>
      <c r="B4584">
        <v>30065</v>
      </c>
      <c r="C4584">
        <v>302372</v>
      </c>
      <c r="D4584">
        <v>21883</v>
      </c>
    </row>
    <row r="4585" spans="1:4" x14ac:dyDescent="0.2">
      <c r="A4585">
        <v>3693640</v>
      </c>
      <c r="B4585">
        <v>30066</v>
      </c>
      <c r="C4585">
        <v>302436</v>
      </c>
      <c r="D4585">
        <v>21883</v>
      </c>
    </row>
    <row r="4586" spans="1:4" x14ac:dyDescent="0.2">
      <c r="A4586">
        <v>3693640</v>
      </c>
      <c r="B4586">
        <v>30067</v>
      </c>
      <c r="C4586">
        <v>302459</v>
      </c>
      <c r="D4586">
        <v>21883</v>
      </c>
    </row>
    <row r="4587" spans="1:4" x14ac:dyDescent="0.2">
      <c r="A4587">
        <v>3693641</v>
      </c>
      <c r="B4587">
        <v>30063</v>
      </c>
      <c r="C4587">
        <v>302357</v>
      </c>
      <c r="D4587">
        <v>21883</v>
      </c>
    </row>
    <row r="4588" spans="1:4" x14ac:dyDescent="0.2">
      <c r="A4588">
        <v>3693641</v>
      </c>
      <c r="B4588">
        <v>30064</v>
      </c>
      <c r="C4588">
        <v>302382</v>
      </c>
      <c r="D4588">
        <v>21883</v>
      </c>
    </row>
    <row r="4589" spans="1:4" x14ac:dyDescent="0.2">
      <c r="A4589">
        <v>3693641</v>
      </c>
      <c r="B4589">
        <v>30065</v>
      </c>
      <c r="C4589">
        <v>302372</v>
      </c>
      <c r="D4589">
        <v>21883</v>
      </c>
    </row>
    <row r="4590" spans="1:4" x14ac:dyDescent="0.2">
      <c r="A4590">
        <v>3693641</v>
      </c>
      <c r="B4590">
        <v>30066</v>
      </c>
      <c r="C4590">
        <v>302436</v>
      </c>
      <c r="D4590">
        <v>21883</v>
      </c>
    </row>
    <row r="4591" spans="1:4" x14ac:dyDescent="0.2">
      <c r="A4591">
        <v>3693641</v>
      </c>
      <c r="B4591">
        <v>30067</v>
      </c>
      <c r="C4591">
        <v>302459</v>
      </c>
      <c r="D4591">
        <v>21883</v>
      </c>
    </row>
    <row r="4592" spans="1:4" x14ac:dyDescent="0.2">
      <c r="A4592">
        <v>3693642</v>
      </c>
      <c r="B4592">
        <v>30063</v>
      </c>
      <c r="C4592">
        <v>302357</v>
      </c>
      <c r="D4592">
        <v>21883</v>
      </c>
    </row>
    <row r="4593" spans="1:4" x14ac:dyDescent="0.2">
      <c r="A4593">
        <v>3693642</v>
      </c>
      <c r="B4593">
        <v>30064</v>
      </c>
      <c r="C4593">
        <v>302382</v>
      </c>
      <c r="D4593">
        <v>21883</v>
      </c>
    </row>
    <row r="4594" spans="1:4" x14ac:dyDescent="0.2">
      <c r="A4594">
        <v>3693642</v>
      </c>
      <c r="B4594">
        <v>30065</v>
      </c>
      <c r="C4594">
        <v>302372</v>
      </c>
      <c r="D4594">
        <v>21883</v>
      </c>
    </row>
    <row r="4595" spans="1:4" x14ac:dyDescent="0.2">
      <c r="A4595">
        <v>3693642</v>
      </c>
      <c r="B4595">
        <v>30066</v>
      </c>
      <c r="C4595">
        <v>302436</v>
      </c>
      <c r="D4595">
        <v>21883</v>
      </c>
    </row>
    <row r="4596" spans="1:4" x14ac:dyDescent="0.2">
      <c r="A4596">
        <v>3693642</v>
      </c>
      <c r="B4596">
        <v>30067</v>
      </c>
      <c r="C4596">
        <v>302459</v>
      </c>
      <c r="D4596">
        <v>21883</v>
      </c>
    </row>
    <row r="4597" spans="1:4" x14ac:dyDescent="0.2">
      <c r="A4597">
        <v>3693643</v>
      </c>
      <c r="B4597">
        <v>30063</v>
      </c>
      <c r="C4597">
        <v>302357</v>
      </c>
      <c r="D4597">
        <v>21883</v>
      </c>
    </row>
    <row r="4598" spans="1:4" x14ac:dyDescent="0.2">
      <c r="A4598">
        <v>3693643</v>
      </c>
      <c r="B4598">
        <v>30064</v>
      </c>
      <c r="C4598">
        <v>302369</v>
      </c>
      <c r="D4598">
        <v>21883</v>
      </c>
    </row>
    <row r="4599" spans="1:4" x14ac:dyDescent="0.2">
      <c r="A4599">
        <v>3693643</v>
      </c>
      <c r="B4599">
        <v>30065</v>
      </c>
      <c r="C4599">
        <v>302372</v>
      </c>
      <c r="D4599">
        <v>21883</v>
      </c>
    </row>
    <row r="4600" spans="1:4" x14ac:dyDescent="0.2">
      <c r="A4600">
        <v>3693643</v>
      </c>
      <c r="B4600">
        <v>30066</v>
      </c>
      <c r="C4600">
        <v>302436</v>
      </c>
      <c r="D4600">
        <v>21883</v>
      </c>
    </row>
    <row r="4601" spans="1:4" x14ac:dyDescent="0.2">
      <c r="A4601">
        <v>3693643</v>
      </c>
      <c r="B4601">
        <v>30067</v>
      </c>
      <c r="C4601">
        <v>302459</v>
      </c>
      <c r="D4601">
        <v>21883</v>
      </c>
    </row>
    <row r="4602" spans="1:4" x14ac:dyDescent="0.2">
      <c r="A4602">
        <v>3693644</v>
      </c>
      <c r="B4602">
        <v>30063</v>
      </c>
      <c r="C4602">
        <v>302357</v>
      </c>
      <c r="D4602">
        <v>21883</v>
      </c>
    </row>
    <row r="4603" spans="1:4" x14ac:dyDescent="0.2">
      <c r="A4603">
        <v>3693644</v>
      </c>
      <c r="B4603">
        <v>30064</v>
      </c>
      <c r="C4603">
        <v>302369</v>
      </c>
      <c r="D4603">
        <v>21883</v>
      </c>
    </row>
    <row r="4604" spans="1:4" x14ac:dyDescent="0.2">
      <c r="A4604">
        <v>3693644</v>
      </c>
      <c r="B4604">
        <v>30065</v>
      </c>
      <c r="C4604">
        <v>302372</v>
      </c>
      <c r="D4604">
        <v>21883</v>
      </c>
    </row>
    <row r="4605" spans="1:4" x14ac:dyDescent="0.2">
      <c r="A4605">
        <v>3693644</v>
      </c>
      <c r="B4605">
        <v>30066</v>
      </c>
      <c r="C4605">
        <v>302436</v>
      </c>
      <c r="D4605">
        <v>21883</v>
      </c>
    </row>
    <row r="4606" spans="1:4" x14ac:dyDescent="0.2">
      <c r="A4606">
        <v>3693644</v>
      </c>
      <c r="B4606">
        <v>30067</v>
      </c>
      <c r="C4606">
        <v>302459</v>
      </c>
      <c r="D4606">
        <v>21883</v>
      </c>
    </row>
    <row r="4607" spans="1:4" x14ac:dyDescent="0.2">
      <c r="A4607">
        <v>3693645</v>
      </c>
      <c r="B4607">
        <v>30063</v>
      </c>
      <c r="C4607">
        <v>302357</v>
      </c>
      <c r="D4607">
        <v>21883</v>
      </c>
    </row>
    <row r="4608" spans="1:4" x14ac:dyDescent="0.2">
      <c r="A4608">
        <v>3693645</v>
      </c>
      <c r="B4608">
        <v>30064</v>
      </c>
      <c r="C4608">
        <v>302369</v>
      </c>
      <c r="D4608">
        <v>21883</v>
      </c>
    </row>
    <row r="4609" spans="1:4" x14ac:dyDescent="0.2">
      <c r="A4609">
        <v>3693645</v>
      </c>
      <c r="B4609">
        <v>30065</v>
      </c>
      <c r="C4609">
        <v>302372</v>
      </c>
      <c r="D4609">
        <v>21883</v>
      </c>
    </row>
    <row r="4610" spans="1:4" x14ac:dyDescent="0.2">
      <c r="A4610">
        <v>3693645</v>
      </c>
      <c r="B4610">
        <v>30066</v>
      </c>
      <c r="C4610">
        <v>302436</v>
      </c>
      <c r="D4610">
        <v>21883</v>
      </c>
    </row>
    <row r="4611" spans="1:4" x14ac:dyDescent="0.2">
      <c r="A4611">
        <v>3693645</v>
      </c>
      <c r="B4611">
        <v>30067</v>
      </c>
      <c r="C4611">
        <v>302459</v>
      </c>
      <c r="D4611">
        <v>21883</v>
      </c>
    </row>
    <row r="4612" spans="1:4" x14ac:dyDescent="0.2">
      <c r="A4612">
        <v>3693646</v>
      </c>
      <c r="B4612">
        <v>30063</v>
      </c>
      <c r="C4612">
        <v>302357</v>
      </c>
      <c r="D4612">
        <v>21883</v>
      </c>
    </row>
    <row r="4613" spans="1:4" x14ac:dyDescent="0.2">
      <c r="A4613">
        <v>3693646</v>
      </c>
      <c r="B4613">
        <v>30064</v>
      </c>
      <c r="C4613">
        <v>302369</v>
      </c>
      <c r="D4613">
        <v>21883</v>
      </c>
    </row>
    <row r="4614" spans="1:4" x14ac:dyDescent="0.2">
      <c r="A4614">
        <v>3693646</v>
      </c>
      <c r="B4614">
        <v>30065</v>
      </c>
      <c r="C4614">
        <v>302372</v>
      </c>
      <c r="D4614">
        <v>21883</v>
      </c>
    </row>
    <row r="4615" spans="1:4" x14ac:dyDescent="0.2">
      <c r="A4615">
        <v>3693646</v>
      </c>
      <c r="B4615">
        <v>30066</v>
      </c>
      <c r="C4615">
        <v>302436</v>
      </c>
      <c r="D4615">
        <v>21883</v>
      </c>
    </row>
    <row r="4616" spans="1:4" x14ac:dyDescent="0.2">
      <c r="A4616">
        <v>3693646</v>
      </c>
      <c r="B4616">
        <v>30067</v>
      </c>
      <c r="C4616">
        <v>302459</v>
      </c>
      <c r="D4616">
        <v>21883</v>
      </c>
    </row>
    <row r="4617" spans="1:4" x14ac:dyDescent="0.2">
      <c r="A4617">
        <v>3693647</v>
      </c>
      <c r="B4617">
        <v>30063</v>
      </c>
      <c r="C4617">
        <v>302357</v>
      </c>
      <c r="D4617">
        <v>21883</v>
      </c>
    </row>
    <row r="4618" spans="1:4" x14ac:dyDescent="0.2">
      <c r="A4618">
        <v>3693647</v>
      </c>
      <c r="B4618">
        <v>30064</v>
      </c>
      <c r="C4618">
        <v>302369</v>
      </c>
      <c r="D4618">
        <v>21883</v>
      </c>
    </row>
    <row r="4619" spans="1:4" x14ac:dyDescent="0.2">
      <c r="A4619">
        <v>3693647</v>
      </c>
      <c r="B4619">
        <v>30065</v>
      </c>
      <c r="C4619">
        <v>302372</v>
      </c>
      <c r="D4619">
        <v>21883</v>
      </c>
    </row>
    <row r="4620" spans="1:4" x14ac:dyDescent="0.2">
      <c r="A4620">
        <v>3693647</v>
      </c>
      <c r="B4620">
        <v>30066</v>
      </c>
      <c r="C4620">
        <v>302436</v>
      </c>
      <c r="D4620">
        <v>21883</v>
      </c>
    </row>
    <row r="4621" spans="1:4" x14ac:dyDescent="0.2">
      <c r="A4621">
        <v>3693647</v>
      </c>
      <c r="B4621">
        <v>30067</v>
      </c>
      <c r="C4621">
        <v>302459</v>
      </c>
      <c r="D4621">
        <v>21883</v>
      </c>
    </row>
    <row r="4622" spans="1:4" x14ac:dyDescent="0.2">
      <c r="A4622">
        <v>3693648</v>
      </c>
      <c r="B4622">
        <v>30063</v>
      </c>
      <c r="C4622">
        <v>302357</v>
      </c>
      <c r="D4622">
        <v>21883</v>
      </c>
    </row>
    <row r="4623" spans="1:4" x14ac:dyDescent="0.2">
      <c r="A4623">
        <v>3693648</v>
      </c>
      <c r="B4623">
        <v>30064</v>
      </c>
      <c r="C4623">
        <v>302369</v>
      </c>
      <c r="D4623">
        <v>21883</v>
      </c>
    </row>
    <row r="4624" spans="1:4" x14ac:dyDescent="0.2">
      <c r="A4624">
        <v>3693648</v>
      </c>
      <c r="B4624">
        <v>30065</v>
      </c>
      <c r="C4624">
        <v>302372</v>
      </c>
      <c r="D4624">
        <v>21883</v>
      </c>
    </row>
    <row r="4625" spans="1:4" x14ac:dyDescent="0.2">
      <c r="A4625">
        <v>3693648</v>
      </c>
      <c r="B4625">
        <v>30066</v>
      </c>
      <c r="C4625">
        <v>302436</v>
      </c>
      <c r="D4625">
        <v>21883</v>
      </c>
    </row>
    <row r="4626" spans="1:4" x14ac:dyDescent="0.2">
      <c r="A4626">
        <v>3693648</v>
      </c>
      <c r="B4626">
        <v>30067</v>
      </c>
      <c r="C4626">
        <v>302459</v>
      </c>
      <c r="D4626">
        <v>21883</v>
      </c>
    </row>
    <row r="4627" spans="1:4" x14ac:dyDescent="0.2">
      <c r="A4627">
        <v>3693649</v>
      </c>
      <c r="B4627">
        <v>30063</v>
      </c>
      <c r="C4627">
        <v>302357</v>
      </c>
      <c r="D4627">
        <v>21883</v>
      </c>
    </row>
    <row r="4628" spans="1:4" x14ac:dyDescent="0.2">
      <c r="A4628">
        <v>3693649</v>
      </c>
      <c r="B4628">
        <v>30064</v>
      </c>
      <c r="C4628">
        <v>302369</v>
      </c>
      <c r="D4628">
        <v>21883</v>
      </c>
    </row>
    <row r="4629" spans="1:4" x14ac:dyDescent="0.2">
      <c r="A4629">
        <v>3693649</v>
      </c>
      <c r="B4629">
        <v>30065</v>
      </c>
      <c r="C4629">
        <v>302372</v>
      </c>
      <c r="D4629">
        <v>21883</v>
      </c>
    </row>
    <row r="4630" spans="1:4" x14ac:dyDescent="0.2">
      <c r="A4630">
        <v>3693649</v>
      </c>
      <c r="B4630">
        <v>30066</v>
      </c>
      <c r="C4630">
        <v>302436</v>
      </c>
      <c r="D4630">
        <v>21883</v>
      </c>
    </row>
    <row r="4631" spans="1:4" x14ac:dyDescent="0.2">
      <c r="A4631">
        <v>3693649</v>
      </c>
      <c r="B4631">
        <v>30067</v>
      </c>
      <c r="C4631">
        <v>302459</v>
      </c>
      <c r="D4631">
        <v>21883</v>
      </c>
    </row>
    <row r="4632" spans="1:4" x14ac:dyDescent="0.2">
      <c r="A4632">
        <v>3693650</v>
      </c>
      <c r="B4632">
        <v>30061</v>
      </c>
      <c r="C4632">
        <v>302333</v>
      </c>
      <c r="D4632">
        <v>21883</v>
      </c>
    </row>
    <row r="4633" spans="1:4" x14ac:dyDescent="0.2">
      <c r="A4633">
        <v>3693650</v>
      </c>
      <c r="B4633">
        <v>30062</v>
      </c>
      <c r="C4633">
        <v>302355</v>
      </c>
      <c r="D4633">
        <v>21883</v>
      </c>
    </row>
    <row r="4634" spans="1:4" x14ac:dyDescent="0.2">
      <c r="A4634">
        <v>3693650</v>
      </c>
      <c r="B4634">
        <v>30063</v>
      </c>
      <c r="C4634">
        <v>302357</v>
      </c>
      <c r="D4634">
        <v>21883</v>
      </c>
    </row>
    <row r="4635" spans="1:4" x14ac:dyDescent="0.2">
      <c r="A4635">
        <v>3693650</v>
      </c>
      <c r="B4635">
        <v>30064</v>
      </c>
      <c r="C4635">
        <v>302382</v>
      </c>
      <c r="D4635">
        <v>21883</v>
      </c>
    </row>
    <row r="4636" spans="1:4" x14ac:dyDescent="0.2">
      <c r="A4636">
        <v>3693650</v>
      </c>
      <c r="B4636">
        <v>30065</v>
      </c>
      <c r="C4636">
        <v>302332</v>
      </c>
      <c r="D4636">
        <v>21883</v>
      </c>
    </row>
    <row r="4637" spans="1:4" x14ac:dyDescent="0.2">
      <c r="A4637">
        <v>3693650</v>
      </c>
      <c r="B4637">
        <v>30066</v>
      </c>
      <c r="C4637">
        <v>302436</v>
      </c>
      <c r="D4637">
        <v>21883</v>
      </c>
    </row>
    <row r="4638" spans="1:4" x14ac:dyDescent="0.2">
      <c r="A4638">
        <v>3693650</v>
      </c>
      <c r="B4638">
        <v>30067</v>
      </c>
      <c r="C4638">
        <v>302460</v>
      </c>
      <c r="D4638">
        <v>21883</v>
      </c>
    </row>
    <row r="4639" spans="1:4" x14ac:dyDescent="0.2">
      <c r="A4639">
        <v>3693651</v>
      </c>
      <c r="B4639">
        <v>30063</v>
      </c>
      <c r="C4639">
        <v>302357</v>
      </c>
      <c r="D4639">
        <v>21883</v>
      </c>
    </row>
    <row r="4640" spans="1:4" x14ac:dyDescent="0.2">
      <c r="A4640">
        <v>3693651</v>
      </c>
      <c r="B4640">
        <v>30064</v>
      </c>
      <c r="C4640">
        <v>302369</v>
      </c>
      <c r="D4640">
        <v>21883</v>
      </c>
    </row>
    <row r="4641" spans="1:4" x14ac:dyDescent="0.2">
      <c r="A4641">
        <v>3693651</v>
      </c>
      <c r="B4641">
        <v>30065</v>
      </c>
      <c r="C4641">
        <v>302372</v>
      </c>
      <c r="D4641">
        <v>21883</v>
      </c>
    </row>
    <row r="4642" spans="1:4" x14ac:dyDescent="0.2">
      <c r="A4642">
        <v>3693651</v>
      </c>
      <c r="B4642">
        <v>30066</v>
      </c>
      <c r="C4642">
        <v>302436</v>
      </c>
      <c r="D4642">
        <v>21883</v>
      </c>
    </row>
    <row r="4643" spans="1:4" x14ac:dyDescent="0.2">
      <c r="A4643">
        <v>3693651</v>
      </c>
      <c r="B4643">
        <v>30067</v>
      </c>
      <c r="C4643">
        <v>302460</v>
      </c>
      <c r="D4643">
        <v>21883</v>
      </c>
    </row>
    <row r="4644" spans="1:4" x14ac:dyDescent="0.2">
      <c r="A4644">
        <v>3693652</v>
      </c>
      <c r="B4644">
        <v>30063</v>
      </c>
      <c r="C4644">
        <v>302357</v>
      </c>
      <c r="D4644">
        <v>21883</v>
      </c>
    </row>
    <row r="4645" spans="1:4" x14ac:dyDescent="0.2">
      <c r="A4645">
        <v>3693652</v>
      </c>
      <c r="B4645">
        <v>30064</v>
      </c>
      <c r="C4645">
        <v>302419</v>
      </c>
      <c r="D4645">
        <v>21883</v>
      </c>
    </row>
    <row r="4646" spans="1:4" x14ac:dyDescent="0.2">
      <c r="A4646">
        <v>3693652</v>
      </c>
      <c r="B4646">
        <v>30065</v>
      </c>
      <c r="C4646">
        <v>302372</v>
      </c>
      <c r="D4646">
        <v>21883</v>
      </c>
    </row>
    <row r="4647" spans="1:4" x14ac:dyDescent="0.2">
      <c r="A4647">
        <v>3693652</v>
      </c>
      <c r="B4647">
        <v>30066</v>
      </c>
      <c r="C4647">
        <v>302436</v>
      </c>
      <c r="D4647">
        <v>21883</v>
      </c>
    </row>
    <row r="4648" spans="1:4" x14ac:dyDescent="0.2">
      <c r="A4648">
        <v>3693652</v>
      </c>
      <c r="B4648">
        <v>30067</v>
      </c>
      <c r="C4648">
        <v>302460</v>
      </c>
      <c r="D4648">
        <v>21883</v>
      </c>
    </row>
    <row r="4649" spans="1:4" x14ac:dyDescent="0.2">
      <c r="A4649">
        <v>3693653</v>
      </c>
      <c r="B4649">
        <v>30063</v>
      </c>
      <c r="C4649">
        <v>302357</v>
      </c>
      <c r="D4649">
        <v>21883</v>
      </c>
    </row>
    <row r="4650" spans="1:4" x14ac:dyDescent="0.2">
      <c r="A4650">
        <v>3693653</v>
      </c>
      <c r="B4650">
        <v>30064</v>
      </c>
      <c r="C4650">
        <v>302369</v>
      </c>
      <c r="D4650">
        <v>21883</v>
      </c>
    </row>
    <row r="4651" spans="1:4" x14ac:dyDescent="0.2">
      <c r="A4651">
        <v>3693653</v>
      </c>
      <c r="B4651">
        <v>30065</v>
      </c>
      <c r="C4651">
        <v>302372</v>
      </c>
      <c r="D4651">
        <v>21883</v>
      </c>
    </row>
    <row r="4652" spans="1:4" x14ac:dyDescent="0.2">
      <c r="A4652">
        <v>3693653</v>
      </c>
      <c r="B4652">
        <v>30066</v>
      </c>
      <c r="C4652">
        <v>302436</v>
      </c>
      <c r="D4652">
        <v>21883</v>
      </c>
    </row>
    <row r="4653" spans="1:4" x14ac:dyDescent="0.2">
      <c r="A4653">
        <v>3693653</v>
      </c>
      <c r="B4653">
        <v>30067</v>
      </c>
      <c r="C4653">
        <v>302460</v>
      </c>
      <c r="D4653">
        <v>21883</v>
      </c>
    </row>
    <row r="4654" spans="1:4" x14ac:dyDescent="0.2">
      <c r="A4654">
        <v>3693654</v>
      </c>
      <c r="B4654">
        <v>30061</v>
      </c>
      <c r="C4654">
        <v>302333</v>
      </c>
      <c r="D4654">
        <v>21883</v>
      </c>
    </row>
    <row r="4655" spans="1:4" x14ac:dyDescent="0.2">
      <c r="A4655">
        <v>3693654</v>
      </c>
      <c r="B4655">
        <v>30062</v>
      </c>
      <c r="C4655">
        <v>302355</v>
      </c>
      <c r="D4655">
        <v>21883</v>
      </c>
    </row>
    <row r="4656" spans="1:4" x14ac:dyDescent="0.2">
      <c r="A4656">
        <v>3693654</v>
      </c>
      <c r="B4656">
        <v>30063</v>
      </c>
      <c r="C4656">
        <v>302357</v>
      </c>
      <c r="D4656">
        <v>21883</v>
      </c>
    </row>
    <row r="4657" spans="1:4" x14ac:dyDescent="0.2">
      <c r="A4657">
        <v>3693654</v>
      </c>
      <c r="B4657">
        <v>30064</v>
      </c>
      <c r="C4657">
        <v>302369</v>
      </c>
      <c r="D4657">
        <v>21883</v>
      </c>
    </row>
    <row r="4658" spans="1:4" x14ac:dyDescent="0.2">
      <c r="A4658">
        <v>3693654</v>
      </c>
      <c r="B4658">
        <v>30065</v>
      </c>
      <c r="C4658">
        <v>302332</v>
      </c>
      <c r="D4658">
        <v>21883</v>
      </c>
    </row>
    <row r="4659" spans="1:4" x14ac:dyDescent="0.2">
      <c r="A4659">
        <v>3693654</v>
      </c>
      <c r="B4659">
        <v>30066</v>
      </c>
      <c r="C4659">
        <v>302436</v>
      </c>
      <c r="D4659">
        <v>21883</v>
      </c>
    </row>
    <row r="4660" spans="1:4" x14ac:dyDescent="0.2">
      <c r="A4660">
        <v>3693654</v>
      </c>
      <c r="B4660">
        <v>30067</v>
      </c>
      <c r="C4660">
        <v>302460</v>
      </c>
      <c r="D4660">
        <v>21883</v>
      </c>
    </row>
    <row r="4661" spans="1:4" x14ac:dyDescent="0.2">
      <c r="A4661">
        <v>3693655</v>
      </c>
      <c r="B4661">
        <v>30063</v>
      </c>
      <c r="C4661">
        <v>302357</v>
      </c>
      <c r="D4661">
        <v>21883</v>
      </c>
    </row>
    <row r="4662" spans="1:4" x14ac:dyDescent="0.2">
      <c r="A4662">
        <v>3693655</v>
      </c>
      <c r="B4662">
        <v>30064</v>
      </c>
      <c r="C4662">
        <v>302368</v>
      </c>
      <c r="D4662">
        <v>21883</v>
      </c>
    </row>
    <row r="4663" spans="1:4" x14ac:dyDescent="0.2">
      <c r="A4663">
        <v>3693655</v>
      </c>
      <c r="B4663">
        <v>30065</v>
      </c>
      <c r="C4663">
        <v>302372</v>
      </c>
      <c r="D4663">
        <v>21883</v>
      </c>
    </row>
    <row r="4664" spans="1:4" x14ac:dyDescent="0.2">
      <c r="A4664">
        <v>3693655</v>
      </c>
      <c r="B4664">
        <v>30066</v>
      </c>
      <c r="C4664">
        <v>302436</v>
      </c>
      <c r="D4664">
        <v>21883</v>
      </c>
    </row>
    <row r="4665" spans="1:4" x14ac:dyDescent="0.2">
      <c r="A4665">
        <v>3693655</v>
      </c>
      <c r="B4665">
        <v>30067</v>
      </c>
      <c r="C4665">
        <v>302460</v>
      </c>
      <c r="D4665">
        <v>21883</v>
      </c>
    </row>
    <row r="4666" spans="1:4" x14ac:dyDescent="0.2">
      <c r="A4666">
        <v>3693656</v>
      </c>
      <c r="B4666">
        <v>30063</v>
      </c>
      <c r="C4666">
        <v>302357</v>
      </c>
      <c r="D4666">
        <v>21883</v>
      </c>
    </row>
    <row r="4667" spans="1:4" x14ac:dyDescent="0.2">
      <c r="A4667">
        <v>3693656</v>
      </c>
      <c r="B4667">
        <v>30064</v>
      </c>
      <c r="C4667">
        <v>302382</v>
      </c>
      <c r="D4667">
        <v>21883</v>
      </c>
    </row>
    <row r="4668" spans="1:4" x14ac:dyDescent="0.2">
      <c r="A4668">
        <v>3693656</v>
      </c>
      <c r="B4668">
        <v>30065</v>
      </c>
      <c r="C4668">
        <v>302372</v>
      </c>
      <c r="D4668">
        <v>21883</v>
      </c>
    </row>
    <row r="4669" spans="1:4" x14ac:dyDescent="0.2">
      <c r="A4669">
        <v>3693656</v>
      </c>
      <c r="B4669">
        <v>30066</v>
      </c>
      <c r="C4669">
        <v>302436</v>
      </c>
      <c r="D4669">
        <v>21883</v>
      </c>
    </row>
    <row r="4670" spans="1:4" x14ac:dyDescent="0.2">
      <c r="A4670">
        <v>3693656</v>
      </c>
      <c r="B4670">
        <v>30067</v>
      </c>
      <c r="C4670">
        <v>302460</v>
      </c>
      <c r="D4670">
        <v>21883</v>
      </c>
    </row>
    <row r="4671" spans="1:4" x14ac:dyDescent="0.2">
      <c r="A4671">
        <v>3693657</v>
      </c>
      <c r="B4671">
        <v>30063</v>
      </c>
      <c r="C4671">
        <v>302357</v>
      </c>
      <c r="D4671">
        <v>21883</v>
      </c>
    </row>
    <row r="4672" spans="1:4" x14ac:dyDescent="0.2">
      <c r="A4672">
        <v>3693657</v>
      </c>
      <c r="B4672">
        <v>30064</v>
      </c>
      <c r="C4672">
        <v>302382</v>
      </c>
      <c r="D4672">
        <v>21883</v>
      </c>
    </row>
    <row r="4673" spans="1:4" x14ac:dyDescent="0.2">
      <c r="A4673">
        <v>3693657</v>
      </c>
      <c r="B4673">
        <v>30065</v>
      </c>
      <c r="C4673">
        <v>302372</v>
      </c>
      <c r="D4673">
        <v>21883</v>
      </c>
    </row>
    <row r="4674" spans="1:4" x14ac:dyDescent="0.2">
      <c r="A4674">
        <v>3693657</v>
      </c>
      <c r="B4674">
        <v>30066</v>
      </c>
      <c r="C4674">
        <v>302436</v>
      </c>
      <c r="D4674">
        <v>21883</v>
      </c>
    </row>
    <row r="4675" spans="1:4" x14ac:dyDescent="0.2">
      <c r="A4675">
        <v>3693657</v>
      </c>
      <c r="B4675">
        <v>30067</v>
      </c>
      <c r="C4675">
        <v>302460</v>
      </c>
      <c r="D4675">
        <v>21883</v>
      </c>
    </row>
    <row r="4676" spans="1:4" x14ac:dyDescent="0.2">
      <c r="A4676">
        <v>3693658</v>
      </c>
      <c r="B4676">
        <v>30063</v>
      </c>
      <c r="C4676">
        <v>302357</v>
      </c>
      <c r="D4676">
        <v>21883</v>
      </c>
    </row>
    <row r="4677" spans="1:4" x14ac:dyDescent="0.2">
      <c r="A4677">
        <v>3693658</v>
      </c>
      <c r="B4677">
        <v>30064</v>
      </c>
      <c r="C4677">
        <v>302369</v>
      </c>
      <c r="D4677">
        <v>21883</v>
      </c>
    </row>
    <row r="4678" spans="1:4" x14ac:dyDescent="0.2">
      <c r="A4678">
        <v>3693658</v>
      </c>
      <c r="B4678">
        <v>30065</v>
      </c>
      <c r="C4678">
        <v>302372</v>
      </c>
      <c r="D4678">
        <v>21883</v>
      </c>
    </row>
    <row r="4679" spans="1:4" x14ac:dyDescent="0.2">
      <c r="A4679">
        <v>3693658</v>
      </c>
      <c r="B4679">
        <v>30066</v>
      </c>
      <c r="C4679">
        <v>302436</v>
      </c>
      <c r="D4679">
        <v>21883</v>
      </c>
    </row>
    <row r="4680" spans="1:4" x14ac:dyDescent="0.2">
      <c r="A4680">
        <v>3693658</v>
      </c>
      <c r="B4680">
        <v>30067</v>
      </c>
      <c r="C4680">
        <v>302460</v>
      </c>
      <c r="D4680">
        <v>21883</v>
      </c>
    </row>
    <row r="4681" spans="1:4" x14ac:dyDescent="0.2">
      <c r="A4681">
        <v>3693659</v>
      </c>
      <c r="B4681">
        <v>30063</v>
      </c>
      <c r="C4681">
        <v>302357</v>
      </c>
      <c r="D4681">
        <v>21883</v>
      </c>
    </row>
    <row r="4682" spans="1:4" x14ac:dyDescent="0.2">
      <c r="A4682">
        <v>3693659</v>
      </c>
      <c r="B4682">
        <v>30064</v>
      </c>
      <c r="C4682">
        <v>302369</v>
      </c>
      <c r="D4682">
        <v>21883</v>
      </c>
    </row>
    <row r="4683" spans="1:4" x14ac:dyDescent="0.2">
      <c r="A4683">
        <v>3693659</v>
      </c>
      <c r="B4683">
        <v>30065</v>
      </c>
      <c r="C4683">
        <v>302372</v>
      </c>
      <c r="D4683">
        <v>21883</v>
      </c>
    </row>
    <row r="4684" spans="1:4" x14ac:dyDescent="0.2">
      <c r="A4684">
        <v>3693659</v>
      </c>
      <c r="B4684">
        <v>30066</v>
      </c>
      <c r="C4684">
        <v>302436</v>
      </c>
      <c r="D4684">
        <v>21883</v>
      </c>
    </row>
    <row r="4685" spans="1:4" x14ac:dyDescent="0.2">
      <c r="A4685">
        <v>3693659</v>
      </c>
      <c r="B4685">
        <v>30067</v>
      </c>
      <c r="C4685">
        <v>302460</v>
      </c>
      <c r="D4685">
        <v>21883</v>
      </c>
    </row>
    <row r="4686" spans="1:4" x14ac:dyDescent="0.2">
      <c r="A4686">
        <v>3693660</v>
      </c>
      <c r="B4686">
        <v>30063</v>
      </c>
      <c r="C4686">
        <v>302357</v>
      </c>
      <c r="D4686">
        <v>21883</v>
      </c>
    </row>
    <row r="4687" spans="1:4" x14ac:dyDescent="0.2">
      <c r="A4687">
        <v>3693660</v>
      </c>
      <c r="B4687">
        <v>30064</v>
      </c>
      <c r="C4687">
        <v>302369</v>
      </c>
      <c r="D4687">
        <v>21883</v>
      </c>
    </row>
    <row r="4688" spans="1:4" x14ac:dyDescent="0.2">
      <c r="A4688">
        <v>3693660</v>
      </c>
      <c r="B4688">
        <v>30065</v>
      </c>
      <c r="C4688">
        <v>302372</v>
      </c>
      <c r="D4688">
        <v>21883</v>
      </c>
    </row>
    <row r="4689" spans="1:4" x14ac:dyDescent="0.2">
      <c r="A4689">
        <v>3693660</v>
      </c>
      <c r="B4689">
        <v>30066</v>
      </c>
      <c r="C4689">
        <v>302436</v>
      </c>
      <c r="D4689">
        <v>21883</v>
      </c>
    </row>
    <row r="4690" spans="1:4" x14ac:dyDescent="0.2">
      <c r="A4690">
        <v>3693660</v>
      </c>
      <c r="B4690">
        <v>30067</v>
      </c>
      <c r="C4690">
        <v>302460</v>
      </c>
      <c r="D4690">
        <v>21883</v>
      </c>
    </row>
    <row r="4691" spans="1:4" x14ac:dyDescent="0.2">
      <c r="A4691">
        <v>3693661</v>
      </c>
      <c r="B4691">
        <v>30063</v>
      </c>
      <c r="C4691">
        <v>302357</v>
      </c>
      <c r="D4691">
        <v>21883</v>
      </c>
    </row>
    <row r="4692" spans="1:4" x14ac:dyDescent="0.2">
      <c r="A4692">
        <v>3693661</v>
      </c>
      <c r="B4692">
        <v>30064</v>
      </c>
      <c r="C4692">
        <v>302369</v>
      </c>
      <c r="D4692">
        <v>21883</v>
      </c>
    </row>
    <row r="4693" spans="1:4" x14ac:dyDescent="0.2">
      <c r="A4693">
        <v>3693661</v>
      </c>
      <c r="B4693">
        <v>30065</v>
      </c>
      <c r="C4693">
        <v>302372</v>
      </c>
      <c r="D4693">
        <v>21883</v>
      </c>
    </row>
    <row r="4694" spans="1:4" x14ac:dyDescent="0.2">
      <c r="A4694">
        <v>3693661</v>
      </c>
      <c r="B4694">
        <v>30066</v>
      </c>
      <c r="C4694">
        <v>302436</v>
      </c>
      <c r="D4694">
        <v>21883</v>
      </c>
    </row>
    <row r="4695" spans="1:4" x14ac:dyDescent="0.2">
      <c r="A4695">
        <v>3693661</v>
      </c>
      <c r="B4695">
        <v>30067</v>
      </c>
      <c r="C4695">
        <v>302460</v>
      </c>
      <c r="D4695">
        <v>21883</v>
      </c>
    </row>
    <row r="4696" spans="1:4" x14ac:dyDescent="0.2">
      <c r="A4696">
        <v>3693662</v>
      </c>
      <c r="B4696">
        <v>30063</v>
      </c>
      <c r="C4696">
        <v>302357</v>
      </c>
      <c r="D4696">
        <v>21883</v>
      </c>
    </row>
    <row r="4697" spans="1:4" x14ac:dyDescent="0.2">
      <c r="A4697">
        <v>3693662</v>
      </c>
      <c r="B4697">
        <v>30064</v>
      </c>
      <c r="C4697">
        <v>302369</v>
      </c>
      <c r="D4697">
        <v>21883</v>
      </c>
    </row>
    <row r="4698" spans="1:4" x14ac:dyDescent="0.2">
      <c r="A4698">
        <v>3693662</v>
      </c>
      <c r="B4698">
        <v>30065</v>
      </c>
      <c r="C4698">
        <v>302372</v>
      </c>
      <c r="D4698">
        <v>21883</v>
      </c>
    </row>
    <row r="4699" spans="1:4" x14ac:dyDescent="0.2">
      <c r="A4699">
        <v>3693662</v>
      </c>
      <c r="B4699">
        <v>30066</v>
      </c>
      <c r="C4699">
        <v>302436</v>
      </c>
      <c r="D4699">
        <v>21883</v>
      </c>
    </row>
    <row r="4700" spans="1:4" x14ac:dyDescent="0.2">
      <c r="A4700">
        <v>3693662</v>
      </c>
      <c r="B4700">
        <v>30067</v>
      </c>
      <c r="C4700">
        <v>302460</v>
      </c>
      <c r="D4700">
        <v>21883</v>
      </c>
    </row>
    <row r="4701" spans="1:4" x14ac:dyDescent="0.2">
      <c r="A4701">
        <v>3693663</v>
      </c>
      <c r="B4701">
        <v>30063</v>
      </c>
      <c r="C4701">
        <v>302357</v>
      </c>
      <c r="D4701">
        <v>21883</v>
      </c>
    </row>
    <row r="4702" spans="1:4" x14ac:dyDescent="0.2">
      <c r="A4702">
        <v>3693663</v>
      </c>
      <c r="B4702">
        <v>30064</v>
      </c>
      <c r="C4702">
        <v>302369</v>
      </c>
      <c r="D4702">
        <v>21883</v>
      </c>
    </row>
    <row r="4703" spans="1:4" x14ac:dyDescent="0.2">
      <c r="A4703">
        <v>3693663</v>
      </c>
      <c r="B4703">
        <v>30065</v>
      </c>
      <c r="C4703">
        <v>302372</v>
      </c>
      <c r="D4703">
        <v>21883</v>
      </c>
    </row>
    <row r="4704" spans="1:4" x14ac:dyDescent="0.2">
      <c r="A4704">
        <v>3693663</v>
      </c>
      <c r="B4704">
        <v>30066</v>
      </c>
      <c r="C4704">
        <v>302436</v>
      </c>
      <c r="D4704">
        <v>21883</v>
      </c>
    </row>
    <row r="4705" spans="1:4" x14ac:dyDescent="0.2">
      <c r="A4705">
        <v>3693663</v>
      </c>
      <c r="B4705">
        <v>30067</v>
      </c>
      <c r="C4705">
        <v>302460</v>
      </c>
      <c r="D4705">
        <v>21883</v>
      </c>
    </row>
    <row r="4706" spans="1:4" x14ac:dyDescent="0.2">
      <c r="A4706">
        <v>3693664</v>
      </c>
      <c r="B4706">
        <v>30063</v>
      </c>
      <c r="C4706">
        <v>302357</v>
      </c>
      <c r="D4706">
        <v>21883</v>
      </c>
    </row>
    <row r="4707" spans="1:4" x14ac:dyDescent="0.2">
      <c r="A4707">
        <v>3693664</v>
      </c>
      <c r="B4707">
        <v>30064</v>
      </c>
      <c r="C4707">
        <v>302369</v>
      </c>
      <c r="D4707">
        <v>21883</v>
      </c>
    </row>
    <row r="4708" spans="1:4" x14ac:dyDescent="0.2">
      <c r="A4708">
        <v>3693664</v>
      </c>
      <c r="B4708">
        <v>30065</v>
      </c>
      <c r="C4708">
        <v>302372</v>
      </c>
      <c r="D4708">
        <v>21883</v>
      </c>
    </row>
    <row r="4709" spans="1:4" x14ac:dyDescent="0.2">
      <c r="A4709">
        <v>3693664</v>
      </c>
      <c r="B4709">
        <v>30066</v>
      </c>
      <c r="C4709">
        <v>302436</v>
      </c>
      <c r="D4709">
        <v>21883</v>
      </c>
    </row>
    <row r="4710" spans="1:4" x14ac:dyDescent="0.2">
      <c r="A4710">
        <v>3693664</v>
      </c>
      <c r="B4710">
        <v>30067</v>
      </c>
      <c r="C4710">
        <v>302460</v>
      </c>
      <c r="D4710">
        <v>21883</v>
      </c>
    </row>
    <row r="4711" spans="1:4" x14ac:dyDescent="0.2">
      <c r="A4711">
        <v>3693665</v>
      </c>
      <c r="B4711">
        <v>30061</v>
      </c>
      <c r="C4711">
        <v>302333</v>
      </c>
      <c r="D4711">
        <v>21883</v>
      </c>
    </row>
    <row r="4712" spans="1:4" x14ac:dyDescent="0.2">
      <c r="A4712">
        <v>3693665</v>
      </c>
      <c r="B4712">
        <v>30062</v>
      </c>
      <c r="C4712">
        <v>302355</v>
      </c>
      <c r="D4712">
        <v>21883</v>
      </c>
    </row>
    <row r="4713" spans="1:4" x14ac:dyDescent="0.2">
      <c r="A4713">
        <v>3693665</v>
      </c>
      <c r="B4713">
        <v>30063</v>
      </c>
      <c r="C4713">
        <v>302357</v>
      </c>
      <c r="D4713">
        <v>21883</v>
      </c>
    </row>
    <row r="4714" spans="1:4" x14ac:dyDescent="0.2">
      <c r="A4714">
        <v>3693665</v>
      </c>
      <c r="B4714">
        <v>30064</v>
      </c>
      <c r="C4714">
        <v>302382</v>
      </c>
      <c r="D4714">
        <v>21883</v>
      </c>
    </row>
    <row r="4715" spans="1:4" x14ac:dyDescent="0.2">
      <c r="A4715">
        <v>3693665</v>
      </c>
      <c r="B4715">
        <v>30065</v>
      </c>
      <c r="C4715">
        <v>302332</v>
      </c>
      <c r="D4715">
        <v>21883</v>
      </c>
    </row>
    <row r="4716" spans="1:4" x14ac:dyDescent="0.2">
      <c r="A4716">
        <v>3693665</v>
      </c>
      <c r="B4716">
        <v>30066</v>
      </c>
      <c r="C4716">
        <v>302436</v>
      </c>
      <c r="D4716">
        <v>21883</v>
      </c>
    </row>
    <row r="4717" spans="1:4" x14ac:dyDescent="0.2">
      <c r="A4717">
        <v>3693665</v>
      </c>
      <c r="B4717">
        <v>30067</v>
      </c>
      <c r="C4717">
        <v>302461</v>
      </c>
      <c r="D4717">
        <v>21883</v>
      </c>
    </row>
    <row r="4718" spans="1:4" x14ac:dyDescent="0.2">
      <c r="A4718">
        <v>3693666</v>
      </c>
      <c r="B4718">
        <v>30063</v>
      </c>
      <c r="C4718">
        <v>302357</v>
      </c>
      <c r="D4718">
        <v>21883</v>
      </c>
    </row>
    <row r="4719" spans="1:4" x14ac:dyDescent="0.2">
      <c r="A4719">
        <v>3693666</v>
      </c>
      <c r="B4719">
        <v>30064</v>
      </c>
      <c r="C4719">
        <v>302369</v>
      </c>
      <c r="D4719">
        <v>21883</v>
      </c>
    </row>
    <row r="4720" spans="1:4" x14ac:dyDescent="0.2">
      <c r="A4720">
        <v>3693666</v>
      </c>
      <c r="B4720">
        <v>30065</v>
      </c>
      <c r="C4720">
        <v>302372</v>
      </c>
      <c r="D4720">
        <v>21883</v>
      </c>
    </row>
    <row r="4721" spans="1:4" x14ac:dyDescent="0.2">
      <c r="A4721">
        <v>3693666</v>
      </c>
      <c r="B4721">
        <v>30066</v>
      </c>
      <c r="C4721">
        <v>302436</v>
      </c>
      <c r="D4721">
        <v>21883</v>
      </c>
    </row>
    <row r="4722" spans="1:4" x14ac:dyDescent="0.2">
      <c r="A4722">
        <v>3693666</v>
      </c>
      <c r="B4722">
        <v>30067</v>
      </c>
      <c r="C4722">
        <v>302461</v>
      </c>
      <c r="D4722">
        <v>21883</v>
      </c>
    </row>
    <row r="4723" spans="1:4" x14ac:dyDescent="0.2">
      <c r="A4723">
        <v>3693667</v>
      </c>
      <c r="B4723">
        <v>30063</v>
      </c>
      <c r="C4723">
        <v>302357</v>
      </c>
      <c r="D4723">
        <v>21883</v>
      </c>
    </row>
    <row r="4724" spans="1:4" x14ac:dyDescent="0.2">
      <c r="A4724">
        <v>3693667</v>
      </c>
      <c r="B4724">
        <v>30064</v>
      </c>
      <c r="C4724">
        <v>302419</v>
      </c>
      <c r="D4724">
        <v>21883</v>
      </c>
    </row>
    <row r="4725" spans="1:4" x14ac:dyDescent="0.2">
      <c r="A4725">
        <v>3693667</v>
      </c>
      <c r="B4725">
        <v>30065</v>
      </c>
      <c r="C4725">
        <v>302372</v>
      </c>
      <c r="D4725">
        <v>21883</v>
      </c>
    </row>
    <row r="4726" spans="1:4" x14ac:dyDescent="0.2">
      <c r="A4726">
        <v>3693667</v>
      </c>
      <c r="B4726">
        <v>30066</v>
      </c>
      <c r="C4726">
        <v>302436</v>
      </c>
      <c r="D4726">
        <v>21883</v>
      </c>
    </row>
    <row r="4727" spans="1:4" x14ac:dyDescent="0.2">
      <c r="A4727">
        <v>3693667</v>
      </c>
      <c r="B4727">
        <v>30067</v>
      </c>
      <c r="C4727">
        <v>302461</v>
      </c>
      <c r="D4727">
        <v>21883</v>
      </c>
    </row>
    <row r="4728" spans="1:4" x14ac:dyDescent="0.2">
      <c r="A4728">
        <v>3693668</v>
      </c>
      <c r="B4728">
        <v>30063</v>
      </c>
      <c r="C4728">
        <v>302357</v>
      </c>
      <c r="D4728">
        <v>21883</v>
      </c>
    </row>
    <row r="4729" spans="1:4" x14ac:dyDescent="0.2">
      <c r="A4729">
        <v>3693668</v>
      </c>
      <c r="B4729">
        <v>30064</v>
      </c>
      <c r="C4729">
        <v>302369</v>
      </c>
      <c r="D4729">
        <v>21883</v>
      </c>
    </row>
    <row r="4730" spans="1:4" x14ac:dyDescent="0.2">
      <c r="A4730">
        <v>3693668</v>
      </c>
      <c r="B4730">
        <v>30065</v>
      </c>
      <c r="C4730">
        <v>302372</v>
      </c>
      <c r="D4730">
        <v>21883</v>
      </c>
    </row>
    <row r="4731" spans="1:4" x14ac:dyDescent="0.2">
      <c r="A4731">
        <v>3693668</v>
      </c>
      <c r="B4731">
        <v>30066</v>
      </c>
      <c r="C4731">
        <v>302436</v>
      </c>
      <c r="D4731">
        <v>21883</v>
      </c>
    </row>
    <row r="4732" spans="1:4" x14ac:dyDescent="0.2">
      <c r="A4732">
        <v>3693668</v>
      </c>
      <c r="B4732">
        <v>30067</v>
      </c>
      <c r="C4732">
        <v>302461</v>
      </c>
      <c r="D4732">
        <v>21883</v>
      </c>
    </row>
    <row r="4733" spans="1:4" x14ac:dyDescent="0.2">
      <c r="A4733">
        <v>3693669</v>
      </c>
      <c r="B4733">
        <v>30061</v>
      </c>
      <c r="C4733">
        <v>302333</v>
      </c>
      <c r="D4733">
        <v>21883</v>
      </c>
    </row>
    <row r="4734" spans="1:4" x14ac:dyDescent="0.2">
      <c r="A4734">
        <v>3693669</v>
      </c>
      <c r="B4734">
        <v>30062</v>
      </c>
      <c r="C4734">
        <v>302355</v>
      </c>
      <c r="D4734">
        <v>21883</v>
      </c>
    </row>
    <row r="4735" spans="1:4" x14ac:dyDescent="0.2">
      <c r="A4735">
        <v>3693669</v>
      </c>
      <c r="B4735">
        <v>30063</v>
      </c>
      <c r="C4735">
        <v>302357</v>
      </c>
      <c r="D4735">
        <v>21883</v>
      </c>
    </row>
    <row r="4736" spans="1:4" x14ac:dyDescent="0.2">
      <c r="A4736">
        <v>3693669</v>
      </c>
      <c r="B4736">
        <v>30064</v>
      </c>
      <c r="C4736">
        <v>302369</v>
      </c>
      <c r="D4736">
        <v>21883</v>
      </c>
    </row>
    <row r="4737" spans="1:4" x14ac:dyDescent="0.2">
      <c r="A4737">
        <v>3693669</v>
      </c>
      <c r="B4737">
        <v>30065</v>
      </c>
      <c r="C4737">
        <v>302332</v>
      </c>
      <c r="D4737">
        <v>21883</v>
      </c>
    </row>
    <row r="4738" spans="1:4" x14ac:dyDescent="0.2">
      <c r="A4738">
        <v>3693669</v>
      </c>
      <c r="B4738">
        <v>30066</v>
      </c>
      <c r="C4738">
        <v>302436</v>
      </c>
      <c r="D4738">
        <v>21883</v>
      </c>
    </row>
    <row r="4739" spans="1:4" x14ac:dyDescent="0.2">
      <c r="A4739">
        <v>3693669</v>
      </c>
      <c r="B4739">
        <v>30067</v>
      </c>
      <c r="C4739">
        <v>302461</v>
      </c>
      <c r="D4739">
        <v>21883</v>
      </c>
    </row>
    <row r="4740" spans="1:4" x14ac:dyDescent="0.2">
      <c r="A4740">
        <v>3693670</v>
      </c>
      <c r="B4740">
        <v>30063</v>
      </c>
      <c r="C4740">
        <v>302357</v>
      </c>
      <c r="D4740">
        <v>21883</v>
      </c>
    </row>
    <row r="4741" spans="1:4" x14ac:dyDescent="0.2">
      <c r="A4741">
        <v>3693670</v>
      </c>
      <c r="B4741">
        <v>30064</v>
      </c>
      <c r="C4741">
        <v>302368</v>
      </c>
      <c r="D4741">
        <v>21883</v>
      </c>
    </row>
    <row r="4742" spans="1:4" x14ac:dyDescent="0.2">
      <c r="A4742">
        <v>3693670</v>
      </c>
      <c r="B4742">
        <v>30065</v>
      </c>
      <c r="C4742">
        <v>302372</v>
      </c>
      <c r="D4742">
        <v>21883</v>
      </c>
    </row>
    <row r="4743" spans="1:4" x14ac:dyDescent="0.2">
      <c r="A4743">
        <v>3693670</v>
      </c>
      <c r="B4743">
        <v>30066</v>
      </c>
      <c r="C4743">
        <v>302436</v>
      </c>
      <c r="D4743">
        <v>21883</v>
      </c>
    </row>
    <row r="4744" spans="1:4" x14ac:dyDescent="0.2">
      <c r="A4744">
        <v>3693670</v>
      </c>
      <c r="B4744">
        <v>30067</v>
      </c>
      <c r="C4744">
        <v>302461</v>
      </c>
      <c r="D4744">
        <v>21883</v>
      </c>
    </row>
    <row r="4745" spans="1:4" x14ac:dyDescent="0.2">
      <c r="A4745">
        <v>3693671</v>
      </c>
      <c r="B4745">
        <v>30063</v>
      </c>
      <c r="C4745">
        <v>302357</v>
      </c>
      <c r="D4745">
        <v>21883</v>
      </c>
    </row>
    <row r="4746" spans="1:4" x14ac:dyDescent="0.2">
      <c r="A4746">
        <v>3693671</v>
      </c>
      <c r="B4746">
        <v>30064</v>
      </c>
      <c r="C4746">
        <v>302382</v>
      </c>
      <c r="D4746">
        <v>21883</v>
      </c>
    </row>
    <row r="4747" spans="1:4" x14ac:dyDescent="0.2">
      <c r="A4747">
        <v>3693671</v>
      </c>
      <c r="B4747">
        <v>30065</v>
      </c>
      <c r="C4747">
        <v>302372</v>
      </c>
      <c r="D4747">
        <v>21883</v>
      </c>
    </row>
    <row r="4748" spans="1:4" x14ac:dyDescent="0.2">
      <c r="A4748">
        <v>3693671</v>
      </c>
      <c r="B4748">
        <v>30066</v>
      </c>
      <c r="C4748">
        <v>302436</v>
      </c>
      <c r="D4748">
        <v>21883</v>
      </c>
    </row>
    <row r="4749" spans="1:4" x14ac:dyDescent="0.2">
      <c r="A4749">
        <v>3693671</v>
      </c>
      <c r="B4749">
        <v>30067</v>
      </c>
      <c r="C4749">
        <v>302461</v>
      </c>
      <c r="D4749">
        <v>21883</v>
      </c>
    </row>
    <row r="4750" spans="1:4" x14ac:dyDescent="0.2">
      <c r="A4750">
        <v>3693672</v>
      </c>
      <c r="B4750">
        <v>30063</v>
      </c>
      <c r="C4750">
        <v>302357</v>
      </c>
      <c r="D4750">
        <v>21883</v>
      </c>
    </row>
    <row r="4751" spans="1:4" x14ac:dyDescent="0.2">
      <c r="A4751">
        <v>3693672</v>
      </c>
      <c r="B4751">
        <v>30064</v>
      </c>
      <c r="C4751">
        <v>302382</v>
      </c>
      <c r="D4751">
        <v>21883</v>
      </c>
    </row>
    <row r="4752" spans="1:4" x14ac:dyDescent="0.2">
      <c r="A4752">
        <v>3693672</v>
      </c>
      <c r="B4752">
        <v>30065</v>
      </c>
      <c r="C4752">
        <v>302372</v>
      </c>
      <c r="D4752">
        <v>21883</v>
      </c>
    </row>
    <row r="4753" spans="1:4" x14ac:dyDescent="0.2">
      <c r="A4753">
        <v>3693672</v>
      </c>
      <c r="B4753">
        <v>30066</v>
      </c>
      <c r="C4753">
        <v>302436</v>
      </c>
      <c r="D4753">
        <v>21883</v>
      </c>
    </row>
    <row r="4754" spans="1:4" x14ac:dyDescent="0.2">
      <c r="A4754">
        <v>3693672</v>
      </c>
      <c r="B4754">
        <v>30067</v>
      </c>
      <c r="C4754">
        <v>302461</v>
      </c>
      <c r="D4754">
        <v>21883</v>
      </c>
    </row>
    <row r="4755" spans="1:4" x14ac:dyDescent="0.2">
      <c r="A4755">
        <v>3693673</v>
      </c>
      <c r="B4755">
        <v>30063</v>
      </c>
      <c r="C4755">
        <v>302357</v>
      </c>
      <c r="D4755">
        <v>21883</v>
      </c>
    </row>
    <row r="4756" spans="1:4" x14ac:dyDescent="0.2">
      <c r="A4756">
        <v>3693673</v>
      </c>
      <c r="B4756">
        <v>30064</v>
      </c>
      <c r="C4756">
        <v>302369</v>
      </c>
      <c r="D4756">
        <v>21883</v>
      </c>
    </row>
    <row r="4757" spans="1:4" x14ac:dyDescent="0.2">
      <c r="A4757">
        <v>3693673</v>
      </c>
      <c r="B4757">
        <v>30065</v>
      </c>
      <c r="C4757">
        <v>302372</v>
      </c>
      <c r="D4757">
        <v>21883</v>
      </c>
    </row>
    <row r="4758" spans="1:4" x14ac:dyDescent="0.2">
      <c r="A4758">
        <v>3693673</v>
      </c>
      <c r="B4758">
        <v>30066</v>
      </c>
      <c r="C4758">
        <v>302436</v>
      </c>
      <c r="D4758">
        <v>21883</v>
      </c>
    </row>
    <row r="4759" spans="1:4" x14ac:dyDescent="0.2">
      <c r="A4759">
        <v>3693673</v>
      </c>
      <c r="B4759">
        <v>30067</v>
      </c>
      <c r="C4759">
        <v>302461</v>
      </c>
      <c r="D4759">
        <v>21883</v>
      </c>
    </row>
    <row r="4760" spans="1:4" x14ac:dyDescent="0.2">
      <c r="A4760">
        <v>3693674</v>
      </c>
      <c r="B4760">
        <v>30063</v>
      </c>
      <c r="C4760">
        <v>302357</v>
      </c>
      <c r="D4760">
        <v>21883</v>
      </c>
    </row>
    <row r="4761" spans="1:4" x14ac:dyDescent="0.2">
      <c r="A4761">
        <v>3693674</v>
      </c>
      <c r="B4761">
        <v>30064</v>
      </c>
      <c r="C4761">
        <v>302369</v>
      </c>
      <c r="D4761">
        <v>21883</v>
      </c>
    </row>
    <row r="4762" spans="1:4" x14ac:dyDescent="0.2">
      <c r="A4762">
        <v>3693674</v>
      </c>
      <c r="B4762">
        <v>30065</v>
      </c>
      <c r="C4762">
        <v>302372</v>
      </c>
      <c r="D4762">
        <v>21883</v>
      </c>
    </row>
    <row r="4763" spans="1:4" x14ac:dyDescent="0.2">
      <c r="A4763">
        <v>3693674</v>
      </c>
      <c r="B4763">
        <v>30066</v>
      </c>
      <c r="C4763">
        <v>302436</v>
      </c>
      <c r="D4763">
        <v>21883</v>
      </c>
    </row>
    <row r="4764" spans="1:4" x14ac:dyDescent="0.2">
      <c r="A4764">
        <v>3693674</v>
      </c>
      <c r="B4764">
        <v>30067</v>
      </c>
      <c r="C4764">
        <v>302461</v>
      </c>
      <c r="D4764">
        <v>21883</v>
      </c>
    </row>
    <row r="4765" spans="1:4" x14ac:dyDescent="0.2">
      <c r="A4765">
        <v>3693675</v>
      </c>
      <c r="B4765">
        <v>30063</v>
      </c>
      <c r="C4765">
        <v>302357</v>
      </c>
      <c r="D4765">
        <v>21883</v>
      </c>
    </row>
    <row r="4766" spans="1:4" x14ac:dyDescent="0.2">
      <c r="A4766">
        <v>3693675</v>
      </c>
      <c r="B4766">
        <v>30064</v>
      </c>
      <c r="C4766">
        <v>302369</v>
      </c>
      <c r="D4766">
        <v>21883</v>
      </c>
    </row>
    <row r="4767" spans="1:4" x14ac:dyDescent="0.2">
      <c r="A4767">
        <v>3693675</v>
      </c>
      <c r="B4767">
        <v>30065</v>
      </c>
      <c r="C4767">
        <v>302372</v>
      </c>
      <c r="D4767">
        <v>21883</v>
      </c>
    </row>
    <row r="4768" spans="1:4" x14ac:dyDescent="0.2">
      <c r="A4768">
        <v>3693675</v>
      </c>
      <c r="B4768">
        <v>30066</v>
      </c>
      <c r="C4768">
        <v>302436</v>
      </c>
      <c r="D4768">
        <v>21883</v>
      </c>
    </row>
    <row r="4769" spans="1:4" x14ac:dyDescent="0.2">
      <c r="A4769">
        <v>3693675</v>
      </c>
      <c r="B4769">
        <v>30067</v>
      </c>
      <c r="C4769">
        <v>302461</v>
      </c>
      <c r="D4769">
        <v>21883</v>
      </c>
    </row>
    <row r="4770" spans="1:4" x14ac:dyDescent="0.2">
      <c r="A4770">
        <v>3693676</v>
      </c>
      <c r="B4770">
        <v>30063</v>
      </c>
      <c r="C4770">
        <v>302357</v>
      </c>
      <c r="D4770">
        <v>21883</v>
      </c>
    </row>
    <row r="4771" spans="1:4" x14ac:dyDescent="0.2">
      <c r="A4771">
        <v>3693676</v>
      </c>
      <c r="B4771">
        <v>30064</v>
      </c>
      <c r="C4771">
        <v>302369</v>
      </c>
      <c r="D4771">
        <v>21883</v>
      </c>
    </row>
    <row r="4772" spans="1:4" x14ac:dyDescent="0.2">
      <c r="A4772">
        <v>3693676</v>
      </c>
      <c r="B4772">
        <v>30065</v>
      </c>
      <c r="C4772">
        <v>302372</v>
      </c>
      <c r="D4772">
        <v>21883</v>
      </c>
    </row>
    <row r="4773" spans="1:4" x14ac:dyDescent="0.2">
      <c r="A4773">
        <v>3693676</v>
      </c>
      <c r="B4773">
        <v>30066</v>
      </c>
      <c r="C4773">
        <v>302436</v>
      </c>
      <c r="D4773">
        <v>21883</v>
      </c>
    </row>
    <row r="4774" spans="1:4" x14ac:dyDescent="0.2">
      <c r="A4774">
        <v>3693676</v>
      </c>
      <c r="B4774">
        <v>30067</v>
      </c>
      <c r="C4774">
        <v>302461</v>
      </c>
      <c r="D4774">
        <v>21883</v>
      </c>
    </row>
    <row r="4775" spans="1:4" x14ac:dyDescent="0.2">
      <c r="A4775">
        <v>3693677</v>
      </c>
      <c r="B4775">
        <v>30063</v>
      </c>
      <c r="C4775">
        <v>302357</v>
      </c>
      <c r="D4775">
        <v>21883</v>
      </c>
    </row>
    <row r="4776" spans="1:4" x14ac:dyDescent="0.2">
      <c r="A4776">
        <v>3693677</v>
      </c>
      <c r="B4776">
        <v>30064</v>
      </c>
      <c r="C4776">
        <v>302369</v>
      </c>
      <c r="D4776">
        <v>21883</v>
      </c>
    </row>
    <row r="4777" spans="1:4" x14ac:dyDescent="0.2">
      <c r="A4777">
        <v>3693677</v>
      </c>
      <c r="B4777">
        <v>30065</v>
      </c>
      <c r="C4777">
        <v>302372</v>
      </c>
      <c r="D4777">
        <v>21883</v>
      </c>
    </row>
    <row r="4778" spans="1:4" x14ac:dyDescent="0.2">
      <c r="A4778">
        <v>3693677</v>
      </c>
      <c r="B4778">
        <v>30066</v>
      </c>
      <c r="C4778">
        <v>302436</v>
      </c>
      <c r="D4778">
        <v>21883</v>
      </c>
    </row>
    <row r="4779" spans="1:4" x14ac:dyDescent="0.2">
      <c r="A4779">
        <v>3693677</v>
      </c>
      <c r="B4779">
        <v>30067</v>
      </c>
      <c r="C4779">
        <v>302461</v>
      </c>
      <c r="D4779">
        <v>21883</v>
      </c>
    </row>
    <row r="4780" spans="1:4" x14ac:dyDescent="0.2">
      <c r="A4780">
        <v>3693678</v>
      </c>
      <c r="B4780">
        <v>30063</v>
      </c>
      <c r="C4780">
        <v>302357</v>
      </c>
      <c r="D4780">
        <v>21883</v>
      </c>
    </row>
    <row r="4781" spans="1:4" x14ac:dyDescent="0.2">
      <c r="A4781">
        <v>3693678</v>
      </c>
      <c r="B4781">
        <v>30064</v>
      </c>
      <c r="C4781">
        <v>302369</v>
      </c>
      <c r="D4781">
        <v>21883</v>
      </c>
    </row>
    <row r="4782" spans="1:4" x14ac:dyDescent="0.2">
      <c r="A4782">
        <v>3693678</v>
      </c>
      <c r="B4782">
        <v>30065</v>
      </c>
      <c r="C4782">
        <v>302372</v>
      </c>
      <c r="D4782">
        <v>21883</v>
      </c>
    </row>
    <row r="4783" spans="1:4" x14ac:dyDescent="0.2">
      <c r="A4783">
        <v>3693678</v>
      </c>
      <c r="B4783">
        <v>30066</v>
      </c>
      <c r="C4783">
        <v>302436</v>
      </c>
      <c r="D4783">
        <v>21883</v>
      </c>
    </row>
    <row r="4784" spans="1:4" x14ac:dyDescent="0.2">
      <c r="A4784">
        <v>3693678</v>
      </c>
      <c r="B4784">
        <v>30067</v>
      </c>
      <c r="C4784">
        <v>302461</v>
      </c>
      <c r="D4784">
        <v>21883</v>
      </c>
    </row>
    <row r="4785" spans="1:4" x14ac:dyDescent="0.2">
      <c r="A4785">
        <v>3693679</v>
      </c>
      <c r="B4785">
        <v>30063</v>
      </c>
      <c r="C4785">
        <v>302357</v>
      </c>
      <c r="D4785">
        <v>21883</v>
      </c>
    </row>
    <row r="4786" spans="1:4" x14ac:dyDescent="0.2">
      <c r="A4786">
        <v>3693679</v>
      </c>
      <c r="B4786">
        <v>30064</v>
      </c>
      <c r="C4786">
        <v>302369</v>
      </c>
      <c r="D4786">
        <v>21883</v>
      </c>
    </row>
    <row r="4787" spans="1:4" x14ac:dyDescent="0.2">
      <c r="A4787">
        <v>3693679</v>
      </c>
      <c r="B4787">
        <v>30065</v>
      </c>
      <c r="C4787">
        <v>302372</v>
      </c>
      <c r="D4787">
        <v>21883</v>
      </c>
    </row>
    <row r="4788" spans="1:4" x14ac:dyDescent="0.2">
      <c r="A4788">
        <v>3693679</v>
      </c>
      <c r="B4788">
        <v>30066</v>
      </c>
      <c r="C4788">
        <v>302436</v>
      </c>
      <c r="D4788">
        <v>21883</v>
      </c>
    </row>
    <row r="4789" spans="1:4" x14ac:dyDescent="0.2">
      <c r="A4789">
        <v>3693679</v>
      </c>
      <c r="B4789">
        <v>30067</v>
      </c>
      <c r="C4789">
        <v>302461</v>
      </c>
      <c r="D4789">
        <v>21883</v>
      </c>
    </row>
    <row r="4790" spans="1:4" x14ac:dyDescent="0.2">
      <c r="A4790">
        <v>3693680</v>
      </c>
      <c r="B4790">
        <v>30061</v>
      </c>
      <c r="C4790">
        <v>302333</v>
      </c>
      <c r="D4790">
        <v>21883</v>
      </c>
    </row>
    <row r="4791" spans="1:4" x14ac:dyDescent="0.2">
      <c r="A4791">
        <v>3693680</v>
      </c>
      <c r="B4791">
        <v>30062</v>
      </c>
      <c r="C4791">
        <v>302355</v>
      </c>
      <c r="D4791">
        <v>21883</v>
      </c>
    </row>
    <row r="4792" spans="1:4" x14ac:dyDescent="0.2">
      <c r="A4792">
        <v>3693680</v>
      </c>
      <c r="B4792">
        <v>30063</v>
      </c>
      <c r="C4792">
        <v>302357</v>
      </c>
      <c r="D4792">
        <v>21883</v>
      </c>
    </row>
    <row r="4793" spans="1:4" x14ac:dyDescent="0.2">
      <c r="A4793">
        <v>3693680</v>
      </c>
      <c r="B4793">
        <v>30064</v>
      </c>
      <c r="C4793">
        <v>302382</v>
      </c>
      <c r="D4793">
        <v>21883</v>
      </c>
    </row>
    <row r="4794" spans="1:4" x14ac:dyDescent="0.2">
      <c r="A4794">
        <v>3693680</v>
      </c>
      <c r="B4794">
        <v>30065</v>
      </c>
      <c r="C4794">
        <v>302332</v>
      </c>
      <c r="D4794">
        <v>21883</v>
      </c>
    </row>
    <row r="4795" spans="1:4" x14ac:dyDescent="0.2">
      <c r="A4795">
        <v>3693680</v>
      </c>
      <c r="B4795">
        <v>30066</v>
      </c>
      <c r="C4795">
        <v>302436</v>
      </c>
      <c r="D4795">
        <v>21883</v>
      </c>
    </row>
    <row r="4796" spans="1:4" x14ac:dyDescent="0.2">
      <c r="A4796">
        <v>3693680</v>
      </c>
      <c r="B4796">
        <v>30067</v>
      </c>
      <c r="C4796">
        <v>302462</v>
      </c>
      <c r="D4796">
        <v>21883</v>
      </c>
    </row>
    <row r="4797" spans="1:4" x14ac:dyDescent="0.2">
      <c r="A4797">
        <v>3693681</v>
      </c>
      <c r="B4797">
        <v>30063</v>
      </c>
      <c r="C4797">
        <v>302357</v>
      </c>
      <c r="D4797">
        <v>21883</v>
      </c>
    </row>
    <row r="4798" spans="1:4" x14ac:dyDescent="0.2">
      <c r="A4798">
        <v>3693681</v>
      </c>
      <c r="B4798">
        <v>30064</v>
      </c>
      <c r="C4798">
        <v>302369</v>
      </c>
      <c r="D4798">
        <v>21883</v>
      </c>
    </row>
    <row r="4799" spans="1:4" x14ac:dyDescent="0.2">
      <c r="A4799">
        <v>3693681</v>
      </c>
      <c r="B4799">
        <v>30065</v>
      </c>
      <c r="C4799">
        <v>302372</v>
      </c>
      <c r="D4799">
        <v>21883</v>
      </c>
    </row>
    <row r="4800" spans="1:4" x14ac:dyDescent="0.2">
      <c r="A4800">
        <v>3693681</v>
      </c>
      <c r="B4800">
        <v>30066</v>
      </c>
      <c r="C4800">
        <v>302436</v>
      </c>
      <c r="D4800">
        <v>21883</v>
      </c>
    </row>
    <row r="4801" spans="1:4" x14ac:dyDescent="0.2">
      <c r="A4801">
        <v>3693681</v>
      </c>
      <c r="B4801">
        <v>30067</v>
      </c>
      <c r="C4801">
        <v>302462</v>
      </c>
      <c r="D4801">
        <v>21883</v>
      </c>
    </row>
    <row r="4802" spans="1:4" x14ac:dyDescent="0.2">
      <c r="A4802">
        <v>3693682</v>
      </c>
      <c r="B4802">
        <v>30063</v>
      </c>
      <c r="C4802">
        <v>302357</v>
      </c>
      <c r="D4802">
        <v>21883</v>
      </c>
    </row>
    <row r="4803" spans="1:4" x14ac:dyDescent="0.2">
      <c r="A4803">
        <v>3693682</v>
      </c>
      <c r="B4803">
        <v>30064</v>
      </c>
      <c r="C4803">
        <v>302419</v>
      </c>
      <c r="D4803">
        <v>21883</v>
      </c>
    </row>
    <row r="4804" spans="1:4" x14ac:dyDescent="0.2">
      <c r="A4804">
        <v>3693682</v>
      </c>
      <c r="B4804">
        <v>30065</v>
      </c>
      <c r="C4804">
        <v>302372</v>
      </c>
      <c r="D4804">
        <v>21883</v>
      </c>
    </row>
    <row r="4805" spans="1:4" x14ac:dyDescent="0.2">
      <c r="A4805">
        <v>3693682</v>
      </c>
      <c r="B4805">
        <v>30066</v>
      </c>
      <c r="C4805">
        <v>302436</v>
      </c>
      <c r="D4805">
        <v>21883</v>
      </c>
    </row>
    <row r="4806" spans="1:4" x14ac:dyDescent="0.2">
      <c r="A4806">
        <v>3693682</v>
      </c>
      <c r="B4806">
        <v>30067</v>
      </c>
      <c r="C4806">
        <v>302462</v>
      </c>
      <c r="D4806">
        <v>21883</v>
      </c>
    </row>
    <row r="4807" spans="1:4" x14ac:dyDescent="0.2">
      <c r="A4807">
        <v>3693683</v>
      </c>
      <c r="B4807">
        <v>30063</v>
      </c>
      <c r="C4807">
        <v>302357</v>
      </c>
      <c r="D4807">
        <v>21883</v>
      </c>
    </row>
    <row r="4808" spans="1:4" x14ac:dyDescent="0.2">
      <c r="A4808">
        <v>3693683</v>
      </c>
      <c r="B4808">
        <v>30064</v>
      </c>
      <c r="C4808">
        <v>302369</v>
      </c>
      <c r="D4808">
        <v>21883</v>
      </c>
    </row>
    <row r="4809" spans="1:4" x14ac:dyDescent="0.2">
      <c r="A4809">
        <v>3693683</v>
      </c>
      <c r="B4809">
        <v>30065</v>
      </c>
      <c r="C4809">
        <v>302372</v>
      </c>
      <c r="D4809">
        <v>21883</v>
      </c>
    </row>
    <row r="4810" spans="1:4" x14ac:dyDescent="0.2">
      <c r="A4810">
        <v>3693683</v>
      </c>
      <c r="B4810">
        <v>30066</v>
      </c>
      <c r="C4810">
        <v>302436</v>
      </c>
      <c r="D4810">
        <v>21883</v>
      </c>
    </row>
    <row r="4811" spans="1:4" x14ac:dyDescent="0.2">
      <c r="A4811">
        <v>3693683</v>
      </c>
      <c r="B4811">
        <v>30067</v>
      </c>
      <c r="C4811">
        <v>302462</v>
      </c>
      <c r="D4811">
        <v>21883</v>
      </c>
    </row>
    <row r="4812" spans="1:4" x14ac:dyDescent="0.2">
      <c r="A4812">
        <v>3693684</v>
      </c>
      <c r="B4812">
        <v>30061</v>
      </c>
      <c r="C4812">
        <v>302333</v>
      </c>
      <c r="D4812">
        <v>21883</v>
      </c>
    </row>
    <row r="4813" spans="1:4" x14ac:dyDescent="0.2">
      <c r="A4813">
        <v>3693684</v>
      </c>
      <c r="B4813">
        <v>30062</v>
      </c>
      <c r="C4813">
        <v>302355</v>
      </c>
      <c r="D4813">
        <v>21883</v>
      </c>
    </row>
    <row r="4814" spans="1:4" x14ac:dyDescent="0.2">
      <c r="A4814">
        <v>3693684</v>
      </c>
      <c r="B4814">
        <v>30063</v>
      </c>
      <c r="C4814">
        <v>302357</v>
      </c>
      <c r="D4814">
        <v>21883</v>
      </c>
    </row>
    <row r="4815" spans="1:4" x14ac:dyDescent="0.2">
      <c r="A4815">
        <v>3693684</v>
      </c>
      <c r="B4815">
        <v>30064</v>
      </c>
      <c r="C4815">
        <v>302369</v>
      </c>
      <c r="D4815">
        <v>21883</v>
      </c>
    </row>
    <row r="4816" spans="1:4" x14ac:dyDescent="0.2">
      <c r="A4816">
        <v>3693684</v>
      </c>
      <c r="B4816">
        <v>30065</v>
      </c>
      <c r="C4816">
        <v>302332</v>
      </c>
      <c r="D4816">
        <v>21883</v>
      </c>
    </row>
    <row r="4817" spans="1:4" x14ac:dyDescent="0.2">
      <c r="A4817">
        <v>3693684</v>
      </c>
      <c r="B4817">
        <v>30066</v>
      </c>
      <c r="C4817">
        <v>302436</v>
      </c>
      <c r="D4817">
        <v>21883</v>
      </c>
    </row>
    <row r="4818" spans="1:4" x14ac:dyDescent="0.2">
      <c r="A4818">
        <v>3693684</v>
      </c>
      <c r="B4818">
        <v>30067</v>
      </c>
      <c r="C4818">
        <v>302462</v>
      </c>
      <c r="D4818">
        <v>21883</v>
      </c>
    </row>
    <row r="4819" spans="1:4" x14ac:dyDescent="0.2">
      <c r="A4819">
        <v>3693685</v>
      </c>
      <c r="B4819">
        <v>30063</v>
      </c>
      <c r="C4819">
        <v>302357</v>
      </c>
      <c r="D4819">
        <v>21883</v>
      </c>
    </row>
    <row r="4820" spans="1:4" x14ac:dyDescent="0.2">
      <c r="A4820">
        <v>3693685</v>
      </c>
      <c r="B4820">
        <v>30064</v>
      </c>
      <c r="C4820">
        <v>302368</v>
      </c>
      <c r="D4820">
        <v>21883</v>
      </c>
    </row>
    <row r="4821" spans="1:4" x14ac:dyDescent="0.2">
      <c r="A4821">
        <v>3693685</v>
      </c>
      <c r="B4821">
        <v>30065</v>
      </c>
      <c r="C4821">
        <v>302372</v>
      </c>
      <c r="D4821">
        <v>21883</v>
      </c>
    </row>
    <row r="4822" spans="1:4" x14ac:dyDescent="0.2">
      <c r="A4822">
        <v>3693685</v>
      </c>
      <c r="B4822">
        <v>30066</v>
      </c>
      <c r="C4822">
        <v>302436</v>
      </c>
      <c r="D4822">
        <v>21883</v>
      </c>
    </row>
    <row r="4823" spans="1:4" x14ac:dyDescent="0.2">
      <c r="A4823">
        <v>3693685</v>
      </c>
      <c r="B4823">
        <v>30067</v>
      </c>
      <c r="C4823">
        <v>302462</v>
      </c>
      <c r="D4823">
        <v>21883</v>
      </c>
    </row>
    <row r="4824" spans="1:4" x14ac:dyDescent="0.2">
      <c r="A4824">
        <v>3693686</v>
      </c>
      <c r="B4824">
        <v>30063</v>
      </c>
      <c r="C4824">
        <v>302357</v>
      </c>
      <c r="D4824">
        <v>21883</v>
      </c>
    </row>
    <row r="4825" spans="1:4" x14ac:dyDescent="0.2">
      <c r="A4825">
        <v>3693686</v>
      </c>
      <c r="B4825">
        <v>30064</v>
      </c>
      <c r="C4825">
        <v>302382</v>
      </c>
      <c r="D4825">
        <v>21883</v>
      </c>
    </row>
    <row r="4826" spans="1:4" x14ac:dyDescent="0.2">
      <c r="A4826">
        <v>3693686</v>
      </c>
      <c r="B4826">
        <v>30065</v>
      </c>
      <c r="C4826">
        <v>302372</v>
      </c>
      <c r="D4826">
        <v>21883</v>
      </c>
    </row>
    <row r="4827" spans="1:4" x14ac:dyDescent="0.2">
      <c r="A4827">
        <v>3693686</v>
      </c>
      <c r="B4827">
        <v>30066</v>
      </c>
      <c r="C4827">
        <v>302436</v>
      </c>
      <c r="D4827">
        <v>21883</v>
      </c>
    </row>
    <row r="4828" spans="1:4" x14ac:dyDescent="0.2">
      <c r="A4828">
        <v>3693686</v>
      </c>
      <c r="B4828">
        <v>30067</v>
      </c>
      <c r="C4828">
        <v>302462</v>
      </c>
      <c r="D4828">
        <v>21883</v>
      </c>
    </row>
    <row r="4829" spans="1:4" x14ac:dyDescent="0.2">
      <c r="A4829">
        <v>3693687</v>
      </c>
      <c r="B4829">
        <v>30063</v>
      </c>
      <c r="C4829">
        <v>302357</v>
      </c>
      <c r="D4829">
        <v>21883</v>
      </c>
    </row>
    <row r="4830" spans="1:4" x14ac:dyDescent="0.2">
      <c r="A4830">
        <v>3693687</v>
      </c>
      <c r="B4830">
        <v>30064</v>
      </c>
      <c r="C4830">
        <v>302382</v>
      </c>
      <c r="D4830">
        <v>21883</v>
      </c>
    </row>
    <row r="4831" spans="1:4" x14ac:dyDescent="0.2">
      <c r="A4831">
        <v>3693687</v>
      </c>
      <c r="B4831">
        <v>30065</v>
      </c>
      <c r="C4831">
        <v>302372</v>
      </c>
      <c r="D4831">
        <v>21883</v>
      </c>
    </row>
    <row r="4832" spans="1:4" x14ac:dyDescent="0.2">
      <c r="A4832">
        <v>3693687</v>
      </c>
      <c r="B4832">
        <v>30066</v>
      </c>
      <c r="C4832">
        <v>302436</v>
      </c>
      <c r="D4832">
        <v>21883</v>
      </c>
    </row>
    <row r="4833" spans="1:4" x14ac:dyDescent="0.2">
      <c r="A4833">
        <v>3693687</v>
      </c>
      <c r="B4833">
        <v>30067</v>
      </c>
      <c r="C4833">
        <v>302462</v>
      </c>
      <c r="D4833">
        <v>21883</v>
      </c>
    </row>
    <row r="4834" spans="1:4" x14ac:dyDescent="0.2">
      <c r="A4834">
        <v>3693688</v>
      </c>
      <c r="B4834">
        <v>30063</v>
      </c>
      <c r="C4834">
        <v>302357</v>
      </c>
      <c r="D4834">
        <v>21883</v>
      </c>
    </row>
    <row r="4835" spans="1:4" x14ac:dyDescent="0.2">
      <c r="A4835">
        <v>3693688</v>
      </c>
      <c r="B4835">
        <v>30064</v>
      </c>
      <c r="C4835">
        <v>302369</v>
      </c>
      <c r="D4835">
        <v>21883</v>
      </c>
    </row>
    <row r="4836" spans="1:4" x14ac:dyDescent="0.2">
      <c r="A4836">
        <v>3693688</v>
      </c>
      <c r="B4836">
        <v>30065</v>
      </c>
      <c r="C4836">
        <v>302372</v>
      </c>
      <c r="D4836">
        <v>21883</v>
      </c>
    </row>
    <row r="4837" spans="1:4" x14ac:dyDescent="0.2">
      <c r="A4837">
        <v>3693688</v>
      </c>
      <c r="B4837">
        <v>30066</v>
      </c>
      <c r="C4837">
        <v>302436</v>
      </c>
      <c r="D4837">
        <v>21883</v>
      </c>
    </row>
    <row r="4838" spans="1:4" x14ac:dyDescent="0.2">
      <c r="A4838">
        <v>3693688</v>
      </c>
      <c r="B4838">
        <v>30067</v>
      </c>
      <c r="C4838">
        <v>302462</v>
      </c>
      <c r="D4838">
        <v>21883</v>
      </c>
    </row>
    <row r="4839" spans="1:4" x14ac:dyDescent="0.2">
      <c r="A4839">
        <v>3693689</v>
      </c>
      <c r="B4839">
        <v>30063</v>
      </c>
      <c r="C4839">
        <v>302357</v>
      </c>
      <c r="D4839">
        <v>21883</v>
      </c>
    </row>
    <row r="4840" spans="1:4" x14ac:dyDescent="0.2">
      <c r="A4840">
        <v>3693689</v>
      </c>
      <c r="B4840">
        <v>30064</v>
      </c>
      <c r="C4840">
        <v>302369</v>
      </c>
      <c r="D4840">
        <v>21883</v>
      </c>
    </row>
    <row r="4841" spans="1:4" x14ac:dyDescent="0.2">
      <c r="A4841">
        <v>3693689</v>
      </c>
      <c r="B4841">
        <v>30065</v>
      </c>
      <c r="C4841">
        <v>302372</v>
      </c>
      <c r="D4841">
        <v>21883</v>
      </c>
    </row>
    <row r="4842" spans="1:4" x14ac:dyDescent="0.2">
      <c r="A4842">
        <v>3693689</v>
      </c>
      <c r="B4842">
        <v>30066</v>
      </c>
      <c r="C4842">
        <v>302436</v>
      </c>
      <c r="D4842">
        <v>21883</v>
      </c>
    </row>
    <row r="4843" spans="1:4" x14ac:dyDescent="0.2">
      <c r="A4843">
        <v>3693689</v>
      </c>
      <c r="B4843">
        <v>30067</v>
      </c>
      <c r="C4843">
        <v>302462</v>
      </c>
      <c r="D4843">
        <v>21883</v>
      </c>
    </row>
    <row r="4844" spans="1:4" x14ac:dyDescent="0.2">
      <c r="A4844">
        <v>3693690</v>
      </c>
      <c r="B4844">
        <v>30063</v>
      </c>
      <c r="C4844">
        <v>302357</v>
      </c>
      <c r="D4844">
        <v>21883</v>
      </c>
    </row>
    <row r="4845" spans="1:4" x14ac:dyDescent="0.2">
      <c r="A4845">
        <v>3693690</v>
      </c>
      <c r="B4845">
        <v>30064</v>
      </c>
      <c r="C4845">
        <v>302369</v>
      </c>
      <c r="D4845">
        <v>21883</v>
      </c>
    </row>
    <row r="4846" spans="1:4" x14ac:dyDescent="0.2">
      <c r="A4846">
        <v>3693690</v>
      </c>
      <c r="B4846">
        <v>30065</v>
      </c>
      <c r="C4846">
        <v>302372</v>
      </c>
      <c r="D4846">
        <v>21883</v>
      </c>
    </row>
    <row r="4847" spans="1:4" x14ac:dyDescent="0.2">
      <c r="A4847">
        <v>3693690</v>
      </c>
      <c r="B4847">
        <v>30066</v>
      </c>
      <c r="C4847">
        <v>302436</v>
      </c>
      <c r="D4847">
        <v>21883</v>
      </c>
    </row>
    <row r="4848" spans="1:4" x14ac:dyDescent="0.2">
      <c r="A4848">
        <v>3693690</v>
      </c>
      <c r="B4848">
        <v>30067</v>
      </c>
      <c r="C4848">
        <v>302462</v>
      </c>
      <c r="D4848">
        <v>21883</v>
      </c>
    </row>
    <row r="4849" spans="1:4" x14ac:dyDescent="0.2">
      <c r="A4849">
        <v>3693691</v>
      </c>
      <c r="B4849">
        <v>30063</v>
      </c>
      <c r="C4849">
        <v>302357</v>
      </c>
      <c r="D4849">
        <v>21883</v>
      </c>
    </row>
    <row r="4850" spans="1:4" x14ac:dyDescent="0.2">
      <c r="A4850">
        <v>3693691</v>
      </c>
      <c r="B4850">
        <v>30064</v>
      </c>
      <c r="C4850">
        <v>302369</v>
      </c>
      <c r="D4850">
        <v>21883</v>
      </c>
    </row>
    <row r="4851" spans="1:4" x14ac:dyDescent="0.2">
      <c r="A4851">
        <v>3693691</v>
      </c>
      <c r="B4851">
        <v>30065</v>
      </c>
      <c r="C4851">
        <v>302372</v>
      </c>
      <c r="D4851">
        <v>21883</v>
      </c>
    </row>
    <row r="4852" spans="1:4" x14ac:dyDescent="0.2">
      <c r="A4852">
        <v>3693691</v>
      </c>
      <c r="B4852">
        <v>30066</v>
      </c>
      <c r="C4852">
        <v>302436</v>
      </c>
      <c r="D4852">
        <v>21883</v>
      </c>
    </row>
    <row r="4853" spans="1:4" x14ac:dyDescent="0.2">
      <c r="A4853">
        <v>3693691</v>
      </c>
      <c r="B4853">
        <v>30067</v>
      </c>
      <c r="C4853">
        <v>302462</v>
      </c>
      <c r="D4853">
        <v>21883</v>
      </c>
    </row>
    <row r="4854" spans="1:4" x14ac:dyDescent="0.2">
      <c r="A4854">
        <v>3693692</v>
      </c>
      <c r="B4854">
        <v>30063</v>
      </c>
      <c r="C4854">
        <v>302357</v>
      </c>
      <c r="D4854">
        <v>21883</v>
      </c>
    </row>
    <row r="4855" spans="1:4" x14ac:dyDescent="0.2">
      <c r="A4855">
        <v>3693692</v>
      </c>
      <c r="B4855">
        <v>30064</v>
      </c>
      <c r="C4855">
        <v>302369</v>
      </c>
      <c r="D4855">
        <v>21883</v>
      </c>
    </row>
    <row r="4856" spans="1:4" x14ac:dyDescent="0.2">
      <c r="A4856">
        <v>3693692</v>
      </c>
      <c r="B4856">
        <v>30065</v>
      </c>
      <c r="C4856">
        <v>302372</v>
      </c>
      <c r="D4856">
        <v>21883</v>
      </c>
    </row>
    <row r="4857" spans="1:4" x14ac:dyDescent="0.2">
      <c r="A4857">
        <v>3693692</v>
      </c>
      <c r="B4857">
        <v>30066</v>
      </c>
      <c r="C4857">
        <v>302436</v>
      </c>
      <c r="D4857">
        <v>21883</v>
      </c>
    </row>
    <row r="4858" spans="1:4" x14ac:dyDescent="0.2">
      <c r="A4858">
        <v>3693692</v>
      </c>
      <c r="B4858">
        <v>30067</v>
      </c>
      <c r="C4858">
        <v>302462</v>
      </c>
      <c r="D4858">
        <v>21883</v>
      </c>
    </row>
    <row r="4859" spans="1:4" x14ac:dyDescent="0.2">
      <c r="A4859">
        <v>3693693</v>
      </c>
      <c r="B4859">
        <v>30063</v>
      </c>
      <c r="C4859">
        <v>302357</v>
      </c>
      <c r="D4859">
        <v>21883</v>
      </c>
    </row>
    <row r="4860" spans="1:4" x14ac:dyDescent="0.2">
      <c r="A4860">
        <v>3693693</v>
      </c>
      <c r="B4860">
        <v>30064</v>
      </c>
      <c r="C4860">
        <v>302369</v>
      </c>
      <c r="D4860">
        <v>21883</v>
      </c>
    </row>
    <row r="4861" spans="1:4" x14ac:dyDescent="0.2">
      <c r="A4861">
        <v>3693693</v>
      </c>
      <c r="B4861">
        <v>30065</v>
      </c>
      <c r="C4861">
        <v>302372</v>
      </c>
      <c r="D4861">
        <v>21883</v>
      </c>
    </row>
    <row r="4862" spans="1:4" x14ac:dyDescent="0.2">
      <c r="A4862">
        <v>3693693</v>
      </c>
      <c r="B4862">
        <v>30066</v>
      </c>
      <c r="C4862">
        <v>302436</v>
      </c>
      <c r="D4862">
        <v>21883</v>
      </c>
    </row>
    <row r="4863" spans="1:4" x14ac:dyDescent="0.2">
      <c r="A4863">
        <v>3693693</v>
      </c>
      <c r="B4863">
        <v>30067</v>
      </c>
      <c r="C4863">
        <v>302462</v>
      </c>
      <c r="D4863">
        <v>21883</v>
      </c>
    </row>
    <row r="4864" spans="1:4" x14ac:dyDescent="0.2">
      <c r="A4864">
        <v>3693694</v>
      </c>
      <c r="B4864">
        <v>30063</v>
      </c>
      <c r="C4864">
        <v>302357</v>
      </c>
      <c r="D4864">
        <v>21883</v>
      </c>
    </row>
    <row r="4865" spans="1:4" x14ac:dyDescent="0.2">
      <c r="A4865">
        <v>3693694</v>
      </c>
      <c r="B4865">
        <v>30064</v>
      </c>
      <c r="C4865">
        <v>302369</v>
      </c>
      <c r="D4865">
        <v>21883</v>
      </c>
    </row>
    <row r="4866" spans="1:4" x14ac:dyDescent="0.2">
      <c r="A4866">
        <v>3693694</v>
      </c>
      <c r="B4866">
        <v>30065</v>
      </c>
      <c r="C4866">
        <v>302372</v>
      </c>
      <c r="D4866">
        <v>21883</v>
      </c>
    </row>
    <row r="4867" spans="1:4" x14ac:dyDescent="0.2">
      <c r="A4867">
        <v>3693694</v>
      </c>
      <c r="B4867">
        <v>30066</v>
      </c>
      <c r="C4867">
        <v>302436</v>
      </c>
      <c r="D4867">
        <v>21883</v>
      </c>
    </row>
    <row r="4868" spans="1:4" x14ac:dyDescent="0.2">
      <c r="A4868">
        <v>3693694</v>
      </c>
      <c r="B4868">
        <v>30067</v>
      </c>
      <c r="C4868">
        <v>302462</v>
      </c>
      <c r="D4868">
        <v>21883</v>
      </c>
    </row>
    <row r="4869" spans="1:4" x14ac:dyDescent="0.2">
      <c r="A4869">
        <v>3693695</v>
      </c>
      <c r="B4869">
        <v>30061</v>
      </c>
      <c r="C4869">
        <v>302333</v>
      </c>
      <c r="D4869">
        <v>21883</v>
      </c>
    </row>
    <row r="4870" spans="1:4" x14ac:dyDescent="0.2">
      <c r="A4870">
        <v>3693695</v>
      </c>
      <c r="B4870">
        <v>30062</v>
      </c>
      <c r="C4870">
        <v>302355</v>
      </c>
      <c r="D4870">
        <v>21883</v>
      </c>
    </row>
    <row r="4871" spans="1:4" x14ac:dyDescent="0.2">
      <c r="A4871">
        <v>3693695</v>
      </c>
      <c r="B4871">
        <v>30063</v>
      </c>
      <c r="C4871">
        <v>302357</v>
      </c>
      <c r="D4871">
        <v>21883</v>
      </c>
    </row>
    <row r="4872" spans="1:4" x14ac:dyDescent="0.2">
      <c r="A4872">
        <v>3693695</v>
      </c>
      <c r="B4872">
        <v>30064</v>
      </c>
      <c r="C4872">
        <v>302382</v>
      </c>
      <c r="D4872">
        <v>21883</v>
      </c>
    </row>
    <row r="4873" spans="1:4" x14ac:dyDescent="0.2">
      <c r="A4873">
        <v>3693695</v>
      </c>
      <c r="B4873">
        <v>30065</v>
      </c>
      <c r="C4873">
        <v>302332</v>
      </c>
      <c r="D4873">
        <v>21883</v>
      </c>
    </row>
    <row r="4874" spans="1:4" x14ac:dyDescent="0.2">
      <c r="A4874">
        <v>3693695</v>
      </c>
      <c r="B4874">
        <v>30066</v>
      </c>
      <c r="C4874">
        <v>302436</v>
      </c>
      <c r="D4874">
        <v>21883</v>
      </c>
    </row>
    <row r="4875" spans="1:4" x14ac:dyDescent="0.2">
      <c r="A4875">
        <v>3693695</v>
      </c>
      <c r="B4875">
        <v>30067</v>
      </c>
      <c r="C4875">
        <v>302463</v>
      </c>
      <c r="D4875">
        <v>21883</v>
      </c>
    </row>
    <row r="4876" spans="1:4" x14ac:dyDescent="0.2">
      <c r="A4876">
        <v>3693696</v>
      </c>
      <c r="B4876">
        <v>30063</v>
      </c>
      <c r="C4876">
        <v>302357</v>
      </c>
      <c r="D4876">
        <v>21883</v>
      </c>
    </row>
    <row r="4877" spans="1:4" x14ac:dyDescent="0.2">
      <c r="A4877">
        <v>3693696</v>
      </c>
      <c r="B4877">
        <v>30064</v>
      </c>
      <c r="C4877">
        <v>302369</v>
      </c>
      <c r="D4877">
        <v>21883</v>
      </c>
    </row>
    <row r="4878" spans="1:4" x14ac:dyDescent="0.2">
      <c r="A4878">
        <v>3693696</v>
      </c>
      <c r="B4878">
        <v>30065</v>
      </c>
      <c r="C4878">
        <v>302372</v>
      </c>
      <c r="D4878">
        <v>21883</v>
      </c>
    </row>
    <row r="4879" spans="1:4" x14ac:dyDescent="0.2">
      <c r="A4879">
        <v>3693696</v>
      </c>
      <c r="B4879">
        <v>30066</v>
      </c>
      <c r="C4879">
        <v>302436</v>
      </c>
      <c r="D4879">
        <v>21883</v>
      </c>
    </row>
    <row r="4880" spans="1:4" x14ac:dyDescent="0.2">
      <c r="A4880">
        <v>3693696</v>
      </c>
      <c r="B4880">
        <v>30067</v>
      </c>
      <c r="C4880">
        <v>302463</v>
      </c>
      <c r="D4880">
        <v>21883</v>
      </c>
    </row>
    <row r="4881" spans="1:4" x14ac:dyDescent="0.2">
      <c r="A4881">
        <v>3693697</v>
      </c>
      <c r="B4881">
        <v>30063</v>
      </c>
      <c r="C4881">
        <v>302357</v>
      </c>
      <c r="D4881">
        <v>21883</v>
      </c>
    </row>
    <row r="4882" spans="1:4" x14ac:dyDescent="0.2">
      <c r="A4882">
        <v>3693697</v>
      </c>
      <c r="B4882">
        <v>30064</v>
      </c>
      <c r="C4882">
        <v>302419</v>
      </c>
      <c r="D4882">
        <v>21883</v>
      </c>
    </row>
    <row r="4883" spans="1:4" x14ac:dyDescent="0.2">
      <c r="A4883">
        <v>3693697</v>
      </c>
      <c r="B4883">
        <v>30065</v>
      </c>
      <c r="C4883">
        <v>302372</v>
      </c>
      <c r="D4883">
        <v>21883</v>
      </c>
    </row>
    <row r="4884" spans="1:4" x14ac:dyDescent="0.2">
      <c r="A4884">
        <v>3693697</v>
      </c>
      <c r="B4884">
        <v>30066</v>
      </c>
      <c r="C4884">
        <v>302436</v>
      </c>
      <c r="D4884">
        <v>21883</v>
      </c>
    </row>
    <row r="4885" spans="1:4" x14ac:dyDescent="0.2">
      <c r="A4885">
        <v>3693697</v>
      </c>
      <c r="B4885">
        <v>30067</v>
      </c>
      <c r="C4885">
        <v>302463</v>
      </c>
      <c r="D4885">
        <v>21883</v>
      </c>
    </row>
    <row r="4886" spans="1:4" x14ac:dyDescent="0.2">
      <c r="A4886">
        <v>3693698</v>
      </c>
      <c r="B4886">
        <v>30063</v>
      </c>
      <c r="C4886">
        <v>302357</v>
      </c>
      <c r="D4886">
        <v>21883</v>
      </c>
    </row>
    <row r="4887" spans="1:4" x14ac:dyDescent="0.2">
      <c r="A4887">
        <v>3693698</v>
      </c>
      <c r="B4887">
        <v>30064</v>
      </c>
      <c r="C4887">
        <v>302369</v>
      </c>
      <c r="D4887">
        <v>21883</v>
      </c>
    </row>
    <row r="4888" spans="1:4" x14ac:dyDescent="0.2">
      <c r="A4888">
        <v>3693698</v>
      </c>
      <c r="B4888">
        <v>30065</v>
      </c>
      <c r="C4888">
        <v>302372</v>
      </c>
      <c r="D4888">
        <v>21883</v>
      </c>
    </row>
    <row r="4889" spans="1:4" x14ac:dyDescent="0.2">
      <c r="A4889">
        <v>3693698</v>
      </c>
      <c r="B4889">
        <v>30066</v>
      </c>
      <c r="C4889">
        <v>302436</v>
      </c>
      <c r="D4889">
        <v>21883</v>
      </c>
    </row>
    <row r="4890" spans="1:4" x14ac:dyDescent="0.2">
      <c r="A4890">
        <v>3693698</v>
      </c>
      <c r="B4890">
        <v>30067</v>
      </c>
      <c r="C4890">
        <v>302463</v>
      </c>
      <c r="D4890">
        <v>21883</v>
      </c>
    </row>
    <row r="4891" spans="1:4" x14ac:dyDescent="0.2">
      <c r="A4891">
        <v>3693699</v>
      </c>
      <c r="B4891">
        <v>30061</v>
      </c>
      <c r="C4891">
        <v>302333</v>
      </c>
      <c r="D4891">
        <v>21883</v>
      </c>
    </row>
    <row r="4892" spans="1:4" x14ac:dyDescent="0.2">
      <c r="A4892">
        <v>3693699</v>
      </c>
      <c r="B4892">
        <v>30062</v>
      </c>
      <c r="C4892">
        <v>302355</v>
      </c>
      <c r="D4892">
        <v>21883</v>
      </c>
    </row>
    <row r="4893" spans="1:4" x14ac:dyDescent="0.2">
      <c r="A4893">
        <v>3693699</v>
      </c>
      <c r="B4893">
        <v>30063</v>
      </c>
      <c r="C4893">
        <v>302357</v>
      </c>
      <c r="D4893">
        <v>21883</v>
      </c>
    </row>
    <row r="4894" spans="1:4" x14ac:dyDescent="0.2">
      <c r="A4894">
        <v>3693699</v>
      </c>
      <c r="B4894">
        <v>30064</v>
      </c>
      <c r="C4894">
        <v>302369</v>
      </c>
      <c r="D4894">
        <v>21883</v>
      </c>
    </row>
    <row r="4895" spans="1:4" x14ac:dyDescent="0.2">
      <c r="A4895">
        <v>3693699</v>
      </c>
      <c r="B4895">
        <v>30065</v>
      </c>
      <c r="C4895">
        <v>302332</v>
      </c>
      <c r="D4895">
        <v>21883</v>
      </c>
    </row>
    <row r="4896" spans="1:4" x14ac:dyDescent="0.2">
      <c r="A4896">
        <v>3693699</v>
      </c>
      <c r="B4896">
        <v>30066</v>
      </c>
      <c r="C4896">
        <v>302436</v>
      </c>
      <c r="D4896">
        <v>21883</v>
      </c>
    </row>
    <row r="4897" spans="1:4" x14ac:dyDescent="0.2">
      <c r="A4897">
        <v>3693699</v>
      </c>
      <c r="B4897">
        <v>30067</v>
      </c>
      <c r="C4897">
        <v>302463</v>
      </c>
      <c r="D4897">
        <v>21883</v>
      </c>
    </row>
    <row r="4898" spans="1:4" x14ac:dyDescent="0.2">
      <c r="A4898">
        <v>3693700</v>
      </c>
      <c r="B4898">
        <v>30063</v>
      </c>
      <c r="C4898">
        <v>302357</v>
      </c>
      <c r="D4898">
        <v>21883</v>
      </c>
    </row>
    <row r="4899" spans="1:4" x14ac:dyDescent="0.2">
      <c r="A4899">
        <v>3693700</v>
      </c>
      <c r="B4899">
        <v>30064</v>
      </c>
      <c r="C4899">
        <v>302368</v>
      </c>
      <c r="D4899">
        <v>21883</v>
      </c>
    </row>
    <row r="4900" spans="1:4" x14ac:dyDescent="0.2">
      <c r="A4900">
        <v>3693700</v>
      </c>
      <c r="B4900">
        <v>30065</v>
      </c>
      <c r="C4900">
        <v>302372</v>
      </c>
      <c r="D4900">
        <v>21883</v>
      </c>
    </row>
    <row r="4901" spans="1:4" x14ac:dyDescent="0.2">
      <c r="A4901">
        <v>3693700</v>
      </c>
      <c r="B4901">
        <v>30066</v>
      </c>
      <c r="C4901">
        <v>302436</v>
      </c>
      <c r="D4901">
        <v>21883</v>
      </c>
    </row>
    <row r="4902" spans="1:4" x14ac:dyDescent="0.2">
      <c r="A4902">
        <v>3693700</v>
      </c>
      <c r="B4902">
        <v>30067</v>
      </c>
      <c r="C4902">
        <v>302463</v>
      </c>
      <c r="D4902">
        <v>21883</v>
      </c>
    </row>
    <row r="4903" spans="1:4" x14ac:dyDescent="0.2">
      <c r="A4903">
        <v>3693701</v>
      </c>
      <c r="B4903">
        <v>30061</v>
      </c>
      <c r="C4903">
        <v>302337</v>
      </c>
      <c r="D4903">
        <v>21883</v>
      </c>
    </row>
    <row r="4904" spans="1:4" x14ac:dyDescent="0.2">
      <c r="A4904">
        <v>3693701</v>
      </c>
      <c r="B4904">
        <v>30063</v>
      </c>
      <c r="C4904">
        <v>302357</v>
      </c>
      <c r="D4904">
        <v>21883</v>
      </c>
    </row>
    <row r="4905" spans="1:4" x14ac:dyDescent="0.2">
      <c r="A4905">
        <v>3693701</v>
      </c>
      <c r="B4905">
        <v>30064</v>
      </c>
      <c r="C4905">
        <v>302382</v>
      </c>
      <c r="D4905">
        <v>21883</v>
      </c>
    </row>
    <row r="4906" spans="1:4" x14ac:dyDescent="0.2">
      <c r="A4906">
        <v>3693701</v>
      </c>
      <c r="B4906">
        <v>30065</v>
      </c>
      <c r="C4906">
        <v>302372</v>
      </c>
      <c r="D4906">
        <v>21883</v>
      </c>
    </row>
    <row r="4907" spans="1:4" x14ac:dyDescent="0.2">
      <c r="A4907">
        <v>3693701</v>
      </c>
      <c r="B4907">
        <v>30066</v>
      </c>
      <c r="C4907">
        <v>302436</v>
      </c>
      <c r="D4907">
        <v>21883</v>
      </c>
    </row>
    <row r="4908" spans="1:4" x14ac:dyDescent="0.2">
      <c r="A4908">
        <v>3693701</v>
      </c>
      <c r="B4908">
        <v>30067</v>
      </c>
      <c r="C4908">
        <v>302463</v>
      </c>
      <c r="D4908">
        <v>21883</v>
      </c>
    </row>
    <row r="4909" spans="1:4" x14ac:dyDescent="0.2">
      <c r="A4909">
        <v>3693702</v>
      </c>
      <c r="B4909">
        <v>30063</v>
      </c>
      <c r="C4909">
        <v>302357</v>
      </c>
      <c r="D4909">
        <v>21883</v>
      </c>
    </row>
    <row r="4910" spans="1:4" x14ac:dyDescent="0.2">
      <c r="A4910">
        <v>3693702</v>
      </c>
      <c r="B4910">
        <v>30064</v>
      </c>
      <c r="C4910">
        <v>302382</v>
      </c>
      <c r="D4910">
        <v>21883</v>
      </c>
    </row>
    <row r="4911" spans="1:4" x14ac:dyDescent="0.2">
      <c r="A4911">
        <v>3693702</v>
      </c>
      <c r="B4911">
        <v>30065</v>
      </c>
      <c r="C4911">
        <v>302372</v>
      </c>
      <c r="D4911">
        <v>21883</v>
      </c>
    </row>
    <row r="4912" spans="1:4" x14ac:dyDescent="0.2">
      <c r="A4912">
        <v>3693702</v>
      </c>
      <c r="B4912">
        <v>30066</v>
      </c>
      <c r="C4912">
        <v>302436</v>
      </c>
      <c r="D4912">
        <v>21883</v>
      </c>
    </row>
    <row r="4913" spans="1:4" x14ac:dyDescent="0.2">
      <c r="A4913">
        <v>3693702</v>
      </c>
      <c r="B4913">
        <v>30067</v>
      </c>
      <c r="C4913">
        <v>302463</v>
      </c>
      <c r="D4913">
        <v>21883</v>
      </c>
    </row>
    <row r="4914" spans="1:4" x14ac:dyDescent="0.2">
      <c r="A4914">
        <v>3693703</v>
      </c>
      <c r="B4914">
        <v>30063</v>
      </c>
      <c r="C4914">
        <v>302357</v>
      </c>
      <c r="D4914">
        <v>21883</v>
      </c>
    </row>
    <row r="4915" spans="1:4" x14ac:dyDescent="0.2">
      <c r="A4915">
        <v>3693703</v>
      </c>
      <c r="B4915">
        <v>30064</v>
      </c>
      <c r="C4915">
        <v>302369</v>
      </c>
      <c r="D4915">
        <v>21883</v>
      </c>
    </row>
    <row r="4916" spans="1:4" x14ac:dyDescent="0.2">
      <c r="A4916">
        <v>3693703</v>
      </c>
      <c r="B4916">
        <v>30065</v>
      </c>
      <c r="C4916">
        <v>302372</v>
      </c>
      <c r="D4916">
        <v>21883</v>
      </c>
    </row>
    <row r="4917" spans="1:4" x14ac:dyDescent="0.2">
      <c r="A4917">
        <v>3693703</v>
      </c>
      <c r="B4917">
        <v>30066</v>
      </c>
      <c r="C4917">
        <v>302436</v>
      </c>
      <c r="D4917">
        <v>21883</v>
      </c>
    </row>
    <row r="4918" spans="1:4" x14ac:dyDescent="0.2">
      <c r="A4918">
        <v>3693703</v>
      </c>
      <c r="B4918">
        <v>30067</v>
      </c>
      <c r="C4918">
        <v>302463</v>
      </c>
      <c r="D4918">
        <v>21883</v>
      </c>
    </row>
    <row r="4919" spans="1:4" x14ac:dyDescent="0.2">
      <c r="A4919">
        <v>3693704</v>
      </c>
      <c r="B4919">
        <v>30063</v>
      </c>
      <c r="C4919">
        <v>302357</v>
      </c>
      <c r="D4919">
        <v>21883</v>
      </c>
    </row>
    <row r="4920" spans="1:4" x14ac:dyDescent="0.2">
      <c r="A4920">
        <v>3693704</v>
      </c>
      <c r="B4920">
        <v>30064</v>
      </c>
      <c r="C4920">
        <v>302369</v>
      </c>
      <c r="D4920">
        <v>21883</v>
      </c>
    </row>
    <row r="4921" spans="1:4" x14ac:dyDescent="0.2">
      <c r="A4921">
        <v>3693704</v>
      </c>
      <c r="B4921">
        <v>30065</v>
      </c>
      <c r="C4921">
        <v>302372</v>
      </c>
      <c r="D4921">
        <v>21883</v>
      </c>
    </row>
    <row r="4922" spans="1:4" x14ac:dyDescent="0.2">
      <c r="A4922">
        <v>3693704</v>
      </c>
      <c r="B4922">
        <v>30066</v>
      </c>
      <c r="C4922">
        <v>302436</v>
      </c>
      <c r="D4922">
        <v>21883</v>
      </c>
    </row>
    <row r="4923" spans="1:4" x14ac:dyDescent="0.2">
      <c r="A4923">
        <v>3693704</v>
      </c>
      <c r="B4923">
        <v>30067</v>
      </c>
      <c r="C4923">
        <v>302463</v>
      </c>
      <c r="D4923">
        <v>21883</v>
      </c>
    </row>
    <row r="4924" spans="1:4" x14ac:dyDescent="0.2">
      <c r="A4924">
        <v>3693705</v>
      </c>
      <c r="B4924">
        <v>30063</v>
      </c>
      <c r="C4924">
        <v>302357</v>
      </c>
      <c r="D4924">
        <v>21883</v>
      </c>
    </row>
    <row r="4925" spans="1:4" x14ac:dyDescent="0.2">
      <c r="A4925">
        <v>3693705</v>
      </c>
      <c r="B4925">
        <v>30064</v>
      </c>
      <c r="C4925">
        <v>302369</v>
      </c>
      <c r="D4925">
        <v>21883</v>
      </c>
    </row>
    <row r="4926" spans="1:4" x14ac:dyDescent="0.2">
      <c r="A4926">
        <v>3693705</v>
      </c>
      <c r="B4926">
        <v>30065</v>
      </c>
      <c r="C4926">
        <v>302372</v>
      </c>
      <c r="D4926">
        <v>21883</v>
      </c>
    </row>
    <row r="4927" spans="1:4" x14ac:dyDescent="0.2">
      <c r="A4927">
        <v>3693705</v>
      </c>
      <c r="B4927">
        <v>30066</v>
      </c>
      <c r="C4927">
        <v>302436</v>
      </c>
      <c r="D4927">
        <v>21883</v>
      </c>
    </row>
    <row r="4928" spans="1:4" x14ac:dyDescent="0.2">
      <c r="A4928">
        <v>3693705</v>
      </c>
      <c r="B4928">
        <v>30067</v>
      </c>
      <c r="C4928">
        <v>302463</v>
      </c>
      <c r="D4928">
        <v>21883</v>
      </c>
    </row>
    <row r="4929" spans="1:4" x14ac:dyDescent="0.2">
      <c r="A4929">
        <v>3693706</v>
      </c>
      <c r="B4929">
        <v>30063</v>
      </c>
      <c r="C4929">
        <v>302357</v>
      </c>
      <c r="D4929">
        <v>21883</v>
      </c>
    </row>
    <row r="4930" spans="1:4" x14ac:dyDescent="0.2">
      <c r="A4930">
        <v>3693706</v>
      </c>
      <c r="B4930">
        <v>30064</v>
      </c>
      <c r="C4930">
        <v>302369</v>
      </c>
      <c r="D4930">
        <v>21883</v>
      </c>
    </row>
    <row r="4931" spans="1:4" x14ac:dyDescent="0.2">
      <c r="A4931">
        <v>3693706</v>
      </c>
      <c r="B4931">
        <v>30065</v>
      </c>
      <c r="C4931">
        <v>302372</v>
      </c>
      <c r="D4931">
        <v>21883</v>
      </c>
    </row>
    <row r="4932" spans="1:4" x14ac:dyDescent="0.2">
      <c r="A4932">
        <v>3693706</v>
      </c>
      <c r="B4932">
        <v>30066</v>
      </c>
      <c r="C4932">
        <v>302436</v>
      </c>
      <c r="D4932">
        <v>21883</v>
      </c>
    </row>
    <row r="4933" spans="1:4" x14ac:dyDescent="0.2">
      <c r="A4933">
        <v>3693706</v>
      </c>
      <c r="B4933">
        <v>30067</v>
      </c>
      <c r="C4933">
        <v>302463</v>
      </c>
      <c r="D4933">
        <v>21883</v>
      </c>
    </row>
    <row r="4934" spans="1:4" x14ac:dyDescent="0.2">
      <c r="A4934">
        <v>3693707</v>
      </c>
      <c r="B4934">
        <v>30063</v>
      </c>
      <c r="C4934">
        <v>302357</v>
      </c>
      <c r="D4934">
        <v>21883</v>
      </c>
    </row>
    <row r="4935" spans="1:4" x14ac:dyDescent="0.2">
      <c r="A4935">
        <v>3693707</v>
      </c>
      <c r="B4935">
        <v>30064</v>
      </c>
      <c r="C4935">
        <v>302369</v>
      </c>
      <c r="D4935">
        <v>21883</v>
      </c>
    </row>
    <row r="4936" spans="1:4" x14ac:dyDescent="0.2">
      <c r="A4936">
        <v>3693707</v>
      </c>
      <c r="B4936">
        <v>30065</v>
      </c>
      <c r="C4936">
        <v>302372</v>
      </c>
      <c r="D4936">
        <v>21883</v>
      </c>
    </row>
    <row r="4937" spans="1:4" x14ac:dyDescent="0.2">
      <c r="A4937">
        <v>3693707</v>
      </c>
      <c r="B4937">
        <v>30066</v>
      </c>
      <c r="C4937">
        <v>302436</v>
      </c>
      <c r="D4937">
        <v>21883</v>
      </c>
    </row>
    <row r="4938" spans="1:4" x14ac:dyDescent="0.2">
      <c r="A4938">
        <v>3693707</v>
      </c>
      <c r="B4938">
        <v>30067</v>
      </c>
      <c r="C4938">
        <v>302463</v>
      </c>
      <c r="D4938">
        <v>21883</v>
      </c>
    </row>
    <row r="4939" spans="1:4" x14ac:dyDescent="0.2">
      <c r="A4939">
        <v>3693708</v>
      </c>
      <c r="B4939">
        <v>30063</v>
      </c>
      <c r="C4939">
        <v>302357</v>
      </c>
      <c r="D4939">
        <v>21883</v>
      </c>
    </row>
    <row r="4940" spans="1:4" x14ac:dyDescent="0.2">
      <c r="A4940">
        <v>3693708</v>
      </c>
      <c r="B4940">
        <v>30064</v>
      </c>
      <c r="C4940">
        <v>302369</v>
      </c>
      <c r="D4940">
        <v>21883</v>
      </c>
    </row>
    <row r="4941" spans="1:4" x14ac:dyDescent="0.2">
      <c r="A4941">
        <v>3693708</v>
      </c>
      <c r="B4941">
        <v>30065</v>
      </c>
      <c r="C4941">
        <v>302372</v>
      </c>
      <c r="D4941">
        <v>21883</v>
      </c>
    </row>
    <row r="4942" spans="1:4" x14ac:dyDescent="0.2">
      <c r="A4942">
        <v>3693708</v>
      </c>
      <c r="B4942">
        <v>30066</v>
      </c>
      <c r="C4942">
        <v>302436</v>
      </c>
      <c r="D4942">
        <v>21883</v>
      </c>
    </row>
    <row r="4943" spans="1:4" x14ac:dyDescent="0.2">
      <c r="A4943">
        <v>3693708</v>
      </c>
      <c r="B4943">
        <v>30067</v>
      </c>
      <c r="C4943">
        <v>302463</v>
      </c>
      <c r="D4943">
        <v>21883</v>
      </c>
    </row>
    <row r="4944" spans="1:4" x14ac:dyDescent="0.2">
      <c r="A4944">
        <v>3693709</v>
      </c>
      <c r="B4944">
        <v>30063</v>
      </c>
      <c r="C4944">
        <v>302357</v>
      </c>
      <c r="D4944">
        <v>21883</v>
      </c>
    </row>
    <row r="4945" spans="1:4" x14ac:dyDescent="0.2">
      <c r="A4945">
        <v>3693709</v>
      </c>
      <c r="B4945">
        <v>30064</v>
      </c>
      <c r="C4945">
        <v>302369</v>
      </c>
      <c r="D4945">
        <v>21883</v>
      </c>
    </row>
    <row r="4946" spans="1:4" x14ac:dyDescent="0.2">
      <c r="A4946">
        <v>3693709</v>
      </c>
      <c r="B4946">
        <v>30065</v>
      </c>
      <c r="C4946">
        <v>302372</v>
      </c>
      <c r="D4946">
        <v>21883</v>
      </c>
    </row>
    <row r="4947" spans="1:4" x14ac:dyDescent="0.2">
      <c r="A4947">
        <v>3693709</v>
      </c>
      <c r="B4947">
        <v>30066</v>
      </c>
      <c r="C4947">
        <v>302436</v>
      </c>
      <c r="D4947">
        <v>21883</v>
      </c>
    </row>
    <row r="4948" spans="1:4" x14ac:dyDescent="0.2">
      <c r="A4948">
        <v>3693709</v>
      </c>
      <c r="B4948">
        <v>30067</v>
      </c>
      <c r="C4948">
        <v>302463</v>
      </c>
      <c r="D4948">
        <v>21883</v>
      </c>
    </row>
    <row r="4949" spans="1:4" x14ac:dyDescent="0.2">
      <c r="A4949">
        <v>3693710</v>
      </c>
      <c r="B4949">
        <v>30063</v>
      </c>
      <c r="C4949">
        <v>302356</v>
      </c>
      <c r="D4949">
        <v>21883</v>
      </c>
    </row>
    <row r="4950" spans="1:4" x14ac:dyDescent="0.2">
      <c r="A4950">
        <v>3693710</v>
      </c>
      <c r="B4950">
        <v>30064</v>
      </c>
      <c r="C4950">
        <v>302421</v>
      </c>
      <c r="D4950">
        <v>21883</v>
      </c>
    </row>
    <row r="4951" spans="1:4" x14ac:dyDescent="0.2">
      <c r="A4951">
        <v>3693710</v>
      </c>
      <c r="B4951">
        <v>30065</v>
      </c>
      <c r="C4951">
        <v>302372</v>
      </c>
      <c r="D4951">
        <v>21883</v>
      </c>
    </row>
    <row r="4952" spans="1:4" x14ac:dyDescent="0.2">
      <c r="A4952">
        <v>3693710</v>
      </c>
      <c r="B4952">
        <v>30066</v>
      </c>
      <c r="C4952">
        <v>302402</v>
      </c>
      <c r="D4952">
        <v>21883</v>
      </c>
    </row>
    <row r="4953" spans="1:4" x14ac:dyDescent="0.2">
      <c r="A4953">
        <v>3693711</v>
      </c>
      <c r="B4953">
        <v>30063</v>
      </c>
      <c r="C4953">
        <v>302356</v>
      </c>
      <c r="D4953">
        <v>21883</v>
      </c>
    </row>
    <row r="4954" spans="1:4" x14ac:dyDescent="0.2">
      <c r="A4954">
        <v>3693711</v>
      </c>
      <c r="B4954">
        <v>30064</v>
      </c>
      <c r="C4954">
        <v>302410</v>
      </c>
      <c r="D4954">
        <v>21883</v>
      </c>
    </row>
    <row r="4955" spans="1:4" x14ac:dyDescent="0.2">
      <c r="A4955">
        <v>3693711</v>
      </c>
      <c r="B4955">
        <v>30065</v>
      </c>
      <c r="C4955">
        <v>302372</v>
      </c>
      <c r="D4955">
        <v>21883</v>
      </c>
    </row>
    <row r="4956" spans="1:4" x14ac:dyDescent="0.2">
      <c r="A4956">
        <v>3693711</v>
      </c>
      <c r="B4956">
        <v>30066</v>
      </c>
      <c r="C4956">
        <v>302402</v>
      </c>
      <c r="D4956">
        <v>21883</v>
      </c>
    </row>
    <row r="4957" spans="1:4" x14ac:dyDescent="0.2">
      <c r="A4957">
        <v>3693712</v>
      </c>
      <c r="B4957">
        <v>30061</v>
      </c>
      <c r="C4957">
        <v>302344</v>
      </c>
      <c r="D4957">
        <v>21883</v>
      </c>
    </row>
    <row r="4958" spans="1:4" x14ac:dyDescent="0.2">
      <c r="A4958">
        <v>3693712</v>
      </c>
      <c r="B4958">
        <v>30062</v>
      </c>
      <c r="C4958">
        <v>302355</v>
      </c>
      <c r="D4958">
        <v>21883</v>
      </c>
    </row>
    <row r="4959" spans="1:4" x14ac:dyDescent="0.2">
      <c r="A4959">
        <v>3693712</v>
      </c>
      <c r="B4959">
        <v>30063</v>
      </c>
      <c r="C4959">
        <v>302356</v>
      </c>
      <c r="D4959">
        <v>21883</v>
      </c>
    </row>
    <row r="4960" spans="1:4" x14ac:dyDescent="0.2">
      <c r="A4960">
        <v>3693712</v>
      </c>
      <c r="B4960">
        <v>30064</v>
      </c>
      <c r="C4960">
        <v>302385</v>
      </c>
      <c r="D4960">
        <v>21883</v>
      </c>
    </row>
    <row r="4961" spans="1:4" x14ac:dyDescent="0.2">
      <c r="A4961">
        <v>3693712</v>
      </c>
      <c r="B4961">
        <v>30065</v>
      </c>
      <c r="C4961">
        <v>302373</v>
      </c>
      <c r="D4961">
        <v>21883</v>
      </c>
    </row>
    <row r="4962" spans="1:4" x14ac:dyDescent="0.2">
      <c r="A4962">
        <v>3693712</v>
      </c>
      <c r="B4962">
        <v>30066</v>
      </c>
      <c r="C4962">
        <v>302402</v>
      </c>
      <c r="D4962">
        <v>21883</v>
      </c>
    </row>
    <row r="4963" spans="1:4" x14ac:dyDescent="0.2">
      <c r="A4963">
        <v>3693713</v>
      </c>
      <c r="B4963">
        <v>30061</v>
      </c>
      <c r="C4963">
        <v>302344</v>
      </c>
      <c r="D4963">
        <v>21883</v>
      </c>
    </row>
    <row r="4964" spans="1:4" x14ac:dyDescent="0.2">
      <c r="A4964">
        <v>3693713</v>
      </c>
      <c r="B4964">
        <v>30062</v>
      </c>
      <c r="C4964">
        <v>302355</v>
      </c>
      <c r="D4964">
        <v>21883</v>
      </c>
    </row>
    <row r="4965" spans="1:4" x14ac:dyDescent="0.2">
      <c r="A4965">
        <v>3693713</v>
      </c>
      <c r="B4965">
        <v>30063</v>
      </c>
      <c r="C4965">
        <v>302356</v>
      </c>
      <c r="D4965">
        <v>21883</v>
      </c>
    </row>
    <row r="4966" spans="1:4" x14ac:dyDescent="0.2">
      <c r="A4966">
        <v>3693713</v>
      </c>
      <c r="B4966">
        <v>30064</v>
      </c>
      <c r="C4966">
        <v>302384</v>
      </c>
      <c r="D4966">
        <v>21883</v>
      </c>
    </row>
    <row r="4967" spans="1:4" x14ac:dyDescent="0.2">
      <c r="A4967">
        <v>3693713</v>
      </c>
      <c r="B4967">
        <v>30065</v>
      </c>
      <c r="C4967">
        <v>302373</v>
      </c>
      <c r="D4967">
        <v>21883</v>
      </c>
    </row>
    <row r="4968" spans="1:4" x14ac:dyDescent="0.2">
      <c r="A4968">
        <v>3693713</v>
      </c>
      <c r="B4968">
        <v>30066</v>
      </c>
      <c r="C4968">
        <v>302402</v>
      </c>
      <c r="D4968">
        <v>21883</v>
      </c>
    </row>
    <row r="4969" spans="1:4" x14ac:dyDescent="0.2">
      <c r="A4969">
        <v>3693714</v>
      </c>
      <c r="B4969">
        <v>30061</v>
      </c>
      <c r="C4969">
        <v>302344</v>
      </c>
      <c r="D4969">
        <v>21883</v>
      </c>
    </row>
    <row r="4970" spans="1:4" x14ac:dyDescent="0.2">
      <c r="A4970">
        <v>3693714</v>
      </c>
      <c r="B4970">
        <v>30062</v>
      </c>
      <c r="C4970">
        <v>302355</v>
      </c>
      <c r="D4970">
        <v>21883</v>
      </c>
    </row>
    <row r="4971" spans="1:4" x14ac:dyDescent="0.2">
      <c r="A4971">
        <v>3693714</v>
      </c>
      <c r="B4971">
        <v>30063</v>
      </c>
      <c r="C4971">
        <v>302356</v>
      </c>
      <c r="D4971">
        <v>21883</v>
      </c>
    </row>
    <row r="4972" spans="1:4" x14ac:dyDescent="0.2">
      <c r="A4972">
        <v>3693714</v>
      </c>
      <c r="B4972">
        <v>30064</v>
      </c>
      <c r="C4972">
        <v>302411</v>
      </c>
      <c r="D4972">
        <v>21883</v>
      </c>
    </row>
    <row r="4973" spans="1:4" x14ac:dyDescent="0.2">
      <c r="A4973">
        <v>3693714</v>
      </c>
      <c r="B4973">
        <v>30065</v>
      </c>
      <c r="C4973">
        <v>302373</v>
      </c>
      <c r="D4973">
        <v>21883</v>
      </c>
    </row>
    <row r="4974" spans="1:4" x14ac:dyDescent="0.2">
      <c r="A4974">
        <v>3693714</v>
      </c>
      <c r="B4974">
        <v>30066</v>
      </c>
      <c r="C4974">
        <v>302402</v>
      </c>
      <c r="D4974">
        <v>21883</v>
      </c>
    </row>
    <row r="4975" spans="1:4" x14ac:dyDescent="0.2">
      <c r="A4975">
        <v>3693715</v>
      </c>
      <c r="B4975">
        <v>30061</v>
      </c>
      <c r="C4975">
        <v>302344</v>
      </c>
      <c r="D4975">
        <v>21883</v>
      </c>
    </row>
    <row r="4976" spans="1:4" x14ac:dyDescent="0.2">
      <c r="A4976">
        <v>3693715</v>
      </c>
      <c r="B4976">
        <v>30062</v>
      </c>
      <c r="C4976">
        <v>302355</v>
      </c>
      <c r="D4976">
        <v>21883</v>
      </c>
    </row>
    <row r="4977" spans="1:4" x14ac:dyDescent="0.2">
      <c r="A4977">
        <v>3693715</v>
      </c>
      <c r="B4977">
        <v>30063</v>
      </c>
      <c r="C4977">
        <v>302356</v>
      </c>
      <c r="D4977">
        <v>21883</v>
      </c>
    </row>
    <row r="4978" spans="1:4" x14ac:dyDescent="0.2">
      <c r="A4978">
        <v>3693715</v>
      </c>
      <c r="B4978">
        <v>30064</v>
      </c>
      <c r="C4978">
        <v>302380</v>
      </c>
      <c r="D4978">
        <v>21883</v>
      </c>
    </row>
    <row r="4979" spans="1:4" x14ac:dyDescent="0.2">
      <c r="A4979">
        <v>3693715</v>
      </c>
      <c r="B4979">
        <v>30065</v>
      </c>
      <c r="C4979">
        <v>302373</v>
      </c>
      <c r="D4979">
        <v>21883</v>
      </c>
    </row>
    <row r="4980" spans="1:4" x14ac:dyDescent="0.2">
      <c r="A4980">
        <v>3693715</v>
      </c>
      <c r="B4980">
        <v>30066</v>
      </c>
      <c r="C4980">
        <v>302402</v>
      </c>
      <c r="D4980">
        <v>21883</v>
      </c>
    </row>
    <row r="4981" spans="1:4" x14ac:dyDescent="0.2">
      <c r="A4981">
        <v>3693716</v>
      </c>
      <c r="B4981">
        <v>30063</v>
      </c>
      <c r="C4981">
        <v>302356</v>
      </c>
      <c r="D4981">
        <v>21883</v>
      </c>
    </row>
    <row r="4982" spans="1:4" x14ac:dyDescent="0.2">
      <c r="A4982">
        <v>3693716</v>
      </c>
      <c r="B4982">
        <v>30064</v>
      </c>
      <c r="C4982">
        <v>302398</v>
      </c>
      <c r="D4982">
        <v>21883</v>
      </c>
    </row>
    <row r="4983" spans="1:4" x14ac:dyDescent="0.2">
      <c r="A4983">
        <v>3693716</v>
      </c>
      <c r="B4983">
        <v>30065</v>
      </c>
      <c r="C4983">
        <v>302372</v>
      </c>
      <c r="D4983">
        <v>21883</v>
      </c>
    </row>
    <row r="4984" spans="1:4" x14ac:dyDescent="0.2">
      <c r="A4984">
        <v>3693716</v>
      </c>
      <c r="B4984">
        <v>30066</v>
      </c>
      <c r="C4984">
        <v>302402</v>
      </c>
      <c r="D4984">
        <v>21883</v>
      </c>
    </row>
    <row r="4985" spans="1:4" x14ac:dyDescent="0.2">
      <c r="A4985">
        <v>3693717</v>
      </c>
      <c r="B4985">
        <v>30061</v>
      </c>
      <c r="C4985">
        <v>302344</v>
      </c>
      <c r="D4985">
        <v>21883</v>
      </c>
    </row>
    <row r="4986" spans="1:4" x14ac:dyDescent="0.2">
      <c r="A4986">
        <v>3693717</v>
      </c>
      <c r="B4986">
        <v>30062</v>
      </c>
      <c r="C4986">
        <v>302355</v>
      </c>
      <c r="D4986">
        <v>21883</v>
      </c>
    </row>
    <row r="4987" spans="1:4" x14ac:dyDescent="0.2">
      <c r="A4987">
        <v>3693717</v>
      </c>
      <c r="B4987">
        <v>30063</v>
      </c>
      <c r="C4987">
        <v>302356</v>
      </c>
      <c r="D4987">
        <v>21883</v>
      </c>
    </row>
    <row r="4988" spans="1:4" x14ac:dyDescent="0.2">
      <c r="A4988">
        <v>3693717</v>
      </c>
      <c r="B4988">
        <v>30064</v>
      </c>
      <c r="C4988">
        <v>302379</v>
      </c>
      <c r="D4988">
        <v>21883</v>
      </c>
    </row>
    <row r="4989" spans="1:4" x14ac:dyDescent="0.2">
      <c r="A4989">
        <v>3693717</v>
      </c>
      <c r="B4989">
        <v>30065</v>
      </c>
      <c r="C4989">
        <v>302373</v>
      </c>
      <c r="D4989">
        <v>21883</v>
      </c>
    </row>
    <row r="4990" spans="1:4" x14ac:dyDescent="0.2">
      <c r="A4990">
        <v>3693717</v>
      </c>
      <c r="B4990">
        <v>30066</v>
      </c>
      <c r="C4990">
        <v>302402</v>
      </c>
      <c r="D4990">
        <v>21883</v>
      </c>
    </row>
    <row r="4991" spans="1:4" x14ac:dyDescent="0.2">
      <c r="A4991">
        <v>3693718</v>
      </c>
      <c r="B4991">
        <v>30061</v>
      </c>
      <c r="C4991">
        <v>302344</v>
      </c>
      <c r="D4991">
        <v>21883</v>
      </c>
    </row>
    <row r="4992" spans="1:4" x14ac:dyDescent="0.2">
      <c r="A4992">
        <v>3693718</v>
      </c>
      <c r="B4992">
        <v>30062</v>
      </c>
      <c r="C4992">
        <v>302355</v>
      </c>
      <c r="D4992">
        <v>21883</v>
      </c>
    </row>
    <row r="4993" spans="1:4" x14ac:dyDescent="0.2">
      <c r="A4993">
        <v>3693718</v>
      </c>
      <c r="B4993">
        <v>30063</v>
      </c>
      <c r="C4993">
        <v>302356</v>
      </c>
      <c r="D4993">
        <v>21883</v>
      </c>
    </row>
    <row r="4994" spans="1:4" x14ac:dyDescent="0.2">
      <c r="A4994">
        <v>3693718</v>
      </c>
      <c r="B4994">
        <v>30064</v>
      </c>
      <c r="C4994">
        <v>302335</v>
      </c>
      <c r="D4994">
        <v>21883</v>
      </c>
    </row>
    <row r="4995" spans="1:4" x14ac:dyDescent="0.2">
      <c r="A4995">
        <v>3693718</v>
      </c>
      <c r="B4995">
        <v>30065</v>
      </c>
      <c r="C4995">
        <v>302373</v>
      </c>
      <c r="D4995">
        <v>21883</v>
      </c>
    </row>
    <row r="4996" spans="1:4" x14ac:dyDescent="0.2">
      <c r="A4996">
        <v>3693718</v>
      </c>
      <c r="B4996">
        <v>30066</v>
      </c>
      <c r="C4996">
        <v>302402</v>
      </c>
      <c r="D4996">
        <v>21883</v>
      </c>
    </row>
    <row r="4997" spans="1:4" x14ac:dyDescent="0.2">
      <c r="A4997">
        <v>3693719</v>
      </c>
      <c r="B4997">
        <v>30061</v>
      </c>
      <c r="C4997">
        <v>302344</v>
      </c>
      <c r="D4997">
        <v>21883</v>
      </c>
    </row>
    <row r="4998" spans="1:4" x14ac:dyDescent="0.2">
      <c r="A4998">
        <v>3693719</v>
      </c>
      <c r="B4998">
        <v>30062</v>
      </c>
      <c r="C4998">
        <v>302355</v>
      </c>
      <c r="D4998">
        <v>21883</v>
      </c>
    </row>
    <row r="4999" spans="1:4" x14ac:dyDescent="0.2">
      <c r="A4999">
        <v>3693719</v>
      </c>
      <c r="B4999">
        <v>30063</v>
      </c>
      <c r="C4999">
        <v>302356</v>
      </c>
      <c r="D4999">
        <v>21883</v>
      </c>
    </row>
    <row r="5000" spans="1:4" x14ac:dyDescent="0.2">
      <c r="A5000">
        <v>3693719</v>
      </c>
      <c r="B5000">
        <v>30064</v>
      </c>
      <c r="C5000">
        <v>302379</v>
      </c>
      <c r="D5000">
        <v>21883</v>
      </c>
    </row>
    <row r="5001" spans="1:4" x14ac:dyDescent="0.2">
      <c r="A5001">
        <v>3693719</v>
      </c>
      <c r="B5001">
        <v>30065</v>
      </c>
      <c r="C5001">
        <v>302373</v>
      </c>
      <c r="D5001">
        <v>21883</v>
      </c>
    </row>
    <row r="5002" spans="1:4" x14ac:dyDescent="0.2">
      <c r="A5002">
        <v>3693719</v>
      </c>
      <c r="B5002">
        <v>30066</v>
      </c>
      <c r="C5002">
        <v>302402</v>
      </c>
      <c r="D5002">
        <v>21883</v>
      </c>
    </row>
    <row r="5003" spans="1:4" x14ac:dyDescent="0.2">
      <c r="A5003">
        <v>3693720</v>
      </c>
      <c r="B5003">
        <v>30061</v>
      </c>
      <c r="C5003">
        <v>302344</v>
      </c>
      <c r="D5003">
        <v>21883</v>
      </c>
    </row>
    <row r="5004" spans="1:4" x14ac:dyDescent="0.2">
      <c r="A5004">
        <v>3693720</v>
      </c>
      <c r="B5004">
        <v>30062</v>
      </c>
      <c r="C5004">
        <v>302355</v>
      </c>
      <c r="D5004">
        <v>21883</v>
      </c>
    </row>
    <row r="5005" spans="1:4" x14ac:dyDescent="0.2">
      <c r="A5005">
        <v>3693720</v>
      </c>
      <c r="B5005">
        <v>30063</v>
      </c>
      <c r="C5005">
        <v>302356</v>
      </c>
      <c r="D5005">
        <v>21883</v>
      </c>
    </row>
    <row r="5006" spans="1:4" x14ac:dyDescent="0.2">
      <c r="A5006">
        <v>3693720</v>
      </c>
      <c r="B5006">
        <v>30064</v>
      </c>
      <c r="C5006">
        <v>302379</v>
      </c>
      <c r="D5006">
        <v>21883</v>
      </c>
    </row>
    <row r="5007" spans="1:4" x14ac:dyDescent="0.2">
      <c r="A5007">
        <v>3693720</v>
      </c>
      <c r="B5007">
        <v>30065</v>
      </c>
      <c r="C5007">
        <v>302373</v>
      </c>
      <c r="D5007">
        <v>21883</v>
      </c>
    </row>
    <row r="5008" spans="1:4" x14ac:dyDescent="0.2">
      <c r="A5008">
        <v>3693720</v>
      </c>
      <c r="B5008">
        <v>30066</v>
      </c>
      <c r="C5008">
        <v>302402</v>
      </c>
      <c r="D5008">
        <v>21883</v>
      </c>
    </row>
    <row r="5009" spans="1:4" x14ac:dyDescent="0.2">
      <c r="A5009">
        <v>3693721</v>
      </c>
      <c r="B5009">
        <v>30063</v>
      </c>
      <c r="C5009">
        <v>302356</v>
      </c>
      <c r="D5009">
        <v>21883</v>
      </c>
    </row>
    <row r="5010" spans="1:4" x14ac:dyDescent="0.2">
      <c r="A5010">
        <v>3693721</v>
      </c>
      <c r="B5010">
        <v>30064</v>
      </c>
      <c r="C5010">
        <v>302396</v>
      </c>
      <c r="D5010">
        <v>21883</v>
      </c>
    </row>
    <row r="5011" spans="1:4" x14ac:dyDescent="0.2">
      <c r="A5011">
        <v>3693721</v>
      </c>
      <c r="B5011">
        <v>30065</v>
      </c>
      <c r="C5011">
        <v>302372</v>
      </c>
      <c r="D5011">
        <v>21883</v>
      </c>
    </row>
    <row r="5012" spans="1:4" x14ac:dyDescent="0.2">
      <c r="A5012">
        <v>3693721</v>
      </c>
      <c r="B5012">
        <v>30066</v>
      </c>
      <c r="C5012">
        <v>302402</v>
      </c>
      <c r="D5012">
        <v>21883</v>
      </c>
    </row>
    <row r="5013" spans="1:4" x14ac:dyDescent="0.2">
      <c r="A5013">
        <v>3693722</v>
      </c>
      <c r="B5013">
        <v>30063</v>
      </c>
      <c r="C5013">
        <v>302356</v>
      </c>
      <c r="D5013">
        <v>21883</v>
      </c>
    </row>
    <row r="5014" spans="1:4" x14ac:dyDescent="0.2">
      <c r="A5014">
        <v>3693722</v>
      </c>
      <c r="B5014">
        <v>30064</v>
      </c>
      <c r="C5014">
        <v>302421</v>
      </c>
      <c r="D5014">
        <v>21883</v>
      </c>
    </row>
    <row r="5015" spans="1:4" x14ac:dyDescent="0.2">
      <c r="A5015">
        <v>3693722</v>
      </c>
      <c r="B5015">
        <v>30065</v>
      </c>
      <c r="C5015">
        <v>302372</v>
      </c>
      <c r="D5015">
        <v>21883</v>
      </c>
    </row>
    <row r="5016" spans="1:4" x14ac:dyDescent="0.2">
      <c r="A5016">
        <v>3693722</v>
      </c>
      <c r="B5016">
        <v>30066</v>
      </c>
      <c r="C5016">
        <v>302401</v>
      </c>
      <c r="D5016">
        <v>21883</v>
      </c>
    </row>
    <row r="5017" spans="1:4" x14ac:dyDescent="0.2">
      <c r="A5017">
        <v>3693723</v>
      </c>
      <c r="B5017">
        <v>30063</v>
      </c>
      <c r="C5017">
        <v>302356</v>
      </c>
      <c r="D5017">
        <v>21883</v>
      </c>
    </row>
    <row r="5018" spans="1:4" x14ac:dyDescent="0.2">
      <c r="A5018">
        <v>3693723</v>
      </c>
      <c r="B5018">
        <v>30064</v>
      </c>
      <c r="C5018">
        <v>302410</v>
      </c>
      <c r="D5018">
        <v>21883</v>
      </c>
    </row>
    <row r="5019" spans="1:4" x14ac:dyDescent="0.2">
      <c r="A5019">
        <v>3693723</v>
      </c>
      <c r="B5019">
        <v>30065</v>
      </c>
      <c r="C5019">
        <v>302372</v>
      </c>
      <c r="D5019">
        <v>21883</v>
      </c>
    </row>
    <row r="5020" spans="1:4" x14ac:dyDescent="0.2">
      <c r="A5020">
        <v>3693723</v>
      </c>
      <c r="B5020">
        <v>30066</v>
      </c>
      <c r="C5020">
        <v>302401</v>
      </c>
      <c r="D5020">
        <v>21883</v>
      </c>
    </row>
    <row r="5021" spans="1:4" x14ac:dyDescent="0.2">
      <c r="A5021">
        <v>3693724</v>
      </c>
      <c r="B5021">
        <v>30061</v>
      </c>
      <c r="C5021">
        <v>302345</v>
      </c>
      <c r="D5021">
        <v>21883</v>
      </c>
    </row>
    <row r="5022" spans="1:4" x14ac:dyDescent="0.2">
      <c r="A5022">
        <v>3693724</v>
      </c>
      <c r="B5022">
        <v>30062</v>
      </c>
      <c r="C5022">
        <v>302355</v>
      </c>
      <c r="D5022">
        <v>21883</v>
      </c>
    </row>
    <row r="5023" spans="1:4" x14ac:dyDescent="0.2">
      <c r="A5023">
        <v>3693724</v>
      </c>
      <c r="B5023">
        <v>30063</v>
      </c>
      <c r="C5023">
        <v>302356</v>
      </c>
      <c r="D5023">
        <v>21883</v>
      </c>
    </row>
    <row r="5024" spans="1:4" x14ac:dyDescent="0.2">
      <c r="A5024">
        <v>3693724</v>
      </c>
      <c r="B5024">
        <v>30064</v>
      </c>
      <c r="C5024">
        <v>302385</v>
      </c>
      <c r="D5024">
        <v>21883</v>
      </c>
    </row>
    <row r="5025" spans="1:4" x14ac:dyDescent="0.2">
      <c r="A5025">
        <v>3693724</v>
      </c>
      <c r="B5025">
        <v>30065</v>
      </c>
      <c r="C5025">
        <v>302373</v>
      </c>
      <c r="D5025">
        <v>21883</v>
      </c>
    </row>
    <row r="5026" spans="1:4" x14ac:dyDescent="0.2">
      <c r="A5026">
        <v>3693724</v>
      </c>
      <c r="B5026">
        <v>30066</v>
      </c>
      <c r="C5026">
        <v>302401</v>
      </c>
      <c r="D5026">
        <v>21883</v>
      </c>
    </row>
    <row r="5027" spans="1:4" x14ac:dyDescent="0.2">
      <c r="A5027">
        <v>3693725</v>
      </c>
      <c r="B5027">
        <v>30061</v>
      </c>
      <c r="C5027">
        <v>302345</v>
      </c>
      <c r="D5027">
        <v>21883</v>
      </c>
    </row>
    <row r="5028" spans="1:4" x14ac:dyDescent="0.2">
      <c r="A5028">
        <v>3693725</v>
      </c>
      <c r="B5028">
        <v>30062</v>
      </c>
      <c r="C5028">
        <v>302355</v>
      </c>
      <c r="D5028">
        <v>21883</v>
      </c>
    </row>
    <row r="5029" spans="1:4" x14ac:dyDescent="0.2">
      <c r="A5029">
        <v>3693725</v>
      </c>
      <c r="B5029">
        <v>30063</v>
      </c>
      <c r="C5029">
        <v>302356</v>
      </c>
      <c r="D5029">
        <v>21883</v>
      </c>
    </row>
    <row r="5030" spans="1:4" x14ac:dyDescent="0.2">
      <c r="A5030">
        <v>3693725</v>
      </c>
      <c r="B5030">
        <v>30064</v>
      </c>
      <c r="C5030">
        <v>302384</v>
      </c>
      <c r="D5030">
        <v>21883</v>
      </c>
    </row>
    <row r="5031" spans="1:4" x14ac:dyDescent="0.2">
      <c r="A5031">
        <v>3693725</v>
      </c>
      <c r="B5031">
        <v>30065</v>
      </c>
      <c r="C5031">
        <v>302373</v>
      </c>
      <c r="D5031">
        <v>21883</v>
      </c>
    </row>
    <row r="5032" spans="1:4" x14ac:dyDescent="0.2">
      <c r="A5032">
        <v>3693725</v>
      </c>
      <c r="B5032">
        <v>30066</v>
      </c>
      <c r="C5032">
        <v>302401</v>
      </c>
      <c r="D5032">
        <v>21883</v>
      </c>
    </row>
    <row r="5033" spans="1:4" x14ac:dyDescent="0.2">
      <c r="A5033">
        <v>3693726</v>
      </c>
      <c r="B5033">
        <v>30061</v>
      </c>
      <c r="C5033">
        <v>302345</v>
      </c>
      <c r="D5033">
        <v>21883</v>
      </c>
    </row>
    <row r="5034" spans="1:4" x14ac:dyDescent="0.2">
      <c r="A5034">
        <v>3693726</v>
      </c>
      <c r="B5034">
        <v>30062</v>
      </c>
      <c r="C5034">
        <v>302355</v>
      </c>
      <c r="D5034">
        <v>21883</v>
      </c>
    </row>
    <row r="5035" spans="1:4" x14ac:dyDescent="0.2">
      <c r="A5035">
        <v>3693726</v>
      </c>
      <c r="B5035">
        <v>30063</v>
      </c>
      <c r="C5035">
        <v>302356</v>
      </c>
      <c r="D5035">
        <v>21883</v>
      </c>
    </row>
    <row r="5036" spans="1:4" x14ac:dyDescent="0.2">
      <c r="A5036">
        <v>3693726</v>
      </c>
      <c r="B5036">
        <v>30064</v>
      </c>
      <c r="C5036">
        <v>302411</v>
      </c>
      <c r="D5036">
        <v>21883</v>
      </c>
    </row>
    <row r="5037" spans="1:4" x14ac:dyDescent="0.2">
      <c r="A5037">
        <v>3693726</v>
      </c>
      <c r="B5037">
        <v>30065</v>
      </c>
      <c r="C5037">
        <v>302373</v>
      </c>
      <c r="D5037">
        <v>21883</v>
      </c>
    </row>
    <row r="5038" spans="1:4" x14ac:dyDescent="0.2">
      <c r="A5038">
        <v>3693726</v>
      </c>
      <c r="B5038">
        <v>30066</v>
      </c>
      <c r="C5038">
        <v>302401</v>
      </c>
      <c r="D5038">
        <v>21883</v>
      </c>
    </row>
    <row r="5039" spans="1:4" x14ac:dyDescent="0.2">
      <c r="A5039">
        <v>3693727</v>
      </c>
      <c r="B5039">
        <v>30061</v>
      </c>
      <c r="C5039">
        <v>302345</v>
      </c>
      <c r="D5039">
        <v>21883</v>
      </c>
    </row>
    <row r="5040" spans="1:4" x14ac:dyDescent="0.2">
      <c r="A5040">
        <v>3693727</v>
      </c>
      <c r="B5040">
        <v>30062</v>
      </c>
      <c r="C5040">
        <v>302355</v>
      </c>
      <c r="D5040">
        <v>21883</v>
      </c>
    </row>
    <row r="5041" spans="1:4" x14ac:dyDescent="0.2">
      <c r="A5041">
        <v>3693727</v>
      </c>
      <c r="B5041">
        <v>30063</v>
      </c>
      <c r="C5041">
        <v>302356</v>
      </c>
      <c r="D5041">
        <v>21883</v>
      </c>
    </row>
    <row r="5042" spans="1:4" x14ac:dyDescent="0.2">
      <c r="A5042">
        <v>3693727</v>
      </c>
      <c r="B5042">
        <v>30064</v>
      </c>
      <c r="C5042">
        <v>302380</v>
      </c>
      <c r="D5042">
        <v>21883</v>
      </c>
    </row>
    <row r="5043" spans="1:4" x14ac:dyDescent="0.2">
      <c r="A5043">
        <v>3693727</v>
      </c>
      <c r="B5043">
        <v>30065</v>
      </c>
      <c r="C5043">
        <v>302373</v>
      </c>
      <c r="D5043">
        <v>21883</v>
      </c>
    </row>
    <row r="5044" spans="1:4" x14ac:dyDescent="0.2">
      <c r="A5044">
        <v>3693727</v>
      </c>
      <c r="B5044">
        <v>30066</v>
      </c>
      <c r="C5044">
        <v>302401</v>
      </c>
      <c r="D5044">
        <v>21883</v>
      </c>
    </row>
    <row r="5045" spans="1:4" x14ac:dyDescent="0.2">
      <c r="A5045">
        <v>3693728</v>
      </c>
      <c r="B5045">
        <v>30063</v>
      </c>
      <c r="C5045">
        <v>302356</v>
      </c>
      <c r="D5045">
        <v>21883</v>
      </c>
    </row>
    <row r="5046" spans="1:4" x14ac:dyDescent="0.2">
      <c r="A5046">
        <v>3693728</v>
      </c>
      <c r="B5046">
        <v>30064</v>
      </c>
      <c r="C5046">
        <v>302398</v>
      </c>
      <c r="D5046">
        <v>21883</v>
      </c>
    </row>
    <row r="5047" spans="1:4" x14ac:dyDescent="0.2">
      <c r="A5047">
        <v>3693728</v>
      </c>
      <c r="B5047">
        <v>30065</v>
      </c>
      <c r="C5047">
        <v>302372</v>
      </c>
      <c r="D5047">
        <v>21883</v>
      </c>
    </row>
    <row r="5048" spans="1:4" x14ac:dyDescent="0.2">
      <c r="A5048">
        <v>3693728</v>
      </c>
      <c r="B5048">
        <v>30066</v>
      </c>
      <c r="C5048">
        <v>302401</v>
      </c>
      <c r="D5048">
        <v>21883</v>
      </c>
    </row>
    <row r="5049" spans="1:4" x14ac:dyDescent="0.2">
      <c r="A5049">
        <v>3693729</v>
      </c>
      <c r="B5049">
        <v>30061</v>
      </c>
      <c r="C5049">
        <v>302345</v>
      </c>
      <c r="D5049">
        <v>21883</v>
      </c>
    </row>
    <row r="5050" spans="1:4" x14ac:dyDescent="0.2">
      <c r="A5050">
        <v>3693729</v>
      </c>
      <c r="B5050">
        <v>30062</v>
      </c>
      <c r="C5050">
        <v>302355</v>
      </c>
      <c r="D5050">
        <v>21883</v>
      </c>
    </row>
    <row r="5051" spans="1:4" x14ac:dyDescent="0.2">
      <c r="A5051">
        <v>3693729</v>
      </c>
      <c r="B5051">
        <v>30063</v>
      </c>
      <c r="C5051">
        <v>302356</v>
      </c>
      <c r="D5051">
        <v>21883</v>
      </c>
    </row>
    <row r="5052" spans="1:4" x14ac:dyDescent="0.2">
      <c r="A5052">
        <v>3693729</v>
      </c>
      <c r="B5052">
        <v>30064</v>
      </c>
      <c r="C5052">
        <v>302379</v>
      </c>
      <c r="D5052">
        <v>21883</v>
      </c>
    </row>
    <row r="5053" spans="1:4" x14ac:dyDescent="0.2">
      <c r="A5053">
        <v>3693729</v>
      </c>
      <c r="B5053">
        <v>30065</v>
      </c>
      <c r="C5053">
        <v>302373</v>
      </c>
      <c r="D5053">
        <v>21883</v>
      </c>
    </row>
    <row r="5054" spans="1:4" x14ac:dyDescent="0.2">
      <c r="A5054">
        <v>3693729</v>
      </c>
      <c r="B5054">
        <v>30066</v>
      </c>
      <c r="C5054">
        <v>302401</v>
      </c>
      <c r="D5054">
        <v>21883</v>
      </c>
    </row>
    <row r="5055" spans="1:4" x14ac:dyDescent="0.2">
      <c r="A5055">
        <v>3693730</v>
      </c>
      <c r="B5055">
        <v>30061</v>
      </c>
      <c r="C5055">
        <v>302345</v>
      </c>
      <c r="D5055">
        <v>21883</v>
      </c>
    </row>
    <row r="5056" spans="1:4" x14ac:dyDescent="0.2">
      <c r="A5056">
        <v>3693730</v>
      </c>
      <c r="B5056">
        <v>30062</v>
      </c>
      <c r="C5056">
        <v>302355</v>
      </c>
      <c r="D5056">
        <v>21883</v>
      </c>
    </row>
    <row r="5057" spans="1:4" x14ac:dyDescent="0.2">
      <c r="A5057">
        <v>3693730</v>
      </c>
      <c r="B5057">
        <v>30063</v>
      </c>
      <c r="C5057">
        <v>302356</v>
      </c>
      <c r="D5057">
        <v>21883</v>
      </c>
    </row>
    <row r="5058" spans="1:4" x14ac:dyDescent="0.2">
      <c r="A5058">
        <v>3693730</v>
      </c>
      <c r="B5058">
        <v>30064</v>
      </c>
      <c r="C5058">
        <v>302335</v>
      </c>
      <c r="D5058">
        <v>21883</v>
      </c>
    </row>
    <row r="5059" spans="1:4" x14ac:dyDescent="0.2">
      <c r="A5059">
        <v>3693730</v>
      </c>
      <c r="B5059">
        <v>30065</v>
      </c>
      <c r="C5059">
        <v>302373</v>
      </c>
      <c r="D5059">
        <v>21883</v>
      </c>
    </row>
    <row r="5060" spans="1:4" x14ac:dyDescent="0.2">
      <c r="A5060">
        <v>3693730</v>
      </c>
      <c r="B5060">
        <v>30066</v>
      </c>
      <c r="C5060">
        <v>302401</v>
      </c>
      <c r="D5060">
        <v>21883</v>
      </c>
    </row>
    <row r="5061" spans="1:4" x14ac:dyDescent="0.2">
      <c r="A5061">
        <v>3693731</v>
      </c>
      <c r="B5061">
        <v>30061</v>
      </c>
      <c r="C5061">
        <v>302345</v>
      </c>
      <c r="D5061">
        <v>21883</v>
      </c>
    </row>
    <row r="5062" spans="1:4" x14ac:dyDescent="0.2">
      <c r="A5062">
        <v>3693731</v>
      </c>
      <c r="B5062">
        <v>30062</v>
      </c>
      <c r="C5062">
        <v>302355</v>
      </c>
      <c r="D5062">
        <v>21883</v>
      </c>
    </row>
    <row r="5063" spans="1:4" x14ac:dyDescent="0.2">
      <c r="A5063">
        <v>3693731</v>
      </c>
      <c r="B5063">
        <v>30063</v>
      </c>
      <c r="C5063">
        <v>302356</v>
      </c>
      <c r="D5063">
        <v>21883</v>
      </c>
    </row>
    <row r="5064" spans="1:4" x14ac:dyDescent="0.2">
      <c r="A5064">
        <v>3693731</v>
      </c>
      <c r="B5064">
        <v>30064</v>
      </c>
      <c r="C5064">
        <v>302379</v>
      </c>
      <c r="D5064">
        <v>21883</v>
      </c>
    </row>
    <row r="5065" spans="1:4" x14ac:dyDescent="0.2">
      <c r="A5065">
        <v>3693731</v>
      </c>
      <c r="B5065">
        <v>30065</v>
      </c>
      <c r="C5065">
        <v>302373</v>
      </c>
      <c r="D5065">
        <v>21883</v>
      </c>
    </row>
    <row r="5066" spans="1:4" x14ac:dyDescent="0.2">
      <c r="A5066">
        <v>3693731</v>
      </c>
      <c r="B5066">
        <v>30066</v>
      </c>
      <c r="C5066">
        <v>302401</v>
      </c>
      <c r="D5066">
        <v>21883</v>
      </c>
    </row>
    <row r="5067" spans="1:4" x14ac:dyDescent="0.2">
      <c r="A5067">
        <v>3693732</v>
      </c>
      <c r="B5067">
        <v>30061</v>
      </c>
      <c r="C5067">
        <v>302345</v>
      </c>
      <c r="D5067">
        <v>21883</v>
      </c>
    </row>
    <row r="5068" spans="1:4" x14ac:dyDescent="0.2">
      <c r="A5068">
        <v>3693732</v>
      </c>
      <c r="B5068">
        <v>30062</v>
      </c>
      <c r="C5068">
        <v>302355</v>
      </c>
      <c r="D5068">
        <v>21883</v>
      </c>
    </row>
    <row r="5069" spans="1:4" x14ac:dyDescent="0.2">
      <c r="A5069">
        <v>3693732</v>
      </c>
      <c r="B5069">
        <v>30063</v>
      </c>
      <c r="C5069">
        <v>302356</v>
      </c>
      <c r="D5069">
        <v>21883</v>
      </c>
    </row>
    <row r="5070" spans="1:4" x14ac:dyDescent="0.2">
      <c r="A5070">
        <v>3693732</v>
      </c>
      <c r="B5070">
        <v>30064</v>
      </c>
      <c r="C5070">
        <v>302379</v>
      </c>
      <c r="D5070">
        <v>21883</v>
      </c>
    </row>
    <row r="5071" spans="1:4" x14ac:dyDescent="0.2">
      <c r="A5071">
        <v>3693732</v>
      </c>
      <c r="B5071">
        <v>30065</v>
      </c>
      <c r="C5071">
        <v>302373</v>
      </c>
      <c r="D5071">
        <v>21883</v>
      </c>
    </row>
    <row r="5072" spans="1:4" x14ac:dyDescent="0.2">
      <c r="A5072">
        <v>3693732</v>
      </c>
      <c r="B5072">
        <v>30066</v>
      </c>
      <c r="C5072">
        <v>302401</v>
      </c>
      <c r="D5072">
        <v>21883</v>
      </c>
    </row>
    <row r="5073" spans="1:4" x14ac:dyDescent="0.2">
      <c r="A5073">
        <v>3693733</v>
      </c>
      <c r="B5073">
        <v>30063</v>
      </c>
      <c r="C5073">
        <v>302356</v>
      </c>
      <c r="D5073">
        <v>21883</v>
      </c>
    </row>
    <row r="5074" spans="1:4" x14ac:dyDescent="0.2">
      <c r="A5074">
        <v>3693733</v>
      </c>
      <c r="B5074">
        <v>30064</v>
      </c>
      <c r="C5074">
        <v>302396</v>
      </c>
      <c r="D5074">
        <v>21883</v>
      </c>
    </row>
    <row r="5075" spans="1:4" x14ac:dyDescent="0.2">
      <c r="A5075">
        <v>3693733</v>
      </c>
      <c r="B5075">
        <v>30065</v>
      </c>
      <c r="C5075">
        <v>302372</v>
      </c>
      <c r="D5075">
        <v>21883</v>
      </c>
    </row>
    <row r="5076" spans="1:4" x14ac:dyDescent="0.2">
      <c r="A5076">
        <v>3693733</v>
      </c>
      <c r="B5076">
        <v>30066</v>
      </c>
      <c r="C5076">
        <v>302401</v>
      </c>
      <c r="D5076">
        <v>21883</v>
      </c>
    </row>
    <row r="5077" spans="1:4" x14ac:dyDescent="0.2">
      <c r="A5077">
        <v>3693734</v>
      </c>
      <c r="B5077">
        <v>30063</v>
      </c>
      <c r="C5077">
        <v>302356</v>
      </c>
      <c r="D5077">
        <v>21883</v>
      </c>
    </row>
    <row r="5078" spans="1:4" x14ac:dyDescent="0.2">
      <c r="A5078">
        <v>3693734</v>
      </c>
      <c r="B5078">
        <v>30064</v>
      </c>
      <c r="C5078">
        <v>302421</v>
      </c>
      <c r="D5078">
        <v>21883</v>
      </c>
    </row>
    <row r="5079" spans="1:4" x14ac:dyDescent="0.2">
      <c r="A5079">
        <v>3693734</v>
      </c>
      <c r="B5079">
        <v>30065</v>
      </c>
      <c r="C5079">
        <v>302372</v>
      </c>
      <c r="D5079">
        <v>21883</v>
      </c>
    </row>
    <row r="5080" spans="1:4" x14ac:dyDescent="0.2">
      <c r="A5080">
        <v>3693734</v>
      </c>
      <c r="B5080">
        <v>30066</v>
      </c>
      <c r="C5080">
        <v>302400</v>
      </c>
      <c r="D5080">
        <v>21883</v>
      </c>
    </row>
    <row r="5081" spans="1:4" x14ac:dyDescent="0.2">
      <c r="A5081">
        <v>3693735</v>
      </c>
      <c r="B5081">
        <v>30063</v>
      </c>
      <c r="C5081">
        <v>302356</v>
      </c>
      <c r="D5081">
        <v>21883</v>
      </c>
    </row>
    <row r="5082" spans="1:4" x14ac:dyDescent="0.2">
      <c r="A5082">
        <v>3693735</v>
      </c>
      <c r="B5082">
        <v>30064</v>
      </c>
      <c r="C5082">
        <v>302410</v>
      </c>
      <c r="D5082">
        <v>21883</v>
      </c>
    </row>
    <row r="5083" spans="1:4" x14ac:dyDescent="0.2">
      <c r="A5083">
        <v>3693735</v>
      </c>
      <c r="B5083">
        <v>30065</v>
      </c>
      <c r="C5083">
        <v>302372</v>
      </c>
      <c r="D5083">
        <v>21883</v>
      </c>
    </row>
    <row r="5084" spans="1:4" x14ac:dyDescent="0.2">
      <c r="A5084">
        <v>3693735</v>
      </c>
      <c r="B5084">
        <v>30066</v>
      </c>
      <c r="C5084">
        <v>302400</v>
      </c>
      <c r="D5084">
        <v>21883</v>
      </c>
    </row>
    <row r="5085" spans="1:4" x14ac:dyDescent="0.2">
      <c r="A5085">
        <v>3693736</v>
      </c>
      <c r="B5085">
        <v>30061</v>
      </c>
      <c r="C5085">
        <v>302346</v>
      </c>
      <c r="D5085">
        <v>21883</v>
      </c>
    </row>
    <row r="5086" spans="1:4" x14ac:dyDescent="0.2">
      <c r="A5086">
        <v>3693736</v>
      </c>
      <c r="B5086">
        <v>30062</v>
      </c>
      <c r="C5086">
        <v>302355</v>
      </c>
      <c r="D5086">
        <v>21883</v>
      </c>
    </row>
    <row r="5087" spans="1:4" x14ac:dyDescent="0.2">
      <c r="A5087">
        <v>3693736</v>
      </c>
      <c r="B5087">
        <v>30063</v>
      </c>
      <c r="C5087">
        <v>302356</v>
      </c>
      <c r="D5087">
        <v>21883</v>
      </c>
    </row>
    <row r="5088" spans="1:4" x14ac:dyDescent="0.2">
      <c r="A5088">
        <v>3693736</v>
      </c>
      <c r="B5088">
        <v>30064</v>
      </c>
      <c r="C5088">
        <v>302385</v>
      </c>
      <c r="D5088">
        <v>21883</v>
      </c>
    </row>
    <row r="5089" spans="1:4" x14ac:dyDescent="0.2">
      <c r="A5089">
        <v>3693736</v>
      </c>
      <c r="B5089">
        <v>30065</v>
      </c>
      <c r="C5089">
        <v>302373</v>
      </c>
      <c r="D5089">
        <v>21883</v>
      </c>
    </row>
    <row r="5090" spans="1:4" x14ac:dyDescent="0.2">
      <c r="A5090">
        <v>3693736</v>
      </c>
      <c r="B5090">
        <v>30066</v>
      </c>
      <c r="C5090">
        <v>302400</v>
      </c>
      <c r="D5090">
        <v>21883</v>
      </c>
    </row>
    <row r="5091" spans="1:4" x14ac:dyDescent="0.2">
      <c r="A5091">
        <v>3693737</v>
      </c>
      <c r="B5091">
        <v>30061</v>
      </c>
      <c r="C5091">
        <v>302346</v>
      </c>
      <c r="D5091">
        <v>21883</v>
      </c>
    </row>
    <row r="5092" spans="1:4" x14ac:dyDescent="0.2">
      <c r="A5092">
        <v>3693737</v>
      </c>
      <c r="B5092">
        <v>30062</v>
      </c>
      <c r="C5092">
        <v>302355</v>
      </c>
      <c r="D5092">
        <v>21883</v>
      </c>
    </row>
    <row r="5093" spans="1:4" x14ac:dyDescent="0.2">
      <c r="A5093">
        <v>3693737</v>
      </c>
      <c r="B5093">
        <v>30063</v>
      </c>
      <c r="C5093">
        <v>302356</v>
      </c>
      <c r="D5093">
        <v>21883</v>
      </c>
    </row>
    <row r="5094" spans="1:4" x14ac:dyDescent="0.2">
      <c r="A5094">
        <v>3693737</v>
      </c>
      <c r="B5094">
        <v>30064</v>
      </c>
      <c r="C5094">
        <v>302384</v>
      </c>
      <c r="D5094">
        <v>21883</v>
      </c>
    </row>
    <row r="5095" spans="1:4" x14ac:dyDescent="0.2">
      <c r="A5095">
        <v>3693737</v>
      </c>
      <c r="B5095">
        <v>30065</v>
      </c>
      <c r="C5095">
        <v>302373</v>
      </c>
      <c r="D5095">
        <v>21883</v>
      </c>
    </row>
    <row r="5096" spans="1:4" x14ac:dyDescent="0.2">
      <c r="A5096">
        <v>3693737</v>
      </c>
      <c r="B5096">
        <v>30066</v>
      </c>
      <c r="C5096">
        <v>302400</v>
      </c>
      <c r="D5096">
        <v>21883</v>
      </c>
    </row>
    <row r="5097" spans="1:4" x14ac:dyDescent="0.2">
      <c r="A5097">
        <v>3693738</v>
      </c>
      <c r="B5097">
        <v>30061</v>
      </c>
      <c r="C5097">
        <v>302346</v>
      </c>
      <c r="D5097">
        <v>21883</v>
      </c>
    </row>
    <row r="5098" spans="1:4" x14ac:dyDescent="0.2">
      <c r="A5098">
        <v>3693738</v>
      </c>
      <c r="B5098">
        <v>30062</v>
      </c>
      <c r="C5098">
        <v>302355</v>
      </c>
      <c r="D5098">
        <v>21883</v>
      </c>
    </row>
    <row r="5099" spans="1:4" x14ac:dyDescent="0.2">
      <c r="A5099">
        <v>3693738</v>
      </c>
      <c r="B5099">
        <v>30063</v>
      </c>
      <c r="C5099">
        <v>302356</v>
      </c>
      <c r="D5099">
        <v>21883</v>
      </c>
    </row>
    <row r="5100" spans="1:4" x14ac:dyDescent="0.2">
      <c r="A5100">
        <v>3693738</v>
      </c>
      <c r="B5100">
        <v>30064</v>
      </c>
      <c r="C5100">
        <v>302411</v>
      </c>
      <c r="D5100">
        <v>21883</v>
      </c>
    </row>
    <row r="5101" spans="1:4" x14ac:dyDescent="0.2">
      <c r="A5101">
        <v>3693738</v>
      </c>
      <c r="B5101">
        <v>30065</v>
      </c>
      <c r="C5101">
        <v>302373</v>
      </c>
      <c r="D5101">
        <v>21883</v>
      </c>
    </row>
    <row r="5102" spans="1:4" x14ac:dyDescent="0.2">
      <c r="A5102">
        <v>3693738</v>
      </c>
      <c r="B5102">
        <v>30066</v>
      </c>
      <c r="C5102">
        <v>302400</v>
      </c>
      <c r="D5102">
        <v>21883</v>
      </c>
    </row>
    <row r="5103" spans="1:4" x14ac:dyDescent="0.2">
      <c r="A5103">
        <v>3693739</v>
      </c>
      <c r="B5103">
        <v>30061</v>
      </c>
      <c r="C5103">
        <v>302346</v>
      </c>
      <c r="D5103">
        <v>21883</v>
      </c>
    </row>
    <row r="5104" spans="1:4" x14ac:dyDescent="0.2">
      <c r="A5104">
        <v>3693739</v>
      </c>
      <c r="B5104">
        <v>30062</v>
      </c>
      <c r="C5104">
        <v>302355</v>
      </c>
      <c r="D5104">
        <v>21883</v>
      </c>
    </row>
    <row r="5105" spans="1:4" x14ac:dyDescent="0.2">
      <c r="A5105">
        <v>3693739</v>
      </c>
      <c r="B5105">
        <v>30063</v>
      </c>
      <c r="C5105">
        <v>302356</v>
      </c>
      <c r="D5105">
        <v>21883</v>
      </c>
    </row>
    <row r="5106" spans="1:4" x14ac:dyDescent="0.2">
      <c r="A5106">
        <v>3693739</v>
      </c>
      <c r="B5106">
        <v>30064</v>
      </c>
      <c r="C5106">
        <v>302380</v>
      </c>
      <c r="D5106">
        <v>21883</v>
      </c>
    </row>
    <row r="5107" spans="1:4" x14ac:dyDescent="0.2">
      <c r="A5107">
        <v>3693739</v>
      </c>
      <c r="B5107">
        <v>30065</v>
      </c>
      <c r="C5107">
        <v>302373</v>
      </c>
      <c r="D5107">
        <v>21883</v>
      </c>
    </row>
    <row r="5108" spans="1:4" x14ac:dyDescent="0.2">
      <c r="A5108">
        <v>3693739</v>
      </c>
      <c r="B5108">
        <v>30066</v>
      </c>
      <c r="C5108">
        <v>302400</v>
      </c>
      <c r="D5108">
        <v>21883</v>
      </c>
    </row>
    <row r="5109" spans="1:4" x14ac:dyDescent="0.2">
      <c r="A5109">
        <v>3693740</v>
      </c>
      <c r="B5109">
        <v>30063</v>
      </c>
      <c r="C5109">
        <v>302356</v>
      </c>
      <c r="D5109">
        <v>21883</v>
      </c>
    </row>
    <row r="5110" spans="1:4" x14ac:dyDescent="0.2">
      <c r="A5110">
        <v>3693740</v>
      </c>
      <c r="B5110">
        <v>30064</v>
      </c>
      <c r="C5110">
        <v>302398</v>
      </c>
      <c r="D5110">
        <v>21883</v>
      </c>
    </row>
    <row r="5111" spans="1:4" x14ac:dyDescent="0.2">
      <c r="A5111">
        <v>3693740</v>
      </c>
      <c r="B5111">
        <v>30065</v>
      </c>
      <c r="C5111">
        <v>302372</v>
      </c>
      <c r="D5111">
        <v>21883</v>
      </c>
    </row>
    <row r="5112" spans="1:4" x14ac:dyDescent="0.2">
      <c r="A5112">
        <v>3693740</v>
      </c>
      <c r="B5112">
        <v>30066</v>
      </c>
      <c r="C5112">
        <v>302400</v>
      </c>
      <c r="D5112">
        <v>21883</v>
      </c>
    </row>
    <row r="5113" spans="1:4" x14ac:dyDescent="0.2">
      <c r="A5113">
        <v>3693741</v>
      </c>
      <c r="B5113">
        <v>30061</v>
      </c>
      <c r="C5113">
        <v>302346</v>
      </c>
      <c r="D5113">
        <v>21883</v>
      </c>
    </row>
    <row r="5114" spans="1:4" x14ac:dyDescent="0.2">
      <c r="A5114">
        <v>3693741</v>
      </c>
      <c r="B5114">
        <v>30062</v>
      </c>
      <c r="C5114">
        <v>302355</v>
      </c>
      <c r="D5114">
        <v>21883</v>
      </c>
    </row>
    <row r="5115" spans="1:4" x14ac:dyDescent="0.2">
      <c r="A5115">
        <v>3693741</v>
      </c>
      <c r="B5115">
        <v>30063</v>
      </c>
      <c r="C5115">
        <v>302356</v>
      </c>
      <c r="D5115">
        <v>21883</v>
      </c>
    </row>
    <row r="5116" spans="1:4" x14ac:dyDescent="0.2">
      <c r="A5116">
        <v>3693741</v>
      </c>
      <c r="B5116">
        <v>30064</v>
      </c>
      <c r="C5116">
        <v>302379</v>
      </c>
      <c r="D5116">
        <v>21883</v>
      </c>
    </row>
    <row r="5117" spans="1:4" x14ac:dyDescent="0.2">
      <c r="A5117">
        <v>3693741</v>
      </c>
      <c r="B5117">
        <v>30065</v>
      </c>
      <c r="C5117">
        <v>302373</v>
      </c>
      <c r="D5117">
        <v>21883</v>
      </c>
    </row>
    <row r="5118" spans="1:4" x14ac:dyDescent="0.2">
      <c r="A5118">
        <v>3693741</v>
      </c>
      <c r="B5118">
        <v>30066</v>
      </c>
      <c r="C5118">
        <v>302400</v>
      </c>
      <c r="D5118">
        <v>21883</v>
      </c>
    </row>
    <row r="5119" spans="1:4" x14ac:dyDescent="0.2">
      <c r="A5119">
        <v>3693742</v>
      </c>
      <c r="B5119">
        <v>30061</v>
      </c>
      <c r="C5119">
        <v>302346</v>
      </c>
      <c r="D5119">
        <v>21883</v>
      </c>
    </row>
    <row r="5120" spans="1:4" x14ac:dyDescent="0.2">
      <c r="A5120">
        <v>3693742</v>
      </c>
      <c r="B5120">
        <v>30062</v>
      </c>
      <c r="C5120">
        <v>302355</v>
      </c>
      <c r="D5120">
        <v>21883</v>
      </c>
    </row>
    <row r="5121" spans="1:4" x14ac:dyDescent="0.2">
      <c r="A5121">
        <v>3693742</v>
      </c>
      <c r="B5121">
        <v>30063</v>
      </c>
      <c r="C5121">
        <v>302356</v>
      </c>
      <c r="D5121">
        <v>21883</v>
      </c>
    </row>
    <row r="5122" spans="1:4" x14ac:dyDescent="0.2">
      <c r="A5122">
        <v>3693742</v>
      </c>
      <c r="B5122">
        <v>30064</v>
      </c>
      <c r="C5122">
        <v>302335</v>
      </c>
      <c r="D5122">
        <v>21883</v>
      </c>
    </row>
    <row r="5123" spans="1:4" x14ac:dyDescent="0.2">
      <c r="A5123">
        <v>3693742</v>
      </c>
      <c r="B5123">
        <v>30065</v>
      </c>
      <c r="C5123">
        <v>302373</v>
      </c>
      <c r="D5123">
        <v>21883</v>
      </c>
    </row>
    <row r="5124" spans="1:4" x14ac:dyDescent="0.2">
      <c r="A5124">
        <v>3693742</v>
      </c>
      <c r="B5124">
        <v>30066</v>
      </c>
      <c r="C5124">
        <v>302400</v>
      </c>
      <c r="D5124">
        <v>21883</v>
      </c>
    </row>
    <row r="5125" spans="1:4" x14ac:dyDescent="0.2">
      <c r="A5125">
        <v>3693743</v>
      </c>
      <c r="B5125">
        <v>30061</v>
      </c>
      <c r="C5125">
        <v>302346</v>
      </c>
      <c r="D5125">
        <v>21883</v>
      </c>
    </row>
    <row r="5126" spans="1:4" x14ac:dyDescent="0.2">
      <c r="A5126">
        <v>3693743</v>
      </c>
      <c r="B5126">
        <v>30062</v>
      </c>
      <c r="C5126">
        <v>302355</v>
      </c>
      <c r="D5126">
        <v>21883</v>
      </c>
    </row>
    <row r="5127" spans="1:4" x14ac:dyDescent="0.2">
      <c r="A5127">
        <v>3693743</v>
      </c>
      <c r="B5127">
        <v>30063</v>
      </c>
      <c r="C5127">
        <v>302356</v>
      </c>
      <c r="D5127">
        <v>21883</v>
      </c>
    </row>
    <row r="5128" spans="1:4" x14ac:dyDescent="0.2">
      <c r="A5128">
        <v>3693743</v>
      </c>
      <c r="B5128">
        <v>30064</v>
      </c>
      <c r="C5128">
        <v>302379</v>
      </c>
      <c r="D5128">
        <v>21883</v>
      </c>
    </row>
    <row r="5129" spans="1:4" x14ac:dyDescent="0.2">
      <c r="A5129">
        <v>3693743</v>
      </c>
      <c r="B5129">
        <v>30065</v>
      </c>
      <c r="C5129">
        <v>302373</v>
      </c>
      <c r="D5129">
        <v>21883</v>
      </c>
    </row>
    <row r="5130" spans="1:4" x14ac:dyDescent="0.2">
      <c r="A5130">
        <v>3693743</v>
      </c>
      <c r="B5130">
        <v>30066</v>
      </c>
      <c r="C5130">
        <v>302400</v>
      </c>
      <c r="D5130">
        <v>21883</v>
      </c>
    </row>
    <row r="5131" spans="1:4" x14ac:dyDescent="0.2">
      <c r="A5131">
        <v>3693744</v>
      </c>
      <c r="B5131">
        <v>30061</v>
      </c>
      <c r="C5131">
        <v>302346</v>
      </c>
      <c r="D5131">
        <v>21883</v>
      </c>
    </row>
    <row r="5132" spans="1:4" x14ac:dyDescent="0.2">
      <c r="A5132">
        <v>3693744</v>
      </c>
      <c r="B5132">
        <v>30062</v>
      </c>
      <c r="C5132">
        <v>302355</v>
      </c>
      <c r="D5132">
        <v>21883</v>
      </c>
    </row>
    <row r="5133" spans="1:4" x14ac:dyDescent="0.2">
      <c r="A5133">
        <v>3693744</v>
      </c>
      <c r="B5133">
        <v>30063</v>
      </c>
      <c r="C5133">
        <v>302356</v>
      </c>
      <c r="D5133">
        <v>21883</v>
      </c>
    </row>
    <row r="5134" spans="1:4" x14ac:dyDescent="0.2">
      <c r="A5134">
        <v>3693744</v>
      </c>
      <c r="B5134">
        <v>30064</v>
      </c>
      <c r="C5134">
        <v>302379</v>
      </c>
      <c r="D5134">
        <v>21883</v>
      </c>
    </row>
    <row r="5135" spans="1:4" x14ac:dyDescent="0.2">
      <c r="A5135">
        <v>3693744</v>
      </c>
      <c r="B5135">
        <v>30065</v>
      </c>
      <c r="C5135">
        <v>302373</v>
      </c>
      <c r="D5135">
        <v>21883</v>
      </c>
    </row>
    <row r="5136" spans="1:4" x14ac:dyDescent="0.2">
      <c r="A5136">
        <v>3693744</v>
      </c>
      <c r="B5136">
        <v>30066</v>
      </c>
      <c r="C5136">
        <v>302400</v>
      </c>
      <c r="D5136">
        <v>21883</v>
      </c>
    </row>
    <row r="5137" spans="1:4" x14ac:dyDescent="0.2">
      <c r="A5137">
        <v>3693745</v>
      </c>
      <c r="B5137">
        <v>30063</v>
      </c>
      <c r="C5137">
        <v>302356</v>
      </c>
      <c r="D5137">
        <v>21883</v>
      </c>
    </row>
    <row r="5138" spans="1:4" x14ac:dyDescent="0.2">
      <c r="A5138">
        <v>3693745</v>
      </c>
      <c r="B5138">
        <v>30064</v>
      </c>
      <c r="C5138">
        <v>302396</v>
      </c>
      <c r="D5138">
        <v>21883</v>
      </c>
    </row>
    <row r="5139" spans="1:4" x14ac:dyDescent="0.2">
      <c r="A5139">
        <v>3693745</v>
      </c>
      <c r="B5139">
        <v>30065</v>
      </c>
      <c r="C5139">
        <v>302372</v>
      </c>
      <c r="D5139">
        <v>21883</v>
      </c>
    </row>
    <row r="5140" spans="1:4" x14ac:dyDescent="0.2">
      <c r="A5140">
        <v>3693745</v>
      </c>
      <c r="B5140">
        <v>30066</v>
      </c>
      <c r="C5140">
        <v>302400</v>
      </c>
      <c r="D5140">
        <v>21883</v>
      </c>
    </row>
    <row r="5141" spans="1:4" x14ac:dyDescent="0.2">
      <c r="A5141">
        <v>3693746</v>
      </c>
      <c r="B5141">
        <v>30061</v>
      </c>
      <c r="C5141">
        <v>302337</v>
      </c>
      <c r="D5141">
        <v>21883</v>
      </c>
    </row>
    <row r="5142" spans="1:4" x14ac:dyDescent="0.2">
      <c r="A5142">
        <v>3693746</v>
      </c>
      <c r="B5142">
        <v>30062</v>
      </c>
      <c r="C5142">
        <v>302355</v>
      </c>
      <c r="D5142">
        <v>21883</v>
      </c>
    </row>
    <row r="5143" spans="1:4" x14ac:dyDescent="0.2">
      <c r="A5143">
        <v>3693746</v>
      </c>
      <c r="B5143">
        <v>30063</v>
      </c>
      <c r="C5143">
        <v>302357</v>
      </c>
      <c r="D5143">
        <v>21883</v>
      </c>
    </row>
    <row r="5144" spans="1:4" x14ac:dyDescent="0.2">
      <c r="A5144">
        <v>3693746</v>
      </c>
      <c r="B5144">
        <v>30064</v>
      </c>
      <c r="C5144">
        <v>302389</v>
      </c>
      <c r="D5144">
        <v>21883</v>
      </c>
    </row>
    <row r="5145" spans="1:4" x14ac:dyDescent="0.2">
      <c r="A5145">
        <v>3693746</v>
      </c>
      <c r="B5145">
        <v>30065</v>
      </c>
      <c r="C5145">
        <v>302331</v>
      </c>
      <c r="D5145">
        <v>21883</v>
      </c>
    </row>
    <row r="5146" spans="1:4" x14ac:dyDescent="0.2">
      <c r="A5146">
        <v>3693746</v>
      </c>
      <c r="B5146">
        <v>30066</v>
      </c>
      <c r="C5146">
        <v>302436</v>
      </c>
      <c r="D5146">
        <v>21883</v>
      </c>
    </row>
    <row r="5147" spans="1:4" x14ac:dyDescent="0.2">
      <c r="A5147">
        <v>3693747</v>
      </c>
      <c r="B5147">
        <v>30063</v>
      </c>
      <c r="C5147">
        <v>302357</v>
      </c>
      <c r="D5147">
        <v>21883</v>
      </c>
    </row>
    <row r="5148" spans="1:4" x14ac:dyDescent="0.2">
      <c r="A5148">
        <v>3693747</v>
      </c>
      <c r="B5148">
        <v>30064</v>
      </c>
      <c r="C5148">
        <v>302369</v>
      </c>
      <c r="D5148">
        <v>21883</v>
      </c>
    </row>
    <row r="5149" spans="1:4" x14ac:dyDescent="0.2">
      <c r="A5149">
        <v>3693747</v>
      </c>
      <c r="B5149">
        <v>30065</v>
      </c>
      <c r="C5149">
        <v>302373</v>
      </c>
      <c r="D5149">
        <v>21883</v>
      </c>
    </row>
    <row r="5150" spans="1:4" x14ac:dyDescent="0.2">
      <c r="A5150">
        <v>3693747</v>
      </c>
      <c r="B5150">
        <v>30066</v>
      </c>
      <c r="C5150">
        <v>302436</v>
      </c>
      <c r="D5150">
        <v>21883</v>
      </c>
    </row>
    <row r="5151" spans="1:4" x14ac:dyDescent="0.2">
      <c r="A5151">
        <v>3693747</v>
      </c>
      <c r="B5151">
        <v>30067</v>
      </c>
      <c r="C5151">
        <v>302464</v>
      </c>
      <c r="D5151">
        <v>21883</v>
      </c>
    </row>
    <row r="5152" spans="1:4" x14ac:dyDescent="0.2">
      <c r="A5152">
        <v>3693748</v>
      </c>
      <c r="B5152">
        <v>30061</v>
      </c>
      <c r="C5152">
        <v>302333</v>
      </c>
      <c r="D5152">
        <v>21883</v>
      </c>
    </row>
    <row r="5153" spans="1:4" x14ac:dyDescent="0.2">
      <c r="A5153">
        <v>3693748</v>
      </c>
      <c r="B5153">
        <v>30062</v>
      </c>
      <c r="C5153">
        <v>302355</v>
      </c>
      <c r="D5153">
        <v>21883</v>
      </c>
    </row>
    <row r="5154" spans="1:4" x14ac:dyDescent="0.2">
      <c r="A5154">
        <v>3693748</v>
      </c>
      <c r="B5154">
        <v>30063</v>
      </c>
      <c r="C5154">
        <v>302357</v>
      </c>
      <c r="D5154">
        <v>21883</v>
      </c>
    </row>
    <row r="5155" spans="1:4" x14ac:dyDescent="0.2">
      <c r="A5155">
        <v>3693748</v>
      </c>
      <c r="B5155">
        <v>30064</v>
      </c>
      <c r="C5155">
        <v>302420</v>
      </c>
      <c r="D5155">
        <v>21883</v>
      </c>
    </row>
    <row r="5156" spans="1:4" x14ac:dyDescent="0.2">
      <c r="A5156">
        <v>3693748</v>
      </c>
      <c r="B5156">
        <v>30065</v>
      </c>
      <c r="C5156">
        <v>302331</v>
      </c>
      <c r="D5156">
        <v>21883</v>
      </c>
    </row>
    <row r="5157" spans="1:4" x14ac:dyDescent="0.2">
      <c r="A5157">
        <v>3693748</v>
      </c>
      <c r="B5157">
        <v>30066</v>
      </c>
      <c r="C5157">
        <v>302436</v>
      </c>
      <c r="D5157">
        <v>21883</v>
      </c>
    </row>
    <row r="5158" spans="1:4" x14ac:dyDescent="0.2">
      <c r="A5158">
        <v>3693748</v>
      </c>
      <c r="B5158">
        <v>30067</v>
      </c>
      <c r="C5158">
        <v>302464</v>
      </c>
      <c r="D5158">
        <v>21883</v>
      </c>
    </row>
    <row r="5159" spans="1:4" x14ac:dyDescent="0.2">
      <c r="A5159">
        <v>3693749</v>
      </c>
      <c r="B5159">
        <v>30061</v>
      </c>
      <c r="C5159">
        <v>302333</v>
      </c>
      <c r="D5159">
        <v>21883</v>
      </c>
    </row>
    <row r="5160" spans="1:4" x14ac:dyDescent="0.2">
      <c r="A5160">
        <v>3693749</v>
      </c>
      <c r="B5160">
        <v>30062</v>
      </c>
      <c r="C5160">
        <v>302355</v>
      </c>
      <c r="D5160">
        <v>21883</v>
      </c>
    </row>
    <row r="5161" spans="1:4" x14ac:dyDescent="0.2">
      <c r="A5161">
        <v>3693749</v>
      </c>
      <c r="B5161">
        <v>30063</v>
      </c>
      <c r="C5161">
        <v>302357</v>
      </c>
      <c r="D5161">
        <v>21883</v>
      </c>
    </row>
    <row r="5162" spans="1:4" x14ac:dyDescent="0.2">
      <c r="A5162">
        <v>3693749</v>
      </c>
      <c r="B5162">
        <v>30064</v>
      </c>
      <c r="C5162">
        <v>302369</v>
      </c>
      <c r="D5162">
        <v>21883</v>
      </c>
    </row>
    <row r="5163" spans="1:4" x14ac:dyDescent="0.2">
      <c r="A5163">
        <v>3693749</v>
      </c>
      <c r="B5163">
        <v>30065</v>
      </c>
      <c r="C5163">
        <v>302331</v>
      </c>
      <c r="D5163">
        <v>21883</v>
      </c>
    </row>
    <row r="5164" spans="1:4" x14ac:dyDescent="0.2">
      <c r="A5164">
        <v>3693749</v>
      </c>
      <c r="B5164">
        <v>30066</v>
      </c>
      <c r="C5164">
        <v>302436</v>
      </c>
      <c r="D5164">
        <v>21883</v>
      </c>
    </row>
    <row r="5165" spans="1:4" x14ac:dyDescent="0.2">
      <c r="A5165">
        <v>3693749</v>
      </c>
      <c r="B5165">
        <v>30067</v>
      </c>
      <c r="C5165">
        <v>302464</v>
      </c>
      <c r="D5165">
        <v>21883</v>
      </c>
    </row>
    <row r="5166" spans="1:4" x14ac:dyDescent="0.2">
      <c r="A5166">
        <v>3693750</v>
      </c>
      <c r="B5166">
        <v>30061</v>
      </c>
      <c r="C5166">
        <v>302337</v>
      </c>
      <c r="D5166">
        <v>21883</v>
      </c>
    </row>
    <row r="5167" spans="1:4" x14ac:dyDescent="0.2">
      <c r="A5167">
        <v>3693750</v>
      </c>
      <c r="B5167">
        <v>30062</v>
      </c>
      <c r="C5167">
        <v>302355</v>
      </c>
      <c r="D5167">
        <v>21883</v>
      </c>
    </row>
    <row r="5168" spans="1:4" x14ac:dyDescent="0.2">
      <c r="A5168">
        <v>3693750</v>
      </c>
      <c r="B5168">
        <v>30063</v>
      </c>
      <c r="C5168">
        <v>302357</v>
      </c>
      <c r="D5168">
        <v>21883</v>
      </c>
    </row>
    <row r="5169" spans="1:4" x14ac:dyDescent="0.2">
      <c r="A5169">
        <v>3693750</v>
      </c>
      <c r="B5169">
        <v>30064</v>
      </c>
      <c r="C5169">
        <v>302389</v>
      </c>
      <c r="D5169">
        <v>21883</v>
      </c>
    </row>
    <row r="5170" spans="1:4" x14ac:dyDescent="0.2">
      <c r="A5170">
        <v>3693750</v>
      </c>
      <c r="B5170">
        <v>30065</v>
      </c>
      <c r="C5170">
        <v>302331</v>
      </c>
      <c r="D5170">
        <v>21883</v>
      </c>
    </row>
    <row r="5171" spans="1:4" x14ac:dyDescent="0.2">
      <c r="A5171">
        <v>3693750</v>
      </c>
      <c r="B5171">
        <v>30066</v>
      </c>
      <c r="C5171">
        <v>302436</v>
      </c>
      <c r="D5171">
        <v>21883</v>
      </c>
    </row>
    <row r="5172" spans="1:4" x14ac:dyDescent="0.2">
      <c r="A5172">
        <v>3693751</v>
      </c>
      <c r="B5172">
        <v>30061</v>
      </c>
      <c r="C5172">
        <v>302337</v>
      </c>
      <c r="D5172">
        <v>21883</v>
      </c>
    </row>
    <row r="5173" spans="1:4" x14ac:dyDescent="0.2">
      <c r="A5173">
        <v>3693751</v>
      </c>
      <c r="B5173">
        <v>30062</v>
      </c>
      <c r="C5173">
        <v>302355</v>
      </c>
      <c r="D5173">
        <v>21883</v>
      </c>
    </row>
    <row r="5174" spans="1:4" x14ac:dyDescent="0.2">
      <c r="A5174">
        <v>3693751</v>
      </c>
      <c r="B5174">
        <v>30063</v>
      </c>
      <c r="C5174">
        <v>302357</v>
      </c>
      <c r="D5174">
        <v>21883</v>
      </c>
    </row>
    <row r="5175" spans="1:4" x14ac:dyDescent="0.2">
      <c r="A5175">
        <v>3693751</v>
      </c>
      <c r="B5175">
        <v>30064</v>
      </c>
      <c r="C5175">
        <v>302389</v>
      </c>
      <c r="D5175">
        <v>21883</v>
      </c>
    </row>
    <row r="5176" spans="1:4" x14ac:dyDescent="0.2">
      <c r="A5176">
        <v>3693751</v>
      </c>
      <c r="B5176">
        <v>30065</v>
      </c>
      <c r="C5176">
        <v>302331</v>
      </c>
      <c r="D5176">
        <v>21883</v>
      </c>
    </row>
    <row r="5177" spans="1:4" x14ac:dyDescent="0.2">
      <c r="A5177">
        <v>3693751</v>
      </c>
      <c r="B5177">
        <v>30066</v>
      </c>
      <c r="C5177">
        <v>302436</v>
      </c>
      <c r="D5177">
        <v>21883</v>
      </c>
    </row>
    <row r="5178" spans="1:4" x14ac:dyDescent="0.2">
      <c r="A5178">
        <v>3693752</v>
      </c>
      <c r="B5178">
        <v>30063</v>
      </c>
      <c r="C5178">
        <v>302357</v>
      </c>
      <c r="D5178">
        <v>21883</v>
      </c>
    </row>
    <row r="5179" spans="1:4" x14ac:dyDescent="0.2">
      <c r="A5179">
        <v>3693752</v>
      </c>
      <c r="B5179">
        <v>30064</v>
      </c>
      <c r="C5179">
        <v>302360</v>
      </c>
      <c r="D5179">
        <v>21883</v>
      </c>
    </row>
    <row r="5180" spans="1:4" x14ac:dyDescent="0.2">
      <c r="A5180">
        <v>3693752</v>
      </c>
      <c r="B5180">
        <v>30065</v>
      </c>
      <c r="C5180">
        <v>302373</v>
      </c>
      <c r="D5180">
        <v>21883</v>
      </c>
    </row>
    <row r="5181" spans="1:4" x14ac:dyDescent="0.2">
      <c r="A5181">
        <v>3693752</v>
      </c>
      <c r="B5181">
        <v>30066</v>
      </c>
      <c r="C5181">
        <v>302436</v>
      </c>
      <c r="D5181">
        <v>21883</v>
      </c>
    </row>
    <row r="5182" spans="1:4" x14ac:dyDescent="0.2">
      <c r="A5182">
        <v>3693752</v>
      </c>
      <c r="B5182">
        <v>30067</v>
      </c>
      <c r="C5182">
        <v>302455</v>
      </c>
      <c r="D5182">
        <v>21883</v>
      </c>
    </row>
    <row r="5183" spans="1:4" x14ac:dyDescent="0.2">
      <c r="A5183">
        <v>3693753</v>
      </c>
      <c r="B5183">
        <v>30061</v>
      </c>
      <c r="C5183">
        <v>302334</v>
      </c>
      <c r="D5183">
        <v>21883</v>
      </c>
    </row>
    <row r="5184" spans="1:4" x14ac:dyDescent="0.2">
      <c r="A5184">
        <v>3693753</v>
      </c>
      <c r="B5184">
        <v>30062</v>
      </c>
      <c r="C5184">
        <v>302355</v>
      </c>
      <c r="D5184">
        <v>21883</v>
      </c>
    </row>
    <row r="5185" spans="1:4" x14ac:dyDescent="0.2">
      <c r="A5185">
        <v>3693753</v>
      </c>
      <c r="B5185">
        <v>30063</v>
      </c>
      <c r="C5185">
        <v>302357</v>
      </c>
      <c r="D5185">
        <v>21883</v>
      </c>
    </row>
    <row r="5186" spans="1:4" x14ac:dyDescent="0.2">
      <c r="A5186">
        <v>3693753</v>
      </c>
      <c r="B5186">
        <v>30064</v>
      </c>
      <c r="C5186">
        <v>302360</v>
      </c>
      <c r="D5186">
        <v>21883</v>
      </c>
    </row>
    <row r="5187" spans="1:4" x14ac:dyDescent="0.2">
      <c r="A5187">
        <v>3693753</v>
      </c>
      <c r="B5187">
        <v>30065</v>
      </c>
      <c r="C5187">
        <v>302331</v>
      </c>
      <c r="D5187">
        <v>21883</v>
      </c>
    </row>
    <row r="5188" spans="1:4" x14ac:dyDescent="0.2">
      <c r="A5188">
        <v>3693753</v>
      </c>
      <c r="B5188">
        <v>30066</v>
      </c>
      <c r="C5188">
        <v>302436</v>
      </c>
      <c r="D5188">
        <v>21883</v>
      </c>
    </row>
    <row r="5189" spans="1:4" x14ac:dyDescent="0.2">
      <c r="A5189">
        <v>3693753</v>
      </c>
      <c r="B5189">
        <v>30067</v>
      </c>
      <c r="C5189">
        <v>302455</v>
      </c>
      <c r="D5189">
        <v>21883</v>
      </c>
    </row>
    <row r="5190" spans="1:4" x14ac:dyDescent="0.2">
      <c r="A5190">
        <v>3693754</v>
      </c>
      <c r="B5190">
        <v>30063</v>
      </c>
      <c r="C5190">
        <v>302357</v>
      </c>
      <c r="D5190">
        <v>21883</v>
      </c>
    </row>
    <row r="5191" spans="1:4" x14ac:dyDescent="0.2">
      <c r="A5191">
        <v>3693754</v>
      </c>
      <c r="B5191">
        <v>30064</v>
      </c>
      <c r="C5191">
        <v>302362</v>
      </c>
      <c r="D5191">
        <v>21883</v>
      </c>
    </row>
    <row r="5192" spans="1:4" x14ac:dyDescent="0.2">
      <c r="A5192">
        <v>3693754</v>
      </c>
      <c r="B5192">
        <v>30065</v>
      </c>
      <c r="C5192">
        <v>302373</v>
      </c>
      <c r="D5192">
        <v>21883</v>
      </c>
    </row>
    <row r="5193" spans="1:4" x14ac:dyDescent="0.2">
      <c r="A5193">
        <v>3693754</v>
      </c>
      <c r="B5193">
        <v>30066</v>
      </c>
      <c r="C5193">
        <v>302436</v>
      </c>
      <c r="D5193">
        <v>21883</v>
      </c>
    </row>
    <row r="5194" spans="1:4" x14ac:dyDescent="0.2">
      <c r="A5194">
        <v>3693754</v>
      </c>
      <c r="B5194">
        <v>30067</v>
      </c>
      <c r="C5194">
        <v>302455</v>
      </c>
      <c r="D5194">
        <v>21883</v>
      </c>
    </row>
    <row r="5195" spans="1:4" x14ac:dyDescent="0.2">
      <c r="A5195">
        <v>3693755</v>
      </c>
      <c r="B5195">
        <v>30063</v>
      </c>
      <c r="C5195">
        <v>302357</v>
      </c>
      <c r="D5195">
        <v>21883</v>
      </c>
    </row>
    <row r="5196" spans="1:4" x14ac:dyDescent="0.2">
      <c r="A5196">
        <v>3693755</v>
      </c>
      <c r="B5196">
        <v>30064</v>
      </c>
      <c r="C5196">
        <v>302368</v>
      </c>
      <c r="D5196">
        <v>21883</v>
      </c>
    </row>
    <row r="5197" spans="1:4" x14ac:dyDescent="0.2">
      <c r="A5197">
        <v>3693755</v>
      </c>
      <c r="B5197">
        <v>30065</v>
      </c>
      <c r="C5197">
        <v>302373</v>
      </c>
      <c r="D5197">
        <v>21883</v>
      </c>
    </row>
    <row r="5198" spans="1:4" x14ac:dyDescent="0.2">
      <c r="A5198">
        <v>3693755</v>
      </c>
      <c r="B5198">
        <v>30066</v>
      </c>
      <c r="C5198">
        <v>302436</v>
      </c>
      <c r="D5198">
        <v>21883</v>
      </c>
    </row>
    <row r="5199" spans="1:4" x14ac:dyDescent="0.2">
      <c r="A5199">
        <v>3693755</v>
      </c>
      <c r="B5199">
        <v>30067</v>
      </c>
      <c r="C5199">
        <v>302455</v>
      </c>
      <c r="D5199">
        <v>21883</v>
      </c>
    </row>
    <row r="5200" spans="1:4" x14ac:dyDescent="0.2">
      <c r="A5200">
        <v>3693756</v>
      </c>
      <c r="B5200">
        <v>30063</v>
      </c>
      <c r="C5200">
        <v>302357</v>
      </c>
      <c r="D5200">
        <v>21883</v>
      </c>
    </row>
    <row r="5201" spans="1:4" x14ac:dyDescent="0.2">
      <c r="A5201">
        <v>3693756</v>
      </c>
      <c r="B5201">
        <v>30064</v>
      </c>
      <c r="C5201">
        <v>302362</v>
      </c>
      <c r="D5201">
        <v>21883</v>
      </c>
    </row>
    <row r="5202" spans="1:4" x14ac:dyDescent="0.2">
      <c r="A5202">
        <v>3693756</v>
      </c>
      <c r="B5202">
        <v>30065</v>
      </c>
      <c r="C5202">
        <v>302373</v>
      </c>
      <c r="D5202">
        <v>21883</v>
      </c>
    </row>
    <row r="5203" spans="1:4" x14ac:dyDescent="0.2">
      <c r="A5203">
        <v>3693756</v>
      </c>
      <c r="B5203">
        <v>30066</v>
      </c>
      <c r="C5203">
        <v>302436</v>
      </c>
      <c r="D5203">
        <v>21883</v>
      </c>
    </row>
    <row r="5204" spans="1:4" x14ac:dyDescent="0.2">
      <c r="A5204">
        <v>3693756</v>
      </c>
      <c r="B5204">
        <v>30067</v>
      </c>
      <c r="C5204">
        <v>302455</v>
      </c>
      <c r="D5204">
        <v>21883</v>
      </c>
    </row>
    <row r="5205" spans="1:4" x14ac:dyDescent="0.2">
      <c r="A5205">
        <v>3693757</v>
      </c>
      <c r="B5205">
        <v>30063</v>
      </c>
      <c r="C5205">
        <v>302357</v>
      </c>
      <c r="D5205">
        <v>21883</v>
      </c>
    </row>
    <row r="5206" spans="1:4" x14ac:dyDescent="0.2">
      <c r="A5206">
        <v>3693757</v>
      </c>
      <c r="B5206">
        <v>30064</v>
      </c>
      <c r="C5206">
        <v>302362</v>
      </c>
      <c r="D5206">
        <v>21883</v>
      </c>
    </row>
    <row r="5207" spans="1:4" x14ac:dyDescent="0.2">
      <c r="A5207">
        <v>3693757</v>
      </c>
      <c r="B5207">
        <v>30065</v>
      </c>
      <c r="C5207">
        <v>302373</v>
      </c>
      <c r="D5207">
        <v>21883</v>
      </c>
    </row>
    <row r="5208" spans="1:4" x14ac:dyDescent="0.2">
      <c r="A5208">
        <v>3693757</v>
      </c>
      <c r="B5208">
        <v>30066</v>
      </c>
      <c r="C5208">
        <v>302436</v>
      </c>
      <c r="D5208">
        <v>21883</v>
      </c>
    </row>
    <row r="5209" spans="1:4" x14ac:dyDescent="0.2">
      <c r="A5209">
        <v>3693757</v>
      </c>
      <c r="B5209">
        <v>30067</v>
      </c>
      <c r="C5209">
        <v>302455</v>
      </c>
      <c r="D5209">
        <v>21883</v>
      </c>
    </row>
    <row r="5210" spans="1:4" x14ac:dyDescent="0.2">
      <c r="A5210">
        <v>3693758</v>
      </c>
      <c r="B5210">
        <v>30061</v>
      </c>
      <c r="C5210">
        <v>302334</v>
      </c>
      <c r="D5210">
        <v>21883</v>
      </c>
    </row>
    <row r="5211" spans="1:4" x14ac:dyDescent="0.2">
      <c r="A5211">
        <v>3693758</v>
      </c>
      <c r="B5211">
        <v>30062</v>
      </c>
      <c r="C5211">
        <v>302355</v>
      </c>
      <c r="D5211">
        <v>21883</v>
      </c>
    </row>
    <row r="5212" spans="1:4" x14ac:dyDescent="0.2">
      <c r="A5212">
        <v>3693758</v>
      </c>
      <c r="B5212">
        <v>30063</v>
      </c>
      <c r="C5212">
        <v>302357</v>
      </c>
      <c r="D5212">
        <v>21883</v>
      </c>
    </row>
    <row r="5213" spans="1:4" x14ac:dyDescent="0.2">
      <c r="A5213">
        <v>3693758</v>
      </c>
      <c r="B5213">
        <v>30064</v>
      </c>
      <c r="C5213">
        <v>302362</v>
      </c>
      <c r="D5213">
        <v>21883</v>
      </c>
    </row>
    <row r="5214" spans="1:4" x14ac:dyDescent="0.2">
      <c r="A5214">
        <v>3693758</v>
      </c>
      <c r="B5214">
        <v>30065</v>
      </c>
      <c r="C5214">
        <v>302331</v>
      </c>
      <c r="D5214">
        <v>21883</v>
      </c>
    </row>
    <row r="5215" spans="1:4" x14ac:dyDescent="0.2">
      <c r="A5215">
        <v>3693758</v>
      </c>
      <c r="B5215">
        <v>30066</v>
      </c>
      <c r="C5215">
        <v>302436</v>
      </c>
      <c r="D5215">
        <v>21883</v>
      </c>
    </row>
    <row r="5216" spans="1:4" x14ac:dyDescent="0.2">
      <c r="A5216">
        <v>3693758</v>
      </c>
      <c r="B5216">
        <v>30067</v>
      </c>
      <c r="C5216">
        <v>302455</v>
      </c>
      <c r="D5216">
        <v>21883</v>
      </c>
    </row>
    <row r="5217" spans="1:4" x14ac:dyDescent="0.2">
      <c r="A5217">
        <v>3693759</v>
      </c>
      <c r="B5217">
        <v>30063</v>
      </c>
      <c r="C5217">
        <v>302357</v>
      </c>
      <c r="D5217">
        <v>21883</v>
      </c>
    </row>
    <row r="5218" spans="1:4" x14ac:dyDescent="0.2">
      <c r="A5218">
        <v>3693759</v>
      </c>
      <c r="B5218">
        <v>30064</v>
      </c>
      <c r="C5218">
        <v>302368</v>
      </c>
      <c r="D5218">
        <v>21883</v>
      </c>
    </row>
    <row r="5219" spans="1:4" x14ac:dyDescent="0.2">
      <c r="A5219">
        <v>3693759</v>
      </c>
      <c r="B5219">
        <v>30065</v>
      </c>
      <c r="C5219">
        <v>302373</v>
      </c>
      <c r="D5219">
        <v>21883</v>
      </c>
    </row>
    <row r="5220" spans="1:4" x14ac:dyDescent="0.2">
      <c r="A5220">
        <v>3693759</v>
      </c>
      <c r="B5220">
        <v>30066</v>
      </c>
      <c r="C5220">
        <v>302436</v>
      </c>
      <c r="D5220">
        <v>21883</v>
      </c>
    </row>
    <row r="5221" spans="1:4" x14ac:dyDescent="0.2">
      <c r="A5221">
        <v>3693759</v>
      </c>
      <c r="B5221">
        <v>30067</v>
      </c>
      <c r="C5221">
        <v>302455</v>
      </c>
      <c r="D5221">
        <v>21883</v>
      </c>
    </row>
    <row r="5222" spans="1:4" x14ac:dyDescent="0.2">
      <c r="A5222">
        <v>3693760</v>
      </c>
      <c r="B5222">
        <v>30061</v>
      </c>
      <c r="C5222">
        <v>302334</v>
      </c>
      <c r="D5222">
        <v>21883</v>
      </c>
    </row>
    <row r="5223" spans="1:4" x14ac:dyDescent="0.2">
      <c r="A5223">
        <v>3693760</v>
      </c>
      <c r="B5223">
        <v>30062</v>
      </c>
      <c r="C5223">
        <v>302355</v>
      </c>
      <c r="D5223">
        <v>21883</v>
      </c>
    </row>
    <row r="5224" spans="1:4" x14ac:dyDescent="0.2">
      <c r="A5224">
        <v>3693760</v>
      </c>
      <c r="B5224">
        <v>30063</v>
      </c>
      <c r="C5224">
        <v>302357</v>
      </c>
      <c r="D5224">
        <v>21883</v>
      </c>
    </row>
    <row r="5225" spans="1:4" x14ac:dyDescent="0.2">
      <c r="A5225">
        <v>3693760</v>
      </c>
      <c r="B5225">
        <v>30064</v>
      </c>
      <c r="C5225">
        <v>302362</v>
      </c>
      <c r="D5225">
        <v>21883</v>
      </c>
    </row>
    <row r="5226" spans="1:4" x14ac:dyDescent="0.2">
      <c r="A5226">
        <v>3693760</v>
      </c>
      <c r="B5226">
        <v>30065</v>
      </c>
      <c r="C5226">
        <v>302331</v>
      </c>
      <c r="D5226">
        <v>21883</v>
      </c>
    </row>
    <row r="5227" spans="1:4" x14ac:dyDescent="0.2">
      <c r="A5227">
        <v>3693760</v>
      </c>
      <c r="B5227">
        <v>30066</v>
      </c>
      <c r="C5227">
        <v>302436</v>
      </c>
      <c r="D5227">
        <v>21883</v>
      </c>
    </row>
    <row r="5228" spans="1:4" x14ac:dyDescent="0.2">
      <c r="A5228">
        <v>3693760</v>
      </c>
      <c r="B5228">
        <v>30067</v>
      </c>
      <c r="C5228">
        <v>302455</v>
      </c>
      <c r="D5228">
        <v>21883</v>
      </c>
    </row>
    <row r="5229" spans="1:4" x14ac:dyDescent="0.2">
      <c r="A5229">
        <v>3693761</v>
      </c>
      <c r="B5229">
        <v>30063</v>
      </c>
      <c r="C5229">
        <v>302357</v>
      </c>
      <c r="D5229">
        <v>21883</v>
      </c>
    </row>
    <row r="5230" spans="1:4" x14ac:dyDescent="0.2">
      <c r="A5230">
        <v>3693761</v>
      </c>
      <c r="B5230">
        <v>30064</v>
      </c>
      <c r="C5230">
        <v>302362</v>
      </c>
      <c r="D5230">
        <v>21883</v>
      </c>
    </row>
    <row r="5231" spans="1:4" x14ac:dyDescent="0.2">
      <c r="A5231">
        <v>3693761</v>
      </c>
      <c r="B5231">
        <v>30065</v>
      </c>
      <c r="C5231">
        <v>302373</v>
      </c>
      <c r="D5231">
        <v>21883</v>
      </c>
    </row>
    <row r="5232" spans="1:4" x14ac:dyDescent="0.2">
      <c r="A5232">
        <v>3693761</v>
      </c>
      <c r="B5232">
        <v>30066</v>
      </c>
      <c r="C5232">
        <v>302436</v>
      </c>
      <c r="D5232">
        <v>21883</v>
      </c>
    </row>
    <row r="5233" spans="1:4" x14ac:dyDescent="0.2">
      <c r="A5233">
        <v>3693761</v>
      </c>
      <c r="B5233">
        <v>30067</v>
      </c>
      <c r="C5233">
        <v>302455</v>
      </c>
      <c r="D5233">
        <v>21883</v>
      </c>
    </row>
    <row r="5234" spans="1:4" x14ac:dyDescent="0.2">
      <c r="A5234">
        <v>3693762</v>
      </c>
      <c r="B5234">
        <v>30063</v>
      </c>
      <c r="C5234">
        <v>302357</v>
      </c>
      <c r="D5234">
        <v>21883</v>
      </c>
    </row>
    <row r="5235" spans="1:4" x14ac:dyDescent="0.2">
      <c r="A5235">
        <v>3693762</v>
      </c>
      <c r="B5235">
        <v>30064</v>
      </c>
      <c r="C5235">
        <v>302362</v>
      </c>
      <c r="D5235">
        <v>21883</v>
      </c>
    </row>
    <row r="5236" spans="1:4" x14ac:dyDescent="0.2">
      <c r="A5236">
        <v>3693762</v>
      </c>
      <c r="B5236">
        <v>30065</v>
      </c>
      <c r="C5236">
        <v>302373</v>
      </c>
      <c r="D5236">
        <v>21883</v>
      </c>
    </row>
    <row r="5237" spans="1:4" x14ac:dyDescent="0.2">
      <c r="A5237">
        <v>3693762</v>
      </c>
      <c r="B5237">
        <v>30066</v>
      </c>
      <c r="C5237">
        <v>302436</v>
      </c>
      <c r="D5237">
        <v>21883</v>
      </c>
    </row>
    <row r="5238" spans="1:4" x14ac:dyDescent="0.2">
      <c r="A5238">
        <v>3693762</v>
      </c>
      <c r="B5238">
        <v>30067</v>
      </c>
      <c r="C5238">
        <v>302455</v>
      </c>
      <c r="D5238">
        <v>21883</v>
      </c>
    </row>
    <row r="5239" spans="1:4" x14ac:dyDescent="0.2">
      <c r="A5239">
        <v>3693763</v>
      </c>
      <c r="B5239">
        <v>30063</v>
      </c>
      <c r="C5239">
        <v>302357</v>
      </c>
      <c r="D5239">
        <v>21883</v>
      </c>
    </row>
    <row r="5240" spans="1:4" x14ac:dyDescent="0.2">
      <c r="A5240">
        <v>3693763</v>
      </c>
      <c r="B5240">
        <v>30064</v>
      </c>
      <c r="C5240">
        <v>302417</v>
      </c>
      <c r="D5240">
        <v>21883</v>
      </c>
    </row>
    <row r="5241" spans="1:4" x14ac:dyDescent="0.2">
      <c r="A5241">
        <v>3693763</v>
      </c>
      <c r="B5241">
        <v>30065</v>
      </c>
      <c r="C5241">
        <v>302373</v>
      </c>
      <c r="D5241">
        <v>21883</v>
      </c>
    </row>
    <row r="5242" spans="1:4" x14ac:dyDescent="0.2">
      <c r="A5242">
        <v>3693763</v>
      </c>
      <c r="B5242">
        <v>30066</v>
      </c>
      <c r="C5242">
        <v>302436</v>
      </c>
      <c r="D5242">
        <v>21883</v>
      </c>
    </row>
    <row r="5243" spans="1:4" x14ac:dyDescent="0.2">
      <c r="A5243">
        <v>3693763</v>
      </c>
      <c r="B5243">
        <v>30067</v>
      </c>
      <c r="C5243">
        <v>302455</v>
      </c>
      <c r="D5243">
        <v>21883</v>
      </c>
    </row>
    <row r="5244" spans="1:4" x14ac:dyDescent="0.2">
      <c r="A5244">
        <v>3693764</v>
      </c>
      <c r="B5244">
        <v>30063</v>
      </c>
      <c r="C5244">
        <v>302357</v>
      </c>
      <c r="D5244">
        <v>21883</v>
      </c>
    </row>
    <row r="5245" spans="1:4" x14ac:dyDescent="0.2">
      <c r="A5245">
        <v>3693764</v>
      </c>
      <c r="B5245">
        <v>30064</v>
      </c>
      <c r="C5245">
        <v>302416</v>
      </c>
      <c r="D5245">
        <v>21883</v>
      </c>
    </row>
    <row r="5246" spans="1:4" x14ac:dyDescent="0.2">
      <c r="A5246">
        <v>3693764</v>
      </c>
      <c r="B5246">
        <v>30065</v>
      </c>
      <c r="C5246">
        <v>302373</v>
      </c>
      <c r="D5246">
        <v>21883</v>
      </c>
    </row>
    <row r="5247" spans="1:4" x14ac:dyDescent="0.2">
      <c r="A5247">
        <v>3693764</v>
      </c>
      <c r="B5247">
        <v>30066</v>
      </c>
      <c r="C5247">
        <v>302436</v>
      </c>
      <c r="D5247">
        <v>21883</v>
      </c>
    </row>
    <row r="5248" spans="1:4" x14ac:dyDescent="0.2">
      <c r="A5248">
        <v>3693764</v>
      </c>
      <c r="B5248">
        <v>30067</v>
      </c>
      <c r="C5248">
        <v>302455</v>
      </c>
      <c r="D5248">
        <v>21883</v>
      </c>
    </row>
    <row r="5249" spans="1:4" x14ac:dyDescent="0.2">
      <c r="A5249">
        <v>3693765</v>
      </c>
      <c r="B5249">
        <v>30063</v>
      </c>
      <c r="C5249">
        <v>302357</v>
      </c>
      <c r="D5249">
        <v>21883</v>
      </c>
    </row>
    <row r="5250" spans="1:4" x14ac:dyDescent="0.2">
      <c r="A5250">
        <v>3693765</v>
      </c>
      <c r="B5250">
        <v>30064</v>
      </c>
      <c r="C5250">
        <v>302360</v>
      </c>
      <c r="D5250">
        <v>21883</v>
      </c>
    </row>
    <row r="5251" spans="1:4" x14ac:dyDescent="0.2">
      <c r="A5251">
        <v>3693765</v>
      </c>
      <c r="B5251">
        <v>30065</v>
      </c>
      <c r="C5251">
        <v>302373</v>
      </c>
      <c r="D5251">
        <v>21883</v>
      </c>
    </row>
    <row r="5252" spans="1:4" x14ac:dyDescent="0.2">
      <c r="A5252">
        <v>3693765</v>
      </c>
      <c r="B5252">
        <v>30066</v>
      </c>
      <c r="C5252">
        <v>302436</v>
      </c>
      <c r="D5252">
        <v>21883</v>
      </c>
    </row>
    <row r="5253" spans="1:4" x14ac:dyDescent="0.2">
      <c r="A5253">
        <v>3693765</v>
      </c>
      <c r="B5253">
        <v>30067</v>
      </c>
      <c r="C5253">
        <v>302455</v>
      </c>
      <c r="D5253">
        <v>21883</v>
      </c>
    </row>
    <row r="5254" spans="1:4" x14ac:dyDescent="0.2">
      <c r="A5254">
        <v>3693766</v>
      </c>
      <c r="B5254">
        <v>30063</v>
      </c>
      <c r="C5254">
        <v>302357</v>
      </c>
      <c r="D5254">
        <v>21883</v>
      </c>
    </row>
    <row r="5255" spans="1:4" x14ac:dyDescent="0.2">
      <c r="A5255">
        <v>3693766</v>
      </c>
      <c r="B5255">
        <v>30064</v>
      </c>
      <c r="C5255">
        <v>302360</v>
      </c>
      <c r="D5255">
        <v>21883</v>
      </c>
    </row>
    <row r="5256" spans="1:4" x14ac:dyDescent="0.2">
      <c r="A5256">
        <v>3693766</v>
      </c>
      <c r="B5256">
        <v>30065</v>
      </c>
      <c r="C5256">
        <v>302373</v>
      </c>
      <c r="D5256">
        <v>21883</v>
      </c>
    </row>
    <row r="5257" spans="1:4" x14ac:dyDescent="0.2">
      <c r="A5257">
        <v>3693766</v>
      </c>
      <c r="B5257">
        <v>30066</v>
      </c>
      <c r="C5257">
        <v>302436</v>
      </c>
      <c r="D5257">
        <v>21883</v>
      </c>
    </row>
    <row r="5258" spans="1:4" x14ac:dyDescent="0.2">
      <c r="A5258">
        <v>3693766</v>
      </c>
      <c r="B5258">
        <v>30067</v>
      </c>
      <c r="C5258">
        <v>302455</v>
      </c>
      <c r="D5258">
        <v>21883</v>
      </c>
    </row>
    <row r="5259" spans="1:4" x14ac:dyDescent="0.2">
      <c r="A5259">
        <v>3693767</v>
      </c>
      <c r="B5259">
        <v>30061</v>
      </c>
      <c r="C5259">
        <v>302334</v>
      </c>
      <c r="D5259">
        <v>21883</v>
      </c>
    </row>
    <row r="5260" spans="1:4" x14ac:dyDescent="0.2">
      <c r="A5260">
        <v>3693767</v>
      </c>
      <c r="B5260">
        <v>30062</v>
      </c>
      <c r="C5260">
        <v>302355</v>
      </c>
      <c r="D5260">
        <v>21883</v>
      </c>
    </row>
    <row r="5261" spans="1:4" x14ac:dyDescent="0.2">
      <c r="A5261">
        <v>3693767</v>
      </c>
      <c r="B5261">
        <v>30063</v>
      </c>
      <c r="C5261">
        <v>302357</v>
      </c>
      <c r="D5261">
        <v>21883</v>
      </c>
    </row>
    <row r="5262" spans="1:4" x14ac:dyDescent="0.2">
      <c r="A5262">
        <v>3693767</v>
      </c>
      <c r="B5262">
        <v>30064</v>
      </c>
      <c r="C5262">
        <v>302360</v>
      </c>
      <c r="D5262">
        <v>21883</v>
      </c>
    </row>
    <row r="5263" spans="1:4" x14ac:dyDescent="0.2">
      <c r="A5263">
        <v>3693767</v>
      </c>
      <c r="B5263">
        <v>30065</v>
      </c>
      <c r="C5263">
        <v>302331</v>
      </c>
      <c r="D5263">
        <v>21883</v>
      </c>
    </row>
    <row r="5264" spans="1:4" x14ac:dyDescent="0.2">
      <c r="A5264">
        <v>3693767</v>
      </c>
      <c r="B5264">
        <v>30066</v>
      </c>
      <c r="C5264">
        <v>302436</v>
      </c>
      <c r="D5264">
        <v>21883</v>
      </c>
    </row>
    <row r="5265" spans="1:4" x14ac:dyDescent="0.2">
      <c r="A5265">
        <v>3693767</v>
      </c>
      <c r="B5265">
        <v>30067</v>
      </c>
      <c r="C5265">
        <v>302455</v>
      </c>
      <c r="D5265">
        <v>21883</v>
      </c>
    </row>
    <row r="5266" spans="1:4" x14ac:dyDescent="0.2">
      <c r="A5266">
        <v>3693768</v>
      </c>
      <c r="B5266">
        <v>30063</v>
      </c>
      <c r="C5266">
        <v>302357</v>
      </c>
      <c r="D5266">
        <v>21883</v>
      </c>
    </row>
    <row r="5267" spans="1:4" x14ac:dyDescent="0.2">
      <c r="A5267">
        <v>3693768</v>
      </c>
      <c r="B5267">
        <v>30064</v>
      </c>
      <c r="C5267">
        <v>302362</v>
      </c>
      <c r="D5267">
        <v>21883</v>
      </c>
    </row>
    <row r="5268" spans="1:4" x14ac:dyDescent="0.2">
      <c r="A5268">
        <v>3693768</v>
      </c>
      <c r="B5268">
        <v>30065</v>
      </c>
      <c r="C5268">
        <v>302373</v>
      </c>
      <c r="D5268">
        <v>21883</v>
      </c>
    </row>
    <row r="5269" spans="1:4" x14ac:dyDescent="0.2">
      <c r="A5269">
        <v>3693768</v>
      </c>
      <c r="B5269">
        <v>30066</v>
      </c>
      <c r="C5269">
        <v>302436</v>
      </c>
      <c r="D5269">
        <v>21883</v>
      </c>
    </row>
    <row r="5270" spans="1:4" x14ac:dyDescent="0.2">
      <c r="A5270">
        <v>3693768</v>
      </c>
      <c r="B5270">
        <v>30067</v>
      </c>
      <c r="C5270">
        <v>302455</v>
      </c>
      <c r="D5270">
        <v>21883</v>
      </c>
    </row>
    <row r="5271" spans="1:4" x14ac:dyDescent="0.2">
      <c r="A5271">
        <v>3693769</v>
      </c>
      <c r="B5271">
        <v>30063</v>
      </c>
      <c r="C5271">
        <v>302357</v>
      </c>
      <c r="D5271">
        <v>21883</v>
      </c>
    </row>
    <row r="5272" spans="1:4" x14ac:dyDescent="0.2">
      <c r="A5272">
        <v>3693769</v>
      </c>
      <c r="B5272">
        <v>30064</v>
      </c>
      <c r="C5272">
        <v>302362</v>
      </c>
      <c r="D5272">
        <v>21883</v>
      </c>
    </row>
    <row r="5273" spans="1:4" x14ac:dyDescent="0.2">
      <c r="A5273">
        <v>3693769</v>
      </c>
      <c r="B5273">
        <v>30065</v>
      </c>
      <c r="C5273">
        <v>302373</v>
      </c>
      <c r="D5273">
        <v>21883</v>
      </c>
    </row>
    <row r="5274" spans="1:4" x14ac:dyDescent="0.2">
      <c r="A5274">
        <v>3693769</v>
      </c>
      <c r="B5274">
        <v>30066</v>
      </c>
      <c r="C5274">
        <v>302436</v>
      </c>
      <c r="D5274">
        <v>21883</v>
      </c>
    </row>
    <row r="5275" spans="1:4" x14ac:dyDescent="0.2">
      <c r="A5275">
        <v>3693769</v>
      </c>
      <c r="B5275">
        <v>30067</v>
      </c>
      <c r="C5275">
        <v>302455</v>
      </c>
      <c r="D5275">
        <v>21883</v>
      </c>
    </row>
    <row r="5276" spans="1:4" x14ac:dyDescent="0.2">
      <c r="A5276">
        <v>3693770</v>
      </c>
      <c r="B5276">
        <v>30063</v>
      </c>
      <c r="C5276">
        <v>302357</v>
      </c>
      <c r="D5276">
        <v>21883</v>
      </c>
    </row>
    <row r="5277" spans="1:4" x14ac:dyDescent="0.2">
      <c r="A5277">
        <v>3693770</v>
      </c>
      <c r="B5277">
        <v>30064</v>
      </c>
      <c r="C5277">
        <v>302360</v>
      </c>
      <c r="D5277">
        <v>21883</v>
      </c>
    </row>
    <row r="5278" spans="1:4" x14ac:dyDescent="0.2">
      <c r="A5278">
        <v>3693770</v>
      </c>
      <c r="B5278">
        <v>30065</v>
      </c>
      <c r="C5278">
        <v>302373</v>
      </c>
      <c r="D5278">
        <v>21883</v>
      </c>
    </row>
    <row r="5279" spans="1:4" x14ac:dyDescent="0.2">
      <c r="A5279">
        <v>3693770</v>
      </c>
      <c r="B5279">
        <v>30066</v>
      </c>
      <c r="C5279">
        <v>302436</v>
      </c>
      <c r="D5279">
        <v>21883</v>
      </c>
    </row>
    <row r="5280" spans="1:4" x14ac:dyDescent="0.2">
      <c r="A5280">
        <v>3693770</v>
      </c>
      <c r="B5280">
        <v>30067</v>
      </c>
      <c r="C5280">
        <v>302454</v>
      </c>
      <c r="D5280">
        <v>21883</v>
      </c>
    </row>
    <row r="5281" spans="1:4" x14ac:dyDescent="0.2">
      <c r="A5281">
        <v>3693771</v>
      </c>
      <c r="B5281">
        <v>30061</v>
      </c>
      <c r="C5281">
        <v>302334</v>
      </c>
      <c r="D5281">
        <v>21883</v>
      </c>
    </row>
    <row r="5282" spans="1:4" x14ac:dyDescent="0.2">
      <c r="A5282">
        <v>3693771</v>
      </c>
      <c r="B5282">
        <v>30062</v>
      </c>
      <c r="C5282">
        <v>302355</v>
      </c>
      <c r="D5282">
        <v>21883</v>
      </c>
    </row>
    <row r="5283" spans="1:4" x14ac:dyDescent="0.2">
      <c r="A5283">
        <v>3693771</v>
      </c>
      <c r="B5283">
        <v>30063</v>
      </c>
      <c r="C5283">
        <v>302357</v>
      </c>
      <c r="D5283">
        <v>21883</v>
      </c>
    </row>
    <row r="5284" spans="1:4" x14ac:dyDescent="0.2">
      <c r="A5284">
        <v>3693771</v>
      </c>
      <c r="B5284">
        <v>30064</v>
      </c>
      <c r="C5284">
        <v>302360</v>
      </c>
      <c r="D5284">
        <v>21883</v>
      </c>
    </row>
    <row r="5285" spans="1:4" x14ac:dyDescent="0.2">
      <c r="A5285">
        <v>3693771</v>
      </c>
      <c r="B5285">
        <v>30065</v>
      </c>
      <c r="C5285">
        <v>302331</v>
      </c>
      <c r="D5285">
        <v>21883</v>
      </c>
    </row>
    <row r="5286" spans="1:4" x14ac:dyDescent="0.2">
      <c r="A5286">
        <v>3693771</v>
      </c>
      <c r="B5286">
        <v>30066</v>
      </c>
      <c r="C5286">
        <v>302436</v>
      </c>
      <c r="D5286">
        <v>21883</v>
      </c>
    </row>
    <row r="5287" spans="1:4" x14ac:dyDescent="0.2">
      <c r="A5287">
        <v>3693771</v>
      </c>
      <c r="B5287">
        <v>30067</v>
      </c>
      <c r="C5287">
        <v>302454</v>
      </c>
      <c r="D5287">
        <v>21883</v>
      </c>
    </row>
    <row r="5288" spans="1:4" x14ac:dyDescent="0.2">
      <c r="A5288">
        <v>3693772</v>
      </c>
      <c r="B5288">
        <v>30063</v>
      </c>
      <c r="C5288">
        <v>302357</v>
      </c>
      <c r="D5288">
        <v>21883</v>
      </c>
    </row>
    <row r="5289" spans="1:4" x14ac:dyDescent="0.2">
      <c r="A5289">
        <v>3693772</v>
      </c>
      <c r="B5289">
        <v>30064</v>
      </c>
      <c r="C5289">
        <v>302362</v>
      </c>
      <c r="D5289">
        <v>21883</v>
      </c>
    </row>
    <row r="5290" spans="1:4" x14ac:dyDescent="0.2">
      <c r="A5290">
        <v>3693772</v>
      </c>
      <c r="B5290">
        <v>30065</v>
      </c>
      <c r="C5290">
        <v>302373</v>
      </c>
      <c r="D5290">
        <v>21883</v>
      </c>
    </row>
    <row r="5291" spans="1:4" x14ac:dyDescent="0.2">
      <c r="A5291">
        <v>3693772</v>
      </c>
      <c r="B5291">
        <v>30066</v>
      </c>
      <c r="C5291">
        <v>302436</v>
      </c>
      <c r="D5291">
        <v>21883</v>
      </c>
    </row>
    <row r="5292" spans="1:4" x14ac:dyDescent="0.2">
      <c r="A5292">
        <v>3693772</v>
      </c>
      <c r="B5292">
        <v>30067</v>
      </c>
      <c r="C5292">
        <v>302454</v>
      </c>
      <c r="D5292">
        <v>21883</v>
      </c>
    </row>
    <row r="5293" spans="1:4" x14ac:dyDescent="0.2">
      <c r="A5293">
        <v>3693773</v>
      </c>
      <c r="B5293">
        <v>30063</v>
      </c>
      <c r="C5293">
        <v>302357</v>
      </c>
      <c r="D5293">
        <v>21883</v>
      </c>
    </row>
    <row r="5294" spans="1:4" x14ac:dyDescent="0.2">
      <c r="A5294">
        <v>3693773</v>
      </c>
      <c r="B5294">
        <v>30064</v>
      </c>
      <c r="C5294">
        <v>302368</v>
      </c>
      <c r="D5294">
        <v>21883</v>
      </c>
    </row>
    <row r="5295" spans="1:4" x14ac:dyDescent="0.2">
      <c r="A5295">
        <v>3693773</v>
      </c>
      <c r="B5295">
        <v>30065</v>
      </c>
      <c r="C5295">
        <v>302373</v>
      </c>
      <c r="D5295">
        <v>21883</v>
      </c>
    </row>
    <row r="5296" spans="1:4" x14ac:dyDescent="0.2">
      <c r="A5296">
        <v>3693773</v>
      </c>
      <c r="B5296">
        <v>30066</v>
      </c>
      <c r="C5296">
        <v>302436</v>
      </c>
      <c r="D5296">
        <v>21883</v>
      </c>
    </row>
    <row r="5297" spans="1:4" x14ac:dyDescent="0.2">
      <c r="A5297">
        <v>3693773</v>
      </c>
      <c r="B5297">
        <v>30067</v>
      </c>
      <c r="C5297">
        <v>302454</v>
      </c>
      <c r="D5297">
        <v>21883</v>
      </c>
    </row>
    <row r="5298" spans="1:4" x14ac:dyDescent="0.2">
      <c r="A5298">
        <v>3693774</v>
      </c>
      <c r="B5298">
        <v>30063</v>
      </c>
      <c r="C5298">
        <v>302357</v>
      </c>
      <c r="D5298">
        <v>21883</v>
      </c>
    </row>
    <row r="5299" spans="1:4" x14ac:dyDescent="0.2">
      <c r="A5299">
        <v>3693774</v>
      </c>
      <c r="B5299">
        <v>30064</v>
      </c>
      <c r="C5299">
        <v>302362</v>
      </c>
      <c r="D5299">
        <v>21883</v>
      </c>
    </row>
    <row r="5300" spans="1:4" x14ac:dyDescent="0.2">
      <c r="A5300">
        <v>3693774</v>
      </c>
      <c r="B5300">
        <v>30065</v>
      </c>
      <c r="C5300">
        <v>302373</v>
      </c>
      <c r="D5300">
        <v>21883</v>
      </c>
    </row>
    <row r="5301" spans="1:4" x14ac:dyDescent="0.2">
      <c r="A5301">
        <v>3693774</v>
      </c>
      <c r="B5301">
        <v>30066</v>
      </c>
      <c r="C5301">
        <v>302436</v>
      </c>
      <c r="D5301">
        <v>21883</v>
      </c>
    </row>
    <row r="5302" spans="1:4" x14ac:dyDescent="0.2">
      <c r="A5302">
        <v>3693774</v>
      </c>
      <c r="B5302">
        <v>30067</v>
      </c>
      <c r="C5302">
        <v>302454</v>
      </c>
      <c r="D5302">
        <v>21883</v>
      </c>
    </row>
    <row r="5303" spans="1:4" x14ac:dyDescent="0.2">
      <c r="A5303">
        <v>3693775</v>
      </c>
      <c r="B5303">
        <v>30063</v>
      </c>
      <c r="C5303">
        <v>302357</v>
      </c>
      <c r="D5303">
        <v>21883</v>
      </c>
    </row>
    <row r="5304" spans="1:4" x14ac:dyDescent="0.2">
      <c r="A5304">
        <v>3693775</v>
      </c>
      <c r="B5304">
        <v>30064</v>
      </c>
      <c r="C5304">
        <v>302362</v>
      </c>
      <c r="D5304">
        <v>21883</v>
      </c>
    </row>
    <row r="5305" spans="1:4" x14ac:dyDescent="0.2">
      <c r="A5305">
        <v>3693775</v>
      </c>
      <c r="B5305">
        <v>30065</v>
      </c>
      <c r="C5305">
        <v>302373</v>
      </c>
      <c r="D5305">
        <v>21883</v>
      </c>
    </row>
    <row r="5306" spans="1:4" x14ac:dyDescent="0.2">
      <c r="A5306">
        <v>3693775</v>
      </c>
      <c r="B5306">
        <v>30066</v>
      </c>
      <c r="C5306">
        <v>302436</v>
      </c>
      <c r="D5306">
        <v>21883</v>
      </c>
    </row>
    <row r="5307" spans="1:4" x14ac:dyDescent="0.2">
      <c r="A5307">
        <v>3693775</v>
      </c>
      <c r="B5307">
        <v>30067</v>
      </c>
      <c r="C5307">
        <v>302454</v>
      </c>
      <c r="D5307">
        <v>21883</v>
      </c>
    </row>
    <row r="5308" spans="1:4" x14ac:dyDescent="0.2">
      <c r="A5308">
        <v>3693776</v>
      </c>
      <c r="B5308">
        <v>30061</v>
      </c>
      <c r="C5308">
        <v>302334</v>
      </c>
      <c r="D5308">
        <v>21883</v>
      </c>
    </row>
    <row r="5309" spans="1:4" x14ac:dyDescent="0.2">
      <c r="A5309">
        <v>3693776</v>
      </c>
      <c r="B5309">
        <v>30062</v>
      </c>
      <c r="C5309">
        <v>302355</v>
      </c>
      <c r="D5309">
        <v>21883</v>
      </c>
    </row>
    <row r="5310" spans="1:4" x14ac:dyDescent="0.2">
      <c r="A5310">
        <v>3693776</v>
      </c>
      <c r="B5310">
        <v>30063</v>
      </c>
      <c r="C5310">
        <v>302357</v>
      </c>
      <c r="D5310">
        <v>21883</v>
      </c>
    </row>
    <row r="5311" spans="1:4" x14ac:dyDescent="0.2">
      <c r="A5311">
        <v>3693776</v>
      </c>
      <c r="B5311">
        <v>30064</v>
      </c>
      <c r="C5311">
        <v>302362</v>
      </c>
      <c r="D5311">
        <v>21883</v>
      </c>
    </row>
    <row r="5312" spans="1:4" x14ac:dyDescent="0.2">
      <c r="A5312">
        <v>3693776</v>
      </c>
      <c r="B5312">
        <v>30065</v>
      </c>
      <c r="C5312">
        <v>302331</v>
      </c>
      <c r="D5312">
        <v>21883</v>
      </c>
    </row>
    <row r="5313" spans="1:4" x14ac:dyDescent="0.2">
      <c r="A5313">
        <v>3693776</v>
      </c>
      <c r="B5313">
        <v>30066</v>
      </c>
      <c r="C5313">
        <v>302436</v>
      </c>
      <c r="D5313">
        <v>21883</v>
      </c>
    </row>
    <row r="5314" spans="1:4" x14ac:dyDescent="0.2">
      <c r="A5314">
        <v>3693776</v>
      </c>
      <c r="B5314">
        <v>30067</v>
      </c>
      <c r="C5314">
        <v>302454</v>
      </c>
      <c r="D5314">
        <v>21883</v>
      </c>
    </row>
    <row r="5315" spans="1:4" x14ac:dyDescent="0.2">
      <c r="A5315">
        <v>3693777</v>
      </c>
      <c r="B5315">
        <v>30063</v>
      </c>
      <c r="C5315">
        <v>302357</v>
      </c>
      <c r="D5315">
        <v>21883</v>
      </c>
    </row>
    <row r="5316" spans="1:4" x14ac:dyDescent="0.2">
      <c r="A5316">
        <v>3693777</v>
      </c>
      <c r="B5316">
        <v>30064</v>
      </c>
      <c r="C5316">
        <v>302368</v>
      </c>
      <c r="D5316">
        <v>21883</v>
      </c>
    </row>
    <row r="5317" spans="1:4" x14ac:dyDescent="0.2">
      <c r="A5317">
        <v>3693777</v>
      </c>
      <c r="B5317">
        <v>30065</v>
      </c>
      <c r="C5317">
        <v>302373</v>
      </c>
      <c r="D5317">
        <v>21883</v>
      </c>
    </row>
    <row r="5318" spans="1:4" x14ac:dyDescent="0.2">
      <c r="A5318">
        <v>3693777</v>
      </c>
      <c r="B5318">
        <v>30066</v>
      </c>
      <c r="C5318">
        <v>302436</v>
      </c>
      <c r="D5318">
        <v>21883</v>
      </c>
    </row>
    <row r="5319" spans="1:4" x14ac:dyDescent="0.2">
      <c r="A5319">
        <v>3693777</v>
      </c>
      <c r="B5319">
        <v>30067</v>
      </c>
      <c r="C5319">
        <v>302454</v>
      </c>
      <c r="D5319">
        <v>21883</v>
      </c>
    </row>
    <row r="5320" spans="1:4" x14ac:dyDescent="0.2">
      <c r="A5320">
        <v>3693778</v>
      </c>
      <c r="B5320">
        <v>30061</v>
      </c>
      <c r="C5320">
        <v>302334</v>
      </c>
      <c r="D5320">
        <v>21883</v>
      </c>
    </row>
    <row r="5321" spans="1:4" x14ac:dyDescent="0.2">
      <c r="A5321">
        <v>3693778</v>
      </c>
      <c r="B5321">
        <v>30062</v>
      </c>
      <c r="C5321">
        <v>302355</v>
      </c>
      <c r="D5321">
        <v>21883</v>
      </c>
    </row>
    <row r="5322" spans="1:4" x14ac:dyDescent="0.2">
      <c r="A5322">
        <v>3693778</v>
      </c>
      <c r="B5322">
        <v>30063</v>
      </c>
      <c r="C5322">
        <v>302357</v>
      </c>
      <c r="D5322">
        <v>21883</v>
      </c>
    </row>
    <row r="5323" spans="1:4" x14ac:dyDescent="0.2">
      <c r="A5323">
        <v>3693778</v>
      </c>
      <c r="B5323">
        <v>30064</v>
      </c>
      <c r="C5323">
        <v>302362</v>
      </c>
      <c r="D5323">
        <v>21883</v>
      </c>
    </row>
    <row r="5324" spans="1:4" x14ac:dyDescent="0.2">
      <c r="A5324">
        <v>3693778</v>
      </c>
      <c r="B5324">
        <v>30065</v>
      </c>
      <c r="C5324">
        <v>302331</v>
      </c>
      <c r="D5324">
        <v>21883</v>
      </c>
    </row>
    <row r="5325" spans="1:4" x14ac:dyDescent="0.2">
      <c r="A5325">
        <v>3693778</v>
      </c>
      <c r="B5325">
        <v>30066</v>
      </c>
      <c r="C5325">
        <v>302436</v>
      </c>
      <c r="D5325">
        <v>21883</v>
      </c>
    </row>
    <row r="5326" spans="1:4" x14ac:dyDescent="0.2">
      <c r="A5326">
        <v>3693778</v>
      </c>
      <c r="B5326">
        <v>30067</v>
      </c>
      <c r="C5326">
        <v>302454</v>
      </c>
      <c r="D5326">
        <v>21883</v>
      </c>
    </row>
    <row r="5327" spans="1:4" x14ac:dyDescent="0.2">
      <c r="A5327">
        <v>3693779</v>
      </c>
      <c r="B5327">
        <v>30063</v>
      </c>
      <c r="C5327">
        <v>302357</v>
      </c>
      <c r="D5327">
        <v>21883</v>
      </c>
    </row>
    <row r="5328" spans="1:4" x14ac:dyDescent="0.2">
      <c r="A5328">
        <v>3693779</v>
      </c>
      <c r="B5328">
        <v>30064</v>
      </c>
      <c r="C5328">
        <v>302362</v>
      </c>
      <c r="D5328">
        <v>21883</v>
      </c>
    </row>
    <row r="5329" spans="1:4" x14ac:dyDescent="0.2">
      <c r="A5329">
        <v>3693779</v>
      </c>
      <c r="B5329">
        <v>30065</v>
      </c>
      <c r="C5329">
        <v>302373</v>
      </c>
      <c r="D5329">
        <v>21883</v>
      </c>
    </row>
    <row r="5330" spans="1:4" x14ac:dyDescent="0.2">
      <c r="A5330">
        <v>3693779</v>
      </c>
      <c r="B5330">
        <v>30066</v>
      </c>
      <c r="C5330">
        <v>302436</v>
      </c>
      <c r="D5330">
        <v>21883</v>
      </c>
    </row>
    <row r="5331" spans="1:4" x14ac:dyDescent="0.2">
      <c r="A5331">
        <v>3693779</v>
      </c>
      <c r="B5331">
        <v>30067</v>
      </c>
      <c r="C5331">
        <v>302454</v>
      </c>
      <c r="D5331">
        <v>21883</v>
      </c>
    </row>
    <row r="5332" spans="1:4" x14ac:dyDescent="0.2">
      <c r="A5332">
        <v>3693780</v>
      </c>
      <c r="B5332">
        <v>30063</v>
      </c>
      <c r="C5332">
        <v>302357</v>
      </c>
      <c r="D5332">
        <v>21883</v>
      </c>
    </row>
    <row r="5333" spans="1:4" x14ac:dyDescent="0.2">
      <c r="A5333">
        <v>3693780</v>
      </c>
      <c r="B5333">
        <v>30064</v>
      </c>
      <c r="C5333">
        <v>302362</v>
      </c>
      <c r="D5333">
        <v>21883</v>
      </c>
    </row>
    <row r="5334" spans="1:4" x14ac:dyDescent="0.2">
      <c r="A5334">
        <v>3693780</v>
      </c>
      <c r="B5334">
        <v>30065</v>
      </c>
      <c r="C5334">
        <v>302373</v>
      </c>
      <c r="D5334">
        <v>21883</v>
      </c>
    </row>
    <row r="5335" spans="1:4" x14ac:dyDescent="0.2">
      <c r="A5335">
        <v>3693780</v>
      </c>
      <c r="B5335">
        <v>30066</v>
      </c>
      <c r="C5335">
        <v>302436</v>
      </c>
      <c r="D5335">
        <v>21883</v>
      </c>
    </row>
    <row r="5336" spans="1:4" x14ac:dyDescent="0.2">
      <c r="A5336">
        <v>3693780</v>
      </c>
      <c r="B5336">
        <v>30067</v>
      </c>
      <c r="C5336">
        <v>302454</v>
      </c>
      <c r="D5336">
        <v>21883</v>
      </c>
    </row>
    <row r="5337" spans="1:4" x14ac:dyDescent="0.2">
      <c r="A5337">
        <v>3693781</v>
      </c>
      <c r="B5337">
        <v>30063</v>
      </c>
      <c r="C5337">
        <v>302357</v>
      </c>
      <c r="D5337">
        <v>21883</v>
      </c>
    </row>
    <row r="5338" spans="1:4" x14ac:dyDescent="0.2">
      <c r="A5338">
        <v>3693781</v>
      </c>
      <c r="B5338">
        <v>30064</v>
      </c>
      <c r="C5338">
        <v>302416</v>
      </c>
      <c r="D5338">
        <v>21883</v>
      </c>
    </row>
    <row r="5339" spans="1:4" x14ac:dyDescent="0.2">
      <c r="A5339">
        <v>3693781</v>
      </c>
      <c r="B5339">
        <v>30065</v>
      </c>
      <c r="C5339">
        <v>302373</v>
      </c>
      <c r="D5339">
        <v>21883</v>
      </c>
    </row>
    <row r="5340" spans="1:4" x14ac:dyDescent="0.2">
      <c r="A5340">
        <v>3693781</v>
      </c>
      <c r="B5340">
        <v>30066</v>
      </c>
      <c r="C5340">
        <v>302436</v>
      </c>
      <c r="D5340">
        <v>21883</v>
      </c>
    </row>
    <row r="5341" spans="1:4" x14ac:dyDescent="0.2">
      <c r="A5341">
        <v>3693781</v>
      </c>
      <c r="B5341">
        <v>30067</v>
      </c>
      <c r="C5341">
        <v>302454</v>
      </c>
      <c r="D5341">
        <v>21883</v>
      </c>
    </row>
    <row r="5342" spans="1:4" x14ac:dyDescent="0.2">
      <c r="A5342">
        <v>3693782</v>
      </c>
      <c r="B5342">
        <v>30063</v>
      </c>
      <c r="C5342">
        <v>302357</v>
      </c>
      <c r="D5342">
        <v>21883</v>
      </c>
    </row>
    <row r="5343" spans="1:4" x14ac:dyDescent="0.2">
      <c r="A5343">
        <v>3693782</v>
      </c>
      <c r="B5343">
        <v>30064</v>
      </c>
      <c r="C5343">
        <v>302417</v>
      </c>
      <c r="D5343">
        <v>21883</v>
      </c>
    </row>
    <row r="5344" spans="1:4" x14ac:dyDescent="0.2">
      <c r="A5344">
        <v>3693782</v>
      </c>
      <c r="B5344">
        <v>30065</v>
      </c>
      <c r="C5344">
        <v>302373</v>
      </c>
      <c r="D5344">
        <v>21883</v>
      </c>
    </row>
    <row r="5345" spans="1:4" x14ac:dyDescent="0.2">
      <c r="A5345">
        <v>3693782</v>
      </c>
      <c r="B5345">
        <v>30066</v>
      </c>
      <c r="C5345">
        <v>302436</v>
      </c>
      <c r="D5345">
        <v>21883</v>
      </c>
    </row>
    <row r="5346" spans="1:4" x14ac:dyDescent="0.2">
      <c r="A5346">
        <v>3693782</v>
      </c>
      <c r="B5346">
        <v>30067</v>
      </c>
      <c r="C5346">
        <v>302454</v>
      </c>
      <c r="D5346">
        <v>21883</v>
      </c>
    </row>
    <row r="5347" spans="1:4" x14ac:dyDescent="0.2">
      <c r="A5347">
        <v>3693783</v>
      </c>
      <c r="B5347">
        <v>30063</v>
      </c>
      <c r="C5347">
        <v>302357</v>
      </c>
      <c r="D5347">
        <v>21883</v>
      </c>
    </row>
    <row r="5348" spans="1:4" x14ac:dyDescent="0.2">
      <c r="A5348">
        <v>3693783</v>
      </c>
      <c r="B5348">
        <v>30064</v>
      </c>
      <c r="C5348">
        <v>302360</v>
      </c>
      <c r="D5348">
        <v>21883</v>
      </c>
    </row>
    <row r="5349" spans="1:4" x14ac:dyDescent="0.2">
      <c r="A5349">
        <v>3693783</v>
      </c>
      <c r="B5349">
        <v>30065</v>
      </c>
      <c r="C5349">
        <v>302373</v>
      </c>
      <c r="D5349">
        <v>21883</v>
      </c>
    </row>
    <row r="5350" spans="1:4" x14ac:dyDescent="0.2">
      <c r="A5350">
        <v>3693783</v>
      </c>
      <c r="B5350">
        <v>30066</v>
      </c>
      <c r="C5350">
        <v>302436</v>
      </c>
      <c r="D5350">
        <v>21883</v>
      </c>
    </row>
    <row r="5351" spans="1:4" x14ac:dyDescent="0.2">
      <c r="A5351">
        <v>3693783</v>
      </c>
      <c r="B5351">
        <v>30067</v>
      </c>
      <c r="C5351">
        <v>302454</v>
      </c>
      <c r="D5351">
        <v>21883</v>
      </c>
    </row>
    <row r="5352" spans="1:4" x14ac:dyDescent="0.2">
      <c r="A5352">
        <v>3693784</v>
      </c>
      <c r="B5352">
        <v>30063</v>
      </c>
      <c r="C5352">
        <v>302357</v>
      </c>
      <c r="D5352">
        <v>21883</v>
      </c>
    </row>
    <row r="5353" spans="1:4" x14ac:dyDescent="0.2">
      <c r="A5353">
        <v>3693784</v>
      </c>
      <c r="B5353">
        <v>30064</v>
      </c>
      <c r="C5353">
        <v>302360</v>
      </c>
      <c r="D5353">
        <v>21883</v>
      </c>
    </row>
    <row r="5354" spans="1:4" x14ac:dyDescent="0.2">
      <c r="A5354">
        <v>3693784</v>
      </c>
      <c r="B5354">
        <v>30065</v>
      </c>
      <c r="C5354">
        <v>302373</v>
      </c>
      <c r="D5354">
        <v>21883</v>
      </c>
    </row>
    <row r="5355" spans="1:4" x14ac:dyDescent="0.2">
      <c r="A5355">
        <v>3693784</v>
      </c>
      <c r="B5355">
        <v>30066</v>
      </c>
      <c r="C5355">
        <v>302436</v>
      </c>
      <c r="D5355">
        <v>21883</v>
      </c>
    </row>
    <row r="5356" spans="1:4" x14ac:dyDescent="0.2">
      <c r="A5356">
        <v>3693784</v>
      </c>
      <c r="B5356">
        <v>30067</v>
      </c>
      <c r="C5356">
        <v>302454</v>
      </c>
      <c r="D5356">
        <v>21883</v>
      </c>
    </row>
    <row r="5357" spans="1:4" x14ac:dyDescent="0.2">
      <c r="A5357">
        <v>3693785</v>
      </c>
      <c r="B5357">
        <v>30061</v>
      </c>
      <c r="C5357">
        <v>302334</v>
      </c>
      <c r="D5357">
        <v>21883</v>
      </c>
    </row>
    <row r="5358" spans="1:4" x14ac:dyDescent="0.2">
      <c r="A5358">
        <v>3693785</v>
      </c>
      <c r="B5358">
        <v>30062</v>
      </c>
      <c r="C5358">
        <v>302355</v>
      </c>
      <c r="D5358">
        <v>21883</v>
      </c>
    </row>
    <row r="5359" spans="1:4" x14ac:dyDescent="0.2">
      <c r="A5359">
        <v>3693785</v>
      </c>
      <c r="B5359">
        <v>30063</v>
      </c>
      <c r="C5359">
        <v>302357</v>
      </c>
      <c r="D5359">
        <v>21883</v>
      </c>
    </row>
    <row r="5360" spans="1:4" x14ac:dyDescent="0.2">
      <c r="A5360">
        <v>3693785</v>
      </c>
      <c r="B5360">
        <v>30064</v>
      </c>
      <c r="C5360">
        <v>302360</v>
      </c>
      <c r="D5360">
        <v>21883</v>
      </c>
    </row>
    <row r="5361" spans="1:4" x14ac:dyDescent="0.2">
      <c r="A5361">
        <v>3693785</v>
      </c>
      <c r="B5361">
        <v>30065</v>
      </c>
      <c r="C5361">
        <v>302331</v>
      </c>
      <c r="D5361">
        <v>21883</v>
      </c>
    </row>
    <row r="5362" spans="1:4" x14ac:dyDescent="0.2">
      <c r="A5362">
        <v>3693785</v>
      </c>
      <c r="B5362">
        <v>30066</v>
      </c>
      <c r="C5362">
        <v>302436</v>
      </c>
      <c r="D5362">
        <v>21883</v>
      </c>
    </row>
    <row r="5363" spans="1:4" x14ac:dyDescent="0.2">
      <c r="A5363">
        <v>3693785</v>
      </c>
      <c r="B5363">
        <v>30067</v>
      </c>
      <c r="C5363">
        <v>302454</v>
      </c>
      <c r="D5363">
        <v>21883</v>
      </c>
    </row>
    <row r="5364" spans="1:4" x14ac:dyDescent="0.2">
      <c r="A5364">
        <v>3693786</v>
      </c>
      <c r="B5364">
        <v>30063</v>
      </c>
      <c r="C5364">
        <v>302357</v>
      </c>
      <c r="D5364">
        <v>21883</v>
      </c>
    </row>
    <row r="5365" spans="1:4" x14ac:dyDescent="0.2">
      <c r="A5365">
        <v>3693786</v>
      </c>
      <c r="B5365">
        <v>30064</v>
      </c>
      <c r="C5365">
        <v>302362</v>
      </c>
      <c r="D5365">
        <v>21883</v>
      </c>
    </row>
    <row r="5366" spans="1:4" x14ac:dyDescent="0.2">
      <c r="A5366">
        <v>3693786</v>
      </c>
      <c r="B5366">
        <v>30065</v>
      </c>
      <c r="C5366">
        <v>302373</v>
      </c>
      <c r="D5366">
        <v>21883</v>
      </c>
    </row>
    <row r="5367" spans="1:4" x14ac:dyDescent="0.2">
      <c r="A5367">
        <v>3693786</v>
      </c>
      <c r="B5367">
        <v>30066</v>
      </c>
      <c r="C5367">
        <v>302436</v>
      </c>
      <c r="D5367">
        <v>21883</v>
      </c>
    </row>
    <row r="5368" spans="1:4" x14ac:dyDescent="0.2">
      <c r="A5368">
        <v>3693786</v>
      </c>
      <c r="B5368">
        <v>30067</v>
      </c>
      <c r="C5368">
        <v>302454</v>
      </c>
      <c r="D5368">
        <v>21883</v>
      </c>
    </row>
    <row r="5369" spans="1:4" x14ac:dyDescent="0.2">
      <c r="A5369">
        <v>3693787</v>
      </c>
      <c r="B5369">
        <v>30063</v>
      </c>
      <c r="C5369">
        <v>302357</v>
      </c>
      <c r="D5369">
        <v>21883</v>
      </c>
    </row>
    <row r="5370" spans="1:4" x14ac:dyDescent="0.2">
      <c r="A5370">
        <v>3693787</v>
      </c>
      <c r="B5370">
        <v>30064</v>
      </c>
      <c r="C5370">
        <v>302362</v>
      </c>
      <c r="D5370">
        <v>21883</v>
      </c>
    </row>
    <row r="5371" spans="1:4" x14ac:dyDescent="0.2">
      <c r="A5371">
        <v>3693787</v>
      </c>
      <c r="B5371">
        <v>30065</v>
      </c>
      <c r="C5371">
        <v>302373</v>
      </c>
      <c r="D5371">
        <v>21883</v>
      </c>
    </row>
    <row r="5372" spans="1:4" x14ac:dyDescent="0.2">
      <c r="A5372">
        <v>3693787</v>
      </c>
      <c r="B5372">
        <v>30066</v>
      </c>
      <c r="C5372">
        <v>302436</v>
      </c>
      <c r="D5372">
        <v>21883</v>
      </c>
    </row>
    <row r="5373" spans="1:4" x14ac:dyDescent="0.2">
      <c r="A5373">
        <v>3693787</v>
      </c>
      <c r="B5373">
        <v>30067</v>
      </c>
      <c r="C5373">
        <v>302454</v>
      </c>
      <c r="D5373">
        <v>21883</v>
      </c>
    </row>
    <row r="5374" spans="1:4" x14ac:dyDescent="0.2">
      <c r="A5374">
        <v>3693788</v>
      </c>
      <c r="B5374">
        <v>30061</v>
      </c>
      <c r="C5374">
        <v>302334</v>
      </c>
      <c r="D5374">
        <v>21883</v>
      </c>
    </row>
    <row r="5375" spans="1:4" x14ac:dyDescent="0.2">
      <c r="A5375">
        <v>3693788</v>
      </c>
      <c r="B5375">
        <v>30062</v>
      </c>
      <c r="C5375">
        <v>302355</v>
      </c>
      <c r="D5375">
        <v>21883</v>
      </c>
    </row>
    <row r="5376" spans="1:4" x14ac:dyDescent="0.2">
      <c r="A5376">
        <v>3693788</v>
      </c>
      <c r="B5376">
        <v>30063</v>
      </c>
      <c r="C5376">
        <v>302357</v>
      </c>
      <c r="D5376">
        <v>21883</v>
      </c>
    </row>
    <row r="5377" spans="1:4" x14ac:dyDescent="0.2">
      <c r="A5377">
        <v>3693788</v>
      </c>
      <c r="B5377">
        <v>30064</v>
      </c>
      <c r="C5377">
        <v>302360</v>
      </c>
      <c r="D5377">
        <v>21883</v>
      </c>
    </row>
    <row r="5378" spans="1:4" x14ac:dyDescent="0.2">
      <c r="A5378">
        <v>3693788</v>
      </c>
      <c r="B5378">
        <v>30065</v>
      </c>
      <c r="C5378">
        <v>302331</v>
      </c>
      <c r="D5378">
        <v>21883</v>
      </c>
    </row>
    <row r="5379" spans="1:4" x14ac:dyDescent="0.2">
      <c r="A5379">
        <v>3693788</v>
      </c>
      <c r="B5379">
        <v>30066</v>
      </c>
      <c r="C5379">
        <v>302436</v>
      </c>
      <c r="D5379">
        <v>21883</v>
      </c>
    </row>
    <row r="5380" spans="1:4" x14ac:dyDescent="0.2">
      <c r="A5380">
        <v>3693788</v>
      </c>
      <c r="B5380">
        <v>30067</v>
      </c>
      <c r="C5380">
        <v>302447</v>
      </c>
      <c r="D5380">
        <v>21883</v>
      </c>
    </row>
    <row r="5381" spans="1:4" x14ac:dyDescent="0.2">
      <c r="A5381">
        <v>3693789</v>
      </c>
      <c r="B5381">
        <v>30063</v>
      </c>
      <c r="C5381">
        <v>302357</v>
      </c>
      <c r="D5381">
        <v>21883</v>
      </c>
    </row>
    <row r="5382" spans="1:4" x14ac:dyDescent="0.2">
      <c r="A5382">
        <v>3693789</v>
      </c>
      <c r="B5382">
        <v>30064</v>
      </c>
      <c r="C5382">
        <v>302368</v>
      </c>
      <c r="D5382">
        <v>21883</v>
      </c>
    </row>
    <row r="5383" spans="1:4" x14ac:dyDescent="0.2">
      <c r="A5383">
        <v>3693789</v>
      </c>
      <c r="B5383">
        <v>30065</v>
      </c>
      <c r="C5383">
        <v>302373</v>
      </c>
      <c r="D5383">
        <v>21883</v>
      </c>
    </row>
    <row r="5384" spans="1:4" x14ac:dyDescent="0.2">
      <c r="A5384">
        <v>3693789</v>
      </c>
      <c r="B5384">
        <v>30066</v>
      </c>
      <c r="C5384">
        <v>302436</v>
      </c>
      <c r="D5384">
        <v>21883</v>
      </c>
    </row>
    <row r="5385" spans="1:4" x14ac:dyDescent="0.2">
      <c r="A5385">
        <v>3693789</v>
      </c>
      <c r="B5385">
        <v>30067</v>
      </c>
      <c r="C5385">
        <v>302447</v>
      </c>
      <c r="D5385">
        <v>21883</v>
      </c>
    </row>
    <row r="5386" spans="1:4" x14ac:dyDescent="0.2">
      <c r="A5386">
        <v>3693790</v>
      </c>
      <c r="B5386">
        <v>30063</v>
      </c>
      <c r="C5386">
        <v>302357</v>
      </c>
      <c r="D5386">
        <v>21883</v>
      </c>
    </row>
    <row r="5387" spans="1:4" x14ac:dyDescent="0.2">
      <c r="A5387">
        <v>3693790</v>
      </c>
      <c r="B5387">
        <v>30064</v>
      </c>
      <c r="C5387">
        <v>302362</v>
      </c>
      <c r="D5387">
        <v>21883</v>
      </c>
    </row>
    <row r="5388" spans="1:4" x14ac:dyDescent="0.2">
      <c r="A5388">
        <v>3693790</v>
      </c>
      <c r="B5388">
        <v>30065</v>
      </c>
      <c r="C5388">
        <v>302373</v>
      </c>
      <c r="D5388">
        <v>21883</v>
      </c>
    </row>
    <row r="5389" spans="1:4" x14ac:dyDescent="0.2">
      <c r="A5389">
        <v>3693790</v>
      </c>
      <c r="B5389">
        <v>30066</v>
      </c>
      <c r="C5389">
        <v>302436</v>
      </c>
      <c r="D5389">
        <v>21883</v>
      </c>
    </row>
    <row r="5390" spans="1:4" x14ac:dyDescent="0.2">
      <c r="A5390">
        <v>3693790</v>
      </c>
      <c r="B5390">
        <v>30067</v>
      </c>
      <c r="C5390">
        <v>302447</v>
      </c>
      <c r="D5390">
        <v>21883</v>
      </c>
    </row>
    <row r="5391" spans="1:4" x14ac:dyDescent="0.2">
      <c r="A5391">
        <v>3693791</v>
      </c>
      <c r="B5391">
        <v>30063</v>
      </c>
      <c r="C5391">
        <v>302357</v>
      </c>
      <c r="D5391">
        <v>21883</v>
      </c>
    </row>
    <row r="5392" spans="1:4" x14ac:dyDescent="0.2">
      <c r="A5392">
        <v>3693791</v>
      </c>
      <c r="B5392">
        <v>30064</v>
      </c>
      <c r="C5392">
        <v>302362</v>
      </c>
      <c r="D5392">
        <v>21883</v>
      </c>
    </row>
    <row r="5393" spans="1:4" x14ac:dyDescent="0.2">
      <c r="A5393">
        <v>3693791</v>
      </c>
      <c r="B5393">
        <v>30065</v>
      </c>
      <c r="C5393">
        <v>302373</v>
      </c>
      <c r="D5393">
        <v>21883</v>
      </c>
    </row>
    <row r="5394" spans="1:4" x14ac:dyDescent="0.2">
      <c r="A5394">
        <v>3693791</v>
      </c>
      <c r="B5394">
        <v>30066</v>
      </c>
      <c r="C5394">
        <v>302436</v>
      </c>
      <c r="D5394">
        <v>21883</v>
      </c>
    </row>
    <row r="5395" spans="1:4" x14ac:dyDescent="0.2">
      <c r="A5395">
        <v>3693791</v>
      </c>
      <c r="B5395">
        <v>30067</v>
      </c>
      <c r="C5395">
        <v>302447</v>
      </c>
      <c r="D5395">
        <v>21883</v>
      </c>
    </row>
    <row r="5396" spans="1:4" x14ac:dyDescent="0.2">
      <c r="A5396">
        <v>3693792</v>
      </c>
      <c r="B5396">
        <v>30061</v>
      </c>
      <c r="C5396">
        <v>302334</v>
      </c>
      <c r="D5396">
        <v>21883</v>
      </c>
    </row>
    <row r="5397" spans="1:4" x14ac:dyDescent="0.2">
      <c r="A5397">
        <v>3693792</v>
      </c>
      <c r="B5397">
        <v>30062</v>
      </c>
      <c r="C5397">
        <v>302355</v>
      </c>
      <c r="D5397">
        <v>21883</v>
      </c>
    </row>
    <row r="5398" spans="1:4" x14ac:dyDescent="0.2">
      <c r="A5398">
        <v>3693792</v>
      </c>
      <c r="B5398">
        <v>30063</v>
      </c>
      <c r="C5398">
        <v>302357</v>
      </c>
      <c r="D5398">
        <v>21883</v>
      </c>
    </row>
    <row r="5399" spans="1:4" x14ac:dyDescent="0.2">
      <c r="A5399">
        <v>3693792</v>
      </c>
      <c r="B5399">
        <v>30064</v>
      </c>
      <c r="C5399">
        <v>302362</v>
      </c>
      <c r="D5399">
        <v>21883</v>
      </c>
    </row>
    <row r="5400" spans="1:4" x14ac:dyDescent="0.2">
      <c r="A5400">
        <v>3693792</v>
      </c>
      <c r="B5400">
        <v>30065</v>
      </c>
      <c r="C5400">
        <v>302331</v>
      </c>
      <c r="D5400">
        <v>21883</v>
      </c>
    </row>
    <row r="5401" spans="1:4" x14ac:dyDescent="0.2">
      <c r="A5401">
        <v>3693792</v>
      </c>
      <c r="B5401">
        <v>30066</v>
      </c>
      <c r="C5401">
        <v>302436</v>
      </c>
      <c r="D5401">
        <v>21883</v>
      </c>
    </row>
    <row r="5402" spans="1:4" x14ac:dyDescent="0.2">
      <c r="A5402">
        <v>3693792</v>
      </c>
      <c r="B5402">
        <v>30067</v>
      </c>
      <c r="C5402">
        <v>302447</v>
      </c>
      <c r="D5402">
        <v>21883</v>
      </c>
    </row>
    <row r="5403" spans="1:4" x14ac:dyDescent="0.2">
      <c r="A5403">
        <v>3693793</v>
      </c>
      <c r="B5403">
        <v>30063</v>
      </c>
      <c r="C5403">
        <v>302357</v>
      </c>
      <c r="D5403">
        <v>21883</v>
      </c>
    </row>
    <row r="5404" spans="1:4" x14ac:dyDescent="0.2">
      <c r="A5404">
        <v>3693793</v>
      </c>
      <c r="B5404">
        <v>30064</v>
      </c>
      <c r="C5404">
        <v>302360</v>
      </c>
      <c r="D5404">
        <v>21883</v>
      </c>
    </row>
    <row r="5405" spans="1:4" x14ac:dyDescent="0.2">
      <c r="A5405">
        <v>3693793</v>
      </c>
      <c r="B5405">
        <v>30065</v>
      </c>
      <c r="C5405">
        <v>302373</v>
      </c>
      <c r="D5405">
        <v>21883</v>
      </c>
    </row>
    <row r="5406" spans="1:4" x14ac:dyDescent="0.2">
      <c r="A5406">
        <v>3693793</v>
      </c>
      <c r="B5406">
        <v>30066</v>
      </c>
      <c r="C5406">
        <v>302436</v>
      </c>
      <c r="D5406">
        <v>21883</v>
      </c>
    </row>
    <row r="5407" spans="1:4" x14ac:dyDescent="0.2">
      <c r="A5407">
        <v>3693793</v>
      </c>
      <c r="B5407">
        <v>30067</v>
      </c>
      <c r="C5407">
        <v>302447</v>
      </c>
      <c r="D5407">
        <v>21883</v>
      </c>
    </row>
    <row r="5408" spans="1:4" x14ac:dyDescent="0.2">
      <c r="A5408">
        <v>3693794</v>
      </c>
      <c r="B5408">
        <v>30063</v>
      </c>
      <c r="C5408">
        <v>302357</v>
      </c>
      <c r="D5408">
        <v>21883</v>
      </c>
    </row>
    <row r="5409" spans="1:4" x14ac:dyDescent="0.2">
      <c r="A5409">
        <v>3693794</v>
      </c>
      <c r="B5409">
        <v>30064</v>
      </c>
      <c r="C5409">
        <v>302360</v>
      </c>
      <c r="D5409">
        <v>21883</v>
      </c>
    </row>
    <row r="5410" spans="1:4" x14ac:dyDescent="0.2">
      <c r="A5410">
        <v>3693794</v>
      </c>
      <c r="B5410">
        <v>30065</v>
      </c>
      <c r="C5410">
        <v>302373</v>
      </c>
      <c r="D5410">
        <v>21883</v>
      </c>
    </row>
    <row r="5411" spans="1:4" x14ac:dyDescent="0.2">
      <c r="A5411">
        <v>3693794</v>
      </c>
      <c r="B5411">
        <v>30066</v>
      </c>
      <c r="C5411">
        <v>302436</v>
      </c>
      <c r="D5411">
        <v>21883</v>
      </c>
    </row>
    <row r="5412" spans="1:4" x14ac:dyDescent="0.2">
      <c r="A5412">
        <v>3693794</v>
      </c>
      <c r="B5412">
        <v>30067</v>
      </c>
      <c r="C5412">
        <v>302447</v>
      </c>
      <c r="D5412">
        <v>21883</v>
      </c>
    </row>
    <row r="5413" spans="1:4" x14ac:dyDescent="0.2">
      <c r="A5413">
        <v>3693795</v>
      </c>
      <c r="B5413">
        <v>30063</v>
      </c>
      <c r="C5413">
        <v>302357</v>
      </c>
      <c r="D5413">
        <v>21883</v>
      </c>
    </row>
    <row r="5414" spans="1:4" x14ac:dyDescent="0.2">
      <c r="A5414">
        <v>3693795</v>
      </c>
      <c r="B5414">
        <v>30064</v>
      </c>
      <c r="C5414">
        <v>302360</v>
      </c>
      <c r="D5414">
        <v>21883</v>
      </c>
    </row>
    <row r="5415" spans="1:4" x14ac:dyDescent="0.2">
      <c r="A5415">
        <v>3693795</v>
      </c>
      <c r="B5415">
        <v>30065</v>
      </c>
      <c r="C5415">
        <v>302373</v>
      </c>
      <c r="D5415">
        <v>21883</v>
      </c>
    </row>
    <row r="5416" spans="1:4" x14ac:dyDescent="0.2">
      <c r="A5416">
        <v>3693795</v>
      </c>
      <c r="B5416">
        <v>30066</v>
      </c>
      <c r="C5416">
        <v>302436</v>
      </c>
      <c r="D5416">
        <v>21883</v>
      </c>
    </row>
    <row r="5417" spans="1:4" x14ac:dyDescent="0.2">
      <c r="A5417">
        <v>3693795</v>
      </c>
      <c r="B5417">
        <v>30067</v>
      </c>
      <c r="C5417">
        <v>302447</v>
      </c>
      <c r="D5417">
        <v>21883</v>
      </c>
    </row>
    <row r="5418" spans="1:4" x14ac:dyDescent="0.2">
      <c r="A5418">
        <v>3693796</v>
      </c>
      <c r="B5418">
        <v>30063</v>
      </c>
      <c r="C5418">
        <v>302357</v>
      </c>
      <c r="D5418">
        <v>21883</v>
      </c>
    </row>
    <row r="5419" spans="1:4" x14ac:dyDescent="0.2">
      <c r="A5419">
        <v>3693796</v>
      </c>
      <c r="B5419">
        <v>30064</v>
      </c>
      <c r="C5419">
        <v>302362</v>
      </c>
      <c r="D5419">
        <v>21883</v>
      </c>
    </row>
    <row r="5420" spans="1:4" x14ac:dyDescent="0.2">
      <c r="A5420">
        <v>3693796</v>
      </c>
      <c r="B5420">
        <v>30065</v>
      </c>
      <c r="C5420">
        <v>302373</v>
      </c>
      <c r="D5420">
        <v>21883</v>
      </c>
    </row>
    <row r="5421" spans="1:4" x14ac:dyDescent="0.2">
      <c r="A5421">
        <v>3693796</v>
      </c>
      <c r="B5421">
        <v>30066</v>
      </c>
      <c r="C5421">
        <v>302436</v>
      </c>
      <c r="D5421">
        <v>21883</v>
      </c>
    </row>
    <row r="5422" spans="1:4" x14ac:dyDescent="0.2">
      <c r="A5422">
        <v>3693796</v>
      </c>
      <c r="B5422">
        <v>30067</v>
      </c>
      <c r="C5422">
        <v>302447</v>
      </c>
      <c r="D5422">
        <v>21883</v>
      </c>
    </row>
    <row r="5423" spans="1:4" x14ac:dyDescent="0.2">
      <c r="A5423">
        <v>3693797</v>
      </c>
      <c r="B5423">
        <v>30063</v>
      </c>
      <c r="C5423">
        <v>302357</v>
      </c>
      <c r="D5423">
        <v>21883</v>
      </c>
    </row>
    <row r="5424" spans="1:4" x14ac:dyDescent="0.2">
      <c r="A5424">
        <v>3693797</v>
      </c>
      <c r="B5424">
        <v>30064</v>
      </c>
      <c r="C5424">
        <v>302362</v>
      </c>
      <c r="D5424">
        <v>21883</v>
      </c>
    </row>
    <row r="5425" spans="1:4" x14ac:dyDescent="0.2">
      <c r="A5425">
        <v>3693797</v>
      </c>
      <c r="B5425">
        <v>30065</v>
      </c>
      <c r="C5425">
        <v>302373</v>
      </c>
      <c r="D5425">
        <v>21883</v>
      </c>
    </row>
    <row r="5426" spans="1:4" x14ac:dyDescent="0.2">
      <c r="A5426">
        <v>3693797</v>
      </c>
      <c r="B5426">
        <v>30066</v>
      </c>
      <c r="C5426">
        <v>302436</v>
      </c>
      <c r="D5426">
        <v>21883</v>
      </c>
    </row>
    <row r="5427" spans="1:4" x14ac:dyDescent="0.2">
      <c r="A5427">
        <v>3693797</v>
      </c>
      <c r="B5427">
        <v>30067</v>
      </c>
      <c r="C5427">
        <v>302447</v>
      </c>
      <c r="D5427">
        <v>21883</v>
      </c>
    </row>
    <row r="5428" spans="1:4" x14ac:dyDescent="0.2">
      <c r="A5428">
        <v>3693798</v>
      </c>
      <c r="B5428">
        <v>30063</v>
      </c>
      <c r="C5428">
        <v>302357</v>
      </c>
      <c r="D5428">
        <v>21883</v>
      </c>
    </row>
    <row r="5429" spans="1:4" x14ac:dyDescent="0.2">
      <c r="A5429">
        <v>3693798</v>
      </c>
      <c r="B5429">
        <v>30064</v>
      </c>
      <c r="C5429">
        <v>302362</v>
      </c>
      <c r="D5429">
        <v>21883</v>
      </c>
    </row>
    <row r="5430" spans="1:4" x14ac:dyDescent="0.2">
      <c r="A5430">
        <v>3693798</v>
      </c>
      <c r="B5430">
        <v>30065</v>
      </c>
      <c r="C5430">
        <v>302373</v>
      </c>
      <c r="D5430">
        <v>21883</v>
      </c>
    </row>
    <row r="5431" spans="1:4" x14ac:dyDescent="0.2">
      <c r="A5431">
        <v>3693798</v>
      </c>
      <c r="B5431">
        <v>30066</v>
      </c>
      <c r="C5431">
        <v>302436</v>
      </c>
      <c r="D5431">
        <v>21883</v>
      </c>
    </row>
    <row r="5432" spans="1:4" x14ac:dyDescent="0.2">
      <c r="A5432">
        <v>3693798</v>
      </c>
      <c r="B5432">
        <v>30067</v>
      </c>
      <c r="C5432">
        <v>302447</v>
      </c>
      <c r="D5432">
        <v>21883</v>
      </c>
    </row>
    <row r="5433" spans="1:4" x14ac:dyDescent="0.2">
      <c r="A5433">
        <v>3693799</v>
      </c>
      <c r="B5433">
        <v>30063</v>
      </c>
      <c r="C5433">
        <v>302357</v>
      </c>
      <c r="D5433">
        <v>21883</v>
      </c>
    </row>
    <row r="5434" spans="1:4" x14ac:dyDescent="0.2">
      <c r="A5434">
        <v>3693799</v>
      </c>
      <c r="B5434">
        <v>30064</v>
      </c>
      <c r="C5434">
        <v>302362</v>
      </c>
      <c r="D5434">
        <v>21883</v>
      </c>
    </row>
    <row r="5435" spans="1:4" x14ac:dyDescent="0.2">
      <c r="A5435">
        <v>3693799</v>
      </c>
      <c r="B5435">
        <v>30065</v>
      </c>
      <c r="C5435">
        <v>302373</v>
      </c>
      <c r="D5435">
        <v>21883</v>
      </c>
    </row>
    <row r="5436" spans="1:4" x14ac:dyDescent="0.2">
      <c r="A5436">
        <v>3693799</v>
      </c>
      <c r="B5436">
        <v>30066</v>
      </c>
      <c r="C5436">
        <v>302436</v>
      </c>
      <c r="D5436">
        <v>21883</v>
      </c>
    </row>
    <row r="5437" spans="1:4" x14ac:dyDescent="0.2">
      <c r="A5437">
        <v>3693799</v>
      </c>
      <c r="B5437">
        <v>30067</v>
      </c>
      <c r="C5437">
        <v>302447</v>
      </c>
      <c r="D5437">
        <v>21883</v>
      </c>
    </row>
    <row r="5438" spans="1:4" x14ac:dyDescent="0.2">
      <c r="A5438">
        <v>3693800</v>
      </c>
      <c r="B5438">
        <v>30061</v>
      </c>
      <c r="C5438">
        <v>302334</v>
      </c>
      <c r="D5438">
        <v>21883</v>
      </c>
    </row>
    <row r="5439" spans="1:4" x14ac:dyDescent="0.2">
      <c r="A5439">
        <v>3693800</v>
      </c>
      <c r="B5439">
        <v>30062</v>
      </c>
      <c r="C5439">
        <v>302355</v>
      </c>
      <c r="D5439">
        <v>21883</v>
      </c>
    </row>
    <row r="5440" spans="1:4" x14ac:dyDescent="0.2">
      <c r="A5440">
        <v>3693800</v>
      </c>
      <c r="B5440">
        <v>30063</v>
      </c>
      <c r="C5440">
        <v>302357</v>
      </c>
      <c r="D5440">
        <v>21883</v>
      </c>
    </row>
    <row r="5441" spans="1:4" x14ac:dyDescent="0.2">
      <c r="A5441">
        <v>3693800</v>
      </c>
      <c r="B5441">
        <v>30064</v>
      </c>
      <c r="C5441">
        <v>302360</v>
      </c>
      <c r="D5441">
        <v>21883</v>
      </c>
    </row>
    <row r="5442" spans="1:4" x14ac:dyDescent="0.2">
      <c r="A5442">
        <v>3693800</v>
      </c>
      <c r="B5442">
        <v>30065</v>
      </c>
      <c r="C5442">
        <v>302331</v>
      </c>
      <c r="D5442">
        <v>21883</v>
      </c>
    </row>
    <row r="5443" spans="1:4" x14ac:dyDescent="0.2">
      <c r="A5443">
        <v>3693800</v>
      </c>
      <c r="B5443">
        <v>30066</v>
      </c>
      <c r="C5443">
        <v>302436</v>
      </c>
      <c r="D5443">
        <v>21883</v>
      </c>
    </row>
    <row r="5444" spans="1:4" x14ac:dyDescent="0.2">
      <c r="A5444">
        <v>3693800</v>
      </c>
      <c r="B5444">
        <v>30067</v>
      </c>
      <c r="C5444">
        <v>302448</v>
      </c>
      <c r="D5444">
        <v>21883</v>
      </c>
    </row>
    <row r="5445" spans="1:4" x14ac:dyDescent="0.2">
      <c r="A5445">
        <v>3693801</v>
      </c>
      <c r="B5445">
        <v>30063</v>
      </c>
      <c r="C5445">
        <v>302357</v>
      </c>
      <c r="D5445">
        <v>21883</v>
      </c>
    </row>
    <row r="5446" spans="1:4" x14ac:dyDescent="0.2">
      <c r="A5446">
        <v>3693801</v>
      </c>
      <c r="B5446">
        <v>30064</v>
      </c>
      <c r="C5446">
        <v>302368</v>
      </c>
      <c r="D5446">
        <v>21883</v>
      </c>
    </row>
    <row r="5447" spans="1:4" x14ac:dyDescent="0.2">
      <c r="A5447">
        <v>3693801</v>
      </c>
      <c r="B5447">
        <v>30065</v>
      </c>
      <c r="C5447">
        <v>302373</v>
      </c>
      <c r="D5447">
        <v>21883</v>
      </c>
    </row>
    <row r="5448" spans="1:4" x14ac:dyDescent="0.2">
      <c r="A5448">
        <v>3693801</v>
      </c>
      <c r="B5448">
        <v>30066</v>
      </c>
      <c r="C5448">
        <v>302436</v>
      </c>
      <c r="D5448">
        <v>21883</v>
      </c>
    </row>
    <row r="5449" spans="1:4" x14ac:dyDescent="0.2">
      <c r="A5449">
        <v>3693801</v>
      </c>
      <c r="B5449">
        <v>30067</v>
      </c>
      <c r="C5449">
        <v>302448</v>
      </c>
      <c r="D5449">
        <v>21883</v>
      </c>
    </row>
    <row r="5450" spans="1:4" x14ac:dyDescent="0.2">
      <c r="A5450">
        <v>3693802</v>
      </c>
      <c r="B5450">
        <v>30063</v>
      </c>
      <c r="C5450">
        <v>302357</v>
      </c>
      <c r="D5450">
        <v>21883</v>
      </c>
    </row>
    <row r="5451" spans="1:4" x14ac:dyDescent="0.2">
      <c r="A5451">
        <v>3693802</v>
      </c>
      <c r="B5451">
        <v>30064</v>
      </c>
      <c r="C5451">
        <v>302362</v>
      </c>
      <c r="D5451">
        <v>21883</v>
      </c>
    </row>
    <row r="5452" spans="1:4" x14ac:dyDescent="0.2">
      <c r="A5452">
        <v>3693802</v>
      </c>
      <c r="B5452">
        <v>30065</v>
      </c>
      <c r="C5452">
        <v>302373</v>
      </c>
      <c r="D5452">
        <v>21883</v>
      </c>
    </row>
    <row r="5453" spans="1:4" x14ac:dyDescent="0.2">
      <c r="A5453">
        <v>3693802</v>
      </c>
      <c r="B5453">
        <v>30066</v>
      </c>
      <c r="C5453">
        <v>302436</v>
      </c>
      <c r="D5453">
        <v>21883</v>
      </c>
    </row>
    <row r="5454" spans="1:4" x14ac:dyDescent="0.2">
      <c r="A5454">
        <v>3693802</v>
      </c>
      <c r="B5454">
        <v>30067</v>
      </c>
      <c r="C5454">
        <v>302448</v>
      </c>
      <c r="D5454">
        <v>21883</v>
      </c>
    </row>
    <row r="5455" spans="1:4" x14ac:dyDescent="0.2">
      <c r="A5455">
        <v>3693803</v>
      </c>
      <c r="B5455">
        <v>30063</v>
      </c>
      <c r="C5455">
        <v>302357</v>
      </c>
      <c r="D5455">
        <v>21883</v>
      </c>
    </row>
    <row r="5456" spans="1:4" x14ac:dyDescent="0.2">
      <c r="A5456">
        <v>3693803</v>
      </c>
      <c r="B5456">
        <v>30064</v>
      </c>
      <c r="C5456">
        <v>302362</v>
      </c>
      <c r="D5456">
        <v>21883</v>
      </c>
    </row>
    <row r="5457" spans="1:4" x14ac:dyDescent="0.2">
      <c r="A5457">
        <v>3693803</v>
      </c>
      <c r="B5457">
        <v>30065</v>
      </c>
      <c r="C5457">
        <v>302373</v>
      </c>
      <c r="D5457">
        <v>21883</v>
      </c>
    </row>
    <row r="5458" spans="1:4" x14ac:dyDescent="0.2">
      <c r="A5458">
        <v>3693803</v>
      </c>
      <c r="B5458">
        <v>30066</v>
      </c>
      <c r="C5458">
        <v>302436</v>
      </c>
      <c r="D5458">
        <v>21883</v>
      </c>
    </row>
    <row r="5459" spans="1:4" x14ac:dyDescent="0.2">
      <c r="A5459">
        <v>3693803</v>
      </c>
      <c r="B5459">
        <v>30067</v>
      </c>
      <c r="C5459">
        <v>302448</v>
      </c>
      <c r="D5459">
        <v>21883</v>
      </c>
    </row>
    <row r="5460" spans="1:4" x14ac:dyDescent="0.2">
      <c r="A5460">
        <v>3693804</v>
      </c>
      <c r="B5460">
        <v>30061</v>
      </c>
      <c r="C5460">
        <v>302334</v>
      </c>
      <c r="D5460">
        <v>21883</v>
      </c>
    </row>
    <row r="5461" spans="1:4" x14ac:dyDescent="0.2">
      <c r="A5461">
        <v>3693804</v>
      </c>
      <c r="B5461">
        <v>30062</v>
      </c>
      <c r="C5461">
        <v>302355</v>
      </c>
      <c r="D5461">
        <v>21883</v>
      </c>
    </row>
    <row r="5462" spans="1:4" x14ac:dyDescent="0.2">
      <c r="A5462">
        <v>3693804</v>
      </c>
      <c r="B5462">
        <v>30063</v>
      </c>
      <c r="C5462">
        <v>302357</v>
      </c>
      <c r="D5462">
        <v>21883</v>
      </c>
    </row>
    <row r="5463" spans="1:4" x14ac:dyDescent="0.2">
      <c r="A5463">
        <v>3693804</v>
      </c>
      <c r="B5463">
        <v>30064</v>
      </c>
      <c r="C5463">
        <v>302362</v>
      </c>
      <c r="D5463">
        <v>21883</v>
      </c>
    </row>
    <row r="5464" spans="1:4" x14ac:dyDescent="0.2">
      <c r="A5464">
        <v>3693804</v>
      </c>
      <c r="B5464">
        <v>30065</v>
      </c>
      <c r="C5464">
        <v>302331</v>
      </c>
      <c r="D5464">
        <v>21883</v>
      </c>
    </row>
    <row r="5465" spans="1:4" x14ac:dyDescent="0.2">
      <c r="A5465">
        <v>3693804</v>
      </c>
      <c r="B5465">
        <v>30066</v>
      </c>
      <c r="C5465">
        <v>302436</v>
      </c>
      <c r="D5465">
        <v>21883</v>
      </c>
    </row>
    <row r="5466" spans="1:4" x14ac:dyDescent="0.2">
      <c r="A5466">
        <v>3693804</v>
      </c>
      <c r="B5466">
        <v>30067</v>
      </c>
      <c r="C5466">
        <v>302448</v>
      </c>
      <c r="D5466">
        <v>21883</v>
      </c>
    </row>
    <row r="5467" spans="1:4" x14ac:dyDescent="0.2">
      <c r="A5467">
        <v>3693805</v>
      </c>
      <c r="B5467">
        <v>30063</v>
      </c>
      <c r="C5467">
        <v>302357</v>
      </c>
      <c r="D5467">
        <v>21883</v>
      </c>
    </row>
    <row r="5468" spans="1:4" x14ac:dyDescent="0.2">
      <c r="A5468">
        <v>3693805</v>
      </c>
      <c r="B5468">
        <v>30064</v>
      </c>
      <c r="C5468">
        <v>302360</v>
      </c>
      <c r="D5468">
        <v>21883</v>
      </c>
    </row>
    <row r="5469" spans="1:4" x14ac:dyDescent="0.2">
      <c r="A5469">
        <v>3693805</v>
      </c>
      <c r="B5469">
        <v>30065</v>
      </c>
      <c r="C5469">
        <v>302373</v>
      </c>
      <c r="D5469">
        <v>21883</v>
      </c>
    </row>
    <row r="5470" spans="1:4" x14ac:dyDescent="0.2">
      <c r="A5470">
        <v>3693805</v>
      </c>
      <c r="B5470">
        <v>30066</v>
      </c>
      <c r="C5470">
        <v>302436</v>
      </c>
      <c r="D5470">
        <v>21883</v>
      </c>
    </row>
    <row r="5471" spans="1:4" x14ac:dyDescent="0.2">
      <c r="A5471">
        <v>3693805</v>
      </c>
      <c r="B5471">
        <v>30067</v>
      </c>
      <c r="C5471">
        <v>302448</v>
      </c>
      <c r="D5471">
        <v>21883</v>
      </c>
    </row>
    <row r="5472" spans="1:4" x14ac:dyDescent="0.2">
      <c r="A5472">
        <v>3693806</v>
      </c>
      <c r="B5472">
        <v>30063</v>
      </c>
      <c r="C5472">
        <v>302357</v>
      </c>
      <c r="D5472">
        <v>21883</v>
      </c>
    </row>
    <row r="5473" spans="1:4" x14ac:dyDescent="0.2">
      <c r="A5473">
        <v>3693806</v>
      </c>
      <c r="B5473">
        <v>30064</v>
      </c>
      <c r="C5473">
        <v>302360</v>
      </c>
      <c r="D5473">
        <v>21883</v>
      </c>
    </row>
    <row r="5474" spans="1:4" x14ac:dyDescent="0.2">
      <c r="A5474">
        <v>3693806</v>
      </c>
      <c r="B5474">
        <v>30065</v>
      </c>
      <c r="C5474">
        <v>302373</v>
      </c>
      <c r="D5474">
        <v>21883</v>
      </c>
    </row>
    <row r="5475" spans="1:4" x14ac:dyDescent="0.2">
      <c r="A5475">
        <v>3693806</v>
      </c>
      <c r="B5475">
        <v>30066</v>
      </c>
      <c r="C5475">
        <v>302436</v>
      </c>
      <c r="D5475">
        <v>21883</v>
      </c>
    </row>
    <row r="5476" spans="1:4" x14ac:dyDescent="0.2">
      <c r="A5476">
        <v>3693806</v>
      </c>
      <c r="B5476">
        <v>30067</v>
      </c>
      <c r="C5476">
        <v>302448</v>
      </c>
      <c r="D5476">
        <v>21883</v>
      </c>
    </row>
    <row r="5477" spans="1:4" x14ac:dyDescent="0.2">
      <c r="A5477">
        <v>3693807</v>
      </c>
      <c r="B5477">
        <v>30063</v>
      </c>
      <c r="C5477">
        <v>302357</v>
      </c>
      <c r="D5477">
        <v>21883</v>
      </c>
    </row>
    <row r="5478" spans="1:4" x14ac:dyDescent="0.2">
      <c r="A5478">
        <v>3693807</v>
      </c>
      <c r="B5478">
        <v>30064</v>
      </c>
      <c r="C5478">
        <v>302360</v>
      </c>
      <c r="D5478">
        <v>21883</v>
      </c>
    </row>
    <row r="5479" spans="1:4" x14ac:dyDescent="0.2">
      <c r="A5479">
        <v>3693807</v>
      </c>
      <c r="B5479">
        <v>30065</v>
      </c>
      <c r="C5479">
        <v>302373</v>
      </c>
      <c r="D5479">
        <v>21883</v>
      </c>
    </row>
    <row r="5480" spans="1:4" x14ac:dyDescent="0.2">
      <c r="A5480">
        <v>3693807</v>
      </c>
      <c r="B5480">
        <v>30066</v>
      </c>
      <c r="C5480">
        <v>302436</v>
      </c>
      <c r="D5480">
        <v>21883</v>
      </c>
    </row>
    <row r="5481" spans="1:4" x14ac:dyDescent="0.2">
      <c r="A5481">
        <v>3693807</v>
      </c>
      <c r="B5481">
        <v>30067</v>
      </c>
      <c r="C5481">
        <v>302448</v>
      </c>
      <c r="D5481">
        <v>21883</v>
      </c>
    </row>
    <row r="5482" spans="1:4" x14ac:dyDescent="0.2">
      <c r="A5482">
        <v>3693808</v>
      </c>
      <c r="B5482">
        <v>30063</v>
      </c>
      <c r="C5482">
        <v>302357</v>
      </c>
      <c r="D5482">
        <v>21883</v>
      </c>
    </row>
    <row r="5483" spans="1:4" x14ac:dyDescent="0.2">
      <c r="A5483">
        <v>3693808</v>
      </c>
      <c r="B5483">
        <v>30064</v>
      </c>
      <c r="C5483">
        <v>302362</v>
      </c>
      <c r="D5483">
        <v>21883</v>
      </c>
    </row>
    <row r="5484" spans="1:4" x14ac:dyDescent="0.2">
      <c r="A5484">
        <v>3693808</v>
      </c>
      <c r="B5484">
        <v>30065</v>
      </c>
      <c r="C5484">
        <v>302373</v>
      </c>
      <c r="D5484">
        <v>21883</v>
      </c>
    </row>
    <row r="5485" spans="1:4" x14ac:dyDescent="0.2">
      <c r="A5485">
        <v>3693808</v>
      </c>
      <c r="B5485">
        <v>30066</v>
      </c>
      <c r="C5485">
        <v>302436</v>
      </c>
      <c r="D5485">
        <v>21883</v>
      </c>
    </row>
    <row r="5486" spans="1:4" x14ac:dyDescent="0.2">
      <c r="A5486">
        <v>3693808</v>
      </c>
      <c r="B5486">
        <v>30067</v>
      </c>
      <c r="C5486">
        <v>302448</v>
      </c>
      <c r="D5486">
        <v>21883</v>
      </c>
    </row>
    <row r="5487" spans="1:4" x14ac:dyDescent="0.2">
      <c r="A5487">
        <v>3693809</v>
      </c>
      <c r="B5487">
        <v>30063</v>
      </c>
      <c r="C5487">
        <v>302357</v>
      </c>
      <c r="D5487">
        <v>21883</v>
      </c>
    </row>
    <row r="5488" spans="1:4" x14ac:dyDescent="0.2">
      <c r="A5488">
        <v>3693809</v>
      </c>
      <c r="B5488">
        <v>30064</v>
      </c>
      <c r="C5488">
        <v>302362</v>
      </c>
      <c r="D5488">
        <v>21883</v>
      </c>
    </row>
    <row r="5489" spans="1:4" x14ac:dyDescent="0.2">
      <c r="A5489">
        <v>3693809</v>
      </c>
      <c r="B5489">
        <v>30065</v>
      </c>
      <c r="C5489">
        <v>302373</v>
      </c>
      <c r="D5489">
        <v>21883</v>
      </c>
    </row>
    <row r="5490" spans="1:4" x14ac:dyDescent="0.2">
      <c r="A5490">
        <v>3693809</v>
      </c>
      <c r="B5490">
        <v>30066</v>
      </c>
      <c r="C5490">
        <v>302436</v>
      </c>
      <c r="D5490">
        <v>21883</v>
      </c>
    </row>
    <row r="5491" spans="1:4" x14ac:dyDescent="0.2">
      <c r="A5491">
        <v>3693809</v>
      </c>
      <c r="B5491">
        <v>30067</v>
      </c>
      <c r="C5491">
        <v>302448</v>
      </c>
      <c r="D5491">
        <v>21883</v>
      </c>
    </row>
    <row r="5492" spans="1:4" x14ac:dyDescent="0.2">
      <c r="A5492">
        <v>3693810</v>
      </c>
      <c r="B5492">
        <v>30063</v>
      </c>
      <c r="C5492">
        <v>302357</v>
      </c>
      <c r="D5492">
        <v>21883</v>
      </c>
    </row>
    <row r="5493" spans="1:4" x14ac:dyDescent="0.2">
      <c r="A5493">
        <v>3693810</v>
      </c>
      <c r="B5493">
        <v>30064</v>
      </c>
      <c r="C5493">
        <v>302362</v>
      </c>
      <c r="D5493">
        <v>21883</v>
      </c>
    </row>
    <row r="5494" spans="1:4" x14ac:dyDescent="0.2">
      <c r="A5494">
        <v>3693810</v>
      </c>
      <c r="B5494">
        <v>30065</v>
      </c>
      <c r="C5494">
        <v>302373</v>
      </c>
      <c r="D5494">
        <v>21883</v>
      </c>
    </row>
    <row r="5495" spans="1:4" x14ac:dyDescent="0.2">
      <c r="A5495">
        <v>3693810</v>
      </c>
      <c r="B5495">
        <v>30066</v>
      </c>
      <c r="C5495">
        <v>302436</v>
      </c>
      <c r="D5495">
        <v>21883</v>
      </c>
    </row>
    <row r="5496" spans="1:4" x14ac:dyDescent="0.2">
      <c r="A5496">
        <v>3693810</v>
      </c>
      <c r="B5496">
        <v>30067</v>
      </c>
      <c r="C5496">
        <v>302448</v>
      </c>
      <c r="D5496">
        <v>21883</v>
      </c>
    </row>
    <row r="5497" spans="1:4" x14ac:dyDescent="0.2">
      <c r="A5497">
        <v>3693811</v>
      </c>
      <c r="B5497">
        <v>30061</v>
      </c>
      <c r="C5497">
        <v>302334</v>
      </c>
      <c r="D5497">
        <v>21883</v>
      </c>
    </row>
    <row r="5498" spans="1:4" x14ac:dyDescent="0.2">
      <c r="A5498">
        <v>3693811</v>
      </c>
      <c r="B5498">
        <v>30062</v>
      </c>
      <c r="C5498">
        <v>302355</v>
      </c>
      <c r="D5498">
        <v>21883</v>
      </c>
    </row>
    <row r="5499" spans="1:4" x14ac:dyDescent="0.2">
      <c r="A5499">
        <v>3693811</v>
      </c>
      <c r="B5499">
        <v>30063</v>
      </c>
      <c r="C5499">
        <v>302357</v>
      </c>
      <c r="D5499">
        <v>21883</v>
      </c>
    </row>
    <row r="5500" spans="1:4" x14ac:dyDescent="0.2">
      <c r="A5500">
        <v>3693811</v>
      </c>
      <c r="B5500">
        <v>30064</v>
      </c>
      <c r="C5500">
        <v>302360</v>
      </c>
      <c r="D5500">
        <v>21883</v>
      </c>
    </row>
    <row r="5501" spans="1:4" x14ac:dyDescent="0.2">
      <c r="A5501">
        <v>3693811</v>
      </c>
      <c r="B5501">
        <v>30065</v>
      </c>
      <c r="C5501">
        <v>302331</v>
      </c>
      <c r="D5501">
        <v>21883</v>
      </c>
    </row>
    <row r="5502" spans="1:4" x14ac:dyDescent="0.2">
      <c r="A5502">
        <v>3693811</v>
      </c>
      <c r="B5502">
        <v>30066</v>
      </c>
      <c r="C5502">
        <v>302436</v>
      </c>
      <c r="D5502">
        <v>21883</v>
      </c>
    </row>
    <row r="5503" spans="1:4" x14ac:dyDescent="0.2">
      <c r="A5503">
        <v>3693811</v>
      </c>
      <c r="B5503">
        <v>30067</v>
      </c>
      <c r="C5503">
        <v>302449</v>
      </c>
      <c r="D5503">
        <v>21883</v>
      </c>
    </row>
    <row r="5504" spans="1:4" x14ac:dyDescent="0.2">
      <c r="A5504">
        <v>3693812</v>
      </c>
      <c r="B5504">
        <v>30063</v>
      </c>
      <c r="C5504">
        <v>302357</v>
      </c>
      <c r="D5504">
        <v>21883</v>
      </c>
    </row>
    <row r="5505" spans="1:4" x14ac:dyDescent="0.2">
      <c r="A5505">
        <v>3693812</v>
      </c>
      <c r="B5505">
        <v>30064</v>
      </c>
      <c r="C5505">
        <v>302368</v>
      </c>
      <c r="D5505">
        <v>21883</v>
      </c>
    </row>
    <row r="5506" spans="1:4" x14ac:dyDescent="0.2">
      <c r="A5506">
        <v>3693812</v>
      </c>
      <c r="B5506">
        <v>30065</v>
      </c>
      <c r="C5506">
        <v>302373</v>
      </c>
      <c r="D5506">
        <v>21883</v>
      </c>
    </row>
    <row r="5507" spans="1:4" x14ac:dyDescent="0.2">
      <c r="A5507">
        <v>3693812</v>
      </c>
      <c r="B5507">
        <v>30066</v>
      </c>
      <c r="C5507">
        <v>302436</v>
      </c>
      <c r="D5507">
        <v>21883</v>
      </c>
    </row>
    <row r="5508" spans="1:4" x14ac:dyDescent="0.2">
      <c r="A5508">
        <v>3693812</v>
      </c>
      <c r="B5508">
        <v>30067</v>
      </c>
      <c r="C5508">
        <v>302449</v>
      </c>
      <c r="D5508">
        <v>21883</v>
      </c>
    </row>
    <row r="5509" spans="1:4" x14ac:dyDescent="0.2">
      <c r="A5509">
        <v>3693813</v>
      </c>
      <c r="B5509">
        <v>30063</v>
      </c>
      <c r="C5509">
        <v>302357</v>
      </c>
      <c r="D5509">
        <v>21883</v>
      </c>
    </row>
    <row r="5510" spans="1:4" x14ac:dyDescent="0.2">
      <c r="A5510">
        <v>3693813</v>
      </c>
      <c r="B5510">
        <v>30064</v>
      </c>
      <c r="C5510">
        <v>302362</v>
      </c>
      <c r="D5510">
        <v>21883</v>
      </c>
    </row>
    <row r="5511" spans="1:4" x14ac:dyDescent="0.2">
      <c r="A5511">
        <v>3693813</v>
      </c>
      <c r="B5511">
        <v>30065</v>
      </c>
      <c r="C5511">
        <v>302373</v>
      </c>
      <c r="D5511">
        <v>21883</v>
      </c>
    </row>
    <row r="5512" spans="1:4" x14ac:dyDescent="0.2">
      <c r="A5512">
        <v>3693813</v>
      </c>
      <c r="B5512">
        <v>30066</v>
      </c>
      <c r="C5512">
        <v>302436</v>
      </c>
      <c r="D5512">
        <v>21883</v>
      </c>
    </row>
    <row r="5513" spans="1:4" x14ac:dyDescent="0.2">
      <c r="A5513">
        <v>3693813</v>
      </c>
      <c r="B5513">
        <v>30067</v>
      </c>
      <c r="C5513">
        <v>302449</v>
      </c>
      <c r="D5513">
        <v>21883</v>
      </c>
    </row>
    <row r="5514" spans="1:4" x14ac:dyDescent="0.2">
      <c r="A5514">
        <v>3693814</v>
      </c>
      <c r="B5514">
        <v>30063</v>
      </c>
      <c r="C5514">
        <v>302357</v>
      </c>
      <c r="D5514">
        <v>21883</v>
      </c>
    </row>
    <row r="5515" spans="1:4" x14ac:dyDescent="0.2">
      <c r="A5515">
        <v>3693814</v>
      </c>
      <c r="B5515">
        <v>30064</v>
      </c>
      <c r="C5515">
        <v>302362</v>
      </c>
      <c r="D5515">
        <v>21883</v>
      </c>
    </row>
    <row r="5516" spans="1:4" x14ac:dyDescent="0.2">
      <c r="A5516">
        <v>3693814</v>
      </c>
      <c r="B5516">
        <v>30065</v>
      </c>
      <c r="C5516">
        <v>302373</v>
      </c>
      <c r="D5516">
        <v>21883</v>
      </c>
    </row>
    <row r="5517" spans="1:4" x14ac:dyDescent="0.2">
      <c r="A5517">
        <v>3693814</v>
      </c>
      <c r="B5517">
        <v>30066</v>
      </c>
      <c r="C5517">
        <v>302436</v>
      </c>
      <c r="D5517">
        <v>21883</v>
      </c>
    </row>
    <row r="5518" spans="1:4" x14ac:dyDescent="0.2">
      <c r="A5518">
        <v>3693814</v>
      </c>
      <c r="B5518">
        <v>30067</v>
      </c>
      <c r="C5518">
        <v>302449</v>
      </c>
      <c r="D5518">
        <v>21883</v>
      </c>
    </row>
    <row r="5519" spans="1:4" x14ac:dyDescent="0.2">
      <c r="A5519">
        <v>3693815</v>
      </c>
      <c r="B5519">
        <v>30061</v>
      </c>
      <c r="C5519">
        <v>302334</v>
      </c>
      <c r="D5519">
        <v>21883</v>
      </c>
    </row>
    <row r="5520" spans="1:4" x14ac:dyDescent="0.2">
      <c r="A5520">
        <v>3693815</v>
      </c>
      <c r="B5520">
        <v>30062</v>
      </c>
      <c r="C5520">
        <v>302355</v>
      </c>
      <c r="D5520">
        <v>21883</v>
      </c>
    </row>
    <row r="5521" spans="1:4" x14ac:dyDescent="0.2">
      <c r="A5521">
        <v>3693815</v>
      </c>
      <c r="B5521">
        <v>30063</v>
      </c>
      <c r="C5521">
        <v>302357</v>
      </c>
      <c r="D5521">
        <v>21883</v>
      </c>
    </row>
    <row r="5522" spans="1:4" x14ac:dyDescent="0.2">
      <c r="A5522">
        <v>3693815</v>
      </c>
      <c r="B5522">
        <v>30064</v>
      </c>
      <c r="C5522">
        <v>302362</v>
      </c>
      <c r="D5522">
        <v>21883</v>
      </c>
    </row>
    <row r="5523" spans="1:4" x14ac:dyDescent="0.2">
      <c r="A5523">
        <v>3693815</v>
      </c>
      <c r="B5523">
        <v>30065</v>
      </c>
      <c r="C5523">
        <v>302331</v>
      </c>
      <c r="D5523">
        <v>21883</v>
      </c>
    </row>
    <row r="5524" spans="1:4" x14ac:dyDescent="0.2">
      <c r="A5524">
        <v>3693815</v>
      </c>
      <c r="B5524">
        <v>30066</v>
      </c>
      <c r="C5524">
        <v>302436</v>
      </c>
      <c r="D5524">
        <v>21883</v>
      </c>
    </row>
    <row r="5525" spans="1:4" x14ac:dyDescent="0.2">
      <c r="A5525">
        <v>3693815</v>
      </c>
      <c r="B5525">
        <v>30067</v>
      </c>
      <c r="C5525">
        <v>302449</v>
      </c>
      <c r="D5525">
        <v>21883</v>
      </c>
    </row>
    <row r="5526" spans="1:4" x14ac:dyDescent="0.2">
      <c r="A5526">
        <v>3693816</v>
      </c>
      <c r="B5526">
        <v>30063</v>
      </c>
      <c r="C5526">
        <v>302357</v>
      </c>
      <c r="D5526">
        <v>21883</v>
      </c>
    </row>
    <row r="5527" spans="1:4" x14ac:dyDescent="0.2">
      <c r="A5527">
        <v>3693816</v>
      </c>
      <c r="B5527">
        <v>30064</v>
      </c>
      <c r="C5527">
        <v>302360</v>
      </c>
      <c r="D5527">
        <v>21883</v>
      </c>
    </row>
    <row r="5528" spans="1:4" x14ac:dyDescent="0.2">
      <c r="A5528">
        <v>3693816</v>
      </c>
      <c r="B5528">
        <v>30065</v>
      </c>
      <c r="C5528">
        <v>302373</v>
      </c>
      <c r="D5528">
        <v>21883</v>
      </c>
    </row>
    <row r="5529" spans="1:4" x14ac:dyDescent="0.2">
      <c r="A5529">
        <v>3693816</v>
      </c>
      <c r="B5529">
        <v>30066</v>
      </c>
      <c r="C5529">
        <v>302436</v>
      </c>
      <c r="D5529">
        <v>21883</v>
      </c>
    </row>
    <row r="5530" spans="1:4" x14ac:dyDescent="0.2">
      <c r="A5530">
        <v>3693816</v>
      </c>
      <c r="B5530">
        <v>30067</v>
      </c>
      <c r="C5530">
        <v>302449</v>
      </c>
      <c r="D5530">
        <v>21883</v>
      </c>
    </row>
    <row r="5531" spans="1:4" x14ac:dyDescent="0.2">
      <c r="A5531">
        <v>3693817</v>
      </c>
      <c r="B5531">
        <v>30063</v>
      </c>
      <c r="C5531">
        <v>302357</v>
      </c>
      <c r="D5531">
        <v>21883</v>
      </c>
    </row>
    <row r="5532" spans="1:4" x14ac:dyDescent="0.2">
      <c r="A5532">
        <v>3693817</v>
      </c>
      <c r="B5532">
        <v>30064</v>
      </c>
      <c r="C5532">
        <v>302360</v>
      </c>
      <c r="D5532">
        <v>21883</v>
      </c>
    </row>
    <row r="5533" spans="1:4" x14ac:dyDescent="0.2">
      <c r="A5533">
        <v>3693817</v>
      </c>
      <c r="B5533">
        <v>30065</v>
      </c>
      <c r="C5533">
        <v>302373</v>
      </c>
      <c r="D5533">
        <v>21883</v>
      </c>
    </row>
    <row r="5534" spans="1:4" x14ac:dyDescent="0.2">
      <c r="A5534">
        <v>3693817</v>
      </c>
      <c r="B5534">
        <v>30066</v>
      </c>
      <c r="C5534">
        <v>302436</v>
      </c>
      <c r="D5534">
        <v>21883</v>
      </c>
    </row>
    <row r="5535" spans="1:4" x14ac:dyDescent="0.2">
      <c r="A5535">
        <v>3693817</v>
      </c>
      <c r="B5535">
        <v>30067</v>
      </c>
      <c r="C5535">
        <v>302449</v>
      </c>
      <c r="D5535">
        <v>21883</v>
      </c>
    </row>
    <row r="5536" spans="1:4" x14ac:dyDescent="0.2">
      <c r="A5536">
        <v>3693818</v>
      </c>
      <c r="B5536">
        <v>30063</v>
      </c>
      <c r="C5536">
        <v>302357</v>
      </c>
      <c r="D5536">
        <v>21883</v>
      </c>
    </row>
    <row r="5537" spans="1:4" x14ac:dyDescent="0.2">
      <c r="A5537">
        <v>3693818</v>
      </c>
      <c r="B5537">
        <v>30064</v>
      </c>
      <c r="C5537">
        <v>302360</v>
      </c>
      <c r="D5537">
        <v>21883</v>
      </c>
    </row>
    <row r="5538" spans="1:4" x14ac:dyDescent="0.2">
      <c r="A5538">
        <v>3693818</v>
      </c>
      <c r="B5538">
        <v>30065</v>
      </c>
      <c r="C5538">
        <v>302373</v>
      </c>
      <c r="D5538">
        <v>21883</v>
      </c>
    </row>
    <row r="5539" spans="1:4" x14ac:dyDescent="0.2">
      <c r="A5539">
        <v>3693818</v>
      </c>
      <c r="B5539">
        <v>30066</v>
      </c>
      <c r="C5539">
        <v>302436</v>
      </c>
      <c r="D5539">
        <v>21883</v>
      </c>
    </row>
    <row r="5540" spans="1:4" x14ac:dyDescent="0.2">
      <c r="A5540">
        <v>3693818</v>
      </c>
      <c r="B5540">
        <v>30067</v>
      </c>
      <c r="C5540">
        <v>302449</v>
      </c>
      <c r="D5540">
        <v>21883</v>
      </c>
    </row>
    <row r="5541" spans="1:4" x14ac:dyDescent="0.2">
      <c r="A5541">
        <v>3693819</v>
      </c>
      <c r="B5541">
        <v>30063</v>
      </c>
      <c r="C5541">
        <v>302357</v>
      </c>
      <c r="D5541">
        <v>21883</v>
      </c>
    </row>
    <row r="5542" spans="1:4" x14ac:dyDescent="0.2">
      <c r="A5542">
        <v>3693819</v>
      </c>
      <c r="B5542">
        <v>30064</v>
      </c>
      <c r="C5542">
        <v>302362</v>
      </c>
      <c r="D5542">
        <v>21883</v>
      </c>
    </row>
    <row r="5543" spans="1:4" x14ac:dyDescent="0.2">
      <c r="A5543">
        <v>3693819</v>
      </c>
      <c r="B5543">
        <v>30065</v>
      </c>
      <c r="C5543">
        <v>302373</v>
      </c>
      <c r="D5543">
        <v>21883</v>
      </c>
    </row>
    <row r="5544" spans="1:4" x14ac:dyDescent="0.2">
      <c r="A5544">
        <v>3693819</v>
      </c>
      <c r="B5544">
        <v>30066</v>
      </c>
      <c r="C5544">
        <v>302436</v>
      </c>
      <c r="D5544">
        <v>21883</v>
      </c>
    </row>
    <row r="5545" spans="1:4" x14ac:dyDescent="0.2">
      <c r="A5545">
        <v>3693819</v>
      </c>
      <c r="B5545">
        <v>30067</v>
      </c>
      <c r="C5545">
        <v>302449</v>
      </c>
      <c r="D5545">
        <v>21883</v>
      </c>
    </row>
    <row r="5546" spans="1:4" x14ac:dyDescent="0.2">
      <c r="A5546">
        <v>3693820</v>
      </c>
      <c r="B5546">
        <v>30063</v>
      </c>
      <c r="C5546">
        <v>302357</v>
      </c>
      <c r="D5546">
        <v>21883</v>
      </c>
    </row>
    <row r="5547" spans="1:4" x14ac:dyDescent="0.2">
      <c r="A5547">
        <v>3693820</v>
      </c>
      <c r="B5547">
        <v>30064</v>
      </c>
      <c r="C5547">
        <v>302362</v>
      </c>
      <c r="D5547">
        <v>21883</v>
      </c>
    </row>
    <row r="5548" spans="1:4" x14ac:dyDescent="0.2">
      <c r="A5548">
        <v>3693820</v>
      </c>
      <c r="B5548">
        <v>30065</v>
      </c>
      <c r="C5548">
        <v>302373</v>
      </c>
      <c r="D5548">
        <v>21883</v>
      </c>
    </row>
    <row r="5549" spans="1:4" x14ac:dyDescent="0.2">
      <c r="A5549">
        <v>3693820</v>
      </c>
      <c r="B5549">
        <v>30066</v>
      </c>
      <c r="C5549">
        <v>302436</v>
      </c>
      <c r="D5549">
        <v>21883</v>
      </c>
    </row>
    <row r="5550" spans="1:4" x14ac:dyDescent="0.2">
      <c r="A5550">
        <v>3693820</v>
      </c>
      <c r="B5550">
        <v>30067</v>
      </c>
      <c r="C5550">
        <v>302449</v>
      </c>
      <c r="D5550">
        <v>21883</v>
      </c>
    </row>
    <row r="5551" spans="1:4" x14ac:dyDescent="0.2">
      <c r="A5551">
        <v>3693821</v>
      </c>
      <c r="B5551">
        <v>30063</v>
      </c>
      <c r="C5551">
        <v>302357</v>
      </c>
      <c r="D5551">
        <v>21883</v>
      </c>
    </row>
    <row r="5552" spans="1:4" x14ac:dyDescent="0.2">
      <c r="A5552">
        <v>3693821</v>
      </c>
      <c r="B5552">
        <v>30064</v>
      </c>
      <c r="C5552">
        <v>302362</v>
      </c>
      <c r="D5552">
        <v>21883</v>
      </c>
    </row>
    <row r="5553" spans="1:4" x14ac:dyDescent="0.2">
      <c r="A5553">
        <v>3693821</v>
      </c>
      <c r="B5553">
        <v>30065</v>
      </c>
      <c r="C5553">
        <v>302373</v>
      </c>
      <c r="D5553">
        <v>21883</v>
      </c>
    </row>
    <row r="5554" spans="1:4" x14ac:dyDescent="0.2">
      <c r="A5554">
        <v>3693821</v>
      </c>
      <c r="B5554">
        <v>30066</v>
      </c>
      <c r="C5554">
        <v>302436</v>
      </c>
      <c r="D5554">
        <v>21883</v>
      </c>
    </row>
    <row r="5555" spans="1:4" x14ac:dyDescent="0.2">
      <c r="A5555">
        <v>3693821</v>
      </c>
      <c r="B5555">
        <v>30067</v>
      </c>
      <c r="C5555">
        <v>302449</v>
      </c>
      <c r="D5555">
        <v>21883</v>
      </c>
    </row>
    <row r="5556" spans="1:4" x14ac:dyDescent="0.2">
      <c r="A5556">
        <v>3693822</v>
      </c>
      <c r="B5556">
        <v>30061</v>
      </c>
      <c r="C5556">
        <v>302334</v>
      </c>
      <c r="D5556">
        <v>21883</v>
      </c>
    </row>
    <row r="5557" spans="1:4" x14ac:dyDescent="0.2">
      <c r="A5557">
        <v>3693822</v>
      </c>
      <c r="B5557">
        <v>30062</v>
      </c>
      <c r="C5557">
        <v>302355</v>
      </c>
      <c r="D5557">
        <v>21883</v>
      </c>
    </row>
    <row r="5558" spans="1:4" x14ac:dyDescent="0.2">
      <c r="A5558">
        <v>3693822</v>
      </c>
      <c r="B5558">
        <v>30063</v>
      </c>
      <c r="C5558">
        <v>302357</v>
      </c>
      <c r="D5558">
        <v>21883</v>
      </c>
    </row>
    <row r="5559" spans="1:4" x14ac:dyDescent="0.2">
      <c r="A5559">
        <v>3693822</v>
      </c>
      <c r="B5559">
        <v>30064</v>
      </c>
      <c r="C5559">
        <v>302360</v>
      </c>
      <c r="D5559">
        <v>21883</v>
      </c>
    </row>
    <row r="5560" spans="1:4" x14ac:dyDescent="0.2">
      <c r="A5560">
        <v>3693822</v>
      </c>
      <c r="B5560">
        <v>30065</v>
      </c>
      <c r="C5560">
        <v>302331</v>
      </c>
      <c r="D5560">
        <v>21883</v>
      </c>
    </row>
    <row r="5561" spans="1:4" x14ac:dyDescent="0.2">
      <c r="A5561">
        <v>3693822</v>
      </c>
      <c r="B5561">
        <v>30066</v>
      </c>
      <c r="C5561">
        <v>302436</v>
      </c>
      <c r="D5561">
        <v>21883</v>
      </c>
    </row>
    <row r="5562" spans="1:4" x14ac:dyDescent="0.2">
      <c r="A5562">
        <v>3693822</v>
      </c>
      <c r="B5562">
        <v>30067</v>
      </c>
      <c r="C5562">
        <v>302450</v>
      </c>
      <c r="D5562">
        <v>21883</v>
      </c>
    </row>
    <row r="5563" spans="1:4" x14ac:dyDescent="0.2">
      <c r="A5563">
        <v>3693823</v>
      </c>
      <c r="B5563">
        <v>30063</v>
      </c>
      <c r="C5563">
        <v>302357</v>
      </c>
      <c r="D5563">
        <v>21883</v>
      </c>
    </row>
    <row r="5564" spans="1:4" x14ac:dyDescent="0.2">
      <c r="A5564">
        <v>3693823</v>
      </c>
      <c r="B5564">
        <v>30064</v>
      </c>
      <c r="C5564">
        <v>302368</v>
      </c>
      <c r="D5564">
        <v>21883</v>
      </c>
    </row>
    <row r="5565" spans="1:4" x14ac:dyDescent="0.2">
      <c r="A5565">
        <v>3693823</v>
      </c>
      <c r="B5565">
        <v>30065</v>
      </c>
      <c r="C5565">
        <v>302373</v>
      </c>
      <c r="D5565">
        <v>21883</v>
      </c>
    </row>
    <row r="5566" spans="1:4" x14ac:dyDescent="0.2">
      <c r="A5566">
        <v>3693823</v>
      </c>
      <c r="B5566">
        <v>30066</v>
      </c>
      <c r="C5566">
        <v>302436</v>
      </c>
      <c r="D5566">
        <v>21883</v>
      </c>
    </row>
    <row r="5567" spans="1:4" x14ac:dyDescent="0.2">
      <c r="A5567">
        <v>3693823</v>
      </c>
      <c r="B5567">
        <v>30067</v>
      </c>
      <c r="C5567">
        <v>302450</v>
      </c>
      <c r="D5567">
        <v>21883</v>
      </c>
    </row>
    <row r="5568" spans="1:4" x14ac:dyDescent="0.2">
      <c r="A5568">
        <v>3693824</v>
      </c>
      <c r="B5568">
        <v>30063</v>
      </c>
      <c r="C5568">
        <v>302357</v>
      </c>
      <c r="D5568">
        <v>21883</v>
      </c>
    </row>
    <row r="5569" spans="1:4" x14ac:dyDescent="0.2">
      <c r="A5569">
        <v>3693824</v>
      </c>
      <c r="B5569">
        <v>30064</v>
      </c>
      <c r="C5569">
        <v>302362</v>
      </c>
      <c r="D5569">
        <v>21883</v>
      </c>
    </row>
    <row r="5570" spans="1:4" x14ac:dyDescent="0.2">
      <c r="A5570">
        <v>3693824</v>
      </c>
      <c r="B5570">
        <v>30065</v>
      </c>
      <c r="C5570">
        <v>302373</v>
      </c>
      <c r="D5570">
        <v>21883</v>
      </c>
    </row>
    <row r="5571" spans="1:4" x14ac:dyDescent="0.2">
      <c r="A5571">
        <v>3693824</v>
      </c>
      <c r="B5571">
        <v>30066</v>
      </c>
      <c r="C5571">
        <v>302436</v>
      </c>
      <c r="D5571">
        <v>21883</v>
      </c>
    </row>
    <row r="5572" spans="1:4" x14ac:dyDescent="0.2">
      <c r="A5572">
        <v>3693824</v>
      </c>
      <c r="B5572">
        <v>30067</v>
      </c>
      <c r="C5572">
        <v>302450</v>
      </c>
      <c r="D5572">
        <v>21883</v>
      </c>
    </row>
    <row r="5573" spans="1:4" x14ac:dyDescent="0.2">
      <c r="A5573">
        <v>3693825</v>
      </c>
      <c r="B5573">
        <v>30063</v>
      </c>
      <c r="C5573">
        <v>302357</v>
      </c>
      <c r="D5573">
        <v>21883</v>
      </c>
    </row>
    <row r="5574" spans="1:4" x14ac:dyDescent="0.2">
      <c r="A5574">
        <v>3693825</v>
      </c>
      <c r="B5574">
        <v>30064</v>
      </c>
      <c r="C5574">
        <v>302362</v>
      </c>
      <c r="D5574">
        <v>21883</v>
      </c>
    </row>
    <row r="5575" spans="1:4" x14ac:dyDescent="0.2">
      <c r="A5575">
        <v>3693825</v>
      </c>
      <c r="B5575">
        <v>30065</v>
      </c>
      <c r="C5575">
        <v>302373</v>
      </c>
      <c r="D5575">
        <v>21883</v>
      </c>
    </row>
    <row r="5576" spans="1:4" x14ac:dyDescent="0.2">
      <c r="A5576">
        <v>3693825</v>
      </c>
      <c r="B5576">
        <v>30066</v>
      </c>
      <c r="C5576">
        <v>302436</v>
      </c>
      <c r="D5576">
        <v>21883</v>
      </c>
    </row>
    <row r="5577" spans="1:4" x14ac:dyDescent="0.2">
      <c r="A5577">
        <v>3693825</v>
      </c>
      <c r="B5577">
        <v>30067</v>
      </c>
      <c r="C5577">
        <v>302450</v>
      </c>
      <c r="D5577">
        <v>21883</v>
      </c>
    </row>
    <row r="5578" spans="1:4" x14ac:dyDescent="0.2">
      <c r="A5578">
        <v>3693826</v>
      </c>
      <c r="B5578">
        <v>30061</v>
      </c>
      <c r="C5578">
        <v>302334</v>
      </c>
      <c r="D5578">
        <v>21883</v>
      </c>
    </row>
    <row r="5579" spans="1:4" x14ac:dyDescent="0.2">
      <c r="A5579">
        <v>3693826</v>
      </c>
      <c r="B5579">
        <v>30062</v>
      </c>
      <c r="C5579">
        <v>302355</v>
      </c>
      <c r="D5579">
        <v>21883</v>
      </c>
    </row>
    <row r="5580" spans="1:4" x14ac:dyDescent="0.2">
      <c r="A5580">
        <v>3693826</v>
      </c>
      <c r="B5580">
        <v>30063</v>
      </c>
      <c r="C5580">
        <v>302357</v>
      </c>
      <c r="D5580">
        <v>21883</v>
      </c>
    </row>
    <row r="5581" spans="1:4" x14ac:dyDescent="0.2">
      <c r="A5581">
        <v>3693826</v>
      </c>
      <c r="B5581">
        <v>30064</v>
      </c>
      <c r="C5581">
        <v>302362</v>
      </c>
      <c r="D5581">
        <v>21883</v>
      </c>
    </row>
    <row r="5582" spans="1:4" x14ac:dyDescent="0.2">
      <c r="A5582">
        <v>3693826</v>
      </c>
      <c r="B5582">
        <v>30065</v>
      </c>
      <c r="C5582">
        <v>302331</v>
      </c>
      <c r="D5582">
        <v>21883</v>
      </c>
    </row>
    <row r="5583" spans="1:4" x14ac:dyDescent="0.2">
      <c r="A5583">
        <v>3693826</v>
      </c>
      <c r="B5583">
        <v>30066</v>
      </c>
      <c r="C5583">
        <v>302436</v>
      </c>
      <c r="D5583">
        <v>21883</v>
      </c>
    </row>
    <row r="5584" spans="1:4" x14ac:dyDescent="0.2">
      <c r="A5584">
        <v>3693826</v>
      </c>
      <c r="B5584">
        <v>30067</v>
      </c>
      <c r="C5584">
        <v>302450</v>
      </c>
      <c r="D5584">
        <v>21883</v>
      </c>
    </row>
    <row r="5585" spans="1:4" x14ac:dyDescent="0.2">
      <c r="A5585">
        <v>3693827</v>
      </c>
      <c r="B5585">
        <v>30063</v>
      </c>
      <c r="C5585">
        <v>302357</v>
      </c>
      <c r="D5585">
        <v>21883</v>
      </c>
    </row>
    <row r="5586" spans="1:4" x14ac:dyDescent="0.2">
      <c r="A5586">
        <v>3693827</v>
      </c>
      <c r="B5586">
        <v>30064</v>
      </c>
      <c r="C5586">
        <v>302360</v>
      </c>
      <c r="D5586">
        <v>21883</v>
      </c>
    </row>
    <row r="5587" spans="1:4" x14ac:dyDescent="0.2">
      <c r="A5587">
        <v>3693827</v>
      </c>
      <c r="B5587">
        <v>30065</v>
      </c>
      <c r="C5587">
        <v>302373</v>
      </c>
      <c r="D5587">
        <v>21883</v>
      </c>
    </row>
    <row r="5588" spans="1:4" x14ac:dyDescent="0.2">
      <c r="A5588">
        <v>3693827</v>
      </c>
      <c r="B5588">
        <v>30066</v>
      </c>
      <c r="C5588">
        <v>302436</v>
      </c>
      <c r="D5588">
        <v>21883</v>
      </c>
    </row>
    <row r="5589" spans="1:4" x14ac:dyDescent="0.2">
      <c r="A5589">
        <v>3693827</v>
      </c>
      <c r="B5589">
        <v>30067</v>
      </c>
      <c r="C5589">
        <v>302450</v>
      </c>
      <c r="D5589">
        <v>21883</v>
      </c>
    </row>
    <row r="5590" spans="1:4" x14ac:dyDescent="0.2">
      <c r="A5590">
        <v>3693828</v>
      </c>
      <c r="B5590">
        <v>30063</v>
      </c>
      <c r="C5590">
        <v>302357</v>
      </c>
      <c r="D5590">
        <v>21883</v>
      </c>
    </row>
    <row r="5591" spans="1:4" x14ac:dyDescent="0.2">
      <c r="A5591">
        <v>3693828</v>
      </c>
      <c r="B5591">
        <v>30064</v>
      </c>
      <c r="C5591">
        <v>302360</v>
      </c>
      <c r="D5591">
        <v>21883</v>
      </c>
    </row>
    <row r="5592" spans="1:4" x14ac:dyDescent="0.2">
      <c r="A5592">
        <v>3693828</v>
      </c>
      <c r="B5592">
        <v>30065</v>
      </c>
      <c r="C5592">
        <v>302373</v>
      </c>
      <c r="D5592">
        <v>21883</v>
      </c>
    </row>
    <row r="5593" spans="1:4" x14ac:dyDescent="0.2">
      <c r="A5593">
        <v>3693828</v>
      </c>
      <c r="B5593">
        <v>30066</v>
      </c>
      <c r="C5593">
        <v>302436</v>
      </c>
      <c r="D5593">
        <v>21883</v>
      </c>
    </row>
    <row r="5594" spans="1:4" x14ac:dyDescent="0.2">
      <c r="A5594">
        <v>3693828</v>
      </c>
      <c r="B5594">
        <v>30067</v>
      </c>
      <c r="C5594">
        <v>302450</v>
      </c>
      <c r="D5594">
        <v>21883</v>
      </c>
    </row>
    <row r="5595" spans="1:4" x14ac:dyDescent="0.2">
      <c r="A5595">
        <v>3693829</v>
      </c>
      <c r="B5595">
        <v>30063</v>
      </c>
      <c r="C5595">
        <v>302357</v>
      </c>
      <c r="D5595">
        <v>21883</v>
      </c>
    </row>
    <row r="5596" spans="1:4" x14ac:dyDescent="0.2">
      <c r="A5596">
        <v>3693829</v>
      </c>
      <c r="B5596">
        <v>30064</v>
      </c>
      <c r="C5596">
        <v>302360</v>
      </c>
      <c r="D5596">
        <v>21883</v>
      </c>
    </row>
    <row r="5597" spans="1:4" x14ac:dyDescent="0.2">
      <c r="A5597">
        <v>3693829</v>
      </c>
      <c r="B5597">
        <v>30065</v>
      </c>
      <c r="C5597">
        <v>302373</v>
      </c>
      <c r="D5597">
        <v>21883</v>
      </c>
    </row>
    <row r="5598" spans="1:4" x14ac:dyDescent="0.2">
      <c r="A5598">
        <v>3693829</v>
      </c>
      <c r="B5598">
        <v>30066</v>
      </c>
      <c r="C5598">
        <v>302436</v>
      </c>
      <c r="D5598">
        <v>21883</v>
      </c>
    </row>
    <row r="5599" spans="1:4" x14ac:dyDescent="0.2">
      <c r="A5599">
        <v>3693829</v>
      </c>
      <c r="B5599">
        <v>30067</v>
      </c>
      <c r="C5599">
        <v>302450</v>
      </c>
      <c r="D5599">
        <v>21883</v>
      </c>
    </row>
    <row r="5600" spans="1:4" x14ac:dyDescent="0.2">
      <c r="A5600">
        <v>3693830</v>
      </c>
      <c r="B5600">
        <v>30063</v>
      </c>
      <c r="C5600">
        <v>302357</v>
      </c>
      <c r="D5600">
        <v>21883</v>
      </c>
    </row>
    <row r="5601" spans="1:4" x14ac:dyDescent="0.2">
      <c r="A5601">
        <v>3693830</v>
      </c>
      <c r="B5601">
        <v>30064</v>
      </c>
      <c r="C5601">
        <v>302362</v>
      </c>
      <c r="D5601">
        <v>21883</v>
      </c>
    </row>
    <row r="5602" spans="1:4" x14ac:dyDescent="0.2">
      <c r="A5602">
        <v>3693830</v>
      </c>
      <c r="B5602">
        <v>30065</v>
      </c>
      <c r="C5602">
        <v>302373</v>
      </c>
      <c r="D5602">
        <v>21883</v>
      </c>
    </row>
    <row r="5603" spans="1:4" x14ac:dyDescent="0.2">
      <c r="A5603">
        <v>3693830</v>
      </c>
      <c r="B5603">
        <v>30066</v>
      </c>
      <c r="C5603">
        <v>302436</v>
      </c>
      <c r="D5603">
        <v>21883</v>
      </c>
    </row>
    <row r="5604" spans="1:4" x14ac:dyDescent="0.2">
      <c r="A5604">
        <v>3693830</v>
      </c>
      <c r="B5604">
        <v>30067</v>
      </c>
      <c r="C5604">
        <v>302450</v>
      </c>
      <c r="D5604">
        <v>21883</v>
      </c>
    </row>
    <row r="5605" spans="1:4" x14ac:dyDescent="0.2">
      <c r="A5605">
        <v>3693831</v>
      </c>
      <c r="B5605">
        <v>30063</v>
      </c>
      <c r="C5605">
        <v>302357</v>
      </c>
      <c r="D5605">
        <v>21883</v>
      </c>
    </row>
    <row r="5606" spans="1:4" x14ac:dyDescent="0.2">
      <c r="A5606">
        <v>3693831</v>
      </c>
      <c r="B5606">
        <v>30064</v>
      </c>
      <c r="C5606">
        <v>302362</v>
      </c>
      <c r="D5606">
        <v>21883</v>
      </c>
    </row>
    <row r="5607" spans="1:4" x14ac:dyDescent="0.2">
      <c r="A5607">
        <v>3693831</v>
      </c>
      <c r="B5607">
        <v>30065</v>
      </c>
      <c r="C5607">
        <v>302373</v>
      </c>
      <c r="D5607">
        <v>21883</v>
      </c>
    </row>
    <row r="5608" spans="1:4" x14ac:dyDescent="0.2">
      <c r="A5608">
        <v>3693831</v>
      </c>
      <c r="B5608">
        <v>30066</v>
      </c>
      <c r="C5608">
        <v>302436</v>
      </c>
      <c r="D5608">
        <v>21883</v>
      </c>
    </row>
    <row r="5609" spans="1:4" x14ac:dyDescent="0.2">
      <c r="A5609">
        <v>3693831</v>
      </c>
      <c r="B5609">
        <v>30067</v>
      </c>
      <c r="C5609">
        <v>302450</v>
      </c>
      <c r="D5609">
        <v>21883</v>
      </c>
    </row>
    <row r="5610" spans="1:4" x14ac:dyDescent="0.2">
      <c r="A5610">
        <v>3693832</v>
      </c>
      <c r="B5610">
        <v>30063</v>
      </c>
      <c r="C5610">
        <v>302357</v>
      </c>
      <c r="D5610">
        <v>21883</v>
      </c>
    </row>
    <row r="5611" spans="1:4" x14ac:dyDescent="0.2">
      <c r="A5611">
        <v>3693832</v>
      </c>
      <c r="B5611">
        <v>30064</v>
      </c>
      <c r="C5611">
        <v>302362</v>
      </c>
      <c r="D5611">
        <v>21883</v>
      </c>
    </row>
    <row r="5612" spans="1:4" x14ac:dyDescent="0.2">
      <c r="A5612">
        <v>3693832</v>
      </c>
      <c r="B5612">
        <v>30065</v>
      </c>
      <c r="C5612">
        <v>302373</v>
      </c>
      <c r="D5612">
        <v>21883</v>
      </c>
    </row>
    <row r="5613" spans="1:4" x14ac:dyDescent="0.2">
      <c r="A5613">
        <v>3693832</v>
      </c>
      <c r="B5613">
        <v>30066</v>
      </c>
      <c r="C5613">
        <v>302436</v>
      </c>
      <c r="D5613">
        <v>21883</v>
      </c>
    </row>
    <row r="5614" spans="1:4" x14ac:dyDescent="0.2">
      <c r="A5614">
        <v>3693832</v>
      </c>
      <c r="B5614">
        <v>30067</v>
      </c>
      <c r="C5614">
        <v>302450</v>
      </c>
      <c r="D5614">
        <v>21883</v>
      </c>
    </row>
    <row r="5615" spans="1:4" x14ac:dyDescent="0.2">
      <c r="A5615">
        <v>3693833</v>
      </c>
      <c r="B5615">
        <v>30061</v>
      </c>
      <c r="C5615">
        <v>302334</v>
      </c>
      <c r="D5615">
        <v>21883</v>
      </c>
    </row>
    <row r="5616" spans="1:4" x14ac:dyDescent="0.2">
      <c r="A5616">
        <v>3693833</v>
      </c>
      <c r="B5616">
        <v>30062</v>
      </c>
      <c r="C5616">
        <v>302355</v>
      </c>
      <c r="D5616">
        <v>21883</v>
      </c>
    </row>
    <row r="5617" spans="1:4" x14ac:dyDescent="0.2">
      <c r="A5617">
        <v>3693833</v>
      </c>
      <c r="B5617">
        <v>30063</v>
      </c>
      <c r="C5617">
        <v>302357</v>
      </c>
      <c r="D5617">
        <v>21883</v>
      </c>
    </row>
    <row r="5618" spans="1:4" x14ac:dyDescent="0.2">
      <c r="A5618">
        <v>3693833</v>
      </c>
      <c r="B5618">
        <v>30064</v>
      </c>
      <c r="C5618">
        <v>302359</v>
      </c>
      <c r="D5618">
        <v>21883</v>
      </c>
    </row>
    <row r="5619" spans="1:4" x14ac:dyDescent="0.2">
      <c r="A5619">
        <v>3693833</v>
      </c>
      <c r="B5619">
        <v>30065</v>
      </c>
      <c r="C5619">
        <v>302331</v>
      </c>
      <c r="D5619">
        <v>21883</v>
      </c>
    </row>
    <row r="5620" spans="1:4" x14ac:dyDescent="0.2">
      <c r="A5620">
        <v>3693833</v>
      </c>
      <c r="B5620">
        <v>30066</v>
      </c>
      <c r="C5620">
        <v>302436</v>
      </c>
      <c r="D5620">
        <v>21883</v>
      </c>
    </row>
    <row r="5621" spans="1:4" x14ac:dyDescent="0.2">
      <c r="A5621">
        <v>3693833</v>
      </c>
      <c r="B5621">
        <v>30067</v>
      </c>
      <c r="C5621">
        <v>302451</v>
      </c>
      <c r="D5621">
        <v>21883</v>
      </c>
    </row>
    <row r="5622" spans="1:4" x14ac:dyDescent="0.2">
      <c r="A5622">
        <v>3693834</v>
      </c>
      <c r="B5622">
        <v>30063</v>
      </c>
      <c r="C5622">
        <v>302357</v>
      </c>
      <c r="D5622">
        <v>21883</v>
      </c>
    </row>
    <row r="5623" spans="1:4" x14ac:dyDescent="0.2">
      <c r="A5623">
        <v>3693834</v>
      </c>
      <c r="B5623">
        <v>30064</v>
      </c>
      <c r="C5623">
        <v>302362</v>
      </c>
      <c r="D5623">
        <v>21883</v>
      </c>
    </row>
    <row r="5624" spans="1:4" x14ac:dyDescent="0.2">
      <c r="A5624">
        <v>3693834</v>
      </c>
      <c r="B5624">
        <v>30065</v>
      </c>
      <c r="C5624">
        <v>302373</v>
      </c>
      <c r="D5624">
        <v>21883</v>
      </c>
    </row>
    <row r="5625" spans="1:4" x14ac:dyDescent="0.2">
      <c r="A5625">
        <v>3693834</v>
      </c>
      <c r="B5625">
        <v>30066</v>
      </c>
      <c r="C5625">
        <v>302436</v>
      </c>
      <c r="D5625">
        <v>21883</v>
      </c>
    </row>
    <row r="5626" spans="1:4" x14ac:dyDescent="0.2">
      <c r="A5626">
        <v>3693834</v>
      </c>
      <c r="B5626">
        <v>30067</v>
      </c>
      <c r="C5626">
        <v>302451</v>
      </c>
      <c r="D5626">
        <v>21883</v>
      </c>
    </row>
    <row r="5627" spans="1:4" x14ac:dyDescent="0.2">
      <c r="A5627">
        <v>3693835</v>
      </c>
      <c r="B5627">
        <v>30063</v>
      </c>
      <c r="C5627">
        <v>302357</v>
      </c>
      <c r="D5627">
        <v>21883</v>
      </c>
    </row>
    <row r="5628" spans="1:4" x14ac:dyDescent="0.2">
      <c r="A5628">
        <v>3693835</v>
      </c>
      <c r="B5628">
        <v>30064</v>
      </c>
      <c r="C5628">
        <v>302368</v>
      </c>
      <c r="D5628">
        <v>21883</v>
      </c>
    </row>
    <row r="5629" spans="1:4" x14ac:dyDescent="0.2">
      <c r="A5629">
        <v>3693835</v>
      </c>
      <c r="B5629">
        <v>30065</v>
      </c>
      <c r="C5629">
        <v>302373</v>
      </c>
      <c r="D5629">
        <v>21883</v>
      </c>
    </row>
    <row r="5630" spans="1:4" x14ac:dyDescent="0.2">
      <c r="A5630">
        <v>3693835</v>
      </c>
      <c r="B5630">
        <v>30066</v>
      </c>
      <c r="C5630">
        <v>302436</v>
      </c>
      <c r="D5630">
        <v>21883</v>
      </c>
    </row>
    <row r="5631" spans="1:4" x14ac:dyDescent="0.2">
      <c r="A5631">
        <v>3693835</v>
      </c>
      <c r="B5631">
        <v>30067</v>
      </c>
      <c r="C5631">
        <v>302451</v>
      </c>
      <c r="D5631">
        <v>21883</v>
      </c>
    </row>
    <row r="5632" spans="1:4" x14ac:dyDescent="0.2">
      <c r="A5632">
        <v>3693836</v>
      </c>
      <c r="B5632">
        <v>30063</v>
      </c>
      <c r="C5632">
        <v>302357</v>
      </c>
      <c r="D5632">
        <v>21883</v>
      </c>
    </row>
    <row r="5633" spans="1:4" x14ac:dyDescent="0.2">
      <c r="A5633">
        <v>3693836</v>
      </c>
      <c r="B5633">
        <v>30064</v>
      </c>
      <c r="C5633">
        <v>302362</v>
      </c>
      <c r="D5633">
        <v>21883</v>
      </c>
    </row>
    <row r="5634" spans="1:4" x14ac:dyDescent="0.2">
      <c r="A5634">
        <v>3693836</v>
      </c>
      <c r="B5634">
        <v>30065</v>
      </c>
      <c r="C5634">
        <v>302373</v>
      </c>
      <c r="D5634">
        <v>21883</v>
      </c>
    </row>
    <row r="5635" spans="1:4" x14ac:dyDescent="0.2">
      <c r="A5635">
        <v>3693836</v>
      </c>
      <c r="B5635">
        <v>30066</v>
      </c>
      <c r="C5635">
        <v>302436</v>
      </c>
      <c r="D5635">
        <v>21883</v>
      </c>
    </row>
    <row r="5636" spans="1:4" x14ac:dyDescent="0.2">
      <c r="A5636">
        <v>3693836</v>
      </c>
      <c r="B5636">
        <v>30067</v>
      </c>
      <c r="C5636">
        <v>302451</v>
      </c>
      <c r="D5636">
        <v>21883</v>
      </c>
    </row>
    <row r="5637" spans="1:4" x14ac:dyDescent="0.2">
      <c r="A5637">
        <v>3693837</v>
      </c>
      <c r="B5637">
        <v>30063</v>
      </c>
      <c r="C5637">
        <v>302357</v>
      </c>
      <c r="D5637">
        <v>21883</v>
      </c>
    </row>
    <row r="5638" spans="1:4" x14ac:dyDescent="0.2">
      <c r="A5638">
        <v>3693837</v>
      </c>
      <c r="B5638">
        <v>30064</v>
      </c>
      <c r="C5638">
        <v>302368</v>
      </c>
      <c r="D5638">
        <v>21883</v>
      </c>
    </row>
    <row r="5639" spans="1:4" x14ac:dyDescent="0.2">
      <c r="A5639">
        <v>3693837</v>
      </c>
      <c r="B5639">
        <v>30065</v>
      </c>
      <c r="C5639">
        <v>302373</v>
      </c>
      <c r="D5639">
        <v>21883</v>
      </c>
    </row>
    <row r="5640" spans="1:4" x14ac:dyDescent="0.2">
      <c r="A5640">
        <v>3693837</v>
      </c>
      <c r="B5640">
        <v>30066</v>
      </c>
      <c r="C5640">
        <v>302436</v>
      </c>
      <c r="D5640">
        <v>21883</v>
      </c>
    </row>
    <row r="5641" spans="1:4" x14ac:dyDescent="0.2">
      <c r="A5641">
        <v>3693837</v>
      </c>
      <c r="B5641">
        <v>30067</v>
      </c>
      <c r="C5641">
        <v>302451</v>
      </c>
      <c r="D5641">
        <v>21883</v>
      </c>
    </row>
    <row r="5642" spans="1:4" x14ac:dyDescent="0.2">
      <c r="A5642">
        <v>3693838</v>
      </c>
      <c r="B5642">
        <v>30063</v>
      </c>
      <c r="C5642">
        <v>302357</v>
      </c>
      <c r="D5642">
        <v>21883</v>
      </c>
    </row>
    <row r="5643" spans="1:4" x14ac:dyDescent="0.2">
      <c r="A5643">
        <v>3693838</v>
      </c>
      <c r="B5643">
        <v>30064</v>
      </c>
      <c r="C5643">
        <v>302362</v>
      </c>
      <c r="D5643">
        <v>21883</v>
      </c>
    </row>
    <row r="5644" spans="1:4" x14ac:dyDescent="0.2">
      <c r="A5644">
        <v>3693838</v>
      </c>
      <c r="B5644">
        <v>30065</v>
      </c>
      <c r="C5644">
        <v>302373</v>
      </c>
      <c r="D5644">
        <v>21883</v>
      </c>
    </row>
    <row r="5645" spans="1:4" x14ac:dyDescent="0.2">
      <c r="A5645">
        <v>3693838</v>
      </c>
      <c r="B5645">
        <v>30066</v>
      </c>
      <c r="C5645">
        <v>302436</v>
      </c>
      <c r="D5645">
        <v>21883</v>
      </c>
    </row>
    <row r="5646" spans="1:4" x14ac:dyDescent="0.2">
      <c r="A5646">
        <v>3693838</v>
      </c>
      <c r="B5646">
        <v>30067</v>
      </c>
      <c r="C5646">
        <v>302451</v>
      </c>
      <c r="D5646">
        <v>21883</v>
      </c>
    </row>
    <row r="5647" spans="1:4" x14ac:dyDescent="0.2">
      <c r="A5647">
        <v>3693839</v>
      </c>
      <c r="B5647">
        <v>30061</v>
      </c>
      <c r="C5647">
        <v>302334</v>
      </c>
      <c r="D5647">
        <v>21883</v>
      </c>
    </row>
    <row r="5648" spans="1:4" x14ac:dyDescent="0.2">
      <c r="A5648">
        <v>3693839</v>
      </c>
      <c r="B5648">
        <v>30062</v>
      </c>
      <c r="C5648">
        <v>302355</v>
      </c>
      <c r="D5648">
        <v>21883</v>
      </c>
    </row>
    <row r="5649" spans="1:4" x14ac:dyDescent="0.2">
      <c r="A5649">
        <v>3693839</v>
      </c>
      <c r="B5649">
        <v>30063</v>
      </c>
      <c r="C5649">
        <v>302357</v>
      </c>
      <c r="D5649">
        <v>21883</v>
      </c>
    </row>
    <row r="5650" spans="1:4" x14ac:dyDescent="0.2">
      <c r="A5650">
        <v>3693839</v>
      </c>
      <c r="B5650">
        <v>30064</v>
      </c>
      <c r="C5650">
        <v>302362</v>
      </c>
      <c r="D5650">
        <v>21883</v>
      </c>
    </row>
    <row r="5651" spans="1:4" x14ac:dyDescent="0.2">
      <c r="A5651">
        <v>3693839</v>
      </c>
      <c r="B5651">
        <v>30065</v>
      </c>
      <c r="C5651">
        <v>302331</v>
      </c>
      <c r="D5651">
        <v>21883</v>
      </c>
    </row>
    <row r="5652" spans="1:4" x14ac:dyDescent="0.2">
      <c r="A5652">
        <v>3693839</v>
      </c>
      <c r="B5652">
        <v>30066</v>
      </c>
      <c r="C5652">
        <v>302436</v>
      </c>
      <c r="D5652">
        <v>21883</v>
      </c>
    </row>
    <row r="5653" spans="1:4" x14ac:dyDescent="0.2">
      <c r="A5653">
        <v>3693839</v>
      </c>
      <c r="B5653">
        <v>30067</v>
      </c>
      <c r="C5653">
        <v>302451</v>
      </c>
      <c r="D5653">
        <v>21883</v>
      </c>
    </row>
    <row r="5654" spans="1:4" x14ac:dyDescent="0.2">
      <c r="A5654">
        <v>3693840</v>
      </c>
      <c r="B5654">
        <v>30063</v>
      </c>
      <c r="C5654">
        <v>302357</v>
      </c>
      <c r="D5654">
        <v>21883</v>
      </c>
    </row>
    <row r="5655" spans="1:4" x14ac:dyDescent="0.2">
      <c r="A5655">
        <v>3693840</v>
      </c>
      <c r="B5655">
        <v>30064</v>
      </c>
      <c r="C5655">
        <v>302362</v>
      </c>
      <c r="D5655">
        <v>21883</v>
      </c>
    </row>
    <row r="5656" spans="1:4" x14ac:dyDescent="0.2">
      <c r="A5656">
        <v>3693840</v>
      </c>
      <c r="B5656">
        <v>30065</v>
      </c>
      <c r="C5656">
        <v>302373</v>
      </c>
      <c r="D5656">
        <v>21883</v>
      </c>
    </row>
    <row r="5657" spans="1:4" x14ac:dyDescent="0.2">
      <c r="A5657">
        <v>3693840</v>
      </c>
      <c r="B5657">
        <v>30066</v>
      </c>
      <c r="C5657">
        <v>302436</v>
      </c>
      <c r="D5657">
        <v>21883</v>
      </c>
    </row>
    <row r="5658" spans="1:4" x14ac:dyDescent="0.2">
      <c r="A5658">
        <v>3693840</v>
      </c>
      <c r="B5658">
        <v>30067</v>
      </c>
      <c r="C5658">
        <v>302451</v>
      </c>
      <c r="D5658">
        <v>21883</v>
      </c>
    </row>
    <row r="5659" spans="1:4" x14ac:dyDescent="0.2">
      <c r="A5659">
        <v>3693841</v>
      </c>
      <c r="B5659">
        <v>30061</v>
      </c>
      <c r="C5659">
        <v>302334</v>
      </c>
      <c r="D5659">
        <v>21883</v>
      </c>
    </row>
    <row r="5660" spans="1:4" x14ac:dyDescent="0.2">
      <c r="A5660">
        <v>3693841</v>
      </c>
      <c r="B5660">
        <v>30062</v>
      </c>
      <c r="C5660">
        <v>302355</v>
      </c>
      <c r="D5660">
        <v>21883</v>
      </c>
    </row>
    <row r="5661" spans="1:4" x14ac:dyDescent="0.2">
      <c r="A5661">
        <v>3693841</v>
      </c>
      <c r="B5661">
        <v>30063</v>
      </c>
      <c r="C5661">
        <v>302357</v>
      </c>
      <c r="D5661">
        <v>21883</v>
      </c>
    </row>
    <row r="5662" spans="1:4" x14ac:dyDescent="0.2">
      <c r="A5662">
        <v>3693841</v>
      </c>
      <c r="B5662">
        <v>30064</v>
      </c>
      <c r="C5662">
        <v>302362</v>
      </c>
      <c r="D5662">
        <v>21883</v>
      </c>
    </row>
    <row r="5663" spans="1:4" x14ac:dyDescent="0.2">
      <c r="A5663">
        <v>3693841</v>
      </c>
      <c r="B5663">
        <v>30065</v>
      </c>
      <c r="C5663">
        <v>302331</v>
      </c>
      <c r="D5663">
        <v>21883</v>
      </c>
    </row>
    <row r="5664" spans="1:4" x14ac:dyDescent="0.2">
      <c r="A5664">
        <v>3693841</v>
      </c>
      <c r="B5664">
        <v>30066</v>
      </c>
      <c r="C5664">
        <v>302436</v>
      </c>
      <c r="D5664">
        <v>21883</v>
      </c>
    </row>
    <row r="5665" spans="1:4" x14ac:dyDescent="0.2">
      <c r="A5665">
        <v>3693841</v>
      </c>
      <c r="B5665">
        <v>30067</v>
      </c>
      <c r="C5665">
        <v>302451</v>
      </c>
      <c r="D5665">
        <v>21883</v>
      </c>
    </row>
    <row r="5666" spans="1:4" x14ac:dyDescent="0.2">
      <c r="A5666">
        <v>3693842</v>
      </c>
      <c r="B5666">
        <v>30061</v>
      </c>
      <c r="C5666">
        <v>302337</v>
      </c>
      <c r="D5666">
        <v>21883</v>
      </c>
    </row>
    <row r="5667" spans="1:4" x14ac:dyDescent="0.2">
      <c r="A5667">
        <v>3693842</v>
      </c>
      <c r="B5667">
        <v>30063</v>
      </c>
      <c r="C5667">
        <v>302357</v>
      </c>
      <c r="D5667">
        <v>21883</v>
      </c>
    </row>
    <row r="5668" spans="1:4" x14ac:dyDescent="0.2">
      <c r="A5668">
        <v>3693842</v>
      </c>
      <c r="B5668">
        <v>30064</v>
      </c>
      <c r="C5668">
        <v>302359</v>
      </c>
      <c r="D5668">
        <v>21883</v>
      </c>
    </row>
    <row r="5669" spans="1:4" x14ac:dyDescent="0.2">
      <c r="A5669">
        <v>3693842</v>
      </c>
      <c r="B5669">
        <v>30065</v>
      </c>
      <c r="C5669">
        <v>302373</v>
      </c>
      <c r="D5669">
        <v>21883</v>
      </c>
    </row>
    <row r="5670" spans="1:4" x14ac:dyDescent="0.2">
      <c r="A5670">
        <v>3693842</v>
      </c>
      <c r="B5670">
        <v>30066</v>
      </c>
      <c r="C5670">
        <v>302436</v>
      </c>
      <c r="D5670">
        <v>21883</v>
      </c>
    </row>
    <row r="5671" spans="1:4" x14ac:dyDescent="0.2">
      <c r="A5671">
        <v>3693842</v>
      </c>
      <c r="B5671">
        <v>30067</v>
      </c>
      <c r="C5671">
        <v>302451</v>
      </c>
      <c r="D5671">
        <v>21883</v>
      </c>
    </row>
    <row r="5672" spans="1:4" x14ac:dyDescent="0.2">
      <c r="A5672">
        <v>3693843</v>
      </c>
      <c r="B5672">
        <v>30063</v>
      </c>
      <c r="C5672">
        <v>302357</v>
      </c>
      <c r="D5672">
        <v>21883</v>
      </c>
    </row>
    <row r="5673" spans="1:4" x14ac:dyDescent="0.2">
      <c r="A5673">
        <v>3693843</v>
      </c>
      <c r="B5673">
        <v>30064</v>
      </c>
      <c r="C5673">
        <v>302362</v>
      </c>
      <c r="D5673">
        <v>21883</v>
      </c>
    </row>
    <row r="5674" spans="1:4" x14ac:dyDescent="0.2">
      <c r="A5674">
        <v>3693843</v>
      </c>
      <c r="B5674">
        <v>30065</v>
      </c>
      <c r="C5674">
        <v>302373</v>
      </c>
      <c r="D5674">
        <v>21883</v>
      </c>
    </row>
    <row r="5675" spans="1:4" x14ac:dyDescent="0.2">
      <c r="A5675">
        <v>3693843</v>
      </c>
      <c r="B5675">
        <v>30066</v>
      </c>
      <c r="C5675">
        <v>302436</v>
      </c>
      <c r="D5675">
        <v>21883</v>
      </c>
    </row>
    <row r="5676" spans="1:4" x14ac:dyDescent="0.2">
      <c r="A5676">
        <v>3693843</v>
      </c>
      <c r="B5676">
        <v>30067</v>
      </c>
      <c r="C5676">
        <v>302451</v>
      </c>
      <c r="D5676">
        <v>21883</v>
      </c>
    </row>
    <row r="5677" spans="1:4" x14ac:dyDescent="0.2">
      <c r="A5677">
        <v>3693844</v>
      </c>
      <c r="B5677">
        <v>30063</v>
      </c>
      <c r="C5677">
        <v>302357</v>
      </c>
      <c r="D5677">
        <v>21883</v>
      </c>
    </row>
    <row r="5678" spans="1:4" x14ac:dyDescent="0.2">
      <c r="A5678">
        <v>3693844</v>
      </c>
      <c r="B5678">
        <v>30064</v>
      </c>
      <c r="C5678">
        <v>302359</v>
      </c>
      <c r="D5678">
        <v>21883</v>
      </c>
    </row>
    <row r="5679" spans="1:4" x14ac:dyDescent="0.2">
      <c r="A5679">
        <v>3693844</v>
      </c>
      <c r="B5679">
        <v>30065</v>
      </c>
      <c r="C5679">
        <v>302373</v>
      </c>
      <c r="D5679">
        <v>21883</v>
      </c>
    </row>
    <row r="5680" spans="1:4" x14ac:dyDescent="0.2">
      <c r="A5680">
        <v>3693844</v>
      </c>
      <c r="B5680">
        <v>30066</v>
      </c>
      <c r="C5680">
        <v>302436</v>
      </c>
      <c r="D5680">
        <v>21883</v>
      </c>
    </row>
    <row r="5681" spans="1:4" x14ac:dyDescent="0.2">
      <c r="A5681">
        <v>3693844</v>
      </c>
      <c r="B5681">
        <v>30067</v>
      </c>
      <c r="C5681">
        <v>302451</v>
      </c>
      <c r="D5681">
        <v>21883</v>
      </c>
    </row>
    <row r="5682" spans="1:4" x14ac:dyDescent="0.2">
      <c r="A5682">
        <v>3693845</v>
      </c>
      <c r="B5682">
        <v>30063</v>
      </c>
      <c r="C5682">
        <v>302357</v>
      </c>
      <c r="D5682">
        <v>21883</v>
      </c>
    </row>
    <row r="5683" spans="1:4" x14ac:dyDescent="0.2">
      <c r="A5683">
        <v>3693845</v>
      </c>
      <c r="B5683">
        <v>30064</v>
      </c>
      <c r="C5683">
        <v>302362</v>
      </c>
      <c r="D5683">
        <v>21883</v>
      </c>
    </row>
    <row r="5684" spans="1:4" x14ac:dyDescent="0.2">
      <c r="A5684">
        <v>3693845</v>
      </c>
      <c r="B5684">
        <v>30065</v>
      </c>
      <c r="C5684">
        <v>302373</v>
      </c>
      <c r="D5684">
        <v>21883</v>
      </c>
    </row>
    <row r="5685" spans="1:4" x14ac:dyDescent="0.2">
      <c r="A5685">
        <v>3693845</v>
      </c>
      <c r="B5685">
        <v>30066</v>
      </c>
      <c r="C5685">
        <v>302436</v>
      </c>
      <c r="D5685">
        <v>21883</v>
      </c>
    </row>
    <row r="5686" spans="1:4" x14ac:dyDescent="0.2">
      <c r="A5686">
        <v>3693845</v>
      </c>
      <c r="B5686">
        <v>30067</v>
      </c>
      <c r="C5686">
        <v>302451</v>
      </c>
      <c r="D5686">
        <v>21883</v>
      </c>
    </row>
    <row r="5687" spans="1:4" x14ac:dyDescent="0.2">
      <c r="A5687">
        <v>3693846</v>
      </c>
      <c r="B5687">
        <v>30063</v>
      </c>
      <c r="C5687">
        <v>302357</v>
      </c>
      <c r="D5687">
        <v>21883</v>
      </c>
    </row>
    <row r="5688" spans="1:4" x14ac:dyDescent="0.2">
      <c r="A5688">
        <v>3693846</v>
      </c>
      <c r="B5688">
        <v>30064</v>
      </c>
      <c r="C5688">
        <v>302362</v>
      </c>
      <c r="D5688">
        <v>21883</v>
      </c>
    </row>
    <row r="5689" spans="1:4" x14ac:dyDescent="0.2">
      <c r="A5689">
        <v>3693846</v>
      </c>
      <c r="B5689">
        <v>30065</v>
      </c>
      <c r="C5689">
        <v>302373</v>
      </c>
      <c r="D5689">
        <v>21883</v>
      </c>
    </row>
    <row r="5690" spans="1:4" x14ac:dyDescent="0.2">
      <c r="A5690">
        <v>3693846</v>
      </c>
      <c r="B5690">
        <v>30066</v>
      </c>
      <c r="C5690">
        <v>302436</v>
      </c>
      <c r="D5690">
        <v>21883</v>
      </c>
    </row>
    <row r="5691" spans="1:4" x14ac:dyDescent="0.2">
      <c r="A5691">
        <v>3693846</v>
      </c>
      <c r="B5691">
        <v>30067</v>
      </c>
      <c r="C5691">
        <v>302451</v>
      </c>
      <c r="D5691">
        <v>21883</v>
      </c>
    </row>
    <row r="5692" spans="1:4" x14ac:dyDescent="0.2">
      <c r="A5692">
        <v>3693847</v>
      </c>
      <c r="B5692">
        <v>30061</v>
      </c>
      <c r="C5692">
        <v>302334</v>
      </c>
      <c r="D5692">
        <v>21883</v>
      </c>
    </row>
    <row r="5693" spans="1:4" x14ac:dyDescent="0.2">
      <c r="A5693">
        <v>3693847</v>
      </c>
      <c r="B5693">
        <v>30062</v>
      </c>
      <c r="C5693">
        <v>302355</v>
      </c>
      <c r="D5693">
        <v>21883</v>
      </c>
    </row>
    <row r="5694" spans="1:4" x14ac:dyDescent="0.2">
      <c r="A5694">
        <v>3693847</v>
      </c>
      <c r="B5694">
        <v>30063</v>
      </c>
      <c r="C5694">
        <v>302357</v>
      </c>
      <c r="D5694">
        <v>21883</v>
      </c>
    </row>
    <row r="5695" spans="1:4" x14ac:dyDescent="0.2">
      <c r="A5695">
        <v>3693847</v>
      </c>
      <c r="B5695">
        <v>30064</v>
      </c>
      <c r="C5695">
        <v>302359</v>
      </c>
      <c r="D5695">
        <v>21883</v>
      </c>
    </row>
    <row r="5696" spans="1:4" x14ac:dyDescent="0.2">
      <c r="A5696">
        <v>3693847</v>
      </c>
      <c r="B5696">
        <v>30065</v>
      </c>
      <c r="C5696">
        <v>302331</v>
      </c>
      <c r="D5696">
        <v>21883</v>
      </c>
    </row>
    <row r="5697" spans="1:4" x14ac:dyDescent="0.2">
      <c r="A5697">
        <v>3693847</v>
      </c>
      <c r="B5697">
        <v>30066</v>
      </c>
      <c r="C5697">
        <v>302436</v>
      </c>
      <c r="D5697">
        <v>21883</v>
      </c>
    </row>
    <row r="5698" spans="1:4" x14ac:dyDescent="0.2">
      <c r="A5698">
        <v>3693847</v>
      </c>
      <c r="B5698">
        <v>30067</v>
      </c>
      <c r="C5698">
        <v>302452</v>
      </c>
      <c r="D5698">
        <v>21883</v>
      </c>
    </row>
    <row r="5699" spans="1:4" x14ac:dyDescent="0.2">
      <c r="A5699">
        <v>3693848</v>
      </c>
      <c r="B5699">
        <v>30063</v>
      </c>
      <c r="C5699">
        <v>302357</v>
      </c>
      <c r="D5699">
        <v>21883</v>
      </c>
    </row>
    <row r="5700" spans="1:4" x14ac:dyDescent="0.2">
      <c r="A5700">
        <v>3693848</v>
      </c>
      <c r="B5700">
        <v>30064</v>
      </c>
      <c r="C5700">
        <v>302362</v>
      </c>
      <c r="D5700">
        <v>21883</v>
      </c>
    </row>
    <row r="5701" spans="1:4" x14ac:dyDescent="0.2">
      <c r="A5701">
        <v>3693848</v>
      </c>
      <c r="B5701">
        <v>30065</v>
      </c>
      <c r="C5701">
        <v>302373</v>
      </c>
      <c r="D5701">
        <v>21883</v>
      </c>
    </row>
    <row r="5702" spans="1:4" x14ac:dyDescent="0.2">
      <c r="A5702">
        <v>3693848</v>
      </c>
      <c r="B5702">
        <v>30066</v>
      </c>
      <c r="C5702">
        <v>302436</v>
      </c>
      <c r="D5702">
        <v>21883</v>
      </c>
    </row>
    <row r="5703" spans="1:4" x14ac:dyDescent="0.2">
      <c r="A5703">
        <v>3693848</v>
      </c>
      <c r="B5703">
        <v>30067</v>
      </c>
      <c r="C5703">
        <v>302452</v>
      </c>
      <c r="D5703">
        <v>21883</v>
      </c>
    </row>
    <row r="5704" spans="1:4" x14ac:dyDescent="0.2">
      <c r="A5704">
        <v>3693849</v>
      </c>
      <c r="B5704">
        <v>30063</v>
      </c>
      <c r="C5704">
        <v>302357</v>
      </c>
      <c r="D5704">
        <v>21883</v>
      </c>
    </row>
    <row r="5705" spans="1:4" x14ac:dyDescent="0.2">
      <c r="A5705">
        <v>3693849</v>
      </c>
      <c r="B5705">
        <v>30064</v>
      </c>
      <c r="C5705">
        <v>302368</v>
      </c>
      <c r="D5705">
        <v>21883</v>
      </c>
    </row>
    <row r="5706" spans="1:4" x14ac:dyDescent="0.2">
      <c r="A5706">
        <v>3693849</v>
      </c>
      <c r="B5706">
        <v>30065</v>
      </c>
      <c r="C5706">
        <v>302373</v>
      </c>
      <c r="D5706">
        <v>21883</v>
      </c>
    </row>
    <row r="5707" spans="1:4" x14ac:dyDescent="0.2">
      <c r="A5707">
        <v>3693849</v>
      </c>
      <c r="B5707">
        <v>30066</v>
      </c>
      <c r="C5707">
        <v>302436</v>
      </c>
      <c r="D5707">
        <v>21883</v>
      </c>
    </row>
    <row r="5708" spans="1:4" x14ac:dyDescent="0.2">
      <c r="A5708">
        <v>3693849</v>
      </c>
      <c r="B5708">
        <v>30067</v>
      </c>
      <c r="C5708">
        <v>302452</v>
      </c>
      <c r="D5708">
        <v>21883</v>
      </c>
    </row>
    <row r="5709" spans="1:4" x14ac:dyDescent="0.2">
      <c r="A5709">
        <v>3693850</v>
      </c>
      <c r="B5709">
        <v>30063</v>
      </c>
      <c r="C5709">
        <v>302357</v>
      </c>
      <c r="D5709">
        <v>21883</v>
      </c>
    </row>
    <row r="5710" spans="1:4" x14ac:dyDescent="0.2">
      <c r="A5710">
        <v>3693850</v>
      </c>
      <c r="B5710">
        <v>30064</v>
      </c>
      <c r="C5710">
        <v>302362</v>
      </c>
      <c r="D5710">
        <v>21883</v>
      </c>
    </row>
    <row r="5711" spans="1:4" x14ac:dyDescent="0.2">
      <c r="A5711">
        <v>3693850</v>
      </c>
      <c r="B5711">
        <v>30065</v>
      </c>
      <c r="C5711">
        <v>302373</v>
      </c>
      <c r="D5711">
        <v>21883</v>
      </c>
    </row>
    <row r="5712" spans="1:4" x14ac:dyDescent="0.2">
      <c r="A5712">
        <v>3693850</v>
      </c>
      <c r="B5712">
        <v>30066</v>
      </c>
      <c r="C5712">
        <v>302436</v>
      </c>
      <c r="D5712">
        <v>21883</v>
      </c>
    </row>
    <row r="5713" spans="1:4" x14ac:dyDescent="0.2">
      <c r="A5713">
        <v>3693850</v>
      </c>
      <c r="B5713">
        <v>30067</v>
      </c>
      <c r="C5713">
        <v>302452</v>
      </c>
      <c r="D5713">
        <v>21883</v>
      </c>
    </row>
    <row r="5714" spans="1:4" x14ac:dyDescent="0.2">
      <c r="A5714">
        <v>3693851</v>
      </c>
      <c r="B5714">
        <v>30063</v>
      </c>
      <c r="C5714">
        <v>302357</v>
      </c>
      <c r="D5714">
        <v>21883</v>
      </c>
    </row>
    <row r="5715" spans="1:4" x14ac:dyDescent="0.2">
      <c r="A5715">
        <v>3693851</v>
      </c>
      <c r="B5715">
        <v>30064</v>
      </c>
      <c r="C5715">
        <v>302368</v>
      </c>
      <c r="D5715">
        <v>21883</v>
      </c>
    </row>
    <row r="5716" spans="1:4" x14ac:dyDescent="0.2">
      <c r="A5716">
        <v>3693851</v>
      </c>
      <c r="B5716">
        <v>30065</v>
      </c>
      <c r="C5716">
        <v>302373</v>
      </c>
      <c r="D5716">
        <v>21883</v>
      </c>
    </row>
    <row r="5717" spans="1:4" x14ac:dyDescent="0.2">
      <c r="A5717">
        <v>3693851</v>
      </c>
      <c r="B5717">
        <v>30066</v>
      </c>
      <c r="C5717">
        <v>302436</v>
      </c>
      <c r="D5717">
        <v>21883</v>
      </c>
    </row>
    <row r="5718" spans="1:4" x14ac:dyDescent="0.2">
      <c r="A5718">
        <v>3693851</v>
      </c>
      <c r="B5718">
        <v>30067</v>
      </c>
      <c r="C5718">
        <v>302452</v>
      </c>
      <c r="D5718">
        <v>21883</v>
      </c>
    </row>
    <row r="5719" spans="1:4" x14ac:dyDescent="0.2">
      <c r="A5719">
        <v>3693852</v>
      </c>
      <c r="B5719">
        <v>30063</v>
      </c>
      <c r="C5719">
        <v>302357</v>
      </c>
      <c r="D5719">
        <v>21883</v>
      </c>
    </row>
    <row r="5720" spans="1:4" x14ac:dyDescent="0.2">
      <c r="A5720">
        <v>3693852</v>
      </c>
      <c r="B5720">
        <v>30064</v>
      </c>
      <c r="C5720">
        <v>302362</v>
      </c>
      <c r="D5720">
        <v>21883</v>
      </c>
    </row>
    <row r="5721" spans="1:4" x14ac:dyDescent="0.2">
      <c r="A5721">
        <v>3693852</v>
      </c>
      <c r="B5721">
        <v>30065</v>
      </c>
      <c r="C5721">
        <v>302373</v>
      </c>
      <c r="D5721">
        <v>21883</v>
      </c>
    </row>
    <row r="5722" spans="1:4" x14ac:dyDescent="0.2">
      <c r="A5722">
        <v>3693852</v>
      </c>
      <c r="B5722">
        <v>30066</v>
      </c>
      <c r="C5722">
        <v>302436</v>
      </c>
      <c r="D5722">
        <v>21883</v>
      </c>
    </row>
    <row r="5723" spans="1:4" x14ac:dyDescent="0.2">
      <c r="A5723">
        <v>3693852</v>
      </c>
      <c r="B5723">
        <v>30067</v>
      </c>
      <c r="C5723">
        <v>302452</v>
      </c>
      <c r="D5723">
        <v>21883</v>
      </c>
    </row>
    <row r="5724" spans="1:4" x14ac:dyDescent="0.2">
      <c r="A5724">
        <v>3693853</v>
      </c>
      <c r="B5724">
        <v>30061</v>
      </c>
      <c r="C5724">
        <v>302334</v>
      </c>
      <c r="D5724">
        <v>21883</v>
      </c>
    </row>
    <row r="5725" spans="1:4" x14ac:dyDescent="0.2">
      <c r="A5725">
        <v>3693853</v>
      </c>
      <c r="B5725">
        <v>30062</v>
      </c>
      <c r="C5725">
        <v>302355</v>
      </c>
      <c r="D5725">
        <v>21883</v>
      </c>
    </row>
    <row r="5726" spans="1:4" x14ac:dyDescent="0.2">
      <c r="A5726">
        <v>3693853</v>
      </c>
      <c r="B5726">
        <v>30063</v>
      </c>
      <c r="C5726">
        <v>302357</v>
      </c>
      <c r="D5726">
        <v>21883</v>
      </c>
    </row>
    <row r="5727" spans="1:4" x14ac:dyDescent="0.2">
      <c r="A5727">
        <v>3693853</v>
      </c>
      <c r="B5727">
        <v>30064</v>
      </c>
      <c r="C5727">
        <v>302362</v>
      </c>
      <c r="D5727">
        <v>21883</v>
      </c>
    </row>
    <row r="5728" spans="1:4" x14ac:dyDescent="0.2">
      <c r="A5728">
        <v>3693853</v>
      </c>
      <c r="B5728">
        <v>30065</v>
      </c>
      <c r="C5728">
        <v>302331</v>
      </c>
      <c r="D5728">
        <v>21883</v>
      </c>
    </row>
    <row r="5729" spans="1:4" x14ac:dyDescent="0.2">
      <c r="A5729">
        <v>3693853</v>
      </c>
      <c r="B5729">
        <v>30066</v>
      </c>
      <c r="C5729">
        <v>302436</v>
      </c>
      <c r="D5729">
        <v>21883</v>
      </c>
    </row>
    <row r="5730" spans="1:4" x14ac:dyDescent="0.2">
      <c r="A5730">
        <v>3693853</v>
      </c>
      <c r="B5730">
        <v>30067</v>
      </c>
      <c r="C5730">
        <v>302452</v>
      </c>
      <c r="D5730">
        <v>21883</v>
      </c>
    </row>
    <row r="5731" spans="1:4" x14ac:dyDescent="0.2">
      <c r="A5731">
        <v>3693854</v>
      </c>
      <c r="B5731">
        <v>30063</v>
      </c>
      <c r="C5731">
        <v>302357</v>
      </c>
      <c r="D5731">
        <v>21883</v>
      </c>
    </row>
    <row r="5732" spans="1:4" x14ac:dyDescent="0.2">
      <c r="A5732">
        <v>3693854</v>
      </c>
      <c r="B5732">
        <v>30064</v>
      </c>
      <c r="C5732">
        <v>302362</v>
      </c>
      <c r="D5732">
        <v>21883</v>
      </c>
    </row>
    <row r="5733" spans="1:4" x14ac:dyDescent="0.2">
      <c r="A5733">
        <v>3693854</v>
      </c>
      <c r="B5733">
        <v>30065</v>
      </c>
      <c r="C5733">
        <v>302373</v>
      </c>
      <c r="D5733">
        <v>21883</v>
      </c>
    </row>
    <row r="5734" spans="1:4" x14ac:dyDescent="0.2">
      <c r="A5734">
        <v>3693854</v>
      </c>
      <c r="B5734">
        <v>30066</v>
      </c>
      <c r="C5734">
        <v>302436</v>
      </c>
      <c r="D5734">
        <v>21883</v>
      </c>
    </row>
    <row r="5735" spans="1:4" x14ac:dyDescent="0.2">
      <c r="A5735">
        <v>3693854</v>
      </c>
      <c r="B5735">
        <v>30067</v>
      </c>
      <c r="C5735">
        <v>302452</v>
      </c>
      <c r="D5735">
        <v>21883</v>
      </c>
    </row>
    <row r="5736" spans="1:4" x14ac:dyDescent="0.2">
      <c r="A5736">
        <v>3693855</v>
      </c>
      <c r="B5736">
        <v>30061</v>
      </c>
      <c r="C5736">
        <v>302334</v>
      </c>
      <c r="D5736">
        <v>21883</v>
      </c>
    </row>
    <row r="5737" spans="1:4" x14ac:dyDescent="0.2">
      <c r="A5737">
        <v>3693855</v>
      </c>
      <c r="B5737">
        <v>30062</v>
      </c>
      <c r="C5737">
        <v>302355</v>
      </c>
      <c r="D5737">
        <v>21883</v>
      </c>
    </row>
    <row r="5738" spans="1:4" x14ac:dyDescent="0.2">
      <c r="A5738">
        <v>3693855</v>
      </c>
      <c r="B5738">
        <v>30063</v>
      </c>
      <c r="C5738">
        <v>302357</v>
      </c>
      <c r="D5738">
        <v>21883</v>
      </c>
    </row>
    <row r="5739" spans="1:4" x14ac:dyDescent="0.2">
      <c r="A5739">
        <v>3693855</v>
      </c>
      <c r="B5739">
        <v>30064</v>
      </c>
      <c r="C5739">
        <v>302362</v>
      </c>
      <c r="D5739">
        <v>21883</v>
      </c>
    </row>
    <row r="5740" spans="1:4" x14ac:dyDescent="0.2">
      <c r="A5740">
        <v>3693855</v>
      </c>
      <c r="B5740">
        <v>30065</v>
      </c>
      <c r="C5740">
        <v>302331</v>
      </c>
      <c r="D5740">
        <v>21883</v>
      </c>
    </row>
    <row r="5741" spans="1:4" x14ac:dyDescent="0.2">
      <c r="A5741">
        <v>3693855</v>
      </c>
      <c r="B5741">
        <v>30066</v>
      </c>
      <c r="C5741">
        <v>302436</v>
      </c>
      <c r="D5741">
        <v>21883</v>
      </c>
    </row>
    <row r="5742" spans="1:4" x14ac:dyDescent="0.2">
      <c r="A5742">
        <v>3693855</v>
      </c>
      <c r="B5742">
        <v>30067</v>
      </c>
      <c r="C5742">
        <v>302452</v>
      </c>
      <c r="D5742">
        <v>21883</v>
      </c>
    </row>
    <row r="5743" spans="1:4" x14ac:dyDescent="0.2">
      <c r="A5743">
        <v>3693856</v>
      </c>
      <c r="B5743">
        <v>30061</v>
      </c>
      <c r="C5743">
        <v>302337</v>
      </c>
      <c r="D5743">
        <v>21883</v>
      </c>
    </row>
    <row r="5744" spans="1:4" x14ac:dyDescent="0.2">
      <c r="A5744">
        <v>3693856</v>
      </c>
      <c r="B5744">
        <v>30063</v>
      </c>
      <c r="C5744">
        <v>302357</v>
      </c>
      <c r="D5744">
        <v>21883</v>
      </c>
    </row>
    <row r="5745" spans="1:4" x14ac:dyDescent="0.2">
      <c r="A5745">
        <v>3693856</v>
      </c>
      <c r="B5745">
        <v>30064</v>
      </c>
      <c r="C5745">
        <v>302359</v>
      </c>
      <c r="D5745">
        <v>21883</v>
      </c>
    </row>
    <row r="5746" spans="1:4" x14ac:dyDescent="0.2">
      <c r="A5746">
        <v>3693856</v>
      </c>
      <c r="B5746">
        <v>30065</v>
      </c>
      <c r="C5746">
        <v>302373</v>
      </c>
      <c r="D5746">
        <v>21883</v>
      </c>
    </row>
    <row r="5747" spans="1:4" x14ac:dyDescent="0.2">
      <c r="A5747">
        <v>3693856</v>
      </c>
      <c r="B5747">
        <v>30066</v>
      </c>
      <c r="C5747">
        <v>302436</v>
      </c>
      <c r="D5747">
        <v>21883</v>
      </c>
    </row>
    <row r="5748" spans="1:4" x14ac:dyDescent="0.2">
      <c r="A5748">
        <v>3693856</v>
      </c>
      <c r="B5748">
        <v>30067</v>
      </c>
      <c r="C5748">
        <v>302452</v>
      </c>
      <c r="D5748">
        <v>21883</v>
      </c>
    </row>
    <row r="5749" spans="1:4" x14ac:dyDescent="0.2">
      <c r="A5749">
        <v>3693857</v>
      </c>
      <c r="B5749">
        <v>30063</v>
      </c>
      <c r="C5749">
        <v>302357</v>
      </c>
      <c r="D5749">
        <v>21883</v>
      </c>
    </row>
    <row r="5750" spans="1:4" x14ac:dyDescent="0.2">
      <c r="A5750">
        <v>3693857</v>
      </c>
      <c r="B5750">
        <v>30064</v>
      </c>
      <c r="C5750">
        <v>302359</v>
      </c>
      <c r="D5750">
        <v>21883</v>
      </c>
    </row>
    <row r="5751" spans="1:4" x14ac:dyDescent="0.2">
      <c r="A5751">
        <v>3693857</v>
      </c>
      <c r="B5751">
        <v>30065</v>
      </c>
      <c r="C5751">
        <v>302373</v>
      </c>
      <c r="D5751">
        <v>21883</v>
      </c>
    </row>
    <row r="5752" spans="1:4" x14ac:dyDescent="0.2">
      <c r="A5752">
        <v>3693857</v>
      </c>
      <c r="B5752">
        <v>30066</v>
      </c>
      <c r="C5752">
        <v>302436</v>
      </c>
      <c r="D5752">
        <v>21883</v>
      </c>
    </row>
    <row r="5753" spans="1:4" x14ac:dyDescent="0.2">
      <c r="A5753">
        <v>3693857</v>
      </c>
      <c r="B5753">
        <v>30067</v>
      </c>
      <c r="C5753">
        <v>302452</v>
      </c>
      <c r="D5753">
        <v>21883</v>
      </c>
    </row>
    <row r="5754" spans="1:4" x14ac:dyDescent="0.2">
      <c r="A5754">
        <v>3693858</v>
      </c>
      <c r="B5754">
        <v>30063</v>
      </c>
      <c r="C5754">
        <v>302357</v>
      </c>
      <c r="D5754">
        <v>21883</v>
      </c>
    </row>
    <row r="5755" spans="1:4" x14ac:dyDescent="0.2">
      <c r="A5755">
        <v>3693858</v>
      </c>
      <c r="B5755">
        <v>30064</v>
      </c>
      <c r="C5755">
        <v>302362</v>
      </c>
      <c r="D5755">
        <v>21883</v>
      </c>
    </row>
    <row r="5756" spans="1:4" x14ac:dyDescent="0.2">
      <c r="A5756">
        <v>3693858</v>
      </c>
      <c r="B5756">
        <v>30065</v>
      </c>
      <c r="C5756">
        <v>302373</v>
      </c>
      <c r="D5756">
        <v>21883</v>
      </c>
    </row>
    <row r="5757" spans="1:4" x14ac:dyDescent="0.2">
      <c r="A5757">
        <v>3693858</v>
      </c>
      <c r="B5757">
        <v>30066</v>
      </c>
      <c r="C5757">
        <v>302436</v>
      </c>
      <c r="D5757">
        <v>21883</v>
      </c>
    </row>
    <row r="5758" spans="1:4" x14ac:dyDescent="0.2">
      <c r="A5758">
        <v>3693858</v>
      </c>
      <c r="B5758">
        <v>30067</v>
      </c>
      <c r="C5758">
        <v>302452</v>
      </c>
      <c r="D5758">
        <v>21883</v>
      </c>
    </row>
    <row r="5759" spans="1:4" x14ac:dyDescent="0.2">
      <c r="A5759">
        <v>3693859</v>
      </c>
      <c r="B5759">
        <v>30063</v>
      </c>
      <c r="C5759">
        <v>302357</v>
      </c>
      <c r="D5759">
        <v>21883</v>
      </c>
    </row>
    <row r="5760" spans="1:4" x14ac:dyDescent="0.2">
      <c r="A5760">
        <v>3693859</v>
      </c>
      <c r="B5760">
        <v>30064</v>
      </c>
      <c r="C5760">
        <v>302362</v>
      </c>
      <c r="D5760">
        <v>21883</v>
      </c>
    </row>
    <row r="5761" spans="1:4" x14ac:dyDescent="0.2">
      <c r="A5761">
        <v>3693859</v>
      </c>
      <c r="B5761">
        <v>30065</v>
      </c>
      <c r="C5761">
        <v>302373</v>
      </c>
      <c r="D5761">
        <v>21883</v>
      </c>
    </row>
    <row r="5762" spans="1:4" x14ac:dyDescent="0.2">
      <c r="A5762">
        <v>3693859</v>
      </c>
      <c r="B5762">
        <v>30066</v>
      </c>
      <c r="C5762">
        <v>302436</v>
      </c>
      <c r="D5762">
        <v>21883</v>
      </c>
    </row>
    <row r="5763" spans="1:4" x14ac:dyDescent="0.2">
      <c r="A5763">
        <v>3693859</v>
      </c>
      <c r="B5763">
        <v>30067</v>
      </c>
      <c r="C5763">
        <v>302452</v>
      </c>
      <c r="D5763">
        <v>21883</v>
      </c>
    </row>
    <row r="5764" spans="1:4" x14ac:dyDescent="0.2">
      <c r="A5764">
        <v>3693860</v>
      </c>
      <c r="B5764">
        <v>30063</v>
      </c>
      <c r="C5764">
        <v>302357</v>
      </c>
      <c r="D5764">
        <v>21883</v>
      </c>
    </row>
    <row r="5765" spans="1:4" x14ac:dyDescent="0.2">
      <c r="A5765">
        <v>3693860</v>
      </c>
      <c r="B5765">
        <v>30064</v>
      </c>
      <c r="C5765">
        <v>302362</v>
      </c>
      <c r="D5765">
        <v>21883</v>
      </c>
    </row>
    <row r="5766" spans="1:4" x14ac:dyDescent="0.2">
      <c r="A5766">
        <v>3693860</v>
      </c>
      <c r="B5766">
        <v>30065</v>
      </c>
      <c r="C5766">
        <v>302373</v>
      </c>
      <c r="D5766">
        <v>21883</v>
      </c>
    </row>
    <row r="5767" spans="1:4" x14ac:dyDescent="0.2">
      <c r="A5767">
        <v>3693860</v>
      </c>
      <c r="B5767">
        <v>30066</v>
      </c>
      <c r="C5767">
        <v>302436</v>
      </c>
      <c r="D5767">
        <v>21883</v>
      </c>
    </row>
    <row r="5768" spans="1:4" x14ac:dyDescent="0.2">
      <c r="A5768">
        <v>3693860</v>
      </c>
      <c r="B5768">
        <v>30067</v>
      </c>
      <c r="C5768">
        <v>302452</v>
      </c>
      <c r="D5768">
        <v>21883</v>
      </c>
    </row>
    <row r="5769" spans="1:4" x14ac:dyDescent="0.2">
      <c r="A5769">
        <v>3693861</v>
      </c>
      <c r="B5769">
        <v>30061</v>
      </c>
      <c r="C5769">
        <v>302334</v>
      </c>
      <c r="D5769">
        <v>21883</v>
      </c>
    </row>
    <row r="5770" spans="1:4" x14ac:dyDescent="0.2">
      <c r="A5770">
        <v>3693861</v>
      </c>
      <c r="B5770">
        <v>30062</v>
      </c>
      <c r="C5770">
        <v>302355</v>
      </c>
      <c r="D5770">
        <v>21883</v>
      </c>
    </row>
    <row r="5771" spans="1:4" x14ac:dyDescent="0.2">
      <c r="A5771">
        <v>3693861</v>
      </c>
      <c r="B5771">
        <v>30063</v>
      </c>
      <c r="C5771">
        <v>302357</v>
      </c>
      <c r="D5771">
        <v>21883</v>
      </c>
    </row>
    <row r="5772" spans="1:4" x14ac:dyDescent="0.2">
      <c r="A5772">
        <v>3693861</v>
      </c>
      <c r="B5772">
        <v>30064</v>
      </c>
      <c r="C5772">
        <v>302359</v>
      </c>
      <c r="D5772">
        <v>21883</v>
      </c>
    </row>
    <row r="5773" spans="1:4" x14ac:dyDescent="0.2">
      <c r="A5773">
        <v>3693861</v>
      </c>
      <c r="B5773">
        <v>30065</v>
      </c>
      <c r="C5773">
        <v>302331</v>
      </c>
      <c r="D5773">
        <v>21883</v>
      </c>
    </row>
    <row r="5774" spans="1:4" x14ac:dyDescent="0.2">
      <c r="A5774">
        <v>3693861</v>
      </c>
      <c r="B5774">
        <v>30066</v>
      </c>
      <c r="C5774">
        <v>302436</v>
      </c>
      <c r="D5774">
        <v>21883</v>
      </c>
    </row>
    <row r="5775" spans="1:4" x14ac:dyDescent="0.2">
      <c r="A5775">
        <v>3693861</v>
      </c>
      <c r="B5775">
        <v>30067</v>
      </c>
      <c r="C5775">
        <v>302453</v>
      </c>
      <c r="D5775">
        <v>21883</v>
      </c>
    </row>
    <row r="5776" spans="1:4" x14ac:dyDescent="0.2">
      <c r="A5776">
        <v>3693862</v>
      </c>
      <c r="B5776">
        <v>30061</v>
      </c>
      <c r="C5776">
        <v>302337</v>
      </c>
      <c r="D5776">
        <v>21883</v>
      </c>
    </row>
    <row r="5777" spans="1:4" x14ac:dyDescent="0.2">
      <c r="A5777">
        <v>3693862</v>
      </c>
      <c r="B5777">
        <v>30063</v>
      </c>
      <c r="C5777">
        <v>302357</v>
      </c>
      <c r="D5777">
        <v>21883</v>
      </c>
    </row>
    <row r="5778" spans="1:4" x14ac:dyDescent="0.2">
      <c r="A5778">
        <v>3693862</v>
      </c>
      <c r="B5778">
        <v>30064</v>
      </c>
      <c r="C5778">
        <v>302368</v>
      </c>
      <c r="D5778">
        <v>21883</v>
      </c>
    </row>
    <row r="5779" spans="1:4" x14ac:dyDescent="0.2">
      <c r="A5779">
        <v>3693862</v>
      </c>
      <c r="B5779">
        <v>30065</v>
      </c>
      <c r="C5779">
        <v>302373</v>
      </c>
      <c r="D5779">
        <v>21883</v>
      </c>
    </row>
    <row r="5780" spans="1:4" x14ac:dyDescent="0.2">
      <c r="A5780">
        <v>3693862</v>
      </c>
      <c r="B5780">
        <v>30066</v>
      </c>
      <c r="C5780">
        <v>302436</v>
      </c>
      <c r="D5780">
        <v>21883</v>
      </c>
    </row>
    <row r="5781" spans="1:4" x14ac:dyDescent="0.2">
      <c r="A5781">
        <v>3693862</v>
      </c>
      <c r="B5781">
        <v>30067</v>
      </c>
      <c r="C5781">
        <v>302453</v>
      </c>
      <c r="D5781">
        <v>21883</v>
      </c>
    </row>
    <row r="5782" spans="1:4" x14ac:dyDescent="0.2">
      <c r="A5782">
        <v>3693863</v>
      </c>
      <c r="B5782">
        <v>30061</v>
      </c>
      <c r="C5782">
        <v>302337</v>
      </c>
      <c r="D5782">
        <v>21883</v>
      </c>
    </row>
    <row r="5783" spans="1:4" x14ac:dyDescent="0.2">
      <c r="A5783">
        <v>3693863</v>
      </c>
      <c r="B5783">
        <v>30063</v>
      </c>
      <c r="C5783">
        <v>302357</v>
      </c>
      <c r="D5783">
        <v>21883</v>
      </c>
    </row>
    <row r="5784" spans="1:4" x14ac:dyDescent="0.2">
      <c r="A5784">
        <v>3693863</v>
      </c>
      <c r="B5784">
        <v>30064</v>
      </c>
      <c r="C5784">
        <v>302362</v>
      </c>
      <c r="D5784">
        <v>21883</v>
      </c>
    </row>
    <row r="5785" spans="1:4" x14ac:dyDescent="0.2">
      <c r="A5785">
        <v>3693863</v>
      </c>
      <c r="B5785">
        <v>30065</v>
      </c>
      <c r="C5785">
        <v>302373</v>
      </c>
      <c r="D5785">
        <v>21883</v>
      </c>
    </row>
    <row r="5786" spans="1:4" x14ac:dyDescent="0.2">
      <c r="A5786">
        <v>3693863</v>
      </c>
      <c r="B5786">
        <v>30066</v>
      </c>
      <c r="C5786">
        <v>302436</v>
      </c>
      <c r="D5786">
        <v>21883</v>
      </c>
    </row>
    <row r="5787" spans="1:4" x14ac:dyDescent="0.2">
      <c r="A5787">
        <v>3693863</v>
      </c>
      <c r="B5787">
        <v>30067</v>
      </c>
      <c r="C5787">
        <v>302453</v>
      </c>
      <c r="D5787">
        <v>21883</v>
      </c>
    </row>
    <row r="5788" spans="1:4" x14ac:dyDescent="0.2">
      <c r="A5788">
        <v>3693864</v>
      </c>
      <c r="B5788">
        <v>30061</v>
      </c>
      <c r="C5788">
        <v>302337</v>
      </c>
      <c r="D5788">
        <v>21883</v>
      </c>
    </row>
    <row r="5789" spans="1:4" x14ac:dyDescent="0.2">
      <c r="A5789">
        <v>3693864</v>
      </c>
      <c r="B5789">
        <v>30063</v>
      </c>
      <c r="C5789">
        <v>302357</v>
      </c>
      <c r="D5789">
        <v>21883</v>
      </c>
    </row>
    <row r="5790" spans="1:4" x14ac:dyDescent="0.2">
      <c r="A5790">
        <v>3693864</v>
      </c>
      <c r="B5790">
        <v>30064</v>
      </c>
      <c r="C5790">
        <v>302362</v>
      </c>
      <c r="D5790">
        <v>21883</v>
      </c>
    </row>
    <row r="5791" spans="1:4" x14ac:dyDescent="0.2">
      <c r="A5791">
        <v>3693864</v>
      </c>
      <c r="B5791">
        <v>30065</v>
      </c>
      <c r="C5791">
        <v>302373</v>
      </c>
      <c r="D5791">
        <v>21883</v>
      </c>
    </row>
    <row r="5792" spans="1:4" x14ac:dyDescent="0.2">
      <c r="A5792">
        <v>3693864</v>
      </c>
      <c r="B5792">
        <v>30066</v>
      </c>
      <c r="C5792">
        <v>302436</v>
      </c>
      <c r="D5792">
        <v>21883</v>
      </c>
    </row>
    <row r="5793" spans="1:4" x14ac:dyDescent="0.2">
      <c r="A5793">
        <v>3693864</v>
      </c>
      <c r="B5793">
        <v>30067</v>
      </c>
      <c r="C5793">
        <v>302453</v>
      </c>
      <c r="D5793">
        <v>21883</v>
      </c>
    </row>
    <row r="5794" spans="1:4" x14ac:dyDescent="0.2">
      <c r="A5794">
        <v>3693865</v>
      </c>
      <c r="B5794">
        <v>30061</v>
      </c>
      <c r="C5794">
        <v>302337</v>
      </c>
      <c r="D5794">
        <v>21883</v>
      </c>
    </row>
    <row r="5795" spans="1:4" x14ac:dyDescent="0.2">
      <c r="A5795">
        <v>3693865</v>
      </c>
      <c r="B5795">
        <v>30063</v>
      </c>
      <c r="C5795">
        <v>302357</v>
      </c>
      <c r="D5795">
        <v>21883</v>
      </c>
    </row>
    <row r="5796" spans="1:4" x14ac:dyDescent="0.2">
      <c r="A5796">
        <v>3693865</v>
      </c>
      <c r="B5796">
        <v>30064</v>
      </c>
      <c r="C5796">
        <v>302368</v>
      </c>
      <c r="D5796">
        <v>21883</v>
      </c>
    </row>
    <row r="5797" spans="1:4" x14ac:dyDescent="0.2">
      <c r="A5797">
        <v>3693865</v>
      </c>
      <c r="B5797">
        <v>30065</v>
      </c>
      <c r="C5797">
        <v>302373</v>
      </c>
      <c r="D5797">
        <v>21883</v>
      </c>
    </row>
    <row r="5798" spans="1:4" x14ac:dyDescent="0.2">
      <c r="A5798">
        <v>3693865</v>
      </c>
      <c r="B5798">
        <v>30066</v>
      </c>
      <c r="C5798">
        <v>302436</v>
      </c>
      <c r="D5798">
        <v>21883</v>
      </c>
    </row>
    <row r="5799" spans="1:4" x14ac:dyDescent="0.2">
      <c r="A5799">
        <v>3693865</v>
      </c>
      <c r="B5799">
        <v>30067</v>
      </c>
      <c r="C5799">
        <v>302453</v>
      </c>
      <c r="D5799">
        <v>21883</v>
      </c>
    </row>
    <row r="5800" spans="1:4" x14ac:dyDescent="0.2">
      <c r="A5800">
        <v>3693866</v>
      </c>
      <c r="B5800">
        <v>30061</v>
      </c>
      <c r="C5800">
        <v>302337</v>
      </c>
      <c r="D5800">
        <v>21883</v>
      </c>
    </row>
    <row r="5801" spans="1:4" x14ac:dyDescent="0.2">
      <c r="A5801">
        <v>3693866</v>
      </c>
      <c r="B5801">
        <v>30063</v>
      </c>
      <c r="C5801">
        <v>302357</v>
      </c>
      <c r="D5801">
        <v>21883</v>
      </c>
    </row>
    <row r="5802" spans="1:4" x14ac:dyDescent="0.2">
      <c r="A5802">
        <v>3693866</v>
      </c>
      <c r="B5802">
        <v>30064</v>
      </c>
      <c r="C5802">
        <v>302362</v>
      </c>
      <c r="D5802">
        <v>21883</v>
      </c>
    </row>
    <row r="5803" spans="1:4" x14ac:dyDescent="0.2">
      <c r="A5803">
        <v>3693866</v>
      </c>
      <c r="B5803">
        <v>30065</v>
      </c>
      <c r="C5803">
        <v>302373</v>
      </c>
      <c r="D5803">
        <v>21883</v>
      </c>
    </row>
    <row r="5804" spans="1:4" x14ac:dyDescent="0.2">
      <c r="A5804">
        <v>3693866</v>
      </c>
      <c r="B5804">
        <v>30066</v>
      </c>
      <c r="C5804">
        <v>302436</v>
      </c>
      <c r="D5804">
        <v>21883</v>
      </c>
    </row>
    <row r="5805" spans="1:4" x14ac:dyDescent="0.2">
      <c r="A5805">
        <v>3693866</v>
      </c>
      <c r="B5805">
        <v>30067</v>
      </c>
      <c r="C5805">
        <v>302453</v>
      </c>
      <c r="D5805">
        <v>21883</v>
      </c>
    </row>
    <row r="5806" spans="1:4" x14ac:dyDescent="0.2">
      <c r="A5806">
        <v>3693867</v>
      </c>
      <c r="B5806">
        <v>30061</v>
      </c>
      <c r="C5806">
        <v>302334</v>
      </c>
      <c r="D5806">
        <v>21883</v>
      </c>
    </row>
    <row r="5807" spans="1:4" x14ac:dyDescent="0.2">
      <c r="A5807">
        <v>3693867</v>
      </c>
      <c r="B5807">
        <v>30062</v>
      </c>
      <c r="C5807">
        <v>302355</v>
      </c>
      <c r="D5807">
        <v>21883</v>
      </c>
    </row>
    <row r="5808" spans="1:4" x14ac:dyDescent="0.2">
      <c r="A5808">
        <v>3693867</v>
      </c>
      <c r="B5808">
        <v>30063</v>
      </c>
      <c r="C5808">
        <v>302357</v>
      </c>
      <c r="D5808">
        <v>21883</v>
      </c>
    </row>
    <row r="5809" spans="1:4" x14ac:dyDescent="0.2">
      <c r="A5809">
        <v>3693867</v>
      </c>
      <c r="B5809">
        <v>30064</v>
      </c>
      <c r="C5809">
        <v>302362</v>
      </c>
      <c r="D5809">
        <v>21883</v>
      </c>
    </row>
    <row r="5810" spans="1:4" x14ac:dyDescent="0.2">
      <c r="A5810">
        <v>3693867</v>
      </c>
      <c r="B5810">
        <v>30065</v>
      </c>
      <c r="C5810">
        <v>302331</v>
      </c>
      <c r="D5810">
        <v>21883</v>
      </c>
    </row>
    <row r="5811" spans="1:4" x14ac:dyDescent="0.2">
      <c r="A5811">
        <v>3693867</v>
      </c>
      <c r="B5811">
        <v>30066</v>
      </c>
      <c r="C5811">
        <v>302436</v>
      </c>
      <c r="D5811">
        <v>21883</v>
      </c>
    </row>
    <row r="5812" spans="1:4" x14ac:dyDescent="0.2">
      <c r="A5812">
        <v>3693867</v>
      </c>
      <c r="B5812">
        <v>30067</v>
      </c>
      <c r="C5812">
        <v>302453</v>
      </c>
      <c r="D5812">
        <v>21883</v>
      </c>
    </row>
    <row r="5813" spans="1:4" x14ac:dyDescent="0.2">
      <c r="A5813">
        <v>3693868</v>
      </c>
      <c r="B5813">
        <v>30061</v>
      </c>
      <c r="C5813">
        <v>302337</v>
      </c>
      <c r="D5813">
        <v>21883</v>
      </c>
    </row>
    <row r="5814" spans="1:4" x14ac:dyDescent="0.2">
      <c r="A5814">
        <v>3693868</v>
      </c>
      <c r="B5814">
        <v>30063</v>
      </c>
      <c r="C5814">
        <v>302357</v>
      </c>
      <c r="D5814">
        <v>21883</v>
      </c>
    </row>
    <row r="5815" spans="1:4" x14ac:dyDescent="0.2">
      <c r="A5815">
        <v>3693868</v>
      </c>
      <c r="B5815">
        <v>30064</v>
      </c>
      <c r="C5815">
        <v>302362</v>
      </c>
      <c r="D5815">
        <v>21883</v>
      </c>
    </row>
    <row r="5816" spans="1:4" x14ac:dyDescent="0.2">
      <c r="A5816">
        <v>3693868</v>
      </c>
      <c r="B5816">
        <v>30065</v>
      </c>
      <c r="C5816">
        <v>302373</v>
      </c>
      <c r="D5816">
        <v>21883</v>
      </c>
    </row>
    <row r="5817" spans="1:4" x14ac:dyDescent="0.2">
      <c r="A5817">
        <v>3693868</v>
      </c>
      <c r="B5817">
        <v>30066</v>
      </c>
      <c r="C5817">
        <v>302436</v>
      </c>
      <c r="D5817">
        <v>21883</v>
      </c>
    </row>
    <row r="5818" spans="1:4" x14ac:dyDescent="0.2">
      <c r="A5818">
        <v>3693868</v>
      </c>
      <c r="B5818">
        <v>30067</v>
      </c>
      <c r="C5818">
        <v>302453</v>
      </c>
      <c r="D5818">
        <v>21883</v>
      </c>
    </row>
    <row r="5819" spans="1:4" x14ac:dyDescent="0.2">
      <c r="A5819">
        <v>3693869</v>
      </c>
      <c r="B5819">
        <v>30061</v>
      </c>
      <c r="C5819">
        <v>302334</v>
      </c>
      <c r="D5819">
        <v>21883</v>
      </c>
    </row>
    <row r="5820" spans="1:4" x14ac:dyDescent="0.2">
      <c r="A5820">
        <v>3693869</v>
      </c>
      <c r="B5820">
        <v>30062</v>
      </c>
      <c r="C5820">
        <v>302355</v>
      </c>
      <c r="D5820">
        <v>21883</v>
      </c>
    </row>
    <row r="5821" spans="1:4" x14ac:dyDescent="0.2">
      <c r="A5821">
        <v>3693869</v>
      </c>
      <c r="B5821">
        <v>30063</v>
      </c>
      <c r="C5821">
        <v>302357</v>
      </c>
      <c r="D5821">
        <v>21883</v>
      </c>
    </row>
    <row r="5822" spans="1:4" x14ac:dyDescent="0.2">
      <c r="A5822">
        <v>3693869</v>
      </c>
      <c r="B5822">
        <v>30064</v>
      </c>
      <c r="C5822">
        <v>302362</v>
      </c>
      <c r="D5822">
        <v>21883</v>
      </c>
    </row>
    <row r="5823" spans="1:4" x14ac:dyDescent="0.2">
      <c r="A5823">
        <v>3693869</v>
      </c>
      <c r="B5823">
        <v>30065</v>
      </c>
      <c r="C5823">
        <v>302331</v>
      </c>
      <c r="D5823">
        <v>21883</v>
      </c>
    </row>
    <row r="5824" spans="1:4" x14ac:dyDescent="0.2">
      <c r="A5824">
        <v>3693869</v>
      </c>
      <c r="B5824">
        <v>30066</v>
      </c>
      <c r="C5824">
        <v>302436</v>
      </c>
      <c r="D5824">
        <v>21883</v>
      </c>
    </row>
    <row r="5825" spans="1:4" x14ac:dyDescent="0.2">
      <c r="A5825">
        <v>3693869</v>
      </c>
      <c r="B5825">
        <v>30067</v>
      </c>
      <c r="C5825">
        <v>302453</v>
      </c>
      <c r="D5825">
        <v>21883</v>
      </c>
    </row>
    <row r="5826" spans="1:4" x14ac:dyDescent="0.2">
      <c r="A5826">
        <v>3693870</v>
      </c>
      <c r="B5826">
        <v>30061</v>
      </c>
      <c r="C5826">
        <v>302337</v>
      </c>
      <c r="D5826">
        <v>21883</v>
      </c>
    </row>
    <row r="5827" spans="1:4" x14ac:dyDescent="0.2">
      <c r="A5827">
        <v>3693870</v>
      </c>
      <c r="B5827">
        <v>30063</v>
      </c>
      <c r="C5827">
        <v>302357</v>
      </c>
      <c r="D5827">
        <v>21883</v>
      </c>
    </row>
    <row r="5828" spans="1:4" x14ac:dyDescent="0.2">
      <c r="A5828">
        <v>3693870</v>
      </c>
      <c r="B5828">
        <v>30064</v>
      </c>
      <c r="C5828">
        <v>302359</v>
      </c>
      <c r="D5828">
        <v>21883</v>
      </c>
    </row>
    <row r="5829" spans="1:4" x14ac:dyDescent="0.2">
      <c r="A5829">
        <v>3693870</v>
      </c>
      <c r="B5829">
        <v>30065</v>
      </c>
      <c r="C5829">
        <v>302373</v>
      </c>
      <c r="D5829">
        <v>21883</v>
      </c>
    </row>
    <row r="5830" spans="1:4" x14ac:dyDescent="0.2">
      <c r="A5830">
        <v>3693870</v>
      </c>
      <c r="B5830">
        <v>30066</v>
      </c>
      <c r="C5830">
        <v>302436</v>
      </c>
      <c r="D5830">
        <v>21883</v>
      </c>
    </row>
    <row r="5831" spans="1:4" x14ac:dyDescent="0.2">
      <c r="A5831">
        <v>3693870</v>
      </c>
      <c r="B5831">
        <v>30067</v>
      </c>
      <c r="C5831">
        <v>302453</v>
      </c>
      <c r="D5831">
        <v>21883</v>
      </c>
    </row>
    <row r="5832" spans="1:4" x14ac:dyDescent="0.2">
      <c r="A5832">
        <v>3693871</v>
      </c>
      <c r="B5832">
        <v>30061</v>
      </c>
      <c r="C5832">
        <v>302337</v>
      </c>
      <c r="D5832">
        <v>21883</v>
      </c>
    </row>
    <row r="5833" spans="1:4" x14ac:dyDescent="0.2">
      <c r="A5833">
        <v>3693871</v>
      </c>
      <c r="B5833">
        <v>30063</v>
      </c>
      <c r="C5833">
        <v>302357</v>
      </c>
      <c r="D5833">
        <v>21883</v>
      </c>
    </row>
    <row r="5834" spans="1:4" x14ac:dyDescent="0.2">
      <c r="A5834">
        <v>3693871</v>
      </c>
      <c r="B5834">
        <v>30064</v>
      </c>
      <c r="C5834">
        <v>302359</v>
      </c>
      <c r="D5834">
        <v>21883</v>
      </c>
    </row>
    <row r="5835" spans="1:4" x14ac:dyDescent="0.2">
      <c r="A5835">
        <v>3693871</v>
      </c>
      <c r="B5835">
        <v>30065</v>
      </c>
      <c r="C5835">
        <v>302373</v>
      </c>
      <c r="D5835">
        <v>21883</v>
      </c>
    </row>
    <row r="5836" spans="1:4" x14ac:dyDescent="0.2">
      <c r="A5836">
        <v>3693871</v>
      </c>
      <c r="B5836">
        <v>30066</v>
      </c>
      <c r="C5836">
        <v>302436</v>
      </c>
      <c r="D5836">
        <v>21883</v>
      </c>
    </row>
    <row r="5837" spans="1:4" x14ac:dyDescent="0.2">
      <c r="A5837">
        <v>3693871</v>
      </c>
      <c r="B5837">
        <v>30067</v>
      </c>
      <c r="C5837">
        <v>302453</v>
      </c>
      <c r="D5837">
        <v>21883</v>
      </c>
    </row>
    <row r="5838" spans="1:4" x14ac:dyDescent="0.2">
      <c r="A5838">
        <v>3693872</v>
      </c>
      <c r="B5838">
        <v>30061</v>
      </c>
      <c r="C5838">
        <v>302337</v>
      </c>
      <c r="D5838">
        <v>21883</v>
      </c>
    </row>
    <row r="5839" spans="1:4" x14ac:dyDescent="0.2">
      <c r="A5839">
        <v>3693872</v>
      </c>
      <c r="B5839">
        <v>30063</v>
      </c>
      <c r="C5839">
        <v>302357</v>
      </c>
      <c r="D5839">
        <v>21883</v>
      </c>
    </row>
    <row r="5840" spans="1:4" x14ac:dyDescent="0.2">
      <c r="A5840">
        <v>3693872</v>
      </c>
      <c r="B5840">
        <v>30064</v>
      </c>
      <c r="C5840">
        <v>302362</v>
      </c>
      <c r="D5840">
        <v>21883</v>
      </c>
    </row>
    <row r="5841" spans="1:4" x14ac:dyDescent="0.2">
      <c r="A5841">
        <v>3693872</v>
      </c>
      <c r="B5841">
        <v>30065</v>
      </c>
      <c r="C5841">
        <v>302373</v>
      </c>
      <c r="D5841">
        <v>21883</v>
      </c>
    </row>
    <row r="5842" spans="1:4" x14ac:dyDescent="0.2">
      <c r="A5842">
        <v>3693872</v>
      </c>
      <c r="B5842">
        <v>30066</v>
      </c>
      <c r="C5842">
        <v>302436</v>
      </c>
      <c r="D5842">
        <v>21883</v>
      </c>
    </row>
    <row r="5843" spans="1:4" x14ac:dyDescent="0.2">
      <c r="A5843">
        <v>3693872</v>
      </c>
      <c r="B5843">
        <v>30067</v>
      </c>
      <c r="C5843">
        <v>302453</v>
      </c>
      <c r="D5843">
        <v>21883</v>
      </c>
    </row>
    <row r="5844" spans="1:4" x14ac:dyDescent="0.2">
      <c r="A5844">
        <v>3693873</v>
      </c>
      <c r="B5844">
        <v>30061</v>
      </c>
      <c r="C5844">
        <v>302337</v>
      </c>
      <c r="D5844">
        <v>21883</v>
      </c>
    </row>
    <row r="5845" spans="1:4" x14ac:dyDescent="0.2">
      <c r="A5845">
        <v>3693873</v>
      </c>
      <c r="B5845">
        <v>30063</v>
      </c>
      <c r="C5845">
        <v>302357</v>
      </c>
      <c r="D5845">
        <v>21883</v>
      </c>
    </row>
    <row r="5846" spans="1:4" x14ac:dyDescent="0.2">
      <c r="A5846">
        <v>3693873</v>
      </c>
      <c r="B5846">
        <v>30064</v>
      </c>
      <c r="C5846">
        <v>302362</v>
      </c>
      <c r="D5846">
        <v>21883</v>
      </c>
    </row>
    <row r="5847" spans="1:4" x14ac:dyDescent="0.2">
      <c r="A5847">
        <v>3693873</v>
      </c>
      <c r="B5847">
        <v>30065</v>
      </c>
      <c r="C5847">
        <v>302373</v>
      </c>
      <c r="D5847">
        <v>21883</v>
      </c>
    </row>
    <row r="5848" spans="1:4" x14ac:dyDescent="0.2">
      <c r="A5848">
        <v>3693873</v>
      </c>
      <c r="B5848">
        <v>30066</v>
      </c>
      <c r="C5848">
        <v>302436</v>
      </c>
      <c r="D5848">
        <v>21883</v>
      </c>
    </row>
    <row r="5849" spans="1:4" x14ac:dyDescent="0.2">
      <c r="A5849">
        <v>3693873</v>
      </c>
      <c r="B5849">
        <v>30067</v>
      </c>
      <c r="C5849">
        <v>302453</v>
      </c>
      <c r="D5849">
        <v>21883</v>
      </c>
    </row>
    <row r="5850" spans="1:4" x14ac:dyDescent="0.2">
      <c r="A5850">
        <v>3693874</v>
      </c>
      <c r="B5850">
        <v>30061</v>
      </c>
      <c r="C5850">
        <v>302337</v>
      </c>
      <c r="D5850">
        <v>21883</v>
      </c>
    </row>
    <row r="5851" spans="1:4" x14ac:dyDescent="0.2">
      <c r="A5851">
        <v>3693874</v>
      </c>
      <c r="B5851">
        <v>30063</v>
      </c>
      <c r="C5851">
        <v>302357</v>
      </c>
      <c r="D5851">
        <v>21883</v>
      </c>
    </row>
    <row r="5852" spans="1:4" x14ac:dyDescent="0.2">
      <c r="A5852">
        <v>3693874</v>
      </c>
      <c r="B5852">
        <v>30064</v>
      </c>
      <c r="C5852">
        <v>302362</v>
      </c>
      <c r="D5852">
        <v>21883</v>
      </c>
    </row>
    <row r="5853" spans="1:4" x14ac:dyDescent="0.2">
      <c r="A5853">
        <v>3693874</v>
      </c>
      <c r="B5853">
        <v>30065</v>
      </c>
      <c r="C5853">
        <v>302373</v>
      </c>
      <c r="D5853">
        <v>21883</v>
      </c>
    </row>
    <row r="5854" spans="1:4" x14ac:dyDescent="0.2">
      <c r="A5854">
        <v>3693874</v>
      </c>
      <c r="B5854">
        <v>30066</v>
      </c>
      <c r="C5854">
        <v>302436</v>
      </c>
      <c r="D5854">
        <v>21883</v>
      </c>
    </row>
    <row r="5855" spans="1:4" x14ac:dyDescent="0.2">
      <c r="A5855">
        <v>3693874</v>
      </c>
      <c r="B5855">
        <v>30067</v>
      </c>
      <c r="C5855">
        <v>302453</v>
      </c>
      <c r="D5855">
        <v>21883</v>
      </c>
    </row>
    <row r="5856" spans="1:4" x14ac:dyDescent="0.2">
      <c r="A5856">
        <v>3693875</v>
      </c>
      <c r="B5856">
        <v>30061</v>
      </c>
      <c r="C5856">
        <v>302333</v>
      </c>
      <c r="D5856">
        <v>21883</v>
      </c>
    </row>
    <row r="5857" spans="1:4" x14ac:dyDescent="0.2">
      <c r="A5857">
        <v>3693875</v>
      </c>
      <c r="B5857">
        <v>30062</v>
      </c>
      <c r="C5857">
        <v>302355</v>
      </c>
      <c r="D5857">
        <v>21883</v>
      </c>
    </row>
    <row r="5858" spans="1:4" x14ac:dyDescent="0.2">
      <c r="A5858">
        <v>3693875</v>
      </c>
      <c r="B5858">
        <v>30063</v>
      </c>
      <c r="C5858">
        <v>302357</v>
      </c>
      <c r="D5858">
        <v>21883</v>
      </c>
    </row>
    <row r="5859" spans="1:4" x14ac:dyDescent="0.2">
      <c r="A5859">
        <v>3693875</v>
      </c>
      <c r="B5859">
        <v>30064</v>
      </c>
      <c r="C5859">
        <v>302382</v>
      </c>
      <c r="D5859">
        <v>21883</v>
      </c>
    </row>
    <row r="5860" spans="1:4" x14ac:dyDescent="0.2">
      <c r="A5860">
        <v>3693875</v>
      </c>
      <c r="B5860">
        <v>30065</v>
      </c>
      <c r="C5860">
        <v>302331</v>
      </c>
      <c r="D5860">
        <v>21883</v>
      </c>
    </row>
    <row r="5861" spans="1:4" x14ac:dyDescent="0.2">
      <c r="A5861">
        <v>3693875</v>
      </c>
      <c r="B5861">
        <v>30066</v>
      </c>
      <c r="C5861">
        <v>302436</v>
      </c>
      <c r="D5861">
        <v>21883</v>
      </c>
    </row>
    <row r="5862" spans="1:4" x14ac:dyDescent="0.2">
      <c r="A5862">
        <v>3693875</v>
      </c>
      <c r="B5862">
        <v>30067</v>
      </c>
      <c r="C5862">
        <v>302456</v>
      </c>
      <c r="D5862">
        <v>21883</v>
      </c>
    </row>
    <row r="5863" spans="1:4" x14ac:dyDescent="0.2">
      <c r="A5863">
        <v>3693876</v>
      </c>
      <c r="B5863">
        <v>30061</v>
      </c>
      <c r="C5863">
        <v>302337</v>
      </c>
      <c r="D5863">
        <v>21883</v>
      </c>
    </row>
    <row r="5864" spans="1:4" x14ac:dyDescent="0.2">
      <c r="A5864">
        <v>3693876</v>
      </c>
      <c r="B5864">
        <v>30063</v>
      </c>
      <c r="C5864">
        <v>302357</v>
      </c>
      <c r="D5864">
        <v>21883</v>
      </c>
    </row>
    <row r="5865" spans="1:4" x14ac:dyDescent="0.2">
      <c r="A5865">
        <v>3693876</v>
      </c>
      <c r="B5865">
        <v>30064</v>
      </c>
      <c r="C5865">
        <v>302369</v>
      </c>
      <c r="D5865">
        <v>21883</v>
      </c>
    </row>
    <row r="5866" spans="1:4" x14ac:dyDescent="0.2">
      <c r="A5866">
        <v>3693876</v>
      </c>
      <c r="B5866">
        <v>30065</v>
      </c>
      <c r="C5866">
        <v>302373</v>
      </c>
      <c r="D5866">
        <v>21883</v>
      </c>
    </row>
    <row r="5867" spans="1:4" x14ac:dyDescent="0.2">
      <c r="A5867">
        <v>3693876</v>
      </c>
      <c r="B5867">
        <v>30066</v>
      </c>
      <c r="C5867">
        <v>302436</v>
      </c>
      <c r="D5867">
        <v>21883</v>
      </c>
    </row>
    <row r="5868" spans="1:4" x14ac:dyDescent="0.2">
      <c r="A5868">
        <v>3693876</v>
      </c>
      <c r="B5868">
        <v>30067</v>
      </c>
      <c r="C5868">
        <v>302456</v>
      </c>
      <c r="D5868">
        <v>21883</v>
      </c>
    </row>
    <row r="5869" spans="1:4" x14ac:dyDescent="0.2">
      <c r="A5869">
        <v>3693877</v>
      </c>
      <c r="B5869">
        <v>30061</v>
      </c>
      <c r="C5869">
        <v>302337</v>
      </c>
      <c r="D5869">
        <v>21883</v>
      </c>
    </row>
    <row r="5870" spans="1:4" x14ac:dyDescent="0.2">
      <c r="A5870">
        <v>3693877</v>
      </c>
      <c r="B5870">
        <v>30063</v>
      </c>
      <c r="C5870">
        <v>302357</v>
      </c>
      <c r="D5870">
        <v>21883</v>
      </c>
    </row>
    <row r="5871" spans="1:4" x14ac:dyDescent="0.2">
      <c r="A5871">
        <v>3693877</v>
      </c>
      <c r="B5871">
        <v>30064</v>
      </c>
      <c r="C5871">
        <v>302419</v>
      </c>
      <c r="D5871">
        <v>21883</v>
      </c>
    </row>
    <row r="5872" spans="1:4" x14ac:dyDescent="0.2">
      <c r="A5872">
        <v>3693877</v>
      </c>
      <c r="B5872">
        <v>30065</v>
      </c>
      <c r="C5872">
        <v>302373</v>
      </c>
      <c r="D5872">
        <v>21883</v>
      </c>
    </row>
    <row r="5873" spans="1:4" x14ac:dyDescent="0.2">
      <c r="A5873">
        <v>3693877</v>
      </c>
      <c r="B5873">
        <v>30066</v>
      </c>
      <c r="C5873">
        <v>302436</v>
      </c>
      <c r="D5873">
        <v>21883</v>
      </c>
    </row>
    <row r="5874" spans="1:4" x14ac:dyDescent="0.2">
      <c r="A5874">
        <v>3693877</v>
      </c>
      <c r="B5874">
        <v>30067</v>
      </c>
      <c r="C5874">
        <v>302456</v>
      </c>
      <c r="D5874">
        <v>21883</v>
      </c>
    </row>
    <row r="5875" spans="1:4" x14ac:dyDescent="0.2">
      <c r="A5875">
        <v>3693878</v>
      </c>
      <c r="B5875">
        <v>30061</v>
      </c>
      <c r="C5875">
        <v>302337</v>
      </c>
      <c r="D5875">
        <v>21883</v>
      </c>
    </row>
    <row r="5876" spans="1:4" x14ac:dyDescent="0.2">
      <c r="A5876">
        <v>3693878</v>
      </c>
      <c r="B5876">
        <v>30063</v>
      </c>
      <c r="C5876">
        <v>302357</v>
      </c>
      <c r="D5876">
        <v>21883</v>
      </c>
    </row>
    <row r="5877" spans="1:4" x14ac:dyDescent="0.2">
      <c r="A5877">
        <v>3693878</v>
      </c>
      <c r="B5877">
        <v>30064</v>
      </c>
      <c r="C5877">
        <v>302369</v>
      </c>
      <c r="D5877">
        <v>21883</v>
      </c>
    </row>
    <row r="5878" spans="1:4" x14ac:dyDescent="0.2">
      <c r="A5878">
        <v>3693878</v>
      </c>
      <c r="B5878">
        <v>30065</v>
      </c>
      <c r="C5878">
        <v>302373</v>
      </c>
      <c r="D5878">
        <v>21883</v>
      </c>
    </row>
    <row r="5879" spans="1:4" x14ac:dyDescent="0.2">
      <c r="A5879">
        <v>3693878</v>
      </c>
      <c r="B5879">
        <v>30066</v>
      </c>
      <c r="C5879">
        <v>302436</v>
      </c>
      <c r="D5879">
        <v>21883</v>
      </c>
    </row>
    <row r="5880" spans="1:4" x14ac:dyDescent="0.2">
      <c r="A5880">
        <v>3693878</v>
      </c>
      <c r="B5880">
        <v>30067</v>
      </c>
      <c r="C5880">
        <v>302456</v>
      </c>
      <c r="D5880">
        <v>21883</v>
      </c>
    </row>
    <row r="5881" spans="1:4" x14ac:dyDescent="0.2">
      <c r="A5881">
        <v>3693879</v>
      </c>
      <c r="B5881">
        <v>30061</v>
      </c>
      <c r="C5881">
        <v>302333</v>
      </c>
      <c r="D5881">
        <v>21883</v>
      </c>
    </row>
    <row r="5882" spans="1:4" x14ac:dyDescent="0.2">
      <c r="A5882">
        <v>3693879</v>
      </c>
      <c r="B5882">
        <v>30062</v>
      </c>
      <c r="C5882">
        <v>302355</v>
      </c>
      <c r="D5882">
        <v>21883</v>
      </c>
    </row>
    <row r="5883" spans="1:4" x14ac:dyDescent="0.2">
      <c r="A5883">
        <v>3693879</v>
      </c>
      <c r="B5883">
        <v>30063</v>
      </c>
      <c r="C5883">
        <v>302357</v>
      </c>
      <c r="D5883">
        <v>21883</v>
      </c>
    </row>
    <row r="5884" spans="1:4" x14ac:dyDescent="0.2">
      <c r="A5884">
        <v>3693879</v>
      </c>
      <c r="B5884">
        <v>30064</v>
      </c>
      <c r="C5884">
        <v>302369</v>
      </c>
      <c r="D5884">
        <v>21883</v>
      </c>
    </row>
    <row r="5885" spans="1:4" x14ac:dyDescent="0.2">
      <c r="A5885">
        <v>3693879</v>
      </c>
      <c r="B5885">
        <v>30065</v>
      </c>
      <c r="C5885">
        <v>302331</v>
      </c>
      <c r="D5885">
        <v>21883</v>
      </c>
    </row>
    <row r="5886" spans="1:4" x14ac:dyDescent="0.2">
      <c r="A5886">
        <v>3693879</v>
      </c>
      <c r="B5886">
        <v>30066</v>
      </c>
      <c r="C5886">
        <v>302436</v>
      </c>
      <c r="D5886">
        <v>21883</v>
      </c>
    </row>
    <row r="5887" spans="1:4" x14ac:dyDescent="0.2">
      <c r="A5887">
        <v>3693879</v>
      </c>
      <c r="B5887">
        <v>30067</v>
      </c>
      <c r="C5887">
        <v>302456</v>
      </c>
      <c r="D5887">
        <v>21883</v>
      </c>
    </row>
    <row r="5888" spans="1:4" x14ac:dyDescent="0.2">
      <c r="A5888">
        <v>3693880</v>
      </c>
      <c r="B5888">
        <v>30061</v>
      </c>
      <c r="C5888">
        <v>302337</v>
      </c>
      <c r="D5888">
        <v>21883</v>
      </c>
    </row>
    <row r="5889" spans="1:4" x14ac:dyDescent="0.2">
      <c r="A5889">
        <v>3693880</v>
      </c>
      <c r="B5889">
        <v>30063</v>
      </c>
      <c r="C5889">
        <v>302357</v>
      </c>
      <c r="D5889">
        <v>21883</v>
      </c>
    </row>
    <row r="5890" spans="1:4" x14ac:dyDescent="0.2">
      <c r="A5890">
        <v>3693880</v>
      </c>
      <c r="B5890">
        <v>30064</v>
      </c>
      <c r="C5890">
        <v>302368</v>
      </c>
      <c r="D5890">
        <v>21883</v>
      </c>
    </row>
    <row r="5891" spans="1:4" x14ac:dyDescent="0.2">
      <c r="A5891">
        <v>3693880</v>
      </c>
      <c r="B5891">
        <v>30065</v>
      </c>
      <c r="C5891">
        <v>302373</v>
      </c>
      <c r="D5891">
        <v>21883</v>
      </c>
    </row>
    <row r="5892" spans="1:4" x14ac:dyDescent="0.2">
      <c r="A5892">
        <v>3693880</v>
      </c>
      <c r="B5892">
        <v>30066</v>
      </c>
      <c r="C5892">
        <v>302436</v>
      </c>
      <c r="D5892">
        <v>21883</v>
      </c>
    </row>
    <row r="5893" spans="1:4" x14ac:dyDescent="0.2">
      <c r="A5893">
        <v>3693880</v>
      </c>
      <c r="B5893">
        <v>30067</v>
      </c>
      <c r="C5893">
        <v>302456</v>
      </c>
      <c r="D5893">
        <v>21883</v>
      </c>
    </row>
    <row r="5894" spans="1:4" x14ac:dyDescent="0.2">
      <c r="A5894">
        <v>3693881</v>
      </c>
      <c r="B5894">
        <v>30063</v>
      </c>
      <c r="C5894">
        <v>302357</v>
      </c>
      <c r="D5894">
        <v>21883</v>
      </c>
    </row>
    <row r="5895" spans="1:4" x14ac:dyDescent="0.2">
      <c r="A5895">
        <v>3693881</v>
      </c>
      <c r="B5895">
        <v>30064</v>
      </c>
      <c r="C5895">
        <v>302382</v>
      </c>
      <c r="D5895">
        <v>21883</v>
      </c>
    </row>
    <row r="5896" spans="1:4" x14ac:dyDescent="0.2">
      <c r="A5896">
        <v>3693881</v>
      </c>
      <c r="B5896">
        <v>30065</v>
      </c>
      <c r="C5896">
        <v>302373</v>
      </c>
      <c r="D5896">
        <v>21883</v>
      </c>
    </row>
    <row r="5897" spans="1:4" x14ac:dyDescent="0.2">
      <c r="A5897">
        <v>3693881</v>
      </c>
      <c r="B5897">
        <v>30066</v>
      </c>
      <c r="C5897">
        <v>302436</v>
      </c>
      <c r="D5897">
        <v>21883</v>
      </c>
    </row>
    <row r="5898" spans="1:4" x14ac:dyDescent="0.2">
      <c r="A5898">
        <v>3693881</v>
      </c>
      <c r="B5898">
        <v>30067</v>
      </c>
      <c r="C5898">
        <v>302456</v>
      </c>
      <c r="D5898">
        <v>21883</v>
      </c>
    </row>
    <row r="5899" spans="1:4" x14ac:dyDescent="0.2">
      <c r="A5899">
        <v>3693882</v>
      </c>
      <c r="B5899">
        <v>30063</v>
      </c>
      <c r="C5899">
        <v>302357</v>
      </c>
      <c r="D5899">
        <v>21883</v>
      </c>
    </row>
    <row r="5900" spans="1:4" x14ac:dyDescent="0.2">
      <c r="A5900">
        <v>3693882</v>
      </c>
      <c r="B5900">
        <v>30064</v>
      </c>
      <c r="C5900">
        <v>302382</v>
      </c>
      <c r="D5900">
        <v>21883</v>
      </c>
    </row>
    <row r="5901" spans="1:4" x14ac:dyDescent="0.2">
      <c r="A5901">
        <v>3693882</v>
      </c>
      <c r="B5901">
        <v>30065</v>
      </c>
      <c r="C5901">
        <v>302373</v>
      </c>
      <c r="D5901">
        <v>21883</v>
      </c>
    </row>
    <row r="5902" spans="1:4" x14ac:dyDescent="0.2">
      <c r="A5902">
        <v>3693882</v>
      </c>
      <c r="B5902">
        <v>30066</v>
      </c>
      <c r="C5902">
        <v>302436</v>
      </c>
      <c r="D5902">
        <v>21883</v>
      </c>
    </row>
    <row r="5903" spans="1:4" x14ac:dyDescent="0.2">
      <c r="A5903">
        <v>3693882</v>
      </c>
      <c r="B5903">
        <v>30067</v>
      </c>
      <c r="C5903">
        <v>302456</v>
      </c>
      <c r="D5903">
        <v>21883</v>
      </c>
    </row>
    <row r="5904" spans="1:4" x14ac:dyDescent="0.2">
      <c r="A5904">
        <v>3693883</v>
      </c>
      <c r="B5904">
        <v>30061</v>
      </c>
      <c r="C5904">
        <v>302337</v>
      </c>
      <c r="D5904">
        <v>21883</v>
      </c>
    </row>
    <row r="5905" spans="1:4" x14ac:dyDescent="0.2">
      <c r="A5905">
        <v>3693883</v>
      </c>
      <c r="B5905">
        <v>30063</v>
      </c>
      <c r="C5905">
        <v>302357</v>
      </c>
      <c r="D5905">
        <v>21883</v>
      </c>
    </row>
    <row r="5906" spans="1:4" x14ac:dyDescent="0.2">
      <c r="A5906">
        <v>3693883</v>
      </c>
      <c r="B5906">
        <v>30064</v>
      </c>
      <c r="C5906">
        <v>302369</v>
      </c>
      <c r="D5906">
        <v>21883</v>
      </c>
    </row>
    <row r="5907" spans="1:4" x14ac:dyDescent="0.2">
      <c r="A5907">
        <v>3693883</v>
      </c>
      <c r="B5907">
        <v>30065</v>
      </c>
      <c r="C5907">
        <v>302373</v>
      </c>
      <c r="D5907">
        <v>21883</v>
      </c>
    </row>
    <row r="5908" spans="1:4" x14ac:dyDescent="0.2">
      <c r="A5908">
        <v>3693883</v>
      </c>
      <c r="B5908">
        <v>30066</v>
      </c>
      <c r="C5908">
        <v>302436</v>
      </c>
      <c r="D5908">
        <v>21883</v>
      </c>
    </row>
    <row r="5909" spans="1:4" x14ac:dyDescent="0.2">
      <c r="A5909">
        <v>3693883</v>
      </c>
      <c r="B5909">
        <v>30067</v>
      </c>
      <c r="C5909">
        <v>302456</v>
      </c>
      <c r="D5909">
        <v>21883</v>
      </c>
    </row>
    <row r="5910" spans="1:4" x14ac:dyDescent="0.2">
      <c r="A5910">
        <v>3693884</v>
      </c>
      <c r="B5910">
        <v>30061</v>
      </c>
      <c r="C5910">
        <v>302337</v>
      </c>
      <c r="D5910">
        <v>21883</v>
      </c>
    </row>
    <row r="5911" spans="1:4" x14ac:dyDescent="0.2">
      <c r="A5911">
        <v>3693884</v>
      </c>
      <c r="B5911">
        <v>30063</v>
      </c>
      <c r="C5911">
        <v>302357</v>
      </c>
      <c r="D5911">
        <v>21883</v>
      </c>
    </row>
    <row r="5912" spans="1:4" x14ac:dyDescent="0.2">
      <c r="A5912">
        <v>3693884</v>
      </c>
      <c r="B5912">
        <v>30064</v>
      </c>
      <c r="C5912">
        <v>302369</v>
      </c>
      <c r="D5912">
        <v>21883</v>
      </c>
    </row>
    <row r="5913" spans="1:4" x14ac:dyDescent="0.2">
      <c r="A5913">
        <v>3693884</v>
      </c>
      <c r="B5913">
        <v>30065</v>
      </c>
      <c r="C5913">
        <v>302373</v>
      </c>
      <c r="D5913">
        <v>21883</v>
      </c>
    </row>
    <row r="5914" spans="1:4" x14ac:dyDescent="0.2">
      <c r="A5914">
        <v>3693884</v>
      </c>
      <c r="B5914">
        <v>30066</v>
      </c>
      <c r="C5914">
        <v>302436</v>
      </c>
      <c r="D5914">
        <v>21883</v>
      </c>
    </row>
    <row r="5915" spans="1:4" x14ac:dyDescent="0.2">
      <c r="A5915">
        <v>3693884</v>
      </c>
      <c r="B5915">
        <v>30067</v>
      </c>
      <c r="C5915">
        <v>302456</v>
      </c>
      <c r="D5915">
        <v>21883</v>
      </c>
    </row>
    <row r="5916" spans="1:4" x14ac:dyDescent="0.2">
      <c r="A5916">
        <v>3693885</v>
      </c>
      <c r="B5916">
        <v>30061</v>
      </c>
      <c r="C5916">
        <v>302337</v>
      </c>
      <c r="D5916">
        <v>21883</v>
      </c>
    </row>
    <row r="5917" spans="1:4" x14ac:dyDescent="0.2">
      <c r="A5917">
        <v>3693885</v>
      </c>
      <c r="B5917">
        <v>30063</v>
      </c>
      <c r="C5917">
        <v>302357</v>
      </c>
      <c r="D5917">
        <v>21883</v>
      </c>
    </row>
    <row r="5918" spans="1:4" x14ac:dyDescent="0.2">
      <c r="A5918">
        <v>3693885</v>
      </c>
      <c r="B5918">
        <v>30064</v>
      </c>
      <c r="C5918">
        <v>302369</v>
      </c>
      <c r="D5918">
        <v>21883</v>
      </c>
    </row>
    <row r="5919" spans="1:4" x14ac:dyDescent="0.2">
      <c r="A5919">
        <v>3693885</v>
      </c>
      <c r="B5919">
        <v>30065</v>
      </c>
      <c r="C5919">
        <v>302373</v>
      </c>
      <c r="D5919">
        <v>21883</v>
      </c>
    </row>
    <row r="5920" spans="1:4" x14ac:dyDescent="0.2">
      <c r="A5920">
        <v>3693885</v>
      </c>
      <c r="B5920">
        <v>30066</v>
      </c>
      <c r="C5920">
        <v>302436</v>
      </c>
      <c r="D5920">
        <v>21883</v>
      </c>
    </row>
    <row r="5921" spans="1:4" x14ac:dyDescent="0.2">
      <c r="A5921">
        <v>3693885</v>
      </c>
      <c r="B5921">
        <v>30067</v>
      </c>
      <c r="C5921">
        <v>302456</v>
      </c>
      <c r="D5921">
        <v>21883</v>
      </c>
    </row>
    <row r="5922" spans="1:4" x14ac:dyDescent="0.2">
      <c r="A5922">
        <v>3693886</v>
      </c>
      <c r="B5922">
        <v>30061</v>
      </c>
      <c r="C5922">
        <v>302337</v>
      </c>
      <c r="D5922">
        <v>21883</v>
      </c>
    </row>
    <row r="5923" spans="1:4" x14ac:dyDescent="0.2">
      <c r="A5923">
        <v>3693886</v>
      </c>
      <c r="B5923">
        <v>30063</v>
      </c>
      <c r="C5923">
        <v>302357</v>
      </c>
      <c r="D5923">
        <v>21883</v>
      </c>
    </row>
    <row r="5924" spans="1:4" x14ac:dyDescent="0.2">
      <c r="A5924">
        <v>3693886</v>
      </c>
      <c r="B5924">
        <v>30064</v>
      </c>
      <c r="C5924">
        <v>302369</v>
      </c>
      <c r="D5924">
        <v>21883</v>
      </c>
    </row>
    <row r="5925" spans="1:4" x14ac:dyDescent="0.2">
      <c r="A5925">
        <v>3693886</v>
      </c>
      <c r="B5925">
        <v>30065</v>
      </c>
      <c r="C5925">
        <v>302373</v>
      </c>
      <c r="D5925">
        <v>21883</v>
      </c>
    </row>
    <row r="5926" spans="1:4" x14ac:dyDescent="0.2">
      <c r="A5926">
        <v>3693886</v>
      </c>
      <c r="B5926">
        <v>30066</v>
      </c>
      <c r="C5926">
        <v>302436</v>
      </c>
      <c r="D5926">
        <v>21883</v>
      </c>
    </row>
    <row r="5927" spans="1:4" x14ac:dyDescent="0.2">
      <c r="A5927">
        <v>3693886</v>
      </c>
      <c r="B5927">
        <v>30067</v>
      </c>
      <c r="C5927">
        <v>302456</v>
      </c>
      <c r="D5927">
        <v>21883</v>
      </c>
    </row>
    <row r="5928" spans="1:4" x14ac:dyDescent="0.2">
      <c r="A5928">
        <v>3693887</v>
      </c>
      <c r="B5928">
        <v>30061</v>
      </c>
      <c r="C5928">
        <v>302337</v>
      </c>
      <c r="D5928">
        <v>21883</v>
      </c>
    </row>
    <row r="5929" spans="1:4" x14ac:dyDescent="0.2">
      <c r="A5929">
        <v>3693887</v>
      </c>
      <c r="B5929">
        <v>30063</v>
      </c>
      <c r="C5929">
        <v>302357</v>
      </c>
      <c r="D5929">
        <v>21883</v>
      </c>
    </row>
    <row r="5930" spans="1:4" x14ac:dyDescent="0.2">
      <c r="A5930">
        <v>3693887</v>
      </c>
      <c r="B5930">
        <v>30064</v>
      </c>
      <c r="C5930">
        <v>302369</v>
      </c>
      <c r="D5930">
        <v>21883</v>
      </c>
    </row>
    <row r="5931" spans="1:4" x14ac:dyDescent="0.2">
      <c r="A5931">
        <v>3693887</v>
      </c>
      <c r="B5931">
        <v>30065</v>
      </c>
      <c r="C5931">
        <v>302373</v>
      </c>
      <c r="D5931">
        <v>21883</v>
      </c>
    </row>
    <row r="5932" spans="1:4" x14ac:dyDescent="0.2">
      <c r="A5932">
        <v>3693887</v>
      </c>
      <c r="B5932">
        <v>30066</v>
      </c>
      <c r="C5932">
        <v>302436</v>
      </c>
      <c r="D5932">
        <v>21883</v>
      </c>
    </row>
    <row r="5933" spans="1:4" x14ac:dyDescent="0.2">
      <c r="A5933">
        <v>3693887</v>
      </c>
      <c r="B5933">
        <v>30067</v>
      </c>
      <c r="C5933">
        <v>302456</v>
      </c>
      <c r="D5933">
        <v>21883</v>
      </c>
    </row>
    <row r="5934" spans="1:4" x14ac:dyDescent="0.2">
      <c r="A5934">
        <v>3693888</v>
      </c>
      <c r="B5934">
        <v>30063</v>
      </c>
      <c r="C5934">
        <v>302357</v>
      </c>
      <c r="D5934">
        <v>21883</v>
      </c>
    </row>
    <row r="5935" spans="1:4" x14ac:dyDescent="0.2">
      <c r="A5935">
        <v>3693888</v>
      </c>
      <c r="B5935">
        <v>30064</v>
      </c>
      <c r="C5935">
        <v>302369</v>
      </c>
      <c r="D5935">
        <v>21883</v>
      </c>
    </row>
    <row r="5936" spans="1:4" x14ac:dyDescent="0.2">
      <c r="A5936">
        <v>3693888</v>
      </c>
      <c r="B5936">
        <v>30065</v>
      </c>
      <c r="C5936">
        <v>302373</v>
      </c>
      <c r="D5936">
        <v>21883</v>
      </c>
    </row>
    <row r="5937" spans="1:4" x14ac:dyDescent="0.2">
      <c r="A5937">
        <v>3693888</v>
      </c>
      <c r="B5937">
        <v>30066</v>
      </c>
      <c r="C5937">
        <v>302436</v>
      </c>
      <c r="D5937">
        <v>21883</v>
      </c>
    </row>
    <row r="5938" spans="1:4" x14ac:dyDescent="0.2">
      <c r="A5938">
        <v>3693888</v>
      </c>
      <c r="B5938">
        <v>30067</v>
      </c>
      <c r="C5938">
        <v>302456</v>
      </c>
      <c r="D5938">
        <v>21883</v>
      </c>
    </row>
    <row r="5939" spans="1:4" x14ac:dyDescent="0.2">
      <c r="A5939">
        <v>3693889</v>
      </c>
      <c r="B5939">
        <v>30063</v>
      </c>
      <c r="C5939">
        <v>302357</v>
      </c>
      <c r="D5939">
        <v>21883</v>
      </c>
    </row>
    <row r="5940" spans="1:4" x14ac:dyDescent="0.2">
      <c r="A5940">
        <v>3693889</v>
      </c>
      <c r="B5940">
        <v>30064</v>
      </c>
      <c r="C5940">
        <v>302369</v>
      </c>
      <c r="D5940">
        <v>21883</v>
      </c>
    </row>
    <row r="5941" spans="1:4" x14ac:dyDescent="0.2">
      <c r="A5941">
        <v>3693889</v>
      </c>
      <c r="B5941">
        <v>30065</v>
      </c>
      <c r="C5941">
        <v>302373</v>
      </c>
      <c r="D5941">
        <v>21883</v>
      </c>
    </row>
    <row r="5942" spans="1:4" x14ac:dyDescent="0.2">
      <c r="A5942">
        <v>3693889</v>
      </c>
      <c r="B5942">
        <v>30066</v>
      </c>
      <c r="C5942">
        <v>302436</v>
      </c>
      <c r="D5942">
        <v>21883</v>
      </c>
    </row>
    <row r="5943" spans="1:4" x14ac:dyDescent="0.2">
      <c r="A5943">
        <v>3693889</v>
      </c>
      <c r="B5943">
        <v>30067</v>
      </c>
      <c r="C5943">
        <v>302456</v>
      </c>
      <c r="D5943">
        <v>21883</v>
      </c>
    </row>
    <row r="5944" spans="1:4" x14ac:dyDescent="0.2">
      <c r="A5944">
        <v>3693890</v>
      </c>
      <c r="B5944">
        <v>30061</v>
      </c>
      <c r="C5944">
        <v>302333</v>
      </c>
      <c r="D5944">
        <v>21883</v>
      </c>
    </row>
    <row r="5945" spans="1:4" x14ac:dyDescent="0.2">
      <c r="A5945">
        <v>3693890</v>
      </c>
      <c r="B5945">
        <v>30062</v>
      </c>
      <c r="C5945">
        <v>302355</v>
      </c>
      <c r="D5945">
        <v>21883</v>
      </c>
    </row>
    <row r="5946" spans="1:4" x14ac:dyDescent="0.2">
      <c r="A5946">
        <v>3693890</v>
      </c>
      <c r="B5946">
        <v>30063</v>
      </c>
      <c r="C5946">
        <v>302357</v>
      </c>
      <c r="D5946">
        <v>21883</v>
      </c>
    </row>
    <row r="5947" spans="1:4" x14ac:dyDescent="0.2">
      <c r="A5947">
        <v>3693890</v>
      </c>
      <c r="B5947">
        <v>30064</v>
      </c>
      <c r="C5947">
        <v>302382</v>
      </c>
      <c r="D5947">
        <v>21883</v>
      </c>
    </row>
    <row r="5948" spans="1:4" x14ac:dyDescent="0.2">
      <c r="A5948">
        <v>3693890</v>
      </c>
      <c r="B5948">
        <v>30065</v>
      </c>
      <c r="C5948">
        <v>302331</v>
      </c>
      <c r="D5948">
        <v>21883</v>
      </c>
    </row>
    <row r="5949" spans="1:4" x14ac:dyDescent="0.2">
      <c r="A5949">
        <v>3693890</v>
      </c>
      <c r="B5949">
        <v>30066</v>
      </c>
      <c r="C5949">
        <v>302436</v>
      </c>
      <c r="D5949">
        <v>21883</v>
      </c>
    </row>
    <row r="5950" spans="1:4" x14ac:dyDescent="0.2">
      <c r="A5950">
        <v>3693890</v>
      </c>
      <c r="B5950">
        <v>30067</v>
      </c>
      <c r="C5950">
        <v>302457</v>
      </c>
      <c r="D5950">
        <v>21883</v>
      </c>
    </row>
    <row r="5951" spans="1:4" x14ac:dyDescent="0.2">
      <c r="A5951">
        <v>3693891</v>
      </c>
      <c r="B5951">
        <v>30063</v>
      </c>
      <c r="C5951">
        <v>302357</v>
      </c>
      <c r="D5951">
        <v>21883</v>
      </c>
    </row>
    <row r="5952" spans="1:4" x14ac:dyDescent="0.2">
      <c r="A5952">
        <v>3693891</v>
      </c>
      <c r="B5952">
        <v>30064</v>
      </c>
      <c r="C5952">
        <v>302369</v>
      </c>
      <c r="D5952">
        <v>21883</v>
      </c>
    </row>
    <row r="5953" spans="1:4" x14ac:dyDescent="0.2">
      <c r="A5953">
        <v>3693891</v>
      </c>
      <c r="B5953">
        <v>30065</v>
      </c>
      <c r="C5953">
        <v>302373</v>
      </c>
      <c r="D5953">
        <v>21883</v>
      </c>
    </row>
    <row r="5954" spans="1:4" x14ac:dyDescent="0.2">
      <c r="A5954">
        <v>3693891</v>
      </c>
      <c r="B5954">
        <v>30066</v>
      </c>
      <c r="C5954">
        <v>302436</v>
      </c>
      <c r="D5954">
        <v>21883</v>
      </c>
    </row>
    <row r="5955" spans="1:4" x14ac:dyDescent="0.2">
      <c r="A5955">
        <v>3693891</v>
      </c>
      <c r="B5955">
        <v>30067</v>
      </c>
      <c r="C5955">
        <v>302457</v>
      </c>
      <c r="D5955">
        <v>21883</v>
      </c>
    </row>
    <row r="5956" spans="1:4" x14ac:dyDescent="0.2">
      <c r="A5956">
        <v>3693892</v>
      </c>
      <c r="B5956">
        <v>30063</v>
      </c>
      <c r="C5956">
        <v>302357</v>
      </c>
      <c r="D5956">
        <v>21883</v>
      </c>
    </row>
    <row r="5957" spans="1:4" x14ac:dyDescent="0.2">
      <c r="A5957">
        <v>3693892</v>
      </c>
      <c r="B5957">
        <v>30064</v>
      </c>
      <c r="C5957">
        <v>302419</v>
      </c>
      <c r="D5957">
        <v>21883</v>
      </c>
    </row>
    <row r="5958" spans="1:4" x14ac:dyDescent="0.2">
      <c r="A5958">
        <v>3693892</v>
      </c>
      <c r="B5958">
        <v>30065</v>
      </c>
      <c r="C5958">
        <v>302373</v>
      </c>
      <c r="D5958">
        <v>21883</v>
      </c>
    </row>
    <row r="5959" spans="1:4" x14ac:dyDescent="0.2">
      <c r="A5959">
        <v>3693892</v>
      </c>
      <c r="B5959">
        <v>30066</v>
      </c>
      <c r="C5959">
        <v>302436</v>
      </c>
      <c r="D5959">
        <v>21883</v>
      </c>
    </row>
    <row r="5960" spans="1:4" x14ac:dyDescent="0.2">
      <c r="A5960">
        <v>3693892</v>
      </c>
      <c r="B5960">
        <v>30067</v>
      </c>
      <c r="C5960">
        <v>302457</v>
      </c>
      <c r="D5960">
        <v>21883</v>
      </c>
    </row>
    <row r="5961" spans="1:4" x14ac:dyDescent="0.2">
      <c r="A5961">
        <v>3693893</v>
      </c>
      <c r="B5961">
        <v>30063</v>
      </c>
      <c r="C5961">
        <v>302357</v>
      </c>
      <c r="D5961">
        <v>21883</v>
      </c>
    </row>
    <row r="5962" spans="1:4" x14ac:dyDescent="0.2">
      <c r="A5962">
        <v>3693893</v>
      </c>
      <c r="B5962">
        <v>30064</v>
      </c>
      <c r="C5962">
        <v>302369</v>
      </c>
      <c r="D5962">
        <v>21883</v>
      </c>
    </row>
    <row r="5963" spans="1:4" x14ac:dyDescent="0.2">
      <c r="A5963">
        <v>3693893</v>
      </c>
      <c r="B5963">
        <v>30065</v>
      </c>
      <c r="C5963">
        <v>302373</v>
      </c>
      <c r="D5963">
        <v>21883</v>
      </c>
    </row>
    <row r="5964" spans="1:4" x14ac:dyDescent="0.2">
      <c r="A5964">
        <v>3693893</v>
      </c>
      <c r="B5964">
        <v>30066</v>
      </c>
      <c r="C5964">
        <v>302436</v>
      </c>
      <c r="D5964">
        <v>21883</v>
      </c>
    </row>
    <row r="5965" spans="1:4" x14ac:dyDescent="0.2">
      <c r="A5965">
        <v>3693893</v>
      </c>
      <c r="B5965">
        <v>30067</v>
      </c>
      <c r="C5965">
        <v>302457</v>
      </c>
      <c r="D5965">
        <v>21883</v>
      </c>
    </row>
    <row r="5966" spans="1:4" x14ac:dyDescent="0.2">
      <c r="A5966">
        <v>3693894</v>
      </c>
      <c r="B5966">
        <v>30061</v>
      </c>
      <c r="C5966">
        <v>302333</v>
      </c>
      <c r="D5966">
        <v>21883</v>
      </c>
    </row>
    <row r="5967" spans="1:4" x14ac:dyDescent="0.2">
      <c r="A5967">
        <v>3693894</v>
      </c>
      <c r="B5967">
        <v>30062</v>
      </c>
      <c r="C5967">
        <v>302355</v>
      </c>
      <c r="D5967">
        <v>21883</v>
      </c>
    </row>
    <row r="5968" spans="1:4" x14ac:dyDescent="0.2">
      <c r="A5968">
        <v>3693894</v>
      </c>
      <c r="B5968">
        <v>30063</v>
      </c>
      <c r="C5968">
        <v>302357</v>
      </c>
      <c r="D5968">
        <v>21883</v>
      </c>
    </row>
    <row r="5969" spans="1:4" x14ac:dyDescent="0.2">
      <c r="A5969">
        <v>3693894</v>
      </c>
      <c r="B5969">
        <v>30064</v>
      </c>
      <c r="C5969">
        <v>302369</v>
      </c>
      <c r="D5969">
        <v>21883</v>
      </c>
    </row>
    <row r="5970" spans="1:4" x14ac:dyDescent="0.2">
      <c r="A5970">
        <v>3693894</v>
      </c>
      <c r="B5970">
        <v>30065</v>
      </c>
      <c r="C5970">
        <v>302331</v>
      </c>
      <c r="D5970">
        <v>21883</v>
      </c>
    </row>
    <row r="5971" spans="1:4" x14ac:dyDescent="0.2">
      <c r="A5971">
        <v>3693894</v>
      </c>
      <c r="B5971">
        <v>30066</v>
      </c>
      <c r="C5971">
        <v>302436</v>
      </c>
      <c r="D5971">
        <v>21883</v>
      </c>
    </row>
    <row r="5972" spans="1:4" x14ac:dyDescent="0.2">
      <c r="A5972">
        <v>3693894</v>
      </c>
      <c r="B5972">
        <v>30067</v>
      </c>
      <c r="C5972">
        <v>302457</v>
      </c>
      <c r="D5972">
        <v>21883</v>
      </c>
    </row>
    <row r="5973" spans="1:4" x14ac:dyDescent="0.2">
      <c r="A5973">
        <v>3693895</v>
      </c>
      <c r="B5973">
        <v>30063</v>
      </c>
      <c r="C5973">
        <v>302357</v>
      </c>
      <c r="D5973">
        <v>21883</v>
      </c>
    </row>
    <row r="5974" spans="1:4" x14ac:dyDescent="0.2">
      <c r="A5974">
        <v>3693895</v>
      </c>
      <c r="B5974">
        <v>30064</v>
      </c>
      <c r="C5974">
        <v>302368</v>
      </c>
      <c r="D5974">
        <v>21883</v>
      </c>
    </row>
    <row r="5975" spans="1:4" x14ac:dyDescent="0.2">
      <c r="A5975">
        <v>3693895</v>
      </c>
      <c r="B5975">
        <v>30065</v>
      </c>
      <c r="C5975">
        <v>302373</v>
      </c>
      <c r="D5975">
        <v>21883</v>
      </c>
    </row>
    <row r="5976" spans="1:4" x14ac:dyDescent="0.2">
      <c r="A5976">
        <v>3693895</v>
      </c>
      <c r="B5976">
        <v>30066</v>
      </c>
      <c r="C5976">
        <v>302436</v>
      </c>
      <c r="D5976">
        <v>21883</v>
      </c>
    </row>
    <row r="5977" spans="1:4" x14ac:dyDescent="0.2">
      <c r="A5977">
        <v>3693895</v>
      </c>
      <c r="B5977">
        <v>30067</v>
      </c>
      <c r="C5977">
        <v>302457</v>
      </c>
      <c r="D5977">
        <v>21883</v>
      </c>
    </row>
    <row r="5978" spans="1:4" x14ac:dyDescent="0.2">
      <c r="A5978">
        <v>3693896</v>
      </c>
      <c r="B5978">
        <v>30063</v>
      </c>
      <c r="C5978">
        <v>302357</v>
      </c>
      <c r="D5978">
        <v>21883</v>
      </c>
    </row>
    <row r="5979" spans="1:4" x14ac:dyDescent="0.2">
      <c r="A5979">
        <v>3693896</v>
      </c>
      <c r="B5979">
        <v>30064</v>
      </c>
      <c r="C5979">
        <v>302382</v>
      </c>
      <c r="D5979">
        <v>21883</v>
      </c>
    </row>
    <row r="5980" spans="1:4" x14ac:dyDescent="0.2">
      <c r="A5980">
        <v>3693896</v>
      </c>
      <c r="B5980">
        <v>30065</v>
      </c>
      <c r="C5980">
        <v>302373</v>
      </c>
      <c r="D5980">
        <v>21883</v>
      </c>
    </row>
    <row r="5981" spans="1:4" x14ac:dyDescent="0.2">
      <c r="A5981">
        <v>3693896</v>
      </c>
      <c r="B5981">
        <v>30066</v>
      </c>
      <c r="C5981">
        <v>302436</v>
      </c>
      <c r="D5981">
        <v>21883</v>
      </c>
    </row>
    <row r="5982" spans="1:4" x14ac:dyDescent="0.2">
      <c r="A5982">
        <v>3693896</v>
      </c>
      <c r="B5982">
        <v>30067</v>
      </c>
      <c r="C5982">
        <v>302457</v>
      </c>
      <c r="D5982">
        <v>21883</v>
      </c>
    </row>
    <row r="5983" spans="1:4" x14ac:dyDescent="0.2">
      <c r="A5983">
        <v>3693897</v>
      </c>
      <c r="B5983">
        <v>30063</v>
      </c>
      <c r="C5983">
        <v>302357</v>
      </c>
      <c r="D5983">
        <v>21883</v>
      </c>
    </row>
    <row r="5984" spans="1:4" x14ac:dyDescent="0.2">
      <c r="A5984">
        <v>3693897</v>
      </c>
      <c r="B5984">
        <v>30064</v>
      </c>
      <c r="C5984">
        <v>302382</v>
      </c>
      <c r="D5984">
        <v>21883</v>
      </c>
    </row>
    <row r="5985" spans="1:4" x14ac:dyDescent="0.2">
      <c r="A5985">
        <v>3693897</v>
      </c>
      <c r="B5985">
        <v>30065</v>
      </c>
      <c r="C5985">
        <v>302373</v>
      </c>
      <c r="D5985">
        <v>21883</v>
      </c>
    </row>
    <row r="5986" spans="1:4" x14ac:dyDescent="0.2">
      <c r="A5986">
        <v>3693897</v>
      </c>
      <c r="B5986">
        <v>30066</v>
      </c>
      <c r="C5986">
        <v>302436</v>
      </c>
      <c r="D5986">
        <v>21883</v>
      </c>
    </row>
    <row r="5987" spans="1:4" x14ac:dyDescent="0.2">
      <c r="A5987">
        <v>3693897</v>
      </c>
      <c r="B5987">
        <v>30067</v>
      </c>
      <c r="C5987">
        <v>302457</v>
      </c>
      <c r="D5987">
        <v>21883</v>
      </c>
    </row>
    <row r="5988" spans="1:4" x14ac:dyDescent="0.2">
      <c r="A5988">
        <v>3693898</v>
      </c>
      <c r="B5988">
        <v>30063</v>
      </c>
      <c r="C5988">
        <v>302357</v>
      </c>
      <c r="D5988">
        <v>21883</v>
      </c>
    </row>
    <row r="5989" spans="1:4" x14ac:dyDescent="0.2">
      <c r="A5989">
        <v>3693898</v>
      </c>
      <c r="B5989">
        <v>30064</v>
      </c>
      <c r="C5989">
        <v>302369</v>
      </c>
      <c r="D5989">
        <v>21883</v>
      </c>
    </row>
    <row r="5990" spans="1:4" x14ac:dyDescent="0.2">
      <c r="A5990">
        <v>3693898</v>
      </c>
      <c r="B5990">
        <v>30065</v>
      </c>
      <c r="C5990">
        <v>302373</v>
      </c>
      <c r="D5990">
        <v>21883</v>
      </c>
    </row>
    <row r="5991" spans="1:4" x14ac:dyDescent="0.2">
      <c r="A5991">
        <v>3693898</v>
      </c>
      <c r="B5991">
        <v>30066</v>
      </c>
      <c r="C5991">
        <v>302436</v>
      </c>
      <c r="D5991">
        <v>21883</v>
      </c>
    </row>
    <row r="5992" spans="1:4" x14ac:dyDescent="0.2">
      <c r="A5992">
        <v>3693898</v>
      </c>
      <c r="B5992">
        <v>30067</v>
      </c>
      <c r="C5992">
        <v>302457</v>
      </c>
      <c r="D5992">
        <v>21883</v>
      </c>
    </row>
    <row r="5993" spans="1:4" x14ac:dyDescent="0.2">
      <c r="A5993">
        <v>3693899</v>
      </c>
      <c r="B5993">
        <v>30063</v>
      </c>
      <c r="C5993">
        <v>302357</v>
      </c>
      <c r="D5993">
        <v>21883</v>
      </c>
    </row>
    <row r="5994" spans="1:4" x14ac:dyDescent="0.2">
      <c r="A5994">
        <v>3693899</v>
      </c>
      <c r="B5994">
        <v>30064</v>
      </c>
      <c r="C5994">
        <v>302369</v>
      </c>
      <c r="D5994">
        <v>21883</v>
      </c>
    </row>
    <row r="5995" spans="1:4" x14ac:dyDescent="0.2">
      <c r="A5995">
        <v>3693899</v>
      </c>
      <c r="B5995">
        <v>30065</v>
      </c>
      <c r="C5995">
        <v>302373</v>
      </c>
      <c r="D5995">
        <v>21883</v>
      </c>
    </row>
    <row r="5996" spans="1:4" x14ac:dyDescent="0.2">
      <c r="A5996">
        <v>3693899</v>
      </c>
      <c r="B5996">
        <v>30066</v>
      </c>
      <c r="C5996">
        <v>302436</v>
      </c>
      <c r="D5996">
        <v>21883</v>
      </c>
    </row>
    <row r="5997" spans="1:4" x14ac:dyDescent="0.2">
      <c r="A5997">
        <v>3693899</v>
      </c>
      <c r="B5997">
        <v>30067</v>
      </c>
      <c r="C5997">
        <v>302457</v>
      </c>
      <c r="D5997">
        <v>21883</v>
      </c>
    </row>
    <row r="5998" spans="1:4" x14ac:dyDescent="0.2">
      <c r="A5998">
        <v>3693900</v>
      </c>
      <c r="B5998">
        <v>30063</v>
      </c>
      <c r="C5998">
        <v>302357</v>
      </c>
      <c r="D5998">
        <v>21883</v>
      </c>
    </row>
    <row r="5999" spans="1:4" x14ac:dyDescent="0.2">
      <c r="A5999">
        <v>3693900</v>
      </c>
      <c r="B5999">
        <v>30064</v>
      </c>
      <c r="C5999">
        <v>302369</v>
      </c>
      <c r="D5999">
        <v>21883</v>
      </c>
    </row>
    <row r="6000" spans="1:4" x14ac:dyDescent="0.2">
      <c r="A6000">
        <v>3693900</v>
      </c>
      <c r="B6000">
        <v>30065</v>
      </c>
      <c r="C6000">
        <v>302373</v>
      </c>
      <c r="D6000">
        <v>21883</v>
      </c>
    </row>
    <row r="6001" spans="1:4" x14ac:dyDescent="0.2">
      <c r="A6001">
        <v>3693900</v>
      </c>
      <c r="B6001">
        <v>30066</v>
      </c>
      <c r="C6001">
        <v>302436</v>
      </c>
      <c r="D6001">
        <v>21883</v>
      </c>
    </row>
    <row r="6002" spans="1:4" x14ac:dyDescent="0.2">
      <c r="A6002">
        <v>3693900</v>
      </c>
      <c r="B6002">
        <v>30067</v>
      </c>
      <c r="C6002">
        <v>302457</v>
      </c>
      <c r="D6002">
        <v>21883</v>
      </c>
    </row>
    <row r="6003" spans="1:4" x14ac:dyDescent="0.2">
      <c r="A6003">
        <v>3693901</v>
      </c>
      <c r="B6003">
        <v>30063</v>
      </c>
      <c r="C6003">
        <v>302357</v>
      </c>
      <c r="D6003">
        <v>21883</v>
      </c>
    </row>
    <row r="6004" spans="1:4" x14ac:dyDescent="0.2">
      <c r="A6004">
        <v>3693901</v>
      </c>
      <c r="B6004">
        <v>30064</v>
      </c>
      <c r="C6004">
        <v>302369</v>
      </c>
      <c r="D6004">
        <v>21883</v>
      </c>
    </row>
    <row r="6005" spans="1:4" x14ac:dyDescent="0.2">
      <c r="A6005">
        <v>3693901</v>
      </c>
      <c r="B6005">
        <v>30065</v>
      </c>
      <c r="C6005">
        <v>302373</v>
      </c>
      <c r="D6005">
        <v>21883</v>
      </c>
    </row>
    <row r="6006" spans="1:4" x14ac:dyDescent="0.2">
      <c r="A6006">
        <v>3693901</v>
      </c>
      <c r="B6006">
        <v>30066</v>
      </c>
      <c r="C6006">
        <v>302436</v>
      </c>
      <c r="D6006">
        <v>21883</v>
      </c>
    </row>
    <row r="6007" spans="1:4" x14ac:dyDescent="0.2">
      <c r="A6007">
        <v>3693901</v>
      </c>
      <c r="B6007">
        <v>30067</v>
      </c>
      <c r="C6007">
        <v>302457</v>
      </c>
      <c r="D6007">
        <v>21883</v>
      </c>
    </row>
    <row r="6008" spans="1:4" x14ac:dyDescent="0.2">
      <c r="A6008">
        <v>3693902</v>
      </c>
      <c r="B6008">
        <v>30063</v>
      </c>
      <c r="C6008">
        <v>302357</v>
      </c>
      <c r="D6008">
        <v>21883</v>
      </c>
    </row>
    <row r="6009" spans="1:4" x14ac:dyDescent="0.2">
      <c r="A6009">
        <v>3693902</v>
      </c>
      <c r="B6009">
        <v>30064</v>
      </c>
      <c r="C6009">
        <v>302369</v>
      </c>
      <c r="D6009">
        <v>21883</v>
      </c>
    </row>
    <row r="6010" spans="1:4" x14ac:dyDescent="0.2">
      <c r="A6010">
        <v>3693902</v>
      </c>
      <c r="B6010">
        <v>30065</v>
      </c>
      <c r="C6010">
        <v>302373</v>
      </c>
      <c r="D6010">
        <v>21883</v>
      </c>
    </row>
    <row r="6011" spans="1:4" x14ac:dyDescent="0.2">
      <c r="A6011">
        <v>3693902</v>
      </c>
      <c r="B6011">
        <v>30066</v>
      </c>
      <c r="C6011">
        <v>302436</v>
      </c>
      <c r="D6011">
        <v>21883</v>
      </c>
    </row>
    <row r="6012" spans="1:4" x14ac:dyDescent="0.2">
      <c r="A6012">
        <v>3693902</v>
      </c>
      <c r="B6012">
        <v>30067</v>
      </c>
      <c r="C6012">
        <v>302457</v>
      </c>
      <c r="D6012">
        <v>21883</v>
      </c>
    </row>
    <row r="6013" spans="1:4" x14ac:dyDescent="0.2">
      <c r="A6013">
        <v>3693903</v>
      </c>
      <c r="B6013">
        <v>30063</v>
      </c>
      <c r="C6013">
        <v>302357</v>
      </c>
      <c r="D6013">
        <v>21883</v>
      </c>
    </row>
    <row r="6014" spans="1:4" x14ac:dyDescent="0.2">
      <c r="A6014">
        <v>3693903</v>
      </c>
      <c r="B6014">
        <v>30064</v>
      </c>
      <c r="C6014">
        <v>302369</v>
      </c>
      <c r="D6014">
        <v>21883</v>
      </c>
    </row>
    <row r="6015" spans="1:4" x14ac:dyDescent="0.2">
      <c r="A6015">
        <v>3693903</v>
      </c>
      <c r="B6015">
        <v>30065</v>
      </c>
      <c r="C6015">
        <v>302373</v>
      </c>
      <c r="D6015">
        <v>21883</v>
      </c>
    </row>
    <row r="6016" spans="1:4" x14ac:dyDescent="0.2">
      <c r="A6016">
        <v>3693903</v>
      </c>
      <c r="B6016">
        <v>30066</v>
      </c>
      <c r="C6016">
        <v>302436</v>
      </c>
      <c r="D6016">
        <v>21883</v>
      </c>
    </row>
    <row r="6017" spans="1:4" x14ac:dyDescent="0.2">
      <c r="A6017">
        <v>3693903</v>
      </c>
      <c r="B6017">
        <v>30067</v>
      </c>
      <c r="C6017">
        <v>302457</v>
      </c>
      <c r="D6017">
        <v>21883</v>
      </c>
    </row>
    <row r="6018" spans="1:4" x14ac:dyDescent="0.2">
      <c r="A6018">
        <v>3693904</v>
      </c>
      <c r="B6018">
        <v>30063</v>
      </c>
      <c r="C6018">
        <v>302357</v>
      </c>
      <c r="D6018">
        <v>21883</v>
      </c>
    </row>
    <row r="6019" spans="1:4" x14ac:dyDescent="0.2">
      <c r="A6019">
        <v>3693904</v>
      </c>
      <c r="B6019">
        <v>30064</v>
      </c>
      <c r="C6019">
        <v>302369</v>
      </c>
      <c r="D6019">
        <v>21883</v>
      </c>
    </row>
    <row r="6020" spans="1:4" x14ac:dyDescent="0.2">
      <c r="A6020">
        <v>3693904</v>
      </c>
      <c r="B6020">
        <v>30065</v>
      </c>
      <c r="C6020">
        <v>302373</v>
      </c>
      <c r="D6020">
        <v>21883</v>
      </c>
    </row>
    <row r="6021" spans="1:4" x14ac:dyDescent="0.2">
      <c r="A6021">
        <v>3693904</v>
      </c>
      <c r="B6021">
        <v>30066</v>
      </c>
      <c r="C6021">
        <v>302436</v>
      </c>
      <c r="D6021">
        <v>21883</v>
      </c>
    </row>
    <row r="6022" spans="1:4" x14ac:dyDescent="0.2">
      <c r="A6022">
        <v>3693904</v>
      </c>
      <c r="B6022">
        <v>30067</v>
      </c>
      <c r="C6022">
        <v>302457</v>
      </c>
      <c r="D6022">
        <v>21883</v>
      </c>
    </row>
    <row r="6023" spans="1:4" x14ac:dyDescent="0.2">
      <c r="A6023">
        <v>3693905</v>
      </c>
      <c r="B6023">
        <v>30061</v>
      </c>
      <c r="C6023">
        <v>302333</v>
      </c>
      <c r="D6023">
        <v>21883</v>
      </c>
    </row>
    <row r="6024" spans="1:4" x14ac:dyDescent="0.2">
      <c r="A6024">
        <v>3693905</v>
      </c>
      <c r="B6024">
        <v>30062</v>
      </c>
      <c r="C6024">
        <v>302355</v>
      </c>
      <c r="D6024">
        <v>21883</v>
      </c>
    </row>
    <row r="6025" spans="1:4" x14ac:dyDescent="0.2">
      <c r="A6025">
        <v>3693905</v>
      </c>
      <c r="B6025">
        <v>30063</v>
      </c>
      <c r="C6025">
        <v>302357</v>
      </c>
      <c r="D6025">
        <v>21883</v>
      </c>
    </row>
    <row r="6026" spans="1:4" x14ac:dyDescent="0.2">
      <c r="A6026">
        <v>3693905</v>
      </c>
      <c r="B6026">
        <v>30064</v>
      </c>
      <c r="C6026">
        <v>302382</v>
      </c>
      <c r="D6026">
        <v>21883</v>
      </c>
    </row>
    <row r="6027" spans="1:4" x14ac:dyDescent="0.2">
      <c r="A6027">
        <v>3693905</v>
      </c>
      <c r="B6027">
        <v>30065</v>
      </c>
      <c r="C6027">
        <v>302331</v>
      </c>
      <c r="D6027">
        <v>21883</v>
      </c>
    </row>
    <row r="6028" spans="1:4" x14ac:dyDescent="0.2">
      <c r="A6028">
        <v>3693905</v>
      </c>
      <c r="B6028">
        <v>30066</v>
      </c>
      <c r="C6028">
        <v>302436</v>
      </c>
      <c r="D6028">
        <v>21883</v>
      </c>
    </row>
    <row r="6029" spans="1:4" x14ac:dyDescent="0.2">
      <c r="A6029">
        <v>3693905</v>
      </c>
      <c r="B6029">
        <v>30067</v>
      </c>
      <c r="C6029">
        <v>302458</v>
      </c>
      <c r="D6029">
        <v>21883</v>
      </c>
    </row>
    <row r="6030" spans="1:4" x14ac:dyDescent="0.2">
      <c r="A6030">
        <v>3693906</v>
      </c>
      <c r="B6030">
        <v>30063</v>
      </c>
      <c r="C6030">
        <v>302357</v>
      </c>
      <c r="D6030">
        <v>21883</v>
      </c>
    </row>
    <row r="6031" spans="1:4" x14ac:dyDescent="0.2">
      <c r="A6031">
        <v>3693906</v>
      </c>
      <c r="B6031">
        <v>30064</v>
      </c>
      <c r="C6031">
        <v>302369</v>
      </c>
      <c r="D6031">
        <v>21883</v>
      </c>
    </row>
    <row r="6032" spans="1:4" x14ac:dyDescent="0.2">
      <c r="A6032">
        <v>3693906</v>
      </c>
      <c r="B6032">
        <v>30065</v>
      </c>
      <c r="C6032">
        <v>302373</v>
      </c>
      <c r="D6032">
        <v>21883</v>
      </c>
    </row>
    <row r="6033" spans="1:4" x14ac:dyDescent="0.2">
      <c r="A6033">
        <v>3693906</v>
      </c>
      <c r="B6033">
        <v>30066</v>
      </c>
      <c r="C6033">
        <v>302436</v>
      </c>
      <c r="D6033">
        <v>21883</v>
      </c>
    </row>
    <row r="6034" spans="1:4" x14ac:dyDescent="0.2">
      <c r="A6034">
        <v>3693906</v>
      </c>
      <c r="B6034">
        <v>30067</v>
      </c>
      <c r="C6034">
        <v>302458</v>
      </c>
      <c r="D6034">
        <v>21883</v>
      </c>
    </row>
    <row r="6035" spans="1:4" x14ac:dyDescent="0.2">
      <c r="A6035">
        <v>3693907</v>
      </c>
      <c r="B6035">
        <v>30063</v>
      </c>
      <c r="C6035">
        <v>302357</v>
      </c>
      <c r="D6035">
        <v>21883</v>
      </c>
    </row>
    <row r="6036" spans="1:4" x14ac:dyDescent="0.2">
      <c r="A6036">
        <v>3693907</v>
      </c>
      <c r="B6036">
        <v>30064</v>
      </c>
      <c r="C6036">
        <v>302419</v>
      </c>
      <c r="D6036">
        <v>21883</v>
      </c>
    </row>
    <row r="6037" spans="1:4" x14ac:dyDescent="0.2">
      <c r="A6037">
        <v>3693907</v>
      </c>
      <c r="B6037">
        <v>30065</v>
      </c>
      <c r="C6037">
        <v>302373</v>
      </c>
      <c r="D6037">
        <v>21883</v>
      </c>
    </row>
    <row r="6038" spans="1:4" x14ac:dyDescent="0.2">
      <c r="A6038">
        <v>3693907</v>
      </c>
      <c r="B6038">
        <v>30066</v>
      </c>
      <c r="C6038">
        <v>302436</v>
      </c>
      <c r="D6038">
        <v>21883</v>
      </c>
    </row>
    <row r="6039" spans="1:4" x14ac:dyDescent="0.2">
      <c r="A6039">
        <v>3693907</v>
      </c>
      <c r="B6039">
        <v>30067</v>
      </c>
      <c r="C6039">
        <v>302458</v>
      </c>
      <c r="D6039">
        <v>21883</v>
      </c>
    </row>
    <row r="6040" spans="1:4" x14ac:dyDescent="0.2">
      <c r="A6040">
        <v>3693908</v>
      </c>
      <c r="B6040">
        <v>30063</v>
      </c>
      <c r="C6040">
        <v>302357</v>
      </c>
      <c r="D6040">
        <v>21883</v>
      </c>
    </row>
    <row r="6041" spans="1:4" x14ac:dyDescent="0.2">
      <c r="A6041">
        <v>3693908</v>
      </c>
      <c r="B6041">
        <v>30064</v>
      </c>
      <c r="C6041">
        <v>302369</v>
      </c>
      <c r="D6041">
        <v>21883</v>
      </c>
    </row>
    <row r="6042" spans="1:4" x14ac:dyDescent="0.2">
      <c r="A6042">
        <v>3693908</v>
      </c>
      <c r="B6042">
        <v>30065</v>
      </c>
      <c r="C6042">
        <v>302373</v>
      </c>
      <c r="D6042">
        <v>21883</v>
      </c>
    </row>
    <row r="6043" spans="1:4" x14ac:dyDescent="0.2">
      <c r="A6043">
        <v>3693908</v>
      </c>
      <c r="B6043">
        <v>30066</v>
      </c>
      <c r="C6043">
        <v>302436</v>
      </c>
      <c r="D6043">
        <v>21883</v>
      </c>
    </row>
    <row r="6044" spans="1:4" x14ac:dyDescent="0.2">
      <c r="A6044">
        <v>3693908</v>
      </c>
      <c r="B6044">
        <v>30067</v>
      </c>
      <c r="C6044">
        <v>302458</v>
      </c>
      <c r="D6044">
        <v>21883</v>
      </c>
    </row>
    <row r="6045" spans="1:4" x14ac:dyDescent="0.2">
      <c r="A6045">
        <v>3693909</v>
      </c>
      <c r="B6045">
        <v>30061</v>
      </c>
      <c r="C6045">
        <v>302333</v>
      </c>
      <c r="D6045">
        <v>21883</v>
      </c>
    </row>
    <row r="6046" spans="1:4" x14ac:dyDescent="0.2">
      <c r="A6046">
        <v>3693909</v>
      </c>
      <c r="B6046">
        <v>30062</v>
      </c>
      <c r="C6046">
        <v>302355</v>
      </c>
      <c r="D6046">
        <v>21883</v>
      </c>
    </row>
    <row r="6047" spans="1:4" x14ac:dyDescent="0.2">
      <c r="A6047">
        <v>3693909</v>
      </c>
      <c r="B6047">
        <v>30063</v>
      </c>
      <c r="C6047">
        <v>302357</v>
      </c>
      <c r="D6047">
        <v>21883</v>
      </c>
    </row>
    <row r="6048" spans="1:4" x14ac:dyDescent="0.2">
      <c r="A6048">
        <v>3693909</v>
      </c>
      <c r="B6048">
        <v>30064</v>
      </c>
      <c r="C6048">
        <v>302369</v>
      </c>
      <c r="D6048">
        <v>21883</v>
      </c>
    </row>
    <row r="6049" spans="1:4" x14ac:dyDescent="0.2">
      <c r="A6049">
        <v>3693909</v>
      </c>
      <c r="B6049">
        <v>30065</v>
      </c>
      <c r="C6049">
        <v>302331</v>
      </c>
      <c r="D6049">
        <v>21883</v>
      </c>
    </row>
    <row r="6050" spans="1:4" x14ac:dyDescent="0.2">
      <c r="A6050">
        <v>3693909</v>
      </c>
      <c r="B6050">
        <v>30066</v>
      </c>
      <c r="C6050">
        <v>302436</v>
      </c>
      <c r="D6050">
        <v>21883</v>
      </c>
    </row>
    <row r="6051" spans="1:4" x14ac:dyDescent="0.2">
      <c r="A6051">
        <v>3693909</v>
      </c>
      <c r="B6051">
        <v>30067</v>
      </c>
      <c r="C6051">
        <v>302458</v>
      </c>
      <c r="D6051">
        <v>21883</v>
      </c>
    </row>
    <row r="6052" spans="1:4" x14ac:dyDescent="0.2">
      <c r="A6052">
        <v>3693910</v>
      </c>
      <c r="B6052">
        <v>30063</v>
      </c>
      <c r="C6052">
        <v>302357</v>
      </c>
      <c r="D6052">
        <v>21883</v>
      </c>
    </row>
    <row r="6053" spans="1:4" x14ac:dyDescent="0.2">
      <c r="A6053">
        <v>3693910</v>
      </c>
      <c r="B6053">
        <v>30064</v>
      </c>
      <c r="C6053">
        <v>302368</v>
      </c>
      <c r="D6053">
        <v>21883</v>
      </c>
    </row>
    <row r="6054" spans="1:4" x14ac:dyDescent="0.2">
      <c r="A6054">
        <v>3693910</v>
      </c>
      <c r="B6054">
        <v>30065</v>
      </c>
      <c r="C6054">
        <v>302373</v>
      </c>
      <c r="D6054">
        <v>21883</v>
      </c>
    </row>
    <row r="6055" spans="1:4" x14ac:dyDescent="0.2">
      <c r="A6055">
        <v>3693910</v>
      </c>
      <c r="B6055">
        <v>30066</v>
      </c>
      <c r="C6055">
        <v>302436</v>
      </c>
      <c r="D6055">
        <v>21883</v>
      </c>
    </row>
    <row r="6056" spans="1:4" x14ac:dyDescent="0.2">
      <c r="A6056">
        <v>3693910</v>
      </c>
      <c r="B6056">
        <v>30067</v>
      </c>
      <c r="C6056">
        <v>302458</v>
      </c>
      <c r="D6056">
        <v>21883</v>
      </c>
    </row>
    <row r="6057" spans="1:4" x14ac:dyDescent="0.2">
      <c r="A6057">
        <v>3693911</v>
      </c>
      <c r="B6057">
        <v>30063</v>
      </c>
      <c r="C6057">
        <v>302357</v>
      </c>
      <c r="D6057">
        <v>21883</v>
      </c>
    </row>
    <row r="6058" spans="1:4" x14ac:dyDescent="0.2">
      <c r="A6058">
        <v>3693911</v>
      </c>
      <c r="B6058">
        <v>30064</v>
      </c>
      <c r="C6058">
        <v>302382</v>
      </c>
      <c r="D6058">
        <v>21883</v>
      </c>
    </row>
    <row r="6059" spans="1:4" x14ac:dyDescent="0.2">
      <c r="A6059">
        <v>3693911</v>
      </c>
      <c r="B6059">
        <v>30065</v>
      </c>
      <c r="C6059">
        <v>302373</v>
      </c>
      <c r="D6059">
        <v>21883</v>
      </c>
    </row>
    <row r="6060" spans="1:4" x14ac:dyDescent="0.2">
      <c r="A6060">
        <v>3693911</v>
      </c>
      <c r="B6060">
        <v>30066</v>
      </c>
      <c r="C6060">
        <v>302436</v>
      </c>
      <c r="D6060">
        <v>21883</v>
      </c>
    </row>
    <row r="6061" spans="1:4" x14ac:dyDescent="0.2">
      <c r="A6061">
        <v>3693911</v>
      </c>
      <c r="B6061">
        <v>30067</v>
      </c>
      <c r="C6061">
        <v>302458</v>
      </c>
      <c r="D6061">
        <v>21883</v>
      </c>
    </row>
    <row r="6062" spans="1:4" x14ac:dyDescent="0.2">
      <c r="A6062">
        <v>3693912</v>
      </c>
      <c r="B6062">
        <v>30063</v>
      </c>
      <c r="C6062">
        <v>302357</v>
      </c>
      <c r="D6062">
        <v>21883</v>
      </c>
    </row>
    <row r="6063" spans="1:4" x14ac:dyDescent="0.2">
      <c r="A6063">
        <v>3693912</v>
      </c>
      <c r="B6063">
        <v>30064</v>
      </c>
      <c r="C6063">
        <v>302382</v>
      </c>
      <c r="D6063">
        <v>21883</v>
      </c>
    </row>
    <row r="6064" spans="1:4" x14ac:dyDescent="0.2">
      <c r="A6064">
        <v>3693912</v>
      </c>
      <c r="B6064">
        <v>30065</v>
      </c>
      <c r="C6064">
        <v>302373</v>
      </c>
      <c r="D6064">
        <v>21883</v>
      </c>
    </row>
    <row r="6065" spans="1:4" x14ac:dyDescent="0.2">
      <c r="A6065">
        <v>3693912</v>
      </c>
      <c r="B6065">
        <v>30066</v>
      </c>
      <c r="C6065">
        <v>302436</v>
      </c>
      <c r="D6065">
        <v>21883</v>
      </c>
    </row>
    <row r="6066" spans="1:4" x14ac:dyDescent="0.2">
      <c r="A6066">
        <v>3693912</v>
      </c>
      <c r="B6066">
        <v>30067</v>
      </c>
      <c r="C6066">
        <v>302458</v>
      </c>
      <c r="D6066">
        <v>21883</v>
      </c>
    </row>
    <row r="6067" spans="1:4" x14ac:dyDescent="0.2">
      <c r="A6067">
        <v>3693913</v>
      </c>
      <c r="B6067">
        <v>30063</v>
      </c>
      <c r="C6067">
        <v>302357</v>
      </c>
      <c r="D6067">
        <v>21883</v>
      </c>
    </row>
    <row r="6068" spans="1:4" x14ac:dyDescent="0.2">
      <c r="A6068">
        <v>3693913</v>
      </c>
      <c r="B6068">
        <v>30064</v>
      </c>
      <c r="C6068">
        <v>302369</v>
      </c>
      <c r="D6068">
        <v>21883</v>
      </c>
    </row>
    <row r="6069" spans="1:4" x14ac:dyDescent="0.2">
      <c r="A6069">
        <v>3693913</v>
      </c>
      <c r="B6069">
        <v>30065</v>
      </c>
      <c r="C6069">
        <v>302373</v>
      </c>
      <c r="D6069">
        <v>21883</v>
      </c>
    </row>
    <row r="6070" spans="1:4" x14ac:dyDescent="0.2">
      <c r="A6070">
        <v>3693913</v>
      </c>
      <c r="B6070">
        <v>30066</v>
      </c>
      <c r="C6070">
        <v>302436</v>
      </c>
      <c r="D6070">
        <v>21883</v>
      </c>
    </row>
    <row r="6071" spans="1:4" x14ac:dyDescent="0.2">
      <c r="A6071">
        <v>3693913</v>
      </c>
      <c r="B6071">
        <v>30067</v>
      </c>
      <c r="C6071">
        <v>302458</v>
      </c>
      <c r="D6071">
        <v>21883</v>
      </c>
    </row>
    <row r="6072" spans="1:4" x14ac:dyDescent="0.2">
      <c r="A6072">
        <v>3693914</v>
      </c>
      <c r="B6072">
        <v>30063</v>
      </c>
      <c r="C6072">
        <v>302357</v>
      </c>
      <c r="D6072">
        <v>21883</v>
      </c>
    </row>
    <row r="6073" spans="1:4" x14ac:dyDescent="0.2">
      <c r="A6073">
        <v>3693914</v>
      </c>
      <c r="B6073">
        <v>30064</v>
      </c>
      <c r="C6073">
        <v>302369</v>
      </c>
      <c r="D6073">
        <v>21883</v>
      </c>
    </row>
    <row r="6074" spans="1:4" x14ac:dyDescent="0.2">
      <c r="A6074">
        <v>3693914</v>
      </c>
      <c r="B6074">
        <v>30065</v>
      </c>
      <c r="C6074">
        <v>302373</v>
      </c>
      <c r="D6074">
        <v>21883</v>
      </c>
    </row>
    <row r="6075" spans="1:4" x14ac:dyDescent="0.2">
      <c r="A6075">
        <v>3693914</v>
      </c>
      <c r="B6075">
        <v>30066</v>
      </c>
      <c r="C6075">
        <v>302436</v>
      </c>
      <c r="D6075">
        <v>21883</v>
      </c>
    </row>
    <row r="6076" spans="1:4" x14ac:dyDescent="0.2">
      <c r="A6076">
        <v>3693914</v>
      </c>
      <c r="B6076">
        <v>30067</v>
      </c>
      <c r="C6076">
        <v>302458</v>
      </c>
      <c r="D6076">
        <v>21883</v>
      </c>
    </row>
    <row r="6077" spans="1:4" x14ac:dyDescent="0.2">
      <c r="A6077">
        <v>3693915</v>
      </c>
      <c r="B6077">
        <v>30063</v>
      </c>
      <c r="C6077">
        <v>302357</v>
      </c>
      <c r="D6077">
        <v>21883</v>
      </c>
    </row>
    <row r="6078" spans="1:4" x14ac:dyDescent="0.2">
      <c r="A6078">
        <v>3693915</v>
      </c>
      <c r="B6078">
        <v>30064</v>
      </c>
      <c r="C6078">
        <v>302369</v>
      </c>
      <c r="D6078">
        <v>21883</v>
      </c>
    </row>
    <row r="6079" spans="1:4" x14ac:dyDescent="0.2">
      <c r="A6079">
        <v>3693915</v>
      </c>
      <c r="B6079">
        <v>30065</v>
      </c>
      <c r="C6079">
        <v>302373</v>
      </c>
      <c r="D6079">
        <v>21883</v>
      </c>
    </row>
    <row r="6080" spans="1:4" x14ac:dyDescent="0.2">
      <c r="A6080">
        <v>3693915</v>
      </c>
      <c r="B6080">
        <v>30066</v>
      </c>
      <c r="C6080">
        <v>302436</v>
      </c>
      <c r="D6080">
        <v>21883</v>
      </c>
    </row>
    <row r="6081" spans="1:4" x14ac:dyDescent="0.2">
      <c r="A6081">
        <v>3693915</v>
      </c>
      <c r="B6081">
        <v>30067</v>
      </c>
      <c r="C6081">
        <v>302458</v>
      </c>
      <c r="D6081">
        <v>21883</v>
      </c>
    </row>
    <row r="6082" spans="1:4" x14ac:dyDescent="0.2">
      <c r="A6082">
        <v>3693916</v>
      </c>
      <c r="B6082">
        <v>30063</v>
      </c>
      <c r="C6082">
        <v>302357</v>
      </c>
      <c r="D6082">
        <v>21883</v>
      </c>
    </row>
    <row r="6083" spans="1:4" x14ac:dyDescent="0.2">
      <c r="A6083">
        <v>3693916</v>
      </c>
      <c r="B6083">
        <v>30064</v>
      </c>
      <c r="C6083">
        <v>302369</v>
      </c>
      <c r="D6083">
        <v>21883</v>
      </c>
    </row>
    <row r="6084" spans="1:4" x14ac:dyDescent="0.2">
      <c r="A6084">
        <v>3693916</v>
      </c>
      <c r="B6084">
        <v>30065</v>
      </c>
      <c r="C6084">
        <v>302373</v>
      </c>
      <c r="D6084">
        <v>21883</v>
      </c>
    </row>
    <row r="6085" spans="1:4" x14ac:dyDescent="0.2">
      <c r="A6085">
        <v>3693916</v>
      </c>
      <c r="B6085">
        <v>30066</v>
      </c>
      <c r="C6085">
        <v>302436</v>
      </c>
      <c r="D6085">
        <v>21883</v>
      </c>
    </row>
    <row r="6086" spans="1:4" x14ac:dyDescent="0.2">
      <c r="A6086">
        <v>3693916</v>
      </c>
      <c r="B6086">
        <v>30067</v>
      </c>
      <c r="C6086">
        <v>302458</v>
      </c>
      <c r="D6086">
        <v>21883</v>
      </c>
    </row>
    <row r="6087" spans="1:4" x14ac:dyDescent="0.2">
      <c r="A6087">
        <v>3693917</v>
      </c>
      <c r="B6087">
        <v>30063</v>
      </c>
      <c r="C6087">
        <v>302357</v>
      </c>
      <c r="D6087">
        <v>21883</v>
      </c>
    </row>
    <row r="6088" spans="1:4" x14ac:dyDescent="0.2">
      <c r="A6088">
        <v>3693917</v>
      </c>
      <c r="B6088">
        <v>30064</v>
      </c>
      <c r="C6088">
        <v>302369</v>
      </c>
      <c r="D6088">
        <v>21883</v>
      </c>
    </row>
    <row r="6089" spans="1:4" x14ac:dyDescent="0.2">
      <c r="A6089">
        <v>3693917</v>
      </c>
      <c r="B6089">
        <v>30065</v>
      </c>
      <c r="C6089">
        <v>302373</v>
      </c>
      <c r="D6089">
        <v>21883</v>
      </c>
    </row>
    <row r="6090" spans="1:4" x14ac:dyDescent="0.2">
      <c r="A6090">
        <v>3693917</v>
      </c>
      <c r="B6090">
        <v>30066</v>
      </c>
      <c r="C6090">
        <v>302436</v>
      </c>
      <c r="D6090">
        <v>21883</v>
      </c>
    </row>
    <row r="6091" spans="1:4" x14ac:dyDescent="0.2">
      <c r="A6091">
        <v>3693917</v>
      </c>
      <c r="B6091">
        <v>30067</v>
      </c>
      <c r="C6091">
        <v>302458</v>
      </c>
      <c r="D6091">
        <v>21883</v>
      </c>
    </row>
    <row r="6092" spans="1:4" x14ac:dyDescent="0.2">
      <c r="A6092">
        <v>3693918</v>
      </c>
      <c r="B6092">
        <v>30063</v>
      </c>
      <c r="C6092">
        <v>302357</v>
      </c>
      <c r="D6092">
        <v>21883</v>
      </c>
    </row>
    <row r="6093" spans="1:4" x14ac:dyDescent="0.2">
      <c r="A6093">
        <v>3693918</v>
      </c>
      <c r="B6093">
        <v>30064</v>
      </c>
      <c r="C6093">
        <v>302369</v>
      </c>
      <c r="D6093">
        <v>21883</v>
      </c>
    </row>
    <row r="6094" spans="1:4" x14ac:dyDescent="0.2">
      <c r="A6094">
        <v>3693918</v>
      </c>
      <c r="B6094">
        <v>30065</v>
      </c>
      <c r="C6094">
        <v>302373</v>
      </c>
      <c r="D6094">
        <v>21883</v>
      </c>
    </row>
    <row r="6095" spans="1:4" x14ac:dyDescent="0.2">
      <c r="A6095">
        <v>3693918</v>
      </c>
      <c r="B6095">
        <v>30066</v>
      </c>
      <c r="C6095">
        <v>302436</v>
      </c>
      <c r="D6095">
        <v>21883</v>
      </c>
    </row>
    <row r="6096" spans="1:4" x14ac:dyDescent="0.2">
      <c r="A6096">
        <v>3693918</v>
      </c>
      <c r="B6096">
        <v>30067</v>
      </c>
      <c r="C6096">
        <v>302458</v>
      </c>
      <c r="D6096">
        <v>21883</v>
      </c>
    </row>
    <row r="6097" spans="1:4" x14ac:dyDescent="0.2">
      <c r="A6097">
        <v>3693919</v>
      </c>
      <c r="B6097">
        <v>30063</v>
      </c>
      <c r="C6097">
        <v>302357</v>
      </c>
      <c r="D6097">
        <v>21883</v>
      </c>
    </row>
    <row r="6098" spans="1:4" x14ac:dyDescent="0.2">
      <c r="A6098">
        <v>3693919</v>
      </c>
      <c r="B6098">
        <v>30064</v>
      </c>
      <c r="C6098">
        <v>302369</v>
      </c>
      <c r="D6098">
        <v>21883</v>
      </c>
    </row>
    <row r="6099" spans="1:4" x14ac:dyDescent="0.2">
      <c r="A6099">
        <v>3693919</v>
      </c>
      <c r="B6099">
        <v>30065</v>
      </c>
      <c r="C6099">
        <v>302373</v>
      </c>
      <c r="D6099">
        <v>21883</v>
      </c>
    </row>
    <row r="6100" spans="1:4" x14ac:dyDescent="0.2">
      <c r="A6100">
        <v>3693919</v>
      </c>
      <c r="B6100">
        <v>30066</v>
      </c>
      <c r="C6100">
        <v>302436</v>
      </c>
      <c r="D6100">
        <v>21883</v>
      </c>
    </row>
    <row r="6101" spans="1:4" x14ac:dyDescent="0.2">
      <c r="A6101">
        <v>3693919</v>
      </c>
      <c r="B6101">
        <v>30067</v>
      </c>
      <c r="C6101">
        <v>302458</v>
      </c>
      <c r="D6101">
        <v>21883</v>
      </c>
    </row>
    <row r="6102" spans="1:4" x14ac:dyDescent="0.2">
      <c r="A6102">
        <v>3693920</v>
      </c>
      <c r="B6102">
        <v>30061</v>
      </c>
      <c r="C6102">
        <v>302333</v>
      </c>
      <c r="D6102">
        <v>21883</v>
      </c>
    </row>
    <row r="6103" spans="1:4" x14ac:dyDescent="0.2">
      <c r="A6103">
        <v>3693920</v>
      </c>
      <c r="B6103">
        <v>30062</v>
      </c>
      <c r="C6103">
        <v>302355</v>
      </c>
      <c r="D6103">
        <v>21883</v>
      </c>
    </row>
    <row r="6104" spans="1:4" x14ac:dyDescent="0.2">
      <c r="A6104">
        <v>3693920</v>
      </c>
      <c r="B6104">
        <v>30063</v>
      </c>
      <c r="C6104">
        <v>302357</v>
      </c>
      <c r="D6104">
        <v>21883</v>
      </c>
    </row>
    <row r="6105" spans="1:4" x14ac:dyDescent="0.2">
      <c r="A6105">
        <v>3693920</v>
      </c>
      <c r="B6105">
        <v>30064</v>
      </c>
      <c r="C6105">
        <v>302382</v>
      </c>
      <c r="D6105">
        <v>21883</v>
      </c>
    </row>
    <row r="6106" spans="1:4" x14ac:dyDescent="0.2">
      <c r="A6106">
        <v>3693920</v>
      </c>
      <c r="B6106">
        <v>30065</v>
      </c>
      <c r="C6106">
        <v>302331</v>
      </c>
      <c r="D6106">
        <v>21883</v>
      </c>
    </row>
    <row r="6107" spans="1:4" x14ac:dyDescent="0.2">
      <c r="A6107">
        <v>3693920</v>
      </c>
      <c r="B6107">
        <v>30066</v>
      </c>
      <c r="C6107">
        <v>302436</v>
      </c>
      <c r="D6107">
        <v>21883</v>
      </c>
    </row>
    <row r="6108" spans="1:4" x14ac:dyDescent="0.2">
      <c r="A6108">
        <v>3693920</v>
      </c>
      <c r="B6108">
        <v>30067</v>
      </c>
      <c r="C6108">
        <v>302459</v>
      </c>
      <c r="D6108">
        <v>21883</v>
      </c>
    </row>
    <row r="6109" spans="1:4" x14ac:dyDescent="0.2">
      <c r="A6109">
        <v>3693921</v>
      </c>
      <c r="B6109">
        <v>30063</v>
      </c>
      <c r="C6109">
        <v>302357</v>
      </c>
      <c r="D6109">
        <v>21883</v>
      </c>
    </row>
    <row r="6110" spans="1:4" x14ac:dyDescent="0.2">
      <c r="A6110">
        <v>3693921</v>
      </c>
      <c r="B6110">
        <v>30064</v>
      </c>
      <c r="C6110">
        <v>302369</v>
      </c>
      <c r="D6110">
        <v>21883</v>
      </c>
    </row>
    <row r="6111" spans="1:4" x14ac:dyDescent="0.2">
      <c r="A6111">
        <v>3693921</v>
      </c>
      <c r="B6111">
        <v>30065</v>
      </c>
      <c r="C6111">
        <v>302373</v>
      </c>
      <c r="D6111">
        <v>21883</v>
      </c>
    </row>
    <row r="6112" spans="1:4" x14ac:dyDescent="0.2">
      <c r="A6112">
        <v>3693921</v>
      </c>
      <c r="B6112">
        <v>30066</v>
      </c>
      <c r="C6112">
        <v>302436</v>
      </c>
      <c r="D6112">
        <v>21883</v>
      </c>
    </row>
    <row r="6113" spans="1:4" x14ac:dyDescent="0.2">
      <c r="A6113">
        <v>3693921</v>
      </c>
      <c r="B6113">
        <v>30067</v>
      </c>
      <c r="C6113">
        <v>302459</v>
      </c>
      <c r="D6113">
        <v>21883</v>
      </c>
    </row>
    <row r="6114" spans="1:4" x14ac:dyDescent="0.2">
      <c r="A6114">
        <v>3693922</v>
      </c>
      <c r="B6114">
        <v>30063</v>
      </c>
      <c r="C6114">
        <v>302357</v>
      </c>
      <c r="D6114">
        <v>21883</v>
      </c>
    </row>
    <row r="6115" spans="1:4" x14ac:dyDescent="0.2">
      <c r="A6115">
        <v>3693922</v>
      </c>
      <c r="B6115">
        <v>30064</v>
      </c>
      <c r="C6115">
        <v>302419</v>
      </c>
      <c r="D6115">
        <v>21883</v>
      </c>
    </row>
    <row r="6116" spans="1:4" x14ac:dyDescent="0.2">
      <c r="A6116">
        <v>3693922</v>
      </c>
      <c r="B6116">
        <v>30065</v>
      </c>
      <c r="C6116">
        <v>302373</v>
      </c>
      <c r="D6116">
        <v>21883</v>
      </c>
    </row>
    <row r="6117" spans="1:4" x14ac:dyDescent="0.2">
      <c r="A6117">
        <v>3693922</v>
      </c>
      <c r="B6117">
        <v>30066</v>
      </c>
      <c r="C6117">
        <v>302436</v>
      </c>
      <c r="D6117">
        <v>21883</v>
      </c>
    </row>
    <row r="6118" spans="1:4" x14ac:dyDescent="0.2">
      <c r="A6118">
        <v>3693922</v>
      </c>
      <c r="B6118">
        <v>30067</v>
      </c>
      <c r="C6118">
        <v>302459</v>
      </c>
      <c r="D6118">
        <v>21883</v>
      </c>
    </row>
    <row r="6119" spans="1:4" x14ac:dyDescent="0.2">
      <c r="A6119">
        <v>3693923</v>
      </c>
      <c r="B6119">
        <v>30063</v>
      </c>
      <c r="C6119">
        <v>302357</v>
      </c>
      <c r="D6119">
        <v>21883</v>
      </c>
    </row>
    <row r="6120" spans="1:4" x14ac:dyDescent="0.2">
      <c r="A6120">
        <v>3693923</v>
      </c>
      <c r="B6120">
        <v>30064</v>
      </c>
      <c r="C6120">
        <v>302369</v>
      </c>
      <c r="D6120">
        <v>21883</v>
      </c>
    </row>
    <row r="6121" spans="1:4" x14ac:dyDescent="0.2">
      <c r="A6121">
        <v>3693923</v>
      </c>
      <c r="B6121">
        <v>30065</v>
      </c>
      <c r="C6121">
        <v>302373</v>
      </c>
      <c r="D6121">
        <v>21883</v>
      </c>
    </row>
    <row r="6122" spans="1:4" x14ac:dyDescent="0.2">
      <c r="A6122">
        <v>3693923</v>
      </c>
      <c r="B6122">
        <v>30066</v>
      </c>
      <c r="C6122">
        <v>302436</v>
      </c>
      <c r="D6122">
        <v>21883</v>
      </c>
    </row>
    <row r="6123" spans="1:4" x14ac:dyDescent="0.2">
      <c r="A6123">
        <v>3693923</v>
      </c>
      <c r="B6123">
        <v>30067</v>
      </c>
      <c r="C6123">
        <v>302459</v>
      </c>
      <c r="D6123">
        <v>21883</v>
      </c>
    </row>
    <row r="6124" spans="1:4" x14ac:dyDescent="0.2">
      <c r="A6124">
        <v>3693924</v>
      </c>
      <c r="B6124">
        <v>30061</v>
      </c>
      <c r="C6124">
        <v>302333</v>
      </c>
      <c r="D6124">
        <v>21883</v>
      </c>
    </row>
    <row r="6125" spans="1:4" x14ac:dyDescent="0.2">
      <c r="A6125">
        <v>3693924</v>
      </c>
      <c r="B6125">
        <v>30062</v>
      </c>
      <c r="C6125">
        <v>302355</v>
      </c>
      <c r="D6125">
        <v>21883</v>
      </c>
    </row>
    <row r="6126" spans="1:4" x14ac:dyDescent="0.2">
      <c r="A6126">
        <v>3693924</v>
      </c>
      <c r="B6126">
        <v>30063</v>
      </c>
      <c r="C6126">
        <v>302357</v>
      </c>
      <c r="D6126">
        <v>21883</v>
      </c>
    </row>
    <row r="6127" spans="1:4" x14ac:dyDescent="0.2">
      <c r="A6127">
        <v>3693924</v>
      </c>
      <c r="B6127">
        <v>30064</v>
      </c>
      <c r="C6127">
        <v>302369</v>
      </c>
      <c r="D6127">
        <v>21883</v>
      </c>
    </row>
    <row r="6128" spans="1:4" x14ac:dyDescent="0.2">
      <c r="A6128">
        <v>3693924</v>
      </c>
      <c r="B6128">
        <v>30065</v>
      </c>
      <c r="C6128">
        <v>302331</v>
      </c>
      <c r="D6128">
        <v>21883</v>
      </c>
    </row>
    <row r="6129" spans="1:4" x14ac:dyDescent="0.2">
      <c r="A6129">
        <v>3693924</v>
      </c>
      <c r="B6129">
        <v>30066</v>
      </c>
      <c r="C6129">
        <v>302436</v>
      </c>
      <c r="D6129">
        <v>21883</v>
      </c>
    </row>
    <row r="6130" spans="1:4" x14ac:dyDescent="0.2">
      <c r="A6130">
        <v>3693924</v>
      </c>
      <c r="B6130">
        <v>30067</v>
      </c>
      <c r="C6130">
        <v>302459</v>
      </c>
      <c r="D6130">
        <v>21883</v>
      </c>
    </row>
    <row r="6131" spans="1:4" x14ac:dyDescent="0.2">
      <c r="A6131">
        <v>3693925</v>
      </c>
      <c r="B6131">
        <v>30063</v>
      </c>
      <c r="C6131">
        <v>302357</v>
      </c>
      <c r="D6131">
        <v>21883</v>
      </c>
    </row>
    <row r="6132" spans="1:4" x14ac:dyDescent="0.2">
      <c r="A6132">
        <v>3693925</v>
      </c>
      <c r="B6132">
        <v>30064</v>
      </c>
      <c r="C6132">
        <v>302368</v>
      </c>
      <c r="D6132">
        <v>21883</v>
      </c>
    </row>
    <row r="6133" spans="1:4" x14ac:dyDescent="0.2">
      <c r="A6133">
        <v>3693925</v>
      </c>
      <c r="B6133">
        <v>30065</v>
      </c>
      <c r="C6133">
        <v>302373</v>
      </c>
      <c r="D6133">
        <v>21883</v>
      </c>
    </row>
    <row r="6134" spans="1:4" x14ac:dyDescent="0.2">
      <c r="A6134">
        <v>3693925</v>
      </c>
      <c r="B6134">
        <v>30066</v>
      </c>
      <c r="C6134">
        <v>302436</v>
      </c>
      <c r="D6134">
        <v>21883</v>
      </c>
    </row>
    <row r="6135" spans="1:4" x14ac:dyDescent="0.2">
      <c r="A6135">
        <v>3693925</v>
      </c>
      <c r="B6135">
        <v>30067</v>
      </c>
      <c r="C6135">
        <v>302459</v>
      </c>
      <c r="D6135">
        <v>21883</v>
      </c>
    </row>
    <row r="6136" spans="1:4" x14ac:dyDescent="0.2">
      <c r="A6136">
        <v>3693926</v>
      </c>
      <c r="B6136">
        <v>30063</v>
      </c>
      <c r="C6136">
        <v>302357</v>
      </c>
      <c r="D6136">
        <v>21883</v>
      </c>
    </row>
    <row r="6137" spans="1:4" x14ac:dyDescent="0.2">
      <c r="A6137">
        <v>3693926</v>
      </c>
      <c r="B6137">
        <v>30064</v>
      </c>
      <c r="C6137">
        <v>302382</v>
      </c>
      <c r="D6137">
        <v>21883</v>
      </c>
    </row>
    <row r="6138" spans="1:4" x14ac:dyDescent="0.2">
      <c r="A6138">
        <v>3693926</v>
      </c>
      <c r="B6138">
        <v>30065</v>
      </c>
      <c r="C6138">
        <v>302373</v>
      </c>
      <c r="D6138">
        <v>21883</v>
      </c>
    </row>
    <row r="6139" spans="1:4" x14ac:dyDescent="0.2">
      <c r="A6139">
        <v>3693926</v>
      </c>
      <c r="B6139">
        <v>30066</v>
      </c>
      <c r="C6139">
        <v>302436</v>
      </c>
      <c r="D6139">
        <v>21883</v>
      </c>
    </row>
    <row r="6140" spans="1:4" x14ac:dyDescent="0.2">
      <c r="A6140">
        <v>3693926</v>
      </c>
      <c r="B6140">
        <v>30067</v>
      </c>
      <c r="C6140">
        <v>302459</v>
      </c>
      <c r="D6140">
        <v>21883</v>
      </c>
    </row>
    <row r="6141" spans="1:4" x14ac:dyDescent="0.2">
      <c r="A6141">
        <v>3693927</v>
      </c>
      <c r="B6141">
        <v>30063</v>
      </c>
      <c r="C6141">
        <v>302357</v>
      </c>
      <c r="D6141">
        <v>21883</v>
      </c>
    </row>
    <row r="6142" spans="1:4" x14ac:dyDescent="0.2">
      <c r="A6142">
        <v>3693927</v>
      </c>
      <c r="B6142">
        <v>30064</v>
      </c>
      <c r="C6142">
        <v>302382</v>
      </c>
      <c r="D6142">
        <v>21883</v>
      </c>
    </row>
    <row r="6143" spans="1:4" x14ac:dyDescent="0.2">
      <c r="A6143">
        <v>3693927</v>
      </c>
      <c r="B6143">
        <v>30065</v>
      </c>
      <c r="C6143">
        <v>302373</v>
      </c>
      <c r="D6143">
        <v>21883</v>
      </c>
    </row>
    <row r="6144" spans="1:4" x14ac:dyDescent="0.2">
      <c r="A6144">
        <v>3693927</v>
      </c>
      <c r="B6144">
        <v>30066</v>
      </c>
      <c r="C6144">
        <v>302436</v>
      </c>
      <c r="D6144">
        <v>21883</v>
      </c>
    </row>
    <row r="6145" spans="1:4" x14ac:dyDescent="0.2">
      <c r="A6145">
        <v>3693927</v>
      </c>
      <c r="B6145">
        <v>30067</v>
      </c>
      <c r="C6145">
        <v>302459</v>
      </c>
      <c r="D6145">
        <v>21883</v>
      </c>
    </row>
    <row r="6146" spans="1:4" x14ac:dyDescent="0.2">
      <c r="A6146">
        <v>3693928</v>
      </c>
      <c r="B6146">
        <v>30063</v>
      </c>
      <c r="C6146">
        <v>302357</v>
      </c>
      <c r="D6146">
        <v>21883</v>
      </c>
    </row>
    <row r="6147" spans="1:4" x14ac:dyDescent="0.2">
      <c r="A6147">
        <v>3693928</v>
      </c>
      <c r="B6147">
        <v>30064</v>
      </c>
      <c r="C6147">
        <v>302369</v>
      </c>
      <c r="D6147">
        <v>21883</v>
      </c>
    </row>
    <row r="6148" spans="1:4" x14ac:dyDescent="0.2">
      <c r="A6148">
        <v>3693928</v>
      </c>
      <c r="B6148">
        <v>30065</v>
      </c>
      <c r="C6148">
        <v>302373</v>
      </c>
      <c r="D6148">
        <v>21883</v>
      </c>
    </row>
    <row r="6149" spans="1:4" x14ac:dyDescent="0.2">
      <c r="A6149">
        <v>3693928</v>
      </c>
      <c r="B6149">
        <v>30066</v>
      </c>
      <c r="C6149">
        <v>302436</v>
      </c>
      <c r="D6149">
        <v>21883</v>
      </c>
    </row>
    <row r="6150" spans="1:4" x14ac:dyDescent="0.2">
      <c r="A6150">
        <v>3693928</v>
      </c>
      <c r="B6150">
        <v>30067</v>
      </c>
      <c r="C6150">
        <v>302459</v>
      </c>
      <c r="D6150">
        <v>21883</v>
      </c>
    </row>
    <row r="6151" spans="1:4" x14ac:dyDescent="0.2">
      <c r="A6151">
        <v>3693929</v>
      </c>
      <c r="B6151">
        <v>30063</v>
      </c>
      <c r="C6151">
        <v>302357</v>
      </c>
      <c r="D6151">
        <v>21883</v>
      </c>
    </row>
    <row r="6152" spans="1:4" x14ac:dyDescent="0.2">
      <c r="A6152">
        <v>3693929</v>
      </c>
      <c r="B6152">
        <v>30064</v>
      </c>
      <c r="C6152">
        <v>302369</v>
      </c>
      <c r="D6152">
        <v>21883</v>
      </c>
    </row>
    <row r="6153" spans="1:4" x14ac:dyDescent="0.2">
      <c r="A6153">
        <v>3693929</v>
      </c>
      <c r="B6153">
        <v>30065</v>
      </c>
      <c r="C6153">
        <v>302373</v>
      </c>
      <c r="D6153">
        <v>21883</v>
      </c>
    </row>
    <row r="6154" spans="1:4" x14ac:dyDescent="0.2">
      <c r="A6154">
        <v>3693929</v>
      </c>
      <c r="B6154">
        <v>30066</v>
      </c>
      <c r="C6154">
        <v>302436</v>
      </c>
      <c r="D6154">
        <v>21883</v>
      </c>
    </row>
    <row r="6155" spans="1:4" x14ac:dyDescent="0.2">
      <c r="A6155">
        <v>3693929</v>
      </c>
      <c r="B6155">
        <v>30067</v>
      </c>
      <c r="C6155">
        <v>302459</v>
      </c>
      <c r="D6155">
        <v>21883</v>
      </c>
    </row>
    <row r="6156" spans="1:4" x14ac:dyDescent="0.2">
      <c r="A6156">
        <v>3693930</v>
      </c>
      <c r="B6156">
        <v>30063</v>
      </c>
      <c r="C6156">
        <v>302357</v>
      </c>
      <c r="D6156">
        <v>21883</v>
      </c>
    </row>
    <row r="6157" spans="1:4" x14ac:dyDescent="0.2">
      <c r="A6157">
        <v>3693930</v>
      </c>
      <c r="B6157">
        <v>30064</v>
      </c>
      <c r="C6157">
        <v>302369</v>
      </c>
      <c r="D6157">
        <v>21883</v>
      </c>
    </row>
    <row r="6158" spans="1:4" x14ac:dyDescent="0.2">
      <c r="A6158">
        <v>3693930</v>
      </c>
      <c r="B6158">
        <v>30065</v>
      </c>
      <c r="C6158">
        <v>302373</v>
      </c>
      <c r="D6158">
        <v>21883</v>
      </c>
    </row>
    <row r="6159" spans="1:4" x14ac:dyDescent="0.2">
      <c r="A6159">
        <v>3693930</v>
      </c>
      <c r="B6159">
        <v>30066</v>
      </c>
      <c r="C6159">
        <v>302436</v>
      </c>
      <c r="D6159">
        <v>21883</v>
      </c>
    </row>
    <row r="6160" spans="1:4" x14ac:dyDescent="0.2">
      <c r="A6160">
        <v>3693930</v>
      </c>
      <c r="B6160">
        <v>30067</v>
      </c>
      <c r="C6160">
        <v>302459</v>
      </c>
      <c r="D6160">
        <v>21883</v>
      </c>
    </row>
    <row r="6161" spans="1:4" x14ac:dyDescent="0.2">
      <c r="A6161">
        <v>3693931</v>
      </c>
      <c r="B6161">
        <v>30063</v>
      </c>
      <c r="C6161">
        <v>302357</v>
      </c>
      <c r="D6161">
        <v>21883</v>
      </c>
    </row>
    <row r="6162" spans="1:4" x14ac:dyDescent="0.2">
      <c r="A6162">
        <v>3693931</v>
      </c>
      <c r="B6162">
        <v>30064</v>
      </c>
      <c r="C6162">
        <v>302369</v>
      </c>
      <c r="D6162">
        <v>21883</v>
      </c>
    </row>
    <row r="6163" spans="1:4" x14ac:dyDescent="0.2">
      <c r="A6163">
        <v>3693931</v>
      </c>
      <c r="B6163">
        <v>30065</v>
      </c>
      <c r="C6163">
        <v>302373</v>
      </c>
      <c r="D6163">
        <v>21883</v>
      </c>
    </row>
    <row r="6164" spans="1:4" x14ac:dyDescent="0.2">
      <c r="A6164">
        <v>3693931</v>
      </c>
      <c r="B6164">
        <v>30066</v>
      </c>
      <c r="C6164">
        <v>302436</v>
      </c>
      <c r="D6164">
        <v>21883</v>
      </c>
    </row>
    <row r="6165" spans="1:4" x14ac:dyDescent="0.2">
      <c r="A6165">
        <v>3693931</v>
      </c>
      <c r="B6165">
        <v>30067</v>
      </c>
      <c r="C6165">
        <v>302459</v>
      </c>
      <c r="D6165">
        <v>21883</v>
      </c>
    </row>
    <row r="6166" spans="1:4" x14ac:dyDescent="0.2">
      <c r="A6166">
        <v>3693932</v>
      </c>
      <c r="B6166">
        <v>30063</v>
      </c>
      <c r="C6166">
        <v>302357</v>
      </c>
      <c r="D6166">
        <v>21883</v>
      </c>
    </row>
    <row r="6167" spans="1:4" x14ac:dyDescent="0.2">
      <c r="A6167">
        <v>3693932</v>
      </c>
      <c r="B6167">
        <v>30064</v>
      </c>
      <c r="C6167">
        <v>302369</v>
      </c>
      <c r="D6167">
        <v>21883</v>
      </c>
    </row>
    <row r="6168" spans="1:4" x14ac:dyDescent="0.2">
      <c r="A6168">
        <v>3693932</v>
      </c>
      <c r="B6168">
        <v>30065</v>
      </c>
      <c r="C6168">
        <v>302373</v>
      </c>
      <c r="D6168">
        <v>21883</v>
      </c>
    </row>
    <row r="6169" spans="1:4" x14ac:dyDescent="0.2">
      <c r="A6169">
        <v>3693932</v>
      </c>
      <c r="B6169">
        <v>30066</v>
      </c>
      <c r="C6169">
        <v>302436</v>
      </c>
      <c r="D6169">
        <v>21883</v>
      </c>
    </row>
    <row r="6170" spans="1:4" x14ac:dyDescent="0.2">
      <c r="A6170">
        <v>3693932</v>
      </c>
      <c r="B6170">
        <v>30067</v>
      </c>
      <c r="C6170">
        <v>302459</v>
      </c>
      <c r="D6170">
        <v>21883</v>
      </c>
    </row>
    <row r="6171" spans="1:4" x14ac:dyDescent="0.2">
      <c r="A6171">
        <v>3693933</v>
      </c>
      <c r="B6171">
        <v>30063</v>
      </c>
      <c r="C6171">
        <v>302357</v>
      </c>
      <c r="D6171">
        <v>21883</v>
      </c>
    </row>
    <row r="6172" spans="1:4" x14ac:dyDescent="0.2">
      <c r="A6172">
        <v>3693933</v>
      </c>
      <c r="B6172">
        <v>30064</v>
      </c>
      <c r="C6172">
        <v>302369</v>
      </c>
      <c r="D6172">
        <v>21883</v>
      </c>
    </row>
    <row r="6173" spans="1:4" x14ac:dyDescent="0.2">
      <c r="A6173">
        <v>3693933</v>
      </c>
      <c r="B6173">
        <v>30065</v>
      </c>
      <c r="C6173">
        <v>302373</v>
      </c>
      <c r="D6173">
        <v>21883</v>
      </c>
    </row>
    <row r="6174" spans="1:4" x14ac:dyDescent="0.2">
      <c r="A6174">
        <v>3693933</v>
      </c>
      <c r="B6174">
        <v>30066</v>
      </c>
      <c r="C6174">
        <v>302436</v>
      </c>
      <c r="D6174">
        <v>21883</v>
      </c>
    </row>
    <row r="6175" spans="1:4" x14ac:dyDescent="0.2">
      <c r="A6175">
        <v>3693933</v>
      </c>
      <c r="B6175">
        <v>30067</v>
      </c>
      <c r="C6175">
        <v>302459</v>
      </c>
      <c r="D6175">
        <v>21883</v>
      </c>
    </row>
    <row r="6176" spans="1:4" x14ac:dyDescent="0.2">
      <c r="A6176">
        <v>3693934</v>
      </c>
      <c r="B6176">
        <v>30063</v>
      </c>
      <c r="C6176">
        <v>302357</v>
      </c>
      <c r="D6176">
        <v>21883</v>
      </c>
    </row>
    <row r="6177" spans="1:4" x14ac:dyDescent="0.2">
      <c r="A6177">
        <v>3693934</v>
      </c>
      <c r="B6177">
        <v>30064</v>
      </c>
      <c r="C6177">
        <v>302369</v>
      </c>
      <c r="D6177">
        <v>21883</v>
      </c>
    </row>
    <row r="6178" spans="1:4" x14ac:dyDescent="0.2">
      <c r="A6178">
        <v>3693934</v>
      </c>
      <c r="B6178">
        <v>30065</v>
      </c>
      <c r="C6178">
        <v>302373</v>
      </c>
      <c r="D6178">
        <v>21883</v>
      </c>
    </row>
    <row r="6179" spans="1:4" x14ac:dyDescent="0.2">
      <c r="A6179">
        <v>3693934</v>
      </c>
      <c r="B6179">
        <v>30066</v>
      </c>
      <c r="C6179">
        <v>302436</v>
      </c>
      <c r="D6179">
        <v>21883</v>
      </c>
    </row>
    <row r="6180" spans="1:4" x14ac:dyDescent="0.2">
      <c r="A6180">
        <v>3693934</v>
      </c>
      <c r="B6180">
        <v>30067</v>
      </c>
      <c r="C6180">
        <v>302459</v>
      </c>
      <c r="D6180">
        <v>21883</v>
      </c>
    </row>
    <row r="6181" spans="1:4" x14ac:dyDescent="0.2">
      <c r="A6181">
        <v>3693935</v>
      </c>
      <c r="B6181">
        <v>30061</v>
      </c>
      <c r="C6181">
        <v>302333</v>
      </c>
      <c r="D6181">
        <v>21883</v>
      </c>
    </row>
    <row r="6182" spans="1:4" x14ac:dyDescent="0.2">
      <c r="A6182">
        <v>3693935</v>
      </c>
      <c r="B6182">
        <v>30062</v>
      </c>
      <c r="C6182">
        <v>302355</v>
      </c>
      <c r="D6182">
        <v>21883</v>
      </c>
    </row>
    <row r="6183" spans="1:4" x14ac:dyDescent="0.2">
      <c r="A6183">
        <v>3693935</v>
      </c>
      <c r="B6183">
        <v>30063</v>
      </c>
      <c r="C6183">
        <v>302357</v>
      </c>
      <c r="D6183">
        <v>21883</v>
      </c>
    </row>
    <row r="6184" spans="1:4" x14ac:dyDescent="0.2">
      <c r="A6184">
        <v>3693935</v>
      </c>
      <c r="B6184">
        <v>30064</v>
      </c>
      <c r="C6184">
        <v>302382</v>
      </c>
      <c r="D6184">
        <v>21883</v>
      </c>
    </row>
    <row r="6185" spans="1:4" x14ac:dyDescent="0.2">
      <c r="A6185">
        <v>3693935</v>
      </c>
      <c r="B6185">
        <v>30065</v>
      </c>
      <c r="C6185">
        <v>302331</v>
      </c>
      <c r="D6185">
        <v>21883</v>
      </c>
    </row>
    <row r="6186" spans="1:4" x14ac:dyDescent="0.2">
      <c r="A6186">
        <v>3693935</v>
      </c>
      <c r="B6186">
        <v>30066</v>
      </c>
      <c r="C6186">
        <v>302436</v>
      </c>
      <c r="D6186">
        <v>21883</v>
      </c>
    </row>
    <row r="6187" spans="1:4" x14ac:dyDescent="0.2">
      <c r="A6187">
        <v>3693935</v>
      </c>
      <c r="B6187">
        <v>30067</v>
      </c>
      <c r="C6187">
        <v>302460</v>
      </c>
      <c r="D6187">
        <v>21883</v>
      </c>
    </row>
    <row r="6188" spans="1:4" x14ac:dyDescent="0.2">
      <c r="A6188">
        <v>3693936</v>
      </c>
      <c r="B6188">
        <v>30063</v>
      </c>
      <c r="C6188">
        <v>302357</v>
      </c>
      <c r="D6188">
        <v>21883</v>
      </c>
    </row>
    <row r="6189" spans="1:4" x14ac:dyDescent="0.2">
      <c r="A6189">
        <v>3693936</v>
      </c>
      <c r="B6189">
        <v>30064</v>
      </c>
      <c r="C6189">
        <v>302369</v>
      </c>
      <c r="D6189">
        <v>21883</v>
      </c>
    </row>
    <row r="6190" spans="1:4" x14ac:dyDescent="0.2">
      <c r="A6190">
        <v>3693936</v>
      </c>
      <c r="B6190">
        <v>30065</v>
      </c>
      <c r="C6190">
        <v>302373</v>
      </c>
      <c r="D6190">
        <v>21883</v>
      </c>
    </row>
    <row r="6191" spans="1:4" x14ac:dyDescent="0.2">
      <c r="A6191">
        <v>3693936</v>
      </c>
      <c r="B6191">
        <v>30066</v>
      </c>
      <c r="C6191">
        <v>302436</v>
      </c>
      <c r="D6191">
        <v>21883</v>
      </c>
    </row>
    <row r="6192" spans="1:4" x14ac:dyDescent="0.2">
      <c r="A6192">
        <v>3693936</v>
      </c>
      <c r="B6192">
        <v>30067</v>
      </c>
      <c r="C6192">
        <v>302460</v>
      </c>
      <c r="D6192">
        <v>21883</v>
      </c>
    </row>
    <row r="6193" spans="1:4" x14ac:dyDescent="0.2">
      <c r="A6193">
        <v>3693937</v>
      </c>
      <c r="B6193">
        <v>30063</v>
      </c>
      <c r="C6193">
        <v>302357</v>
      </c>
      <c r="D6193">
        <v>21883</v>
      </c>
    </row>
    <row r="6194" spans="1:4" x14ac:dyDescent="0.2">
      <c r="A6194">
        <v>3693937</v>
      </c>
      <c r="B6194">
        <v>30064</v>
      </c>
      <c r="C6194">
        <v>302419</v>
      </c>
      <c r="D6194">
        <v>21883</v>
      </c>
    </row>
    <row r="6195" spans="1:4" x14ac:dyDescent="0.2">
      <c r="A6195">
        <v>3693937</v>
      </c>
      <c r="B6195">
        <v>30065</v>
      </c>
      <c r="C6195">
        <v>302373</v>
      </c>
      <c r="D6195">
        <v>21883</v>
      </c>
    </row>
    <row r="6196" spans="1:4" x14ac:dyDescent="0.2">
      <c r="A6196">
        <v>3693937</v>
      </c>
      <c r="B6196">
        <v>30066</v>
      </c>
      <c r="C6196">
        <v>302436</v>
      </c>
      <c r="D6196">
        <v>21883</v>
      </c>
    </row>
    <row r="6197" spans="1:4" x14ac:dyDescent="0.2">
      <c r="A6197">
        <v>3693937</v>
      </c>
      <c r="B6197">
        <v>30067</v>
      </c>
      <c r="C6197">
        <v>302460</v>
      </c>
      <c r="D6197">
        <v>21883</v>
      </c>
    </row>
    <row r="6198" spans="1:4" x14ac:dyDescent="0.2">
      <c r="A6198">
        <v>3693938</v>
      </c>
      <c r="B6198">
        <v>30063</v>
      </c>
      <c r="C6198">
        <v>302357</v>
      </c>
      <c r="D6198">
        <v>21883</v>
      </c>
    </row>
    <row r="6199" spans="1:4" x14ac:dyDescent="0.2">
      <c r="A6199">
        <v>3693938</v>
      </c>
      <c r="B6199">
        <v>30064</v>
      </c>
      <c r="C6199">
        <v>302369</v>
      </c>
      <c r="D6199">
        <v>21883</v>
      </c>
    </row>
    <row r="6200" spans="1:4" x14ac:dyDescent="0.2">
      <c r="A6200">
        <v>3693938</v>
      </c>
      <c r="B6200">
        <v>30065</v>
      </c>
      <c r="C6200">
        <v>302373</v>
      </c>
      <c r="D6200">
        <v>21883</v>
      </c>
    </row>
    <row r="6201" spans="1:4" x14ac:dyDescent="0.2">
      <c r="A6201">
        <v>3693938</v>
      </c>
      <c r="B6201">
        <v>30066</v>
      </c>
      <c r="C6201">
        <v>302436</v>
      </c>
      <c r="D6201">
        <v>21883</v>
      </c>
    </row>
    <row r="6202" spans="1:4" x14ac:dyDescent="0.2">
      <c r="A6202">
        <v>3693938</v>
      </c>
      <c r="B6202">
        <v>30067</v>
      </c>
      <c r="C6202">
        <v>302460</v>
      </c>
      <c r="D6202">
        <v>21883</v>
      </c>
    </row>
    <row r="6203" spans="1:4" x14ac:dyDescent="0.2">
      <c r="A6203">
        <v>3693939</v>
      </c>
      <c r="B6203">
        <v>30061</v>
      </c>
      <c r="C6203">
        <v>302333</v>
      </c>
      <c r="D6203">
        <v>21883</v>
      </c>
    </row>
    <row r="6204" spans="1:4" x14ac:dyDescent="0.2">
      <c r="A6204">
        <v>3693939</v>
      </c>
      <c r="B6204">
        <v>30062</v>
      </c>
      <c r="C6204">
        <v>302355</v>
      </c>
      <c r="D6204">
        <v>21883</v>
      </c>
    </row>
    <row r="6205" spans="1:4" x14ac:dyDescent="0.2">
      <c r="A6205">
        <v>3693939</v>
      </c>
      <c r="B6205">
        <v>30063</v>
      </c>
      <c r="C6205">
        <v>302357</v>
      </c>
      <c r="D6205">
        <v>21883</v>
      </c>
    </row>
    <row r="6206" spans="1:4" x14ac:dyDescent="0.2">
      <c r="A6206">
        <v>3693939</v>
      </c>
      <c r="B6206">
        <v>30064</v>
      </c>
      <c r="C6206">
        <v>302369</v>
      </c>
      <c r="D6206">
        <v>21883</v>
      </c>
    </row>
    <row r="6207" spans="1:4" x14ac:dyDescent="0.2">
      <c r="A6207">
        <v>3693939</v>
      </c>
      <c r="B6207">
        <v>30065</v>
      </c>
      <c r="C6207">
        <v>302331</v>
      </c>
      <c r="D6207">
        <v>21883</v>
      </c>
    </row>
    <row r="6208" spans="1:4" x14ac:dyDescent="0.2">
      <c r="A6208">
        <v>3693939</v>
      </c>
      <c r="B6208">
        <v>30066</v>
      </c>
      <c r="C6208">
        <v>302436</v>
      </c>
      <c r="D6208">
        <v>21883</v>
      </c>
    </row>
    <row r="6209" spans="1:4" x14ac:dyDescent="0.2">
      <c r="A6209">
        <v>3693939</v>
      </c>
      <c r="B6209">
        <v>30067</v>
      </c>
      <c r="C6209">
        <v>302460</v>
      </c>
      <c r="D6209">
        <v>21883</v>
      </c>
    </row>
    <row r="6210" spans="1:4" x14ac:dyDescent="0.2">
      <c r="A6210">
        <v>3693940</v>
      </c>
      <c r="B6210">
        <v>30063</v>
      </c>
      <c r="C6210">
        <v>302357</v>
      </c>
      <c r="D6210">
        <v>21883</v>
      </c>
    </row>
    <row r="6211" spans="1:4" x14ac:dyDescent="0.2">
      <c r="A6211">
        <v>3693940</v>
      </c>
      <c r="B6211">
        <v>30064</v>
      </c>
      <c r="C6211">
        <v>302368</v>
      </c>
      <c r="D6211">
        <v>21883</v>
      </c>
    </row>
    <row r="6212" spans="1:4" x14ac:dyDescent="0.2">
      <c r="A6212">
        <v>3693940</v>
      </c>
      <c r="B6212">
        <v>30065</v>
      </c>
      <c r="C6212">
        <v>302373</v>
      </c>
      <c r="D6212">
        <v>21883</v>
      </c>
    </row>
    <row r="6213" spans="1:4" x14ac:dyDescent="0.2">
      <c r="A6213">
        <v>3693940</v>
      </c>
      <c r="B6213">
        <v>30066</v>
      </c>
      <c r="C6213">
        <v>302436</v>
      </c>
      <c r="D6213">
        <v>21883</v>
      </c>
    </row>
    <row r="6214" spans="1:4" x14ac:dyDescent="0.2">
      <c r="A6214">
        <v>3693940</v>
      </c>
      <c r="B6214">
        <v>30067</v>
      </c>
      <c r="C6214">
        <v>302460</v>
      </c>
      <c r="D6214">
        <v>21883</v>
      </c>
    </row>
    <row r="6215" spans="1:4" x14ac:dyDescent="0.2">
      <c r="A6215">
        <v>3693941</v>
      </c>
      <c r="B6215">
        <v>30063</v>
      </c>
      <c r="C6215">
        <v>302357</v>
      </c>
      <c r="D6215">
        <v>21883</v>
      </c>
    </row>
    <row r="6216" spans="1:4" x14ac:dyDescent="0.2">
      <c r="A6216">
        <v>3693941</v>
      </c>
      <c r="B6216">
        <v>30064</v>
      </c>
      <c r="C6216">
        <v>302382</v>
      </c>
      <c r="D6216">
        <v>21883</v>
      </c>
    </row>
    <row r="6217" spans="1:4" x14ac:dyDescent="0.2">
      <c r="A6217">
        <v>3693941</v>
      </c>
      <c r="B6217">
        <v>30065</v>
      </c>
      <c r="C6217">
        <v>302373</v>
      </c>
      <c r="D6217">
        <v>21883</v>
      </c>
    </row>
    <row r="6218" spans="1:4" x14ac:dyDescent="0.2">
      <c r="A6218">
        <v>3693941</v>
      </c>
      <c r="B6218">
        <v>30066</v>
      </c>
      <c r="C6218">
        <v>302436</v>
      </c>
      <c r="D6218">
        <v>21883</v>
      </c>
    </row>
    <row r="6219" spans="1:4" x14ac:dyDescent="0.2">
      <c r="A6219">
        <v>3693941</v>
      </c>
      <c r="B6219">
        <v>30067</v>
      </c>
      <c r="C6219">
        <v>302460</v>
      </c>
      <c r="D6219">
        <v>21883</v>
      </c>
    </row>
    <row r="6220" spans="1:4" x14ac:dyDescent="0.2">
      <c r="A6220">
        <v>3693942</v>
      </c>
      <c r="B6220">
        <v>30063</v>
      </c>
      <c r="C6220">
        <v>302357</v>
      </c>
      <c r="D6220">
        <v>21883</v>
      </c>
    </row>
    <row r="6221" spans="1:4" x14ac:dyDescent="0.2">
      <c r="A6221">
        <v>3693942</v>
      </c>
      <c r="B6221">
        <v>30064</v>
      </c>
      <c r="C6221">
        <v>302382</v>
      </c>
      <c r="D6221">
        <v>21883</v>
      </c>
    </row>
    <row r="6222" spans="1:4" x14ac:dyDescent="0.2">
      <c r="A6222">
        <v>3693942</v>
      </c>
      <c r="B6222">
        <v>30065</v>
      </c>
      <c r="C6222">
        <v>302373</v>
      </c>
      <c r="D6222">
        <v>21883</v>
      </c>
    </row>
    <row r="6223" spans="1:4" x14ac:dyDescent="0.2">
      <c r="A6223">
        <v>3693942</v>
      </c>
      <c r="B6223">
        <v>30066</v>
      </c>
      <c r="C6223">
        <v>302436</v>
      </c>
      <c r="D6223">
        <v>21883</v>
      </c>
    </row>
    <row r="6224" spans="1:4" x14ac:dyDescent="0.2">
      <c r="A6224">
        <v>3693942</v>
      </c>
      <c r="B6224">
        <v>30067</v>
      </c>
      <c r="C6224">
        <v>302460</v>
      </c>
      <c r="D6224">
        <v>21883</v>
      </c>
    </row>
    <row r="6225" spans="1:4" x14ac:dyDescent="0.2">
      <c r="A6225">
        <v>3693943</v>
      </c>
      <c r="B6225">
        <v>30063</v>
      </c>
      <c r="C6225">
        <v>302357</v>
      </c>
      <c r="D6225">
        <v>21883</v>
      </c>
    </row>
    <row r="6226" spans="1:4" x14ac:dyDescent="0.2">
      <c r="A6226">
        <v>3693943</v>
      </c>
      <c r="B6226">
        <v>30064</v>
      </c>
      <c r="C6226">
        <v>302369</v>
      </c>
      <c r="D6226">
        <v>21883</v>
      </c>
    </row>
    <row r="6227" spans="1:4" x14ac:dyDescent="0.2">
      <c r="A6227">
        <v>3693943</v>
      </c>
      <c r="B6227">
        <v>30065</v>
      </c>
      <c r="C6227">
        <v>302373</v>
      </c>
      <c r="D6227">
        <v>21883</v>
      </c>
    </row>
    <row r="6228" spans="1:4" x14ac:dyDescent="0.2">
      <c r="A6228">
        <v>3693943</v>
      </c>
      <c r="B6228">
        <v>30066</v>
      </c>
      <c r="C6228">
        <v>302436</v>
      </c>
      <c r="D6228">
        <v>21883</v>
      </c>
    </row>
    <row r="6229" spans="1:4" x14ac:dyDescent="0.2">
      <c r="A6229">
        <v>3693943</v>
      </c>
      <c r="B6229">
        <v>30067</v>
      </c>
      <c r="C6229">
        <v>302460</v>
      </c>
      <c r="D6229">
        <v>21883</v>
      </c>
    </row>
    <row r="6230" spans="1:4" x14ac:dyDescent="0.2">
      <c r="A6230">
        <v>3693944</v>
      </c>
      <c r="B6230">
        <v>30063</v>
      </c>
      <c r="C6230">
        <v>302357</v>
      </c>
      <c r="D6230">
        <v>21883</v>
      </c>
    </row>
    <row r="6231" spans="1:4" x14ac:dyDescent="0.2">
      <c r="A6231">
        <v>3693944</v>
      </c>
      <c r="B6231">
        <v>30064</v>
      </c>
      <c r="C6231">
        <v>302369</v>
      </c>
      <c r="D6231">
        <v>21883</v>
      </c>
    </row>
    <row r="6232" spans="1:4" x14ac:dyDescent="0.2">
      <c r="A6232">
        <v>3693944</v>
      </c>
      <c r="B6232">
        <v>30065</v>
      </c>
      <c r="C6232">
        <v>302373</v>
      </c>
      <c r="D6232">
        <v>21883</v>
      </c>
    </row>
    <row r="6233" spans="1:4" x14ac:dyDescent="0.2">
      <c r="A6233">
        <v>3693944</v>
      </c>
      <c r="B6233">
        <v>30066</v>
      </c>
      <c r="C6233">
        <v>302436</v>
      </c>
      <c r="D6233">
        <v>21883</v>
      </c>
    </row>
    <row r="6234" spans="1:4" x14ac:dyDescent="0.2">
      <c r="A6234">
        <v>3693944</v>
      </c>
      <c r="B6234">
        <v>30067</v>
      </c>
      <c r="C6234">
        <v>302460</v>
      </c>
      <c r="D6234">
        <v>21883</v>
      </c>
    </row>
    <row r="6235" spans="1:4" x14ac:dyDescent="0.2">
      <c r="A6235">
        <v>3693945</v>
      </c>
      <c r="B6235">
        <v>30063</v>
      </c>
      <c r="C6235">
        <v>302357</v>
      </c>
      <c r="D6235">
        <v>21883</v>
      </c>
    </row>
    <row r="6236" spans="1:4" x14ac:dyDescent="0.2">
      <c r="A6236">
        <v>3693945</v>
      </c>
      <c r="B6236">
        <v>30064</v>
      </c>
      <c r="C6236">
        <v>302369</v>
      </c>
      <c r="D6236">
        <v>21883</v>
      </c>
    </row>
    <row r="6237" spans="1:4" x14ac:dyDescent="0.2">
      <c r="A6237">
        <v>3693945</v>
      </c>
      <c r="B6237">
        <v>30065</v>
      </c>
      <c r="C6237">
        <v>302373</v>
      </c>
      <c r="D6237">
        <v>21883</v>
      </c>
    </row>
    <row r="6238" spans="1:4" x14ac:dyDescent="0.2">
      <c r="A6238">
        <v>3693945</v>
      </c>
      <c r="B6238">
        <v>30066</v>
      </c>
      <c r="C6238">
        <v>302436</v>
      </c>
      <c r="D6238">
        <v>21883</v>
      </c>
    </row>
    <row r="6239" spans="1:4" x14ac:dyDescent="0.2">
      <c r="A6239">
        <v>3693945</v>
      </c>
      <c r="B6239">
        <v>30067</v>
      </c>
      <c r="C6239">
        <v>302460</v>
      </c>
      <c r="D6239">
        <v>21883</v>
      </c>
    </row>
    <row r="6240" spans="1:4" x14ac:dyDescent="0.2">
      <c r="A6240">
        <v>3693946</v>
      </c>
      <c r="B6240">
        <v>30063</v>
      </c>
      <c r="C6240">
        <v>302357</v>
      </c>
      <c r="D6240">
        <v>21883</v>
      </c>
    </row>
    <row r="6241" spans="1:4" x14ac:dyDescent="0.2">
      <c r="A6241">
        <v>3693946</v>
      </c>
      <c r="B6241">
        <v>30064</v>
      </c>
      <c r="C6241">
        <v>302369</v>
      </c>
      <c r="D6241">
        <v>21883</v>
      </c>
    </row>
    <row r="6242" spans="1:4" x14ac:dyDescent="0.2">
      <c r="A6242">
        <v>3693946</v>
      </c>
      <c r="B6242">
        <v>30065</v>
      </c>
      <c r="C6242">
        <v>302373</v>
      </c>
      <c r="D6242">
        <v>21883</v>
      </c>
    </row>
    <row r="6243" spans="1:4" x14ac:dyDescent="0.2">
      <c r="A6243">
        <v>3693946</v>
      </c>
      <c r="B6243">
        <v>30066</v>
      </c>
      <c r="C6243">
        <v>302436</v>
      </c>
      <c r="D6243">
        <v>21883</v>
      </c>
    </row>
    <row r="6244" spans="1:4" x14ac:dyDescent="0.2">
      <c r="A6244">
        <v>3693946</v>
      </c>
      <c r="B6244">
        <v>30067</v>
      </c>
      <c r="C6244">
        <v>302460</v>
      </c>
      <c r="D6244">
        <v>21883</v>
      </c>
    </row>
    <row r="6245" spans="1:4" x14ac:dyDescent="0.2">
      <c r="A6245">
        <v>3693947</v>
      </c>
      <c r="B6245">
        <v>30063</v>
      </c>
      <c r="C6245">
        <v>302357</v>
      </c>
      <c r="D6245">
        <v>21883</v>
      </c>
    </row>
    <row r="6246" spans="1:4" x14ac:dyDescent="0.2">
      <c r="A6246">
        <v>3693947</v>
      </c>
      <c r="B6246">
        <v>30064</v>
      </c>
      <c r="C6246">
        <v>302369</v>
      </c>
      <c r="D6246">
        <v>21883</v>
      </c>
    </row>
    <row r="6247" spans="1:4" x14ac:dyDescent="0.2">
      <c r="A6247">
        <v>3693947</v>
      </c>
      <c r="B6247">
        <v>30065</v>
      </c>
      <c r="C6247">
        <v>302373</v>
      </c>
      <c r="D6247">
        <v>21883</v>
      </c>
    </row>
    <row r="6248" spans="1:4" x14ac:dyDescent="0.2">
      <c r="A6248">
        <v>3693947</v>
      </c>
      <c r="B6248">
        <v>30066</v>
      </c>
      <c r="C6248">
        <v>302436</v>
      </c>
      <c r="D6248">
        <v>21883</v>
      </c>
    </row>
    <row r="6249" spans="1:4" x14ac:dyDescent="0.2">
      <c r="A6249">
        <v>3693947</v>
      </c>
      <c r="B6249">
        <v>30067</v>
      </c>
      <c r="C6249">
        <v>302460</v>
      </c>
      <c r="D6249">
        <v>21883</v>
      </c>
    </row>
    <row r="6250" spans="1:4" x14ac:dyDescent="0.2">
      <c r="A6250">
        <v>3693948</v>
      </c>
      <c r="B6250">
        <v>30063</v>
      </c>
      <c r="C6250">
        <v>302357</v>
      </c>
      <c r="D6250">
        <v>21883</v>
      </c>
    </row>
    <row r="6251" spans="1:4" x14ac:dyDescent="0.2">
      <c r="A6251">
        <v>3693948</v>
      </c>
      <c r="B6251">
        <v>30064</v>
      </c>
      <c r="C6251">
        <v>302369</v>
      </c>
      <c r="D6251">
        <v>21883</v>
      </c>
    </row>
    <row r="6252" spans="1:4" x14ac:dyDescent="0.2">
      <c r="A6252">
        <v>3693948</v>
      </c>
      <c r="B6252">
        <v>30065</v>
      </c>
      <c r="C6252">
        <v>302373</v>
      </c>
      <c r="D6252">
        <v>21883</v>
      </c>
    </row>
    <row r="6253" spans="1:4" x14ac:dyDescent="0.2">
      <c r="A6253">
        <v>3693948</v>
      </c>
      <c r="B6253">
        <v>30066</v>
      </c>
      <c r="C6253">
        <v>302436</v>
      </c>
      <c r="D6253">
        <v>21883</v>
      </c>
    </row>
    <row r="6254" spans="1:4" x14ac:dyDescent="0.2">
      <c r="A6254">
        <v>3693948</v>
      </c>
      <c r="B6254">
        <v>30067</v>
      </c>
      <c r="C6254">
        <v>302460</v>
      </c>
      <c r="D6254">
        <v>21883</v>
      </c>
    </row>
    <row r="6255" spans="1:4" x14ac:dyDescent="0.2">
      <c r="A6255">
        <v>3693949</v>
      </c>
      <c r="B6255">
        <v>30063</v>
      </c>
      <c r="C6255">
        <v>302357</v>
      </c>
      <c r="D6255">
        <v>21883</v>
      </c>
    </row>
    <row r="6256" spans="1:4" x14ac:dyDescent="0.2">
      <c r="A6256">
        <v>3693949</v>
      </c>
      <c r="B6256">
        <v>30064</v>
      </c>
      <c r="C6256">
        <v>302369</v>
      </c>
      <c r="D6256">
        <v>21883</v>
      </c>
    </row>
    <row r="6257" spans="1:4" x14ac:dyDescent="0.2">
      <c r="A6257">
        <v>3693949</v>
      </c>
      <c r="B6257">
        <v>30065</v>
      </c>
      <c r="C6257">
        <v>302373</v>
      </c>
      <c r="D6257">
        <v>21883</v>
      </c>
    </row>
    <row r="6258" spans="1:4" x14ac:dyDescent="0.2">
      <c r="A6258">
        <v>3693949</v>
      </c>
      <c r="B6258">
        <v>30066</v>
      </c>
      <c r="C6258">
        <v>302436</v>
      </c>
      <c r="D6258">
        <v>21883</v>
      </c>
    </row>
    <row r="6259" spans="1:4" x14ac:dyDescent="0.2">
      <c r="A6259">
        <v>3693949</v>
      </c>
      <c r="B6259">
        <v>30067</v>
      </c>
      <c r="C6259">
        <v>302460</v>
      </c>
      <c r="D6259">
        <v>21883</v>
      </c>
    </row>
    <row r="6260" spans="1:4" x14ac:dyDescent="0.2">
      <c r="A6260">
        <v>3693950</v>
      </c>
      <c r="B6260">
        <v>30061</v>
      </c>
      <c r="C6260">
        <v>302333</v>
      </c>
      <c r="D6260">
        <v>21883</v>
      </c>
    </row>
    <row r="6261" spans="1:4" x14ac:dyDescent="0.2">
      <c r="A6261">
        <v>3693950</v>
      </c>
      <c r="B6261">
        <v>30062</v>
      </c>
      <c r="C6261">
        <v>302355</v>
      </c>
      <c r="D6261">
        <v>21883</v>
      </c>
    </row>
    <row r="6262" spans="1:4" x14ac:dyDescent="0.2">
      <c r="A6262">
        <v>3693950</v>
      </c>
      <c r="B6262">
        <v>30063</v>
      </c>
      <c r="C6262">
        <v>302357</v>
      </c>
      <c r="D6262">
        <v>21883</v>
      </c>
    </row>
    <row r="6263" spans="1:4" x14ac:dyDescent="0.2">
      <c r="A6263">
        <v>3693950</v>
      </c>
      <c r="B6263">
        <v>30064</v>
      </c>
      <c r="C6263">
        <v>302382</v>
      </c>
      <c r="D6263">
        <v>21883</v>
      </c>
    </row>
    <row r="6264" spans="1:4" x14ac:dyDescent="0.2">
      <c r="A6264">
        <v>3693950</v>
      </c>
      <c r="B6264">
        <v>30065</v>
      </c>
      <c r="C6264">
        <v>302331</v>
      </c>
      <c r="D6264">
        <v>21883</v>
      </c>
    </row>
    <row r="6265" spans="1:4" x14ac:dyDescent="0.2">
      <c r="A6265">
        <v>3693950</v>
      </c>
      <c r="B6265">
        <v>30066</v>
      </c>
      <c r="C6265">
        <v>302436</v>
      </c>
      <c r="D6265">
        <v>21883</v>
      </c>
    </row>
    <row r="6266" spans="1:4" x14ac:dyDescent="0.2">
      <c r="A6266">
        <v>3693950</v>
      </c>
      <c r="B6266">
        <v>30067</v>
      </c>
      <c r="C6266">
        <v>302461</v>
      </c>
      <c r="D6266">
        <v>21883</v>
      </c>
    </row>
    <row r="6267" spans="1:4" x14ac:dyDescent="0.2">
      <c r="A6267">
        <v>3693951</v>
      </c>
      <c r="B6267">
        <v>30063</v>
      </c>
      <c r="C6267">
        <v>302357</v>
      </c>
      <c r="D6267">
        <v>21883</v>
      </c>
    </row>
    <row r="6268" spans="1:4" x14ac:dyDescent="0.2">
      <c r="A6268">
        <v>3693951</v>
      </c>
      <c r="B6268">
        <v>30064</v>
      </c>
      <c r="C6268">
        <v>302369</v>
      </c>
      <c r="D6268">
        <v>21883</v>
      </c>
    </row>
    <row r="6269" spans="1:4" x14ac:dyDescent="0.2">
      <c r="A6269">
        <v>3693951</v>
      </c>
      <c r="B6269">
        <v>30065</v>
      </c>
      <c r="C6269">
        <v>302373</v>
      </c>
      <c r="D6269">
        <v>21883</v>
      </c>
    </row>
    <row r="6270" spans="1:4" x14ac:dyDescent="0.2">
      <c r="A6270">
        <v>3693951</v>
      </c>
      <c r="B6270">
        <v>30066</v>
      </c>
      <c r="C6270">
        <v>302436</v>
      </c>
      <c r="D6270">
        <v>21883</v>
      </c>
    </row>
    <row r="6271" spans="1:4" x14ac:dyDescent="0.2">
      <c r="A6271">
        <v>3693951</v>
      </c>
      <c r="B6271">
        <v>30067</v>
      </c>
      <c r="C6271">
        <v>302461</v>
      </c>
      <c r="D6271">
        <v>21883</v>
      </c>
    </row>
    <row r="6272" spans="1:4" x14ac:dyDescent="0.2">
      <c r="A6272">
        <v>3693952</v>
      </c>
      <c r="B6272">
        <v>30063</v>
      </c>
      <c r="C6272">
        <v>302357</v>
      </c>
      <c r="D6272">
        <v>21883</v>
      </c>
    </row>
    <row r="6273" spans="1:4" x14ac:dyDescent="0.2">
      <c r="A6273">
        <v>3693952</v>
      </c>
      <c r="B6273">
        <v>30064</v>
      </c>
      <c r="C6273">
        <v>302419</v>
      </c>
      <c r="D6273">
        <v>21883</v>
      </c>
    </row>
    <row r="6274" spans="1:4" x14ac:dyDescent="0.2">
      <c r="A6274">
        <v>3693952</v>
      </c>
      <c r="B6274">
        <v>30065</v>
      </c>
      <c r="C6274">
        <v>302373</v>
      </c>
      <c r="D6274">
        <v>21883</v>
      </c>
    </row>
    <row r="6275" spans="1:4" x14ac:dyDescent="0.2">
      <c r="A6275">
        <v>3693952</v>
      </c>
      <c r="B6275">
        <v>30066</v>
      </c>
      <c r="C6275">
        <v>302436</v>
      </c>
      <c r="D6275">
        <v>21883</v>
      </c>
    </row>
    <row r="6276" spans="1:4" x14ac:dyDescent="0.2">
      <c r="A6276">
        <v>3693952</v>
      </c>
      <c r="B6276">
        <v>30067</v>
      </c>
      <c r="C6276">
        <v>302461</v>
      </c>
      <c r="D6276">
        <v>21883</v>
      </c>
    </row>
    <row r="6277" spans="1:4" x14ac:dyDescent="0.2">
      <c r="A6277">
        <v>3693953</v>
      </c>
      <c r="B6277">
        <v>30063</v>
      </c>
      <c r="C6277">
        <v>302357</v>
      </c>
      <c r="D6277">
        <v>21883</v>
      </c>
    </row>
    <row r="6278" spans="1:4" x14ac:dyDescent="0.2">
      <c r="A6278">
        <v>3693953</v>
      </c>
      <c r="B6278">
        <v>30064</v>
      </c>
      <c r="C6278">
        <v>302369</v>
      </c>
      <c r="D6278">
        <v>21883</v>
      </c>
    </row>
    <row r="6279" spans="1:4" x14ac:dyDescent="0.2">
      <c r="A6279">
        <v>3693953</v>
      </c>
      <c r="B6279">
        <v>30065</v>
      </c>
      <c r="C6279">
        <v>302373</v>
      </c>
      <c r="D6279">
        <v>21883</v>
      </c>
    </row>
    <row r="6280" spans="1:4" x14ac:dyDescent="0.2">
      <c r="A6280">
        <v>3693953</v>
      </c>
      <c r="B6280">
        <v>30066</v>
      </c>
      <c r="C6280">
        <v>302436</v>
      </c>
      <c r="D6280">
        <v>21883</v>
      </c>
    </row>
    <row r="6281" spans="1:4" x14ac:dyDescent="0.2">
      <c r="A6281">
        <v>3693953</v>
      </c>
      <c r="B6281">
        <v>30067</v>
      </c>
      <c r="C6281">
        <v>302461</v>
      </c>
      <c r="D6281">
        <v>21883</v>
      </c>
    </row>
    <row r="6282" spans="1:4" x14ac:dyDescent="0.2">
      <c r="A6282">
        <v>3693954</v>
      </c>
      <c r="B6282">
        <v>30061</v>
      </c>
      <c r="C6282">
        <v>302333</v>
      </c>
      <c r="D6282">
        <v>21883</v>
      </c>
    </row>
    <row r="6283" spans="1:4" x14ac:dyDescent="0.2">
      <c r="A6283">
        <v>3693954</v>
      </c>
      <c r="B6283">
        <v>30062</v>
      </c>
      <c r="C6283">
        <v>302355</v>
      </c>
      <c r="D6283">
        <v>21883</v>
      </c>
    </row>
    <row r="6284" spans="1:4" x14ac:dyDescent="0.2">
      <c r="A6284">
        <v>3693954</v>
      </c>
      <c r="B6284">
        <v>30063</v>
      </c>
      <c r="C6284">
        <v>302357</v>
      </c>
      <c r="D6284">
        <v>21883</v>
      </c>
    </row>
    <row r="6285" spans="1:4" x14ac:dyDescent="0.2">
      <c r="A6285">
        <v>3693954</v>
      </c>
      <c r="B6285">
        <v>30064</v>
      </c>
      <c r="C6285">
        <v>302369</v>
      </c>
      <c r="D6285">
        <v>21883</v>
      </c>
    </row>
    <row r="6286" spans="1:4" x14ac:dyDescent="0.2">
      <c r="A6286">
        <v>3693954</v>
      </c>
      <c r="B6286">
        <v>30065</v>
      </c>
      <c r="C6286">
        <v>302331</v>
      </c>
      <c r="D6286">
        <v>21883</v>
      </c>
    </row>
    <row r="6287" spans="1:4" x14ac:dyDescent="0.2">
      <c r="A6287">
        <v>3693954</v>
      </c>
      <c r="B6287">
        <v>30066</v>
      </c>
      <c r="C6287">
        <v>302436</v>
      </c>
      <c r="D6287">
        <v>21883</v>
      </c>
    </row>
    <row r="6288" spans="1:4" x14ac:dyDescent="0.2">
      <c r="A6288">
        <v>3693954</v>
      </c>
      <c r="B6288">
        <v>30067</v>
      </c>
      <c r="C6288">
        <v>302461</v>
      </c>
      <c r="D6288">
        <v>21883</v>
      </c>
    </row>
    <row r="6289" spans="1:4" x14ac:dyDescent="0.2">
      <c r="A6289">
        <v>3693955</v>
      </c>
      <c r="B6289">
        <v>30063</v>
      </c>
      <c r="C6289">
        <v>302357</v>
      </c>
      <c r="D6289">
        <v>21883</v>
      </c>
    </row>
    <row r="6290" spans="1:4" x14ac:dyDescent="0.2">
      <c r="A6290">
        <v>3693955</v>
      </c>
      <c r="B6290">
        <v>30064</v>
      </c>
      <c r="C6290">
        <v>302368</v>
      </c>
      <c r="D6290">
        <v>21883</v>
      </c>
    </row>
    <row r="6291" spans="1:4" x14ac:dyDescent="0.2">
      <c r="A6291">
        <v>3693955</v>
      </c>
      <c r="B6291">
        <v>30065</v>
      </c>
      <c r="C6291">
        <v>302373</v>
      </c>
      <c r="D6291">
        <v>21883</v>
      </c>
    </row>
    <row r="6292" spans="1:4" x14ac:dyDescent="0.2">
      <c r="A6292">
        <v>3693955</v>
      </c>
      <c r="B6292">
        <v>30066</v>
      </c>
      <c r="C6292">
        <v>302436</v>
      </c>
      <c r="D6292">
        <v>21883</v>
      </c>
    </row>
    <row r="6293" spans="1:4" x14ac:dyDescent="0.2">
      <c r="A6293">
        <v>3693955</v>
      </c>
      <c r="B6293">
        <v>30067</v>
      </c>
      <c r="C6293">
        <v>302461</v>
      </c>
      <c r="D6293">
        <v>21883</v>
      </c>
    </row>
    <row r="6294" spans="1:4" x14ac:dyDescent="0.2">
      <c r="A6294">
        <v>3693956</v>
      </c>
      <c r="B6294">
        <v>30063</v>
      </c>
      <c r="C6294">
        <v>302357</v>
      </c>
      <c r="D6294">
        <v>21883</v>
      </c>
    </row>
    <row r="6295" spans="1:4" x14ac:dyDescent="0.2">
      <c r="A6295">
        <v>3693956</v>
      </c>
      <c r="B6295">
        <v>30064</v>
      </c>
      <c r="C6295">
        <v>302382</v>
      </c>
      <c r="D6295">
        <v>21883</v>
      </c>
    </row>
    <row r="6296" spans="1:4" x14ac:dyDescent="0.2">
      <c r="A6296">
        <v>3693956</v>
      </c>
      <c r="B6296">
        <v>30065</v>
      </c>
      <c r="C6296">
        <v>302373</v>
      </c>
      <c r="D6296">
        <v>21883</v>
      </c>
    </row>
    <row r="6297" spans="1:4" x14ac:dyDescent="0.2">
      <c r="A6297">
        <v>3693956</v>
      </c>
      <c r="B6297">
        <v>30066</v>
      </c>
      <c r="C6297">
        <v>302436</v>
      </c>
      <c r="D6297">
        <v>21883</v>
      </c>
    </row>
    <row r="6298" spans="1:4" x14ac:dyDescent="0.2">
      <c r="A6298">
        <v>3693956</v>
      </c>
      <c r="B6298">
        <v>30067</v>
      </c>
      <c r="C6298">
        <v>302461</v>
      </c>
      <c r="D6298">
        <v>21883</v>
      </c>
    </row>
    <row r="6299" spans="1:4" x14ac:dyDescent="0.2">
      <c r="A6299">
        <v>3693957</v>
      </c>
      <c r="B6299">
        <v>30063</v>
      </c>
      <c r="C6299">
        <v>302357</v>
      </c>
      <c r="D6299">
        <v>21883</v>
      </c>
    </row>
    <row r="6300" spans="1:4" x14ac:dyDescent="0.2">
      <c r="A6300">
        <v>3693957</v>
      </c>
      <c r="B6300">
        <v>30064</v>
      </c>
      <c r="C6300">
        <v>302382</v>
      </c>
      <c r="D6300">
        <v>21883</v>
      </c>
    </row>
    <row r="6301" spans="1:4" x14ac:dyDescent="0.2">
      <c r="A6301">
        <v>3693957</v>
      </c>
      <c r="B6301">
        <v>30065</v>
      </c>
      <c r="C6301">
        <v>302373</v>
      </c>
      <c r="D6301">
        <v>21883</v>
      </c>
    </row>
    <row r="6302" spans="1:4" x14ac:dyDescent="0.2">
      <c r="A6302">
        <v>3693957</v>
      </c>
      <c r="B6302">
        <v>30066</v>
      </c>
      <c r="C6302">
        <v>302436</v>
      </c>
      <c r="D6302">
        <v>21883</v>
      </c>
    </row>
    <row r="6303" spans="1:4" x14ac:dyDescent="0.2">
      <c r="A6303">
        <v>3693957</v>
      </c>
      <c r="B6303">
        <v>30067</v>
      </c>
      <c r="C6303">
        <v>302461</v>
      </c>
      <c r="D6303">
        <v>21883</v>
      </c>
    </row>
    <row r="6304" spans="1:4" x14ac:dyDescent="0.2">
      <c r="A6304">
        <v>3693958</v>
      </c>
      <c r="B6304">
        <v>30063</v>
      </c>
      <c r="C6304">
        <v>302357</v>
      </c>
      <c r="D6304">
        <v>21883</v>
      </c>
    </row>
    <row r="6305" spans="1:4" x14ac:dyDescent="0.2">
      <c r="A6305">
        <v>3693958</v>
      </c>
      <c r="B6305">
        <v>30064</v>
      </c>
      <c r="C6305">
        <v>302369</v>
      </c>
      <c r="D6305">
        <v>21883</v>
      </c>
    </row>
    <row r="6306" spans="1:4" x14ac:dyDescent="0.2">
      <c r="A6306">
        <v>3693958</v>
      </c>
      <c r="B6306">
        <v>30065</v>
      </c>
      <c r="C6306">
        <v>302373</v>
      </c>
      <c r="D6306">
        <v>21883</v>
      </c>
    </row>
    <row r="6307" spans="1:4" x14ac:dyDescent="0.2">
      <c r="A6307">
        <v>3693958</v>
      </c>
      <c r="B6307">
        <v>30066</v>
      </c>
      <c r="C6307">
        <v>302436</v>
      </c>
      <c r="D6307">
        <v>21883</v>
      </c>
    </row>
    <row r="6308" spans="1:4" x14ac:dyDescent="0.2">
      <c r="A6308">
        <v>3693958</v>
      </c>
      <c r="B6308">
        <v>30067</v>
      </c>
      <c r="C6308">
        <v>302461</v>
      </c>
      <c r="D6308">
        <v>21883</v>
      </c>
    </row>
    <row r="6309" spans="1:4" x14ac:dyDescent="0.2">
      <c r="A6309">
        <v>3693959</v>
      </c>
      <c r="B6309">
        <v>30063</v>
      </c>
      <c r="C6309">
        <v>302357</v>
      </c>
      <c r="D6309">
        <v>21883</v>
      </c>
    </row>
    <row r="6310" spans="1:4" x14ac:dyDescent="0.2">
      <c r="A6310">
        <v>3693959</v>
      </c>
      <c r="B6310">
        <v>30064</v>
      </c>
      <c r="C6310">
        <v>302369</v>
      </c>
      <c r="D6310">
        <v>21883</v>
      </c>
    </row>
    <row r="6311" spans="1:4" x14ac:dyDescent="0.2">
      <c r="A6311">
        <v>3693959</v>
      </c>
      <c r="B6311">
        <v>30065</v>
      </c>
      <c r="C6311">
        <v>302373</v>
      </c>
      <c r="D6311">
        <v>21883</v>
      </c>
    </row>
    <row r="6312" spans="1:4" x14ac:dyDescent="0.2">
      <c r="A6312">
        <v>3693959</v>
      </c>
      <c r="B6312">
        <v>30066</v>
      </c>
      <c r="C6312">
        <v>302436</v>
      </c>
      <c r="D6312">
        <v>21883</v>
      </c>
    </row>
    <row r="6313" spans="1:4" x14ac:dyDescent="0.2">
      <c r="A6313">
        <v>3693959</v>
      </c>
      <c r="B6313">
        <v>30067</v>
      </c>
      <c r="C6313">
        <v>302461</v>
      </c>
      <c r="D6313">
        <v>21883</v>
      </c>
    </row>
    <row r="6314" spans="1:4" x14ac:dyDescent="0.2">
      <c r="A6314">
        <v>3693960</v>
      </c>
      <c r="B6314">
        <v>30063</v>
      </c>
      <c r="C6314">
        <v>302357</v>
      </c>
      <c r="D6314">
        <v>21883</v>
      </c>
    </row>
    <row r="6315" spans="1:4" x14ac:dyDescent="0.2">
      <c r="A6315">
        <v>3693960</v>
      </c>
      <c r="B6315">
        <v>30064</v>
      </c>
      <c r="C6315">
        <v>302369</v>
      </c>
      <c r="D6315">
        <v>21883</v>
      </c>
    </row>
    <row r="6316" spans="1:4" x14ac:dyDescent="0.2">
      <c r="A6316">
        <v>3693960</v>
      </c>
      <c r="B6316">
        <v>30065</v>
      </c>
      <c r="C6316">
        <v>302373</v>
      </c>
      <c r="D6316">
        <v>21883</v>
      </c>
    </row>
    <row r="6317" spans="1:4" x14ac:dyDescent="0.2">
      <c r="A6317">
        <v>3693960</v>
      </c>
      <c r="B6317">
        <v>30066</v>
      </c>
      <c r="C6317">
        <v>302436</v>
      </c>
      <c r="D6317">
        <v>21883</v>
      </c>
    </row>
    <row r="6318" spans="1:4" x14ac:dyDescent="0.2">
      <c r="A6318">
        <v>3693960</v>
      </c>
      <c r="B6318">
        <v>30067</v>
      </c>
      <c r="C6318">
        <v>302461</v>
      </c>
      <c r="D6318">
        <v>21883</v>
      </c>
    </row>
    <row r="6319" spans="1:4" x14ac:dyDescent="0.2">
      <c r="A6319">
        <v>3693961</v>
      </c>
      <c r="B6319">
        <v>30063</v>
      </c>
      <c r="C6319">
        <v>302357</v>
      </c>
      <c r="D6319">
        <v>21883</v>
      </c>
    </row>
    <row r="6320" spans="1:4" x14ac:dyDescent="0.2">
      <c r="A6320">
        <v>3693961</v>
      </c>
      <c r="B6320">
        <v>30064</v>
      </c>
      <c r="C6320">
        <v>302369</v>
      </c>
      <c r="D6320">
        <v>21883</v>
      </c>
    </row>
    <row r="6321" spans="1:4" x14ac:dyDescent="0.2">
      <c r="A6321">
        <v>3693961</v>
      </c>
      <c r="B6321">
        <v>30065</v>
      </c>
      <c r="C6321">
        <v>302373</v>
      </c>
      <c r="D6321">
        <v>21883</v>
      </c>
    </row>
    <row r="6322" spans="1:4" x14ac:dyDescent="0.2">
      <c r="A6322">
        <v>3693961</v>
      </c>
      <c r="B6322">
        <v>30066</v>
      </c>
      <c r="C6322">
        <v>302436</v>
      </c>
      <c r="D6322">
        <v>21883</v>
      </c>
    </row>
    <row r="6323" spans="1:4" x14ac:dyDescent="0.2">
      <c r="A6323">
        <v>3693961</v>
      </c>
      <c r="B6323">
        <v>30067</v>
      </c>
      <c r="C6323">
        <v>302461</v>
      </c>
      <c r="D6323">
        <v>21883</v>
      </c>
    </row>
    <row r="6324" spans="1:4" x14ac:dyDescent="0.2">
      <c r="A6324">
        <v>3693962</v>
      </c>
      <c r="B6324">
        <v>30063</v>
      </c>
      <c r="C6324">
        <v>302357</v>
      </c>
      <c r="D6324">
        <v>21883</v>
      </c>
    </row>
    <row r="6325" spans="1:4" x14ac:dyDescent="0.2">
      <c r="A6325">
        <v>3693962</v>
      </c>
      <c r="B6325">
        <v>30064</v>
      </c>
      <c r="C6325">
        <v>302369</v>
      </c>
      <c r="D6325">
        <v>21883</v>
      </c>
    </row>
    <row r="6326" spans="1:4" x14ac:dyDescent="0.2">
      <c r="A6326">
        <v>3693962</v>
      </c>
      <c r="B6326">
        <v>30065</v>
      </c>
      <c r="C6326">
        <v>302373</v>
      </c>
      <c r="D6326">
        <v>21883</v>
      </c>
    </row>
    <row r="6327" spans="1:4" x14ac:dyDescent="0.2">
      <c r="A6327">
        <v>3693962</v>
      </c>
      <c r="B6327">
        <v>30066</v>
      </c>
      <c r="C6327">
        <v>302436</v>
      </c>
      <c r="D6327">
        <v>21883</v>
      </c>
    </row>
    <row r="6328" spans="1:4" x14ac:dyDescent="0.2">
      <c r="A6328">
        <v>3693962</v>
      </c>
      <c r="B6328">
        <v>30067</v>
      </c>
      <c r="C6328">
        <v>302461</v>
      </c>
      <c r="D6328">
        <v>21883</v>
      </c>
    </row>
    <row r="6329" spans="1:4" x14ac:dyDescent="0.2">
      <c r="A6329">
        <v>3693963</v>
      </c>
      <c r="B6329">
        <v>30063</v>
      </c>
      <c r="C6329">
        <v>302357</v>
      </c>
      <c r="D6329">
        <v>21883</v>
      </c>
    </row>
    <row r="6330" spans="1:4" x14ac:dyDescent="0.2">
      <c r="A6330">
        <v>3693963</v>
      </c>
      <c r="B6330">
        <v>30064</v>
      </c>
      <c r="C6330">
        <v>302369</v>
      </c>
      <c r="D6330">
        <v>21883</v>
      </c>
    </row>
    <row r="6331" spans="1:4" x14ac:dyDescent="0.2">
      <c r="A6331">
        <v>3693963</v>
      </c>
      <c r="B6331">
        <v>30065</v>
      </c>
      <c r="C6331">
        <v>302373</v>
      </c>
      <c r="D6331">
        <v>21883</v>
      </c>
    </row>
    <row r="6332" spans="1:4" x14ac:dyDescent="0.2">
      <c r="A6332">
        <v>3693963</v>
      </c>
      <c r="B6332">
        <v>30066</v>
      </c>
      <c r="C6332">
        <v>302436</v>
      </c>
      <c r="D6332">
        <v>21883</v>
      </c>
    </row>
    <row r="6333" spans="1:4" x14ac:dyDescent="0.2">
      <c r="A6333">
        <v>3693963</v>
      </c>
      <c r="B6333">
        <v>30067</v>
      </c>
      <c r="C6333">
        <v>302461</v>
      </c>
      <c r="D6333">
        <v>21883</v>
      </c>
    </row>
    <row r="6334" spans="1:4" x14ac:dyDescent="0.2">
      <c r="A6334">
        <v>3693964</v>
      </c>
      <c r="B6334">
        <v>30063</v>
      </c>
      <c r="C6334">
        <v>302357</v>
      </c>
      <c r="D6334">
        <v>21883</v>
      </c>
    </row>
    <row r="6335" spans="1:4" x14ac:dyDescent="0.2">
      <c r="A6335">
        <v>3693964</v>
      </c>
      <c r="B6335">
        <v>30064</v>
      </c>
      <c r="C6335">
        <v>302369</v>
      </c>
      <c r="D6335">
        <v>21883</v>
      </c>
    </row>
    <row r="6336" spans="1:4" x14ac:dyDescent="0.2">
      <c r="A6336">
        <v>3693964</v>
      </c>
      <c r="B6336">
        <v>30065</v>
      </c>
      <c r="C6336">
        <v>302373</v>
      </c>
      <c r="D6336">
        <v>21883</v>
      </c>
    </row>
    <row r="6337" spans="1:4" x14ac:dyDescent="0.2">
      <c r="A6337">
        <v>3693964</v>
      </c>
      <c r="B6337">
        <v>30066</v>
      </c>
      <c r="C6337">
        <v>302436</v>
      </c>
      <c r="D6337">
        <v>21883</v>
      </c>
    </row>
    <row r="6338" spans="1:4" x14ac:dyDescent="0.2">
      <c r="A6338">
        <v>3693964</v>
      </c>
      <c r="B6338">
        <v>30067</v>
      </c>
      <c r="C6338">
        <v>302461</v>
      </c>
      <c r="D6338">
        <v>21883</v>
      </c>
    </row>
    <row r="6339" spans="1:4" x14ac:dyDescent="0.2">
      <c r="A6339">
        <v>3693965</v>
      </c>
      <c r="B6339">
        <v>30061</v>
      </c>
      <c r="C6339">
        <v>302333</v>
      </c>
      <c r="D6339">
        <v>21883</v>
      </c>
    </row>
    <row r="6340" spans="1:4" x14ac:dyDescent="0.2">
      <c r="A6340">
        <v>3693965</v>
      </c>
      <c r="B6340">
        <v>30062</v>
      </c>
      <c r="C6340">
        <v>302355</v>
      </c>
      <c r="D6340">
        <v>21883</v>
      </c>
    </row>
    <row r="6341" spans="1:4" x14ac:dyDescent="0.2">
      <c r="A6341">
        <v>3693965</v>
      </c>
      <c r="B6341">
        <v>30063</v>
      </c>
      <c r="C6341">
        <v>302357</v>
      </c>
      <c r="D6341">
        <v>21883</v>
      </c>
    </row>
    <row r="6342" spans="1:4" x14ac:dyDescent="0.2">
      <c r="A6342">
        <v>3693965</v>
      </c>
      <c r="B6342">
        <v>30064</v>
      </c>
      <c r="C6342">
        <v>302382</v>
      </c>
      <c r="D6342">
        <v>21883</v>
      </c>
    </row>
    <row r="6343" spans="1:4" x14ac:dyDescent="0.2">
      <c r="A6343">
        <v>3693965</v>
      </c>
      <c r="B6343">
        <v>30065</v>
      </c>
      <c r="C6343">
        <v>302331</v>
      </c>
      <c r="D6343">
        <v>21883</v>
      </c>
    </row>
    <row r="6344" spans="1:4" x14ac:dyDescent="0.2">
      <c r="A6344">
        <v>3693965</v>
      </c>
      <c r="B6344">
        <v>30066</v>
      </c>
      <c r="C6344">
        <v>302436</v>
      </c>
      <c r="D6344">
        <v>21883</v>
      </c>
    </row>
    <row r="6345" spans="1:4" x14ac:dyDescent="0.2">
      <c r="A6345">
        <v>3693965</v>
      </c>
      <c r="B6345">
        <v>30067</v>
      </c>
      <c r="C6345">
        <v>302462</v>
      </c>
      <c r="D6345">
        <v>21883</v>
      </c>
    </row>
    <row r="6346" spans="1:4" x14ac:dyDescent="0.2">
      <c r="A6346">
        <v>3693966</v>
      </c>
      <c r="B6346">
        <v>30063</v>
      </c>
      <c r="C6346">
        <v>302357</v>
      </c>
      <c r="D6346">
        <v>21883</v>
      </c>
    </row>
    <row r="6347" spans="1:4" x14ac:dyDescent="0.2">
      <c r="A6347">
        <v>3693966</v>
      </c>
      <c r="B6347">
        <v>30064</v>
      </c>
      <c r="C6347">
        <v>302369</v>
      </c>
      <c r="D6347">
        <v>21883</v>
      </c>
    </row>
    <row r="6348" spans="1:4" x14ac:dyDescent="0.2">
      <c r="A6348">
        <v>3693966</v>
      </c>
      <c r="B6348">
        <v>30065</v>
      </c>
      <c r="C6348">
        <v>302373</v>
      </c>
      <c r="D6348">
        <v>21883</v>
      </c>
    </row>
    <row r="6349" spans="1:4" x14ac:dyDescent="0.2">
      <c r="A6349">
        <v>3693966</v>
      </c>
      <c r="B6349">
        <v>30066</v>
      </c>
      <c r="C6349">
        <v>302436</v>
      </c>
      <c r="D6349">
        <v>21883</v>
      </c>
    </row>
    <row r="6350" spans="1:4" x14ac:dyDescent="0.2">
      <c r="A6350">
        <v>3693966</v>
      </c>
      <c r="B6350">
        <v>30067</v>
      </c>
      <c r="C6350">
        <v>302462</v>
      </c>
      <c r="D6350">
        <v>21883</v>
      </c>
    </row>
    <row r="6351" spans="1:4" x14ac:dyDescent="0.2">
      <c r="A6351">
        <v>3693967</v>
      </c>
      <c r="B6351">
        <v>30063</v>
      </c>
      <c r="C6351">
        <v>302357</v>
      </c>
      <c r="D6351">
        <v>21883</v>
      </c>
    </row>
    <row r="6352" spans="1:4" x14ac:dyDescent="0.2">
      <c r="A6352">
        <v>3693967</v>
      </c>
      <c r="B6352">
        <v>30064</v>
      </c>
      <c r="C6352">
        <v>302419</v>
      </c>
      <c r="D6352">
        <v>21883</v>
      </c>
    </row>
    <row r="6353" spans="1:4" x14ac:dyDescent="0.2">
      <c r="A6353">
        <v>3693967</v>
      </c>
      <c r="B6353">
        <v>30065</v>
      </c>
      <c r="C6353">
        <v>302373</v>
      </c>
      <c r="D6353">
        <v>21883</v>
      </c>
    </row>
    <row r="6354" spans="1:4" x14ac:dyDescent="0.2">
      <c r="A6354">
        <v>3693967</v>
      </c>
      <c r="B6354">
        <v>30066</v>
      </c>
      <c r="C6354">
        <v>302436</v>
      </c>
      <c r="D6354">
        <v>21883</v>
      </c>
    </row>
    <row r="6355" spans="1:4" x14ac:dyDescent="0.2">
      <c r="A6355">
        <v>3693967</v>
      </c>
      <c r="B6355">
        <v>30067</v>
      </c>
      <c r="C6355">
        <v>302462</v>
      </c>
      <c r="D6355">
        <v>21883</v>
      </c>
    </row>
    <row r="6356" spans="1:4" x14ac:dyDescent="0.2">
      <c r="A6356">
        <v>3693968</v>
      </c>
      <c r="B6356">
        <v>30063</v>
      </c>
      <c r="C6356">
        <v>302357</v>
      </c>
      <c r="D6356">
        <v>21883</v>
      </c>
    </row>
    <row r="6357" spans="1:4" x14ac:dyDescent="0.2">
      <c r="A6357">
        <v>3693968</v>
      </c>
      <c r="B6357">
        <v>30064</v>
      </c>
      <c r="C6357">
        <v>302369</v>
      </c>
      <c r="D6357">
        <v>21883</v>
      </c>
    </row>
    <row r="6358" spans="1:4" x14ac:dyDescent="0.2">
      <c r="A6358">
        <v>3693968</v>
      </c>
      <c r="B6358">
        <v>30065</v>
      </c>
      <c r="C6358">
        <v>302373</v>
      </c>
      <c r="D6358">
        <v>21883</v>
      </c>
    </row>
    <row r="6359" spans="1:4" x14ac:dyDescent="0.2">
      <c r="A6359">
        <v>3693968</v>
      </c>
      <c r="B6359">
        <v>30066</v>
      </c>
      <c r="C6359">
        <v>302436</v>
      </c>
      <c r="D6359">
        <v>21883</v>
      </c>
    </row>
    <row r="6360" spans="1:4" x14ac:dyDescent="0.2">
      <c r="A6360">
        <v>3693968</v>
      </c>
      <c r="B6360">
        <v>30067</v>
      </c>
      <c r="C6360">
        <v>302462</v>
      </c>
      <c r="D6360">
        <v>21883</v>
      </c>
    </row>
    <row r="6361" spans="1:4" x14ac:dyDescent="0.2">
      <c r="A6361">
        <v>3693969</v>
      </c>
      <c r="B6361">
        <v>30061</v>
      </c>
      <c r="C6361">
        <v>302333</v>
      </c>
      <c r="D6361">
        <v>21883</v>
      </c>
    </row>
    <row r="6362" spans="1:4" x14ac:dyDescent="0.2">
      <c r="A6362">
        <v>3693969</v>
      </c>
      <c r="B6362">
        <v>30062</v>
      </c>
      <c r="C6362">
        <v>302355</v>
      </c>
      <c r="D6362">
        <v>21883</v>
      </c>
    </row>
    <row r="6363" spans="1:4" x14ac:dyDescent="0.2">
      <c r="A6363">
        <v>3693969</v>
      </c>
      <c r="B6363">
        <v>30063</v>
      </c>
      <c r="C6363">
        <v>302357</v>
      </c>
      <c r="D6363">
        <v>21883</v>
      </c>
    </row>
    <row r="6364" spans="1:4" x14ac:dyDescent="0.2">
      <c r="A6364">
        <v>3693969</v>
      </c>
      <c r="B6364">
        <v>30064</v>
      </c>
      <c r="C6364">
        <v>302369</v>
      </c>
      <c r="D6364">
        <v>21883</v>
      </c>
    </row>
    <row r="6365" spans="1:4" x14ac:dyDescent="0.2">
      <c r="A6365">
        <v>3693969</v>
      </c>
      <c r="B6365">
        <v>30065</v>
      </c>
      <c r="C6365">
        <v>302331</v>
      </c>
      <c r="D6365">
        <v>21883</v>
      </c>
    </row>
    <row r="6366" spans="1:4" x14ac:dyDescent="0.2">
      <c r="A6366">
        <v>3693969</v>
      </c>
      <c r="B6366">
        <v>30066</v>
      </c>
      <c r="C6366">
        <v>302436</v>
      </c>
      <c r="D6366">
        <v>21883</v>
      </c>
    </row>
    <row r="6367" spans="1:4" x14ac:dyDescent="0.2">
      <c r="A6367">
        <v>3693969</v>
      </c>
      <c r="B6367">
        <v>30067</v>
      </c>
      <c r="C6367">
        <v>302462</v>
      </c>
      <c r="D6367">
        <v>21883</v>
      </c>
    </row>
    <row r="6368" spans="1:4" x14ac:dyDescent="0.2">
      <c r="A6368">
        <v>3693970</v>
      </c>
      <c r="B6368">
        <v>30063</v>
      </c>
      <c r="C6368">
        <v>302357</v>
      </c>
      <c r="D6368">
        <v>21883</v>
      </c>
    </row>
    <row r="6369" spans="1:4" x14ac:dyDescent="0.2">
      <c r="A6369">
        <v>3693970</v>
      </c>
      <c r="B6369">
        <v>30064</v>
      </c>
      <c r="C6369">
        <v>302368</v>
      </c>
      <c r="D6369">
        <v>21883</v>
      </c>
    </row>
    <row r="6370" spans="1:4" x14ac:dyDescent="0.2">
      <c r="A6370">
        <v>3693970</v>
      </c>
      <c r="B6370">
        <v>30065</v>
      </c>
      <c r="C6370">
        <v>302373</v>
      </c>
      <c r="D6370">
        <v>21883</v>
      </c>
    </row>
    <row r="6371" spans="1:4" x14ac:dyDescent="0.2">
      <c r="A6371">
        <v>3693970</v>
      </c>
      <c r="B6371">
        <v>30066</v>
      </c>
      <c r="C6371">
        <v>302436</v>
      </c>
      <c r="D6371">
        <v>21883</v>
      </c>
    </row>
    <row r="6372" spans="1:4" x14ac:dyDescent="0.2">
      <c r="A6372">
        <v>3693970</v>
      </c>
      <c r="B6372">
        <v>30067</v>
      </c>
      <c r="C6372">
        <v>302462</v>
      </c>
      <c r="D6372">
        <v>21883</v>
      </c>
    </row>
    <row r="6373" spans="1:4" x14ac:dyDescent="0.2">
      <c r="A6373">
        <v>3693971</v>
      </c>
      <c r="B6373">
        <v>30063</v>
      </c>
      <c r="C6373">
        <v>302357</v>
      </c>
      <c r="D6373">
        <v>21883</v>
      </c>
    </row>
    <row r="6374" spans="1:4" x14ac:dyDescent="0.2">
      <c r="A6374">
        <v>3693971</v>
      </c>
      <c r="B6374">
        <v>30064</v>
      </c>
      <c r="C6374">
        <v>302382</v>
      </c>
      <c r="D6374">
        <v>21883</v>
      </c>
    </row>
    <row r="6375" spans="1:4" x14ac:dyDescent="0.2">
      <c r="A6375">
        <v>3693971</v>
      </c>
      <c r="B6375">
        <v>30065</v>
      </c>
      <c r="C6375">
        <v>302373</v>
      </c>
      <c r="D6375">
        <v>21883</v>
      </c>
    </row>
    <row r="6376" spans="1:4" x14ac:dyDescent="0.2">
      <c r="A6376">
        <v>3693971</v>
      </c>
      <c r="B6376">
        <v>30066</v>
      </c>
      <c r="C6376">
        <v>302436</v>
      </c>
      <c r="D6376">
        <v>21883</v>
      </c>
    </row>
    <row r="6377" spans="1:4" x14ac:dyDescent="0.2">
      <c r="A6377">
        <v>3693971</v>
      </c>
      <c r="B6377">
        <v>30067</v>
      </c>
      <c r="C6377">
        <v>302462</v>
      </c>
      <c r="D6377">
        <v>21883</v>
      </c>
    </row>
    <row r="6378" spans="1:4" x14ac:dyDescent="0.2">
      <c r="A6378">
        <v>3693972</v>
      </c>
      <c r="B6378">
        <v>30063</v>
      </c>
      <c r="C6378">
        <v>302357</v>
      </c>
      <c r="D6378">
        <v>21883</v>
      </c>
    </row>
    <row r="6379" spans="1:4" x14ac:dyDescent="0.2">
      <c r="A6379">
        <v>3693972</v>
      </c>
      <c r="B6379">
        <v>30064</v>
      </c>
      <c r="C6379">
        <v>302382</v>
      </c>
      <c r="D6379">
        <v>21883</v>
      </c>
    </row>
    <row r="6380" spans="1:4" x14ac:dyDescent="0.2">
      <c r="A6380">
        <v>3693972</v>
      </c>
      <c r="B6380">
        <v>30065</v>
      </c>
      <c r="C6380">
        <v>302373</v>
      </c>
      <c r="D6380">
        <v>21883</v>
      </c>
    </row>
    <row r="6381" spans="1:4" x14ac:dyDescent="0.2">
      <c r="A6381">
        <v>3693972</v>
      </c>
      <c r="B6381">
        <v>30066</v>
      </c>
      <c r="C6381">
        <v>302436</v>
      </c>
      <c r="D6381">
        <v>21883</v>
      </c>
    </row>
    <row r="6382" spans="1:4" x14ac:dyDescent="0.2">
      <c r="A6382">
        <v>3693972</v>
      </c>
      <c r="B6382">
        <v>30067</v>
      </c>
      <c r="C6382">
        <v>302462</v>
      </c>
      <c r="D6382">
        <v>21883</v>
      </c>
    </row>
    <row r="6383" spans="1:4" x14ac:dyDescent="0.2">
      <c r="A6383">
        <v>3693973</v>
      </c>
      <c r="B6383">
        <v>30063</v>
      </c>
      <c r="C6383">
        <v>302357</v>
      </c>
      <c r="D6383">
        <v>21883</v>
      </c>
    </row>
    <row r="6384" spans="1:4" x14ac:dyDescent="0.2">
      <c r="A6384">
        <v>3693973</v>
      </c>
      <c r="B6384">
        <v>30064</v>
      </c>
      <c r="C6384">
        <v>302369</v>
      </c>
      <c r="D6384">
        <v>21883</v>
      </c>
    </row>
    <row r="6385" spans="1:4" x14ac:dyDescent="0.2">
      <c r="A6385">
        <v>3693973</v>
      </c>
      <c r="B6385">
        <v>30065</v>
      </c>
      <c r="C6385">
        <v>302373</v>
      </c>
      <c r="D6385">
        <v>21883</v>
      </c>
    </row>
    <row r="6386" spans="1:4" x14ac:dyDescent="0.2">
      <c r="A6386">
        <v>3693973</v>
      </c>
      <c r="B6386">
        <v>30066</v>
      </c>
      <c r="C6386">
        <v>302436</v>
      </c>
      <c r="D6386">
        <v>21883</v>
      </c>
    </row>
    <row r="6387" spans="1:4" x14ac:dyDescent="0.2">
      <c r="A6387">
        <v>3693973</v>
      </c>
      <c r="B6387">
        <v>30067</v>
      </c>
      <c r="C6387">
        <v>302462</v>
      </c>
      <c r="D6387">
        <v>21883</v>
      </c>
    </row>
    <row r="6388" spans="1:4" x14ac:dyDescent="0.2">
      <c r="A6388">
        <v>3693974</v>
      </c>
      <c r="B6388">
        <v>30063</v>
      </c>
      <c r="C6388">
        <v>302357</v>
      </c>
      <c r="D6388">
        <v>21883</v>
      </c>
    </row>
    <row r="6389" spans="1:4" x14ac:dyDescent="0.2">
      <c r="A6389">
        <v>3693974</v>
      </c>
      <c r="B6389">
        <v>30064</v>
      </c>
      <c r="C6389">
        <v>302369</v>
      </c>
      <c r="D6389">
        <v>21883</v>
      </c>
    </row>
    <row r="6390" spans="1:4" x14ac:dyDescent="0.2">
      <c r="A6390">
        <v>3693974</v>
      </c>
      <c r="B6390">
        <v>30065</v>
      </c>
      <c r="C6390">
        <v>302373</v>
      </c>
      <c r="D6390">
        <v>21883</v>
      </c>
    </row>
    <row r="6391" spans="1:4" x14ac:dyDescent="0.2">
      <c r="A6391">
        <v>3693974</v>
      </c>
      <c r="B6391">
        <v>30066</v>
      </c>
      <c r="C6391">
        <v>302436</v>
      </c>
      <c r="D6391">
        <v>21883</v>
      </c>
    </row>
    <row r="6392" spans="1:4" x14ac:dyDescent="0.2">
      <c r="A6392">
        <v>3693974</v>
      </c>
      <c r="B6392">
        <v>30067</v>
      </c>
      <c r="C6392">
        <v>302462</v>
      </c>
      <c r="D6392">
        <v>21883</v>
      </c>
    </row>
    <row r="6393" spans="1:4" x14ac:dyDescent="0.2">
      <c r="A6393">
        <v>3693975</v>
      </c>
      <c r="B6393">
        <v>30063</v>
      </c>
      <c r="C6393">
        <v>302357</v>
      </c>
      <c r="D6393">
        <v>21883</v>
      </c>
    </row>
    <row r="6394" spans="1:4" x14ac:dyDescent="0.2">
      <c r="A6394">
        <v>3693975</v>
      </c>
      <c r="B6394">
        <v>30064</v>
      </c>
      <c r="C6394">
        <v>302369</v>
      </c>
      <c r="D6394">
        <v>21883</v>
      </c>
    </row>
    <row r="6395" spans="1:4" x14ac:dyDescent="0.2">
      <c r="A6395">
        <v>3693975</v>
      </c>
      <c r="B6395">
        <v>30065</v>
      </c>
      <c r="C6395">
        <v>302373</v>
      </c>
      <c r="D6395">
        <v>21883</v>
      </c>
    </row>
    <row r="6396" spans="1:4" x14ac:dyDescent="0.2">
      <c r="A6396">
        <v>3693975</v>
      </c>
      <c r="B6396">
        <v>30066</v>
      </c>
      <c r="C6396">
        <v>302436</v>
      </c>
      <c r="D6396">
        <v>21883</v>
      </c>
    </row>
    <row r="6397" spans="1:4" x14ac:dyDescent="0.2">
      <c r="A6397">
        <v>3693975</v>
      </c>
      <c r="B6397">
        <v>30067</v>
      </c>
      <c r="C6397">
        <v>302462</v>
      </c>
      <c r="D6397">
        <v>21883</v>
      </c>
    </row>
    <row r="6398" spans="1:4" x14ac:dyDescent="0.2">
      <c r="A6398">
        <v>3693976</v>
      </c>
      <c r="B6398">
        <v>30063</v>
      </c>
      <c r="C6398">
        <v>302357</v>
      </c>
      <c r="D6398">
        <v>21883</v>
      </c>
    </row>
    <row r="6399" spans="1:4" x14ac:dyDescent="0.2">
      <c r="A6399">
        <v>3693976</v>
      </c>
      <c r="B6399">
        <v>30064</v>
      </c>
      <c r="C6399">
        <v>302369</v>
      </c>
      <c r="D6399">
        <v>21883</v>
      </c>
    </row>
    <row r="6400" spans="1:4" x14ac:dyDescent="0.2">
      <c r="A6400">
        <v>3693976</v>
      </c>
      <c r="B6400">
        <v>30065</v>
      </c>
      <c r="C6400">
        <v>302373</v>
      </c>
      <c r="D6400">
        <v>21883</v>
      </c>
    </row>
    <row r="6401" spans="1:4" x14ac:dyDescent="0.2">
      <c r="A6401">
        <v>3693976</v>
      </c>
      <c r="B6401">
        <v>30066</v>
      </c>
      <c r="C6401">
        <v>302436</v>
      </c>
      <c r="D6401">
        <v>21883</v>
      </c>
    </row>
    <row r="6402" spans="1:4" x14ac:dyDescent="0.2">
      <c r="A6402">
        <v>3693976</v>
      </c>
      <c r="B6402">
        <v>30067</v>
      </c>
      <c r="C6402">
        <v>302462</v>
      </c>
      <c r="D6402">
        <v>21883</v>
      </c>
    </row>
    <row r="6403" spans="1:4" x14ac:dyDescent="0.2">
      <c r="A6403">
        <v>3693977</v>
      </c>
      <c r="B6403">
        <v>30063</v>
      </c>
      <c r="C6403">
        <v>302357</v>
      </c>
      <c r="D6403">
        <v>21883</v>
      </c>
    </row>
    <row r="6404" spans="1:4" x14ac:dyDescent="0.2">
      <c r="A6404">
        <v>3693977</v>
      </c>
      <c r="B6404">
        <v>30064</v>
      </c>
      <c r="C6404">
        <v>302369</v>
      </c>
      <c r="D6404">
        <v>21883</v>
      </c>
    </row>
    <row r="6405" spans="1:4" x14ac:dyDescent="0.2">
      <c r="A6405">
        <v>3693977</v>
      </c>
      <c r="B6405">
        <v>30065</v>
      </c>
      <c r="C6405">
        <v>302373</v>
      </c>
      <c r="D6405">
        <v>21883</v>
      </c>
    </row>
    <row r="6406" spans="1:4" x14ac:dyDescent="0.2">
      <c r="A6406">
        <v>3693977</v>
      </c>
      <c r="B6406">
        <v>30066</v>
      </c>
      <c r="C6406">
        <v>302436</v>
      </c>
      <c r="D6406">
        <v>21883</v>
      </c>
    </row>
    <row r="6407" spans="1:4" x14ac:dyDescent="0.2">
      <c r="A6407">
        <v>3693977</v>
      </c>
      <c r="B6407">
        <v>30067</v>
      </c>
      <c r="C6407">
        <v>302462</v>
      </c>
      <c r="D6407">
        <v>21883</v>
      </c>
    </row>
    <row r="6408" spans="1:4" x14ac:dyDescent="0.2">
      <c r="A6408">
        <v>3693978</v>
      </c>
      <c r="B6408">
        <v>30063</v>
      </c>
      <c r="C6408">
        <v>302357</v>
      </c>
      <c r="D6408">
        <v>21883</v>
      </c>
    </row>
    <row r="6409" spans="1:4" x14ac:dyDescent="0.2">
      <c r="A6409">
        <v>3693978</v>
      </c>
      <c r="B6409">
        <v>30064</v>
      </c>
      <c r="C6409">
        <v>302369</v>
      </c>
      <c r="D6409">
        <v>21883</v>
      </c>
    </row>
    <row r="6410" spans="1:4" x14ac:dyDescent="0.2">
      <c r="A6410">
        <v>3693978</v>
      </c>
      <c r="B6410">
        <v>30065</v>
      </c>
      <c r="C6410">
        <v>302373</v>
      </c>
      <c r="D6410">
        <v>21883</v>
      </c>
    </row>
    <row r="6411" spans="1:4" x14ac:dyDescent="0.2">
      <c r="A6411">
        <v>3693978</v>
      </c>
      <c r="B6411">
        <v>30066</v>
      </c>
      <c r="C6411">
        <v>302436</v>
      </c>
      <c r="D6411">
        <v>21883</v>
      </c>
    </row>
    <row r="6412" spans="1:4" x14ac:dyDescent="0.2">
      <c r="A6412">
        <v>3693978</v>
      </c>
      <c r="B6412">
        <v>30067</v>
      </c>
      <c r="C6412">
        <v>302462</v>
      </c>
      <c r="D6412">
        <v>21883</v>
      </c>
    </row>
    <row r="6413" spans="1:4" x14ac:dyDescent="0.2">
      <c r="A6413">
        <v>3693979</v>
      </c>
      <c r="B6413">
        <v>30063</v>
      </c>
      <c r="C6413">
        <v>302357</v>
      </c>
      <c r="D6413">
        <v>21883</v>
      </c>
    </row>
    <row r="6414" spans="1:4" x14ac:dyDescent="0.2">
      <c r="A6414">
        <v>3693979</v>
      </c>
      <c r="B6414">
        <v>30064</v>
      </c>
      <c r="C6414">
        <v>302369</v>
      </c>
      <c r="D6414">
        <v>21883</v>
      </c>
    </row>
    <row r="6415" spans="1:4" x14ac:dyDescent="0.2">
      <c r="A6415">
        <v>3693979</v>
      </c>
      <c r="B6415">
        <v>30065</v>
      </c>
      <c r="C6415">
        <v>302373</v>
      </c>
      <c r="D6415">
        <v>21883</v>
      </c>
    </row>
    <row r="6416" spans="1:4" x14ac:dyDescent="0.2">
      <c r="A6416">
        <v>3693979</v>
      </c>
      <c r="B6416">
        <v>30066</v>
      </c>
      <c r="C6416">
        <v>302436</v>
      </c>
      <c r="D6416">
        <v>21883</v>
      </c>
    </row>
    <row r="6417" spans="1:4" x14ac:dyDescent="0.2">
      <c r="A6417">
        <v>3693979</v>
      </c>
      <c r="B6417">
        <v>30067</v>
      </c>
      <c r="C6417">
        <v>302462</v>
      </c>
      <c r="D6417">
        <v>21883</v>
      </c>
    </row>
    <row r="6418" spans="1:4" x14ac:dyDescent="0.2">
      <c r="A6418">
        <v>3693980</v>
      </c>
      <c r="B6418">
        <v>30061</v>
      </c>
      <c r="C6418">
        <v>302333</v>
      </c>
      <c r="D6418">
        <v>21883</v>
      </c>
    </row>
    <row r="6419" spans="1:4" x14ac:dyDescent="0.2">
      <c r="A6419">
        <v>3693980</v>
      </c>
      <c r="B6419">
        <v>30062</v>
      </c>
      <c r="C6419">
        <v>302355</v>
      </c>
      <c r="D6419">
        <v>21883</v>
      </c>
    </row>
    <row r="6420" spans="1:4" x14ac:dyDescent="0.2">
      <c r="A6420">
        <v>3693980</v>
      </c>
      <c r="B6420">
        <v>30063</v>
      </c>
      <c r="C6420">
        <v>302357</v>
      </c>
      <c r="D6420">
        <v>21883</v>
      </c>
    </row>
    <row r="6421" spans="1:4" x14ac:dyDescent="0.2">
      <c r="A6421">
        <v>3693980</v>
      </c>
      <c r="B6421">
        <v>30064</v>
      </c>
      <c r="C6421">
        <v>302382</v>
      </c>
      <c r="D6421">
        <v>21883</v>
      </c>
    </row>
    <row r="6422" spans="1:4" x14ac:dyDescent="0.2">
      <c r="A6422">
        <v>3693980</v>
      </c>
      <c r="B6422">
        <v>30065</v>
      </c>
      <c r="C6422">
        <v>302331</v>
      </c>
      <c r="D6422">
        <v>21883</v>
      </c>
    </row>
    <row r="6423" spans="1:4" x14ac:dyDescent="0.2">
      <c r="A6423">
        <v>3693980</v>
      </c>
      <c r="B6423">
        <v>30066</v>
      </c>
      <c r="C6423">
        <v>302436</v>
      </c>
      <c r="D6423">
        <v>21883</v>
      </c>
    </row>
    <row r="6424" spans="1:4" x14ac:dyDescent="0.2">
      <c r="A6424">
        <v>3693980</v>
      </c>
      <c r="B6424">
        <v>30067</v>
      </c>
      <c r="C6424">
        <v>302463</v>
      </c>
      <c r="D6424">
        <v>21883</v>
      </c>
    </row>
    <row r="6425" spans="1:4" x14ac:dyDescent="0.2">
      <c r="A6425">
        <v>3693981</v>
      </c>
      <c r="B6425">
        <v>30063</v>
      </c>
      <c r="C6425">
        <v>302357</v>
      </c>
      <c r="D6425">
        <v>21883</v>
      </c>
    </row>
    <row r="6426" spans="1:4" x14ac:dyDescent="0.2">
      <c r="A6426">
        <v>3693981</v>
      </c>
      <c r="B6426">
        <v>30064</v>
      </c>
      <c r="C6426">
        <v>302369</v>
      </c>
      <c r="D6426">
        <v>21883</v>
      </c>
    </row>
    <row r="6427" spans="1:4" x14ac:dyDescent="0.2">
      <c r="A6427">
        <v>3693981</v>
      </c>
      <c r="B6427">
        <v>30065</v>
      </c>
      <c r="C6427">
        <v>302373</v>
      </c>
      <c r="D6427">
        <v>21883</v>
      </c>
    </row>
    <row r="6428" spans="1:4" x14ac:dyDescent="0.2">
      <c r="A6428">
        <v>3693981</v>
      </c>
      <c r="B6428">
        <v>30066</v>
      </c>
      <c r="C6428">
        <v>302436</v>
      </c>
      <c r="D6428">
        <v>21883</v>
      </c>
    </row>
    <row r="6429" spans="1:4" x14ac:dyDescent="0.2">
      <c r="A6429">
        <v>3693981</v>
      </c>
      <c r="B6429">
        <v>30067</v>
      </c>
      <c r="C6429">
        <v>302463</v>
      </c>
      <c r="D6429">
        <v>21883</v>
      </c>
    </row>
    <row r="6430" spans="1:4" x14ac:dyDescent="0.2">
      <c r="A6430">
        <v>3693982</v>
      </c>
      <c r="B6430">
        <v>30063</v>
      </c>
      <c r="C6430">
        <v>302357</v>
      </c>
      <c r="D6430">
        <v>21883</v>
      </c>
    </row>
    <row r="6431" spans="1:4" x14ac:dyDescent="0.2">
      <c r="A6431">
        <v>3693982</v>
      </c>
      <c r="B6431">
        <v>30064</v>
      </c>
      <c r="C6431">
        <v>302419</v>
      </c>
      <c r="D6431">
        <v>21883</v>
      </c>
    </row>
    <row r="6432" spans="1:4" x14ac:dyDescent="0.2">
      <c r="A6432">
        <v>3693982</v>
      </c>
      <c r="B6432">
        <v>30065</v>
      </c>
      <c r="C6432">
        <v>302373</v>
      </c>
      <c r="D6432">
        <v>21883</v>
      </c>
    </row>
    <row r="6433" spans="1:4" x14ac:dyDescent="0.2">
      <c r="A6433">
        <v>3693982</v>
      </c>
      <c r="B6433">
        <v>30066</v>
      </c>
      <c r="C6433">
        <v>302436</v>
      </c>
      <c r="D6433">
        <v>21883</v>
      </c>
    </row>
    <row r="6434" spans="1:4" x14ac:dyDescent="0.2">
      <c r="A6434">
        <v>3693982</v>
      </c>
      <c r="B6434">
        <v>30067</v>
      </c>
      <c r="C6434">
        <v>302463</v>
      </c>
      <c r="D6434">
        <v>21883</v>
      </c>
    </row>
    <row r="6435" spans="1:4" x14ac:dyDescent="0.2">
      <c r="A6435">
        <v>3693983</v>
      </c>
      <c r="B6435">
        <v>30063</v>
      </c>
      <c r="C6435">
        <v>302357</v>
      </c>
      <c r="D6435">
        <v>21883</v>
      </c>
    </row>
    <row r="6436" spans="1:4" x14ac:dyDescent="0.2">
      <c r="A6436">
        <v>3693983</v>
      </c>
      <c r="B6436">
        <v>30064</v>
      </c>
      <c r="C6436">
        <v>302369</v>
      </c>
      <c r="D6436">
        <v>21883</v>
      </c>
    </row>
    <row r="6437" spans="1:4" x14ac:dyDescent="0.2">
      <c r="A6437">
        <v>3693983</v>
      </c>
      <c r="B6437">
        <v>30065</v>
      </c>
      <c r="C6437">
        <v>302373</v>
      </c>
      <c r="D6437">
        <v>21883</v>
      </c>
    </row>
    <row r="6438" spans="1:4" x14ac:dyDescent="0.2">
      <c r="A6438">
        <v>3693983</v>
      </c>
      <c r="B6438">
        <v>30066</v>
      </c>
      <c r="C6438">
        <v>302436</v>
      </c>
      <c r="D6438">
        <v>21883</v>
      </c>
    </row>
    <row r="6439" spans="1:4" x14ac:dyDescent="0.2">
      <c r="A6439">
        <v>3693983</v>
      </c>
      <c r="B6439">
        <v>30067</v>
      </c>
      <c r="C6439">
        <v>302463</v>
      </c>
      <c r="D6439">
        <v>21883</v>
      </c>
    </row>
    <row r="6440" spans="1:4" x14ac:dyDescent="0.2">
      <c r="A6440">
        <v>3693984</v>
      </c>
      <c r="B6440">
        <v>30061</v>
      </c>
      <c r="C6440">
        <v>302333</v>
      </c>
      <c r="D6440">
        <v>21883</v>
      </c>
    </row>
    <row r="6441" spans="1:4" x14ac:dyDescent="0.2">
      <c r="A6441">
        <v>3693984</v>
      </c>
      <c r="B6441">
        <v>30062</v>
      </c>
      <c r="C6441">
        <v>302355</v>
      </c>
      <c r="D6441">
        <v>21883</v>
      </c>
    </row>
    <row r="6442" spans="1:4" x14ac:dyDescent="0.2">
      <c r="A6442">
        <v>3693984</v>
      </c>
      <c r="B6442">
        <v>30063</v>
      </c>
      <c r="C6442">
        <v>302357</v>
      </c>
      <c r="D6442">
        <v>21883</v>
      </c>
    </row>
    <row r="6443" spans="1:4" x14ac:dyDescent="0.2">
      <c r="A6443">
        <v>3693984</v>
      </c>
      <c r="B6443">
        <v>30064</v>
      </c>
      <c r="C6443">
        <v>302369</v>
      </c>
      <c r="D6443">
        <v>21883</v>
      </c>
    </row>
    <row r="6444" spans="1:4" x14ac:dyDescent="0.2">
      <c r="A6444">
        <v>3693984</v>
      </c>
      <c r="B6444">
        <v>30065</v>
      </c>
      <c r="C6444">
        <v>302331</v>
      </c>
      <c r="D6444">
        <v>21883</v>
      </c>
    </row>
    <row r="6445" spans="1:4" x14ac:dyDescent="0.2">
      <c r="A6445">
        <v>3693984</v>
      </c>
      <c r="B6445">
        <v>30066</v>
      </c>
      <c r="C6445">
        <v>302436</v>
      </c>
      <c r="D6445">
        <v>21883</v>
      </c>
    </row>
    <row r="6446" spans="1:4" x14ac:dyDescent="0.2">
      <c r="A6446">
        <v>3693984</v>
      </c>
      <c r="B6446">
        <v>30067</v>
      </c>
      <c r="C6446">
        <v>302463</v>
      </c>
      <c r="D6446">
        <v>21883</v>
      </c>
    </row>
    <row r="6447" spans="1:4" x14ac:dyDescent="0.2">
      <c r="A6447">
        <v>3693985</v>
      </c>
      <c r="B6447">
        <v>30063</v>
      </c>
      <c r="C6447">
        <v>302357</v>
      </c>
      <c r="D6447">
        <v>21883</v>
      </c>
    </row>
    <row r="6448" spans="1:4" x14ac:dyDescent="0.2">
      <c r="A6448">
        <v>3693985</v>
      </c>
      <c r="B6448">
        <v>30064</v>
      </c>
      <c r="C6448">
        <v>302368</v>
      </c>
      <c r="D6448">
        <v>21883</v>
      </c>
    </row>
    <row r="6449" spans="1:4" x14ac:dyDescent="0.2">
      <c r="A6449">
        <v>3693985</v>
      </c>
      <c r="B6449">
        <v>30065</v>
      </c>
      <c r="C6449">
        <v>302373</v>
      </c>
      <c r="D6449">
        <v>21883</v>
      </c>
    </row>
    <row r="6450" spans="1:4" x14ac:dyDescent="0.2">
      <c r="A6450">
        <v>3693985</v>
      </c>
      <c r="B6450">
        <v>30066</v>
      </c>
      <c r="C6450">
        <v>302436</v>
      </c>
      <c r="D6450">
        <v>21883</v>
      </c>
    </row>
    <row r="6451" spans="1:4" x14ac:dyDescent="0.2">
      <c r="A6451">
        <v>3693985</v>
      </c>
      <c r="B6451">
        <v>30067</v>
      </c>
      <c r="C6451">
        <v>302463</v>
      </c>
      <c r="D6451">
        <v>21883</v>
      </c>
    </row>
    <row r="6452" spans="1:4" x14ac:dyDescent="0.2">
      <c r="A6452">
        <v>3693986</v>
      </c>
      <c r="B6452">
        <v>30063</v>
      </c>
      <c r="C6452">
        <v>302357</v>
      </c>
      <c r="D6452">
        <v>21883</v>
      </c>
    </row>
    <row r="6453" spans="1:4" x14ac:dyDescent="0.2">
      <c r="A6453">
        <v>3693986</v>
      </c>
      <c r="B6453">
        <v>30064</v>
      </c>
      <c r="C6453">
        <v>302382</v>
      </c>
      <c r="D6453">
        <v>21883</v>
      </c>
    </row>
    <row r="6454" spans="1:4" x14ac:dyDescent="0.2">
      <c r="A6454">
        <v>3693986</v>
      </c>
      <c r="B6454">
        <v>30065</v>
      </c>
      <c r="C6454">
        <v>302373</v>
      </c>
      <c r="D6454">
        <v>21883</v>
      </c>
    </row>
    <row r="6455" spans="1:4" x14ac:dyDescent="0.2">
      <c r="A6455">
        <v>3693986</v>
      </c>
      <c r="B6455">
        <v>30066</v>
      </c>
      <c r="C6455">
        <v>302436</v>
      </c>
      <c r="D6455">
        <v>21883</v>
      </c>
    </row>
    <row r="6456" spans="1:4" x14ac:dyDescent="0.2">
      <c r="A6456">
        <v>3693986</v>
      </c>
      <c r="B6456">
        <v>30067</v>
      </c>
      <c r="C6456">
        <v>302463</v>
      </c>
      <c r="D6456">
        <v>21883</v>
      </c>
    </row>
    <row r="6457" spans="1:4" x14ac:dyDescent="0.2">
      <c r="A6457">
        <v>3693987</v>
      </c>
      <c r="B6457">
        <v>30061</v>
      </c>
      <c r="C6457">
        <v>302337</v>
      </c>
      <c r="D6457">
        <v>21883</v>
      </c>
    </row>
    <row r="6458" spans="1:4" x14ac:dyDescent="0.2">
      <c r="A6458">
        <v>3693987</v>
      </c>
      <c r="B6458">
        <v>30063</v>
      </c>
      <c r="C6458">
        <v>302357</v>
      </c>
      <c r="D6458">
        <v>21883</v>
      </c>
    </row>
    <row r="6459" spans="1:4" x14ac:dyDescent="0.2">
      <c r="A6459">
        <v>3693987</v>
      </c>
      <c r="B6459">
        <v>30064</v>
      </c>
      <c r="C6459">
        <v>302382</v>
      </c>
      <c r="D6459">
        <v>21883</v>
      </c>
    </row>
    <row r="6460" spans="1:4" x14ac:dyDescent="0.2">
      <c r="A6460">
        <v>3693987</v>
      </c>
      <c r="B6460">
        <v>30065</v>
      </c>
      <c r="C6460">
        <v>302373</v>
      </c>
      <c r="D6460">
        <v>21883</v>
      </c>
    </row>
    <row r="6461" spans="1:4" x14ac:dyDescent="0.2">
      <c r="A6461">
        <v>3693987</v>
      </c>
      <c r="B6461">
        <v>30066</v>
      </c>
      <c r="C6461">
        <v>302436</v>
      </c>
      <c r="D6461">
        <v>21883</v>
      </c>
    </row>
    <row r="6462" spans="1:4" x14ac:dyDescent="0.2">
      <c r="A6462">
        <v>3693987</v>
      </c>
      <c r="B6462">
        <v>30067</v>
      </c>
      <c r="C6462">
        <v>302463</v>
      </c>
      <c r="D6462">
        <v>21883</v>
      </c>
    </row>
    <row r="6463" spans="1:4" x14ac:dyDescent="0.2">
      <c r="A6463">
        <v>3693988</v>
      </c>
      <c r="B6463">
        <v>30063</v>
      </c>
      <c r="C6463">
        <v>302357</v>
      </c>
      <c r="D6463">
        <v>21883</v>
      </c>
    </row>
    <row r="6464" spans="1:4" x14ac:dyDescent="0.2">
      <c r="A6464">
        <v>3693988</v>
      </c>
      <c r="B6464">
        <v>30064</v>
      </c>
      <c r="C6464">
        <v>302369</v>
      </c>
      <c r="D6464">
        <v>21883</v>
      </c>
    </row>
    <row r="6465" spans="1:4" x14ac:dyDescent="0.2">
      <c r="A6465">
        <v>3693988</v>
      </c>
      <c r="B6465">
        <v>30065</v>
      </c>
      <c r="C6465">
        <v>302373</v>
      </c>
      <c r="D6465">
        <v>21883</v>
      </c>
    </row>
    <row r="6466" spans="1:4" x14ac:dyDescent="0.2">
      <c r="A6466">
        <v>3693988</v>
      </c>
      <c r="B6466">
        <v>30066</v>
      </c>
      <c r="C6466">
        <v>302436</v>
      </c>
      <c r="D6466">
        <v>21883</v>
      </c>
    </row>
    <row r="6467" spans="1:4" x14ac:dyDescent="0.2">
      <c r="A6467">
        <v>3693988</v>
      </c>
      <c r="B6467">
        <v>30067</v>
      </c>
      <c r="C6467">
        <v>302463</v>
      </c>
      <c r="D6467">
        <v>21883</v>
      </c>
    </row>
    <row r="6468" spans="1:4" x14ac:dyDescent="0.2">
      <c r="A6468">
        <v>3693989</v>
      </c>
      <c r="B6468">
        <v>30063</v>
      </c>
      <c r="C6468">
        <v>302357</v>
      </c>
      <c r="D6468">
        <v>21883</v>
      </c>
    </row>
    <row r="6469" spans="1:4" x14ac:dyDescent="0.2">
      <c r="A6469">
        <v>3693989</v>
      </c>
      <c r="B6469">
        <v>30064</v>
      </c>
      <c r="C6469">
        <v>302369</v>
      </c>
      <c r="D6469">
        <v>21883</v>
      </c>
    </row>
    <row r="6470" spans="1:4" x14ac:dyDescent="0.2">
      <c r="A6470">
        <v>3693989</v>
      </c>
      <c r="B6470">
        <v>30065</v>
      </c>
      <c r="C6470">
        <v>302373</v>
      </c>
      <c r="D6470">
        <v>21883</v>
      </c>
    </row>
    <row r="6471" spans="1:4" x14ac:dyDescent="0.2">
      <c r="A6471">
        <v>3693989</v>
      </c>
      <c r="B6471">
        <v>30066</v>
      </c>
      <c r="C6471">
        <v>302436</v>
      </c>
      <c r="D6471">
        <v>21883</v>
      </c>
    </row>
    <row r="6472" spans="1:4" x14ac:dyDescent="0.2">
      <c r="A6472">
        <v>3693989</v>
      </c>
      <c r="B6472">
        <v>30067</v>
      </c>
      <c r="C6472">
        <v>302463</v>
      </c>
      <c r="D6472">
        <v>21883</v>
      </c>
    </row>
    <row r="6473" spans="1:4" x14ac:dyDescent="0.2">
      <c r="A6473">
        <v>3693990</v>
      </c>
      <c r="B6473">
        <v>30063</v>
      </c>
      <c r="C6473">
        <v>302357</v>
      </c>
      <c r="D6473">
        <v>21883</v>
      </c>
    </row>
    <row r="6474" spans="1:4" x14ac:dyDescent="0.2">
      <c r="A6474">
        <v>3693990</v>
      </c>
      <c r="B6474">
        <v>30064</v>
      </c>
      <c r="C6474">
        <v>302369</v>
      </c>
      <c r="D6474">
        <v>21883</v>
      </c>
    </row>
    <row r="6475" spans="1:4" x14ac:dyDescent="0.2">
      <c r="A6475">
        <v>3693990</v>
      </c>
      <c r="B6475">
        <v>30065</v>
      </c>
      <c r="C6475">
        <v>302373</v>
      </c>
      <c r="D6475">
        <v>21883</v>
      </c>
    </row>
    <row r="6476" spans="1:4" x14ac:dyDescent="0.2">
      <c r="A6476">
        <v>3693990</v>
      </c>
      <c r="B6476">
        <v>30066</v>
      </c>
      <c r="C6476">
        <v>302436</v>
      </c>
      <c r="D6476">
        <v>21883</v>
      </c>
    </row>
    <row r="6477" spans="1:4" x14ac:dyDescent="0.2">
      <c r="A6477">
        <v>3693990</v>
      </c>
      <c r="B6477">
        <v>30067</v>
      </c>
      <c r="C6477">
        <v>302463</v>
      </c>
      <c r="D6477">
        <v>21883</v>
      </c>
    </row>
    <row r="6478" spans="1:4" x14ac:dyDescent="0.2">
      <c r="A6478">
        <v>3693991</v>
      </c>
      <c r="B6478">
        <v>30063</v>
      </c>
      <c r="C6478">
        <v>302357</v>
      </c>
      <c r="D6478">
        <v>21883</v>
      </c>
    </row>
    <row r="6479" spans="1:4" x14ac:dyDescent="0.2">
      <c r="A6479">
        <v>3693991</v>
      </c>
      <c r="B6479">
        <v>30064</v>
      </c>
      <c r="C6479">
        <v>302369</v>
      </c>
      <c r="D6479">
        <v>21883</v>
      </c>
    </row>
    <row r="6480" spans="1:4" x14ac:dyDescent="0.2">
      <c r="A6480">
        <v>3693991</v>
      </c>
      <c r="B6480">
        <v>30065</v>
      </c>
      <c r="C6480">
        <v>302373</v>
      </c>
      <c r="D6480">
        <v>21883</v>
      </c>
    </row>
    <row r="6481" spans="1:4" x14ac:dyDescent="0.2">
      <c r="A6481">
        <v>3693991</v>
      </c>
      <c r="B6481">
        <v>30066</v>
      </c>
      <c r="C6481">
        <v>302436</v>
      </c>
      <c r="D6481">
        <v>21883</v>
      </c>
    </row>
    <row r="6482" spans="1:4" x14ac:dyDescent="0.2">
      <c r="A6482">
        <v>3693991</v>
      </c>
      <c r="B6482">
        <v>30067</v>
      </c>
      <c r="C6482">
        <v>302463</v>
      </c>
      <c r="D6482">
        <v>21883</v>
      </c>
    </row>
    <row r="6483" spans="1:4" x14ac:dyDescent="0.2">
      <c r="A6483">
        <v>3693992</v>
      </c>
      <c r="B6483">
        <v>30063</v>
      </c>
      <c r="C6483">
        <v>302357</v>
      </c>
      <c r="D6483">
        <v>21883</v>
      </c>
    </row>
    <row r="6484" spans="1:4" x14ac:dyDescent="0.2">
      <c r="A6484">
        <v>3693992</v>
      </c>
      <c r="B6484">
        <v>30064</v>
      </c>
      <c r="C6484">
        <v>302369</v>
      </c>
      <c r="D6484">
        <v>21883</v>
      </c>
    </row>
    <row r="6485" spans="1:4" x14ac:dyDescent="0.2">
      <c r="A6485">
        <v>3693992</v>
      </c>
      <c r="B6485">
        <v>30065</v>
      </c>
      <c r="C6485">
        <v>302373</v>
      </c>
      <c r="D6485">
        <v>21883</v>
      </c>
    </row>
    <row r="6486" spans="1:4" x14ac:dyDescent="0.2">
      <c r="A6486">
        <v>3693992</v>
      </c>
      <c r="B6486">
        <v>30066</v>
      </c>
      <c r="C6486">
        <v>302436</v>
      </c>
      <c r="D6486">
        <v>21883</v>
      </c>
    </row>
    <row r="6487" spans="1:4" x14ac:dyDescent="0.2">
      <c r="A6487">
        <v>3693992</v>
      </c>
      <c r="B6487">
        <v>30067</v>
      </c>
      <c r="C6487">
        <v>302463</v>
      </c>
      <c r="D6487">
        <v>21883</v>
      </c>
    </row>
    <row r="6488" spans="1:4" x14ac:dyDescent="0.2">
      <c r="A6488">
        <v>3693993</v>
      </c>
      <c r="B6488">
        <v>30063</v>
      </c>
      <c r="C6488">
        <v>302357</v>
      </c>
      <c r="D6488">
        <v>21883</v>
      </c>
    </row>
    <row r="6489" spans="1:4" x14ac:dyDescent="0.2">
      <c r="A6489">
        <v>3693993</v>
      </c>
      <c r="B6489">
        <v>30064</v>
      </c>
      <c r="C6489">
        <v>302369</v>
      </c>
      <c r="D6489">
        <v>21883</v>
      </c>
    </row>
    <row r="6490" spans="1:4" x14ac:dyDescent="0.2">
      <c r="A6490">
        <v>3693993</v>
      </c>
      <c r="B6490">
        <v>30065</v>
      </c>
      <c r="C6490">
        <v>302373</v>
      </c>
      <c r="D6490">
        <v>21883</v>
      </c>
    </row>
    <row r="6491" spans="1:4" x14ac:dyDescent="0.2">
      <c r="A6491">
        <v>3693993</v>
      </c>
      <c r="B6491">
        <v>30066</v>
      </c>
      <c r="C6491">
        <v>302436</v>
      </c>
      <c r="D6491">
        <v>21883</v>
      </c>
    </row>
    <row r="6492" spans="1:4" x14ac:dyDescent="0.2">
      <c r="A6492">
        <v>3693993</v>
      </c>
      <c r="B6492">
        <v>30067</v>
      </c>
      <c r="C6492">
        <v>302463</v>
      </c>
      <c r="D6492">
        <v>21883</v>
      </c>
    </row>
    <row r="6493" spans="1:4" x14ac:dyDescent="0.2">
      <c r="A6493">
        <v>3693994</v>
      </c>
      <c r="B6493">
        <v>30063</v>
      </c>
      <c r="C6493">
        <v>302357</v>
      </c>
      <c r="D6493">
        <v>21883</v>
      </c>
    </row>
    <row r="6494" spans="1:4" x14ac:dyDescent="0.2">
      <c r="A6494">
        <v>3693994</v>
      </c>
      <c r="B6494">
        <v>30064</v>
      </c>
      <c r="C6494">
        <v>302369</v>
      </c>
      <c r="D6494">
        <v>21883</v>
      </c>
    </row>
    <row r="6495" spans="1:4" x14ac:dyDescent="0.2">
      <c r="A6495">
        <v>3693994</v>
      </c>
      <c r="B6495">
        <v>30065</v>
      </c>
      <c r="C6495">
        <v>302373</v>
      </c>
      <c r="D6495">
        <v>21883</v>
      </c>
    </row>
    <row r="6496" spans="1:4" x14ac:dyDescent="0.2">
      <c r="A6496">
        <v>3693994</v>
      </c>
      <c r="B6496">
        <v>30066</v>
      </c>
      <c r="C6496">
        <v>302436</v>
      </c>
      <c r="D6496">
        <v>21883</v>
      </c>
    </row>
    <row r="6497" spans="1:4" x14ac:dyDescent="0.2">
      <c r="A6497">
        <v>3693994</v>
      </c>
      <c r="B6497">
        <v>30067</v>
      </c>
      <c r="C6497">
        <v>302463</v>
      </c>
      <c r="D6497">
        <v>21883</v>
      </c>
    </row>
    <row r="6498" spans="1:4" x14ac:dyDescent="0.2">
      <c r="A6498">
        <v>3693995</v>
      </c>
      <c r="B6498">
        <v>30061</v>
      </c>
      <c r="C6498">
        <v>302333</v>
      </c>
      <c r="D6498">
        <v>21883</v>
      </c>
    </row>
    <row r="6499" spans="1:4" x14ac:dyDescent="0.2">
      <c r="A6499">
        <v>3693995</v>
      </c>
      <c r="B6499">
        <v>30062</v>
      </c>
      <c r="C6499">
        <v>302355</v>
      </c>
      <c r="D6499">
        <v>21883</v>
      </c>
    </row>
    <row r="6500" spans="1:4" x14ac:dyDescent="0.2">
      <c r="A6500">
        <v>3693995</v>
      </c>
      <c r="B6500">
        <v>30063</v>
      </c>
      <c r="C6500">
        <v>302357</v>
      </c>
      <c r="D6500">
        <v>21883</v>
      </c>
    </row>
    <row r="6501" spans="1:4" x14ac:dyDescent="0.2">
      <c r="A6501">
        <v>3693995</v>
      </c>
      <c r="B6501">
        <v>30064</v>
      </c>
      <c r="C6501">
        <v>302335</v>
      </c>
      <c r="D6501">
        <v>21883</v>
      </c>
    </row>
    <row r="6502" spans="1:4" x14ac:dyDescent="0.2">
      <c r="A6502">
        <v>3693995</v>
      </c>
      <c r="B6502">
        <v>30065</v>
      </c>
      <c r="C6502">
        <v>302331</v>
      </c>
      <c r="D6502">
        <v>21883</v>
      </c>
    </row>
    <row r="6503" spans="1:4" x14ac:dyDescent="0.2">
      <c r="A6503">
        <v>3693995</v>
      </c>
      <c r="B6503">
        <v>30066</v>
      </c>
      <c r="C6503">
        <v>302436</v>
      </c>
      <c r="D6503">
        <v>21883</v>
      </c>
    </row>
    <row r="6504" spans="1:4" x14ac:dyDescent="0.2">
      <c r="A6504">
        <v>3693995</v>
      </c>
      <c r="B6504">
        <v>30067</v>
      </c>
      <c r="C6504">
        <v>302464</v>
      </c>
      <c r="D6504">
        <v>21883</v>
      </c>
    </row>
    <row r="6505" spans="1:4" x14ac:dyDescent="0.2">
      <c r="A6505">
        <v>3693996</v>
      </c>
      <c r="B6505">
        <v>30061</v>
      </c>
      <c r="C6505">
        <v>302338</v>
      </c>
      <c r="D6505">
        <v>21883</v>
      </c>
    </row>
    <row r="6506" spans="1:4" x14ac:dyDescent="0.2">
      <c r="A6506">
        <v>3693996</v>
      </c>
      <c r="B6506">
        <v>30062</v>
      </c>
      <c r="C6506">
        <v>302355</v>
      </c>
      <c r="D6506">
        <v>21883</v>
      </c>
    </row>
    <row r="6507" spans="1:4" x14ac:dyDescent="0.2">
      <c r="A6507">
        <v>3693996</v>
      </c>
      <c r="B6507">
        <v>30063</v>
      </c>
      <c r="C6507">
        <v>302376</v>
      </c>
      <c r="D6507">
        <v>21883</v>
      </c>
    </row>
    <row r="6508" spans="1:4" x14ac:dyDescent="0.2">
      <c r="A6508">
        <v>3693996</v>
      </c>
      <c r="B6508">
        <v>30064</v>
      </c>
      <c r="C6508">
        <v>302409</v>
      </c>
      <c r="D6508">
        <v>21883</v>
      </c>
    </row>
    <row r="6509" spans="1:4" x14ac:dyDescent="0.2">
      <c r="A6509">
        <v>3693996</v>
      </c>
      <c r="B6509">
        <v>30065</v>
      </c>
      <c r="C6509">
        <v>302405</v>
      </c>
      <c r="D6509">
        <v>21883</v>
      </c>
    </row>
    <row r="6510" spans="1:4" x14ac:dyDescent="0.2">
      <c r="A6510">
        <v>3693996</v>
      </c>
      <c r="B6510">
        <v>30066</v>
      </c>
      <c r="C6510">
        <v>302436</v>
      </c>
      <c r="D6510">
        <v>21883</v>
      </c>
    </row>
    <row r="6511" spans="1:4" x14ac:dyDescent="0.2">
      <c r="A6511">
        <v>3693997</v>
      </c>
      <c r="B6511">
        <v>30063</v>
      </c>
      <c r="C6511">
        <v>302357</v>
      </c>
      <c r="D6511">
        <v>21883</v>
      </c>
    </row>
    <row r="6512" spans="1:4" x14ac:dyDescent="0.2">
      <c r="A6512">
        <v>3693997</v>
      </c>
      <c r="B6512">
        <v>30064</v>
      </c>
      <c r="C6512">
        <v>302362</v>
      </c>
      <c r="D6512">
        <v>21883</v>
      </c>
    </row>
    <row r="6513" spans="1:4" x14ac:dyDescent="0.2">
      <c r="A6513">
        <v>3693997</v>
      </c>
      <c r="B6513">
        <v>30065</v>
      </c>
      <c r="C6513">
        <v>302373</v>
      </c>
      <c r="D6513">
        <v>21883</v>
      </c>
    </row>
    <row r="6514" spans="1:4" x14ac:dyDescent="0.2">
      <c r="A6514">
        <v>3693997</v>
      </c>
      <c r="B6514">
        <v>30066</v>
      </c>
      <c r="C6514">
        <v>302436</v>
      </c>
      <c r="D6514">
        <v>21883</v>
      </c>
    </row>
    <row r="6515" spans="1:4" x14ac:dyDescent="0.2">
      <c r="A6515">
        <v>3693997</v>
      </c>
      <c r="B6515">
        <v>30067</v>
      </c>
      <c r="C6515">
        <v>302448</v>
      </c>
      <c r="D6515">
        <v>21883</v>
      </c>
    </row>
    <row r="6516" spans="1:4" x14ac:dyDescent="0.2">
      <c r="A6516">
        <v>3693998</v>
      </c>
      <c r="B6516">
        <v>30063</v>
      </c>
      <c r="C6516">
        <v>302357</v>
      </c>
      <c r="D6516">
        <v>21883</v>
      </c>
    </row>
    <row r="6517" spans="1:4" x14ac:dyDescent="0.2">
      <c r="A6517">
        <v>3693998</v>
      </c>
      <c r="B6517">
        <v>30064</v>
      </c>
      <c r="C6517">
        <v>302362</v>
      </c>
      <c r="D6517">
        <v>21883</v>
      </c>
    </row>
    <row r="6518" spans="1:4" x14ac:dyDescent="0.2">
      <c r="A6518">
        <v>3693998</v>
      </c>
      <c r="B6518">
        <v>30065</v>
      </c>
      <c r="C6518">
        <v>302373</v>
      </c>
      <c r="D6518">
        <v>21883</v>
      </c>
    </row>
    <row r="6519" spans="1:4" x14ac:dyDescent="0.2">
      <c r="A6519">
        <v>3693998</v>
      </c>
      <c r="B6519">
        <v>30066</v>
      </c>
      <c r="C6519">
        <v>302436</v>
      </c>
      <c r="D6519">
        <v>21883</v>
      </c>
    </row>
    <row r="6520" spans="1:4" x14ac:dyDescent="0.2">
      <c r="A6520">
        <v>3693998</v>
      </c>
      <c r="B6520">
        <v>30067</v>
      </c>
      <c r="C6520">
        <v>302449</v>
      </c>
      <c r="D6520">
        <v>21883</v>
      </c>
    </row>
    <row r="6521" spans="1:4" x14ac:dyDescent="0.2">
      <c r="A6521">
        <v>3693999</v>
      </c>
      <c r="B6521">
        <v>30063</v>
      </c>
      <c r="C6521">
        <v>302357</v>
      </c>
      <c r="D6521">
        <v>21883</v>
      </c>
    </row>
    <row r="6522" spans="1:4" x14ac:dyDescent="0.2">
      <c r="A6522">
        <v>3693999</v>
      </c>
      <c r="B6522">
        <v>30064</v>
      </c>
      <c r="C6522">
        <v>302362</v>
      </c>
      <c r="D6522">
        <v>21883</v>
      </c>
    </row>
    <row r="6523" spans="1:4" x14ac:dyDescent="0.2">
      <c r="A6523">
        <v>3693999</v>
      </c>
      <c r="B6523">
        <v>30065</v>
      </c>
      <c r="C6523">
        <v>302373</v>
      </c>
      <c r="D6523">
        <v>21883</v>
      </c>
    </row>
    <row r="6524" spans="1:4" x14ac:dyDescent="0.2">
      <c r="A6524">
        <v>3693999</v>
      </c>
      <c r="B6524">
        <v>30066</v>
      </c>
      <c r="C6524">
        <v>302436</v>
      </c>
      <c r="D6524">
        <v>21883</v>
      </c>
    </row>
    <row r="6525" spans="1:4" x14ac:dyDescent="0.2">
      <c r="A6525">
        <v>3693999</v>
      </c>
      <c r="B6525">
        <v>30067</v>
      </c>
      <c r="C6525">
        <v>302450</v>
      </c>
      <c r="D6525">
        <v>21883</v>
      </c>
    </row>
    <row r="6526" spans="1:4" x14ac:dyDescent="0.2">
      <c r="A6526">
        <v>3694000</v>
      </c>
      <c r="B6526">
        <v>30061</v>
      </c>
      <c r="C6526">
        <v>302337</v>
      </c>
      <c r="D6526">
        <v>21883</v>
      </c>
    </row>
    <row r="6527" spans="1:4" x14ac:dyDescent="0.2">
      <c r="A6527">
        <v>3694000</v>
      </c>
      <c r="B6527">
        <v>30063</v>
      </c>
      <c r="C6527">
        <v>302357</v>
      </c>
      <c r="D6527">
        <v>21883</v>
      </c>
    </row>
    <row r="6528" spans="1:4" x14ac:dyDescent="0.2">
      <c r="A6528">
        <v>3694000</v>
      </c>
      <c r="B6528">
        <v>30064</v>
      </c>
      <c r="C6528">
        <v>302378</v>
      </c>
      <c r="D6528">
        <v>21883</v>
      </c>
    </row>
    <row r="6529" spans="1:4" x14ac:dyDescent="0.2">
      <c r="A6529">
        <v>3694000</v>
      </c>
      <c r="B6529">
        <v>30065</v>
      </c>
      <c r="C6529">
        <v>302372</v>
      </c>
      <c r="D6529">
        <v>21883</v>
      </c>
    </row>
    <row r="6530" spans="1:4" x14ac:dyDescent="0.2">
      <c r="A6530">
        <v>3694000</v>
      </c>
      <c r="B6530">
        <v>30066</v>
      </c>
      <c r="C6530">
        <v>302436</v>
      </c>
      <c r="D6530">
        <v>21883</v>
      </c>
    </row>
    <row r="6531" spans="1:4" x14ac:dyDescent="0.2">
      <c r="A6531">
        <v>3694000</v>
      </c>
      <c r="B6531">
        <v>30067</v>
      </c>
      <c r="C6531">
        <v>302454</v>
      </c>
      <c r="D6531">
        <v>21883</v>
      </c>
    </row>
    <row r="6532" spans="1:4" x14ac:dyDescent="0.2">
      <c r="A6532">
        <v>3694001</v>
      </c>
      <c r="B6532">
        <v>30061</v>
      </c>
      <c r="C6532">
        <v>302337</v>
      </c>
      <c r="D6532">
        <v>21883</v>
      </c>
    </row>
    <row r="6533" spans="1:4" x14ac:dyDescent="0.2">
      <c r="A6533">
        <v>3694001</v>
      </c>
      <c r="B6533">
        <v>30063</v>
      </c>
      <c r="C6533">
        <v>302357</v>
      </c>
      <c r="D6533">
        <v>21883</v>
      </c>
    </row>
    <row r="6534" spans="1:4" x14ac:dyDescent="0.2">
      <c r="A6534">
        <v>3694001</v>
      </c>
      <c r="B6534">
        <v>30064</v>
      </c>
      <c r="C6534">
        <v>302378</v>
      </c>
      <c r="D6534">
        <v>21883</v>
      </c>
    </row>
    <row r="6535" spans="1:4" x14ac:dyDescent="0.2">
      <c r="A6535">
        <v>3694001</v>
      </c>
      <c r="B6535">
        <v>30065</v>
      </c>
      <c r="C6535">
        <v>302372</v>
      </c>
      <c r="D6535">
        <v>21883</v>
      </c>
    </row>
    <row r="6536" spans="1:4" x14ac:dyDescent="0.2">
      <c r="A6536">
        <v>3694001</v>
      </c>
      <c r="B6536">
        <v>30066</v>
      </c>
      <c r="C6536">
        <v>302436</v>
      </c>
      <c r="D6536">
        <v>21883</v>
      </c>
    </row>
    <row r="6537" spans="1:4" x14ac:dyDescent="0.2">
      <c r="A6537">
        <v>3694001</v>
      </c>
      <c r="B6537">
        <v>30067</v>
      </c>
      <c r="C6537">
        <v>302454</v>
      </c>
      <c r="D6537">
        <v>21883</v>
      </c>
    </row>
    <row r="6538" spans="1:4" x14ac:dyDescent="0.2">
      <c r="A6538">
        <v>3694002</v>
      </c>
      <c r="B6538">
        <v>30061</v>
      </c>
      <c r="C6538">
        <v>302333</v>
      </c>
      <c r="D6538">
        <v>21883</v>
      </c>
    </row>
    <row r="6539" spans="1:4" x14ac:dyDescent="0.2">
      <c r="A6539">
        <v>3694002</v>
      </c>
      <c r="B6539">
        <v>30062</v>
      </c>
      <c r="C6539">
        <v>302355</v>
      </c>
      <c r="D6539">
        <v>21883</v>
      </c>
    </row>
    <row r="6540" spans="1:4" x14ac:dyDescent="0.2">
      <c r="A6540">
        <v>3694002</v>
      </c>
      <c r="B6540">
        <v>30063</v>
      </c>
      <c r="C6540">
        <v>302357</v>
      </c>
      <c r="D6540">
        <v>21883</v>
      </c>
    </row>
    <row r="6541" spans="1:4" x14ac:dyDescent="0.2">
      <c r="A6541">
        <v>3694002</v>
      </c>
      <c r="B6541">
        <v>30064</v>
      </c>
      <c r="C6541">
        <v>302378</v>
      </c>
      <c r="D6541">
        <v>21883</v>
      </c>
    </row>
    <row r="6542" spans="1:4" x14ac:dyDescent="0.2">
      <c r="A6542">
        <v>3694002</v>
      </c>
      <c r="B6542">
        <v>30065</v>
      </c>
      <c r="C6542">
        <v>302332</v>
      </c>
      <c r="D6542">
        <v>21883</v>
      </c>
    </row>
    <row r="6543" spans="1:4" x14ac:dyDescent="0.2">
      <c r="A6543">
        <v>3694002</v>
      </c>
      <c r="B6543">
        <v>30066</v>
      </c>
      <c r="C6543">
        <v>302436</v>
      </c>
      <c r="D6543">
        <v>21883</v>
      </c>
    </row>
    <row r="6544" spans="1:4" x14ac:dyDescent="0.2">
      <c r="A6544">
        <v>3694002</v>
      </c>
      <c r="B6544">
        <v>30067</v>
      </c>
      <c r="C6544">
        <v>302454</v>
      </c>
      <c r="D6544">
        <v>21883</v>
      </c>
    </row>
    <row r="6545" spans="1:4" x14ac:dyDescent="0.2">
      <c r="A6545">
        <v>3694003</v>
      </c>
      <c r="B6545">
        <v>30061</v>
      </c>
      <c r="C6545">
        <v>302337</v>
      </c>
      <c r="D6545">
        <v>21883</v>
      </c>
    </row>
    <row r="6546" spans="1:4" x14ac:dyDescent="0.2">
      <c r="A6546">
        <v>3694003</v>
      </c>
      <c r="B6546">
        <v>30063</v>
      </c>
      <c r="C6546">
        <v>302357</v>
      </c>
      <c r="D6546">
        <v>21883</v>
      </c>
    </row>
    <row r="6547" spans="1:4" x14ac:dyDescent="0.2">
      <c r="A6547">
        <v>3694003</v>
      </c>
      <c r="B6547">
        <v>30064</v>
      </c>
      <c r="C6547">
        <v>302368</v>
      </c>
      <c r="D6547">
        <v>21883</v>
      </c>
    </row>
    <row r="6548" spans="1:4" x14ac:dyDescent="0.2">
      <c r="A6548">
        <v>3694003</v>
      </c>
      <c r="B6548">
        <v>30065</v>
      </c>
      <c r="C6548">
        <v>302372</v>
      </c>
      <c r="D6548">
        <v>21883</v>
      </c>
    </row>
    <row r="6549" spans="1:4" x14ac:dyDescent="0.2">
      <c r="A6549">
        <v>3694003</v>
      </c>
      <c r="B6549">
        <v>30066</v>
      </c>
      <c r="C6549">
        <v>302436</v>
      </c>
      <c r="D6549">
        <v>21883</v>
      </c>
    </row>
    <row r="6550" spans="1:4" x14ac:dyDescent="0.2">
      <c r="A6550">
        <v>3694003</v>
      </c>
      <c r="B6550">
        <v>30067</v>
      </c>
      <c r="C6550">
        <v>302454</v>
      </c>
      <c r="D6550">
        <v>21883</v>
      </c>
    </row>
    <row r="6551" spans="1:4" x14ac:dyDescent="0.2">
      <c r="A6551">
        <v>3694004</v>
      </c>
      <c r="B6551">
        <v>30061</v>
      </c>
      <c r="C6551">
        <v>302337</v>
      </c>
      <c r="D6551">
        <v>21883</v>
      </c>
    </row>
    <row r="6552" spans="1:4" x14ac:dyDescent="0.2">
      <c r="A6552">
        <v>3694004</v>
      </c>
      <c r="B6552">
        <v>30063</v>
      </c>
      <c r="C6552">
        <v>302357</v>
      </c>
      <c r="D6552">
        <v>21883</v>
      </c>
    </row>
    <row r="6553" spans="1:4" x14ac:dyDescent="0.2">
      <c r="A6553">
        <v>3694004</v>
      </c>
      <c r="B6553">
        <v>30064</v>
      </c>
      <c r="C6553">
        <v>302378</v>
      </c>
      <c r="D6553">
        <v>21883</v>
      </c>
    </row>
    <row r="6554" spans="1:4" x14ac:dyDescent="0.2">
      <c r="A6554">
        <v>3694004</v>
      </c>
      <c r="B6554">
        <v>30065</v>
      </c>
      <c r="C6554">
        <v>302372</v>
      </c>
      <c r="D6554">
        <v>21883</v>
      </c>
    </row>
    <row r="6555" spans="1:4" x14ac:dyDescent="0.2">
      <c r="A6555">
        <v>3694004</v>
      </c>
      <c r="B6555">
        <v>30066</v>
      </c>
      <c r="C6555">
        <v>302436</v>
      </c>
      <c r="D6555">
        <v>21883</v>
      </c>
    </row>
    <row r="6556" spans="1:4" x14ac:dyDescent="0.2">
      <c r="A6556">
        <v>3694004</v>
      </c>
      <c r="B6556">
        <v>30067</v>
      </c>
      <c r="C6556">
        <v>302454</v>
      </c>
      <c r="D6556">
        <v>21883</v>
      </c>
    </row>
    <row r="6557" spans="1:4" x14ac:dyDescent="0.2">
      <c r="A6557">
        <v>3694005</v>
      </c>
      <c r="B6557">
        <v>30063</v>
      </c>
      <c r="C6557">
        <v>302357</v>
      </c>
      <c r="D6557">
        <v>21883</v>
      </c>
    </row>
    <row r="6558" spans="1:4" x14ac:dyDescent="0.2">
      <c r="A6558">
        <v>3694005</v>
      </c>
      <c r="B6558">
        <v>30064</v>
      </c>
      <c r="C6558">
        <v>302378</v>
      </c>
      <c r="D6558">
        <v>21883</v>
      </c>
    </row>
    <row r="6559" spans="1:4" x14ac:dyDescent="0.2">
      <c r="A6559">
        <v>3694005</v>
      </c>
      <c r="B6559">
        <v>30065</v>
      </c>
      <c r="C6559">
        <v>302372</v>
      </c>
      <c r="D6559">
        <v>21883</v>
      </c>
    </row>
    <row r="6560" spans="1:4" x14ac:dyDescent="0.2">
      <c r="A6560">
        <v>3694005</v>
      </c>
      <c r="B6560">
        <v>30066</v>
      </c>
      <c r="C6560">
        <v>302436</v>
      </c>
      <c r="D6560">
        <v>21883</v>
      </c>
    </row>
    <row r="6561" spans="1:4" x14ac:dyDescent="0.2">
      <c r="A6561">
        <v>3694005</v>
      </c>
      <c r="B6561">
        <v>30067</v>
      </c>
      <c r="C6561">
        <v>302455</v>
      </c>
      <c r="D6561">
        <v>21883</v>
      </c>
    </row>
    <row r="6562" spans="1:4" x14ac:dyDescent="0.2">
      <c r="A6562">
        <v>3694006</v>
      </c>
      <c r="B6562">
        <v>30063</v>
      </c>
      <c r="C6562">
        <v>302357</v>
      </c>
      <c r="D6562">
        <v>21883</v>
      </c>
    </row>
    <row r="6563" spans="1:4" x14ac:dyDescent="0.2">
      <c r="A6563">
        <v>3694006</v>
      </c>
      <c r="B6563">
        <v>30064</v>
      </c>
      <c r="C6563">
        <v>302378</v>
      </c>
      <c r="D6563">
        <v>21883</v>
      </c>
    </row>
    <row r="6564" spans="1:4" x14ac:dyDescent="0.2">
      <c r="A6564">
        <v>3694006</v>
      </c>
      <c r="B6564">
        <v>30065</v>
      </c>
      <c r="C6564">
        <v>302372</v>
      </c>
      <c r="D6564">
        <v>21883</v>
      </c>
    </row>
    <row r="6565" spans="1:4" x14ac:dyDescent="0.2">
      <c r="A6565">
        <v>3694006</v>
      </c>
      <c r="B6565">
        <v>30066</v>
      </c>
      <c r="C6565">
        <v>302436</v>
      </c>
      <c r="D6565">
        <v>21883</v>
      </c>
    </row>
    <row r="6566" spans="1:4" x14ac:dyDescent="0.2">
      <c r="A6566">
        <v>3694006</v>
      </c>
      <c r="B6566">
        <v>30067</v>
      </c>
      <c r="C6566">
        <v>302455</v>
      </c>
      <c r="D6566">
        <v>21883</v>
      </c>
    </row>
    <row r="6567" spans="1:4" x14ac:dyDescent="0.2">
      <c r="A6567">
        <v>3694007</v>
      </c>
      <c r="B6567">
        <v>30061</v>
      </c>
      <c r="C6567">
        <v>302333</v>
      </c>
      <c r="D6567">
        <v>21883</v>
      </c>
    </row>
    <row r="6568" spans="1:4" x14ac:dyDescent="0.2">
      <c r="A6568">
        <v>3694007</v>
      </c>
      <c r="B6568">
        <v>30062</v>
      </c>
      <c r="C6568">
        <v>302355</v>
      </c>
      <c r="D6568">
        <v>21883</v>
      </c>
    </row>
    <row r="6569" spans="1:4" x14ac:dyDescent="0.2">
      <c r="A6569">
        <v>3694007</v>
      </c>
      <c r="B6569">
        <v>30063</v>
      </c>
      <c r="C6569">
        <v>302357</v>
      </c>
      <c r="D6569">
        <v>21883</v>
      </c>
    </row>
    <row r="6570" spans="1:4" x14ac:dyDescent="0.2">
      <c r="A6570">
        <v>3694007</v>
      </c>
      <c r="B6570">
        <v>30064</v>
      </c>
      <c r="C6570">
        <v>302378</v>
      </c>
      <c r="D6570">
        <v>21883</v>
      </c>
    </row>
    <row r="6571" spans="1:4" x14ac:dyDescent="0.2">
      <c r="A6571">
        <v>3694007</v>
      </c>
      <c r="B6571">
        <v>30065</v>
      </c>
      <c r="C6571">
        <v>302332</v>
      </c>
      <c r="D6571">
        <v>21883</v>
      </c>
    </row>
    <row r="6572" spans="1:4" x14ac:dyDescent="0.2">
      <c r="A6572">
        <v>3694007</v>
      </c>
      <c r="B6572">
        <v>30066</v>
      </c>
      <c r="C6572">
        <v>302436</v>
      </c>
      <c r="D6572">
        <v>21883</v>
      </c>
    </row>
    <row r="6573" spans="1:4" x14ac:dyDescent="0.2">
      <c r="A6573">
        <v>3694007</v>
      </c>
      <c r="B6573">
        <v>30067</v>
      </c>
      <c r="C6573">
        <v>302455</v>
      </c>
      <c r="D6573">
        <v>21883</v>
      </c>
    </row>
    <row r="6574" spans="1:4" x14ac:dyDescent="0.2">
      <c r="A6574">
        <v>3694008</v>
      </c>
      <c r="B6574">
        <v>30063</v>
      </c>
      <c r="C6574">
        <v>302357</v>
      </c>
      <c r="D6574">
        <v>21883</v>
      </c>
    </row>
    <row r="6575" spans="1:4" x14ac:dyDescent="0.2">
      <c r="A6575">
        <v>3694008</v>
      </c>
      <c r="B6575">
        <v>30064</v>
      </c>
      <c r="C6575">
        <v>302368</v>
      </c>
      <c r="D6575">
        <v>21883</v>
      </c>
    </row>
    <row r="6576" spans="1:4" x14ac:dyDescent="0.2">
      <c r="A6576">
        <v>3694008</v>
      </c>
      <c r="B6576">
        <v>30065</v>
      </c>
      <c r="C6576">
        <v>302372</v>
      </c>
      <c r="D6576">
        <v>21883</v>
      </c>
    </row>
    <row r="6577" spans="1:4" x14ac:dyDescent="0.2">
      <c r="A6577">
        <v>3694008</v>
      </c>
      <c r="B6577">
        <v>30066</v>
      </c>
      <c r="C6577">
        <v>302436</v>
      </c>
      <c r="D6577">
        <v>21883</v>
      </c>
    </row>
    <row r="6578" spans="1:4" x14ac:dyDescent="0.2">
      <c r="A6578">
        <v>3694008</v>
      </c>
      <c r="B6578">
        <v>30067</v>
      </c>
      <c r="C6578">
        <v>302455</v>
      </c>
      <c r="D6578">
        <v>21883</v>
      </c>
    </row>
    <row r="6579" spans="1:4" x14ac:dyDescent="0.2">
      <c r="A6579">
        <v>3694009</v>
      </c>
      <c r="B6579">
        <v>30063</v>
      </c>
      <c r="C6579">
        <v>302357</v>
      </c>
      <c r="D6579">
        <v>21883</v>
      </c>
    </row>
    <row r="6580" spans="1:4" x14ac:dyDescent="0.2">
      <c r="A6580">
        <v>3694009</v>
      </c>
      <c r="B6580">
        <v>30064</v>
      </c>
      <c r="C6580">
        <v>302378</v>
      </c>
      <c r="D6580">
        <v>21883</v>
      </c>
    </row>
    <row r="6581" spans="1:4" x14ac:dyDescent="0.2">
      <c r="A6581">
        <v>3694009</v>
      </c>
      <c r="B6581">
        <v>30065</v>
      </c>
      <c r="C6581">
        <v>302372</v>
      </c>
      <c r="D6581">
        <v>21883</v>
      </c>
    </row>
    <row r="6582" spans="1:4" x14ac:dyDescent="0.2">
      <c r="A6582">
        <v>3694009</v>
      </c>
      <c r="B6582">
        <v>30066</v>
      </c>
      <c r="C6582">
        <v>302436</v>
      </c>
      <c r="D6582">
        <v>21883</v>
      </c>
    </row>
    <row r="6583" spans="1:4" x14ac:dyDescent="0.2">
      <c r="A6583">
        <v>3694009</v>
      </c>
      <c r="B6583">
        <v>30067</v>
      </c>
      <c r="C6583">
        <v>302455</v>
      </c>
      <c r="D6583">
        <v>21883</v>
      </c>
    </row>
    <row r="6584" spans="1:4" x14ac:dyDescent="0.2">
      <c r="A6584">
        <v>3694010</v>
      </c>
      <c r="B6584">
        <v>30061</v>
      </c>
      <c r="C6584">
        <v>302333</v>
      </c>
      <c r="D6584">
        <v>21883</v>
      </c>
    </row>
    <row r="6585" spans="1:4" x14ac:dyDescent="0.2">
      <c r="A6585">
        <v>3694010</v>
      </c>
      <c r="B6585">
        <v>30062</v>
      </c>
      <c r="C6585">
        <v>302355</v>
      </c>
      <c r="D6585">
        <v>21883</v>
      </c>
    </row>
    <row r="6586" spans="1:4" x14ac:dyDescent="0.2">
      <c r="A6586">
        <v>3694010</v>
      </c>
      <c r="B6586">
        <v>30063</v>
      </c>
      <c r="C6586">
        <v>302357</v>
      </c>
      <c r="D6586">
        <v>21883</v>
      </c>
    </row>
    <row r="6587" spans="1:4" x14ac:dyDescent="0.2">
      <c r="A6587">
        <v>3694010</v>
      </c>
      <c r="B6587">
        <v>30064</v>
      </c>
      <c r="C6587">
        <v>302335</v>
      </c>
      <c r="D6587">
        <v>21883</v>
      </c>
    </row>
    <row r="6588" spans="1:4" x14ac:dyDescent="0.2">
      <c r="A6588">
        <v>3694010</v>
      </c>
      <c r="B6588">
        <v>30065</v>
      </c>
      <c r="C6588">
        <v>302332</v>
      </c>
      <c r="D6588">
        <v>21883</v>
      </c>
    </row>
    <row r="6589" spans="1:4" x14ac:dyDescent="0.2">
      <c r="A6589">
        <v>3694010</v>
      </c>
      <c r="B6589">
        <v>30066</v>
      </c>
      <c r="C6589">
        <v>302436</v>
      </c>
      <c r="D6589">
        <v>21883</v>
      </c>
    </row>
    <row r="6590" spans="1:4" x14ac:dyDescent="0.2">
      <c r="A6590">
        <v>3694011</v>
      </c>
      <c r="B6590">
        <v>30061</v>
      </c>
      <c r="C6590">
        <v>302337</v>
      </c>
      <c r="D6590">
        <v>21883</v>
      </c>
    </row>
    <row r="6591" spans="1:4" x14ac:dyDescent="0.2">
      <c r="A6591">
        <v>3694011</v>
      </c>
      <c r="B6591">
        <v>30063</v>
      </c>
      <c r="C6591">
        <v>302357</v>
      </c>
      <c r="D6591">
        <v>21883</v>
      </c>
    </row>
    <row r="6592" spans="1:4" x14ac:dyDescent="0.2">
      <c r="A6592">
        <v>3694011</v>
      </c>
      <c r="B6592">
        <v>30064</v>
      </c>
      <c r="C6592">
        <v>302378</v>
      </c>
      <c r="D6592">
        <v>21883</v>
      </c>
    </row>
    <row r="6593" spans="1:4" x14ac:dyDescent="0.2">
      <c r="A6593">
        <v>3694011</v>
      </c>
      <c r="B6593">
        <v>30065</v>
      </c>
      <c r="C6593">
        <v>302373</v>
      </c>
      <c r="D6593">
        <v>21883</v>
      </c>
    </row>
    <row r="6594" spans="1:4" x14ac:dyDescent="0.2">
      <c r="A6594">
        <v>3694011</v>
      </c>
      <c r="B6594">
        <v>30066</v>
      </c>
      <c r="C6594">
        <v>302436</v>
      </c>
      <c r="D6594">
        <v>21883</v>
      </c>
    </row>
    <row r="6595" spans="1:4" x14ac:dyDescent="0.2">
      <c r="A6595">
        <v>3694011</v>
      </c>
      <c r="B6595">
        <v>30067</v>
      </c>
      <c r="C6595">
        <v>302454</v>
      </c>
      <c r="D6595">
        <v>21883</v>
      </c>
    </row>
    <row r="6596" spans="1:4" x14ac:dyDescent="0.2">
      <c r="A6596">
        <v>3694012</v>
      </c>
      <c r="B6596">
        <v>30061</v>
      </c>
      <c r="C6596">
        <v>302337</v>
      </c>
      <c r="D6596">
        <v>21883</v>
      </c>
    </row>
    <row r="6597" spans="1:4" x14ac:dyDescent="0.2">
      <c r="A6597">
        <v>3694012</v>
      </c>
      <c r="B6597">
        <v>30063</v>
      </c>
      <c r="C6597">
        <v>302357</v>
      </c>
      <c r="D6597">
        <v>21883</v>
      </c>
    </row>
    <row r="6598" spans="1:4" x14ac:dyDescent="0.2">
      <c r="A6598">
        <v>3694012</v>
      </c>
      <c r="B6598">
        <v>30064</v>
      </c>
      <c r="C6598">
        <v>302378</v>
      </c>
      <c r="D6598">
        <v>21883</v>
      </c>
    </row>
    <row r="6599" spans="1:4" x14ac:dyDescent="0.2">
      <c r="A6599">
        <v>3694012</v>
      </c>
      <c r="B6599">
        <v>30065</v>
      </c>
      <c r="C6599">
        <v>302373</v>
      </c>
      <c r="D6599">
        <v>21883</v>
      </c>
    </row>
    <row r="6600" spans="1:4" x14ac:dyDescent="0.2">
      <c r="A6600">
        <v>3694012</v>
      </c>
      <c r="B6600">
        <v>30066</v>
      </c>
      <c r="C6600">
        <v>302436</v>
      </c>
      <c r="D6600">
        <v>21883</v>
      </c>
    </row>
    <row r="6601" spans="1:4" x14ac:dyDescent="0.2">
      <c r="A6601">
        <v>3694012</v>
      </c>
      <c r="B6601">
        <v>30067</v>
      </c>
      <c r="C6601">
        <v>302454</v>
      </c>
      <c r="D6601">
        <v>21883</v>
      </c>
    </row>
    <row r="6602" spans="1:4" x14ac:dyDescent="0.2">
      <c r="A6602">
        <v>3694013</v>
      </c>
      <c r="B6602">
        <v>30061</v>
      </c>
      <c r="C6602">
        <v>302333</v>
      </c>
      <c r="D6602">
        <v>21883</v>
      </c>
    </row>
    <row r="6603" spans="1:4" x14ac:dyDescent="0.2">
      <c r="A6603">
        <v>3694013</v>
      </c>
      <c r="B6603">
        <v>30062</v>
      </c>
      <c r="C6603">
        <v>302355</v>
      </c>
      <c r="D6603">
        <v>21883</v>
      </c>
    </row>
    <row r="6604" spans="1:4" x14ac:dyDescent="0.2">
      <c r="A6604">
        <v>3694013</v>
      </c>
      <c r="B6604">
        <v>30063</v>
      </c>
      <c r="C6604">
        <v>302357</v>
      </c>
      <c r="D6604">
        <v>21883</v>
      </c>
    </row>
    <row r="6605" spans="1:4" x14ac:dyDescent="0.2">
      <c r="A6605">
        <v>3694013</v>
      </c>
      <c r="B6605">
        <v>30064</v>
      </c>
      <c r="C6605">
        <v>302378</v>
      </c>
      <c r="D6605">
        <v>21883</v>
      </c>
    </row>
    <row r="6606" spans="1:4" x14ac:dyDescent="0.2">
      <c r="A6606">
        <v>3694013</v>
      </c>
      <c r="B6606">
        <v>30065</v>
      </c>
      <c r="C6606">
        <v>302331</v>
      </c>
      <c r="D6606">
        <v>21883</v>
      </c>
    </row>
    <row r="6607" spans="1:4" x14ac:dyDescent="0.2">
      <c r="A6607">
        <v>3694013</v>
      </c>
      <c r="B6607">
        <v>30066</v>
      </c>
      <c r="C6607">
        <v>302436</v>
      </c>
      <c r="D6607">
        <v>21883</v>
      </c>
    </row>
    <row r="6608" spans="1:4" x14ac:dyDescent="0.2">
      <c r="A6608">
        <v>3694013</v>
      </c>
      <c r="B6608">
        <v>30067</v>
      </c>
      <c r="C6608">
        <v>302454</v>
      </c>
      <c r="D6608">
        <v>21883</v>
      </c>
    </row>
    <row r="6609" spans="1:4" x14ac:dyDescent="0.2">
      <c r="A6609">
        <v>3694014</v>
      </c>
      <c r="B6609">
        <v>30061</v>
      </c>
      <c r="C6609">
        <v>302337</v>
      </c>
      <c r="D6609">
        <v>21883</v>
      </c>
    </row>
    <row r="6610" spans="1:4" x14ac:dyDescent="0.2">
      <c r="A6610">
        <v>3694014</v>
      </c>
      <c r="B6610">
        <v>30063</v>
      </c>
      <c r="C6610">
        <v>302357</v>
      </c>
      <c r="D6610">
        <v>21883</v>
      </c>
    </row>
    <row r="6611" spans="1:4" x14ac:dyDescent="0.2">
      <c r="A6611">
        <v>3694014</v>
      </c>
      <c r="B6611">
        <v>30064</v>
      </c>
      <c r="C6611">
        <v>302368</v>
      </c>
      <c r="D6611">
        <v>21883</v>
      </c>
    </row>
    <row r="6612" spans="1:4" x14ac:dyDescent="0.2">
      <c r="A6612">
        <v>3694014</v>
      </c>
      <c r="B6612">
        <v>30065</v>
      </c>
      <c r="C6612">
        <v>302373</v>
      </c>
      <c r="D6612">
        <v>21883</v>
      </c>
    </row>
    <row r="6613" spans="1:4" x14ac:dyDescent="0.2">
      <c r="A6613">
        <v>3694014</v>
      </c>
      <c r="B6613">
        <v>30066</v>
      </c>
      <c r="C6613">
        <v>302436</v>
      </c>
      <c r="D6613">
        <v>21883</v>
      </c>
    </row>
    <row r="6614" spans="1:4" x14ac:dyDescent="0.2">
      <c r="A6614">
        <v>3694014</v>
      </c>
      <c r="B6614">
        <v>30067</v>
      </c>
      <c r="C6614">
        <v>302454</v>
      </c>
      <c r="D6614">
        <v>21883</v>
      </c>
    </row>
    <row r="6615" spans="1:4" x14ac:dyDescent="0.2">
      <c r="A6615">
        <v>3694015</v>
      </c>
      <c r="B6615">
        <v>30061</v>
      </c>
      <c r="C6615">
        <v>302337</v>
      </c>
      <c r="D6615">
        <v>21883</v>
      </c>
    </row>
    <row r="6616" spans="1:4" x14ac:dyDescent="0.2">
      <c r="A6616">
        <v>3694015</v>
      </c>
      <c r="B6616">
        <v>30063</v>
      </c>
      <c r="C6616">
        <v>302357</v>
      </c>
      <c r="D6616">
        <v>21883</v>
      </c>
    </row>
    <row r="6617" spans="1:4" x14ac:dyDescent="0.2">
      <c r="A6617">
        <v>3694015</v>
      </c>
      <c r="B6617">
        <v>30064</v>
      </c>
      <c r="C6617">
        <v>302378</v>
      </c>
      <c r="D6617">
        <v>21883</v>
      </c>
    </row>
    <row r="6618" spans="1:4" x14ac:dyDescent="0.2">
      <c r="A6618">
        <v>3694015</v>
      </c>
      <c r="B6618">
        <v>30065</v>
      </c>
      <c r="C6618">
        <v>302373</v>
      </c>
      <c r="D6618">
        <v>21883</v>
      </c>
    </row>
    <row r="6619" spans="1:4" x14ac:dyDescent="0.2">
      <c r="A6619">
        <v>3694015</v>
      </c>
      <c r="B6619">
        <v>30066</v>
      </c>
      <c r="C6619">
        <v>302436</v>
      </c>
      <c r="D6619">
        <v>21883</v>
      </c>
    </row>
    <row r="6620" spans="1:4" x14ac:dyDescent="0.2">
      <c r="A6620">
        <v>3694015</v>
      </c>
      <c r="B6620">
        <v>30067</v>
      </c>
      <c r="C6620">
        <v>302454</v>
      </c>
      <c r="D6620">
        <v>21883</v>
      </c>
    </row>
    <row r="6621" spans="1:4" x14ac:dyDescent="0.2">
      <c r="A6621">
        <v>3694016</v>
      </c>
      <c r="B6621">
        <v>30063</v>
      </c>
      <c r="C6621">
        <v>302357</v>
      </c>
      <c r="D6621">
        <v>21883</v>
      </c>
    </row>
    <row r="6622" spans="1:4" x14ac:dyDescent="0.2">
      <c r="A6622">
        <v>3694016</v>
      </c>
      <c r="B6622">
        <v>30064</v>
      </c>
      <c r="C6622">
        <v>302378</v>
      </c>
      <c r="D6622">
        <v>21883</v>
      </c>
    </row>
    <row r="6623" spans="1:4" x14ac:dyDescent="0.2">
      <c r="A6623">
        <v>3694016</v>
      </c>
      <c r="B6623">
        <v>30065</v>
      </c>
      <c r="C6623">
        <v>302373</v>
      </c>
      <c r="D6623">
        <v>21883</v>
      </c>
    </row>
    <row r="6624" spans="1:4" x14ac:dyDescent="0.2">
      <c r="A6624">
        <v>3694016</v>
      </c>
      <c r="B6624">
        <v>30066</v>
      </c>
      <c r="C6624">
        <v>302436</v>
      </c>
      <c r="D6624">
        <v>21883</v>
      </c>
    </row>
    <row r="6625" spans="1:4" x14ac:dyDescent="0.2">
      <c r="A6625">
        <v>3694016</v>
      </c>
      <c r="B6625">
        <v>30067</v>
      </c>
      <c r="C6625">
        <v>302455</v>
      </c>
      <c r="D6625">
        <v>21883</v>
      </c>
    </row>
    <row r="6626" spans="1:4" x14ac:dyDescent="0.2">
      <c r="A6626">
        <v>3694017</v>
      </c>
      <c r="B6626">
        <v>30063</v>
      </c>
      <c r="C6626">
        <v>302357</v>
      </c>
      <c r="D6626">
        <v>21883</v>
      </c>
    </row>
    <row r="6627" spans="1:4" x14ac:dyDescent="0.2">
      <c r="A6627">
        <v>3694017</v>
      </c>
      <c r="B6627">
        <v>30064</v>
      </c>
      <c r="C6627">
        <v>302378</v>
      </c>
      <c r="D6627">
        <v>21883</v>
      </c>
    </row>
    <row r="6628" spans="1:4" x14ac:dyDescent="0.2">
      <c r="A6628">
        <v>3694017</v>
      </c>
      <c r="B6628">
        <v>30065</v>
      </c>
      <c r="C6628">
        <v>302373</v>
      </c>
      <c r="D6628">
        <v>21883</v>
      </c>
    </row>
    <row r="6629" spans="1:4" x14ac:dyDescent="0.2">
      <c r="A6629">
        <v>3694017</v>
      </c>
      <c r="B6629">
        <v>30066</v>
      </c>
      <c r="C6629">
        <v>302436</v>
      </c>
      <c r="D6629">
        <v>21883</v>
      </c>
    </row>
    <row r="6630" spans="1:4" x14ac:dyDescent="0.2">
      <c r="A6630">
        <v>3694017</v>
      </c>
      <c r="B6630">
        <v>30067</v>
      </c>
      <c r="C6630">
        <v>302455</v>
      </c>
      <c r="D6630">
        <v>21883</v>
      </c>
    </row>
    <row r="6631" spans="1:4" x14ac:dyDescent="0.2">
      <c r="A6631">
        <v>3694018</v>
      </c>
      <c r="B6631">
        <v>30061</v>
      </c>
      <c r="C6631">
        <v>302333</v>
      </c>
      <c r="D6631">
        <v>21883</v>
      </c>
    </row>
    <row r="6632" spans="1:4" x14ac:dyDescent="0.2">
      <c r="A6632">
        <v>3694018</v>
      </c>
      <c r="B6632">
        <v>30062</v>
      </c>
      <c r="C6632">
        <v>302355</v>
      </c>
      <c r="D6632">
        <v>21883</v>
      </c>
    </row>
    <row r="6633" spans="1:4" x14ac:dyDescent="0.2">
      <c r="A6633">
        <v>3694018</v>
      </c>
      <c r="B6633">
        <v>30063</v>
      </c>
      <c r="C6633">
        <v>302357</v>
      </c>
      <c r="D6633">
        <v>21883</v>
      </c>
    </row>
    <row r="6634" spans="1:4" x14ac:dyDescent="0.2">
      <c r="A6634">
        <v>3694018</v>
      </c>
      <c r="B6634">
        <v>30064</v>
      </c>
      <c r="C6634">
        <v>302378</v>
      </c>
      <c r="D6634">
        <v>21883</v>
      </c>
    </row>
    <row r="6635" spans="1:4" x14ac:dyDescent="0.2">
      <c r="A6635">
        <v>3694018</v>
      </c>
      <c r="B6635">
        <v>30065</v>
      </c>
      <c r="C6635">
        <v>302331</v>
      </c>
      <c r="D6635">
        <v>21883</v>
      </c>
    </row>
    <row r="6636" spans="1:4" x14ac:dyDescent="0.2">
      <c r="A6636">
        <v>3694018</v>
      </c>
      <c r="B6636">
        <v>30066</v>
      </c>
      <c r="C6636">
        <v>302436</v>
      </c>
      <c r="D6636">
        <v>21883</v>
      </c>
    </row>
    <row r="6637" spans="1:4" x14ac:dyDescent="0.2">
      <c r="A6637">
        <v>3694018</v>
      </c>
      <c r="B6637">
        <v>30067</v>
      </c>
      <c r="C6637">
        <v>302455</v>
      </c>
      <c r="D6637">
        <v>21883</v>
      </c>
    </row>
    <row r="6638" spans="1:4" x14ac:dyDescent="0.2">
      <c r="A6638">
        <v>3694019</v>
      </c>
      <c r="B6638">
        <v>30063</v>
      </c>
      <c r="C6638">
        <v>302357</v>
      </c>
      <c r="D6638">
        <v>21883</v>
      </c>
    </row>
    <row r="6639" spans="1:4" x14ac:dyDescent="0.2">
      <c r="A6639">
        <v>3694019</v>
      </c>
      <c r="B6639">
        <v>30064</v>
      </c>
      <c r="C6639">
        <v>302368</v>
      </c>
      <c r="D6639">
        <v>21883</v>
      </c>
    </row>
    <row r="6640" spans="1:4" x14ac:dyDescent="0.2">
      <c r="A6640">
        <v>3694019</v>
      </c>
      <c r="B6640">
        <v>30065</v>
      </c>
      <c r="C6640">
        <v>302373</v>
      </c>
      <c r="D6640">
        <v>21883</v>
      </c>
    </row>
    <row r="6641" spans="1:4" x14ac:dyDescent="0.2">
      <c r="A6641">
        <v>3694019</v>
      </c>
      <c r="B6641">
        <v>30066</v>
      </c>
      <c r="C6641">
        <v>302436</v>
      </c>
      <c r="D6641">
        <v>21883</v>
      </c>
    </row>
    <row r="6642" spans="1:4" x14ac:dyDescent="0.2">
      <c r="A6642">
        <v>3694019</v>
      </c>
      <c r="B6642">
        <v>30067</v>
      </c>
      <c r="C6642">
        <v>302455</v>
      </c>
      <c r="D6642">
        <v>21883</v>
      </c>
    </row>
    <row r="6643" spans="1:4" x14ac:dyDescent="0.2">
      <c r="A6643">
        <v>3694020</v>
      </c>
      <c r="B6643">
        <v>30063</v>
      </c>
      <c r="C6643">
        <v>302357</v>
      </c>
      <c r="D6643">
        <v>21883</v>
      </c>
    </row>
    <row r="6644" spans="1:4" x14ac:dyDescent="0.2">
      <c r="A6644">
        <v>3694020</v>
      </c>
      <c r="B6644">
        <v>30064</v>
      </c>
      <c r="C6644">
        <v>302378</v>
      </c>
      <c r="D6644">
        <v>21883</v>
      </c>
    </row>
    <row r="6645" spans="1:4" x14ac:dyDescent="0.2">
      <c r="A6645">
        <v>3694020</v>
      </c>
      <c r="B6645">
        <v>30065</v>
      </c>
      <c r="C6645">
        <v>302373</v>
      </c>
      <c r="D6645">
        <v>21883</v>
      </c>
    </row>
    <row r="6646" spans="1:4" x14ac:dyDescent="0.2">
      <c r="A6646">
        <v>3694020</v>
      </c>
      <c r="B6646">
        <v>30066</v>
      </c>
      <c r="C6646">
        <v>302436</v>
      </c>
      <c r="D6646">
        <v>21883</v>
      </c>
    </row>
    <row r="6647" spans="1:4" x14ac:dyDescent="0.2">
      <c r="A6647">
        <v>3694020</v>
      </c>
      <c r="B6647">
        <v>30067</v>
      </c>
      <c r="C6647">
        <v>302455</v>
      </c>
      <c r="D6647">
        <v>21883</v>
      </c>
    </row>
    <row r="6648" spans="1:4" x14ac:dyDescent="0.2">
      <c r="A6648">
        <v>3694021</v>
      </c>
      <c r="B6648">
        <v>30063</v>
      </c>
      <c r="C6648">
        <v>302356</v>
      </c>
      <c r="D6648">
        <v>21883</v>
      </c>
    </row>
    <row r="6649" spans="1:4" x14ac:dyDescent="0.2">
      <c r="A6649">
        <v>3694021</v>
      </c>
      <c r="B6649">
        <v>30064</v>
      </c>
      <c r="C6649">
        <v>302421</v>
      </c>
      <c r="D6649">
        <v>21883</v>
      </c>
    </row>
    <row r="6650" spans="1:4" x14ac:dyDescent="0.2">
      <c r="A6650">
        <v>3694021</v>
      </c>
      <c r="B6650">
        <v>30065</v>
      </c>
      <c r="C6650">
        <v>302405</v>
      </c>
      <c r="D6650">
        <v>21883</v>
      </c>
    </row>
    <row r="6651" spans="1:4" x14ac:dyDescent="0.2">
      <c r="A6651">
        <v>3694021</v>
      </c>
      <c r="B6651">
        <v>30066</v>
      </c>
      <c r="C6651">
        <v>302402</v>
      </c>
      <c r="D6651">
        <v>21883</v>
      </c>
    </row>
    <row r="6652" spans="1:4" x14ac:dyDescent="0.2">
      <c r="A6652">
        <v>3694022</v>
      </c>
      <c r="B6652">
        <v>30063</v>
      </c>
      <c r="C6652">
        <v>302356</v>
      </c>
      <c r="D6652">
        <v>21883</v>
      </c>
    </row>
    <row r="6653" spans="1:4" x14ac:dyDescent="0.2">
      <c r="A6653">
        <v>3694022</v>
      </c>
      <c r="B6653">
        <v>30064</v>
      </c>
      <c r="C6653">
        <v>302410</v>
      </c>
      <c r="D6653">
        <v>21883</v>
      </c>
    </row>
    <row r="6654" spans="1:4" x14ac:dyDescent="0.2">
      <c r="A6654">
        <v>3694022</v>
      </c>
      <c r="B6654">
        <v>30065</v>
      </c>
      <c r="C6654">
        <v>302405</v>
      </c>
      <c r="D6654">
        <v>21883</v>
      </c>
    </row>
    <row r="6655" spans="1:4" x14ac:dyDescent="0.2">
      <c r="A6655">
        <v>3694022</v>
      </c>
      <c r="B6655">
        <v>30066</v>
      </c>
      <c r="C6655">
        <v>302402</v>
      </c>
      <c r="D6655">
        <v>21883</v>
      </c>
    </row>
    <row r="6656" spans="1:4" x14ac:dyDescent="0.2">
      <c r="A6656">
        <v>3694023</v>
      </c>
      <c r="B6656">
        <v>30065</v>
      </c>
      <c r="C6656">
        <v>302405</v>
      </c>
      <c r="D6656">
        <v>21883</v>
      </c>
    </row>
    <row r="6657" spans="1:4" x14ac:dyDescent="0.2">
      <c r="A6657">
        <v>3694023</v>
      </c>
      <c r="B6657">
        <v>30066</v>
      </c>
      <c r="C6657">
        <v>302402</v>
      </c>
      <c r="D6657">
        <v>21883</v>
      </c>
    </row>
    <row r="6658" spans="1:4" x14ac:dyDescent="0.2">
      <c r="A6658">
        <v>3694024</v>
      </c>
      <c r="B6658">
        <v>30065</v>
      </c>
      <c r="C6658">
        <v>302405</v>
      </c>
      <c r="D6658">
        <v>21883</v>
      </c>
    </row>
    <row r="6659" spans="1:4" x14ac:dyDescent="0.2">
      <c r="A6659">
        <v>3694024</v>
      </c>
      <c r="B6659">
        <v>30066</v>
      </c>
      <c r="C6659">
        <v>302402</v>
      </c>
      <c r="D6659">
        <v>21883</v>
      </c>
    </row>
    <row r="6660" spans="1:4" x14ac:dyDescent="0.2">
      <c r="A6660">
        <v>3694025</v>
      </c>
      <c r="B6660">
        <v>30065</v>
      </c>
      <c r="C6660">
        <v>302405</v>
      </c>
      <c r="D6660">
        <v>21883</v>
      </c>
    </row>
    <row r="6661" spans="1:4" x14ac:dyDescent="0.2">
      <c r="A6661">
        <v>3694025</v>
      </c>
      <c r="B6661">
        <v>30066</v>
      </c>
      <c r="C6661">
        <v>302402</v>
      </c>
      <c r="D6661">
        <v>21883</v>
      </c>
    </row>
    <row r="6662" spans="1:4" x14ac:dyDescent="0.2">
      <c r="A6662">
        <v>3694026</v>
      </c>
      <c r="B6662">
        <v>30066</v>
      </c>
      <c r="C6662">
        <v>302402</v>
      </c>
      <c r="D6662">
        <v>21883</v>
      </c>
    </row>
    <row r="6663" spans="1:4" x14ac:dyDescent="0.2">
      <c r="A6663">
        <v>3694027</v>
      </c>
      <c r="B6663">
        <v>30065</v>
      </c>
      <c r="C6663">
        <v>302405</v>
      </c>
      <c r="D6663">
        <v>21883</v>
      </c>
    </row>
    <row r="6664" spans="1:4" x14ac:dyDescent="0.2">
      <c r="A6664">
        <v>3694027</v>
      </c>
      <c r="B6664">
        <v>30066</v>
      </c>
      <c r="C6664">
        <v>302402</v>
      </c>
      <c r="D6664">
        <v>21883</v>
      </c>
    </row>
    <row r="6665" spans="1:4" x14ac:dyDescent="0.2">
      <c r="A6665">
        <v>3694028</v>
      </c>
      <c r="B6665">
        <v>30065</v>
      </c>
      <c r="C6665">
        <v>302405</v>
      </c>
      <c r="D6665">
        <v>21883</v>
      </c>
    </row>
    <row r="6666" spans="1:4" x14ac:dyDescent="0.2">
      <c r="A6666">
        <v>3694028</v>
      </c>
      <c r="B6666">
        <v>30066</v>
      </c>
      <c r="C6666">
        <v>302402</v>
      </c>
      <c r="D6666">
        <v>21883</v>
      </c>
    </row>
    <row r="6667" spans="1:4" x14ac:dyDescent="0.2">
      <c r="A6667">
        <v>3694029</v>
      </c>
      <c r="B6667">
        <v>30061</v>
      </c>
      <c r="C6667">
        <v>302342</v>
      </c>
      <c r="D6667">
        <v>21883</v>
      </c>
    </row>
    <row r="6668" spans="1:4" x14ac:dyDescent="0.2">
      <c r="A6668">
        <v>3694029</v>
      </c>
      <c r="B6668">
        <v>30062</v>
      </c>
      <c r="C6668">
        <v>302355</v>
      </c>
      <c r="D6668">
        <v>21883</v>
      </c>
    </row>
    <row r="6669" spans="1:4" x14ac:dyDescent="0.2">
      <c r="A6669">
        <v>3694029</v>
      </c>
      <c r="B6669">
        <v>30063</v>
      </c>
      <c r="C6669">
        <v>302356</v>
      </c>
      <c r="D6669">
        <v>21883</v>
      </c>
    </row>
    <row r="6670" spans="1:4" x14ac:dyDescent="0.2">
      <c r="A6670">
        <v>3694029</v>
      </c>
      <c r="B6670">
        <v>30064</v>
      </c>
      <c r="C6670">
        <v>302335</v>
      </c>
      <c r="D6670">
        <v>21883</v>
      </c>
    </row>
    <row r="6671" spans="1:4" x14ac:dyDescent="0.2">
      <c r="A6671">
        <v>3694029</v>
      </c>
      <c r="B6671">
        <v>30065</v>
      </c>
      <c r="C6671">
        <v>302405</v>
      </c>
      <c r="D6671">
        <v>21883</v>
      </c>
    </row>
    <row r="6672" spans="1:4" x14ac:dyDescent="0.2">
      <c r="A6672">
        <v>3694029</v>
      </c>
      <c r="B6672">
        <v>30066</v>
      </c>
      <c r="C6672">
        <v>302402</v>
      </c>
      <c r="D6672">
        <v>21883</v>
      </c>
    </row>
    <row r="6673" spans="1:4" x14ac:dyDescent="0.2">
      <c r="A6673">
        <v>3694030</v>
      </c>
      <c r="B6673">
        <v>30061</v>
      </c>
      <c r="C6673">
        <v>302342</v>
      </c>
      <c r="D6673">
        <v>21883</v>
      </c>
    </row>
    <row r="6674" spans="1:4" x14ac:dyDescent="0.2">
      <c r="A6674">
        <v>3694030</v>
      </c>
      <c r="B6674">
        <v>30062</v>
      </c>
      <c r="C6674">
        <v>302355</v>
      </c>
      <c r="D6674">
        <v>21883</v>
      </c>
    </row>
    <row r="6675" spans="1:4" x14ac:dyDescent="0.2">
      <c r="A6675">
        <v>3694030</v>
      </c>
      <c r="B6675">
        <v>30063</v>
      </c>
      <c r="C6675">
        <v>302356</v>
      </c>
      <c r="D6675">
        <v>21883</v>
      </c>
    </row>
    <row r="6676" spans="1:4" x14ac:dyDescent="0.2">
      <c r="A6676">
        <v>3694030</v>
      </c>
      <c r="B6676">
        <v>30064</v>
      </c>
      <c r="C6676">
        <v>302379</v>
      </c>
      <c r="D6676">
        <v>21883</v>
      </c>
    </row>
    <row r="6677" spans="1:4" x14ac:dyDescent="0.2">
      <c r="A6677">
        <v>3694030</v>
      </c>
      <c r="B6677">
        <v>30065</v>
      </c>
      <c r="C6677">
        <v>302405</v>
      </c>
      <c r="D6677">
        <v>21883</v>
      </c>
    </row>
    <row r="6678" spans="1:4" x14ac:dyDescent="0.2">
      <c r="A6678">
        <v>3694030</v>
      </c>
      <c r="B6678">
        <v>30066</v>
      </c>
      <c r="C6678">
        <v>302402</v>
      </c>
      <c r="D6678">
        <v>21883</v>
      </c>
    </row>
    <row r="6679" spans="1:4" x14ac:dyDescent="0.2">
      <c r="A6679">
        <v>3694031</v>
      </c>
      <c r="B6679">
        <v>30061</v>
      </c>
      <c r="C6679">
        <v>302342</v>
      </c>
      <c r="D6679">
        <v>21883</v>
      </c>
    </row>
    <row r="6680" spans="1:4" x14ac:dyDescent="0.2">
      <c r="A6680">
        <v>3694031</v>
      </c>
      <c r="B6680">
        <v>30062</v>
      </c>
      <c r="C6680">
        <v>302355</v>
      </c>
      <c r="D6680">
        <v>21883</v>
      </c>
    </row>
    <row r="6681" spans="1:4" x14ac:dyDescent="0.2">
      <c r="A6681">
        <v>3694031</v>
      </c>
      <c r="B6681">
        <v>30063</v>
      </c>
      <c r="C6681">
        <v>302356</v>
      </c>
      <c r="D6681">
        <v>21883</v>
      </c>
    </row>
    <row r="6682" spans="1:4" x14ac:dyDescent="0.2">
      <c r="A6682">
        <v>3694031</v>
      </c>
      <c r="B6682">
        <v>30064</v>
      </c>
      <c r="C6682">
        <v>302379</v>
      </c>
      <c r="D6682">
        <v>21883</v>
      </c>
    </row>
    <row r="6683" spans="1:4" x14ac:dyDescent="0.2">
      <c r="A6683">
        <v>3694031</v>
      </c>
      <c r="B6683">
        <v>30065</v>
      </c>
      <c r="C6683">
        <v>302405</v>
      </c>
      <c r="D6683">
        <v>21883</v>
      </c>
    </row>
    <row r="6684" spans="1:4" x14ac:dyDescent="0.2">
      <c r="A6684">
        <v>3694031</v>
      </c>
      <c r="B6684">
        <v>30066</v>
      </c>
      <c r="C6684">
        <v>302402</v>
      </c>
      <c r="D6684">
        <v>21883</v>
      </c>
    </row>
    <row r="6685" spans="1:4" x14ac:dyDescent="0.2">
      <c r="A6685">
        <v>3694032</v>
      </c>
      <c r="B6685">
        <v>30061</v>
      </c>
      <c r="C6685">
        <v>302342</v>
      </c>
      <c r="D6685">
        <v>21883</v>
      </c>
    </row>
    <row r="6686" spans="1:4" x14ac:dyDescent="0.2">
      <c r="A6686">
        <v>3694032</v>
      </c>
      <c r="B6686">
        <v>30063</v>
      </c>
      <c r="C6686">
        <v>302356</v>
      </c>
      <c r="D6686">
        <v>21883</v>
      </c>
    </row>
    <row r="6687" spans="1:4" x14ac:dyDescent="0.2">
      <c r="A6687">
        <v>3694032</v>
      </c>
      <c r="B6687">
        <v>30064</v>
      </c>
      <c r="C6687">
        <v>302392</v>
      </c>
      <c r="D6687">
        <v>21883</v>
      </c>
    </row>
    <row r="6688" spans="1:4" x14ac:dyDescent="0.2">
      <c r="A6688">
        <v>3694032</v>
      </c>
      <c r="B6688">
        <v>30065</v>
      </c>
      <c r="C6688">
        <v>302405</v>
      </c>
      <c r="D6688">
        <v>21883</v>
      </c>
    </row>
    <row r="6689" spans="1:4" x14ac:dyDescent="0.2">
      <c r="A6689">
        <v>3694032</v>
      </c>
      <c r="B6689">
        <v>30066</v>
      </c>
      <c r="C6689">
        <v>302402</v>
      </c>
      <c r="D6689">
        <v>21883</v>
      </c>
    </row>
    <row r="6690" spans="1:4" x14ac:dyDescent="0.2">
      <c r="A6690">
        <v>3694033</v>
      </c>
      <c r="B6690">
        <v>30061</v>
      </c>
      <c r="C6690">
        <v>302343</v>
      </c>
      <c r="D6690">
        <v>21883</v>
      </c>
    </row>
    <row r="6691" spans="1:4" x14ac:dyDescent="0.2">
      <c r="A6691">
        <v>3694033</v>
      </c>
      <c r="B6691">
        <v>30063</v>
      </c>
      <c r="C6691">
        <v>302356</v>
      </c>
      <c r="D6691">
        <v>21883</v>
      </c>
    </row>
    <row r="6692" spans="1:4" x14ac:dyDescent="0.2">
      <c r="A6692">
        <v>3694033</v>
      </c>
      <c r="B6692">
        <v>30064</v>
      </c>
      <c r="C6692">
        <v>302421</v>
      </c>
      <c r="D6692">
        <v>21883</v>
      </c>
    </row>
    <row r="6693" spans="1:4" x14ac:dyDescent="0.2">
      <c r="A6693">
        <v>3694033</v>
      </c>
      <c r="B6693">
        <v>30065</v>
      </c>
      <c r="C6693">
        <v>302405</v>
      </c>
      <c r="D6693">
        <v>21883</v>
      </c>
    </row>
    <row r="6694" spans="1:4" x14ac:dyDescent="0.2">
      <c r="A6694">
        <v>3694033</v>
      </c>
      <c r="B6694">
        <v>30066</v>
      </c>
      <c r="C6694">
        <v>302401</v>
      </c>
      <c r="D6694">
        <v>21883</v>
      </c>
    </row>
    <row r="6695" spans="1:4" x14ac:dyDescent="0.2">
      <c r="A6695">
        <v>3694034</v>
      </c>
      <c r="B6695">
        <v>30061</v>
      </c>
      <c r="C6695">
        <v>302343</v>
      </c>
      <c r="D6695">
        <v>21883</v>
      </c>
    </row>
    <row r="6696" spans="1:4" x14ac:dyDescent="0.2">
      <c r="A6696">
        <v>3694034</v>
      </c>
      <c r="B6696">
        <v>30063</v>
      </c>
      <c r="C6696">
        <v>302356</v>
      </c>
      <c r="D6696">
        <v>21883</v>
      </c>
    </row>
    <row r="6697" spans="1:4" x14ac:dyDescent="0.2">
      <c r="A6697">
        <v>3694034</v>
      </c>
      <c r="B6697">
        <v>30064</v>
      </c>
      <c r="C6697">
        <v>302410</v>
      </c>
      <c r="D6697">
        <v>21883</v>
      </c>
    </row>
    <row r="6698" spans="1:4" x14ac:dyDescent="0.2">
      <c r="A6698">
        <v>3694034</v>
      </c>
      <c r="B6698">
        <v>30065</v>
      </c>
      <c r="C6698">
        <v>302405</v>
      </c>
      <c r="D6698">
        <v>21883</v>
      </c>
    </row>
    <row r="6699" spans="1:4" x14ac:dyDescent="0.2">
      <c r="A6699">
        <v>3694034</v>
      </c>
      <c r="B6699">
        <v>30066</v>
      </c>
      <c r="C6699">
        <v>302401</v>
      </c>
      <c r="D6699">
        <v>21883</v>
      </c>
    </row>
    <row r="6700" spans="1:4" x14ac:dyDescent="0.2">
      <c r="A6700">
        <v>3694035</v>
      </c>
      <c r="B6700">
        <v>30065</v>
      </c>
      <c r="C6700">
        <v>302405</v>
      </c>
      <c r="D6700">
        <v>21883</v>
      </c>
    </row>
    <row r="6701" spans="1:4" x14ac:dyDescent="0.2">
      <c r="A6701">
        <v>3694035</v>
      </c>
      <c r="B6701">
        <v>30066</v>
      </c>
      <c r="C6701">
        <v>302401</v>
      </c>
      <c r="D6701">
        <v>21883</v>
      </c>
    </row>
    <row r="6702" spans="1:4" x14ac:dyDescent="0.2">
      <c r="A6702">
        <v>3694036</v>
      </c>
      <c r="B6702">
        <v>30065</v>
      </c>
      <c r="C6702">
        <v>302405</v>
      </c>
      <c r="D6702">
        <v>21883</v>
      </c>
    </row>
    <row r="6703" spans="1:4" x14ac:dyDescent="0.2">
      <c r="A6703">
        <v>3694036</v>
      </c>
      <c r="B6703">
        <v>30066</v>
      </c>
      <c r="C6703">
        <v>302401</v>
      </c>
      <c r="D6703">
        <v>21883</v>
      </c>
    </row>
    <row r="6704" spans="1:4" x14ac:dyDescent="0.2">
      <c r="A6704">
        <v>3694037</v>
      </c>
      <c r="B6704">
        <v>30065</v>
      </c>
      <c r="C6704">
        <v>302405</v>
      </c>
      <c r="D6704">
        <v>21883</v>
      </c>
    </row>
    <row r="6705" spans="1:4" x14ac:dyDescent="0.2">
      <c r="A6705">
        <v>3694037</v>
      </c>
      <c r="B6705">
        <v>30066</v>
      </c>
      <c r="C6705">
        <v>302401</v>
      </c>
      <c r="D6705">
        <v>21883</v>
      </c>
    </row>
    <row r="6706" spans="1:4" x14ac:dyDescent="0.2">
      <c r="A6706">
        <v>3694038</v>
      </c>
      <c r="B6706">
        <v>30066</v>
      </c>
      <c r="C6706">
        <v>302401</v>
      </c>
      <c r="D6706">
        <v>21883</v>
      </c>
    </row>
    <row r="6707" spans="1:4" x14ac:dyDescent="0.2">
      <c r="A6707">
        <v>3694039</v>
      </c>
      <c r="B6707">
        <v>30065</v>
      </c>
      <c r="C6707">
        <v>302405</v>
      </c>
      <c r="D6707">
        <v>21883</v>
      </c>
    </row>
    <row r="6708" spans="1:4" x14ac:dyDescent="0.2">
      <c r="A6708">
        <v>3694039</v>
      </c>
      <c r="B6708">
        <v>30066</v>
      </c>
      <c r="C6708">
        <v>302401</v>
      </c>
      <c r="D6708">
        <v>21883</v>
      </c>
    </row>
    <row r="6709" spans="1:4" x14ac:dyDescent="0.2">
      <c r="A6709">
        <v>3694040</v>
      </c>
      <c r="B6709">
        <v>30065</v>
      </c>
      <c r="C6709">
        <v>302405</v>
      </c>
      <c r="D6709">
        <v>21883</v>
      </c>
    </row>
    <row r="6710" spans="1:4" x14ac:dyDescent="0.2">
      <c r="A6710">
        <v>3694040</v>
      </c>
      <c r="B6710">
        <v>30066</v>
      </c>
      <c r="C6710">
        <v>302401</v>
      </c>
      <c r="D6710">
        <v>21883</v>
      </c>
    </row>
    <row r="6711" spans="1:4" x14ac:dyDescent="0.2">
      <c r="A6711">
        <v>3694041</v>
      </c>
      <c r="B6711">
        <v>30061</v>
      </c>
      <c r="C6711">
        <v>302343</v>
      </c>
      <c r="D6711">
        <v>21883</v>
      </c>
    </row>
    <row r="6712" spans="1:4" x14ac:dyDescent="0.2">
      <c r="A6712">
        <v>3694041</v>
      </c>
      <c r="B6712">
        <v>30062</v>
      </c>
      <c r="C6712">
        <v>302355</v>
      </c>
      <c r="D6712">
        <v>21883</v>
      </c>
    </row>
    <row r="6713" spans="1:4" x14ac:dyDescent="0.2">
      <c r="A6713">
        <v>3694041</v>
      </c>
      <c r="B6713">
        <v>30063</v>
      </c>
      <c r="C6713">
        <v>302356</v>
      </c>
      <c r="D6713">
        <v>21883</v>
      </c>
    </row>
    <row r="6714" spans="1:4" x14ac:dyDescent="0.2">
      <c r="A6714">
        <v>3694041</v>
      </c>
      <c r="B6714">
        <v>30064</v>
      </c>
      <c r="C6714">
        <v>302335</v>
      </c>
      <c r="D6714">
        <v>21883</v>
      </c>
    </row>
    <row r="6715" spans="1:4" x14ac:dyDescent="0.2">
      <c r="A6715">
        <v>3694041</v>
      </c>
      <c r="B6715">
        <v>30065</v>
      </c>
      <c r="C6715">
        <v>302405</v>
      </c>
      <c r="D6715">
        <v>21883</v>
      </c>
    </row>
    <row r="6716" spans="1:4" x14ac:dyDescent="0.2">
      <c r="A6716">
        <v>3694041</v>
      </c>
      <c r="B6716">
        <v>30066</v>
      </c>
      <c r="C6716">
        <v>302401</v>
      </c>
      <c r="D6716">
        <v>21883</v>
      </c>
    </row>
    <row r="6717" spans="1:4" x14ac:dyDescent="0.2">
      <c r="A6717">
        <v>3694042</v>
      </c>
      <c r="B6717">
        <v>30061</v>
      </c>
      <c r="C6717">
        <v>302343</v>
      </c>
      <c r="D6717">
        <v>21883</v>
      </c>
    </row>
    <row r="6718" spans="1:4" x14ac:dyDescent="0.2">
      <c r="A6718">
        <v>3694042</v>
      </c>
      <c r="B6718">
        <v>30062</v>
      </c>
      <c r="C6718">
        <v>302355</v>
      </c>
      <c r="D6718">
        <v>21883</v>
      </c>
    </row>
    <row r="6719" spans="1:4" x14ac:dyDescent="0.2">
      <c r="A6719">
        <v>3694042</v>
      </c>
      <c r="B6719">
        <v>30063</v>
      </c>
      <c r="C6719">
        <v>302356</v>
      </c>
      <c r="D6719">
        <v>21883</v>
      </c>
    </row>
    <row r="6720" spans="1:4" x14ac:dyDescent="0.2">
      <c r="A6720">
        <v>3694042</v>
      </c>
      <c r="B6720">
        <v>30064</v>
      </c>
      <c r="C6720">
        <v>302379</v>
      </c>
      <c r="D6720">
        <v>21883</v>
      </c>
    </row>
    <row r="6721" spans="1:4" x14ac:dyDescent="0.2">
      <c r="A6721">
        <v>3694042</v>
      </c>
      <c r="B6721">
        <v>30065</v>
      </c>
      <c r="C6721">
        <v>302405</v>
      </c>
      <c r="D6721">
        <v>21883</v>
      </c>
    </row>
    <row r="6722" spans="1:4" x14ac:dyDescent="0.2">
      <c r="A6722">
        <v>3694042</v>
      </c>
      <c r="B6722">
        <v>30066</v>
      </c>
      <c r="C6722">
        <v>302401</v>
      </c>
      <c r="D6722">
        <v>21883</v>
      </c>
    </row>
    <row r="6723" spans="1:4" x14ac:dyDescent="0.2">
      <c r="A6723">
        <v>3694043</v>
      </c>
      <c r="B6723">
        <v>30061</v>
      </c>
      <c r="C6723">
        <v>302343</v>
      </c>
      <c r="D6723">
        <v>21883</v>
      </c>
    </row>
    <row r="6724" spans="1:4" x14ac:dyDescent="0.2">
      <c r="A6724">
        <v>3694043</v>
      </c>
      <c r="B6724">
        <v>30062</v>
      </c>
      <c r="C6724">
        <v>302355</v>
      </c>
      <c r="D6724">
        <v>21883</v>
      </c>
    </row>
    <row r="6725" spans="1:4" x14ac:dyDescent="0.2">
      <c r="A6725">
        <v>3694043</v>
      </c>
      <c r="B6725">
        <v>30063</v>
      </c>
      <c r="C6725">
        <v>302356</v>
      </c>
      <c r="D6725">
        <v>21883</v>
      </c>
    </row>
    <row r="6726" spans="1:4" x14ac:dyDescent="0.2">
      <c r="A6726">
        <v>3694043</v>
      </c>
      <c r="B6726">
        <v>30064</v>
      </c>
      <c r="C6726">
        <v>302379</v>
      </c>
      <c r="D6726">
        <v>21883</v>
      </c>
    </row>
    <row r="6727" spans="1:4" x14ac:dyDescent="0.2">
      <c r="A6727">
        <v>3694043</v>
      </c>
      <c r="B6727">
        <v>30065</v>
      </c>
      <c r="C6727">
        <v>302405</v>
      </c>
      <c r="D6727">
        <v>21883</v>
      </c>
    </row>
    <row r="6728" spans="1:4" x14ac:dyDescent="0.2">
      <c r="A6728">
        <v>3694043</v>
      </c>
      <c r="B6728">
        <v>30066</v>
      </c>
      <c r="C6728">
        <v>302401</v>
      </c>
      <c r="D6728">
        <v>21883</v>
      </c>
    </row>
    <row r="6729" spans="1:4" x14ac:dyDescent="0.2">
      <c r="A6729">
        <v>3694044</v>
      </c>
      <c r="B6729">
        <v>30063</v>
      </c>
      <c r="C6729">
        <v>302356</v>
      </c>
      <c r="D6729">
        <v>21883</v>
      </c>
    </row>
    <row r="6730" spans="1:4" x14ac:dyDescent="0.2">
      <c r="A6730">
        <v>3694044</v>
      </c>
      <c r="B6730">
        <v>30064</v>
      </c>
      <c r="C6730">
        <v>302392</v>
      </c>
      <c r="D6730">
        <v>21883</v>
      </c>
    </row>
    <row r="6731" spans="1:4" x14ac:dyDescent="0.2">
      <c r="A6731">
        <v>3694044</v>
      </c>
      <c r="B6731">
        <v>30065</v>
      </c>
      <c r="C6731">
        <v>302405</v>
      </c>
      <c r="D6731">
        <v>21883</v>
      </c>
    </row>
    <row r="6732" spans="1:4" x14ac:dyDescent="0.2">
      <c r="A6732">
        <v>3694044</v>
      </c>
      <c r="B6732">
        <v>30066</v>
      </c>
      <c r="C6732">
        <v>302401</v>
      </c>
      <c r="D6732">
        <v>21883</v>
      </c>
    </row>
    <row r="6733" spans="1:4" x14ac:dyDescent="0.2">
      <c r="A6733">
        <v>3694045</v>
      </c>
      <c r="B6733">
        <v>30063</v>
      </c>
      <c r="C6733">
        <v>302357</v>
      </c>
      <c r="D6733">
        <v>21883</v>
      </c>
    </row>
    <row r="6734" spans="1:4" x14ac:dyDescent="0.2">
      <c r="A6734">
        <v>3694045</v>
      </c>
      <c r="B6734">
        <v>30064</v>
      </c>
      <c r="C6734">
        <v>302362</v>
      </c>
      <c r="D6734">
        <v>21883</v>
      </c>
    </row>
    <row r="6735" spans="1:4" x14ac:dyDescent="0.2">
      <c r="A6735">
        <v>3694045</v>
      </c>
      <c r="B6735">
        <v>30065</v>
      </c>
      <c r="C6735">
        <v>302371</v>
      </c>
      <c r="D6735">
        <v>21883</v>
      </c>
    </row>
    <row r="6736" spans="1:4" x14ac:dyDescent="0.2">
      <c r="A6736">
        <v>3694045</v>
      </c>
      <c r="B6736">
        <v>30066</v>
      </c>
      <c r="C6736">
        <v>302436</v>
      </c>
      <c r="D6736">
        <v>21883</v>
      </c>
    </row>
    <row r="6737" spans="1:4" x14ac:dyDescent="0.2">
      <c r="A6737">
        <v>3694045</v>
      </c>
      <c r="B6737">
        <v>30067</v>
      </c>
      <c r="C6737">
        <v>302448</v>
      </c>
      <c r="D6737">
        <v>21883</v>
      </c>
    </row>
    <row r="6738" spans="1:4" x14ac:dyDescent="0.2">
      <c r="A6738">
        <v>3694046</v>
      </c>
      <c r="B6738">
        <v>30063</v>
      </c>
      <c r="C6738">
        <v>302357</v>
      </c>
      <c r="D6738">
        <v>21883</v>
      </c>
    </row>
    <row r="6739" spans="1:4" x14ac:dyDescent="0.2">
      <c r="A6739">
        <v>3694046</v>
      </c>
      <c r="B6739">
        <v>30064</v>
      </c>
      <c r="C6739">
        <v>302362</v>
      </c>
      <c r="D6739">
        <v>21883</v>
      </c>
    </row>
    <row r="6740" spans="1:4" x14ac:dyDescent="0.2">
      <c r="A6740">
        <v>3694046</v>
      </c>
      <c r="B6740">
        <v>30065</v>
      </c>
      <c r="C6740">
        <v>302371</v>
      </c>
      <c r="D6740">
        <v>21883</v>
      </c>
    </row>
    <row r="6741" spans="1:4" x14ac:dyDescent="0.2">
      <c r="A6741">
        <v>3694046</v>
      </c>
      <c r="B6741">
        <v>30066</v>
      </c>
      <c r="C6741">
        <v>302436</v>
      </c>
      <c r="D6741">
        <v>21883</v>
      </c>
    </row>
    <row r="6742" spans="1:4" x14ac:dyDescent="0.2">
      <c r="A6742">
        <v>3694046</v>
      </c>
      <c r="B6742">
        <v>30067</v>
      </c>
      <c r="C6742">
        <v>302449</v>
      </c>
      <c r="D6742">
        <v>21883</v>
      </c>
    </row>
    <row r="6743" spans="1:4" x14ac:dyDescent="0.2">
      <c r="A6743">
        <v>3694047</v>
      </c>
      <c r="B6743">
        <v>30063</v>
      </c>
      <c r="C6743">
        <v>302357</v>
      </c>
      <c r="D6743">
        <v>21883</v>
      </c>
    </row>
    <row r="6744" spans="1:4" x14ac:dyDescent="0.2">
      <c r="A6744">
        <v>3694047</v>
      </c>
      <c r="B6744">
        <v>30064</v>
      </c>
      <c r="C6744">
        <v>302362</v>
      </c>
      <c r="D6744">
        <v>21883</v>
      </c>
    </row>
    <row r="6745" spans="1:4" x14ac:dyDescent="0.2">
      <c r="A6745">
        <v>3694047</v>
      </c>
      <c r="B6745">
        <v>30065</v>
      </c>
      <c r="C6745">
        <v>302371</v>
      </c>
      <c r="D6745">
        <v>21883</v>
      </c>
    </row>
    <row r="6746" spans="1:4" x14ac:dyDescent="0.2">
      <c r="A6746">
        <v>3694047</v>
      </c>
      <c r="B6746">
        <v>30066</v>
      </c>
      <c r="C6746">
        <v>302436</v>
      </c>
      <c r="D6746">
        <v>21883</v>
      </c>
    </row>
    <row r="6747" spans="1:4" x14ac:dyDescent="0.2">
      <c r="A6747">
        <v>3694047</v>
      </c>
      <c r="B6747">
        <v>30067</v>
      </c>
      <c r="C6747">
        <v>302450</v>
      </c>
      <c r="D6747">
        <v>21883</v>
      </c>
    </row>
    <row r="6748" spans="1:4" x14ac:dyDescent="0.2">
      <c r="A6748">
        <v>3694048</v>
      </c>
      <c r="B6748">
        <v>30063</v>
      </c>
      <c r="C6748">
        <v>302357</v>
      </c>
      <c r="D6748">
        <v>21883</v>
      </c>
    </row>
    <row r="6749" spans="1:4" x14ac:dyDescent="0.2">
      <c r="A6749">
        <v>3694048</v>
      </c>
      <c r="B6749">
        <v>30064</v>
      </c>
      <c r="C6749">
        <v>302362</v>
      </c>
      <c r="D6749">
        <v>21883</v>
      </c>
    </row>
    <row r="6750" spans="1:4" x14ac:dyDescent="0.2">
      <c r="A6750">
        <v>3694048</v>
      </c>
      <c r="B6750">
        <v>30065</v>
      </c>
      <c r="C6750">
        <v>302372</v>
      </c>
      <c r="D6750">
        <v>21883</v>
      </c>
    </row>
    <row r="6751" spans="1:4" x14ac:dyDescent="0.2">
      <c r="A6751">
        <v>3694048</v>
      </c>
      <c r="B6751">
        <v>30066</v>
      </c>
      <c r="C6751">
        <v>302436</v>
      </c>
      <c r="D6751">
        <v>21883</v>
      </c>
    </row>
    <row r="6752" spans="1:4" x14ac:dyDescent="0.2">
      <c r="A6752">
        <v>3694048</v>
      </c>
      <c r="B6752">
        <v>30067</v>
      </c>
      <c r="C6752">
        <v>302448</v>
      </c>
      <c r="D6752">
        <v>21883</v>
      </c>
    </row>
    <row r="6753" spans="1:4" x14ac:dyDescent="0.2">
      <c r="A6753">
        <v>3694049</v>
      </c>
      <c r="B6753">
        <v>30063</v>
      </c>
      <c r="C6753">
        <v>302357</v>
      </c>
      <c r="D6753">
        <v>21883</v>
      </c>
    </row>
    <row r="6754" spans="1:4" x14ac:dyDescent="0.2">
      <c r="A6754">
        <v>3694049</v>
      </c>
      <c r="B6754">
        <v>30064</v>
      </c>
      <c r="C6754">
        <v>302362</v>
      </c>
      <c r="D6754">
        <v>21883</v>
      </c>
    </row>
    <row r="6755" spans="1:4" x14ac:dyDescent="0.2">
      <c r="A6755">
        <v>3694049</v>
      </c>
      <c r="B6755">
        <v>30065</v>
      </c>
      <c r="C6755">
        <v>302372</v>
      </c>
      <c r="D6755">
        <v>21883</v>
      </c>
    </row>
    <row r="6756" spans="1:4" x14ac:dyDescent="0.2">
      <c r="A6756">
        <v>3694049</v>
      </c>
      <c r="B6756">
        <v>30066</v>
      </c>
      <c r="C6756">
        <v>302436</v>
      </c>
      <c r="D6756">
        <v>21883</v>
      </c>
    </row>
    <row r="6757" spans="1:4" x14ac:dyDescent="0.2">
      <c r="A6757">
        <v>3694049</v>
      </c>
      <c r="B6757">
        <v>30067</v>
      </c>
      <c r="C6757">
        <v>302449</v>
      </c>
      <c r="D6757">
        <v>21883</v>
      </c>
    </row>
    <row r="6758" spans="1:4" x14ac:dyDescent="0.2">
      <c r="A6758">
        <v>3694050</v>
      </c>
      <c r="B6758">
        <v>30063</v>
      </c>
      <c r="C6758">
        <v>302357</v>
      </c>
      <c r="D6758">
        <v>21883</v>
      </c>
    </row>
    <row r="6759" spans="1:4" x14ac:dyDescent="0.2">
      <c r="A6759">
        <v>3694050</v>
      </c>
      <c r="B6759">
        <v>30064</v>
      </c>
      <c r="C6759">
        <v>302362</v>
      </c>
      <c r="D6759">
        <v>21883</v>
      </c>
    </row>
    <row r="6760" spans="1:4" x14ac:dyDescent="0.2">
      <c r="A6760">
        <v>3694050</v>
      </c>
      <c r="B6760">
        <v>30065</v>
      </c>
      <c r="C6760">
        <v>302372</v>
      </c>
      <c r="D6760">
        <v>21883</v>
      </c>
    </row>
    <row r="6761" spans="1:4" x14ac:dyDescent="0.2">
      <c r="A6761">
        <v>3694050</v>
      </c>
      <c r="B6761">
        <v>30066</v>
      </c>
      <c r="C6761">
        <v>302436</v>
      </c>
      <c r="D6761">
        <v>21883</v>
      </c>
    </row>
    <row r="6762" spans="1:4" x14ac:dyDescent="0.2">
      <c r="A6762">
        <v>3694050</v>
      </c>
      <c r="B6762">
        <v>30067</v>
      </c>
      <c r="C6762">
        <v>302450</v>
      </c>
      <c r="D6762">
        <v>21883</v>
      </c>
    </row>
    <row r="6763" spans="1:4" x14ac:dyDescent="0.2">
      <c r="A6763">
        <v>3694051</v>
      </c>
      <c r="B6763">
        <v>30063</v>
      </c>
      <c r="C6763">
        <v>302357</v>
      </c>
      <c r="D6763">
        <v>21883</v>
      </c>
    </row>
    <row r="6764" spans="1:4" x14ac:dyDescent="0.2">
      <c r="A6764">
        <v>3694051</v>
      </c>
      <c r="B6764">
        <v>30064</v>
      </c>
      <c r="C6764">
        <v>302362</v>
      </c>
      <c r="D6764">
        <v>21883</v>
      </c>
    </row>
    <row r="6765" spans="1:4" x14ac:dyDescent="0.2">
      <c r="A6765">
        <v>3694051</v>
      </c>
      <c r="B6765">
        <v>30065</v>
      </c>
      <c r="C6765">
        <v>302373</v>
      </c>
      <c r="D6765">
        <v>21883</v>
      </c>
    </row>
    <row r="6766" spans="1:4" x14ac:dyDescent="0.2">
      <c r="A6766">
        <v>3694051</v>
      </c>
      <c r="B6766">
        <v>30066</v>
      </c>
      <c r="C6766">
        <v>302436</v>
      </c>
      <c r="D6766">
        <v>21883</v>
      </c>
    </row>
    <row r="6767" spans="1:4" x14ac:dyDescent="0.2">
      <c r="A6767">
        <v>3694051</v>
      </c>
      <c r="B6767">
        <v>30067</v>
      </c>
      <c r="C6767">
        <v>302451</v>
      </c>
      <c r="D6767">
        <v>21883</v>
      </c>
    </row>
    <row r="6768" spans="1:4" x14ac:dyDescent="0.2">
      <c r="A6768">
        <v>3694052</v>
      </c>
      <c r="B6768">
        <v>30063</v>
      </c>
      <c r="C6768">
        <v>302357</v>
      </c>
      <c r="D6768">
        <v>21883</v>
      </c>
    </row>
    <row r="6769" spans="1:4" x14ac:dyDescent="0.2">
      <c r="A6769">
        <v>3694052</v>
      </c>
      <c r="B6769">
        <v>30064</v>
      </c>
      <c r="C6769">
        <v>302362</v>
      </c>
      <c r="D6769">
        <v>21883</v>
      </c>
    </row>
    <row r="6770" spans="1:4" x14ac:dyDescent="0.2">
      <c r="A6770">
        <v>3694052</v>
      </c>
      <c r="B6770">
        <v>30065</v>
      </c>
      <c r="C6770">
        <v>302373</v>
      </c>
      <c r="D6770">
        <v>21883</v>
      </c>
    </row>
    <row r="6771" spans="1:4" x14ac:dyDescent="0.2">
      <c r="A6771">
        <v>3694052</v>
      </c>
      <c r="B6771">
        <v>30066</v>
      </c>
      <c r="C6771">
        <v>302436</v>
      </c>
      <c r="D6771">
        <v>21883</v>
      </c>
    </row>
    <row r="6772" spans="1:4" x14ac:dyDescent="0.2">
      <c r="A6772">
        <v>3694052</v>
      </c>
      <c r="B6772">
        <v>30067</v>
      </c>
      <c r="C6772">
        <v>302452</v>
      </c>
      <c r="D6772">
        <v>21883</v>
      </c>
    </row>
    <row r="6773" spans="1:4" x14ac:dyDescent="0.2">
      <c r="A6773">
        <v>3694053</v>
      </c>
      <c r="B6773">
        <v>30061</v>
      </c>
      <c r="C6773">
        <v>302337</v>
      </c>
      <c r="D6773">
        <v>21883</v>
      </c>
    </row>
    <row r="6774" spans="1:4" x14ac:dyDescent="0.2">
      <c r="A6774">
        <v>3694053</v>
      </c>
      <c r="B6774">
        <v>30063</v>
      </c>
      <c r="C6774">
        <v>302357</v>
      </c>
      <c r="D6774">
        <v>21883</v>
      </c>
    </row>
    <row r="6775" spans="1:4" x14ac:dyDescent="0.2">
      <c r="A6775">
        <v>3694053</v>
      </c>
      <c r="B6775">
        <v>30064</v>
      </c>
      <c r="C6775">
        <v>302362</v>
      </c>
      <c r="D6775">
        <v>21883</v>
      </c>
    </row>
    <row r="6776" spans="1:4" x14ac:dyDescent="0.2">
      <c r="A6776">
        <v>3694053</v>
      </c>
      <c r="B6776">
        <v>30065</v>
      </c>
      <c r="C6776">
        <v>302373</v>
      </c>
      <c r="D6776">
        <v>21883</v>
      </c>
    </row>
    <row r="6777" spans="1:4" x14ac:dyDescent="0.2">
      <c r="A6777">
        <v>3694053</v>
      </c>
      <c r="B6777">
        <v>30066</v>
      </c>
      <c r="C6777">
        <v>302436</v>
      </c>
      <c r="D6777">
        <v>21883</v>
      </c>
    </row>
    <row r="6778" spans="1:4" x14ac:dyDescent="0.2">
      <c r="A6778">
        <v>3694053</v>
      </c>
      <c r="B6778">
        <v>30067</v>
      </c>
      <c r="C6778">
        <v>302453</v>
      </c>
      <c r="D6778">
        <v>21883</v>
      </c>
    </row>
    <row r="6779" spans="1:4" x14ac:dyDescent="0.2">
      <c r="A6779">
        <v>3694054</v>
      </c>
      <c r="B6779">
        <v>30064</v>
      </c>
      <c r="C6779">
        <v>302468</v>
      </c>
      <c r="D6779">
        <v>21883</v>
      </c>
    </row>
    <row r="6780" spans="1:4" x14ac:dyDescent="0.2">
      <c r="A6780">
        <v>3694054</v>
      </c>
      <c r="B6780">
        <v>30065</v>
      </c>
      <c r="C6780">
        <v>302371</v>
      </c>
      <c r="D6780">
        <v>21883</v>
      </c>
    </row>
    <row r="6781" spans="1:4" x14ac:dyDescent="0.2">
      <c r="A6781">
        <v>3694054</v>
      </c>
      <c r="B6781">
        <v>30066</v>
      </c>
      <c r="C6781">
        <v>302401</v>
      </c>
      <c r="D6781">
        <v>21883</v>
      </c>
    </row>
    <row r="6782" spans="1:4" x14ac:dyDescent="0.2">
      <c r="A6782">
        <v>3694055</v>
      </c>
      <c r="B6782">
        <v>30063</v>
      </c>
      <c r="C6782">
        <v>302356</v>
      </c>
      <c r="D6782">
        <v>21883</v>
      </c>
    </row>
    <row r="6783" spans="1:4" x14ac:dyDescent="0.2">
      <c r="A6783">
        <v>3694055</v>
      </c>
      <c r="B6783">
        <v>30064</v>
      </c>
      <c r="C6783">
        <v>302384</v>
      </c>
      <c r="D6783">
        <v>21883</v>
      </c>
    </row>
    <row r="6784" spans="1:4" x14ac:dyDescent="0.2">
      <c r="A6784">
        <v>3694055</v>
      </c>
      <c r="B6784">
        <v>30065</v>
      </c>
      <c r="C6784">
        <v>302371</v>
      </c>
      <c r="D6784">
        <v>21883</v>
      </c>
    </row>
    <row r="6785" spans="1:4" x14ac:dyDescent="0.2">
      <c r="A6785">
        <v>3694055</v>
      </c>
      <c r="B6785">
        <v>30066</v>
      </c>
      <c r="C6785">
        <v>302401</v>
      </c>
      <c r="D6785">
        <v>21883</v>
      </c>
    </row>
    <row r="6786" spans="1:4" x14ac:dyDescent="0.2">
      <c r="A6786">
        <v>3694055</v>
      </c>
      <c r="B6786">
        <v>30069</v>
      </c>
      <c r="C6786">
        <v>302442</v>
      </c>
      <c r="D6786">
        <v>21883</v>
      </c>
    </row>
    <row r="6787" spans="1:4" x14ac:dyDescent="0.2">
      <c r="A6787">
        <v>3694056</v>
      </c>
      <c r="B6787">
        <v>30061</v>
      </c>
      <c r="C6787">
        <v>302350</v>
      </c>
      <c r="D6787">
        <v>21883</v>
      </c>
    </row>
    <row r="6788" spans="1:4" x14ac:dyDescent="0.2">
      <c r="A6788">
        <v>3694056</v>
      </c>
      <c r="B6788">
        <v>30062</v>
      </c>
      <c r="C6788">
        <v>302355</v>
      </c>
      <c r="D6788">
        <v>21883</v>
      </c>
    </row>
    <row r="6789" spans="1:4" x14ac:dyDescent="0.2">
      <c r="A6789">
        <v>3694056</v>
      </c>
      <c r="B6789">
        <v>30063</v>
      </c>
      <c r="C6789">
        <v>302356</v>
      </c>
      <c r="D6789">
        <v>21883</v>
      </c>
    </row>
    <row r="6790" spans="1:4" x14ac:dyDescent="0.2">
      <c r="A6790">
        <v>3694056</v>
      </c>
      <c r="B6790">
        <v>30064</v>
      </c>
      <c r="C6790">
        <v>302414</v>
      </c>
      <c r="D6790">
        <v>21883</v>
      </c>
    </row>
    <row r="6791" spans="1:4" x14ac:dyDescent="0.2">
      <c r="A6791">
        <v>3694056</v>
      </c>
      <c r="B6791">
        <v>30065</v>
      </c>
      <c r="C6791">
        <v>302371</v>
      </c>
      <c r="D6791">
        <v>21883</v>
      </c>
    </row>
    <row r="6792" spans="1:4" x14ac:dyDescent="0.2">
      <c r="A6792">
        <v>3694056</v>
      </c>
      <c r="B6792">
        <v>30066</v>
      </c>
      <c r="C6792">
        <v>302402</v>
      </c>
      <c r="D6792">
        <v>21883</v>
      </c>
    </row>
    <row r="6793" spans="1:4" x14ac:dyDescent="0.2">
      <c r="A6793">
        <v>3694057</v>
      </c>
      <c r="B6793">
        <v>30063</v>
      </c>
      <c r="C6793">
        <v>302357</v>
      </c>
      <c r="D6793">
        <v>21883</v>
      </c>
    </row>
    <row r="6794" spans="1:4" x14ac:dyDescent="0.2">
      <c r="A6794">
        <v>3694057</v>
      </c>
      <c r="B6794">
        <v>30064</v>
      </c>
      <c r="C6794">
        <v>302362</v>
      </c>
      <c r="D6794">
        <v>21883</v>
      </c>
    </row>
    <row r="6795" spans="1:4" x14ac:dyDescent="0.2">
      <c r="A6795">
        <v>3694057</v>
      </c>
      <c r="B6795">
        <v>30065</v>
      </c>
      <c r="C6795">
        <v>302371</v>
      </c>
      <c r="D6795">
        <v>21883</v>
      </c>
    </row>
    <row r="6796" spans="1:4" x14ac:dyDescent="0.2">
      <c r="A6796">
        <v>3694057</v>
      </c>
      <c r="B6796">
        <v>30066</v>
      </c>
      <c r="C6796">
        <v>302436</v>
      </c>
      <c r="D6796">
        <v>21883</v>
      </c>
    </row>
    <row r="6797" spans="1:4" x14ac:dyDescent="0.2">
      <c r="A6797">
        <v>3694057</v>
      </c>
      <c r="B6797">
        <v>30067</v>
      </c>
      <c r="C6797">
        <v>302451</v>
      </c>
      <c r="D6797">
        <v>21883</v>
      </c>
    </row>
    <row r="6798" spans="1:4" x14ac:dyDescent="0.2">
      <c r="A6798">
        <v>3694058</v>
      </c>
      <c r="B6798">
        <v>30065</v>
      </c>
      <c r="C6798">
        <v>302405</v>
      </c>
      <c r="D6798">
        <v>21883</v>
      </c>
    </row>
    <row r="6799" spans="1:4" x14ac:dyDescent="0.2">
      <c r="A6799">
        <v>3694058</v>
      </c>
      <c r="B6799">
        <v>30066</v>
      </c>
      <c r="C6799">
        <v>302436</v>
      </c>
      <c r="D6799">
        <v>21883</v>
      </c>
    </row>
    <row r="6800" spans="1:4" x14ac:dyDescent="0.2">
      <c r="A6800">
        <v>3694058</v>
      </c>
      <c r="B6800">
        <v>30067</v>
      </c>
      <c r="C6800">
        <v>302464</v>
      </c>
      <c r="D6800">
        <v>21883</v>
      </c>
    </row>
    <row r="6801" spans="1:4" x14ac:dyDescent="0.2">
      <c r="A6801">
        <v>3694059</v>
      </c>
      <c r="B6801">
        <v>30063</v>
      </c>
      <c r="C6801">
        <v>302356</v>
      </c>
      <c r="D6801">
        <v>21883</v>
      </c>
    </row>
    <row r="6802" spans="1:4" x14ac:dyDescent="0.2">
      <c r="A6802">
        <v>3694059</v>
      </c>
      <c r="B6802">
        <v>30064</v>
      </c>
      <c r="C6802">
        <v>302396</v>
      </c>
      <c r="D6802">
        <v>21883</v>
      </c>
    </row>
    <row r="6803" spans="1:4" x14ac:dyDescent="0.2">
      <c r="A6803">
        <v>3694059</v>
      </c>
      <c r="B6803">
        <v>30065</v>
      </c>
      <c r="C6803">
        <v>302371</v>
      </c>
      <c r="D6803">
        <v>21883</v>
      </c>
    </row>
    <row r="6804" spans="1:4" x14ac:dyDescent="0.2">
      <c r="A6804">
        <v>3694059</v>
      </c>
      <c r="B6804">
        <v>30066</v>
      </c>
      <c r="C6804">
        <v>302438</v>
      </c>
      <c r="D6804">
        <v>21883</v>
      </c>
    </row>
    <row r="6805" spans="1:4" x14ac:dyDescent="0.2">
      <c r="A6805">
        <v>3694059</v>
      </c>
      <c r="B6805">
        <v>30069</v>
      </c>
      <c r="C6805">
        <v>302440</v>
      </c>
      <c r="D6805">
        <v>21883</v>
      </c>
    </row>
    <row r="6806" spans="1:4" x14ac:dyDescent="0.2">
      <c r="A6806">
        <v>3694060</v>
      </c>
      <c r="B6806">
        <v>30063</v>
      </c>
      <c r="C6806">
        <v>302358</v>
      </c>
      <c r="D6806">
        <v>21883</v>
      </c>
    </row>
    <row r="6807" spans="1:4" x14ac:dyDescent="0.2">
      <c r="A6807">
        <v>3694060</v>
      </c>
      <c r="B6807">
        <v>30064</v>
      </c>
      <c r="C6807">
        <v>302407</v>
      </c>
      <c r="D6807">
        <v>21883</v>
      </c>
    </row>
    <row r="6808" spans="1:4" x14ac:dyDescent="0.2">
      <c r="A6808">
        <v>3694060</v>
      </c>
      <c r="B6808">
        <v>30065</v>
      </c>
      <c r="C6808">
        <v>302370</v>
      </c>
      <c r="D6808">
        <v>21883</v>
      </c>
    </row>
    <row r="6809" spans="1:4" x14ac:dyDescent="0.2">
      <c r="A6809">
        <v>3694060</v>
      </c>
      <c r="B6809">
        <v>30066</v>
      </c>
      <c r="C6809">
        <v>302438</v>
      </c>
      <c r="D6809">
        <v>21883</v>
      </c>
    </row>
    <row r="6810" spans="1:4" x14ac:dyDescent="0.2">
      <c r="A6810">
        <v>3694060</v>
      </c>
      <c r="B6810">
        <v>30069</v>
      </c>
      <c r="C6810">
        <v>302446</v>
      </c>
      <c r="D6810">
        <v>21883</v>
      </c>
    </row>
    <row r="6811" spans="1:4" x14ac:dyDescent="0.2">
      <c r="A6811">
        <v>3694061</v>
      </c>
      <c r="B6811">
        <v>30063</v>
      </c>
      <c r="C6811">
        <v>302358</v>
      </c>
      <c r="D6811">
        <v>21883</v>
      </c>
    </row>
    <row r="6812" spans="1:4" x14ac:dyDescent="0.2">
      <c r="A6812">
        <v>3694061</v>
      </c>
      <c r="B6812">
        <v>30064</v>
      </c>
      <c r="C6812">
        <v>302407</v>
      </c>
      <c r="D6812">
        <v>21883</v>
      </c>
    </row>
    <row r="6813" spans="1:4" x14ac:dyDescent="0.2">
      <c r="A6813">
        <v>3694061</v>
      </c>
      <c r="B6813">
        <v>30065</v>
      </c>
      <c r="C6813">
        <v>302370</v>
      </c>
      <c r="D6813">
        <v>21883</v>
      </c>
    </row>
    <row r="6814" spans="1:4" x14ac:dyDescent="0.2">
      <c r="A6814">
        <v>3694061</v>
      </c>
      <c r="B6814">
        <v>30066</v>
      </c>
      <c r="C6814">
        <v>302438</v>
      </c>
      <c r="D6814">
        <v>21883</v>
      </c>
    </row>
    <row r="6815" spans="1:4" x14ac:dyDescent="0.2">
      <c r="A6815">
        <v>3694061</v>
      </c>
      <c r="B6815">
        <v>30069</v>
      </c>
      <c r="C6815">
        <v>302446</v>
      </c>
      <c r="D6815">
        <v>21883</v>
      </c>
    </row>
    <row r="6816" spans="1:4" x14ac:dyDescent="0.2">
      <c r="A6816">
        <v>3694062</v>
      </c>
      <c r="B6816">
        <v>30063</v>
      </c>
      <c r="C6816">
        <v>302374</v>
      </c>
      <c r="D6816">
        <v>21883</v>
      </c>
    </row>
    <row r="6817" spans="1:4" x14ac:dyDescent="0.2">
      <c r="A6817">
        <v>3694062</v>
      </c>
      <c r="B6817">
        <v>30064</v>
      </c>
      <c r="C6817">
        <v>302399</v>
      </c>
      <c r="D6817">
        <v>21883</v>
      </c>
    </row>
    <row r="6818" spans="1:4" x14ac:dyDescent="0.2">
      <c r="A6818">
        <v>3694062</v>
      </c>
      <c r="B6818">
        <v>30065</v>
      </c>
      <c r="C6818">
        <v>302371</v>
      </c>
      <c r="D6818">
        <v>21883</v>
      </c>
    </row>
    <row r="6819" spans="1:4" x14ac:dyDescent="0.2">
      <c r="A6819">
        <v>3694062</v>
      </c>
      <c r="B6819">
        <v>30066</v>
      </c>
      <c r="C6819">
        <v>302402</v>
      </c>
      <c r="D6819">
        <v>21883</v>
      </c>
    </row>
    <row r="6820" spans="1:4" x14ac:dyDescent="0.2">
      <c r="A6820">
        <v>3694063</v>
      </c>
      <c r="B6820">
        <v>30061</v>
      </c>
      <c r="C6820">
        <v>302350</v>
      </c>
      <c r="D6820">
        <v>21883</v>
      </c>
    </row>
    <row r="6821" spans="1:4" x14ac:dyDescent="0.2">
      <c r="A6821">
        <v>3694063</v>
      </c>
      <c r="B6821">
        <v>30062</v>
      </c>
      <c r="C6821">
        <v>302355</v>
      </c>
      <c r="D6821">
        <v>21883</v>
      </c>
    </row>
    <row r="6822" spans="1:4" x14ac:dyDescent="0.2">
      <c r="A6822">
        <v>3694063</v>
      </c>
      <c r="B6822">
        <v>30063</v>
      </c>
      <c r="C6822">
        <v>302356</v>
      </c>
      <c r="D6822">
        <v>21883</v>
      </c>
    </row>
    <row r="6823" spans="1:4" x14ac:dyDescent="0.2">
      <c r="A6823">
        <v>3694063</v>
      </c>
      <c r="B6823">
        <v>30064</v>
      </c>
      <c r="C6823">
        <v>302414</v>
      </c>
      <c r="D6823">
        <v>21883</v>
      </c>
    </row>
    <row r="6824" spans="1:4" x14ac:dyDescent="0.2">
      <c r="A6824">
        <v>3694063</v>
      </c>
      <c r="B6824">
        <v>30065</v>
      </c>
      <c r="C6824">
        <v>302371</v>
      </c>
      <c r="D6824">
        <v>21883</v>
      </c>
    </row>
    <row r="6825" spans="1:4" x14ac:dyDescent="0.2">
      <c r="A6825">
        <v>3694063</v>
      </c>
      <c r="B6825">
        <v>30066</v>
      </c>
      <c r="C6825">
        <v>302402</v>
      </c>
      <c r="D6825">
        <v>21883</v>
      </c>
    </row>
    <row r="6826" spans="1:4" x14ac:dyDescent="0.2">
      <c r="A6826">
        <v>3694064</v>
      </c>
      <c r="B6826">
        <v>30063</v>
      </c>
      <c r="C6826">
        <v>302358</v>
      </c>
      <c r="D6826">
        <v>21883</v>
      </c>
    </row>
    <row r="6827" spans="1:4" x14ac:dyDescent="0.2">
      <c r="A6827">
        <v>3694064</v>
      </c>
      <c r="B6827">
        <v>30064</v>
      </c>
      <c r="C6827">
        <v>302407</v>
      </c>
      <c r="D6827">
        <v>21883</v>
      </c>
    </row>
    <row r="6828" spans="1:4" x14ac:dyDescent="0.2">
      <c r="A6828">
        <v>3694064</v>
      </c>
      <c r="B6828">
        <v>30065</v>
      </c>
      <c r="C6828">
        <v>302370</v>
      </c>
      <c r="D6828">
        <v>21883</v>
      </c>
    </row>
    <row r="6829" spans="1:4" x14ac:dyDescent="0.2">
      <c r="A6829">
        <v>3694064</v>
      </c>
      <c r="B6829">
        <v>30066</v>
      </c>
      <c r="C6829">
        <v>302438</v>
      </c>
      <c r="D6829">
        <v>21883</v>
      </c>
    </row>
    <row r="6830" spans="1:4" x14ac:dyDescent="0.2">
      <c r="A6830">
        <v>3694064</v>
      </c>
      <c r="B6830">
        <v>30069</v>
      </c>
      <c r="C6830">
        <v>302446</v>
      </c>
      <c r="D6830">
        <v>21883</v>
      </c>
    </row>
    <row r="6831" spans="1:4" x14ac:dyDescent="0.2">
      <c r="A6831">
        <v>3694065</v>
      </c>
      <c r="B6831">
        <v>30063</v>
      </c>
      <c r="C6831">
        <v>302358</v>
      </c>
      <c r="D6831">
        <v>21883</v>
      </c>
    </row>
    <row r="6832" spans="1:4" x14ac:dyDescent="0.2">
      <c r="A6832">
        <v>3694065</v>
      </c>
      <c r="B6832">
        <v>30064</v>
      </c>
      <c r="C6832">
        <v>302407</v>
      </c>
      <c r="D6832">
        <v>21883</v>
      </c>
    </row>
    <row r="6833" spans="1:4" x14ac:dyDescent="0.2">
      <c r="A6833">
        <v>3694065</v>
      </c>
      <c r="B6833">
        <v>30065</v>
      </c>
      <c r="C6833">
        <v>302370</v>
      </c>
      <c r="D6833">
        <v>21883</v>
      </c>
    </row>
    <row r="6834" spans="1:4" x14ac:dyDescent="0.2">
      <c r="A6834">
        <v>3694065</v>
      </c>
      <c r="B6834">
        <v>30066</v>
      </c>
      <c r="C6834">
        <v>302438</v>
      </c>
      <c r="D6834">
        <v>21883</v>
      </c>
    </row>
    <row r="6835" spans="1:4" x14ac:dyDescent="0.2">
      <c r="A6835">
        <v>3694065</v>
      </c>
      <c r="B6835">
        <v>30069</v>
      </c>
      <c r="C6835">
        <v>302446</v>
      </c>
      <c r="D6835">
        <v>21883</v>
      </c>
    </row>
    <row r="6836" spans="1:4" x14ac:dyDescent="0.2">
      <c r="A6836">
        <v>3694066</v>
      </c>
      <c r="B6836">
        <v>30063</v>
      </c>
      <c r="C6836">
        <v>302358</v>
      </c>
      <c r="D6836">
        <v>21883</v>
      </c>
    </row>
    <row r="6837" spans="1:4" x14ac:dyDescent="0.2">
      <c r="A6837">
        <v>3694066</v>
      </c>
      <c r="B6837">
        <v>30064</v>
      </c>
      <c r="C6837">
        <v>302391</v>
      </c>
      <c r="D6837">
        <v>21883</v>
      </c>
    </row>
    <row r="6838" spans="1:4" x14ac:dyDescent="0.2">
      <c r="A6838">
        <v>3694066</v>
      </c>
      <c r="B6838">
        <v>30065</v>
      </c>
      <c r="C6838">
        <v>302370</v>
      </c>
      <c r="D6838">
        <v>21883</v>
      </c>
    </row>
    <row r="6839" spans="1:4" x14ac:dyDescent="0.2">
      <c r="A6839">
        <v>3694066</v>
      </c>
      <c r="B6839">
        <v>30066</v>
      </c>
      <c r="C6839">
        <v>302438</v>
      </c>
      <c r="D6839">
        <v>21883</v>
      </c>
    </row>
    <row r="6840" spans="1:4" x14ac:dyDescent="0.2">
      <c r="A6840">
        <v>3694066</v>
      </c>
      <c r="B6840">
        <v>30069</v>
      </c>
      <c r="C6840">
        <v>302446</v>
      </c>
      <c r="D6840">
        <v>21883</v>
      </c>
    </row>
    <row r="6841" spans="1:4" x14ac:dyDescent="0.2">
      <c r="A6841">
        <v>3694067</v>
      </c>
      <c r="B6841">
        <v>30063</v>
      </c>
      <c r="C6841">
        <v>302356</v>
      </c>
      <c r="D6841">
        <v>21883</v>
      </c>
    </row>
    <row r="6842" spans="1:4" x14ac:dyDescent="0.2">
      <c r="A6842">
        <v>3694067</v>
      </c>
      <c r="B6842">
        <v>30064</v>
      </c>
      <c r="C6842">
        <v>302412</v>
      </c>
      <c r="D6842">
        <v>21883</v>
      </c>
    </row>
    <row r="6843" spans="1:4" x14ac:dyDescent="0.2">
      <c r="A6843">
        <v>3694067</v>
      </c>
      <c r="B6843">
        <v>30065</v>
      </c>
      <c r="C6843">
        <v>302371</v>
      </c>
      <c r="D6843">
        <v>21883</v>
      </c>
    </row>
    <row r="6844" spans="1:4" x14ac:dyDescent="0.2">
      <c r="A6844">
        <v>3694067</v>
      </c>
      <c r="B6844">
        <v>30066</v>
      </c>
      <c r="C6844">
        <v>302401</v>
      </c>
      <c r="D6844">
        <v>21883</v>
      </c>
    </row>
    <row r="6845" spans="1:4" x14ac:dyDescent="0.2">
      <c r="A6845">
        <v>3694067</v>
      </c>
      <c r="B6845">
        <v>30069</v>
      </c>
      <c r="C6845">
        <v>302442</v>
      </c>
      <c r="D6845">
        <v>21883</v>
      </c>
    </row>
    <row r="6846" spans="1:4" x14ac:dyDescent="0.2">
      <c r="A6846">
        <v>3694068</v>
      </c>
      <c r="B6846">
        <v>30061</v>
      </c>
      <c r="C6846">
        <v>302351</v>
      </c>
      <c r="D6846">
        <v>21883</v>
      </c>
    </row>
    <row r="6847" spans="1:4" x14ac:dyDescent="0.2">
      <c r="A6847">
        <v>3694068</v>
      </c>
      <c r="B6847">
        <v>30062</v>
      </c>
      <c r="C6847">
        <v>302355</v>
      </c>
      <c r="D6847">
        <v>21883</v>
      </c>
    </row>
    <row r="6848" spans="1:4" x14ac:dyDescent="0.2">
      <c r="A6848">
        <v>3694068</v>
      </c>
      <c r="B6848">
        <v>30063</v>
      </c>
      <c r="C6848">
        <v>302356</v>
      </c>
      <c r="D6848">
        <v>21883</v>
      </c>
    </row>
    <row r="6849" spans="1:4" x14ac:dyDescent="0.2">
      <c r="A6849">
        <v>3694068</v>
      </c>
      <c r="B6849">
        <v>30064</v>
      </c>
      <c r="C6849">
        <v>302412</v>
      </c>
      <c r="D6849">
        <v>21883</v>
      </c>
    </row>
    <row r="6850" spans="1:4" x14ac:dyDescent="0.2">
      <c r="A6850">
        <v>3694068</v>
      </c>
      <c r="B6850">
        <v>30065</v>
      </c>
      <c r="C6850">
        <v>302371</v>
      </c>
      <c r="D6850">
        <v>21883</v>
      </c>
    </row>
    <row r="6851" spans="1:4" x14ac:dyDescent="0.2">
      <c r="A6851">
        <v>3694068</v>
      </c>
      <c r="B6851">
        <v>30066</v>
      </c>
      <c r="C6851">
        <v>302401</v>
      </c>
      <c r="D6851">
        <v>21883</v>
      </c>
    </row>
    <row r="6852" spans="1:4" x14ac:dyDescent="0.2">
      <c r="A6852">
        <v>3694068</v>
      </c>
      <c r="B6852">
        <v>30069</v>
      </c>
      <c r="C6852">
        <v>302442</v>
      </c>
      <c r="D6852">
        <v>21883</v>
      </c>
    </row>
    <row r="6853" spans="1:4" x14ac:dyDescent="0.2">
      <c r="A6853">
        <v>3694069</v>
      </c>
      <c r="B6853">
        <v>30063</v>
      </c>
      <c r="C6853">
        <v>302356</v>
      </c>
      <c r="D6853">
        <v>21883</v>
      </c>
    </row>
    <row r="6854" spans="1:4" x14ac:dyDescent="0.2">
      <c r="A6854">
        <v>3694069</v>
      </c>
      <c r="B6854">
        <v>30064</v>
      </c>
      <c r="C6854">
        <v>302412</v>
      </c>
      <c r="D6854">
        <v>21883</v>
      </c>
    </row>
    <row r="6855" spans="1:4" x14ac:dyDescent="0.2">
      <c r="A6855">
        <v>3694069</v>
      </c>
      <c r="B6855">
        <v>30065</v>
      </c>
      <c r="C6855">
        <v>302372</v>
      </c>
      <c r="D6855">
        <v>21883</v>
      </c>
    </row>
    <row r="6856" spans="1:4" x14ac:dyDescent="0.2">
      <c r="A6856">
        <v>3694069</v>
      </c>
      <c r="B6856">
        <v>30066</v>
      </c>
      <c r="C6856">
        <v>302400</v>
      </c>
      <c r="D6856">
        <v>21883</v>
      </c>
    </row>
    <row r="6857" spans="1:4" x14ac:dyDescent="0.2">
      <c r="A6857">
        <v>3694070</v>
      </c>
      <c r="B6857">
        <v>30063</v>
      </c>
      <c r="C6857">
        <v>302356</v>
      </c>
      <c r="D6857">
        <v>21883</v>
      </c>
    </row>
    <row r="6858" spans="1:4" x14ac:dyDescent="0.2">
      <c r="A6858">
        <v>3694070</v>
      </c>
      <c r="B6858">
        <v>30064</v>
      </c>
      <c r="C6858">
        <v>302412</v>
      </c>
      <c r="D6858">
        <v>21883</v>
      </c>
    </row>
    <row r="6859" spans="1:4" x14ac:dyDescent="0.2">
      <c r="A6859">
        <v>3694070</v>
      </c>
      <c r="B6859">
        <v>30065</v>
      </c>
      <c r="C6859">
        <v>302372</v>
      </c>
      <c r="D6859">
        <v>21883</v>
      </c>
    </row>
    <row r="6860" spans="1:4" x14ac:dyDescent="0.2">
      <c r="A6860">
        <v>3694070</v>
      </c>
      <c r="B6860">
        <v>30066</v>
      </c>
      <c r="C6860">
        <v>302400</v>
      </c>
      <c r="D6860">
        <v>21883</v>
      </c>
    </row>
    <row r="6861" spans="1:4" x14ac:dyDescent="0.2">
      <c r="A6861">
        <v>3694071</v>
      </c>
      <c r="B6861">
        <v>30063</v>
      </c>
      <c r="C6861">
        <v>302356</v>
      </c>
      <c r="D6861">
        <v>21883</v>
      </c>
    </row>
    <row r="6862" spans="1:4" x14ac:dyDescent="0.2">
      <c r="A6862">
        <v>3694071</v>
      </c>
      <c r="B6862">
        <v>30064</v>
      </c>
      <c r="C6862">
        <v>302412</v>
      </c>
      <c r="D6862">
        <v>21883</v>
      </c>
    </row>
    <row r="6863" spans="1:4" x14ac:dyDescent="0.2">
      <c r="A6863">
        <v>3694071</v>
      </c>
      <c r="B6863">
        <v>30065</v>
      </c>
      <c r="C6863">
        <v>302372</v>
      </c>
      <c r="D6863">
        <v>21883</v>
      </c>
    </row>
    <row r="6864" spans="1:4" x14ac:dyDescent="0.2">
      <c r="A6864">
        <v>3694071</v>
      </c>
      <c r="B6864">
        <v>30066</v>
      </c>
      <c r="C6864">
        <v>302400</v>
      </c>
      <c r="D6864">
        <v>21883</v>
      </c>
    </row>
    <row r="6865" spans="1:4" x14ac:dyDescent="0.2">
      <c r="A6865">
        <v>3694072</v>
      </c>
      <c r="B6865">
        <v>30063</v>
      </c>
      <c r="C6865">
        <v>302356</v>
      </c>
      <c r="D6865">
        <v>21883</v>
      </c>
    </row>
    <row r="6866" spans="1:4" x14ac:dyDescent="0.2">
      <c r="A6866">
        <v>3694072</v>
      </c>
      <c r="B6866">
        <v>30064</v>
      </c>
      <c r="C6866">
        <v>302412</v>
      </c>
      <c r="D6866">
        <v>21883</v>
      </c>
    </row>
    <row r="6867" spans="1:4" x14ac:dyDescent="0.2">
      <c r="A6867">
        <v>3694072</v>
      </c>
      <c r="B6867">
        <v>30065</v>
      </c>
      <c r="C6867">
        <v>302372</v>
      </c>
      <c r="D6867">
        <v>21883</v>
      </c>
    </row>
    <row r="6868" spans="1:4" x14ac:dyDescent="0.2">
      <c r="A6868">
        <v>3694072</v>
      </c>
      <c r="B6868">
        <v>30066</v>
      </c>
      <c r="C6868">
        <v>302400</v>
      </c>
      <c r="D6868">
        <v>21883</v>
      </c>
    </row>
    <row r="6869" spans="1:4" x14ac:dyDescent="0.2">
      <c r="A6869">
        <v>3694073</v>
      </c>
      <c r="B6869">
        <v>30063</v>
      </c>
      <c r="C6869">
        <v>302356</v>
      </c>
      <c r="D6869">
        <v>21883</v>
      </c>
    </row>
    <row r="6870" spans="1:4" x14ac:dyDescent="0.2">
      <c r="A6870">
        <v>3694073</v>
      </c>
      <c r="B6870">
        <v>30064</v>
      </c>
      <c r="C6870">
        <v>302412</v>
      </c>
      <c r="D6870">
        <v>21883</v>
      </c>
    </row>
    <row r="6871" spans="1:4" x14ac:dyDescent="0.2">
      <c r="A6871">
        <v>3694073</v>
      </c>
      <c r="B6871">
        <v>30065</v>
      </c>
      <c r="C6871">
        <v>302372</v>
      </c>
      <c r="D6871">
        <v>21883</v>
      </c>
    </row>
    <row r="6872" spans="1:4" x14ac:dyDescent="0.2">
      <c r="A6872">
        <v>3694073</v>
      </c>
      <c r="B6872">
        <v>30066</v>
      </c>
      <c r="C6872">
        <v>302401</v>
      </c>
      <c r="D6872">
        <v>21883</v>
      </c>
    </row>
    <row r="6873" spans="1:4" x14ac:dyDescent="0.2">
      <c r="A6873">
        <v>3694074</v>
      </c>
      <c r="B6873">
        <v>30063</v>
      </c>
      <c r="C6873">
        <v>302356</v>
      </c>
      <c r="D6873">
        <v>21883</v>
      </c>
    </row>
    <row r="6874" spans="1:4" x14ac:dyDescent="0.2">
      <c r="A6874">
        <v>3694074</v>
      </c>
      <c r="B6874">
        <v>30064</v>
      </c>
      <c r="C6874">
        <v>302412</v>
      </c>
      <c r="D6874">
        <v>21883</v>
      </c>
    </row>
    <row r="6875" spans="1:4" x14ac:dyDescent="0.2">
      <c r="A6875">
        <v>3694074</v>
      </c>
      <c r="B6875">
        <v>30065</v>
      </c>
      <c r="C6875">
        <v>302372</v>
      </c>
      <c r="D6875">
        <v>21883</v>
      </c>
    </row>
    <row r="6876" spans="1:4" x14ac:dyDescent="0.2">
      <c r="A6876">
        <v>3694074</v>
      </c>
      <c r="B6876">
        <v>30066</v>
      </c>
      <c r="C6876">
        <v>302401</v>
      </c>
      <c r="D6876">
        <v>21883</v>
      </c>
    </row>
    <row r="6877" spans="1:4" x14ac:dyDescent="0.2">
      <c r="A6877">
        <v>3694075</v>
      </c>
      <c r="B6877">
        <v>30063</v>
      </c>
      <c r="C6877">
        <v>302356</v>
      </c>
      <c r="D6877">
        <v>21883</v>
      </c>
    </row>
    <row r="6878" spans="1:4" x14ac:dyDescent="0.2">
      <c r="A6878">
        <v>3694075</v>
      </c>
      <c r="B6878">
        <v>30064</v>
      </c>
      <c r="C6878">
        <v>302412</v>
      </c>
      <c r="D6878">
        <v>21883</v>
      </c>
    </row>
    <row r="6879" spans="1:4" x14ac:dyDescent="0.2">
      <c r="A6879">
        <v>3694075</v>
      </c>
      <c r="B6879">
        <v>30065</v>
      </c>
      <c r="C6879">
        <v>302372</v>
      </c>
      <c r="D6879">
        <v>21883</v>
      </c>
    </row>
    <row r="6880" spans="1:4" x14ac:dyDescent="0.2">
      <c r="A6880">
        <v>3694075</v>
      </c>
      <c r="B6880">
        <v>30066</v>
      </c>
      <c r="C6880">
        <v>302402</v>
      </c>
      <c r="D6880">
        <v>21883</v>
      </c>
    </row>
    <row r="6881" spans="1:4" x14ac:dyDescent="0.2">
      <c r="A6881">
        <v>3694076</v>
      </c>
      <c r="B6881">
        <v>30063</v>
      </c>
      <c r="C6881">
        <v>302356</v>
      </c>
      <c r="D6881">
        <v>21883</v>
      </c>
    </row>
    <row r="6882" spans="1:4" x14ac:dyDescent="0.2">
      <c r="A6882">
        <v>3694076</v>
      </c>
      <c r="B6882">
        <v>30064</v>
      </c>
      <c r="C6882">
        <v>302412</v>
      </c>
      <c r="D6882">
        <v>21883</v>
      </c>
    </row>
    <row r="6883" spans="1:4" x14ac:dyDescent="0.2">
      <c r="A6883">
        <v>3694076</v>
      </c>
      <c r="B6883">
        <v>30065</v>
      </c>
      <c r="C6883">
        <v>302372</v>
      </c>
      <c r="D6883">
        <v>21883</v>
      </c>
    </row>
    <row r="6884" spans="1:4" x14ac:dyDescent="0.2">
      <c r="A6884">
        <v>3694076</v>
      </c>
      <c r="B6884">
        <v>30066</v>
      </c>
      <c r="C6884">
        <v>302402</v>
      </c>
      <c r="D6884">
        <v>21883</v>
      </c>
    </row>
    <row r="6885" spans="1:4" x14ac:dyDescent="0.2">
      <c r="A6885">
        <v>3694077</v>
      </c>
      <c r="B6885">
        <v>30063</v>
      </c>
      <c r="C6885">
        <v>302356</v>
      </c>
      <c r="D6885">
        <v>21883</v>
      </c>
    </row>
    <row r="6886" spans="1:4" x14ac:dyDescent="0.2">
      <c r="A6886">
        <v>3694077</v>
      </c>
      <c r="B6886">
        <v>30064</v>
      </c>
      <c r="C6886">
        <v>302412</v>
      </c>
      <c r="D6886">
        <v>21883</v>
      </c>
    </row>
    <row r="6887" spans="1:4" x14ac:dyDescent="0.2">
      <c r="A6887">
        <v>3694077</v>
      </c>
      <c r="B6887">
        <v>30065</v>
      </c>
      <c r="C6887">
        <v>302371</v>
      </c>
      <c r="D6887">
        <v>21883</v>
      </c>
    </row>
    <row r="6888" spans="1:4" x14ac:dyDescent="0.2">
      <c r="A6888">
        <v>3694078</v>
      </c>
      <c r="B6888">
        <v>30063</v>
      </c>
      <c r="C6888">
        <v>302356</v>
      </c>
      <c r="D6888">
        <v>21883</v>
      </c>
    </row>
    <row r="6889" spans="1:4" x14ac:dyDescent="0.2">
      <c r="A6889">
        <v>3694078</v>
      </c>
      <c r="B6889">
        <v>30064</v>
      </c>
      <c r="C6889">
        <v>302412</v>
      </c>
      <c r="D6889">
        <v>21883</v>
      </c>
    </row>
    <row r="6890" spans="1:4" x14ac:dyDescent="0.2">
      <c r="A6890">
        <v>3694078</v>
      </c>
      <c r="B6890">
        <v>30065</v>
      </c>
      <c r="C6890">
        <v>302371</v>
      </c>
      <c r="D6890">
        <v>21883</v>
      </c>
    </row>
    <row r="6891" spans="1:4" x14ac:dyDescent="0.2">
      <c r="A6891">
        <v>3694079</v>
      </c>
      <c r="B6891">
        <v>30063</v>
      </c>
      <c r="C6891">
        <v>302356</v>
      </c>
      <c r="D6891">
        <v>21883</v>
      </c>
    </row>
    <row r="6892" spans="1:4" x14ac:dyDescent="0.2">
      <c r="A6892">
        <v>3694079</v>
      </c>
      <c r="B6892">
        <v>30064</v>
      </c>
      <c r="C6892">
        <v>302412</v>
      </c>
      <c r="D6892">
        <v>21883</v>
      </c>
    </row>
    <row r="6893" spans="1:4" x14ac:dyDescent="0.2">
      <c r="A6893">
        <v>3694079</v>
      </c>
      <c r="B6893">
        <v>30065</v>
      </c>
      <c r="C6893">
        <v>302371</v>
      </c>
      <c r="D6893">
        <v>21883</v>
      </c>
    </row>
    <row r="6894" spans="1:4" x14ac:dyDescent="0.2">
      <c r="A6894">
        <v>3694079</v>
      </c>
      <c r="B6894">
        <v>30066</v>
      </c>
      <c r="C6894">
        <v>302402</v>
      </c>
      <c r="D6894">
        <v>21883</v>
      </c>
    </row>
    <row r="6895" spans="1:4" x14ac:dyDescent="0.2">
      <c r="A6895">
        <v>3694080</v>
      </c>
      <c r="B6895">
        <v>30063</v>
      </c>
      <c r="C6895">
        <v>302356</v>
      </c>
      <c r="D6895">
        <v>21883</v>
      </c>
    </row>
    <row r="6896" spans="1:4" x14ac:dyDescent="0.2">
      <c r="A6896">
        <v>3694080</v>
      </c>
      <c r="B6896">
        <v>30064</v>
      </c>
      <c r="C6896">
        <v>302412</v>
      </c>
      <c r="D6896">
        <v>21883</v>
      </c>
    </row>
    <row r="6897" spans="1:4" x14ac:dyDescent="0.2">
      <c r="A6897">
        <v>3694080</v>
      </c>
      <c r="B6897">
        <v>30065</v>
      </c>
      <c r="C6897">
        <v>302371</v>
      </c>
      <c r="D6897">
        <v>21883</v>
      </c>
    </row>
    <row r="6898" spans="1:4" x14ac:dyDescent="0.2">
      <c r="A6898">
        <v>3694080</v>
      </c>
      <c r="B6898">
        <v>30066</v>
      </c>
      <c r="C6898">
        <v>302400</v>
      </c>
      <c r="D6898">
        <v>21883</v>
      </c>
    </row>
    <row r="6899" spans="1:4" x14ac:dyDescent="0.2">
      <c r="A6899">
        <v>3694081</v>
      </c>
      <c r="B6899">
        <v>30063</v>
      </c>
      <c r="C6899">
        <v>302356</v>
      </c>
      <c r="D6899">
        <v>21883</v>
      </c>
    </row>
    <row r="6900" spans="1:4" x14ac:dyDescent="0.2">
      <c r="A6900">
        <v>3694081</v>
      </c>
      <c r="B6900">
        <v>30064</v>
      </c>
      <c r="C6900">
        <v>302412</v>
      </c>
      <c r="D6900">
        <v>21883</v>
      </c>
    </row>
    <row r="6901" spans="1:4" x14ac:dyDescent="0.2">
      <c r="A6901">
        <v>3694081</v>
      </c>
      <c r="B6901">
        <v>30065</v>
      </c>
      <c r="C6901">
        <v>302371</v>
      </c>
      <c r="D6901">
        <v>21883</v>
      </c>
    </row>
    <row r="6902" spans="1:4" x14ac:dyDescent="0.2">
      <c r="A6902">
        <v>3694081</v>
      </c>
      <c r="B6902">
        <v>30066</v>
      </c>
      <c r="C6902">
        <v>302400</v>
      </c>
      <c r="D6902">
        <v>21883</v>
      </c>
    </row>
    <row r="6903" spans="1:4" x14ac:dyDescent="0.2">
      <c r="A6903">
        <v>3694082</v>
      </c>
      <c r="B6903">
        <v>30063</v>
      </c>
      <c r="C6903">
        <v>302374</v>
      </c>
      <c r="D6903">
        <v>21883</v>
      </c>
    </row>
    <row r="6904" spans="1:4" x14ac:dyDescent="0.2">
      <c r="A6904">
        <v>3694082</v>
      </c>
      <c r="B6904">
        <v>30064</v>
      </c>
      <c r="C6904">
        <v>302399</v>
      </c>
      <c r="D6904">
        <v>21883</v>
      </c>
    </row>
    <row r="6905" spans="1:4" x14ac:dyDescent="0.2">
      <c r="A6905">
        <v>3694082</v>
      </c>
      <c r="B6905">
        <v>30065</v>
      </c>
      <c r="C6905">
        <v>302372</v>
      </c>
      <c r="D6905">
        <v>21883</v>
      </c>
    </row>
    <row r="6906" spans="1:4" x14ac:dyDescent="0.2">
      <c r="A6906">
        <v>3694082</v>
      </c>
      <c r="B6906">
        <v>30066</v>
      </c>
      <c r="C6906">
        <v>302402</v>
      </c>
      <c r="D6906">
        <v>21883</v>
      </c>
    </row>
    <row r="6907" spans="1:4" x14ac:dyDescent="0.2">
      <c r="A6907">
        <v>3694082</v>
      </c>
      <c r="B6907">
        <v>30069</v>
      </c>
      <c r="C6907">
        <v>302446</v>
      </c>
      <c r="D6907">
        <v>21883</v>
      </c>
    </row>
    <row r="6908" spans="1:4" x14ac:dyDescent="0.2">
      <c r="A6908">
        <v>3694083</v>
      </c>
      <c r="B6908">
        <v>30063</v>
      </c>
      <c r="C6908">
        <v>302356</v>
      </c>
      <c r="D6908">
        <v>21883</v>
      </c>
    </row>
    <row r="6909" spans="1:4" x14ac:dyDescent="0.2">
      <c r="A6909">
        <v>3694083</v>
      </c>
      <c r="B6909">
        <v>30064</v>
      </c>
      <c r="C6909">
        <v>302388</v>
      </c>
      <c r="D6909">
        <v>21883</v>
      </c>
    </row>
    <row r="6910" spans="1:4" x14ac:dyDescent="0.2">
      <c r="A6910">
        <v>3694083</v>
      </c>
      <c r="B6910">
        <v>30065</v>
      </c>
      <c r="C6910">
        <v>302371</v>
      </c>
      <c r="D6910">
        <v>21883</v>
      </c>
    </row>
    <row r="6911" spans="1:4" x14ac:dyDescent="0.2">
      <c r="A6911">
        <v>3694083</v>
      </c>
      <c r="B6911">
        <v>30066</v>
      </c>
      <c r="C6911">
        <v>302400</v>
      </c>
      <c r="D6911">
        <v>21883</v>
      </c>
    </row>
    <row r="6912" spans="1:4" x14ac:dyDescent="0.2">
      <c r="A6912">
        <v>3694084</v>
      </c>
      <c r="B6912">
        <v>30063</v>
      </c>
      <c r="C6912">
        <v>302356</v>
      </c>
      <c r="D6912">
        <v>21883</v>
      </c>
    </row>
    <row r="6913" spans="1:4" x14ac:dyDescent="0.2">
      <c r="A6913">
        <v>3694084</v>
      </c>
      <c r="B6913">
        <v>30064</v>
      </c>
      <c r="C6913">
        <v>302388</v>
      </c>
      <c r="D6913">
        <v>21883</v>
      </c>
    </row>
    <row r="6914" spans="1:4" x14ac:dyDescent="0.2">
      <c r="A6914">
        <v>3694084</v>
      </c>
      <c r="B6914">
        <v>30065</v>
      </c>
      <c r="C6914">
        <v>302371</v>
      </c>
      <c r="D6914">
        <v>21883</v>
      </c>
    </row>
    <row r="6915" spans="1:4" x14ac:dyDescent="0.2">
      <c r="A6915">
        <v>3694084</v>
      </c>
      <c r="B6915">
        <v>30066</v>
      </c>
      <c r="C6915">
        <v>302400</v>
      </c>
      <c r="D6915">
        <v>21883</v>
      </c>
    </row>
    <row r="6916" spans="1:4" x14ac:dyDescent="0.2">
      <c r="A6916">
        <v>3694085</v>
      </c>
      <c r="B6916">
        <v>30063</v>
      </c>
      <c r="C6916">
        <v>302356</v>
      </c>
      <c r="D6916">
        <v>21883</v>
      </c>
    </row>
    <row r="6917" spans="1:4" x14ac:dyDescent="0.2">
      <c r="A6917">
        <v>3694085</v>
      </c>
      <c r="B6917">
        <v>30064</v>
      </c>
      <c r="C6917">
        <v>302388</v>
      </c>
      <c r="D6917">
        <v>21883</v>
      </c>
    </row>
    <row r="6918" spans="1:4" x14ac:dyDescent="0.2">
      <c r="A6918">
        <v>3694085</v>
      </c>
      <c r="B6918">
        <v>30065</v>
      </c>
      <c r="C6918">
        <v>302372</v>
      </c>
      <c r="D6918">
        <v>21883</v>
      </c>
    </row>
    <row r="6919" spans="1:4" x14ac:dyDescent="0.2">
      <c r="A6919">
        <v>3694085</v>
      </c>
      <c r="B6919">
        <v>30066</v>
      </c>
      <c r="C6919">
        <v>302400</v>
      </c>
      <c r="D6919">
        <v>21883</v>
      </c>
    </row>
    <row r="6920" spans="1:4" x14ac:dyDescent="0.2">
      <c r="A6920">
        <v>3694086</v>
      </c>
      <c r="B6920">
        <v>30063</v>
      </c>
      <c r="C6920">
        <v>302356</v>
      </c>
      <c r="D6920">
        <v>21883</v>
      </c>
    </row>
    <row r="6921" spans="1:4" x14ac:dyDescent="0.2">
      <c r="A6921">
        <v>3694086</v>
      </c>
      <c r="B6921">
        <v>30064</v>
      </c>
      <c r="C6921">
        <v>302388</v>
      </c>
      <c r="D6921">
        <v>21883</v>
      </c>
    </row>
    <row r="6922" spans="1:4" x14ac:dyDescent="0.2">
      <c r="A6922">
        <v>3694086</v>
      </c>
      <c r="B6922">
        <v>30065</v>
      </c>
      <c r="C6922">
        <v>302371</v>
      </c>
      <c r="D6922">
        <v>21883</v>
      </c>
    </row>
    <row r="6923" spans="1:4" x14ac:dyDescent="0.2">
      <c r="A6923">
        <v>3694086</v>
      </c>
      <c r="B6923">
        <v>30066</v>
      </c>
      <c r="C6923">
        <v>302402</v>
      </c>
      <c r="D6923">
        <v>21883</v>
      </c>
    </row>
    <row r="6924" spans="1:4" x14ac:dyDescent="0.2">
      <c r="A6924">
        <v>3694086</v>
      </c>
      <c r="B6924">
        <v>30069</v>
      </c>
      <c r="C6924">
        <v>302446</v>
      </c>
      <c r="D6924">
        <v>21883</v>
      </c>
    </row>
    <row r="6925" spans="1:4" x14ac:dyDescent="0.2">
      <c r="A6925">
        <v>3694087</v>
      </c>
      <c r="B6925">
        <v>30063</v>
      </c>
      <c r="C6925">
        <v>302356</v>
      </c>
      <c r="D6925">
        <v>21883</v>
      </c>
    </row>
    <row r="6926" spans="1:4" x14ac:dyDescent="0.2">
      <c r="A6926">
        <v>3694087</v>
      </c>
      <c r="B6926">
        <v>30064</v>
      </c>
      <c r="C6926">
        <v>302388</v>
      </c>
      <c r="D6926">
        <v>21883</v>
      </c>
    </row>
    <row r="6927" spans="1:4" x14ac:dyDescent="0.2">
      <c r="A6927">
        <v>3694087</v>
      </c>
      <c r="B6927">
        <v>30065</v>
      </c>
      <c r="C6927">
        <v>302371</v>
      </c>
      <c r="D6927">
        <v>21883</v>
      </c>
    </row>
    <row r="6928" spans="1:4" x14ac:dyDescent="0.2">
      <c r="A6928">
        <v>3694087</v>
      </c>
      <c r="B6928">
        <v>30066</v>
      </c>
      <c r="C6928">
        <v>302401</v>
      </c>
      <c r="D6928">
        <v>21883</v>
      </c>
    </row>
    <row r="6929" spans="1:4" x14ac:dyDescent="0.2">
      <c r="A6929">
        <v>3694088</v>
      </c>
      <c r="B6929">
        <v>30063</v>
      </c>
      <c r="C6929">
        <v>302356</v>
      </c>
      <c r="D6929">
        <v>21883</v>
      </c>
    </row>
    <row r="6930" spans="1:4" x14ac:dyDescent="0.2">
      <c r="A6930">
        <v>3694088</v>
      </c>
      <c r="B6930">
        <v>30064</v>
      </c>
      <c r="C6930">
        <v>302388</v>
      </c>
      <c r="D6930">
        <v>21883</v>
      </c>
    </row>
    <row r="6931" spans="1:4" x14ac:dyDescent="0.2">
      <c r="A6931">
        <v>3694088</v>
      </c>
      <c r="B6931">
        <v>30065</v>
      </c>
      <c r="C6931">
        <v>302371</v>
      </c>
      <c r="D6931">
        <v>21883</v>
      </c>
    </row>
    <row r="6932" spans="1:4" x14ac:dyDescent="0.2">
      <c r="A6932">
        <v>3694088</v>
      </c>
      <c r="B6932">
        <v>30066</v>
      </c>
      <c r="C6932">
        <v>302401</v>
      </c>
      <c r="D6932">
        <v>21883</v>
      </c>
    </row>
    <row r="6933" spans="1:4" x14ac:dyDescent="0.2">
      <c r="A6933">
        <v>3694089</v>
      </c>
      <c r="B6933">
        <v>30063</v>
      </c>
      <c r="C6933">
        <v>302358</v>
      </c>
      <c r="D6933">
        <v>21883</v>
      </c>
    </row>
    <row r="6934" spans="1:4" x14ac:dyDescent="0.2">
      <c r="A6934">
        <v>3694089</v>
      </c>
      <c r="B6934">
        <v>30064</v>
      </c>
      <c r="C6934">
        <v>302363</v>
      </c>
      <c r="D6934">
        <v>21883</v>
      </c>
    </row>
    <row r="6935" spans="1:4" x14ac:dyDescent="0.2">
      <c r="A6935">
        <v>3694089</v>
      </c>
      <c r="B6935">
        <v>30065</v>
      </c>
      <c r="C6935">
        <v>302404</v>
      </c>
      <c r="D6935">
        <v>21883</v>
      </c>
    </row>
    <row r="6936" spans="1:4" x14ac:dyDescent="0.2">
      <c r="A6936">
        <v>3694089</v>
      </c>
      <c r="B6936">
        <v>30066</v>
      </c>
      <c r="C6936">
        <v>302438</v>
      </c>
      <c r="D6936">
        <v>21883</v>
      </c>
    </row>
    <row r="6937" spans="1:4" x14ac:dyDescent="0.2">
      <c r="A6937">
        <v>3694089</v>
      </c>
      <c r="B6937">
        <v>30069</v>
      </c>
      <c r="C6937">
        <v>302446</v>
      </c>
      <c r="D6937">
        <v>21883</v>
      </c>
    </row>
    <row r="6938" spans="1:4" x14ac:dyDescent="0.2">
      <c r="A6938">
        <v>3694090</v>
      </c>
      <c r="B6938">
        <v>30063</v>
      </c>
      <c r="C6938">
        <v>302357</v>
      </c>
      <c r="D6938">
        <v>21883</v>
      </c>
    </row>
    <row r="6939" spans="1:4" x14ac:dyDescent="0.2">
      <c r="A6939">
        <v>3694090</v>
      </c>
      <c r="B6939">
        <v>30064</v>
      </c>
      <c r="C6939">
        <v>302381</v>
      </c>
      <c r="D6939">
        <v>21883</v>
      </c>
    </row>
    <row r="6940" spans="1:4" x14ac:dyDescent="0.2">
      <c r="A6940">
        <v>3694090</v>
      </c>
      <c r="B6940">
        <v>30065</v>
      </c>
      <c r="C6940">
        <v>302371</v>
      </c>
      <c r="D6940">
        <v>21883</v>
      </c>
    </row>
    <row r="6941" spans="1:4" x14ac:dyDescent="0.2">
      <c r="A6941">
        <v>3694090</v>
      </c>
      <c r="B6941">
        <v>30066</v>
      </c>
      <c r="C6941">
        <v>302437</v>
      </c>
      <c r="D6941">
        <v>21883</v>
      </c>
    </row>
    <row r="6942" spans="1:4" x14ac:dyDescent="0.2">
      <c r="A6942">
        <v>3694091</v>
      </c>
      <c r="B6942">
        <v>30063</v>
      </c>
      <c r="C6942">
        <v>302357</v>
      </c>
      <c r="D6942">
        <v>21883</v>
      </c>
    </row>
    <row r="6943" spans="1:4" x14ac:dyDescent="0.2">
      <c r="A6943">
        <v>3694091</v>
      </c>
      <c r="B6943">
        <v>30064</v>
      </c>
      <c r="C6943">
        <v>302360</v>
      </c>
      <c r="D6943">
        <v>21883</v>
      </c>
    </row>
    <row r="6944" spans="1:4" x14ac:dyDescent="0.2">
      <c r="A6944">
        <v>3694091</v>
      </c>
      <c r="B6944">
        <v>30065</v>
      </c>
      <c r="C6944">
        <v>302371</v>
      </c>
      <c r="D6944">
        <v>21883</v>
      </c>
    </row>
    <row r="6945" spans="1:4" x14ac:dyDescent="0.2">
      <c r="A6945">
        <v>3694091</v>
      </c>
      <c r="B6945">
        <v>30067</v>
      </c>
      <c r="C6945">
        <v>302447</v>
      </c>
      <c r="D6945">
        <v>21883</v>
      </c>
    </row>
    <row r="6946" spans="1:4" x14ac:dyDescent="0.2">
      <c r="A6946">
        <v>3694092</v>
      </c>
      <c r="B6946">
        <v>30063</v>
      </c>
      <c r="C6946">
        <v>302357</v>
      </c>
      <c r="D6946">
        <v>21883</v>
      </c>
    </row>
    <row r="6947" spans="1:4" x14ac:dyDescent="0.2">
      <c r="A6947">
        <v>3694092</v>
      </c>
      <c r="B6947">
        <v>30064</v>
      </c>
      <c r="C6947">
        <v>302360</v>
      </c>
      <c r="D6947">
        <v>21883</v>
      </c>
    </row>
    <row r="6948" spans="1:4" x14ac:dyDescent="0.2">
      <c r="A6948">
        <v>3694092</v>
      </c>
      <c r="B6948">
        <v>30065</v>
      </c>
      <c r="C6948">
        <v>302371</v>
      </c>
      <c r="D6948">
        <v>21883</v>
      </c>
    </row>
    <row r="6949" spans="1:4" x14ac:dyDescent="0.2">
      <c r="A6949">
        <v>3694092</v>
      </c>
      <c r="B6949">
        <v>30067</v>
      </c>
      <c r="C6949">
        <v>302448</v>
      </c>
      <c r="D6949">
        <v>21883</v>
      </c>
    </row>
    <row r="6950" spans="1:4" x14ac:dyDescent="0.2">
      <c r="A6950">
        <v>3694093</v>
      </c>
      <c r="B6950">
        <v>30063</v>
      </c>
      <c r="C6950">
        <v>302357</v>
      </c>
      <c r="D6950">
        <v>21883</v>
      </c>
    </row>
    <row r="6951" spans="1:4" x14ac:dyDescent="0.2">
      <c r="A6951">
        <v>3694093</v>
      </c>
      <c r="B6951">
        <v>30064</v>
      </c>
      <c r="C6951">
        <v>302360</v>
      </c>
      <c r="D6951">
        <v>21883</v>
      </c>
    </row>
    <row r="6952" spans="1:4" x14ac:dyDescent="0.2">
      <c r="A6952">
        <v>3694093</v>
      </c>
      <c r="B6952">
        <v>30065</v>
      </c>
      <c r="C6952">
        <v>302371</v>
      </c>
      <c r="D6952">
        <v>21883</v>
      </c>
    </row>
    <row r="6953" spans="1:4" x14ac:dyDescent="0.2">
      <c r="A6953">
        <v>3694093</v>
      </c>
      <c r="B6953">
        <v>30067</v>
      </c>
      <c r="C6953">
        <v>302449</v>
      </c>
      <c r="D6953">
        <v>21883</v>
      </c>
    </row>
    <row r="6954" spans="1:4" x14ac:dyDescent="0.2">
      <c r="A6954">
        <v>3694094</v>
      </c>
      <c r="B6954">
        <v>30063</v>
      </c>
      <c r="C6954">
        <v>302357</v>
      </c>
      <c r="D6954">
        <v>21883</v>
      </c>
    </row>
    <row r="6955" spans="1:4" x14ac:dyDescent="0.2">
      <c r="A6955">
        <v>3694094</v>
      </c>
      <c r="B6955">
        <v>30064</v>
      </c>
      <c r="C6955">
        <v>302360</v>
      </c>
      <c r="D6955">
        <v>21883</v>
      </c>
    </row>
    <row r="6956" spans="1:4" x14ac:dyDescent="0.2">
      <c r="A6956">
        <v>3694094</v>
      </c>
      <c r="B6956">
        <v>30065</v>
      </c>
      <c r="C6956">
        <v>302371</v>
      </c>
      <c r="D6956">
        <v>21883</v>
      </c>
    </row>
    <row r="6957" spans="1:4" x14ac:dyDescent="0.2">
      <c r="A6957">
        <v>3694094</v>
      </c>
      <c r="B6957">
        <v>30067</v>
      </c>
      <c r="C6957">
        <v>302450</v>
      </c>
      <c r="D6957">
        <v>21883</v>
      </c>
    </row>
    <row r="6958" spans="1:4" x14ac:dyDescent="0.2">
      <c r="A6958">
        <v>3694095</v>
      </c>
      <c r="B6958">
        <v>30064</v>
      </c>
      <c r="C6958">
        <v>302391</v>
      </c>
      <c r="D6958">
        <v>21883</v>
      </c>
    </row>
    <row r="6959" spans="1:4" x14ac:dyDescent="0.2">
      <c r="A6959">
        <v>3694095</v>
      </c>
      <c r="B6959">
        <v>30065</v>
      </c>
      <c r="C6959">
        <v>302370</v>
      </c>
      <c r="D6959">
        <v>21883</v>
      </c>
    </row>
    <row r="6960" spans="1:4" x14ac:dyDescent="0.2">
      <c r="A6960">
        <v>3694096</v>
      </c>
      <c r="B6960">
        <v>30064</v>
      </c>
      <c r="C6960">
        <v>302363</v>
      </c>
      <c r="D6960">
        <v>21883</v>
      </c>
    </row>
    <row r="6961" spans="1:4" x14ac:dyDescent="0.2">
      <c r="A6961">
        <v>3694096</v>
      </c>
      <c r="B6961">
        <v>30065</v>
      </c>
      <c r="C6961">
        <v>302404</v>
      </c>
      <c r="D6961">
        <v>21883</v>
      </c>
    </row>
    <row r="6962" spans="1:4" x14ac:dyDescent="0.2">
      <c r="A6962">
        <v>3694097</v>
      </c>
      <c r="B6962">
        <v>30063</v>
      </c>
      <c r="C6962">
        <v>302357</v>
      </c>
      <c r="D6962">
        <v>21883</v>
      </c>
    </row>
    <row r="6963" spans="1:4" x14ac:dyDescent="0.2">
      <c r="A6963">
        <v>3694097</v>
      </c>
      <c r="B6963">
        <v>30064</v>
      </c>
      <c r="C6963">
        <v>302359</v>
      </c>
      <c r="D6963">
        <v>21883</v>
      </c>
    </row>
    <row r="6964" spans="1:4" x14ac:dyDescent="0.2">
      <c r="A6964">
        <v>3694097</v>
      </c>
      <c r="B6964">
        <v>30065</v>
      </c>
      <c r="C6964">
        <v>302371</v>
      </c>
      <c r="D6964">
        <v>21883</v>
      </c>
    </row>
    <row r="6965" spans="1:4" x14ac:dyDescent="0.2">
      <c r="A6965">
        <v>3694097</v>
      </c>
      <c r="B6965">
        <v>30066</v>
      </c>
      <c r="C6965">
        <v>302436</v>
      </c>
      <c r="D6965">
        <v>21883</v>
      </c>
    </row>
    <row r="6966" spans="1:4" x14ac:dyDescent="0.2">
      <c r="A6966">
        <v>3694097</v>
      </c>
      <c r="B6966">
        <v>30067</v>
      </c>
      <c r="C6966">
        <v>302452</v>
      </c>
      <c r="D6966">
        <v>21883</v>
      </c>
    </row>
    <row r="6967" spans="1:4" x14ac:dyDescent="0.2">
      <c r="A6967">
        <v>3694098</v>
      </c>
      <c r="B6967">
        <v>30063</v>
      </c>
      <c r="C6967">
        <v>302356</v>
      </c>
      <c r="D6967">
        <v>21883</v>
      </c>
    </row>
    <row r="6968" spans="1:4" x14ac:dyDescent="0.2">
      <c r="A6968">
        <v>3694098</v>
      </c>
      <c r="B6968">
        <v>30064</v>
      </c>
      <c r="C6968">
        <v>302388</v>
      </c>
      <c r="D6968">
        <v>21883</v>
      </c>
    </row>
    <row r="6969" spans="1:4" x14ac:dyDescent="0.2">
      <c r="A6969">
        <v>3694098</v>
      </c>
      <c r="B6969">
        <v>30065</v>
      </c>
      <c r="C6969">
        <v>302371</v>
      </c>
      <c r="D6969">
        <v>21883</v>
      </c>
    </row>
    <row r="6970" spans="1:4" x14ac:dyDescent="0.2">
      <c r="A6970">
        <v>3694100</v>
      </c>
      <c r="B6970">
        <v>30064</v>
      </c>
      <c r="C6970">
        <v>302362</v>
      </c>
      <c r="D6970">
        <v>21883</v>
      </c>
    </row>
    <row r="6971" spans="1:4" x14ac:dyDescent="0.2">
      <c r="A6971">
        <v>3694108</v>
      </c>
      <c r="B6971">
        <v>30064</v>
      </c>
      <c r="C6971">
        <v>302385</v>
      </c>
      <c r="D6971">
        <v>21883</v>
      </c>
    </row>
    <row r="6972" spans="1:4" x14ac:dyDescent="0.2">
      <c r="A6972">
        <v>3694109</v>
      </c>
      <c r="B6972">
        <v>30061</v>
      </c>
      <c r="C6972">
        <v>302351</v>
      </c>
      <c r="D6972">
        <v>21883</v>
      </c>
    </row>
    <row r="6973" spans="1:4" x14ac:dyDescent="0.2">
      <c r="A6973">
        <v>3694109</v>
      </c>
      <c r="B6973">
        <v>30063</v>
      </c>
      <c r="C6973">
        <v>302356</v>
      </c>
      <c r="D6973">
        <v>21883</v>
      </c>
    </row>
    <row r="6974" spans="1:4" x14ac:dyDescent="0.2">
      <c r="A6974">
        <v>3694109</v>
      </c>
      <c r="B6974">
        <v>30064</v>
      </c>
      <c r="C6974">
        <v>302385</v>
      </c>
      <c r="D6974">
        <v>21883</v>
      </c>
    </row>
    <row r="6975" spans="1:4" x14ac:dyDescent="0.2">
      <c r="A6975">
        <v>3694109</v>
      </c>
      <c r="B6975">
        <v>30065</v>
      </c>
      <c r="C6975">
        <v>302371</v>
      </c>
      <c r="D6975">
        <v>21883</v>
      </c>
    </row>
    <row r="6976" spans="1:4" x14ac:dyDescent="0.2">
      <c r="A6976">
        <v>3694109</v>
      </c>
      <c r="B6976">
        <v>30066</v>
      </c>
      <c r="C6976">
        <v>302401</v>
      </c>
      <c r="D6976">
        <v>21883</v>
      </c>
    </row>
    <row r="6977" spans="1:4" x14ac:dyDescent="0.2">
      <c r="A6977">
        <v>3694111</v>
      </c>
      <c r="B6977">
        <v>30061</v>
      </c>
      <c r="C6977">
        <v>302351</v>
      </c>
      <c r="D6977">
        <v>21883</v>
      </c>
    </row>
    <row r="6978" spans="1:4" x14ac:dyDescent="0.2">
      <c r="A6978">
        <v>3694111</v>
      </c>
      <c r="B6978">
        <v>30062</v>
      </c>
      <c r="C6978">
        <v>302355</v>
      </c>
      <c r="D6978">
        <v>21883</v>
      </c>
    </row>
    <row r="6979" spans="1:4" x14ac:dyDescent="0.2">
      <c r="A6979">
        <v>3694111</v>
      </c>
      <c r="B6979">
        <v>30063</v>
      </c>
      <c r="C6979">
        <v>302356</v>
      </c>
      <c r="D6979">
        <v>21883</v>
      </c>
    </row>
    <row r="6980" spans="1:4" x14ac:dyDescent="0.2">
      <c r="A6980">
        <v>3694111</v>
      </c>
      <c r="B6980">
        <v>30064</v>
      </c>
      <c r="C6980">
        <v>302385</v>
      </c>
      <c r="D6980">
        <v>21883</v>
      </c>
    </row>
    <row r="6981" spans="1:4" x14ac:dyDescent="0.2">
      <c r="A6981">
        <v>3694111</v>
      </c>
      <c r="B6981">
        <v>30065</v>
      </c>
      <c r="C6981">
        <v>302371</v>
      </c>
      <c r="D6981">
        <v>21883</v>
      </c>
    </row>
    <row r="6982" spans="1:4" x14ac:dyDescent="0.2">
      <c r="A6982">
        <v>3694111</v>
      </c>
      <c r="B6982">
        <v>30066</v>
      </c>
      <c r="C6982">
        <v>302401</v>
      </c>
      <c r="D6982">
        <v>21883</v>
      </c>
    </row>
    <row r="6983" spans="1:4" x14ac:dyDescent="0.2">
      <c r="A6983">
        <v>3694112</v>
      </c>
      <c r="B6983">
        <v>30061</v>
      </c>
      <c r="C6983">
        <v>302351</v>
      </c>
      <c r="D6983">
        <v>21883</v>
      </c>
    </row>
    <row r="6984" spans="1:4" x14ac:dyDescent="0.2">
      <c r="A6984">
        <v>3694112</v>
      </c>
      <c r="B6984">
        <v>30062</v>
      </c>
      <c r="C6984">
        <v>302355</v>
      </c>
      <c r="D6984">
        <v>21883</v>
      </c>
    </row>
    <row r="6985" spans="1:4" x14ac:dyDescent="0.2">
      <c r="A6985">
        <v>3694112</v>
      </c>
      <c r="B6985">
        <v>30063</v>
      </c>
      <c r="C6985">
        <v>302356</v>
      </c>
      <c r="D6985">
        <v>21883</v>
      </c>
    </row>
    <row r="6986" spans="1:4" x14ac:dyDescent="0.2">
      <c r="A6986">
        <v>3694112</v>
      </c>
      <c r="B6986">
        <v>30064</v>
      </c>
      <c r="C6986">
        <v>302385</v>
      </c>
      <c r="D6986">
        <v>21883</v>
      </c>
    </row>
    <row r="6987" spans="1:4" x14ac:dyDescent="0.2">
      <c r="A6987">
        <v>3694112</v>
      </c>
      <c r="B6987">
        <v>30065</v>
      </c>
      <c r="C6987">
        <v>302371</v>
      </c>
      <c r="D6987">
        <v>21883</v>
      </c>
    </row>
    <row r="6988" spans="1:4" x14ac:dyDescent="0.2">
      <c r="A6988">
        <v>3694112</v>
      </c>
      <c r="B6988">
        <v>30066</v>
      </c>
      <c r="C6988">
        <v>302401</v>
      </c>
      <c r="D6988">
        <v>21883</v>
      </c>
    </row>
    <row r="6989" spans="1:4" x14ac:dyDescent="0.2">
      <c r="A6989">
        <v>3694113</v>
      </c>
      <c r="B6989">
        <v>30061</v>
      </c>
      <c r="C6989">
        <v>302351</v>
      </c>
      <c r="D6989">
        <v>21883</v>
      </c>
    </row>
    <row r="6990" spans="1:4" x14ac:dyDescent="0.2">
      <c r="A6990">
        <v>3694113</v>
      </c>
      <c r="B6990">
        <v>30062</v>
      </c>
      <c r="C6990">
        <v>302355</v>
      </c>
      <c r="D6990">
        <v>21883</v>
      </c>
    </row>
    <row r="6991" spans="1:4" x14ac:dyDescent="0.2">
      <c r="A6991">
        <v>3694113</v>
      </c>
      <c r="B6991">
        <v>30063</v>
      </c>
      <c r="C6991">
        <v>302356</v>
      </c>
      <c r="D6991">
        <v>21883</v>
      </c>
    </row>
    <row r="6992" spans="1:4" x14ac:dyDescent="0.2">
      <c r="A6992">
        <v>3694113</v>
      </c>
      <c r="B6992">
        <v>30064</v>
      </c>
      <c r="C6992">
        <v>302411</v>
      </c>
      <c r="D6992">
        <v>21883</v>
      </c>
    </row>
    <row r="6993" spans="1:4" x14ac:dyDescent="0.2">
      <c r="A6993">
        <v>3694113</v>
      </c>
      <c r="B6993">
        <v>30065</v>
      </c>
      <c r="C6993">
        <v>302371</v>
      </c>
      <c r="D6993">
        <v>21883</v>
      </c>
    </row>
    <row r="6994" spans="1:4" x14ac:dyDescent="0.2">
      <c r="A6994">
        <v>3694113</v>
      </c>
      <c r="B6994">
        <v>30066</v>
      </c>
      <c r="C6994">
        <v>302401</v>
      </c>
      <c r="D6994">
        <v>21883</v>
      </c>
    </row>
    <row r="6995" spans="1:4" x14ac:dyDescent="0.2">
      <c r="A6995">
        <v>3694114</v>
      </c>
      <c r="B6995">
        <v>30061</v>
      </c>
      <c r="C6995">
        <v>302351</v>
      </c>
      <c r="D6995">
        <v>21883</v>
      </c>
    </row>
    <row r="6996" spans="1:4" x14ac:dyDescent="0.2">
      <c r="A6996">
        <v>3694114</v>
      </c>
      <c r="B6996">
        <v>30062</v>
      </c>
      <c r="C6996">
        <v>302355</v>
      </c>
      <c r="D6996">
        <v>21883</v>
      </c>
    </row>
    <row r="6997" spans="1:4" x14ac:dyDescent="0.2">
      <c r="A6997">
        <v>3694114</v>
      </c>
      <c r="B6997">
        <v>30063</v>
      </c>
      <c r="C6997">
        <v>302356</v>
      </c>
      <c r="D6997">
        <v>21883</v>
      </c>
    </row>
    <row r="6998" spans="1:4" x14ac:dyDescent="0.2">
      <c r="A6998">
        <v>3694114</v>
      </c>
      <c r="B6998">
        <v>30064</v>
      </c>
      <c r="C6998">
        <v>302411</v>
      </c>
      <c r="D6998">
        <v>21883</v>
      </c>
    </row>
    <row r="6999" spans="1:4" x14ac:dyDescent="0.2">
      <c r="A6999">
        <v>3694114</v>
      </c>
      <c r="B6999">
        <v>30065</v>
      </c>
      <c r="C6999">
        <v>302371</v>
      </c>
      <c r="D6999">
        <v>21883</v>
      </c>
    </row>
    <row r="7000" spans="1:4" x14ac:dyDescent="0.2">
      <c r="A7000">
        <v>3694114</v>
      </c>
      <c r="B7000">
        <v>30066</v>
      </c>
      <c r="C7000">
        <v>302401</v>
      </c>
      <c r="D7000">
        <v>21883</v>
      </c>
    </row>
    <row r="7001" spans="1:4" x14ac:dyDescent="0.2">
      <c r="A7001">
        <v>3694115</v>
      </c>
      <c r="B7001">
        <v>30061</v>
      </c>
      <c r="C7001">
        <v>302351</v>
      </c>
      <c r="D7001">
        <v>21883</v>
      </c>
    </row>
    <row r="7002" spans="1:4" x14ac:dyDescent="0.2">
      <c r="A7002">
        <v>3694115</v>
      </c>
      <c r="B7002">
        <v>30062</v>
      </c>
      <c r="C7002">
        <v>302355</v>
      </c>
      <c r="D7002">
        <v>21883</v>
      </c>
    </row>
    <row r="7003" spans="1:4" x14ac:dyDescent="0.2">
      <c r="A7003">
        <v>3694115</v>
      </c>
      <c r="B7003">
        <v>30063</v>
      </c>
      <c r="C7003">
        <v>302356</v>
      </c>
      <c r="D7003">
        <v>21883</v>
      </c>
    </row>
    <row r="7004" spans="1:4" x14ac:dyDescent="0.2">
      <c r="A7004">
        <v>3694115</v>
      </c>
      <c r="B7004">
        <v>30064</v>
      </c>
      <c r="C7004">
        <v>302380</v>
      </c>
      <c r="D7004">
        <v>21883</v>
      </c>
    </row>
    <row r="7005" spans="1:4" x14ac:dyDescent="0.2">
      <c r="A7005">
        <v>3694115</v>
      </c>
      <c r="B7005">
        <v>30065</v>
      </c>
      <c r="C7005">
        <v>302371</v>
      </c>
      <c r="D7005">
        <v>21883</v>
      </c>
    </row>
    <row r="7006" spans="1:4" x14ac:dyDescent="0.2">
      <c r="A7006">
        <v>3694115</v>
      </c>
      <c r="B7006">
        <v>30066</v>
      </c>
      <c r="C7006">
        <v>302401</v>
      </c>
      <c r="D7006">
        <v>21883</v>
      </c>
    </row>
    <row r="7007" spans="1:4" x14ac:dyDescent="0.2">
      <c r="A7007">
        <v>3694116</v>
      </c>
      <c r="B7007">
        <v>30061</v>
      </c>
      <c r="C7007">
        <v>302351</v>
      </c>
      <c r="D7007">
        <v>21883</v>
      </c>
    </row>
    <row r="7008" spans="1:4" x14ac:dyDescent="0.2">
      <c r="A7008">
        <v>3694116</v>
      </c>
      <c r="B7008">
        <v>30062</v>
      </c>
      <c r="C7008">
        <v>302355</v>
      </c>
      <c r="D7008">
        <v>21883</v>
      </c>
    </row>
    <row r="7009" spans="1:4" x14ac:dyDescent="0.2">
      <c r="A7009">
        <v>3694116</v>
      </c>
      <c r="B7009">
        <v>30063</v>
      </c>
      <c r="C7009">
        <v>302356</v>
      </c>
      <c r="D7009">
        <v>21883</v>
      </c>
    </row>
    <row r="7010" spans="1:4" x14ac:dyDescent="0.2">
      <c r="A7010">
        <v>3694116</v>
      </c>
      <c r="B7010">
        <v>30064</v>
      </c>
      <c r="C7010">
        <v>302411</v>
      </c>
      <c r="D7010">
        <v>21883</v>
      </c>
    </row>
    <row r="7011" spans="1:4" x14ac:dyDescent="0.2">
      <c r="A7011">
        <v>3694116</v>
      </c>
      <c r="B7011">
        <v>30065</v>
      </c>
      <c r="C7011">
        <v>302371</v>
      </c>
      <c r="D7011">
        <v>21883</v>
      </c>
    </row>
    <row r="7012" spans="1:4" x14ac:dyDescent="0.2">
      <c r="A7012">
        <v>3694116</v>
      </c>
      <c r="B7012">
        <v>30066</v>
      </c>
      <c r="C7012">
        <v>302401</v>
      </c>
      <c r="D7012">
        <v>21883</v>
      </c>
    </row>
    <row r="7013" spans="1:4" x14ac:dyDescent="0.2">
      <c r="A7013">
        <v>3694117</v>
      </c>
      <c r="B7013">
        <v>30061</v>
      </c>
      <c r="C7013">
        <v>302351</v>
      </c>
      <c r="D7013">
        <v>21883</v>
      </c>
    </row>
    <row r="7014" spans="1:4" x14ac:dyDescent="0.2">
      <c r="A7014">
        <v>3694117</v>
      </c>
      <c r="B7014">
        <v>30062</v>
      </c>
      <c r="C7014">
        <v>302355</v>
      </c>
      <c r="D7014">
        <v>21883</v>
      </c>
    </row>
    <row r="7015" spans="1:4" x14ac:dyDescent="0.2">
      <c r="A7015">
        <v>3694117</v>
      </c>
      <c r="B7015">
        <v>30063</v>
      </c>
      <c r="C7015">
        <v>302356</v>
      </c>
      <c r="D7015">
        <v>21883</v>
      </c>
    </row>
    <row r="7016" spans="1:4" x14ac:dyDescent="0.2">
      <c r="A7016">
        <v>3694117</v>
      </c>
      <c r="B7016">
        <v>30064</v>
      </c>
      <c r="C7016">
        <v>302411</v>
      </c>
      <c r="D7016">
        <v>21883</v>
      </c>
    </row>
    <row r="7017" spans="1:4" x14ac:dyDescent="0.2">
      <c r="A7017">
        <v>3694117</v>
      </c>
      <c r="B7017">
        <v>30065</v>
      </c>
      <c r="C7017">
        <v>302371</v>
      </c>
      <c r="D7017">
        <v>21883</v>
      </c>
    </row>
    <row r="7018" spans="1:4" x14ac:dyDescent="0.2">
      <c r="A7018">
        <v>3694117</v>
      </c>
      <c r="B7018">
        <v>30066</v>
      </c>
      <c r="C7018">
        <v>302401</v>
      </c>
      <c r="D7018">
        <v>21883</v>
      </c>
    </row>
    <row r="7019" spans="1:4" x14ac:dyDescent="0.2">
      <c r="A7019">
        <v>3694118</v>
      </c>
      <c r="B7019">
        <v>30064</v>
      </c>
      <c r="C7019">
        <v>302398</v>
      </c>
      <c r="D7019">
        <v>21883</v>
      </c>
    </row>
    <row r="7020" spans="1:4" x14ac:dyDescent="0.2">
      <c r="A7020">
        <v>3694118</v>
      </c>
      <c r="B7020">
        <v>30065</v>
      </c>
      <c r="C7020">
        <v>302371</v>
      </c>
      <c r="D7020">
        <v>21883</v>
      </c>
    </row>
    <row r="7021" spans="1:4" x14ac:dyDescent="0.2">
      <c r="A7021">
        <v>3694118</v>
      </c>
      <c r="B7021">
        <v>30066</v>
      </c>
      <c r="C7021">
        <v>302401</v>
      </c>
      <c r="D7021">
        <v>21883</v>
      </c>
    </row>
    <row r="7022" spans="1:4" x14ac:dyDescent="0.2">
      <c r="A7022">
        <v>3694119</v>
      </c>
      <c r="B7022">
        <v>30064</v>
      </c>
      <c r="C7022">
        <v>302467</v>
      </c>
      <c r="D7022">
        <v>21883</v>
      </c>
    </row>
    <row r="7023" spans="1:4" x14ac:dyDescent="0.2">
      <c r="A7023">
        <v>3694119</v>
      </c>
      <c r="B7023">
        <v>30065</v>
      </c>
      <c r="C7023">
        <v>302371</v>
      </c>
      <c r="D7023">
        <v>21883</v>
      </c>
    </row>
    <row r="7024" spans="1:4" x14ac:dyDescent="0.2">
      <c r="A7024">
        <v>3694119</v>
      </c>
      <c r="B7024">
        <v>30066</v>
      </c>
      <c r="C7024">
        <v>302401</v>
      </c>
      <c r="D7024">
        <v>21883</v>
      </c>
    </row>
    <row r="7025" spans="1:4" x14ac:dyDescent="0.2">
      <c r="A7025">
        <v>3694120</v>
      </c>
      <c r="B7025">
        <v>30061</v>
      </c>
      <c r="C7025">
        <v>302351</v>
      </c>
      <c r="D7025">
        <v>21883</v>
      </c>
    </row>
    <row r="7026" spans="1:4" x14ac:dyDescent="0.2">
      <c r="A7026">
        <v>3694120</v>
      </c>
      <c r="B7026">
        <v>30062</v>
      </c>
      <c r="C7026">
        <v>302355</v>
      </c>
      <c r="D7026">
        <v>21883</v>
      </c>
    </row>
    <row r="7027" spans="1:4" x14ac:dyDescent="0.2">
      <c r="A7027">
        <v>3694120</v>
      </c>
      <c r="B7027">
        <v>30063</v>
      </c>
      <c r="C7027">
        <v>302356</v>
      </c>
      <c r="D7027">
        <v>21883</v>
      </c>
    </row>
    <row r="7028" spans="1:4" x14ac:dyDescent="0.2">
      <c r="A7028">
        <v>3694120</v>
      </c>
      <c r="B7028">
        <v>30064</v>
      </c>
      <c r="C7028">
        <v>302379</v>
      </c>
      <c r="D7028">
        <v>21883</v>
      </c>
    </row>
    <row r="7029" spans="1:4" x14ac:dyDescent="0.2">
      <c r="A7029">
        <v>3694120</v>
      </c>
      <c r="B7029">
        <v>30065</v>
      </c>
      <c r="C7029">
        <v>302371</v>
      </c>
      <c r="D7029">
        <v>21883</v>
      </c>
    </row>
    <row r="7030" spans="1:4" x14ac:dyDescent="0.2">
      <c r="A7030">
        <v>3694120</v>
      </c>
      <c r="B7030">
        <v>30066</v>
      </c>
      <c r="C7030">
        <v>302401</v>
      </c>
      <c r="D7030">
        <v>21883</v>
      </c>
    </row>
    <row r="7031" spans="1:4" x14ac:dyDescent="0.2">
      <c r="A7031">
        <v>3694121</v>
      </c>
      <c r="B7031">
        <v>30061</v>
      </c>
      <c r="C7031">
        <v>302351</v>
      </c>
      <c r="D7031">
        <v>21883</v>
      </c>
    </row>
    <row r="7032" spans="1:4" x14ac:dyDescent="0.2">
      <c r="A7032">
        <v>3694121</v>
      </c>
      <c r="B7032">
        <v>30062</v>
      </c>
      <c r="C7032">
        <v>302355</v>
      </c>
      <c r="D7032">
        <v>21883</v>
      </c>
    </row>
    <row r="7033" spans="1:4" x14ac:dyDescent="0.2">
      <c r="A7033">
        <v>3694121</v>
      </c>
      <c r="B7033">
        <v>30063</v>
      </c>
      <c r="C7033">
        <v>302356</v>
      </c>
      <c r="D7033">
        <v>21883</v>
      </c>
    </row>
    <row r="7034" spans="1:4" x14ac:dyDescent="0.2">
      <c r="A7034">
        <v>3694121</v>
      </c>
      <c r="B7034">
        <v>30064</v>
      </c>
      <c r="C7034">
        <v>302379</v>
      </c>
      <c r="D7034">
        <v>21883</v>
      </c>
    </row>
    <row r="7035" spans="1:4" x14ac:dyDescent="0.2">
      <c r="A7035">
        <v>3694121</v>
      </c>
      <c r="B7035">
        <v>30065</v>
      </c>
      <c r="C7035">
        <v>302371</v>
      </c>
      <c r="D7035">
        <v>21883</v>
      </c>
    </row>
    <row r="7036" spans="1:4" x14ac:dyDescent="0.2">
      <c r="A7036">
        <v>3694121</v>
      </c>
      <c r="B7036">
        <v>30066</v>
      </c>
      <c r="C7036">
        <v>302401</v>
      </c>
      <c r="D7036">
        <v>21883</v>
      </c>
    </row>
    <row r="7037" spans="1:4" x14ac:dyDescent="0.2">
      <c r="A7037">
        <v>3694122</v>
      </c>
      <c r="B7037">
        <v>30064</v>
      </c>
      <c r="C7037">
        <v>302421</v>
      </c>
      <c r="D7037">
        <v>21883</v>
      </c>
    </row>
    <row r="7038" spans="1:4" x14ac:dyDescent="0.2">
      <c r="A7038">
        <v>3694122</v>
      </c>
      <c r="B7038">
        <v>30065</v>
      </c>
      <c r="C7038">
        <v>302371</v>
      </c>
      <c r="D7038">
        <v>21883</v>
      </c>
    </row>
    <row r="7039" spans="1:4" x14ac:dyDescent="0.2">
      <c r="A7039">
        <v>3694122</v>
      </c>
      <c r="B7039">
        <v>30066</v>
      </c>
      <c r="C7039">
        <v>302401</v>
      </c>
      <c r="D7039">
        <v>21883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3A76E-3A11-46C2-B7F0-9DB1428AB934}">
  <sheetPr codeName="Sheet16"/>
  <dimension ref="A1:E25"/>
  <sheetViews>
    <sheetView workbookViewId="0"/>
  </sheetViews>
  <sheetFormatPr defaultRowHeight="14.25" x14ac:dyDescent="0.2"/>
  <sheetData>
    <row r="1" spans="1:5" x14ac:dyDescent="0.2">
      <c r="A1" t="s">
        <v>429</v>
      </c>
    </row>
    <row r="2" spans="1:5" x14ac:dyDescent="0.2">
      <c r="A2" t="s">
        <v>430</v>
      </c>
      <c r="B2" t="s">
        <v>141</v>
      </c>
      <c r="C2" t="s">
        <v>109</v>
      </c>
      <c r="D2" t="s">
        <v>20</v>
      </c>
      <c r="E2" t="s">
        <v>431</v>
      </c>
    </row>
    <row r="3" spans="1:5" x14ac:dyDescent="0.2">
      <c r="A3">
        <v>67524</v>
      </c>
      <c r="B3">
        <v>3692716</v>
      </c>
      <c r="C3">
        <v>148</v>
      </c>
      <c r="D3">
        <v>21883</v>
      </c>
      <c r="E3" t="s">
        <v>6725</v>
      </c>
    </row>
    <row r="4" spans="1:5" x14ac:dyDescent="0.2">
      <c r="A4">
        <v>67525</v>
      </c>
      <c r="B4">
        <v>3692753</v>
      </c>
      <c r="C4">
        <v>148</v>
      </c>
      <c r="D4">
        <v>21883</v>
      </c>
      <c r="E4" t="s">
        <v>6725</v>
      </c>
    </row>
    <row r="5" spans="1:5" x14ac:dyDescent="0.2">
      <c r="A5">
        <v>67526</v>
      </c>
      <c r="B5">
        <v>3693194</v>
      </c>
      <c r="C5">
        <v>47</v>
      </c>
      <c r="D5">
        <v>21883</v>
      </c>
      <c r="E5" t="s">
        <v>6726</v>
      </c>
    </row>
    <row r="6" spans="1:5" x14ac:dyDescent="0.2">
      <c r="A6">
        <v>67527</v>
      </c>
      <c r="B6">
        <v>3694060</v>
      </c>
      <c r="C6">
        <v>148</v>
      </c>
      <c r="D6">
        <v>21883</v>
      </c>
      <c r="E6" t="s">
        <v>6727</v>
      </c>
    </row>
    <row r="7" spans="1:5" x14ac:dyDescent="0.2">
      <c r="A7">
        <v>67528</v>
      </c>
      <c r="B7">
        <v>3694061</v>
      </c>
      <c r="C7">
        <v>148</v>
      </c>
      <c r="D7">
        <v>21883</v>
      </c>
      <c r="E7" t="s">
        <v>6727</v>
      </c>
    </row>
    <row r="8" spans="1:5" x14ac:dyDescent="0.2">
      <c r="A8">
        <v>67529</v>
      </c>
      <c r="B8">
        <v>3692996</v>
      </c>
      <c r="C8">
        <v>148</v>
      </c>
      <c r="D8">
        <v>21883</v>
      </c>
      <c r="E8" t="s">
        <v>6728</v>
      </c>
    </row>
    <row r="9" spans="1:5" x14ac:dyDescent="0.2">
      <c r="A9">
        <v>67530</v>
      </c>
      <c r="B9">
        <v>3694056</v>
      </c>
      <c r="C9">
        <v>148</v>
      </c>
      <c r="D9">
        <v>21883</v>
      </c>
      <c r="E9" t="s">
        <v>6725</v>
      </c>
    </row>
    <row r="10" spans="1:5" x14ac:dyDescent="0.2">
      <c r="A10">
        <v>67531</v>
      </c>
      <c r="B10">
        <v>3694063</v>
      </c>
      <c r="C10">
        <v>148</v>
      </c>
      <c r="D10">
        <v>21883</v>
      </c>
      <c r="E10" t="s">
        <v>6727</v>
      </c>
    </row>
    <row r="11" spans="1:5" x14ac:dyDescent="0.2">
      <c r="A11">
        <v>67532</v>
      </c>
      <c r="B11">
        <v>3694062</v>
      </c>
      <c r="C11">
        <v>148</v>
      </c>
      <c r="D11">
        <v>21883</v>
      </c>
      <c r="E11" t="s">
        <v>6727</v>
      </c>
    </row>
    <row r="12" spans="1:5" x14ac:dyDescent="0.2">
      <c r="A12">
        <v>67533</v>
      </c>
      <c r="B12">
        <v>3693276</v>
      </c>
      <c r="C12">
        <v>148</v>
      </c>
      <c r="D12">
        <v>21883</v>
      </c>
      <c r="E12" t="s">
        <v>6729</v>
      </c>
    </row>
    <row r="13" spans="1:5" x14ac:dyDescent="0.2">
      <c r="A13">
        <v>67534</v>
      </c>
      <c r="B13">
        <v>3693275</v>
      </c>
      <c r="C13">
        <v>148</v>
      </c>
      <c r="D13">
        <v>21883</v>
      </c>
      <c r="E13" t="s">
        <v>6729</v>
      </c>
    </row>
    <row r="14" spans="1:5" x14ac:dyDescent="0.2">
      <c r="A14">
        <v>67535</v>
      </c>
      <c r="B14">
        <v>3693278</v>
      </c>
      <c r="C14">
        <v>148</v>
      </c>
      <c r="D14">
        <v>21883</v>
      </c>
      <c r="E14" t="s">
        <v>6729</v>
      </c>
    </row>
    <row r="15" spans="1:5" x14ac:dyDescent="0.2">
      <c r="A15">
        <v>67536</v>
      </c>
      <c r="B15">
        <v>3693279</v>
      </c>
      <c r="C15">
        <v>148</v>
      </c>
      <c r="D15">
        <v>21883</v>
      </c>
      <c r="E15" t="s">
        <v>6729</v>
      </c>
    </row>
    <row r="16" spans="1:5" x14ac:dyDescent="0.2">
      <c r="A16">
        <v>67537</v>
      </c>
      <c r="B16">
        <v>3693280</v>
      </c>
      <c r="C16">
        <v>148</v>
      </c>
      <c r="D16">
        <v>21883</v>
      </c>
      <c r="E16" t="s">
        <v>6729</v>
      </c>
    </row>
    <row r="17" spans="1:5" x14ac:dyDescent="0.2">
      <c r="A17">
        <v>67538</v>
      </c>
      <c r="B17">
        <v>3693306</v>
      </c>
      <c r="C17">
        <v>148</v>
      </c>
      <c r="D17">
        <v>21883</v>
      </c>
      <c r="E17" t="s">
        <v>6729</v>
      </c>
    </row>
    <row r="18" spans="1:5" x14ac:dyDescent="0.2">
      <c r="A18">
        <v>67539</v>
      </c>
      <c r="B18">
        <v>3693286</v>
      </c>
      <c r="C18">
        <v>148</v>
      </c>
      <c r="D18">
        <v>21883</v>
      </c>
      <c r="E18" t="s">
        <v>6730</v>
      </c>
    </row>
    <row r="19" spans="1:5" x14ac:dyDescent="0.2">
      <c r="A19">
        <v>67540</v>
      </c>
      <c r="B19">
        <v>3693272</v>
      </c>
      <c r="C19">
        <v>148</v>
      </c>
      <c r="D19">
        <v>21883</v>
      </c>
      <c r="E19" t="s">
        <v>6731</v>
      </c>
    </row>
    <row r="20" spans="1:5" x14ac:dyDescent="0.2">
      <c r="A20">
        <v>67541</v>
      </c>
      <c r="B20">
        <v>3693548</v>
      </c>
      <c r="C20">
        <v>148</v>
      </c>
      <c r="D20">
        <v>21883</v>
      </c>
      <c r="E20" t="s">
        <v>6732</v>
      </c>
    </row>
    <row r="21" spans="1:5" x14ac:dyDescent="0.2">
      <c r="A21">
        <v>67542</v>
      </c>
      <c r="B21">
        <v>3693562</v>
      </c>
      <c r="C21">
        <v>148</v>
      </c>
      <c r="D21">
        <v>21883</v>
      </c>
      <c r="E21" t="s">
        <v>6732</v>
      </c>
    </row>
    <row r="22" spans="1:5" x14ac:dyDescent="0.2">
      <c r="A22">
        <v>67543</v>
      </c>
      <c r="B22">
        <v>3693576</v>
      </c>
      <c r="C22">
        <v>148</v>
      </c>
      <c r="D22">
        <v>21883</v>
      </c>
      <c r="E22" t="s">
        <v>6732</v>
      </c>
    </row>
    <row r="23" spans="1:5" x14ac:dyDescent="0.2">
      <c r="A23">
        <v>67544</v>
      </c>
      <c r="B23">
        <v>3693847</v>
      </c>
      <c r="C23">
        <v>148</v>
      </c>
      <c r="D23">
        <v>21883</v>
      </c>
      <c r="E23" t="s">
        <v>6733</v>
      </c>
    </row>
    <row r="24" spans="1:5" x14ac:dyDescent="0.2">
      <c r="A24">
        <v>67545</v>
      </c>
      <c r="B24">
        <v>3693833</v>
      </c>
      <c r="C24">
        <v>148</v>
      </c>
      <c r="D24">
        <v>21883</v>
      </c>
      <c r="E24" t="s">
        <v>6732</v>
      </c>
    </row>
    <row r="25" spans="1:5" x14ac:dyDescent="0.2">
      <c r="A25">
        <v>67546</v>
      </c>
      <c r="B25">
        <v>3693861</v>
      </c>
      <c r="C25">
        <v>148</v>
      </c>
      <c r="D25">
        <v>21883</v>
      </c>
      <c r="E25" t="s">
        <v>6732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AC00D-4CE1-48D2-8B97-E0E7F5C84E90}">
  <sheetPr codeName="Sheet17"/>
  <dimension ref="A1:J2504"/>
  <sheetViews>
    <sheetView workbookViewId="0"/>
  </sheetViews>
  <sheetFormatPr defaultRowHeight="14.25" x14ac:dyDescent="0.2"/>
  <sheetData>
    <row r="1" spans="1:10" x14ac:dyDescent="0.2">
      <c r="A1" t="s">
        <v>432</v>
      </c>
    </row>
    <row r="2" spans="1:10" x14ac:dyDescent="0.2">
      <c r="A2" t="s">
        <v>433</v>
      </c>
      <c r="B2" t="s">
        <v>141</v>
      </c>
      <c r="C2" t="s">
        <v>434</v>
      </c>
      <c r="D2" t="s">
        <v>20</v>
      </c>
      <c r="E2" t="s">
        <v>435</v>
      </c>
      <c r="F2" t="s">
        <v>436</v>
      </c>
      <c r="G2" t="s">
        <v>437</v>
      </c>
      <c r="H2" t="s">
        <v>400</v>
      </c>
      <c r="I2" t="s">
        <v>438</v>
      </c>
      <c r="J2" t="s">
        <v>439</v>
      </c>
    </row>
    <row r="3" spans="1:10" x14ac:dyDescent="0.2">
      <c r="A3">
        <v>7117241</v>
      </c>
      <c r="B3">
        <v>3692868</v>
      </c>
      <c r="C3">
        <v>3692560</v>
      </c>
      <c r="D3">
        <v>21883</v>
      </c>
      <c r="E3">
        <v>21883</v>
      </c>
      <c r="F3" t="s">
        <v>441</v>
      </c>
      <c r="G3">
        <v>0</v>
      </c>
      <c r="I3" s="5">
        <v>44057.666666666664</v>
      </c>
      <c r="J3" s="5">
        <v>44011.333333333336</v>
      </c>
    </row>
    <row r="4" spans="1:10" x14ac:dyDescent="0.2">
      <c r="A4">
        <v>7117242</v>
      </c>
      <c r="B4">
        <v>3692625</v>
      </c>
      <c r="C4">
        <v>3692630</v>
      </c>
      <c r="D4">
        <v>21883</v>
      </c>
      <c r="E4">
        <v>21883</v>
      </c>
      <c r="F4" t="s">
        <v>441</v>
      </c>
      <c r="G4">
        <v>0</v>
      </c>
      <c r="I4" s="5">
        <v>44070.666666666664</v>
      </c>
      <c r="J4" s="5">
        <v>44042.333333333336</v>
      </c>
    </row>
    <row r="5" spans="1:10" x14ac:dyDescent="0.2">
      <c r="A5">
        <v>7117243</v>
      </c>
      <c r="B5">
        <v>3692630</v>
      </c>
      <c r="C5">
        <v>3692622</v>
      </c>
      <c r="D5">
        <v>21883</v>
      </c>
      <c r="E5">
        <v>21883</v>
      </c>
      <c r="F5" t="s">
        <v>441</v>
      </c>
      <c r="G5">
        <v>0</v>
      </c>
      <c r="I5" s="5">
        <v>44050.666666666664</v>
      </c>
      <c r="J5" s="5">
        <v>44028.333333333336</v>
      </c>
    </row>
    <row r="6" spans="1:10" x14ac:dyDescent="0.2">
      <c r="A6">
        <v>7117244</v>
      </c>
      <c r="B6">
        <v>3692619</v>
      </c>
      <c r="C6">
        <v>3692569</v>
      </c>
      <c r="D6">
        <v>21883</v>
      </c>
      <c r="E6">
        <v>21883</v>
      </c>
      <c r="F6" t="s">
        <v>441</v>
      </c>
      <c r="G6">
        <v>0</v>
      </c>
      <c r="I6" s="5">
        <v>44047.666666666664</v>
      </c>
      <c r="J6" s="5">
        <v>44140.333333333336</v>
      </c>
    </row>
    <row r="7" spans="1:10" x14ac:dyDescent="0.2">
      <c r="A7">
        <v>7117245</v>
      </c>
      <c r="B7">
        <v>3692626</v>
      </c>
      <c r="C7">
        <v>3692570</v>
      </c>
      <c r="D7">
        <v>21883</v>
      </c>
      <c r="E7">
        <v>21883</v>
      </c>
      <c r="F7" t="s">
        <v>441</v>
      </c>
      <c r="G7">
        <v>0</v>
      </c>
      <c r="I7" s="5">
        <v>44044</v>
      </c>
      <c r="J7" s="5">
        <v>44018.333333333336</v>
      </c>
    </row>
    <row r="8" spans="1:10" x14ac:dyDescent="0.2">
      <c r="A8">
        <v>7117246</v>
      </c>
      <c r="B8">
        <v>3692572</v>
      </c>
      <c r="C8">
        <v>3692626</v>
      </c>
      <c r="D8">
        <v>21883</v>
      </c>
      <c r="E8">
        <v>21883</v>
      </c>
      <c r="F8" t="s">
        <v>441</v>
      </c>
      <c r="G8">
        <v>0</v>
      </c>
      <c r="I8" s="5">
        <v>44046.666666666664</v>
      </c>
      <c r="J8" s="5">
        <v>44021.333333333336</v>
      </c>
    </row>
    <row r="9" spans="1:10" x14ac:dyDescent="0.2">
      <c r="A9">
        <v>7117247</v>
      </c>
      <c r="B9">
        <v>3692868</v>
      </c>
      <c r="C9">
        <v>3693737</v>
      </c>
      <c r="D9">
        <v>21883</v>
      </c>
      <c r="E9">
        <v>21883</v>
      </c>
      <c r="F9" t="s">
        <v>441</v>
      </c>
      <c r="G9">
        <v>0</v>
      </c>
      <c r="I9" s="5">
        <v>44071.666666666664</v>
      </c>
      <c r="J9" s="5">
        <v>44011.333333333336</v>
      </c>
    </row>
    <row r="10" spans="1:10" x14ac:dyDescent="0.2">
      <c r="A10">
        <v>7117248</v>
      </c>
      <c r="B10">
        <v>3692560</v>
      </c>
      <c r="C10">
        <v>3692821</v>
      </c>
      <c r="D10">
        <v>21883</v>
      </c>
      <c r="E10">
        <v>21883</v>
      </c>
      <c r="F10" t="s">
        <v>441</v>
      </c>
      <c r="G10">
        <v>0</v>
      </c>
      <c r="I10" s="5">
        <v>44049.666666666664</v>
      </c>
      <c r="J10" s="5">
        <v>44004.333333333336</v>
      </c>
    </row>
    <row r="11" spans="1:10" x14ac:dyDescent="0.2">
      <c r="A11">
        <v>7117249</v>
      </c>
      <c r="B11">
        <v>3693004</v>
      </c>
      <c r="C11">
        <v>3694082</v>
      </c>
      <c r="D11">
        <v>21883</v>
      </c>
      <c r="E11">
        <v>21883</v>
      </c>
      <c r="F11" t="s">
        <v>441</v>
      </c>
      <c r="G11">
        <v>0</v>
      </c>
      <c r="I11" s="5">
        <v>44125.666666666664</v>
      </c>
      <c r="J11" s="5">
        <v>44070.333333333336</v>
      </c>
    </row>
    <row r="12" spans="1:10" x14ac:dyDescent="0.2">
      <c r="A12">
        <v>7117250</v>
      </c>
      <c r="B12">
        <v>3692826</v>
      </c>
      <c r="C12">
        <v>3692614</v>
      </c>
      <c r="D12">
        <v>21883</v>
      </c>
      <c r="E12">
        <v>21883</v>
      </c>
      <c r="F12" t="s">
        <v>441</v>
      </c>
      <c r="G12">
        <v>0</v>
      </c>
      <c r="I12" s="5">
        <v>44044</v>
      </c>
      <c r="J12" s="5">
        <v>44306.666666666664</v>
      </c>
    </row>
    <row r="13" spans="1:10" x14ac:dyDescent="0.2">
      <c r="A13">
        <v>7117251</v>
      </c>
      <c r="B13">
        <v>3692614</v>
      </c>
      <c r="C13">
        <v>3692892</v>
      </c>
      <c r="D13">
        <v>21883</v>
      </c>
      <c r="E13">
        <v>21883</v>
      </c>
      <c r="F13" t="s">
        <v>441</v>
      </c>
      <c r="G13">
        <v>0</v>
      </c>
      <c r="I13" s="5">
        <v>44044</v>
      </c>
      <c r="J13" s="5">
        <v>44306.666666666664</v>
      </c>
    </row>
    <row r="14" spans="1:10" x14ac:dyDescent="0.2">
      <c r="A14">
        <v>7117252</v>
      </c>
      <c r="B14">
        <v>3692826</v>
      </c>
      <c r="C14">
        <v>3692609</v>
      </c>
      <c r="D14">
        <v>21883</v>
      </c>
      <c r="E14">
        <v>21883</v>
      </c>
      <c r="F14" t="s">
        <v>441</v>
      </c>
      <c r="G14">
        <v>0</v>
      </c>
      <c r="I14" s="5">
        <v>44044</v>
      </c>
      <c r="J14" s="5">
        <v>44306.666666666664</v>
      </c>
    </row>
    <row r="15" spans="1:10" x14ac:dyDescent="0.2">
      <c r="A15">
        <v>7117253</v>
      </c>
      <c r="B15">
        <v>3692609</v>
      </c>
      <c r="C15">
        <v>3692892</v>
      </c>
      <c r="D15">
        <v>21883</v>
      </c>
      <c r="E15">
        <v>21883</v>
      </c>
      <c r="F15" t="s">
        <v>441</v>
      </c>
      <c r="G15">
        <v>0</v>
      </c>
      <c r="I15" s="5">
        <v>44044</v>
      </c>
      <c r="J15" s="5">
        <v>44306.666666666664</v>
      </c>
    </row>
    <row r="16" spans="1:10" x14ac:dyDescent="0.2">
      <c r="A16">
        <v>7117254</v>
      </c>
      <c r="B16">
        <v>3692826</v>
      </c>
      <c r="C16">
        <v>3692611</v>
      </c>
      <c r="D16">
        <v>21883</v>
      </c>
      <c r="E16">
        <v>21883</v>
      </c>
      <c r="F16" t="s">
        <v>441</v>
      </c>
      <c r="G16">
        <v>0</v>
      </c>
      <c r="I16" s="5">
        <v>44044</v>
      </c>
      <c r="J16" s="5">
        <v>44306.666666666664</v>
      </c>
    </row>
    <row r="17" spans="1:10" x14ac:dyDescent="0.2">
      <c r="A17">
        <v>7117255</v>
      </c>
      <c r="B17">
        <v>3692611</v>
      </c>
      <c r="C17">
        <v>3692892</v>
      </c>
      <c r="D17">
        <v>21883</v>
      </c>
      <c r="E17">
        <v>21883</v>
      </c>
      <c r="F17" t="s">
        <v>441</v>
      </c>
      <c r="G17">
        <v>0</v>
      </c>
      <c r="I17" s="5">
        <v>44044</v>
      </c>
      <c r="J17" s="5">
        <v>44306.666666666664</v>
      </c>
    </row>
    <row r="18" spans="1:10" x14ac:dyDescent="0.2">
      <c r="A18">
        <v>7117256</v>
      </c>
      <c r="B18">
        <v>3692826</v>
      </c>
      <c r="C18">
        <v>3692637</v>
      </c>
      <c r="D18">
        <v>21883</v>
      </c>
      <c r="E18">
        <v>21883</v>
      </c>
      <c r="F18" t="s">
        <v>441</v>
      </c>
      <c r="G18">
        <v>0</v>
      </c>
      <c r="I18" s="5">
        <v>44044</v>
      </c>
      <c r="J18" s="5">
        <v>44306.666666666664</v>
      </c>
    </row>
    <row r="19" spans="1:10" x14ac:dyDescent="0.2">
      <c r="A19">
        <v>7117257</v>
      </c>
      <c r="B19">
        <v>3692637</v>
      </c>
      <c r="C19">
        <v>3692892</v>
      </c>
      <c r="D19">
        <v>21883</v>
      </c>
      <c r="E19">
        <v>21883</v>
      </c>
      <c r="F19" t="s">
        <v>441</v>
      </c>
      <c r="G19">
        <v>0</v>
      </c>
      <c r="I19" s="5">
        <v>44044</v>
      </c>
      <c r="J19" s="5">
        <v>44306.666666666664</v>
      </c>
    </row>
    <row r="20" spans="1:10" x14ac:dyDescent="0.2">
      <c r="A20">
        <v>7117258</v>
      </c>
      <c r="B20">
        <v>3692826</v>
      </c>
      <c r="C20">
        <v>3692636</v>
      </c>
      <c r="D20">
        <v>21883</v>
      </c>
      <c r="E20">
        <v>21883</v>
      </c>
      <c r="F20" t="s">
        <v>441</v>
      </c>
      <c r="G20">
        <v>0</v>
      </c>
      <c r="I20" s="5">
        <v>44044</v>
      </c>
      <c r="J20" s="5">
        <v>44306.666666666664</v>
      </c>
    </row>
    <row r="21" spans="1:10" x14ac:dyDescent="0.2">
      <c r="A21">
        <v>7117259</v>
      </c>
      <c r="B21">
        <v>3692636</v>
      </c>
      <c r="C21">
        <v>3692892</v>
      </c>
      <c r="D21">
        <v>21883</v>
      </c>
      <c r="E21">
        <v>21883</v>
      </c>
      <c r="F21" t="s">
        <v>441</v>
      </c>
      <c r="G21">
        <v>0</v>
      </c>
      <c r="I21" s="5">
        <v>44044</v>
      </c>
      <c r="J21" s="5">
        <v>44306.666666666664</v>
      </c>
    </row>
    <row r="22" spans="1:10" x14ac:dyDescent="0.2">
      <c r="A22">
        <v>7117260</v>
      </c>
      <c r="B22">
        <v>3692588</v>
      </c>
      <c r="C22">
        <v>3692617</v>
      </c>
      <c r="D22">
        <v>21883</v>
      </c>
      <c r="E22">
        <v>21883</v>
      </c>
      <c r="F22" t="s">
        <v>441</v>
      </c>
      <c r="G22">
        <v>0</v>
      </c>
      <c r="I22" s="5">
        <v>44089.666666666664</v>
      </c>
      <c r="J22" s="5">
        <v>44076.333333333336</v>
      </c>
    </row>
    <row r="23" spans="1:10" x14ac:dyDescent="0.2">
      <c r="A23">
        <v>7117261</v>
      </c>
      <c r="B23">
        <v>3692612</v>
      </c>
      <c r="C23">
        <v>3693049</v>
      </c>
      <c r="D23">
        <v>21883</v>
      </c>
      <c r="E23">
        <v>21883</v>
      </c>
      <c r="F23" t="s">
        <v>441</v>
      </c>
      <c r="G23">
        <v>0</v>
      </c>
      <c r="I23" s="5">
        <v>44044</v>
      </c>
      <c r="J23" s="5">
        <v>44032.333333333336</v>
      </c>
    </row>
    <row r="24" spans="1:10" x14ac:dyDescent="0.2">
      <c r="A24">
        <v>7117262</v>
      </c>
      <c r="B24">
        <v>3692615</v>
      </c>
      <c r="C24">
        <v>3692561</v>
      </c>
      <c r="D24">
        <v>21883</v>
      </c>
      <c r="E24">
        <v>21883</v>
      </c>
      <c r="F24" t="s">
        <v>441</v>
      </c>
      <c r="G24">
        <v>0</v>
      </c>
      <c r="I24" s="5">
        <v>44057.666666666664</v>
      </c>
      <c r="J24" s="5">
        <v>44043.333333333336</v>
      </c>
    </row>
    <row r="25" spans="1:10" x14ac:dyDescent="0.2">
      <c r="A25">
        <v>7117263</v>
      </c>
      <c r="B25">
        <v>3692561</v>
      </c>
      <c r="C25">
        <v>3692610</v>
      </c>
      <c r="D25">
        <v>21883</v>
      </c>
      <c r="E25">
        <v>21883</v>
      </c>
      <c r="F25" t="s">
        <v>441</v>
      </c>
      <c r="G25">
        <v>0</v>
      </c>
      <c r="I25" s="5">
        <v>44048.666666666664</v>
      </c>
      <c r="J25" s="5">
        <v>44034.333333333336</v>
      </c>
    </row>
    <row r="26" spans="1:10" x14ac:dyDescent="0.2">
      <c r="A26">
        <v>7117264</v>
      </c>
      <c r="B26">
        <v>3693004</v>
      </c>
      <c r="C26">
        <v>3694018</v>
      </c>
      <c r="D26">
        <v>21883</v>
      </c>
      <c r="E26">
        <v>21883</v>
      </c>
      <c r="F26" t="s">
        <v>440</v>
      </c>
      <c r="G26">
        <v>0</v>
      </c>
      <c r="I26" s="5">
        <v>44095.333333333336</v>
      </c>
      <c r="J26" s="5">
        <v>44116.666666666664</v>
      </c>
    </row>
    <row r="27" spans="1:10" x14ac:dyDescent="0.2">
      <c r="A27">
        <v>7117265</v>
      </c>
      <c r="B27">
        <v>3692666</v>
      </c>
      <c r="C27">
        <v>3692667</v>
      </c>
      <c r="D27">
        <v>21883</v>
      </c>
      <c r="E27">
        <v>21883</v>
      </c>
      <c r="F27" t="s">
        <v>441</v>
      </c>
      <c r="G27">
        <v>0</v>
      </c>
      <c r="I27" s="5">
        <v>44229.666666666664</v>
      </c>
      <c r="J27" s="5">
        <v>44155.333333333336</v>
      </c>
    </row>
    <row r="28" spans="1:10" x14ac:dyDescent="0.2">
      <c r="A28">
        <v>7117266</v>
      </c>
      <c r="B28">
        <v>3692667</v>
      </c>
      <c r="C28">
        <v>3692664</v>
      </c>
      <c r="D28">
        <v>21883</v>
      </c>
      <c r="E28">
        <v>21883</v>
      </c>
      <c r="F28" t="s">
        <v>441</v>
      </c>
      <c r="G28">
        <v>0</v>
      </c>
      <c r="I28" s="5">
        <v>44225.666666666664</v>
      </c>
      <c r="J28" s="5">
        <v>44153.333333333336</v>
      </c>
    </row>
    <row r="29" spans="1:10" x14ac:dyDescent="0.2">
      <c r="A29">
        <v>7117267</v>
      </c>
      <c r="B29">
        <v>3692882</v>
      </c>
      <c r="C29">
        <v>3692666</v>
      </c>
      <c r="D29">
        <v>21883</v>
      </c>
      <c r="E29">
        <v>21883</v>
      </c>
      <c r="F29" t="s">
        <v>441</v>
      </c>
      <c r="G29">
        <v>0</v>
      </c>
      <c r="I29" s="5">
        <v>44258.666666666664</v>
      </c>
      <c r="J29" s="5">
        <v>44273.666666666664</v>
      </c>
    </row>
    <row r="30" spans="1:10" x14ac:dyDescent="0.2">
      <c r="A30">
        <v>7117268</v>
      </c>
      <c r="B30">
        <v>3692787</v>
      </c>
      <c r="C30">
        <v>3692666</v>
      </c>
      <c r="D30">
        <v>21883</v>
      </c>
      <c r="E30">
        <v>21883</v>
      </c>
      <c r="F30" t="s">
        <v>441</v>
      </c>
      <c r="G30">
        <v>0</v>
      </c>
      <c r="I30" s="5">
        <v>44258.666666666664</v>
      </c>
      <c r="J30" s="5">
        <v>44159.666666666664</v>
      </c>
    </row>
    <row r="31" spans="1:10" x14ac:dyDescent="0.2">
      <c r="A31">
        <v>7117269</v>
      </c>
      <c r="B31">
        <v>3693744</v>
      </c>
      <c r="C31">
        <v>3693745</v>
      </c>
      <c r="D31">
        <v>21883</v>
      </c>
      <c r="E31">
        <v>21883</v>
      </c>
      <c r="F31" t="s">
        <v>441</v>
      </c>
      <c r="G31">
        <v>0</v>
      </c>
      <c r="I31" s="5">
        <v>44235.666666666664</v>
      </c>
      <c r="J31" s="5">
        <v>44155.333333333336</v>
      </c>
    </row>
    <row r="32" spans="1:10" x14ac:dyDescent="0.2">
      <c r="A32">
        <v>7117270</v>
      </c>
      <c r="B32">
        <v>3693745</v>
      </c>
      <c r="C32">
        <v>3693742</v>
      </c>
      <c r="D32">
        <v>21883</v>
      </c>
      <c r="E32">
        <v>21883</v>
      </c>
      <c r="F32" t="s">
        <v>441</v>
      </c>
      <c r="G32">
        <v>0</v>
      </c>
      <c r="I32" s="5">
        <v>44228.666666666664</v>
      </c>
      <c r="J32" s="5">
        <v>44151.333333333336</v>
      </c>
    </row>
    <row r="33" spans="1:10" x14ac:dyDescent="0.2">
      <c r="A33">
        <v>7117271</v>
      </c>
      <c r="B33">
        <v>3692882</v>
      </c>
      <c r="C33">
        <v>3693744</v>
      </c>
      <c r="D33">
        <v>21883</v>
      </c>
      <c r="E33">
        <v>21883</v>
      </c>
      <c r="F33" t="s">
        <v>441</v>
      </c>
      <c r="G33">
        <v>0</v>
      </c>
      <c r="I33" s="5">
        <v>44258.666666666664</v>
      </c>
      <c r="J33" s="5">
        <v>44273.666666666664</v>
      </c>
    </row>
    <row r="34" spans="1:10" x14ac:dyDescent="0.2">
      <c r="A34">
        <v>7117272</v>
      </c>
      <c r="B34">
        <v>3692787</v>
      </c>
      <c r="C34">
        <v>3693744</v>
      </c>
      <c r="D34">
        <v>21883</v>
      </c>
      <c r="E34">
        <v>21883</v>
      </c>
      <c r="F34" t="s">
        <v>440</v>
      </c>
      <c r="G34">
        <v>0</v>
      </c>
      <c r="I34" s="5">
        <v>44258.666666666664</v>
      </c>
      <c r="J34" s="5">
        <v>44159.666666666664</v>
      </c>
    </row>
    <row r="35" spans="1:10" x14ac:dyDescent="0.2">
      <c r="A35">
        <v>7117273</v>
      </c>
      <c r="B35">
        <v>3692788</v>
      </c>
      <c r="C35">
        <v>3692665</v>
      </c>
      <c r="D35">
        <v>21883</v>
      </c>
      <c r="E35">
        <v>21883</v>
      </c>
      <c r="F35" t="s">
        <v>441</v>
      </c>
      <c r="G35">
        <v>0</v>
      </c>
      <c r="I35" s="5">
        <v>44168.666666666664</v>
      </c>
      <c r="J35" s="5">
        <v>44113.666666666664</v>
      </c>
    </row>
    <row r="36" spans="1:10" x14ac:dyDescent="0.2">
      <c r="A36">
        <v>7117274</v>
      </c>
      <c r="B36">
        <v>3692788</v>
      </c>
      <c r="C36">
        <v>3693743</v>
      </c>
      <c r="D36">
        <v>21883</v>
      </c>
      <c r="E36">
        <v>21883</v>
      </c>
      <c r="F36" t="s">
        <v>441</v>
      </c>
      <c r="G36">
        <v>0</v>
      </c>
      <c r="I36" s="5">
        <v>44182.666666666664</v>
      </c>
      <c r="J36" s="5">
        <v>44113.666666666664</v>
      </c>
    </row>
    <row r="37" spans="1:10" x14ac:dyDescent="0.2">
      <c r="A37">
        <v>7117275</v>
      </c>
      <c r="B37">
        <v>3692664</v>
      </c>
      <c r="C37">
        <v>3692665</v>
      </c>
      <c r="D37">
        <v>21883</v>
      </c>
      <c r="E37">
        <v>21883</v>
      </c>
      <c r="F37" t="s">
        <v>441</v>
      </c>
      <c r="G37">
        <v>0</v>
      </c>
      <c r="I37" s="5">
        <v>44168.666666666664</v>
      </c>
      <c r="J37" s="5">
        <v>44116.333333333336</v>
      </c>
    </row>
    <row r="38" spans="1:10" x14ac:dyDescent="0.2">
      <c r="A38">
        <v>7117276</v>
      </c>
      <c r="B38">
        <v>3692665</v>
      </c>
      <c r="C38">
        <v>3692663</v>
      </c>
      <c r="D38">
        <v>21883</v>
      </c>
      <c r="E38">
        <v>21883</v>
      </c>
      <c r="F38" t="s">
        <v>441</v>
      </c>
      <c r="G38">
        <v>0</v>
      </c>
      <c r="I38" s="5">
        <v>44160.666666666664</v>
      </c>
      <c r="J38" s="5">
        <v>44109.333333333336</v>
      </c>
    </row>
    <row r="39" spans="1:10" x14ac:dyDescent="0.2">
      <c r="A39">
        <v>7117277</v>
      </c>
      <c r="B39">
        <v>3693744</v>
      </c>
      <c r="C39">
        <v>3693742</v>
      </c>
      <c r="D39">
        <v>21883</v>
      </c>
      <c r="E39">
        <v>21883</v>
      </c>
      <c r="F39" t="s">
        <v>441</v>
      </c>
      <c r="G39">
        <v>0</v>
      </c>
      <c r="I39" s="5">
        <v>44228.666666666664</v>
      </c>
      <c r="J39" s="5">
        <v>44155.333333333336</v>
      </c>
    </row>
    <row r="40" spans="1:10" x14ac:dyDescent="0.2">
      <c r="A40">
        <v>7117278</v>
      </c>
      <c r="B40">
        <v>3693742</v>
      </c>
      <c r="C40">
        <v>3693743</v>
      </c>
      <c r="D40">
        <v>21883</v>
      </c>
      <c r="E40">
        <v>21883</v>
      </c>
      <c r="F40" t="s">
        <v>441</v>
      </c>
      <c r="G40">
        <v>0</v>
      </c>
      <c r="I40" s="5">
        <v>44182.666666666664</v>
      </c>
      <c r="J40" s="5">
        <v>44118.333333333336</v>
      </c>
    </row>
    <row r="41" spans="1:10" x14ac:dyDescent="0.2">
      <c r="A41">
        <v>7117279</v>
      </c>
      <c r="B41">
        <v>3693743</v>
      </c>
      <c r="C41">
        <v>3693741</v>
      </c>
      <c r="D41">
        <v>21883</v>
      </c>
      <c r="E41">
        <v>21883</v>
      </c>
      <c r="F41" t="s">
        <v>441</v>
      </c>
      <c r="G41">
        <v>0</v>
      </c>
      <c r="I41" s="5">
        <v>44165.666666666664</v>
      </c>
      <c r="J41" s="5">
        <v>44104.333333333336</v>
      </c>
    </row>
    <row r="42" spans="1:10" x14ac:dyDescent="0.2">
      <c r="A42">
        <v>7117280</v>
      </c>
      <c r="B42">
        <v>3694029</v>
      </c>
      <c r="C42">
        <v>3694041</v>
      </c>
      <c r="D42">
        <v>21883</v>
      </c>
      <c r="E42">
        <v>21883</v>
      </c>
      <c r="F42" t="s">
        <v>441</v>
      </c>
      <c r="G42">
        <v>0</v>
      </c>
      <c r="I42" s="5">
        <v>44208.666666666664</v>
      </c>
      <c r="J42" s="5">
        <v>44132.333333333336</v>
      </c>
    </row>
    <row r="43" spans="1:10" x14ac:dyDescent="0.2">
      <c r="A43">
        <v>7117281</v>
      </c>
      <c r="B43">
        <v>3694031</v>
      </c>
      <c r="C43">
        <v>3694029</v>
      </c>
      <c r="D43">
        <v>21883</v>
      </c>
      <c r="E43">
        <v>21883</v>
      </c>
      <c r="F43" t="s">
        <v>441</v>
      </c>
      <c r="G43">
        <v>0</v>
      </c>
      <c r="I43" s="5">
        <v>44229.666666666664</v>
      </c>
      <c r="J43" s="5">
        <v>44148.333333333336</v>
      </c>
    </row>
    <row r="44" spans="1:10" x14ac:dyDescent="0.2">
      <c r="A44">
        <v>7117282</v>
      </c>
      <c r="B44">
        <v>3694029</v>
      </c>
      <c r="C44">
        <v>3694030</v>
      </c>
      <c r="D44">
        <v>21883</v>
      </c>
      <c r="E44">
        <v>21883</v>
      </c>
      <c r="F44" t="s">
        <v>441</v>
      </c>
      <c r="G44">
        <v>0</v>
      </c>
      <c r="I44" s="5">
        <v>44200.666666666664</v>
      </c>
      <c r="J44" s="5">
        <v>44132.333333333336</v>
      </c>
    </row>
    <row r="45" spans="1:10" x14ac:dyDescent="0.2">
      <c r="A45">
        <v>7117283</v>
      </c>
      <c r="B45">
        <v>3694030</v>
      </c>
      <c r="C45">
        <v>3694022</v>
      </c>
      <c r="D45">
        <v>21883</v>
      </c>
      <c r="E45">
        <v>21883</v>
      </c>
      <c r="F45" t="s">
        <v>441</v>
      </c>
      <c r="G45">
        <v>0</v>
      </c>
      <c r="I45" s="5">
        <v>44188.666666666664</v>
      </c>
      <c r="J45" s="5">
        <v>44130.333333333336</v>
      </c>
    </row>
    <row r="46" spans="1:10" x14ac:dyDescent="0.2">
      <c r="A46">
        <v>7117284</v>
      </c>
      <c r="B46">
        <v>3694043</v>
      </c>
      <c r="C46">
        <v>3694041</v>
      </c>
      <c r="D46">
        <v>21883</v>
      </c>
      <c r="E46">
        <v>21883</v>
      </c>
      <c r="F46" t="s">
        <v>441</v>
      </c>
      <c r="G46">
        <v>0</v>
      </c>
      <c r="I46" s="5">
        <v>44208.666666666664</v>
      </c>
      <c r="J46" s="5">
        <v>44148.333333333336</v>
      </c>
    </row>
    <row r="47" spans="1:10" x14ac:dyDescent="0.2">
      <c r="A47">
        <v>7117285</v>
      </c>
      <c r="B47">
        <v>3694041</v>
      </c>
      <c r="C47">
        <v>3694042</v>
      </c>
      <c r="D47">
        <v>21883</v>
      </c>
      <c r="E47">
        <v>21883</v>
      </c>
      <c r="F47" t="s">
        <v>441</v>
      </c>
      <c r="G47">
        <v>0</v>
      </c>
      <c r="I47" s="5">
        <v>44200.666666666664</v>
      </c>
      <c r="J47" s="5">
        <v>44124.333333333336</v>
      </c>
    </row>
    <row r="48" spans="1:10" x14ac:dyDescent="0.2">
      <c r="A48">
        <v>7117286</v>
      </c>
      <c r="B48">
        <v>3694042</v>
      </c>
      <c r="C48">
        <v>3694034</v>
      </c>
      <c r="D48">
        <v>21883</v>
      </c>
      <c r="E48">
        <v>21883</v>
      </c>
      <c r="F48" t="s">
        <v>441</v>
      </c>
      <c r="G48">
        <v>0</v>
      </c>
      <c r="I48" s="5">
        <v>44188.666666666664</v>
      </c>
      <c r="J48" s="5">
        <v>44120.333333333336</v>
      </c>
    </row>
    <row r="49" spans="1:10" x14ac:dyDescent="0.2">
      <c r="A49">
        <v>7117287</v>
      </c>
      <c r="B49">
        <v>3693866</v>
      </c>
      <c r="C49">
        <v>3692562</v>
      </c>
      <c r="D49">
        <v>21883</v>
      </c>
      <c r="E49">
        <v>21883</v>
      </c>
      <c r="F49" t="s">
        <v>441</v>
      </c>
      <c r="G49">
        <v>0</v>
      </c>
      <c r="I49" s="5">
        <v>44044</v>
      </c>
      <c r="J49" s="5">
        <v>43970.333333333336</v>
      </c>
    </row>
    <row r="50" spans="1:10" x14ac:dyDescent="0.2">
      <c r="A50">
        <v>7117288</v>
      </c>
      <c r="B50">
        <v>3692562</v>
      </c>
      <c r="C50">
        <v>3692566</v>
      </c>
      <c r="D50">
        <v>21883</v>
      </c>
      <c r="E50">
        <v>21883</v>
      </c>
      <c r="F50" t="s">
        <v>441</v>
      </c>
      <c r="G50">
        <v>0</v>
      </c>
      <c r="I50" s="5">
        <v>44044</v>
      </c>
      <c r="J50" s="5">
        <v>43970.333333333336</v>
      </c>
    </row>
    <row r="51" spans="1:10" x14ac:dyDescent="0.2">
      <c r="A51">
        <v>7117289</v>
      </c>
      <c r="B51">
        <v>3693830</v>
      </c>
      <c r="C51">
        <v>3692563</v>
      </c>
      <c r="D51">
        <v>21883</v>
      </c>
      <c r="E51">
        <v>21883</v>
      </c>
      <c r="F51" t="s">
        <v>441</v>
      </c>
      <c r="G51">
        <v>0</v>
      </c>
      <c r="I51" s="5">
        <v>44044</v>
      </c>
      <c r="J51" s="5">
        <v>44018.333333333336</v>
      </c>
    </row>
    <row r="52" spans="1:10" x14ac:dyDescent="0.2">
      <c r="A52">
        <v>7117290</v>
      </c>
      <c r="B52">
        <v>3692563</v>
      </c>
      <c r="C52">
        <v>3693822</v>
      </c>
      <c r="D52">
        <v>21883</v>
      </c>
      <c r="E52">
        <v>21883</v>
      </c>
      <c r="F52" t="s">
        <v>441</v>
      </c>
      <c r="G52">
        <v>0</v>
      </c>
      <c r="I52" s="5">
        <v>44044</v>
      </c>
      <c r="J52" s="5">
        <v>44018.333333333336</v>
      </c>
    </row>
    <row r="53" spans="1:10" x14ac:dyDescent="0.2">
      <c r="A53">
        <v>7117291</v>
      </c>
      <c r="B53">
        <v>3694082</v>
      </c>
      <c r="C53">
        <v>3693334</v>
      </c>
      <c r="D53">
        <v>21883</v>
      </c>
      <c r="E53">
        <v>21883</v>
      </c>
      <c r="F53" t="s">
        <v>441</v>
      </c>
      <c r="G53">
        <v>0</v>
      </c>
      <c r="I53" s="5">
        <v>44124.666666666664</v>
      </c>
      <c r="J53" s="5">
        <v>44069.333333333336</v>
      </c>
    </row>
    <row r="54" spans="1:10" x14ac:dyDescent="0.2">
      <c r="A54">
        <v>7117292</v>
      </c>
      <c r="B54">
        <v>3692571</v>
      </c>
      <c r="C54">
        <v>3692564</v>
      </c>
      <c r="D54">
        <v>21883</v>
      </c>
      <c r="E54">
        <v>21883</v>
      </c>
      <c r="F54" t="s">
        <v>441</v>
      </c>
      <c r="G54">
        <v>0</v>
      </c>
      <c r="I54" s="5">
        <v>44044</v>
      </c>
      <c r="J54" s="5">
        <v>44138.333333333336</v>
      </c>
    </row>
    <row r="55" spans="1:10" x14ac:dyDescent="0.2">
      <c r="A55">
        <v>7117293</v>
      </c>
      <c r="B55">
        <v>3692564</v>
      </c>
      <c r="C55">
        <v>3692829</v>
      </c>
      <c r="D55">
        <v>21883</v>
      </c>
      <c r="E55">
        <v>21883</v>
      </c>
      <c r="F55" t="s">
        <v>441</v>
      </c>
      <c r="G55">
        <v>0</v>
      </c>
      <c r="I55" s="5">
        <v>44044</v>
      </c>
      <c r="J55" s="5">
        <v>44138.333333333336</v>
      </c>
    </row>
    <row r="56" spans="1:10" x14ac:dyDescent="0.2">
      <c r="A56">
        <v>7117294</v>
      </c>
      <c r="B56">
        <v>3693342</v>
      </c>
      <c r="C56">
        <v>3692620</v>
      </c>
      <c r="D56">
        <v>21883</v>
      </c>
      <c r="E56">
        <v>21883</v>
      </c>
      <c r="F56" t="s">
        <v>441</v>
      </c>
      <c r="G56">
        <v>0</v>
      </c>
      <c r="I56" s="5">
        <v>44109.666666666664</v>
      </c>
      <c r="J56" s="5">
        <v>44082.333333333336</v>
      </c>
    </row>
    <row r="57" spans="1:10" x14ac:dyDescent="0.2">
      <c r="A57">
        <v>7117295</v>
      </c>
      <c r="B57">
        <v>3692631</v>
      </c>
      <c r="C57">
        <v>3692899</v>
      </c>
      <c r="D57">
        <v>21883</v>
      </c>
      <c r="E57">
        <v>21883</v>
      </c>
      <c r="F57" t="s">
        <v>441</v>
      </c>
      <c r="G57">
        <v>0</v>
      </c>
      <c r="I57" s="5">
        <v>44044</v>
      </c>
      <c r="J57" s="5">
        <v>44018.333333333336</v>
      </c>
    </row>
    <row r="58" spans="1:10" x14ac:dyDescent="0.2">
      <c r="A58">
        <v>7117296</v>
      </c>
      <c r="B58">
        <v>3693924</v>
      </c>
      <c r="C58">
        <v>3694018</v>
      </c>
      <c r="D58">
        <v>21883</v>
      </c>
      <c r="E58">
        <v>21883</v>
      </c>
      <c r="F58" t="s">
        <v>441</v>
      </c>
      <c r="G58">
        <v>0</v>
      </c>
      <c r="I58" s="5">
        <v>44138.666666666664</v>
      </c>
      <c r="J58" s="5">
        <v>44070.333333333336</v>
      </c>
    </row>
    <row r="59" spans="1:10" x14ac:dyDescent="0.2">
      <c r="A59">
        <v>7117297</v>
      </c>
      <c r="B59">
        <v>3693984</v>
      </c>
      <c r="C59">
        <v>3693969</v>
      </c>
      <c r="D59">
        <v>21883</v>
      </c>
      <c r="E59">
        <v>21883</v>
      </c>
      <c r="F59" t="s">
        <v>441</v>
      </c>
      <c r="G59">
        <v>0</v>
      </c>
      <c r="I59" s="5">
        <v>44133.666666666664</v>
      </c>
      <c r="J59" s="5">
        <v>44063.333333333336</v>
      </c>
    </row>
    <row r="60" spans="1:10" x14ac:dyDescent="0.2">
      <c r="A60">
        <v>7117298</v>
      </c>
      <c r="B60">
        <v>3693969</v>
      </c>
      <c r="C60">
        <v>3693954</v>
      </c>
      <c r="D60">
        <v>21883</v>
      </c>
      <c r="E60">
        <v>21883</v>
      </c>
      <c r="F60" t="s">
        <v>441</v>
      </c>
      <c r="G60">
        <v>0</v>
      </c>
      <c r="I60" s="5">
        <v>44131.666666666664</v>
      </c>
      <c r="J60" s="5">
        <v>44060.333333333336</v>
      </c>
    </row>
    <row r="61" spans="1:10" x14ac:dyDescent="0.2">
      <c r="A61">
        <v>7117299</v>
      </c>
      <c r="B61">
        <v>3693954</v>
      </c>
      <c r="C61">
        <v>3693939</v>
      </c>
      <c r="D61">
        <v>21883</v>
      </c>
      <c r="E61">
        <v>21883</v>
      </c>
      <c r="F61" t="s">
        <v>441</v>
      </c>
      <c r="G61">
        <v>0</v>
      </c>
      <c r="I61" s="5">
        <v>44127.666666666664</v>
      </c>
      <c r="J61" s="5">
        <v>44055.333333333336</v>
      </c>
    </row>
    <row r="62" spans="1:10" x14ac:dyDescent="0.2">
      <c r="A62">
        <v>7117300</v>
      </c>
      <c r="B62">
        <v>3693939</v>
      </c>
      <c r="C62">
        <v>3693909</v>
      </c>
      <c r="D62">
        <v>21883</v>
      </c>
      <c r="E62">
        <v>21883</v>
      </c>
      <c r="F62" t="s">
        <v>441</v>
      </c>
      <c r="G62">
        <v>0</v>
      </c>
      <c r="I62" s="5">
        <v>44103.666666666664</v>
      </c>
      <c r="J62" s="5">
        <v>44053.333333333336</v>
      </c>
    </row>
    <row r="63" spans="1:10" x14ac:dyDescent="0.2">
      <c r="A63">
        <v>7117301</v>
      </c>
      <c r="B63">
        <v>3693939</v>
      </c>
      <c r="C63">
        <v>3693928</v>
      </c>
      <c r="D63">
        <v>21883</v>
      </c>
      <c r="E63">
        <v>21883</v>
      </c>
      <c r="F63" t="s">
        <v>441</v>
      </c>
      <c r="G63">
        <v>0</v>
      </c>
      <c r="I63" s="5">
        <v>44102.666666666664</v>
      </c>
      <c r="J63" s="5">
        <v>44053.333333333336</v>
      </c>
    </row>
    <row r="64" spans="1:10" x14ac:dyDescent="0.2">
      <c r="A64">
        <v>7117302</v>
      </c>
      <c r="B64">
        <v>3693909</v>
      </c>
      <c r="C64">
        <v>3694013</v>
      </c>
      <c r="D64">
        <v>21883</v>
      </c>
      <c r="E64">
        <v>21883</v>
      </c>
      <c r="F64" t="s">
        <v>441</v>
      </c>
      <c r="G64">
        <v>0</v>
      </c>
      <c r="I64" s="5">
        <v>44092.666666666664</v>
      </c>
      <c r="J64" s="5">
        <v>44050.333333333336</v>
      </c>
    </row>
    <row r="65" spans="1:10" x14ac:dyDescent="0.2">
      <c r="A65">
        <v>7117303</v>
      </c>
      <c r="B65">
        <v>3694013</v>
      </c>
      <c r="C65">
        <v>3693894</v>
      </c>
      <c r="D65">
        <v>21883</v>
      </c>
      <c r="E65">
        <v>21883</v>
      </c>
      <c r="F65" t="s">
        <v>441</v>
      </c>
      <c r="G65">
        <v>0</v>
      </c>
      <c r="I65" s="5">
        <v>44085.666666666664</v>
      </c>
      <c r="J65" s="5">
        <v>44049.333333333336</v>
      </c>
    </row>
    <row r="66" spans="1:10" x14ac:dyDescent="0.2">
      <c r="A66">
        <v>7117304</v>
      </c>
      <c r="B66">
        <v>3693894</v>
      </c>
      <c r="C66">
        <v>3693879</v>
      </c>
      <c r="D66">
        <v>21883</v>
      </c>
      <c r="E66">
        <v>21883</v>
      </c>
      <c r="F66" t="s">
        <v>441</v>
      </c>
      <c r="G66">
        <v>0</v>
      </c>
      <c r="I66" s="5">
        <v>44084.666666666664</v>
      </c>
      <c r="J66" s="5">
        <v>44048.333333333336</v>
      </c>
    </row>
    <row r="67" spans="1:10" x14ac:dyDescent="0.2">
      <c r="A67">
        <v>7117305</v>
      </c>
      <c r="B67">
        <v>3693954</v>
      </c>
      <c r="C67">
        <v>3693943</v>
      </c>
      <c r="D67">
        <v>21883</v>
      </c>
      <c r="E67">
        <v>21883</v>
      </c>
      <c r="F67" t="s">
        <v>441</v>
      </c>
      <c r="G67">
        <v>0</v>
      </c>
      <c r="I67" s="5">
        <v>44098.666666666664</v>
      </c>
      <c r="J67" s="5">
        <v>44055.333333333336</v>
      </c>
    </row>
    <row r="68" spans="1:10" x14ac:dyDescent="0.2">
      <c r="A68">
        <v>7117306</v>
      </c>
      <c r="B68">
        <v>3694011</v>
      </c>
      <c r="C68">
        <v>3693884</v>
      </c>
      <c r="D68">
        <v>21883</v>
      </c>
      <c r="E68">
        <v>21883</v>
      </c>
      <c r="F68" t="s">
        <v>441</v>
      </c>
      <c r="G68">
        <v>0</v>
      </c>
      <c r="I68" s="5">
        <v>44055.666666666664</v>
      </c>
      <c r="J68" s="5">
        <v>44047.333333333336</v>
      </c>
    </row>
    <row r="69" spans="1:10" x14ac:dyDescent="0.2">
      <c r="A69">
        <v>7117307</v>
      </c>
      <c r="B69">
        <v>3694016</v>
      </c>
      <c r="C69">
        <v>3693994</v>
      </c>
      <c r="D69">
        <v>21883</v>
      </c>
      <c r="E69">
        <v>21883</v>
      </c>
      <c r="F69" t="s">
        <v>441</v>
      </c>
      <c r="G69">
        <v>0</v>
      </c>
      <c r="I69" s="5">
        <v>44124.666666666664</v>
      </c>
      <c r="J69" s="5">
        <v>44063.333333333336</v>
      </c>
    </row>
    <row r="70" spans="1:10" x14ac:dyDescent="0.2">
      <c r="A70">
        <v>7117308</v>
      </c>
      <c r="B70">
        <v>3693935</v>
      </c>
      <c r="C70">
        <v>3693980</v>
      </c>
      <c r="D70">
        <v>21883</v>
      </c>
      <c r="E70">
        <v>21883</v>
      </c>
      <c r="F70" t="s">
        <v>441</v>
      </c>
      <c r="G70">
        <v>0</v>
      </c>
      <c r="I70" s="5">
        <v>44089.666666666664</v>
      </c>
      <c r="J70" s="5">
        <v>44019.333333333336</v>
      </c>
    </row>
    <row r="71" spans="1:10" x14ac:dyDescent="0.2">
      <c r="A71">
        <v>7117309</v>
      </c>
      <c r="B71">
        <v>3693863</v>
      </c>
      <c r="C71">
        <v>3692567</v>
      </c>
      <c r="D71">
        <v>21883</v>
      </c>
      <c r="E71">
        <v>21883</v>
      </c>
      <c r="F71" t="s">
        <v>441</v>
      </c>
      <c r="G71">
        <v>0</v>
      </c>
      <c r="I71" s="5">
        <v>44044</v>
      </c>
      <c r="J71" s="5">
        <v>43970.333333333336</v>
      </c>
    </row>
    <row r="72" spans="1:10" x14ac:dyDescent="0.2">
      <c r="A72">
        <v>7117310</v>
      </c>
      <c r="B72">
        <v>3692567</v>
      </c>
      <c r="C72">
        <v>3693861</v>
      </c>
      <c r="D72">
        <v>21883</v>
      </c>
      <c r="E72">
        <v>21883</v>
      </c>
      <c r="F72" t="s">
        <v>440</v>
      </c>
      <c r="G72">
        <v>0</v>
      </c>
      <c r="J72" s="5">
        <v>43970.333333333336</v>
      </c>
    </row>
    <row r="73" spans="1:10" x14ac:dyDescent="0.2">
      <c r="A73">
        <v>7117311</v>
      </c>
      <c r="B73">
        <v>3693861</v>
      </c>
      <c r="C73">
        <v>3692568</v>
      </c>
      <c r="D73">
        <v>21883</v>
      </c>
      <c r="E73">
        <v>21883</v>
      </c>
      <c r="F73" t="s">
        <v>442</v>
      </c>
      <c r="G73">
        <v>0</v>
      </c>
      <c r="I73" s="5">
        <v>44044</v>
      </c>
    </row>
    <row r="74" spans="1:10" x14ac:dyDescent="0.2">
      <c r="A74">
        <v>7117312</v>
      </c>
      <c r="B74">
        <v>3692568</v>
      </c>
      <c r="C74">
        <v>3693870</v>
      </c>
      <c r="D74">
        <v>21883</v>
      </c>
      <c r="E74">
        <v>21883</v>
      </c>
      <c r="F74" t="s">
        <v>441</v>
      </c>
      <c r="G74">
        <v>0</v>
      </c>
      <c r="I74" s="5">
        <v>44044</v>
      </c>
      <c r="J74" s="5">
        <v>43970.333333333336</v>
      </c>
    </row>
    <row r="75" spans="1:10" x14ac:dyDescent="0.2">
      <c r="A75">
        <v>7117313</v>
      </c>
      <c r="B75">
        <v>3693870</v>
      </c>
      <c r="C75">
        <v>3692597</v>
      </c>
      <c r="D75">
        <v>21883</v>
      </c>
      <c r="E75">
        <v>21883</v>
      </c>
      <c r="F75" t="s">
        <v>441</v>
      </c>
      <c r="G75">
        <v>0</v>
      </c>
      <c r="I75" s="5">
        <v>44044</v>
      </c>
      <c r="J75" s="5">
        <v>43970.333333333336</v>
      </c>
    </row>
    <row r="76" spans="1:10" x14ac:dyDescent="0.2">
      <c r="A76">
        <v>7117314</v>
      </c>
      <c r="B76">
        <v>3693954</v>
      </c>
      <c r="C76">
        <v>3693977</v>
      </c>
      <c r="D76">
        <v>21883</v>
      </c>
      <c r="E76">
        <v>21883</v>
      </c>
      <c r="F76" t="s">
        <v>441</v>
      </c>
      <c r="G76">
        <v>0</v>
      </c>
      <c r="I76" s="5">
        <v>44090.666666666664</v>
      </c>
      <c r="J76" s="5">
        <v>44055.333333333336</v>
      </c>
    </row>
    <row r="77" spans="1:10" x14ac:dyDescent="0.2">
      <c r="A77">
        <v>7117315</v>
      </c>
      <c r="B77">
        <v>3693939</v>
      </c>
      <c r="C77">
        <v>3693960</v>
      </c>
      <c r="D77">
        <v>21883</v>
      </c>
      <c r="E77">
        <v>21883</v>
      </c>
      <c r="F77" t="s">
        <v>441</v>
      </c>
      <c r="G77">
        <v>0</v>
      </c>
      <c r="I77" s="5">
        <v>44082.666666666664</v>
      </c>
      <c r="J77" s="5">
        <v>44053.333333333336</v>
      </c>
    </row>
    <row r="78" spans="1:10" x14ac:dyDescent="0.2">
      <c r="A78">
        <v>7117316</v>
      </c>
      <c r="B78">
        <v>3693894</v>
      </c>
      <c r="C78">
        <v>3693913</v>
      </c>
      <c r="D78">
        <v>21883</v>
      </c>
      <c r="E78">
        <v>21883</v>
      </c>
      <c r="F78" t="s">
        <v>441</v>
      </c>
      <c r="G78">
        <v>0</v>
      </c>
      <c r="I78" s="5">
        <v>44061.666666666664</v>
      </c>
      <c r="J78" s="5">
        <v>44048.333333333336</v>
      </c>
    </row>
    <row r="79" spans="1:10" x14ac:dyDescent="0.2">
      <c r="A79">
        <v>7117317</v>
      </c>
      <c r="B79">
        <v>3693747</v>
      </c>
      <c r="C79">
        <v>3694019</v>
      </c>
      <c r="D79">
        <v>21883</v>
      </c>
      <c r="E79">
        <v>21883</v>
      </c>
      <c r="F79" t="s">
        <v>441</v>
      </c>
      <c r="G79">
        <v>0</v>
      </c>
      <c r="I79" s="5">
        <v>44140.666666666664</v>
      </c>
      <c r="J79" s="5">
        <v>44078.333333333336</v>
      </c>
    </row>
    <row r="80" spans="1:10" x14ac:dyDescent="0.2">
      <c r="A80">
        <v>7117318</v>
      </c>
      <c r="B80">
        <v>3693747</v>
      </c>
      <c r="C80">
        <v>3694014</v>
      </c>
      <c r="D80">
        <v>21883</v>
      </c>
      <c r="E80">
        <v>21883</v>
      </c>
      <c r="F80" t="s">
        <v>441</v>
      </c>
      <c r="G80">
        <v>0</v>
      </c>
      <c r="I80" s="5">
        <v>44094.666666666664</v>
      </c>
      <c r="J80" s="5">
        <v>44078.333333333336</v>
      </c>
    </row>
    <row r="81" spans="1:10" x14ac:dyDescent="0.2">
      <c r="A81">
        <v>7117319</v>
      </c>
      <c r="B81">
        <v>3693747</v>
      </c>
      <c r="C81">
        <v>3693970</v>
      </c>
      <c r="D81">
        <v>21883</v>
      </c>
      <c r="E81">
        <v>21883</v>
      </c>
      <c r="F81" t="s">
        <v>441</v>
      </c>
      <c r="G81">
        <v>0</v>
      </c>
      <c r="I81" s="5">
        <v>44140.666666666664</v>
      </c>
      <c r="J81" s="5">
        <v>44078.333333333336</v>
      </c>
    </row>
    <row r="82" spans="1:10" x14ac:dyDescent="0.2">
      <c r="A82">
        <v>7117320</v>
      </c>
      <c r="B82">
        <v>3693747</v>
      </c>
      <c r="C82">
        <v>3693955</v>
      </c>
      <c r="D82">
        <v>21883</v>
      </c>
      <c r="E82">
        <v>21883</v>
      </c>
      <c r="F82" t="s">
        <v>441</v>
      </c>
      <c r="G82">
        <v>0</v>
      </c>
      <c r="I82" s="5">
        <v>44138.666666666664</v>
      </c>
      <c r="J82" s="5">
        <v>44078.333333333336</v>
      </c>
    </row>
    <row r="83" spans="1:10" x14ac:dyDescent="0.2">
      <c r="A83">
        <v>7117321</v>
      </c>
      <c r="B83">
        <v>3693747</v>
      </c>
      <c r="C83">
        <v>3693940</v>
      </c>
      <c r="D83">
        <v>21883</v>
      </c>
      <c r="E83">
        <v>21883</v>
      </c>
      <c r="F83" t="s">
        <v>441</v>
      </c>
      <c r="G83">
        <v>0</v>
      </c>
      <c r="I83" s="5">
        <v>44134.666666666664</v>
      </c>
      <c r="J83" s="5">
        <v>44078.333333333336</v>
      </c>
    </row>
    <row r="84" spans="1:10" x14ac:dyDescent="0.2">
      <c r="A84">
        <v>7117322</v>
      </c>
      <c r="B84">
        <v>3693747</v>
      </c>
      <c r="C84">
        <v>3693925</v>
      </c>
      <c r="D84">
        <v>21883</v>
      </c>
      <c r="E84">
        <v>21883</v>
      </c>
      <c r="F84" t="s">
        <v>441</v>
      </c>
      <c r="G84">
        <v>0</v>
      </c>
      <c r="I84" s="5">
        <v>44146.666666666664</v>
      </c>
      <c r="J84" s="5">
        <v>44078.333333333336</v>
      </c>
    </row>
    <row r="85" spans="1:10" x14ac:dyDescent="0.2">
      <c r="A85">
        <v>7117323</v>
      </c>
      <c r="B85">
        <v>3693747</v>
      </c>
      <c r="C85">
        <v>3693910</v>
      </c>
      <c r="D85">
        <v>21883</v>
      </c>
      <c r="E85">
        <v>21883</v>
      </c>
      <c r="F85" t="s">
        <v>441</v>
      </c>
      <c r="G85">
        <v>0</v>
      </c>
      <c r="I85" s="5">
        <v>44110.666666666664</v>
      </c>
      <c r="J85" s="5">
        <v>44078.333333333336</v>
      </c>
    </row>
    <row r="86" spans="1:10" x14ac:dyDescent="0.2">
      <c r="A86">
        <v>7117324</v>
      </c>
      <c r="B86">
        <v>3693747</v>
      </c>
      <c r="C86">
        <v>3693895</v>
      </c>
      <c r="D86">
        <v>21883</v>
      </c>
      <c r="E86">
        <v>21883</v>
      </c>
      <c r="F86" t="s">
        <v>441</v>
      </c>
      <c r="G86">
        <v>0</v>
      </c>
      <c r="I86" s="5">
        <v>44092.666666666664</v>
      </c>
      <c r="J86" s="5">
        <v>44078.333333333336</v>
      </c>
    </row>
    <row r="87" spans="1:10" x14ac:dyDescent="0.2">
      <c r="A87">
        <v>7117325</v>
      </c>
      <c r="B87">
        <v>3693747</v>
      </c>
      <c r="C87">
        <v>3693880</v>
      </c>
      <c r="D87">
        <v>21883</v>
      </c>
      <c r="E87">
        <v>21883</v>
      </c>
      <c r="F87" t="s">
        <v>441</v>
      </c>
      <c r="G87">
        <v>0</v>
      </c>
      <c r="I87" s="5">
        <v>44091.666666666664</v>
      </c>
      <c r="J87" s="5">
        <v>44078.333333333336</v>
      </c>
    </row>
    <row r="88" spans="1:10" x14ac:dyDescent="0.2">
      <c r="A88">
        <v>7117326</v>
      </c>
      <c r="B88">
        <v>3693969</v>
      </c>
      <c r="C88">
        <v>3693990</v>
      </c>
      <c r="D88">
        <v>21883</v>
      </c>
      <c r="E88">
        <v>21883</v>
      </c>
      <c r="F88" t="s">
        <v>441</v>
      </c>
      <c r="G88">
        <v>0</v>
      </c>
      <c r="I88" s="5">
        <v>44092.666666666664</v>
      </c>
      <c r="J88" s="5">
        <v>44060.333333333336</v>
      </c>
    </row>
    <row r="89" spans="1:10" x14ac:dyDescent="0.2">
      <c r="A89">
        <v>7117327</v>
      </c>
      <c r="B89">
        <v>3693879</v>
      </c>
      <c r="C89">
        <v>3693898</v>
      </c>
      <c r="D89">
        <v>21883</v>
      </c>
      <c r="E89">
        <v>21883</v>
      </c>
      <c r="F89" t="s">
        <v>441</v>
      </c>
      <c r="G89">
        <v>0</v>
      </c>
      <c r="I89" s="5">
        <v>44049.666666666664</v>
      </c>
      <c r="J89" s="5">
        <v>44041.333333333336</v>
      </c>
    </row>
    <row r="90" spans="1:10" x14ac:dyDescent="0.2">
      <c r="A90">
        <v>7117328</v>
      </c>
      <c r="B90">
        <v>3694018</v>
      </c>
      <c r="C90">
        <v>3693984</v>
      </c>
      <c r="D90">
        <v>21883</v>
      </c>
      <c r="E90">
        <v>21883</v>
      </c>
      <c r="F90" t="s">
        <v>441</v>
      </c>
      <c r="G90">
        <v>0</v>
      </c>
      <c r="I90" s="5">
        <v>44137.666666666664</v>
      </c>
      <c r="J90" s="5">
        <v>44069.333333333336</v>
      </c>
    </row>
    <row r="91" spans="1:10" x14ac:dyDescent="0.2">
      <c r="A91">
        <v>7117329</v>
      </c>
      <c r="B91">
        <v>3694013</v>
      </c>
      <c r="C91">
        <v>3693880</v>
      </c>
      <c r="D91">
        <v>21883</v>
      </c>
      <c r="E91">
        <v>21883</v>
      </c>
      <c r="F91" t="s">
        <v>441</v>
      </c>
      <c r="G91">
        <v>0</v>
      </c>
      <c r="I91" s="5">
        <v>44091.666666666664</v>
      </c>
      <c r="J91" s="5">
        <v>44049.333333333336</v>
      </c>
    </row>
    <row r="92" spans="1:10" x14ac:dyDescent="0.2">
      <c r="A92">
        <v>7117330</v>
      </c>
      <c r="B92">
        <v>3693920</v>
      </c>
      <c r="C92">
        <v>3693935</v>
      </c>
      <c r="D92">
        <v>21883</v>
      </c>
      <c r="E92">
        <v>21883</v>
      </c>
      <c r="F92" t="s">
        <v>441</v>
      </c>
      <c r="G92">
        <v>0</v>
      </c>
      <c r="I92" s="5">
        <v>44091.666666666664</v>
      </c>
      <c r="J92" s="5">
        <v>44027.333333333336</v>
      </c>
    </row>
    <row r="93" spans="1:10" x14ac:dyDescent="0.2">
      <c r="A93">
        <v>7117331</v>
      </c>
      <c r="B93">
        <v>3693950</v>
      </c>
      <c r="C93">
        <v>3693905</v>
      </c>
      <c r="D93">
        <v>21883</v>
      </c>
      <c r="E93">
        <v>21883</v>
      </c>
      <c r="F93" t="s">
        <v>441</v>
      </c>
      <c r="G93">
        <v>0</v>
      </c>
      <c r="I93" s="5">
        <v>44054.666666666664</v>
      </c>
      <c r="J93" s="5">
        <v>44008.333333333336</v>
      </c>
    </row>
    <row r="94" spans="1:10" x14ac:dyDescent="0.2">
      <c r="A94">
        <v>7117332</v>
      </c>
      <c r="B94">
        <v>3692565</v>
      </c>
      <c r="C94">
        <v>3692600</v>
      </c>
      <c r="D94">
        <v>21883</v>
      </c>
      <c r="E94">
        <v>21883</v>
      </c>
      <c r="F94" t="s">
        <v>441</v>
      </c>
      <c r="G94">
        <v>0</v>
      </c>
      <c r="I94" s="5">
        <v>44044</v>
      </c>
      <c r="J94" s="5">
        <v>43970.333333333336</v>
      </c>
    </row>
    <row r="95" spans="1:10" x14ac:dyDescent="0.2">
      <c r="A95">
        <v>7117333</v>
      </c>
      <c r="B95">
        <v>3693847</v>
      </c>
      <c r="C95">
        <v>3692565</v>
      </c>
      <c r="D95">
        <v>21883</v>
      </c>
      <c r="E95">
        <v>21883</v>
      </c>
      <c r="F95" t="s">
        <v>441</v>
      </c>
      <c r="G95">
        <v>0</v>
      </c>
      <c r="I95" s="5">
        <v>44044</v>
      </c>
      <c r="J95" s="5">
        <v>43970.333333333336</v>
      </c>
    </row>
    <row r="96" spans="1:10" x14ac:dyDescent="0.2">
      <c r="A96">
        <v>7117334</v>
      </c>
      <c r="B96">
        <v>3693866</v>
      </c>
      <c r="C96">
        <v>3692567</v>
      </c>
      <c r="D96">
        <v>21883</v>
      </c>
      <c r="E96">
        <v>21883</v>
      </c>
      <c r="F96" t="s">
        <v>441</v>
      </c>
      <c r="G96">
        <v>0</v>
      </c>
      <c r="I96" s="5">
        <v>44044</v>
      </c>
      <c r="J96" s="5">
        <v>43970.333333333336</v>
      </c>
    </row>
    <row r="97" spans="1:10" x14ac:dyDescent="0.2">
      <c r="A97">
        <v>7117335</v>
      </c>
      <c r="B97">
        <v>3692567</v>
      </c>
      <c r="C97">
        <v>3693847</v>
      </c>
      <c r="D97">
        <v>21883</v>
      </c>
      <c r="E97">
        <v>21883</v>
      </c>
      <c r="F97" t="s">
        <v>441</v>
      </c>
      <c r="G97">
        <v>0</v>
      </c>
      <c r="I97" s="5">
        <v>44044</v>
      </c>
      <c r="J97" s="5">
        <v>43970.333333333336</v>
      </c>
    </row>
    <row r="98" spans="1:10" x14ac:dyDescent="0.2">
      <c r="A98">
        <v>7117336</v>
      </c>
      <c r="B98">
        <v>3693847</v>
      </c>
      <c r="C98">
        <v>3692566</v>
      </c>
      <c r="D98">
        <v>21883</v>
      </c>
      <c r="E98">
        <v>21883</v>
      </c>
      <c r="F98" t="s">
        <v>441</v>
      </c>
      <c r="G98">
        <v>0</v>
      </c>
      <c r="I98" s="5">
        <v>44044</v>
      </c>
      <c r="J98" s="5">
        <v>43970.333333333336</v>
      </c>
    </row>
    <row r="99" spans="1:10" x14ac:dyDescent="0.2">
      <c r="A99">
        <v>7117337</v>
      </c>
      <c r="B99">
        <v>3692566</v>
      </c>
      <c r="C99">
        <v>3692568</v>
      </c>
      <c r="D99">
        <v>21883</v>
      </c>
      <c r="E99">
        <v>21883</v>
      </c>
      <c r="F99" t="s">
        <v>441</v>
      </c>
      <c r="G99">
        <v>0</v>
      </c>
      <c r="I99" s="5">
        <v>44044</v>
      </c>
      <c r="J99" s="5">
        <v>43970.333333333336</v>
      </c>
    </row>
    <row r="100" spans="1:10" x14ac:dyDescent="0.2">
      <c r="A100">
        <v>7117338</v>
      </c>
      <c r="B100">
        <v>3693871</v>
      </c>
      <c r="C100">
        <v>3692568</v>
      </c>
      <c r="D100">
        <v>21883</v>
      </c>
      <c r="E100">
        <v>21883</v>
      </c>
      <c r="F100" t="s">
        <v>441</v>
      </c>
      <c r="G100">
        <v>0</v>
      </c>
      <c r="I100" s="5">
        <v>44044</v>
      </c>
      <c r="J100" s="5">
        <v>43970.333333333336</v>
      </c>
    </row>
    <row r="101" spans="1:10" x14ac:dyDescent="0.2">
      <c r="A101">
        <v>7117339</v>
      </c>
      <c r="B101">
        <v>3693830</v>
      </c>
      <c r="C101">
        <v>3693799</v>
      </c>
      <c r="D101">
        <v>21883</v>
      </c>
      <c r="E101">
        <v>21883</v>
      </c>
      <c r="F101" t="s">
        <v>441</v>
      </c>
      <c r="G101">
        <v>0</v>
      </c>
      <c r="I101" s="5">
        <v>44044</v>
      </c>
      <c r="J101" s="5">
        <v>44018.333333333336</v>
      </c>
    </row>
    <row r="102" spans="1:10" x14ac:dyDescent="0.2">
      <c r="A102">
        <v>7117340</v>
      </c>
      <c r="B102">
        <v>3693819</v>
      </c>
      <c r="C102">
        <v>3693810</v>
      </c>
      <c r="D102">
        <v>21883</v>
      </c>
      <c r="E102">
        <v>21883</v>
      </c>
      <c r="F102" t="s">
        <v>441</v>
      </c>
      <c r="G102">
        <v>0</v>
      </c>
      <c r="I102" s="5">
        <v>44044</v>
      </c>
      <c r="J102" s="5">
        <v>44005.333333333336</v>
      </c>
    </row>
    <row r="103" spans="1:10" x14ac:dyDescent="0.2">
      <c r="A103">
        <v>7117341</v>
      </c>
      <c r="B103">
        <v>3692828</v>
      </c>
      <c r="C103">
        <v>3692822</v>
      </c>
      <c r="D103">
        <v>21883</v>
      </c>
      <c r="E103">
        <v>21883</v>
      </c>
      <c r="F103" t="s">
        <v>441</v>
      </c>
      <c r="G103">
        <v>0</v>
      </c>
      <c r="I103" s="5">
        <v>44292.666666666664</v>
      </c>
      <c r="J103" s="5">
        <v>44273.666666666664</v>
      </c>
    </row>
    <row r="104" spans="1:10" x14ac:dyDescent="0.2">
      <c r="A104">
        <v>7117342</v>
      </c>
      <c r="B104">
        <v>3692570</v>
      </c>
      <c r="C104">
        <v>3692631</v>
      </c>
      <c r="D104">
        <v>21883</v>
      </c>
      <c r="E104">
        <v>21883</v>
      </c>
      <c r="F104" t="s">
        <v>441</v>
      </c>
      <c r="G104">
        <v>0</v>
      </c>
      <c r="I104" s="5">
        <v>44044</v>
      </c>
      <c r="J104" s="5">
        <v>44018.333333333336</v>
      </c>
    </row>
    <row r="105" spans="1:10" x14ac:dyDescent="0.2">
      <c r="A105">
        <v>7117343</v>
      </c>
      <c r="B105">
        <v>3692569</v>
      </c>
      <c r="C105">
        <v>3692571</v>
      </c>
      <c r="D105">
        <v>21883</v>
      </c>
      <c r="E105">
        <v>21883</v>
      </c>
      <c r="F105" t="s">
        <v>441</v>
      </c>
      <c r="G105">
        <v>0</v>
      </c>
      <c r="I105" s="5">
        <v>44044</v>
      </c>
      <c r="J105" s="5">
        <v>44138.333333333336</v>
      </c>
    </row>
    <row r="106" spans="1:10" x14ac:dyDescent="0.2">
      <c r="A106">
        <v>7117344</v>
      </c>
      <c r="B106">
        <v>3692630</v>
      </c>
      <c r="C106">
        <v>3692572</v>
      </c>
      <c r="D106">
        <v>21883</v>
      </c>
      <c r="E106">
        <v>21883</v>
      </c>
      <c r="F106" t="s">
        <v>441</v>
      </c>
      <c r="G106">
        <v>0</v>
      </c>
      <c r="I106" s="5">
        <v>44053.666666666664</v>
      </c>
      <c r="J106" s="5">
        <v>44028.333333333336</v>
      </c>
    </row>
    <row r="107" spans="1:10" x14ac:dyDescent="0.2">
      <c r="A107">
        <v>7117345</v>
      </c>
      <c r="B107">
        <v>3693059</v>
      </c>
      <c r="C107">
        <v>3692619</v>
      </c>
      <c r="D107">
        <v>21883</v>
      </c>
      <c r="E107">
        <v>21883</v>
      </c>
      <c r="F107" t="s">
        <v>441</v>
      </c>
      <c r="G107">
        <v>0</v>
      </c>
      <c r="I107" s="5">
        <v>44120.666666666664</v>
      </c>
      <c r="J107" s="5">
        <v>44263.333333333336</v>
      </c>
    </row>
    <row r="108" spans="1:10" x14ac:dyDescent="0.2">
      <c r="A108">
        <v>7117346</v>
      </c>
      <c r="B108">
        <v>3693058</v>
      </c>
      <c r="C108">
        <v>3692619</v>
      </c>
      <c r="D108">
        <v>21883</v>
      </c>
      <c r="E108">
        <v>21883</v>
      </c>
      <c r="F108" t="s">
        <v>441</v>
      </c>
      <c r="G108">
        <v>0</v>
      </c>
      <c r="I108" s="5">
        <v>44120.666666666664</v>
      </c>
      <c r="J108" s="5">
        <v>44160.333333333336</v>
      </c>
    </row>
    <row r="109" spans="1:10" x14ac:dyDescent="0.2">
      <c r="A109">
        <v>7117347</v>
      </c>
      <c r="B109">
        <v>3692622</v>
      </c>
      <c r="C109">
        <v>3692626</v>
      </c>
      <c r="D109">
        <v>21883</v>
      </c>
      <c r="E109">
        <v>21883</v>
      </c>
      <c r="F109" t="s">
        <v>440</v>
      </c>
      <c r="G109">
        <v>0</v>
      </c>
      <c r="I109" s="5">
        <v>44042.333333333336</v>
      </c>
      <c r="J109" s="5">
        <v>44026.666666666664</v>
      </c>
    </row>
    <row r="110" spans="1:10" x14ac:dyDescent="0.2">
      <c r="A110">
        <v>7117348</v>
      </c>
      <c r="B110">
        <v>3692626</v>
      </c>
      <c r="C110">
        <v>3692628</v>
      </c>
      <c r="D110">
        <v>21883</v>
      </c>
      <c r="E110">
        <v>21883</v>
      </c>
      <c r="F110" t="s">
        <v>441</v>
      </c>
      <c r="G110">
        <v>0</v>
      </c>
      <c r="I110" s="5">
        <v>44044</v>
      </c>
      <c r="J110" s="5">
        <v>44018.333333333336</v>
      </c>
    </row>
    <row r="111" spans="1:10" x14ac:dyDescent="0.2">
      <c r="A111">
        <v>7117349</v>
      </c>
      <c r="B111">
        <v>3692628</v>
      </c>
      <c r="C111">
        <v>3692629</v>
      </c>
      <c r="D111">
        <v>21883</v>
      </c>
      <c r="E111">
        <v>21883</v>
      </c>
      <c r="F111" t="s">
        <v>441</v>
      </c>
      <c r="G111">
        <v>0</v>
      </c>
      <c r="I111" s="5">
        <v>44044</v>
      </c>
      <c r="J111" s="5">
        <v>44018.333333333336</v>
      </c>
    </row>
    <row r="112" spans="1:10" x14ac:dyDescent="0.2">
      <c r="A112">
        <v>7117350</v>
      </c>
      <c r="B112">
        <v>3692629</v>
      </c>
      <c r="C112">
        <v>3692627</v>
      </c>
      <c r="D112">
        <v>21883</v>
      </c>
      <c r="E112">
        <v>21883</v>
      </c>
      <c r="F112" t="s">
        <v>441</v>
      </c>
      <c r="G112">
        <v>0</v>
      </c>
      <c r="I112" s="5">
        <v>44044</v>
      </c>
      <c r="J112" s="5">
        <v>44018.333333333336</v>
      </c>
    </row>
    <row r="113" spans="1:10" x14ac:dyDescent="0.2">
      <c r="A113">
        <v>7117351</v>
      </c>
      <c r="B113">
        <v>3692627</v>
      </c>
      <c r="C113">
        <v>3692631</v>
      </c>
      <c r="D113">
        <v>21883</v>
      </c>
      <c r="E113">
        <v>21883</v>
      </c>
      <c r="F113" t="s">
        <v>441</v>
      </c>
      <c r="G113">
        <v>0</v>
      </c>
      <c r="I113" s="5">
        <v>44044</v>
      </c>
      <c r="J113" s="5">
        <v>44018.333333333336</v>
      </c>
    </row>
    <row r="114" spans="1:10" x14ac:dyDescent="0.2">
      <c r="A114">
        <v>7117352</v>
      </c>
      <c r="B114">
        <v>3693004</v>
      </c>
      <c r="C114">
        <v>3693334</v>
      </c>
      <c r="D114">
        <v>21883</v>
      </c>
      <c r="E114">
        <v>21883</v>
      </c>
      <c r="F114" t="s">
        <v>441</v>
      </c>
      <c r="G114">
        <v>0</v>
      </c>
      <c r="I114" s="5">
        <v>44124.666666666664</v>
      </c>
      <c r="J114" s="5">
        <v>44070.333333333336</v>
      </c>
    </row>
    <row r="115" spans="1:10" x14ac:dyDescent="0.2">
      <c r="A115">
        <v>7117353</v>
      </c>
      <c r="B115">
        <v>3693334</v>
      </c>
      <c r="C115">
        <v>3692751</v>
      </c>
      <c r="D115">
        <v>21883</v>
      </c>
      <c r="E115">
        <v>21883</v>
      </c>
      <c r="F115" t="s">
        <v>441</v>
      </c>
      <c r="G115">
        <v>0</v>
      </c>
      <c r="I115" s="5">
        <v>44044</v>
      </c>
      <c r="J115" s="5">
        <v>43990.333333333336</v>
      </c>
    </row>
    <row r="116" spans="1:10" x14ac:dyDescent="0.2">
      <c r="A116">
        <v>7117354</v>
      </c>
      <c r="B116">
        <v>3694072</v>
      </c>
      <c r="C116">
        <v>3692605</v>
      </c>
      <c r="D116">
        <v>21883</v>
      </c>
      <c r="E116">
        <v>21883</v>
      </c>
      <c r="F116" t="s">
        <v>441</v>
      </c>
      <c r="G116">
        <v>0</v>
      </c>
      <c r="I116" s="5">
        <v>44044</v>
      </c>
      <c r="J116" s="5">
        <v>44153.333333333336</v>
      </c>
    </row>
    <row r="117" spans="1:10" x14ac:dyDescent="0.2">
      <c r="A117">
        <v>7117355</v>
      </c>
      <c r="B117">
        <v>3693623</v>
      </c>
      <c r="C117">
        <v>3693622</v>
      </c>
      <c r="D117">
        <v>21883</v>
      </c>
      <c r="E117">
        <v>21883</v>
      </c>
      <c r="F117" t="s">
        <v>441</v>
      </c>
      <c r="G117">
        <v>0</v>
      </c>
      <c r="I117" s="5">
        <v>44044</v>
      </c>
      <c r="J117" s="5">
        <v>43970.333333333336</v>
      </c>
    </row>
    <row r="118" spans="1:10" x14ac:dyDescent="0.2">
      <c r="A118">
        <v>7117356</v>
      </c>
      <c r="B118">
        <v>3692826</v>
      </c>
      <c r="C118">
        <v>3692834</v>
      </c>
      <c r="D118">
        <v>21883</v>
      </c>
      <c r="E118">
        <v>21883</v>
      </c>
      <c r="F118" t="s">
        <v>441</v>
      </c>
      <c r="G118">
        <v>0</v>
      </c>
      <c r="I118" s="5">
        <v>44044</v>
      </c>
      <c r="J118" s="5">
        <v>44306.666666666664</v>
      </c>
    </row>
    <row r="119" spans="1:10" x14ac:dyDescent="0.2">
      <c r="A119">
        <v>7117357</v>
      </c>
      <c r="B119">
        <v>3692834</v>
      </c>
      <c r="C119">
        <v>3692892</v>
      </c>
      <c r="D119">
        <v>21883</v>
      </c>
      <c r="E119">
        <v>21883</v>
      </c>
      <c r="F119" t="s">
        <v>441</v>
      </c>
      <c r="G119">
        <v>0</v>
      </c>
      <c r="I119" s="5">
        <v>44044</v>
      </c>
      <c r="J119" s="5">
        <v>44306.666666666664</v>
      </c>
    </row>
    <row r="120" spans="1:10" x14ac:dyDescent="0.2">
      <c r="A120">
        <v>7117358</v>
      </c>
      <c r="B120">
        <v>3693628</v>
      </c>
      <c r="C120">
        <v>3693620</v>
      </c>
      <c r="D120">
        <v>21883</v>
      </c>
      <c r="E120">
        <v>21883</v>
      </c>
      <c r="F120" t="s">
        <v>441</v>
      </c>
      <c r="G120">
        <v>0</v>
      </c>
      <c r="I120" s="5">
        <v>44044</v>
      </c>
      <c r="J120" s="5">
        <v>43970.333333333336</v>
      </c>
    </row>
    <row r="121" spans="1:10" x14ac:dyDescent="0.2">
      <c r="A121">
        <v>7117359</v>
      </c>
      <c r="B121">
        <v>3692742</v>
      </c>
      <c r="C121">
        <v>3693167</v>
      </c>
      <c r="D121">
        <v>21883</v>
      </c>
      <c r="E121">
        <v>21883</v>
      </c>
      <c r="F121" t="s">
        <v>441</v>
      </c>
      <c r="G121">
        <v>0</v>
      </c>
      <c r="I121" s="5">
        <v>44044</v>
      </c>
      <c r="J121" s="5">
        <v>43970.333333333336</v>
      </c>
    </row>
    <row r="122" spans="1:10" x14ac:dyDescent="0.2">
      <c r="A122">
        <v>7117360</v>
      </c>
      <c r="B122">
        <v>3692689</v>
      </c>
      <c r="C122">
        <v>3692573</v>
      </c>
      <c r="D122">
        <v>21883</v>
      </c>
      <c r="E122">
        <v>21883</v>
      </c>
      <c r="F122" t="s">
        <v>441</v>
      </c>
      <c r="G122">
        <v>0</v>
      </c>
      <c r="I122" s="5">
        <v>44044</v>
      </c>
      <c r="J122" s="5">
        <v>43983.333333333336</v>
      </c>
    </row>
    <row r="123" spans="1:10" x14ac:dyDescent="0.2">
      <c r="A123">
        <v>7117361</v>
      </c>
      <c r="B123">
        <v>3692573</v>
      </c>
      <c r="C123">
        <v>3692574</v>
      </c>
      <c r="D123">
        <v>21883</v>
      </c>
      <c r="E123">
        <v>21883</v>
      </c>
      <c r="F123" t="s">
        <v>441</v>
      </c>
      <c r="G123">
        <v>0</v>
      </c>
      <c r="I123" s="5">
        <v>44044</v>
      </c>
      <c r="J123" s="5">
        <v>43983.333333333336</v>
      </c>
    </row>
    <row r="124" spans="1:10" x14ac:dyDescent="0.2">
      <c r="A124">
        <v>7117362</v>
      </c>
      <c r="B124">
        <v>3692574</v>
      </c>
      <c r="C124">
        <v>3692691</v>
      </c>
      <c r="D124">
        <v>21883</v>
      </c>
      <c r="E124">
        <v>21883</v>
      </c>
      <c r="F124" t="s">
        <v>441</v>
      </c>
      <c r="G124">
        <v>0</v>
      </c>
      <c r="I124" s="5">
        <v>44044</v>
      </c>
      <c r="J124" s="5">
        <v>43983.333333333336</v>
      </c>
    </row>
    <row r="125" spans="1:10" x14ac:dyDescent="0.2">
      <c r="A125">
        <v>7117363</v>
      </c>
      <c r="B125">
        <v>3692691</v>
      </c>
      <c r="C125">
        <v>3692690</v>
      </c>
      <c r="D125">
        <v>21883</v>
      </c>
      <c r="E125">
        <v>21883</v>
      </c>
      <c r="F125" t="s">
        <v>441</v>
      </c>
      <c r="G125">
        <v>0</v>
      </c>
      <c r="I125" s="5">
        <v>44044</v>
      </c>
      <c r="J125" s="5">
        <v>43983.333333333336</v>
      </c>
    </row>
    <row r="126" spans="1:10" x14ac:dyDescent="0.2">
      <c r="A126">
        <v>7117364</v>
      </c>
      <c r="B126">
        <v>3692690</v>
      </c>
      <c r="C126">
        <v>3692575</v>
      </c>
      <c r="D126">
        <v>21883</v>
      </c>
      <c r="E126">
        <v>21883</v>
      </c>
      <c r="F126" t="s">
        <v>441</v>
      </c>
      <c r="G126">
        <v>0</v>
      </c>
      <c r="I126" s="5">
        <v>44044</v>
      </c>
      <c r="J126" s="5">
        <v>43983.333333333336</v>
      </c>
    </row>
    <row r="127" spans="1:10" x14ac:dyDescent="0.2">
      <c r="A127">
        <v>7117365</v>
      </c>
      <c r="B127">
        <v>3692575</v>
      </c>
      <c r="C127">
        <v>3692688</v>
      </c>
      <c r="D127">
        <v>21883</v>
      </c>
      <c r="E127">
        <v>21883</v>
      </c>
      <c r="F127" t="s">
        <v>441</v>
      </c>
      <c r="G127">
        <v>0</v>
      </c>
      <c r="I127" s="5">
        <v>44044</v>
      </c>
      <c r="J127" s="5">
        <v>43983.333333333336</v>
      </c>
    </row>
    <row r="128" spans="1:10" x14ac:dyDescent="0.2">
      <c r="A128">
        <v>7117366</v>
      </c>
      <c r="B128">
        <v>3692702</v>
      </c>
      <c r="C128">
        <v>3692576</v>
      </c>
      <c r="D128">
        <v>21883</v>
      </c>
      <c r="E128">
        <v>21883</v>
      </c>
      <c r="F128" t="s">
        <v>441</v>
      </c>
      <c r="G128">
        <v>0</v>
      </c>
      <c r="I128" s="5">
        <v>44044</v>
      </c>
      <c r="J128" s="5">
        <v>43986.333333333336</v>
      </c>
    </row>
    <row r="129" spans="1:10" x14ac:dyDescent="0.2">
      <c r="A129">
        <v>7117367</v>
      </c>
      <c r="B129">
        <v>3692576</v>
      </c>
      <c r="C129">
        <v>3692704</v>
      </c>
      <c r="D129">
        <v>21883</v>
      </c>
      <c r="E129">
        <v>21883</v>
      </c>
      <c r="F129" t="s">
        <v>441</v>
      </c>
      <c r="G129">
        <v>0</v>
      </c>
      <c r="I129" s="5">
        <v>44044</v>
      </c>
      <c r="J129" s="5">
        <v>43986.333333333336</v>
      </c>
    </row>
    <row r="130" spans="1:10" x14ac:dyDescent="0.2">
      <c r="A130">
        <v>7117368</v>
      </c>
      <c r="B130">
        <v>3692704</v>
      </c>
      <c r="C130">
        <v>3692577</v>
      </c>
      <c r="D130">
        <v>21883</v>
      </c>
      <c r="E130">
        <v>21883</v>
      </c>
      <c r="F130" t="s">
        <v>441</v>
      </c>
      <c r="G130">
        <v>0</v>
      </c>
      <c r="I130" s="5">
        <v>44044</v>
      </c>
      <c r="J130" s="5">
        <v>43986.333333333336</v>
      </c>
    </row>
    <row r="131" spans="1:10" x14ac:dyDescent="0.2">
      <c r="A131">
        <v>7117369</v>
      </c>
      <c r="B131">
        <v>3692577</v>
      </c>
      <c r="C131">
        <v>3692578</v>
      </c>
      <c r="D131">
        <v>21883</v>
      </c>
      <c r="E131">
        <v>21883</v>
      </c>
      <c r="F131" t="s">
        <v>441</v>
      </c>
      <c r="G131">
        <v>0</v>
      </c>
      <c r="I131" s="5">
        <v>44044</v>
      </c>
      <c r="J131" s="5">
        <v>43986.333333333336</v>
      </c>
    </row>
    <row r="132" spans="1:10" x14ac:dyDescent="0.2">
      <c r="A132">
        <v>7117370</v>
      </c>
      <c r="B132">
        <v>3692578</v>
      </c>
      <c r="C132">
        <v>3692579</v>
      </c>
      <c r="D132">
        <v>21883</v>
      </c>
      <c r="E132">
        <v>21883</v>
      </c>
      <c r="F132" t="s">
        <v>441</v>
      </c>
      <c r="G132">
        <v>0</v>
      </c>
      <c r="I132" s="5">
        <v>44044</v>
      </c>
      <c r="J132" s="5">
        <v>43986.333333333336</v>
      </c>
    </row>
    <row r="133" spans="1:10" x14ac:dyDescent="0.2">
      <c r="A133">
        <v>7117371</v>
      </c>
      <c r="B133">
        <v>3692579</v>
      </c>
      <c r="C133">
        <v>3692580</v>
      </c>
      <c r="D133">
        <v>21883</v>
      </c>
      <c r="E133">
        <v>21883</v>
      </c>
      <c r="F133" t="s">
        <v>441</v>
      </c>
      <c r="G133">
        <v>0</v>
      </c>
      <c r="I133" s="5">
        <v>44044</v>
      </c>
      <c r="J133" s="5">
        <v>43986.333333333336</v>
      </c>
    </row>
    <row r="134" spans="1:10" x14ac:dyDescent="0.2">
      <c r="A134">
        <v>7117372</v>
      </c>
      <c r="B134">
        <v>3692580</v>
      </c>
      <c r="C134">
        <v>3692606</v>
      </c>
      <c r="D134">
        <v>21883</v>
      </c>
      <c r="E134">
        <v>21883</v>
      </c>
      <c r="F134" t="s">
        <v>441</v>
      </c>
      <c r="G134">
        <v>0</v>
      </c>
      <c r="I134" s="5">
        <v>44044</v>
      </c>
      <c r="J134" s="5">
        <v>43986.333333333336</v>
      </c>
    </row>
    <row r="135" spans="1:10" x14ac:dyDescent="0.2">
      <c r="A135">
        <v>7117373</v>
      </c>
      <c r="B135">
        <v>3692847</v>
      </c>
      <c r="C135">
        <v>3692846</v>
      </c>
      <c r="D135">
        <v>21883</v>
      </c>
      <c r="E135">
        <v>21883</v>
      </c>
      <c r="F135" t="s">
        <v>441</v>
      </c>
      <c r="G135">
        <v>0</v>
      </c>
      <c r="I135" s="5">
        <v>44044</v>
      </c>
      <c r="J135" s="5">
        <v>43970.333333333336</v>
      </c>
    </row>
    <row r="136" spans="1:10" x14ac:dyDescent="0.2">
      <c r="A136">
        <v>7117374</v>
      </c>
      <c r="B136">
        <v>3692845</v>
      </c>
      <c r="C136">
        <v>3692833</v>
      </c>
      <c r="D136">
        <v>21883</v>
      </c>
      <c r="E136">
        <v>21883</v>
      </c>
      <c r="F136" t="s">
        <v>441</v>
      </c>
      <c r="G136">
        <v>0</v>
      </c>
      <c r="I136" s="5">
        <v>44044</v>
      </c>
      <c r="J136" s="5">
        <v>43970.333333333336</v>
      </c>
    </row>
    <row r="137" spans="1:10" x14ac:dyDescent="0.2">
      <c r="A137">
        <v>7117375</v>
      </c>
      <c r="B137">
        <v>3692833</v>
      </c>
      <c r="C137">
        <v>3692844</v>
      </c>
      <c r="D137">
        <v>21883</v>
      </c>
      <c r="E137">
        <v>21883</v>
      </c>
      <c r="F137" t="s">
        <v>441</v>
      </c>
      <c r="G137">
        <v>0</v>
      </c>
      <c r="I137" s="5">
        <v>44044</v>
      </c>
      <c r="J137" s="5">
        <v>43970.333333333336</v>
      </c>
    </row>
    <row r="138" spans="1:10" x14ac:dyDescent="0.2">
      <c r="A138">
        <v>7117376</v>
      </c>
      <c r="B138">
        <v>3692604</v>
      </c>
      <c r="C138">
        <v>3693203</v>
      </c>
      <c r="D138">
        <v>21883</v>
      </c>
      <c r="E138">
        <v>21883</v>
      </c>
      <c r="F138" t="s">
        <v>441</v>
      </c>
      <c r="G138">
        <v>0</v>
      </c>
      <c r="I138" s="5">
        <v>44044</v>
      </c>
      <c r="J138" s="5">
        <v>44008.666666666664</v>
      </c>
    </row>
    <row r="139" spans="1:10" x14ac:dyDescent="0.2">
      <c r="A139">
        <v>7117377</v>
      </c>
      <c r="B139">
        <v>3693983</v>
      </c>
      <c r="C139">
        <v>3693982</v>
      </c>
      <c r="D139">
        <v>21883</v>
      </c>
      <c r="E139">
        <v>21883</v>
      </c>
      <c r="F139" t="s">
        <v>441</v>
      </c>
      <c r="G139">
        <v>0</v>
      </c>
      <c r="I139" s="5">
        <v>44098.666666666664</v>
      </c>
      <c r="J139" s="5">
        <v>44046.333333333336</v>
      </c>
    </row>
    <row r="140" spans="1:10" x14ac:dyDescent="0.2">
      <c r="A140">
        <v>7117378</v>
      </c>
      <c r="B140">
        <v>3693953</v>
      </c>
      <c r="C140">
        <v>3693952</v>
      </c>
      <c r="D140">
        <v>21883</v>
      </c>
      <c r="E140">
        <v>21883</v>
      </c>
      <c r="F140" t="s">
        <v>441</v>
      </c>
      <c r="G140">
        <v>0</v>
      </c>
      <c r="I140" s="5">
        <v>44084.666666666664</v>
      </c>
      <c r="J140" s="5">
        <v>44036.333333333336</v>
      </c>
    </row>
    <row r="141" spans="1:10" x14ac:dyDescent="0.2">
      <c r="A141">
        <v>7117379</v>
      </c>
      <c r="B141">
        <v>3693923</v>
      </c>
      <c r="C141">
        <v>3693922</v>
      </c>
      <c r="D141">
        <v>21883</v>
      </c>
      <c r="E141">
        <v>21883</v>
      </c>
      <c r="F141" t="s">
        <v>441</v>
      </c>
      <c r="G141">
        <v>0</v>
      </c>
      <c r="I141" s="5">
        <v>44105.666666666664</v>
      </c>
      <c r="J141" s="5">
        <v>44048.333333333336</v>
      </c>
    </row>
    <row r="142" spans="1:10" x14ac:dyDescent="0.2">
      <c r="A142">
        <v>7117380</v>
      </c>
      <c r="B142">
        <v>3693908</v>
      </c>
      <c r="C142">
        <v>3693907</v>
      </c>
      <c r="D142">
        <v>21883</v>
      </c>
      <c r="E142">
        <v>21883</v>
      </c>
      <c r="F142" t="s">
        <v>441</v>
      </c>
      <c r="G142">
        <v>0</v>
      </c>
      <c r="I142" s="5">
        <v>44064.666666666664</v>
      </c>
      <c r="J142" s="5">
        <v>44032.333333333336</v>
      </c>
    </row>
    <row r="143" spans="1:10" x14ac:dyDescent="0.2">
      <c r="A143">
        <v>7117381</v>
      </c>
      <c r="B143">
        <v>3693893</v>
      </c>
      <c r="C143">
        <v>3693892</v>
      </c>
      <c r="D143">
        <v>21883</v>
      </c>
      <c r="E143">
        <v>21883</v>
      </c>
      <c r="F143" t="s">
        <v>441</v>
      </c>
      <c r="G143">
        <v>0</v>
      </c>
      <c r="I143" s="5">
        <v>44053.666666666664</v>
      </c>
      <c r="J143" s="5">
        <v>44028.333333333336</v>
      </c>
    </row>
    <row r="144" spans="1:10" x14ac:dyDescent="0.2">
      <c r="A144">
        <v>7117382</v>
      </c>
      <c r="B144">
        <v>3693990</v>
      </c>
      <c r="C144">
        <v>3693980</v>
      </c>
      <c r="D144">
        <v>21883</v>
      </c>
      <c r="E144">
        <v>21883</v>
      </c>
      <c r="F144" t="s">
        <v>441</v>
      </c>
      <c r="G144">
        <v>0</v>
      </c>
      <c r="I144" s="5">
        <v>44089.666666666664</v>
      </c>
      <c r="J144" s="5">
        <v>44028.333333333336</v>
      </c>
    </row>
    <row r="145" spans="1:10" x14ac:dyDescent="0.2">
      <c r="A145">
        <v>7117383</v>
      </c>
      <c r="B145">
        <v>3693977</v>
      </c>
      <c r="C145">
        <v>3693965</v>
      </c>
      <c r="D145">
        <v>21883</v>
      </c>
      <c r="E145">
        <v>21883</v>
      </c>
      <c r="F145" t="s">
        <v>441</v>
      </c>
      <c r="G145">
        <v>0</v>
      </c>
      <c r="I145" s="5">
        <v>44085.666666666664</v>
      </c>
      <c r="J145" s="5">
        <v>44026.333333333336</v>
      </c>
    </row>
    <row r="146" spans="1:10" x14ac:dyDescent="0.2">
      <c r="A146">
        <v>7117384</v>
      </c>
      <c r="B146">
        <v>3693960</v>
      </c>
      <c r="C146">
        <v>3693950</v>
      </c>
      <c r="D146">
        <v>21883</v>
      </c>
      <c r="E146">
        <v>21883</v>
      </c>
      <c r="F146" t="s">
        <v>441</v>
      </c>
      <c r="G146">
        <v>0</v>
      </c>
      <c r="I146" s="5">
        <v>44075.666666666664</v>
      </c>
      <c r="J146" s="5">
        <v>44020.333333333336</v>
      </c>
    </row>
    <row r="147" spans="1:10" x14ac:dyDescent="0.2">
      <c r="A147">
        <v>7117385</v>
      </c>
      <c r="B147">
        <v>3693943</v>
      </c>
      <c r="C147">
        <v>3693935</v>
      </c>
      <c r="D147">
        <v>21883</v>
      </c>
      <c r="E147">
        <v>21883</v>
      </c>
      <c r="F147" t="s">
        <v>441</v>
      </c>
      <c r="G147">
        <v>0</v>
      </c>
      <c r="I147" s="5">
        <v>44091.666666666664</v>
      </c>
      <c r="J147" s="5">
        <v>44021.333333333336</v>
      </c>
    </row>
    <row r="148" spans="1:10" x14ac:dyDescent="0.2">
      <c r="A148">
        <v>7117386</v>
      </c>
      <c r="B148">
        <v>3693928</v>
      </c>
      <c r="C148">
        <v>3693920</v>
      </c>
      <c r="D148">
        <v>21883</v>
      </c>
      <c r="E148">
        <v>21883</v>
      </c>
      <c r="F148" t="s">
        <v>441</v>
      </c>
      <c r="G148">
        <v>0</v>
      </c>
      <c r="I148" s="5">
        <v>44095.666666666664</v>
      </c>
      <c r="J148" s="5">
        <v>44029.333333333336</v>
      </c>
    </row>
    <row r="149" spans="1:10" x14ac:dyDescent="0.2">
      <c r="A149">
        <v>7117387</v>
      </c>
      <c r="B149">
        <v>3693913</v>
      </c>
      <c r="C149">
        <v>3693905</v>
      </c>
      <c r="D149">
        <v>21883</v>
      </c>
      <c r="E149">
        <v>21883</v>
      </c>
      <c r="F149" t="s">
        <v>441</v>
      </c>
      <c r="G149">
        <v>0</v>
      </c>
      <c r="I149" s="5">
        <v>44054.666666666664</v>
      </c>
      <c r="J149" s="5">
        <v>44019.333333333336</v>
      </c>
    </row>
    <row r="150" spans="1:10" x14ac:dyDescent="0.2">
      <c r="A150">
        <v>7117388</v>
      </c>
      <c r="B150">
        <v>3693898</v>
      </c>
      <c r="C150">
        <v>3693890</v>
      </c>
      <c r="D150">
        <v>21883</v>
      </c>
      <c r="E150">
        <v>21883</v>
      </c>
      <c r="F150" t="s">
        <v>441</v>
      </c>
      <c r="G150">
        <v>0</v>
      </c>
      <c r="I150" s="5">
        <v>44044</v>
      </c>
      <c r="J150" s="5">
        <v>44012.333333333336</v>
      </c>
    </row>
    <row r="151" spans="1:10" x14ac:dyDescent="0.2">
      <c r="A151">
        <v>7117389</v>
      </c>
      <c r="B151">
        <v>3693883</v>
      </c>
      <c r="C151">
        <v>3693875</v>
      </c>
      <c r="D151">
        <v>21883</v>
      </c>
      <c r="E151">
        <v>21883</v>
      </c>
      <c r="F151" t="s">
        <v>441</v>
      </c>
      <c r="G151">
        <v>0</v>
      </c>
      <c r="I151" s="5">
        <v>44044</v>
      </c>
      <c r="J151" s="5">
        <v>44005.333333333336</v>
      </c>
    </row>
    <row r="152" spans="1:10" x14ac:dyDescent="0.2">
      <c r="A152">
        <v>7117390</v>
      </c>
      <c r="B152">
        <v>3693965</v>
      </c>
      <c r="C152">
        <v>3693762</v>
      </c>
      <c r="D152">
        <v>21883</v>
      </c>
      <c r="E152">
        <v>21883</v>
      </c>
      <c r="F152" t="s">
        <v>441</v>
      </c>
      <c r="G152">
        <v>0</v>
      </c>
      <c r="I152" s="5">
        <v>44044</v>
      </c>
      <c r="J152" s="5">
        <v>44012.333333333336</v>
      </c>
    </row>
    <row r="153" spans="1:10" x14ac:dyDescent="0.2">
      <c r="A153">
        <v>7117391</v>
      </c>
      <c r="B153">
        <v>3693875</v>
      </c>
      <c r="C153">
        <v>3693780</v>
      </c>
      <c r="D153">
        <v>21883</v>
      </c>
      <c r="E153">
        <v>21883</v>
      </c>
      <c r="F153" t="s">
        <v>441</v>
      </c>
      <c r="G153">
        <v>0</v>
      </c>
      <c r="I153" s="5">
        <v>44044</v>
      </c>
      <c r="J153" s="5">
        <v>44005.333333333336</v>
      </c>
    </row>
    <row r="154" spans="1:10" x14ac:dyDescent="0.2">
      <c r="A154">
        <v>7117392</v>
      </c>
      <c r="B154">
        <v>3693750</v>
      </c>
      <c r="C154">
        <v>3693047</v>
      </c>
      <c r="D154">
        <v>21883</v>
      </c>
      <c r="E154">
        <v>21883</v>
      </c>
      <c r="F154" t="s">
        <v>441</v>
      </c>
      <c r="G154">
        <v>0</v>
      </c>
      <c r="I154" s="5">
        <v>44044</v>
      </c>
      <c r="J154" s="5">
        <v>44109.666666666664</v>
      </c>
    </row>
    <row r="155" spans="1:10" x14ac:dyDescent="0.2">
      <c r="A155">
        <v>7117393</v>
      </c>
      <c r="B155">
        <v>3692826</v>
      </c>
      <c r="C155">
        <v>3693981</v>
      </c>
      <c r="D155">
        <v>21883</v>
      </c>
      <c r="E155">
        <v>21883</v>
      </c>
      <c r="F155" t="s">
        <v>441</v>
      </c>
      <c r="G155">
        <v>0</v>
      </c>
      <c r="I155" s="5">
        <v>44044</v>
      </c>
      <c r="J155" s="5">
        <v>44306.666666666664</v>
      </c>
    </row>
    <row r="156" spans="1:10" x14ac:dyDescent="0.2">
      <c r="A156">
        <v>7117394</v>
      </c>
      <c r="B156">
        <v>3692826</v>
      </c>
      <c r="C156">
        <v>3693966</v>
      </c>
      <c r="D156">
        <v>21883</v>
      </c>
      <c r="E156">
        <v>21883</v>
      </c>
      <c r="F156" t="s">
        <v>441</v>
      </c>
      <c r="G156">
        <v>0</v>
      </c>
      <c r="I156" s="5">
        <v>44044</v>
      </c>
      <c r="J156" s="5">
        <v>44306.666666666664</v>
      </c>
    </row>
    <row r="157" spans="1:10" x14ac:dyDescent="0.2">
      <c r="A157">
        <v>7117395</v>
      </c>
      <c r="B157">
        <v>3692826</v>
      </c>
      <c r="C157">
        <v>3693951</v>
      </c>
      <c r="D157">
        <v>21883</v>
      </c>
      <c r="E157">
        <v>21883</v>
      </c>
      <c r="F157" t="s">
        <v>441</v>
      </c>
      <c r="G157">
        <v>0</v>
      </c>
      <c r="I157" s="5">
        <v>44044</v>
      </c>
      <c r="J157" s="5">
        <v>44306.666666666664</v>
      </c>
    </row>
    <row r="158" spans="1:10" x14ac:dyDescent="0.2">
      <c r="A158">
        <v>7117396</v>
      </c>
      <c r="B158">
        <v>3692826</v>
      </c>
      <c r="C158">
        <v>3693936</v>
      </c>
      <c r="D158">
        <v>21883</v>
      </c>
      <c r="E158">
        <v>21883</v>
      </c>
      <c r="F158" t="s">
        <v>441</v>
      </c>
      <c r="G158">
        <v>0</v>
      </c>
      <c r="I158" s="5">
        <v>44044</v>
      </c>
      <c r="J158" s="5">
        <v>44306.666666666664</v>
      </c>
    </row>
    <row r="159" spans="1:10" x14ac:dyDescent="0.2">
      <c r="A159">
        <v>7117397</v>
      </c>
      <c r="B159">
        <v>3692826</v>
      </c>
      <c r="C159">
        <v>3693921</v>
      </c>
      <c r="D159">
        <v>21883</v>
      </c>
      <c r="E159">
        <v>21883</v>
      </c>
      <c r="F159" t="s">
        <v>441</v>
      </c>
      <c r="G159">
        <v>0</v>
      </c>
      <c r="I159" s="5">
        <v>44044</v>
      </c>
      <c r="J159" s="5">
        <v>44306.666666666664</v>
      </c>
    </row>
    <row r="160" spans="1:10" x14ac:dyDescent="0.2">
      <c r="A160">
        <v>7117398</v>
      </c>
      <c r="B160">
        <v>3692826</v>
      </c>
      <c r="C160">
        <v>3693906</v>
      </c>
      <c r="D160">
        <v>21883</v>
      </c>
      <c r="E160">
        <v>21883</v>
      </c>
      <c r="F160" t="s">
        <v>441</v>
      </c>
      <c r="G160">
        <v>0</v>
      </c>
      <c r="I160" s="5">
        <v>44044</v>
      </c>
      <c r="J160" s="5">
        <v>44306.666666666664</v>
      </c>
    </row>
    <row r="161" spans="1:10" x14ac:dyDescent="0.2">
      <c r="A161">
        <v>7117399</v>
      </c>
      <c r="B161">
        <v>3692826</v>
      </c>
      <c r="C161">
        <v>3693891</v>
      </c>
      <c r="D161">
        <v>21883</v>
      </c>
      <c r="E161">
        <v>21883</v>
      </c>
      <c r="F161" t="s">
        <v>441</v>
      </c>
      <c r="G161">
        <v>0</v>
      </c>
      <c r="I161" s="5">
        <v>44044</v>
      </c>
      <c r="J161" s="5">
        <v>44306.666666666664</v>
      </c>
    </row>
    <row r="162" spans="1:10" x14ac:dyDescent="0.2">
      <c r="A162">
        <v>7117400</v>
      </c>
      <c r="B162">
        <v>3692826</v>
      </c>
      <c r="C162">
        <v>3693876</v>
      </c>
      <c r="D162">
        <v>21883</v>
      </c>
      <c r="E162">
        <v>21883</v>
      </c>
      <c r="F162" t="s">
        <v>441</v>
      </c>
      <c r="G162">
        <v>0</v>
      </c>
      <c r="I162" s="5">
        <v>44044</v>
      </c>
      <c r="J162" s="5">
        <v>44306.666666666664</v>
      </c>
    </row>
    <row r="163" spans="1:10" x14ac:dyDescent="0.2">
      <c r="A163">
        <v>7117401</v>
      </c>
      <c r="B163">
        <v>3692826</v>
      </c>
      <c r="C163">
        <v>3693037</v>
      </c>
      <c r="D163">
        <v>21883</v>
      </c>
      <c r="E163">
        <v>21883</v>
      </c>
      <c r="F163" t="s">
        <v>441</v>
      </c>
      <c r="G163">
        <v>0</v>
      </c>
      <c r="J163" s="5">
        <v>44306.666666666664</v>
      </c>
    </row>
    <row r="164" spans="1:10" x14ac:dyDescent="0.2">
      <c r="A164">
        <v>7117402</v>
      </c>
      <c r="B164">
        <v>3693981</v>
      </c>
      <c r="C164">
        <v>3692892</v>
      </c>
      <c r="D164">
        <v>21883</v>
      </c>
      <c r="E164">
        <v>21883</v>
      </c>
      <c r="F164" t="s">
        <v>441</v>
      </c>
      <c r="G164">
        <v>0</v>
      </c>
      <c r="I164" s="5">
        <v>44044</v>
      </c>
      <c r="J164" s="5">
        <v>44306.666666666664</v>
      </c>
    </row>
    <row r="165" spans="1:10" x14ac:dyDescent="0.2">
      <c r="A165">
        <v>7117403</v>
      </c>
      <c r="B165">
        <v>3693966</v>
      </c>
      <c r="C165">
        <v>3692892</v>
      </c>
      <c r="D165">
        <v>21883</v>
      </c>
      <c r="E165">
        <v>21883</v>
      </c>
      <c r="F165" t="s">
        <v>441</v>
      </c>
      <c r="G165">
        <v>0</v>
      </c>
      <c r="I165" s="5">
        <v>44044</v>
      </c>
      <c r="J165" s="5">
        <v>44306.666666666664</v>
      </c>
    </row>
    <row r="166" spans="1:10" x14ac:dyDescent="0.2">
      <c r="A166">
        <v>7117404</v>
      </c>
      <c r="B166">
        <v>3693951</v>
      </c>
      <c r="C166">
        <v>3692892</v>
      </c>
      <c r="D166">
        <v>21883</v>
      </c>
      <c r="E166">
        <v>21883</v>
      </c>
      <c r="F166" t="s">
        <v>441</v>
      </c>
      <c r="G166">
        <v>0</v>
      </c>
      <c r="I166" s="5">
        <v>44044</v>
      </c>
      <c r="J166" s="5">
        <v>44306.666666666664</v>
      </c>
    </row>
    <row r="167" spans="1:10" x14ac:dyDescent="0.2">
      <c r="A167">
        <v>7117405</v>
      </c>
      <c r="B167">
        <v>3693936</v>
      </c>
      <c r="C167">
        <v>3692892</v>
      </c>
      <c r="D167">
        <v>21883</v>
      </c>
      <c r="E167">
        <v>21883</v>
      </c>
      <c r="F167" t="s">
        <v>441</v>
      </c>
      <c r="G167">
        <v>0</v>
      </c>
      <c r="I167" s="5">
        <v>44044</v>
      </c>
      <c r="J167" s="5">
        <v>44306.666666666664</v>
      </c>
    </row>
    <row r="168" spans="1:10" x14ac:dyDescent="0.2">
      <c r="A168">
        <v>7117406</v>
      </c>
      <c r="B168">
        <v>3693921</v>
      </c>
      <c r="C168">
        <v>3692892</v>
      </c>
      <c r="D168">
        <v>21883</v>
      </c>
      <c r="E168">
        <v>21883</v>
      </c>
      <c r="F168" t="s">
        <v>441</v>
      </c>
      <c r="G168">
        <v>0</v>
      </c>
      <c r="I168" s="5">
        <v>44044</v>
      </c>
      <c r="J168" s="5">
        <v>44306.666666666664</v>
      </c>
    </row>
    <row r="169" spans="1:10" x14ac:dyDescent="0.2">
      <c r="A169">
        <v>7117407</v>
      </c>
      <c r="B169">
        <v>3693906</v>
      </c>
      <c r="C169">
        <v>3692892</v>
      </c>
      <c r="D169">
        <v>21883</v>
      </c>
      <c r="E169">
        <v>21883</v>
      </c>
      <c r="F169" t="s">
        <v>441</v>
      </c>
      <c r="G169">
        <v>0</v>
      </c>
      <c r="I169" s="5">
        <v>44044</v>
      </c>
      <c r="J169" s="5">
        <v>44306.666666666664</v>
      </c>
    </row>
    <row r="170" spans="1:10" x14ac:dyDescent="0.2">
      <c r="A170">
        <v>7117408</v>
      </c>
      <c r="B170">
        <v>3693891</v>
      </c>
      <c r="C170">
        <v>3692892</v>
      </c>
      <c r="D170">
        <v>21883</v>
      </c>
      <c r="E170">
        <v>21883</v>
      </c>
      <c r="F170" t="s">
        <v>441</v>
      </c>
      <c r="G170">
        <v>0</v>
      </c>
      <c r="I170" s="5">
        <v>44044</v>
      </c>
      <c r="J170" s="5">
        <v>44306.666666666664</v>
      </c>
    </row>
    <row r="171" spans="1:10" x14ac:dyDescent="0.2">
      <c r="A171">
        <v>7117409</v>
      </c>
      <c r="B171">
        <v>3693876</v>
      </c>
      <c r="C171">
        <v>3692892</v>
      </c>
      <c r="D171">
        <v>21883</v>
      </c>
      <c r="E171">
        <v>21883</v>
      </c>
      <c r="F171" t="s">
        <v>441</v>
      </c>
      <c r="G171">
        <v>0</v>
      </c>
      <c r="I171" s="5">
        <v>44044</v>
      </c>
      <c r="J171" s="5">
        <v>44306.666666666664</v>
      </c>
    </row>
    <row r="172" spans="1:10" x14ac:dyDescent="0.2">
      <c r="A172">
        <v>7117410</v>
      </c>
      <c r="B172">
        <v>3693037</v>
      </c>
      <c r="C172">
        <v>3692892</v>
      </c>
      <c r="D172">
        <v>21883</v>
      </c>
      <c r="E172">
        <v>21883</v>
      </c>
      <c r="F172" t="s">
        <v>441</v>
      </c>
      <c r="G172">
        <v>0</v>
      </c>
      <c r="I172" s="5">
        <v>44044</v>
      </c>
    </row>
    <row r="173" spans="1:10" x14ac:dyDescent="0.2">
      <c r="A173">
        <v>7117411</v>
      </c>
      <c r="B173">
        <v>3692826</v>
      </c>
      <c r="C173">
        <v>3693763</v>
      </c>
      <c r="D173">
        <v>21883</v>
      </c>
      <c r="E173">
        <v>21883</v>
      </c>
      <c r="F173" t="s">
        <v>441</v>
      </c>
      <c r="G173">
        <v>0</v>
      </c>
      <c r="I173" s="5">
        <v>44044</v>
      </c>
      <c r="J173" s="5">
        <v>44306.666666666664</v>
      </c>
    </row>
    <row r="174" spans="1:10" x14ac:dyDescent="0.2">
      <c r="A174">
        <v>7117412</v>
      </c>
      <c r="B174">
        <v>3693763</v>
      </c>
      <c r="C174">
        <v>3692892</v>
      </c>
      <c r="D174">
        <v>21883</v>
      </c>
      <c r="E174">
        <v>21883</v>
      </c>
      <c r="F174" t="s">
        <v>441</v>
      </c>
      <c r="G174">
        <v>0</v>
      </c>
      <c r="I174" s="5">
        <v>44044</v>
      </c>
      <c r="J174" s="5">
        <v>44306.666666666664</v>
      </c>
    </row>
    <row r="175" spans="1:10" x14ac:dyDescent="0.2">
      <c r="A175">
        <v>7117413</v>
      </c>
      <c r="B175">
        <v>3692826</v>
      </c>
      <c r="C175">
        <v>3693783</v>
      </c>
      <c r="D175">
        <v>21883</v>
      </c>
      <c r="E175">
        <v>21883</v>
      </c>
      <c r="F175" t="s">
        <v>441</v>
      </c>
      <c r="G175">
        <v>0</v>
      </c>
      <c r="I175" s="5">
        <v>44044</v>
      </c>
      <c r="J175" s="5">
        <v>44306.666666666664</v>
      </c>
    </row>
    <row r="176" spans="1:10" x14ac:dyDescent="0.2">
      <c r="A176">
        <v>7117414</v>
      </c>
      <c r="B176">
        <v>3693783</v>
      </c>
      <c r="C176">
        <v>3692892</v>
      </c>
      <c r="D176">
        <v>21883</v>
      </c>
      <c r="E176">
        <v>21883</v>
      </c>
      <c r="F176" t="s">
        <v>441</v>
      </c>
      <c r="G176">
        <v>0</v>
      </c>
      <c r="I176" s="5">
        <v>44044</v>
      </c>
      <c r="J176" s="5">
        <v>44306.666666666664</v>
      </c>
    </row>
    <row r="177" spans="1:10" x14ac:dyDescent="0.2">
      <c r="A177">
        <v>7117415</v>
      </c>
      <c r="B177">
        <v>3692826</v>
      </c>
      <c r="C177">
        <v>3693766</v>
      </c>
      <c r="D177">
        <v>21883</v>
      </c>
      <c r="E177">
        <v>21883</v>
      </c>
      <c r="F177" t="s">
        <v>441</v>
      </c>
      <c r="G177">
        <v>0</v>
      </c>
      <c r="I177" s="5">
        <v>44044</v>
      </c>
      <c r="J177" s="5">
        <v>44306.666666666664</v>
      </c>
    </row>
    <row r="178" spans="1:10" x14ac:dyDescent="0.2">
      <c r="A178">
        <v>7117416</v>
      </c>
      <c r="B178">
        <v>3693766</v>
      </c>
      <c r="C178">
        <v>3692892</v>
      </c>
      <c r="D178">
        <v>21883</v>
      </c>
      <c r="E178">
        <v>21883</v>
      </c>
      <c r="F178" t="s">
        <v>441</v>
      </c>
      <c r="G178">
        <v>0</v>
      </c>
      <c r="I178" s="5">
        <v>44044</v>
      </c>
      <c r="J178" s="5">
        <v>44306.666666666664</v>
      </c>
    </row>
    <row r="179" spans="1:10" x14ac:dyDescent="0.2">
      <c r="A179">
        <v>7117417</v>
      </c>
      <c r="B179">
        <v>3692814</v>
      </c>
      <c r="C179">
        <v>3693232</v>
      </c>
      <c r="D179">
        <v>21883</v>
      </c>
      <c r="E179">
        <v>21883</v>
      </c>
      <c r="F179" t="s">
        <v>441</v>
      </c>
      <c r="G179">
        <v>0</v>
      </c>
      <c r="I179" s="5">
        <v>44074.666666666664</v>
      </c>
      <c r="J179" s="5">
        <v>44116.666666666664</v>
      </c>
    </row>
    <row r="180" spans="1:10" x14ac:dyDescent="0.2">
      <c r="A180">
        <v>7117418</v>
      </c>
      <c r="B180">
        <v>3692826</v>
      </c>
      <c r="C180">
        <v>3692832</v>
      </c>
      <c r="D180">
        <v>21883</v>
      </c>
      <c r="E180">
        <v>21883</v>
      </c>
      <c r="F180" t="s">
        <v>441</v>
      </c>
      <c r="G180">
        <v>0</v>
      </c>
      <c r="I180" s="5">
        <v>44044</v>
      </c>
      <c r="J180" s="5">
        <v>44306.666666666664</v>
      </c>
    </row>
    <row r="181" spans="1:10" x14ac:dyDescent="0.2">
      <c r="A181">
        <v>7117419</v>
      </c>
      <c r="B181">
        <v>3692832</v>
      </c>
      <c r="C181">
        <v>3692892</v>
      </c>
      <c r="D181">
        <v>21883</v>
      </c>
      <c r="E181">
        <v>21883</v>
      </c>
      <c r="F181" t="s">
        <v>441</v>
      </c>
      <c r="G181">
        <v>0</v>
      </c>
      <c r="I181" s="5">
        <v>44044</v>
      </c>
      <c r="J181" s="5">
        <v>44306.666666666664</v>
      </c>
    </row>
    <row r="182" spans="1:10" x14ac:dyDescent="0.2">
      <c r="A182">
        <v>7117420</v>
      </c>
      <c r="B182">
        <v>3692826</v>
      </c>
      <c r="C182">
        <v>3692839</v>
      </c>
      <c r="D182">
        <v>21883</v>
      </c>
      <c r="E182">
        <v>21883</v>
      </c>
      <c r="F182" t="s">
        <v>441</v>
      </c>
      <c r="G182">
        <v>0</v>
      </c>
      <c r="I182" s="5">
        <v>44044</v>
      </c>
      <c r="J182" s="5">
        <v>44306.666666666664</v>
      </c>
    </row>
    <row r="183" spans="1:10" x14ac:dyDescent="0.2">
      <c r="A183">
        <v>7117421</v>
      </c>
      <c r="B183">
        <v>3692839</v>
      </c>
      <c r="C183">
        <v>3692892</v>
      </c>
      <c r="D183">
        <v>21883</v>
      </c>
      <c r="E183">
        <v>21883</v>
      </c>
      <c r="F183" t="s">
        <v>441</v>
      </c>
      <c r="G183">
        <v>0</v>
      </c>
      <c r="I183" s="5">
        <v>44044</v>
      </c>
      <c r="J183" s="5">
        <v>44306.666666666664</v>
      </c>
    </row>
    <row r="184" spans="1:10" x14ac:dyDescent="0.2">
      <c r="A184">
        <v>7117422</v>
      </c>
      <c r="B184">
        <v>3692826</v>
      </c>
      <c r="C184">
        <v>3693621</v>
      </c>
      <c r="D184">
        <v>21883</v>
      </c>
      <c r="E184">
        <v>21883</v>
      </c>
      <c r="F184" t="s">
        <v>441</v>
      </c>
      <c r="G184">
        <v>0</v>
      </c>
      <c r="I184" s="5">
        <v>44044</v>
      </c>
      <c r="J184" s="5">
        <v>44306.666666666664</v>
      </c>
    </row>
    <row r="185" spans="1:10" x14ac:dyDescent="0.2">
      <c r="A185">
        <v>7117423</v>
      </c>
      <c r="B185">
        <v>3693621</v>
      </c>
      <c r="C185">
        <v>3692892</v>
      </c>
      <c r="D185">
        <v>21883</v>
      </c>
      <c r="E185">
        <v>21883</v>
      </c>
      <c r="F185" t="s">
        <v>441</v>
      </c>
      <c r="G185">
        <v>0</v>
      </c>
      <c r="I185" s="5">
        <v>44044</v>
      </c>
      <c r="J185" s="5">
        <v>44306.666666666664</v>
      </c>
    </row>
    <row r="186" spans="1:10" x14ac:dyDescent="0.2">
      <c r="A186">
        <v>7117424</v>
      </c>
      <c r="B186">
        <v>3692655</v>
      </c>
      <c r="C186">
        <v>3692657</v>
      </c>
      <c r="D186">
        <v>21883</v>
      </c>
      <c r="E186">
        <v>21883</v>
      </c>
      <c r="F186" t="s">
        <v>441</v>
      </c>
      <c r="G186">
        <v>0</v>
      </c>
      <c r="I186" s="5">
        <v>44078.666666666664</v>
      </c>
      <c r="J186" s="5">
        <v>44029.333333333336</v>
      </c>
    </row>
    <row r="187" spans="1:10" x14ac:dyDescent="0.2">
      <c r="A187">
        <v>7117425</v>
      </c>
      <c r="B187">
        <v>3692659</v>
      </c>
      <c r="C187">
        <v>3692649</v>
      </c>
      <c r="D187">
        <v>21883</v>
      </c>
      <c r="E187">
        <v>21883</v>
      </c>
      <c r="F187" t="s">
        <v>441</v>
      </c>
      <c r="G187">
        <v>0</v>
      </c>
      <c r="I187" s="5">
        <v>44046.333333333336</v>
      </c>
      <c r="J187" s="5">
        <v>44011.333333333336</v>
      </c>
    </row>
    <row r="188" spans="1:10" x14ac:dyDescent="0.2">
      <c r="A188">
        <v>7117426</v>
      </c>
      <c r="B188">
        <v>3692868</v>
      </c>
      <c r="C188">
        <v>3693735</v>
      </c>
      <c r="D188">
        <v>21883</v>
      </c>
      <c r="E188">
        <v>21883</v>
      </c>
      <c r="F188" t="s">
        <v>441</v>
      </c>
      <c r="G188">
        <v>0</v>
      </c>
      <c r="I188" s="5">
        <v>44070.666666666664</v>
      </c>
      <c r="J188" s="5">
        <v>44011.333333333336</v>
      </c>
    </row>
    <row r="189" spans="1:10" x14ac:dyDescent="0.2">
      <c r="A189">
        <v>7117427</v>
      </c>
      <c r="B189">
        <v>3693737</v>
      </c>
      <c r="C189">
        <v>3692821</v>
      </c>
      <c r="D189">
        <v>21883</v>
      </c>
      <c r="E189">
        <v>21883</v>
      </c>
      <c r="F189" t="s">
        <v>441</v>
      </c>
      <c r="G189">
        <v>0</v>
      </c>
      <c r="I189" s="5">
        <v>44049.666666666664</v>
      </c>
      <c r="J189" s="5">
        <v>43993.333333333336</v>
      </c>
    </row>
    <row r="190" spans="1:10" x14ac:dyDescent="0.2">
      <c r="A190">
        <v>7117428</v>
      </c>
      <c r="B190">
        <v>3692677</v>
      </c>
      <c r="C190">
        <v>3692701</v>
      </c>
      <c r="D190">
        <v>21883</v>
      </c>
      <c r="E190">
        <v>21883</v>
      </c>
      <c r="F190" t="s">
        <v>441</v>
      </c>
      <c r="G190">
        <v>0</v>
      </c>
      <c r="I190" s="5">
        <v>44044</v>
      </c>
      <c r="J190" s="5">
        <v>43983.333333333336</v>
      </c>
    </row>
    <row r="191" spans="1:10" x14ac:dyDescent="0.2">
      <c r="A191">
        <v>7117429</v>
      </c>
      <c r="B191">
        <v>3692712</v>
      </c>
      <c r="C191">
        <v>3693171</v>
      </c>
      <c r="D191">
        <v>21883</v>
      </c>
      <c r="E191">
        <v>21883</v>
      </c>
      <c r="F191" t="s">
        <v>441</v>
      </c>
      <c r="G191">
        <v>0</v>
      </c>
      <c r="I191" s="5">
        <v>44044</v>
      </c>
      <c r="J191" s="5">
        <v>43986.333333333336</v>
      </c>
    </row>
    <row r="192" spans="1:10" x14ac:dyDescent="0.2">
      <c r="A192">
        <v>7117430</v>
      </c>
      <c r="B192">
        <v>3693995</v>
      </c>
      <c r="C192">
        <v>3692589</v>
      </c>
      <c r="D192">
        <v>21883</v>
      </c>
      <c r="E192">
        <v>21883</v>
      </c>
      <c r="F192" t="s">
        <v>441</v>
      </c>
      <c r="G192">
        <v>0</v>
      </c>
      <c r="I192" s="5">
        <v>44139.666666666664</v>
      </c>
      <c r="J192" s="5">
        <v>44088.333333333336</v>
      </c>
    </row>
    <row r="193" spans="1:10" x14ac:dyDescent="0.2">
      <c r="A193">
        <v>7117431</v>
      </c>
      <c r="B193">
        <v>3693995</v>
      </c>
      <c r="C193">
        <v>3692587</v>
      </c>
      <c r="D193">
        <v>21883</v>
      </c>
      <c r="E193">
        <v>21883</v>
      </c>
      <c r="F193" t="s">
        <v>441</v>
      </c>
      <c r="G193">
        <v>0</v>
      </c>
      <c r="I193" s="5">
        <v>44151.666666666664</v>
      </c>
      <c r="J193" s="5">
        <v>44088.333333333336</v>
      </c>
    </row>
    <row r="194" spans="1:10" x14ac:dyDescent="0.2">
      <c r="A194">
        <v>7117432</v>
      </c>
      <c r="B194">
        <v>3693995</v>
      </c>
      <c r="C194">
        <v>3692585</v>
      </c>
      <c r="D194">
        <v>21883</v>
      </c>
      <c r="E194">
        <v>21883</v>
      </c>
      <c r="F194" t="s">
        <v>441</v>
      </c>
      <c r="G194">
        <v>0</v>
      </c>
      <c r="I194" s="5">
        <v>44117.666666666664</v>
      </c>
      <c r="J194" s="5">
        <v>44088.333333333336</v>
      </c>
    </row>
    <row r="195" spans="1:10" x14ac:dyDescent="0.2">
      <c r="A195">
        <v>7117433</v>
      </c>
      <c r="B195">
        <v>3693995</v>
      </c>
      <c r="C195">
        <v>3692583</v>
      </c>
      <c r="D195">
        <v>21883</v>
      </c>
      <c r="E195">
        <v>21883</v>
      </c>
      <c r="F195" t="s">
        <v>441</v>
      </c>
      <c r="G195">
        <v>0</v>
      </c>
      <c r="I195" s="5">
        <v>44097.666666666664</v>
      </c>
      <c r="J195" s="5">
        <v>44088.333333333336</v>
      </c>
    </row>
    <row r="196" spans="1:10" x14ac:dyDescent="0.2">
      <c r="A196">
        <v>7117434</v>
      </c>
      <c r="B196">
        <v>3693995</v>
      </c>
      <c r="C196">
        <v>3692581</v>
      </c>
      <c r="D196">
        <v>21883</v>
      </c>
      <c r="E196">
        <v>21883</v>
      </c>
      <c r="F196" t="s">
        <v>441</v>
      </c>
      <c r="G196">
        <v>0</v>
      </c>
      <c r="I196" s="5">
        <v>44096.666666666664</v>
      </c>
      <c r="J196" s="5">
        <v>44088.333333333336</v>
      </c>
    </row>
    <row r="197" spans="1:10" x14ac:dyDescent="0.2">
      <c r="A197">
        <v>7117435</v>
      </c>
      <c r="B197">
        <v>3693889</v>
      </c>
      <c r="C197">
        <v>3692581</v>
      </c>
      <c r="D197">
        <v>21883</v>
      </c>
      <c r="E197">
        <v>21883</v>
      </c>
      <c r="F197" t="s">
        <v>441</v>
      </c>
      <c r="G197">
        <v>0</v>
      </c>
      <c r="I197" s="5">
        <v>44096.666666666664</v>
      </c>
      <c r="J197" s="5">
        <v>44082.333333333336</v>
      </c>
    </row>
    <row r="198" spans="1:10" x14ac:dyDescent="0.2">
      <c r="A198">
        <v>7117436</v>
      </c>
      <c r="B198">
        <v>3692581</v>
      </c>
      <c r="C198">
        <v>3692582</v>
      </c>
      <c r="D198">
        <v>21883</v>
      </c>
      <c r="E198">
        <v>21883</v>
      </c>
      <c r="F198" t="s">
        <v>441</v>
      </c>
      <c r="G198">
        <v>0</v>
      </c>
      <c r="I198" s="5">
        <v>44089.666666666664</v>
      </c>
      <c r="J198" s="5">
        <v>44075.333333333336</v>
      </c>
    </row>
    <row r="199" spans="1:10" x14ac:dyDescent="0.2">
      <c r="A199">
        <v>7117437</v>
      </c>
      <c r="B199">
        <v>3692582</v>
      </c>
      <c r="C199">
        <v>3693879</v>
      </c>
      <c r="D199">
        <v>21883</v>
      </c>
      <c r="E199">
        <v>21883</v>
      </c>
      <c r="F199" t="s">
        <v>441</v>
      </c>
      <c r="G199">
        <v>0</v>
      </c>
      <c r="I199" s="5">
        <v>44084.666666666664</v>
      </c>
      <c r="J199" s="5">
        <v>44070.333333333336</v>
      </c>
    </row>
    <row r="200" spans="1:10" x14ac:dyDescent="0.2">
      <c r="A200">
        <v>7117438</v>
      </c>
      <c r="B200">
        <v>3693995</v>
      </c>
      <c r="C200">
        <v>3693889</v>
      </c>
      <c r="D200">
        <v>21883</v>
      </c>
      <c r="E200">
        <v>21883</v>
      </c>
      <c r="F200" t="s">
        <v>441</v>
      </c>
      <c r="G200">
        <v>0</v>
      </c>
      <c r="I200" s="5">
        <v>44103.666666666664</v>
      </c>
      <c r="J200" s="5">
        <v>44088.333333333336</v>
      </c>
    </row>
    <row r="201" spans="1:10" x14ac:dyDescent="0.2">
      <c r="A201">
        <v>7117439</v>
      </c>
      <c r="B201">
        <v>3693904</v>
      </c>
      <c r="C201">
        <v>3692583</v>
      </c>
      <c r="D201">
        <v>21883</v>
      </c>
      <c r="E201">
        <v>21883</v>
      </c>
      <c r="F201" t="s">
        <v>441</v>
      </c>
      <c r="G201">
        <v>0</v>
      </c>
      <c r="I201" s="5">
        <v>44097.666666666664</v>
      </c>
      <c r="J201" s="5">
        <v>44102.333333333336</v>
      </c>
    </row>
    <row r="202" spans="1:10" x14ac:dyDescent="0.2">
      <c r="A202">
        <v>7117440</v>
      </c>
      <c r="B202">
        <v>3692583</v>
      </c>
      <c r="C202">
        <v>3692584</v>
      </c>
      <c r="D202">
        <v>21883</v>
      </c>
      <c r="E202">
        <v>21883</v>
      </c>
      <c r="F202" t="s">
        <v>441</v>
      </c>
      <c r="G202">
        <v>0</v>
      </c>
      <c r="I202" s="5">
        <v>44090.666666666664</v>
      </c>
      <c r="J202" s="5">
        <v>44081.333333333336</v>
      </c>
    </row>
    <row r="203" spans="1:10" x14ac:dyDescent="0.2">
      <c r="A203">
        <v>7117441</v>
      </c>
      <c r="B203">
        <v>3692584</v>
      </c>
      <c r="C203">
        <v>3693894</v>
      </c>
      <c r="D203">
        <v>21883</v>
      </c>
      <c r="E203">
        <v>21883</v>
      </c>
      <c r="F203" t="s">
        <v>441</v>
      </c>
      <c r="G203">
        <v>0</v>
      </c>
      <c r="I203" s="5">
        <v>44085.666666666664</v>
      </c>
      <c r="J203" s="5">
        <v>44076.333333333336</v>
      </c>
    </row>
    <row r="204" spans="1:10" x14ac:dyDescent="0.2">
      <c r="A204">
        <v>7117442</v>
      </c>
      <c r="B204">
        <v>3693919</v>
      </c>
      <c r="C204">
        <v>3692585</v>
      </c>
      <c r="D204">
        <v>21883</v>
      </c>
      <c r="E204">
        <v>21883</v>
      </c>
      <c r="F204" t="s">
        <v>441</v>
      </c>
      <c r="G204">
        <v>0</v>
      </c>
      <c r="I204" s="5">
        <v>44117.666666666664</v>
      </c>
      <c r="J204" s="5">
        <v>44102.333333333336</v>
      </c>
    </row>
    <row r="205" spans="1:10" x14ac:dyDescent="0.2">
      <c r="A205">
        <v>7117443</v>
      </c>
      <c r="B205">
        <v>3692585</v>
      </c>
      <c r="C205">
        <v>3692586</v>
      </c>
      <c r="D205">
        <v>21883</v>
      </c>
      <c r="E205">
        <v>21883</v>
      </c>
      <c r="F205" t="s">
        <v>441</v>
      </c>
      <c r="G205">
        <v>0</v>
      </c>
      <c r="I205" s="5">
        <v>44110.666666666664</v>
      </c>
      <c r="J205" s="5">
        <v>44081.333333333336</v>
      </c>
    </row>
    <row r="206" spans="1:10" x14ac:dyDescent="0.2">
      <c r="A206">
        <v>7117444</v>
      </c>
      <c r="B206">
        <v>3692586</v>
      </c>
      <c r="C206">
        <v>3693909</v>
      </c>
      <c r="D206">
        <v>21883</v>
      </c>
      <c r="E206">
        <v>21883</v>
      </c>
      <c r="F206" t="s">
        <v>441</v>
      </c>
      <c r="G206">
        <v>0</v>
      </c>
      <c r="I206" s="5">
        <v>44103.666666666664</v>
      </c>
      <c r="J206" s="5">
        <v>44076.333333333336</v>
      </c>
    </row>
    <row r="207" spans="1:10" x14ac:dyDescent="0.2">
      <c r="A207">
        <v>7117445</v>
      </c>
      <c r="B207">
        <v>3693934</v>
      </c>
      <c r="C207">
        <v>3692587</v>
      </c>
      <c r="D207">
        <v>21883</v>
      </c>
      <c r="E207">
        <v>21883</v>
      </c>
      <c r="F207" t="s">
        <v>441</v>
      </c>
      <c r="G207">
        <v>0</v>
      </c>
      <c r="I207" s="5">
        <v>44151.666666666664</v>
      </c>
      <c r="J207" s="5">
        <v>44102.333333333336</v>
      </c>
    </row>
    <row r="208" spans="1:10" x14ac:dyDescent="0.2">
      <c r="A208">
        <v>7117446</v>
      </c>
      <c r="B208">
        <v>3692587</v>
      </c>
      <c r="C208">
        <v>3692588</v>
      </c>
      <c r="D208">
        <v>21883</v>
      </c>
      <c r="E208">
        <v>21883</v>
      </c>
      <c r="F208" t="s">
        <v>441</v>
      </c>
      <c r="G208">
        <v>0</v>
      </c>
      <c r="I208" s="5">
        <v>44144.666666666664</v>
      </c>
      <c r="J208" s="5">
        <v>44081.333333333336</v>
      </c>
    </row>
    <row r="209" spans="1:10" x14ac:dyDescent="0.2">
      <c r="A209">
        <v>7117447</v>
      </c>
      <c r="B209">
        <v>3692588</v>
      </c>
      <c r="C209">
        <v>3693924</v>
      </c>
      <c r="D209">
        <v>21883</v>
      </c>
      <c r="E209">
        <v>21883</v>
      </c>
      <c r="F209" t="s">
        <v>441</v>
      </c>
      <c r="G209">
        <v>0</v>
      </c>
      <c r="I209" s="5">
        <v>44139.666666666664</v>
      </c>
      <c r="J209" s="5">
        <v>44076.333333333336</v>
      </c>
    </row>
    <row r="210" spans="1:10" x14ac:dyDescent="0.2">
      <c r="A210">
        <v>7117448</v>
      </c>
      <c r="B210">
        <v>3693949</v>
      </c>
      <c r="C210">
        <v>3692589</v>
      </c>
      <c r="D210">
        <v>21883</v>
      </c>
      <c r="E210">
        <v>21883</v>
      </c>
      <c r="F210" t="s">
        <v>441</v>
      </c>
      <c r="G210">
        <v>0</v>
      </c>
      <c r="I210" s="5">
        <v>44139.666666666664</v>
      </c>
      <c r="J210" s="5">
        <v>44102.333333333336</v>
      </c>
    </row>
    <row r="211" spans="1:10" x14ac:dyDescent="0.2">
      <c r="A211">
        <v>7117449</v>
      </c>
      <c r="B211">
        <v>3692589</v>
      </c>
      <c r="C211">
        <v>3692590</v>
      </c>
      <c r="D211">
        <v>21883</v>
      </c>
      <c r="E211">
        <v>21883</v>
      </c>
      <c r="F211" t="s">
        <v>441</v>
      </c>
      <c r="G211">
        <v>0</v>
      </c>
      <c r="I211" s="5">
        <v>44132.666666666664</v>
      </c>
      <c r="J211" s="5">
        <v>44081.333333333336</v>
      </c>
    </row>
    <row r="212" spans="1:10" x14ac:dyDescent="0.2">
      <c r="A212">
        <v>7117450</v>
      </c>
      <c r="B212">
        <v>3692590</v>
      </c>
      <c r="C212">
        <v>3693939</v>
      </c>
      <c r="D212">
        <v>21883</v>
      </c>
      <c r="E212">
        <v>21883</v>
      </c>
      <c r="F212" t="s">
        <v>441</v>
      </c>
      <c r="G212">
        <v>0</v>
      </c>
      <c r="I212" s="5">
        <v>44127.666666666664</v>
      </c>
      <c r="J212" s="5">
        <v>44076.333333333336</v>
      </c>
    </row>
    <row r="213" spans="1:10" x14ac:dyDescent="0.2">
      <c r="A213">
        <v>7117451</v>
      </c>
      <c r="B213">
        <v>3693995</v>
      </c>
      <c r="C213">
        <v>3692591</v>
      </c>
      <c r="D213">
        <v>21883</v>
      </c>
      <c r="E213">
        <v>21883</v>
      </c>
      <c r="F213" t="s">
        <v>441</v>
      </c>
      <c r="G213">
        <v>0</v>
      </c>
      <c r="I213" s="5">
        <v>44141.666666666664</v>
      </c>
      <c r="J213" s="5">
        <v>44088.333333333336</v>
      </c>
    </row>
    <row r="214" spans="1:10" x14ac:dyDescent="0.2">
      <c r="A214">
        <v>7117452</v>
      </c>
      <c r="B214">
        <v>3692592</v>
      </c>
      <c r="C214">
        <v>3693954</v>
      </c>
      <c r="D214">
        <v>21883</v>
      </c>
      <c r="E214">
        <v>21883</v>
      </c>
      <c r="F214" t="s">
        <v>441</v>
      </c>
      <c r="G214">
        <v>0</v>
      </c>
      <c r="I214" s="5">
        <v>44131.666666666664</v>
      </c>
      <c r="J214" s="5">
        <v>44076.333333333336</v>
      </c>
    </row>
    <row r="215" spans="1:10" x14ac:dyDescent="0.2">
      <c r="A215">
        <v>7117453</v>
      </c>
      <c r="B215">
        <v>3693959</v>
      </c>
      <c r="C215">
        <v>3692591</v>
      </c>
      <c r="D215">
        <v>21883</v>
      </c>
      <c r="E215">
        <v>21883</v>
      </c>
      <c r="F215" t="s">
        <v>441</v>
      </c>
      <c r="G215">
        <v>0</v>
      </c>
      <c r="I215" s="5">
        <v>44141.666666666664</v>
      </c>
      <c r="J215" s="5">
        <v>44102.333333333336</v>
      </c>
    </row>
    <row r="216" spans="1:10" x14ac:dyDescent="0.2">
      <c r="A216">
        <v>7117454</v>
      </c>
      <c r="B216">
        <v>3692591</v>
      </c>
      <c r="C216">
        <v>3692592</v>
      </c>
      <c r="D216">
        <v>21883</v>
      </c>
      <c r="E216">
        <v>21883</v>
      </c>
      <c r="F216" t="s">
        <v>441</v>
      </c>
      <c r="G216">
        <v>0</v>
      </c>
      <c r="I216" s="5">
        <v>44134.666666666664</v>
      </c>
      <c r="J216" s="5">
        <v>44081.333333333336</v>
      </c>
    </row>
    <row r="217" spans="1:10" x14ac:dyDescent="0.2">
      <c r="A217">
        <v>7117455</v>
      </c>
      <c r="B217">
        <v>3693995</v>
      </c>
      <c r="C217">
        <v>3692593</v>
      </c>
      <c r="D217">
        <v>21883</v>
      </c>
      <c r="E217">
        <v>21883</v>
      </c>
      <c r="F217" t="s">
        <v>441</v>
      </c>
      <c r="G217">
        <v>0</v>
      </c>
      <c r="I217" s="5">
        <v>44145.666666666664</v>
      </c>
      <c r="J217" s="5">
        <v>44088.333333333336</v>
      </c>
    </row>
    <row r="218" spans="1:10" x14ac:dyDescent="0.2">
      <c r="A218">
        <v>7117456</v>
      </c>
      <c r="B218">
        <v>3693995</v>
      </c>
      <c r="C218">
        <v>3692595</v>
      </c>
      <c r="D218">
        <v>21883</v>
      </c>
      <c r="E218">
        <v>21883</v>
      </c>
      <c r="F218" t="s">
        <v>441</v>
      </c>
      <c r="G218">
        <v>0</v>
      </c>
      <c r="I218" s="5">
        <v>44147.666666666664</v>
      </c>
      <c r="J218" s="5">
        <v>44088.333333333336</v>
      </c>
    </row>
    <row r="219" spans="1:10" x14ac:dyDescent="0.2">
      <c r="A219">
        <v>7117457</v>
      </c>
      <c r="B219">
        <v>3693974</v>
      </c>
      <c r="C219">
        <v>3692593</v>
      </c>
      <c r="D219">
        <v>21883</v>
      </c>
      <c r="E219">
        <v>21883</v>
      </c>
      <c r="F219" t="s">
        <v>441</v>
      </c>
      <c r="G219">
        <v>0</v>
      </c>
      <c r="I219" s="5">
        <v>44145.666666666664</v>
      </c>
      <c r="J219" s="5">
        <v>44102.333333333336</v>
      </c>
    </row>
    <row r="220" spans="1:10" x14ac:dyDescent="0.2">
      <c r="A220">
        <v>7117458</v>
      </c>
      <c r="B220">
        <v>3692593</v>
      </c>
      <c r="C220">
        <v>3692594</v>
      </c>
      <c r="D220">
        <v>21883</v>
      </c>
      <c r="E220">
        <v>21883</v>
      </c>
      <c r="F220" t="s">
        <v>441</v>
      </c>
      <c r="G220">
        <v>0</v>
      </c>
      <c r="I220" s="5">
        <v>44138.666666666664</v>
      </c>
      <c r="J220" s="5">
        <v>44081.333333333336</v>
      </c>
    </row>
    <row r="221" spans="1:10" x14ac:dyDescent="0.2">
      <c r="A221">
        <v>7117459</v>
      </c>
      <c r="B221">
        <v>3692594</v>
      </c>
      <c r="C221">
        <v>3693969</v>
      </c>
      <c r="D221">
        <v>21883</v>
      </c>
      <c r="E221">
        <v>21883</v>
      </c>
      <c r="F221" t="s">
        <v>441</v>
      </c>
      <c r="G221">
        <v>0</v>
      </c>
      <c r="I221" s="5">
        <v>44133.666666666664</v>
      </c>
      <c r="J221" s="5">
        <v>44076.333333333336</v>
      </c>
    </row>
    <row r="222" spans="1:10" x14ac:dyDescent="0.2">
      <c r="A222">
        <v>7117460</v>
      </c>
      <c r="B222">
        <v>3693989</v>
      </c>
      <c r="C222">
        <v>3692595</v>
      </c>
      <c r="D222">
        <v>21883</v>
      </c>
      <c r="E222">
        <v>21883</v>
      </c>
      <c r="F222" t="s">
        <v>441</v>
      </c>
      <c r="G222">
        <v>0</v>
      </c>
      <c r="I222" s="5">
        <v>44147.666666666664</v>
      </c>
      <c r="J222" s="5">
        <v>44102.333333333336</v>
      </c>
    </row>
    <row r="223" spans="1:10" x14ac:dyDescent="0.2">
      <c r="A223">
        <v>7117461</v>
      </c>
      <c r="B223">
        <v>3692595</v>
      </c>
      <c r="C223">
        <v>3692596</v>
      </c>
      <c r="D223">
        <v>21883</v>
      </c>
      <c r="E223">
        <v>21883</v>
      </c>
      <c r="F223" t="s">
        <v>441</v>
      </c>
      <c r="G223">
        <v>0</v>
      </c>
      <c r="I223" s="5">
        <v>44140.666666666664</v>
      </c>
      <c r="J223" s="5">
        <v>44081.333333333336</v>
      </c>
    </row>
    <row r="224" spans="1:10" x14ac:dyDescent="0.2">
      <c r="A224">
        <v>7117462</v>
      </c>
      <c r="B224">
        <v>3692596</v>
      </c>
      <c r="C224">
        <v>3693984</v>
      </c>
      <c r="D224">
        <v>21883</v>
      </c>
      <c r="E224">
        <v>21883</v>
      </c>
      <c r="F224" t="s">
        <v>441</v>
      </c>
      <c r="G224">
        <v>0</v>
      </c>
      <c r="I224" s="5">
        <v>44137.666666666664</v>
      </c>
      <c r="J224" s="5">
        <v>44076.333333333336</v>
      </c>
    </row>
    <row r="225" spans="1:10" x14ac:dyDescent="0.2">
      <c r="A225">
        <v>7117463</v>
      </c>
      <c r="B225">
        <v>3693750</v>
      </c>
      <c r="C225">
        <v>3693988</v>
      </c>
      <c r="D225">
        <v>21883</v>
      </c>
      <c r="E225">
        <v>21883</v>
      </c>
      <c r="F225" t="s">
        <v>441</v>
      </c>
      <c r="G225">
        <v>0</v>
      </c>
      <c r="I225" s="5">
        <v>44168.666666666664</v>
      </c>
      <c r="J225" s="5">
        <v>44109.666666666664</v>
      </c>
    </row>
    <row r="226" spans="1:10" x14ac:dyDescent="0.2">
      <c r="A226">
        <v>7117464</v>
      </c>
      <c r="B226">
        <v>3693750</v>
      </c>
      <c r="C226">
        <v>3693973</v>
      </c>
      <c r="D226">
        <v>21883</v>
      </c>
      <c r="E226">
        <v>21883</v>
      </c>
      <c r="F226" t="s">
        <v>441</v>
      </c>
      <c r="G226">
        <v>0</v>
      </c>
      <c r="I226" s="5">
        <v>44168.666666666664</v>
      </c>
      <c r="J226" s="5">
        <v>44109.666666666664</v>
      </c>
    </row>
    <row r="227" spans="1:10" x14ac:dyDescent="0.2">
      <c r="A227">
        <v>7117465</v>
      </c>
      <c r="B227">
        <v>3693750</v>
      </c>
      <c r="C227">
        <v>3693958</v>
      </c>
      <c r="D227">
        <v>21883</v>
      </c>
      <c r="E227">
        <v>21883</v>
      </c>
      <c r="F227" t="s">
        <v>441</v>
      </c>
      <c r="G227">
        <v>0</v>
      </c>
      <c r="I227" s="5">
        <v>44168.666666666664</v>
      </c>
      <c r="J227" s="5">
        <v>44109.666666666664</v>
      </c>
    </row>
    <row r="228" spans="1:10" x14ac:dyDescent="0.2">
      <c r="A228">
        <v>7117466</v>
      </c>
      <c r="B228">
        <v>3693750</v>
      </c>
      <c r="C228">
        <v>3693948</v>
      </c>
      <c r="D228">
        <v>21883</v>
      </c>
      <c r="E228">
        <v>21883</v>
      </c>
      <c r="F228" t="s">
        <v>441</v>
      </c>
      <c r="G228">
        <v>0</v>
      </c>
      <c r="I228" s="5">
        <v>44168.666666666664</v>
      </c>
      <c r="J228" s="5">
        <v>44109.666666666664</v>
      </c>
    </row>
    <row r="229" spans="1:10" x14ac:dyDescent="0.2">
      <c r="A229">
        <v>7117467</v>
      </c>
      <c r="B229">
        <v>3693750</v>
      </c>
      <c r="C229">
        <v>3693933</v>
      </c>
      <c r="D229">
        <v>21883</v>
      </c>
      <c r="E229">
        <v>21883</v>
      </c>
      <c r="F229" t="s">
        <v>441</v>
      </c>
      <c r="G229">
        <v>0</v>
      </c>
      <c r="I229" s="5">
        <v>44168.666666666664</v>
      </c>
      <c r="J229" s="5">
        <v>44109.666666666664</v>
      </c>
    </row>
    <row r="230" spans="1:10" x14ac:dyDescent="0.2">
      <c r="A230">
        <v>7117468</v>
      </c>
      <c r="B230">
        <v>3693750</v>
      </c>
      <c r="C230">
        <v>3693918</v>
      </c>
      <c r="D230">
        <v>21883</v>
      </c>
      <c r="E230">
        <v>21883</v>
      </c>
      <c r="F230" t="s">
        <v>441</v>
      </c>
      <c r="G230">
        <v>0</v>
      </c>
      <c r="I230" s="5">
        <v>44168.666666666664</v>
      </c>
      <c r="J230" s="5">
        <v>44109.666666666664</v>
      </c>
    </row>
    <row r="231" spans="1:10" x14ac:dyDescent="0.2">
      <c r="A231">
        <v>7117469</v>
      </c>
      <c r="B231">
        <v>3693750</v>
      </c>
      <c r="C231">
        <v>3693903</v>
      </c>
      <c r="D231">
        <v>21883</v>
      </c>
      <c r="E231">
        <v>21883</v>
      </c>
      <c r="F231" t="s">
        <v>441</v>
      </c>
      <c r="G231">
        <v>0</v>
      </c>
      <c r="I231" s="5">
        <v>44168.666666666664</v>
      </c>
      <c r="J231" s="5">
        <v>44109.666666666664</v>
      </c>
    </row>
    <row r="232" spans="1:10" x14ac:dyDescent="0.2">
      <c r="A232">
        <v>7117470</v>
      </c>
      <c r="B232">
        <v>3693750</v>
      </c>
      <c r="C232">
        <v>3693888</v>
      </c>
      <c r="D232">
        <v>21883</v>
      </c>
      <c r="E232">
        <v>21883</v>
      </c>
      <c r="F232" t="s">
        <v>441</v>
      </c>
      <c r="G232">
        <v>0</v>
      </c>
      <c r="I232" s="5">
        <v>44168.666666666664</v>
      </c>
      <c r="J232" s="5">
        <v>44109.666666666664</v>
      </c>
    </row>
    <row r="233" spans="1:10" x14ac:dyDescent="0.2">
      <c r="A233">
        <v>7117471</v>
      </c>
      <c r="B233">
        <v>3693888</v>
      </c>
      <c r="C233">
        <v>3693995</v>
      </c>
      <c r="D233">
        <v>21883</v>
      </c>
      <c r="E233">
        <v>21883</v>
      </c>
      <c r="F233" t="s">
        <v>441</v>
      </c>
      <c r="G233">
        <v>0</v>
      </c>
      <c r="I233" s="5">
        <v>44160.666666666664</v>
      </c>
      <c r="J233" s="5">
        <v>44105.333333333336</v>
      </c>
    </row>
    <row r="234" spans="1:10" x14ac:dyDescent="0.2">
      <c r="A234">
        <v>7117472</v>
      </c>
      <c r="B234">
        <v>3693903</v>
      </c>
      <c r="C234">
        <v>3693995</v>
      </c>
      <c r="D234">
        <v>21883</v>
      </c>
      <c r="E234">
        <v>21883</v>
      </c>
      <c r="F234" t="s">
        <v>441</v>
      </c>
      <c r="G234">
        <v>0</v>
      </c>
      <c r="I234" s="5">
        <v>44160.666666666664</v>
      </c>
      <c r="J234" s="5">
        <v>44105.333333333336</v>
      </c>
    </row>
    <row r="235" spans="1:10" x14ac:dyDescent="0.2">
      <c r="A235">
        <v>7117473</v>
      </c>
      <c r="B235">
        <v>3693918</v>
      </c>
      <c r="C235">
        <v>3693995</v>
      </c>
      <c r="D235">
        <v>21883</v>
      </c>
      <c r="E235">
        <v>21883</v>
      </c>
      <c r="F235" t="s">
        <v>441</v>
      </c>
      <c r="G235">
        <v>0</v>
      </c>
      <c r="I235" s="5">
        <v>44160.666666666664</v>
      </c>
      <c r="J235" s="5">
        <v>44105.333333333336</v>
      </c>
    </row>
    <row r="236" spans="1:10" x14ac:dyDescent="0.2">
      <c r="A236">
        <v>7117474</v>
      </c>
      <c r="B236">
        <v>3693933</v>
      </c>
      <c r="C236">
        <v>3693995</v>
      </c>
      <c r="D236">
        <v>21883</v>
      </c>
      <c r="E236">
        <v>21883</v>
      </c>
      <c r="F236" t="s">
        <v>441</v>
      </c>
      <c r="G236">
        <v>0</v>
      </c>
      <c r="I236" s="5">
        <v>44160.666666666664</v>
      </c>
      <c r="J236" s="5">
        <v>44105.333333333336</v>
      </c>
    </row>
    <row r="237" spans="1:10" x14ac:dyDescent="0.2">
      <c r="A237">
        <v>7117475</v>
      </c>
      <c r="B237">
        <v>3693948</v>
      </c>
      <c r="C237">
        <v>3693995</v>
      </c>
      <c r="D237">
        <v>21883</v>
      </c>
      <c r="E237">
        <v>21883</v>
      </c>
      <c r="F237" t="s">
        <v>441</v>
      </c>
      <c r="G237">
        <v>0</v>
      </c>
      <c r="I237" s="5">
        <v>44160.666666666664</v>
      </c>
      <c r="J237" s="5">
        <v>44105.333333333336</v>
      </c>
    </row>
    <row r="238" spans="1:10" x14ac:dyDescent="0.2">
      <c r="A238">
        <v>7117476</v>
      </c>
      <c r="B238">
        <v>3693958</v>
      </c>
      <c r="C238">
        <v>3693995</v>
      </c>
      <c r="D238">
        <v>21883</v>
      </c>
      <c r="E238">
        <v>21883</v>
      </c>
      <c r="F238" t="s">
        <v>441</v>
      </c>
      <c r="G238">
        <v>0</v>
      </c>
      <c r="I238" s="5">
        <v>44160.666666666664</v>
      </c>
      <c r="J238" s="5">
        <v>44105.333333333336</v>
      </c>
    </row>
    <row r="239" spans="1:10" x14ac:dyDescent="0.2">
      <c r="A239">
        <v>7117477</v>
      </c>
      <c r="B239">
        <v>3693973</v>
      </c>
      <c r="C239">
        <v>3693995</v>
      </c>
      <c r="D239">
        <v>21883</v>
      </c>
      <c r="E239">
        <v>21883</v>
      </c>
      <c r="F239" t="s">
        <v>441</v>
      </c>
      <c r="G239">
        <v>0</v>
      </c>
      <c r="I239" s="5">
        <v>44160.666666666664</v>
      </c>
      <c r="J239" s="5">
        <v>44105.333333333336</v>
      </c>
    </row>
    <row r="240" spans="1:10" x14ac:dyDescent="0.2">
      <c r="A240">
        <v>7117478</v>
      </c>
      <c r="B240">
        <v>3693988</v>
      </c>
      <c r="C240">
        <v>3693995</v>
      </c>
      <c r="D240">
        <v>21883</v>
      </c>
      <c r="E240">
        <v>21883</v>
      </c>
      <c r="F240" t="s">
        <v>441</v>
      </c>
      <c r="G240">
        <v>0</v>
      </c>
      <c r="I240" s="5">
        <v>44160.666666666664</v>
      </c>
      <c r="J240" s="5">
        <v>44105.333333333336</v>
      </c>
    </row>
    <row r="241" spans="1:10" x14ac:dyDescent="0.2">
      <c r="A241">
        <v>7117479</v>
      </c>
      <c r="B241">
        <v>3693764</v>
      </c>
      <c r="C241">
        <v>3693758</v>
      </c>
      <c r="D241">
        <v>21883</v>
      </c>
      <c r="E241">
        <v>21883</v>
      </c>
      <c r="F241" t="s">
        <v>441</v>
      </c>
      <c r="G241">
        <v>0</v>
      </c>
      <c r="I241" s="5">
        <v>44044</v>
      </c>
      <c r="J241" s="5">
        <v>44014.333333333336</v>
      </c>
    </row>
    <row r="242" spans="1:10" x14ac:dyDescent="0.2">
      <c r="A242">
        <v>7117480</v>
      </c>
      <c r="B242">
        <v>3693781</v>
      </c>
      <c r="C242">
        <v>3693776</v>
      </c>
      <c r="D242">
        <v>21883</v>
      </c>
      <c r="E242">
        <v>21883</v>
      </c>
      <c r="F242" t="s">
        <v>441</v>
      </c>
      <c r="G242">
        <v>0</v>
      </c>
      <c r="I242" s="5">
        <v>44044</v>
      </c>
      <c r="J242" s="5">
        <v>44005.333333333336</v>
      </c>
    </row>
    <row r="243" spans="1:10" x14ac:dyDescent="0.2">
      <c r="A243">
        <v>7117481</v>
      </c>
      <c r="B243">
        <v>3693866</v>
      </c>
      <c r="C243">
        <v>3693871</v>
      </c>
      <c r="D243">
        <v>21883</v>
      </c>
      <c r="E243">
        <v>21883</v>
      </c>
      <c r="F243" t="s">
        <v>441</v>
      </c>
      <c r="G243">
        <v>0</v>
      </c>
      <c r="I243" s="5">
        <v>44044</v>
      </c>
      <c r="J243" s="5">
        <v>43970.333333333336</v>
      </c>
    </row>
    <row r="244" spans="1:10" x14ac:dyDescent="0.2">
      <c r="A244">
        <v>7117482</v>
      </c>
      <c r="B244">
        <v>3693867</v>
      </c>
      <c r="C244">
        <v>3693863</v>
      </c>
      <c r="D244">
        <v>21883</v>
      </c>
      <c r="E244">
        <v>21883</v>
      </c>
      <c r="F244" t="s">
        <v>441</v>
      </c>
      <c r="G244">
        <v>0</v>
      </c>
      <c r="I244" s="5">
        <v>44044</v>
      </c>
      <c r="J244" s="5">
        <v>43970.333333333336</v>
      </c>
    </row>
    <row r="245" spans="1:10" x14ac:dyDescent="0.2">
      <c r="A245">
        <v>7117483</v>
      </c>
      <c r="B245">
        <v>3693852</v>
      </c>
      <c r="C245">
        <v>3693857</v>
      </c>
      <c r="D245">
        <v>21883</v>
      </c>
      <c r="E245">
        <v>21883</v>
      </c>
      <c r="F245" t="s">
        <v>441</v>
      </c>
      <c r="G245">
        <v>0</v>
      </c>
      <c r="I245" s="5">
        <v>44044</v>
      </c>
      <c r="J245" s="5">
        <v>43983.333333333336</v>
      </c>
    </row>
    <row r="246" spans="1:10" x14ac:dyDescent="0.2">
      <c r="A246">
        <v>7117484</v>
      </c>
      <c r="B246">
        <v>3693848</v>
      </c>
      <c r="C246">
        <v>3693852</v>
      </c>
      <c r="D246">
        <v>21883</v>
      </c>
      <c r="E246">
        <v>21883</v>
      </c>
      <c r="F246" t="s">
        <v>441</v>
      </c>
      <c r="G246">
        <v>0</v>
      </c>
      <c r="I246" s="5">
        <v>44044</v>
      </c>
      <c r="J246" s="5">
        <v>43983.333333333336</v>
      </c>
    </row>
    <row r="247" spans="1:10" x14ac:dyDescent="0.2">
      <c r="A247">
        <v>7117485</v>
      </c>
      <c r="B247">
        <v>3693853</v>
      </c>
      <c r="C247">
        <v>3693848</v>
      </c>
      <c r="D247">
        <v>21883</v>
      </c>
      <c r="E247">
        <v>21883</v>
      </c>
      <c r="F247" t="s">
        <v>441</v>
      </c>
      <c r="G247">
        <v>0</v>
      </c>
      <c r="I247" s="5">
        <v>44044</v>
      </c>
      <c r="J247" s="5">
        <v>43983.333333333336</v>
      </c>
    </row>
    <row r="248" spans="1:10" x14ac:dyDescent="0.2">
      <c r="A248">
        <v>7117486</v>
      </c>
      <c r="B248">
        <v>3693834</v>
      </c>
      <c r="C248">
        <v>3693838</v>
      </c>
      <c r="D248">
        <v>21883</v>
      </c>
      <c r="E248">
        <v>21883</v>
      </c>
      <c r="F248" t="s">
        <v>441</v>
      </c>
      <c r="G248">
        <v>0</v>
      </c>
      <c r="I248" s="5">
        <v>44044</v>
      </c>
      <c r="J248" s="5">
        <v>44005.333333333336</v>
      </c>
    </row>
    <row r="249" spans="1:10" x14ac:dyDescent="0.2">
      <c r="A249">
        <v>7117487</v>
      </c>
      <c r="B249">
        <v>3693839</v>
      </c>
      <c r="C249">
        <v>3693834</v>
      </c>
      <c r="D249">
        <v>21883</v>
      </c>
      <c r="E249">
        <v>21883</v>
      </c>
      <c r="F249" t="s">
        <v>441</v>
      </c>
      <c r="G249">
        <v>0</v>
      </c>
      <c r="I249" s="5">
        <v>44044</v>
      </c>
      <c r="J249" s="5">
        <v>44005.333333333336</v>
      </c>
    </row>
    <row r="250" spans="1:10" x14ac:dyDescent="0.2">
      <c r="A250">
        <v>7117488</v>
      </c>
      <c r="B250">
        <v>3693838</v>
      </c>
      <c r="C250">
        <v>3693844</v>
      </c>
      <c r="D250">
        <v>21883</v>
      </c>
      <c r="E250">
        <v>21883</v>
      </c>
      <c r="F250" t="s">
        <v>441</v>
      </c>
      <c r="G250">
        <v>0</v>
      </c>
      <c r="I250" s="5">
        <v>44044</v>
      </c>
      <c r="J250" s="5">
        <v>44005.333333333336</v>
      </c>
    </row>
    <row r="251" spans="1:10" x14ac:dyDescent="0.2">
      <c r="A251">
        <v>7117489</v>
      </c>
      <c r="B251">
        <v>3693980</v>
      </c>
      <c r="C251">
        <v>3693764</v>
      </c>
      <c r="D251">
        <v>21883</v>
      </c>
      <c r="E251">
        <v>21883</v>
      </c>
      <c r="F251" t="s">
        <v>441</v>
      </c>
      <c r="G251">
        <v>0</v>
      </c>
      <c r="I251" s="5">
        <v>44044</v>
      </c>
      <c r="J251" s="5">
        <v>44014.333333333336</v>
      </c>
    </row>
    <row r="252" spans="1:10" x14ac:dyDescent="0.2">
      <c r="A252">
        <v>7117490</v>
      </c>
      <c r="B252">
        <v>3693830</v>
      </c>
      <c r="C252">
        <v>3693810</v>
      </c>
      <c r="D252">
        <v>21883</v>
      </c>
      <c r="E252">
        <v>21883</v>
      </c>
      <c r="F252" t="s">
        <v>441</v>
      </c>
      <c r="G252">
        <v>0</v>
      </c>
      <c r="I252" s="5">
        <v>44044</v>
      </c>
      <c r="J252" s="5">
        <v>44018.333333333336</v>
      </c>
    </row>
    <row r="253" spans="1:10" x14ac:dyDescent="0.2">
      <c r="A253">
        <v>7117491</v>
      </c>
      <c r="B253">
        <v>3693765</v>
      </c>
      <c r="C253">
        <v>3693752</v>
      </c>
      <c r="D253">
        <v>21883</v>
      </c>
      <c r="E253">
        <v>21883</v>
      </c>
      <c r="F253" t="s">
        <v>441</v>
      </c>
      <c r="G253">
        <v>0</v>
      </c>
      <c r="I253" s="5">
        <v>44044</v>
      </c>
      <c r="J253" s="5">
        <v>44012.333333333336</v>
      </c>
    </row>
    <row r="254" spans="1:10" x14ac:dyDescent="0.2">
      <c r="A254">
        <v>7117492</v>
      </c>
      <c r="B254">
        <v>3693784</v>
      </c>
      <c r="C254">
        <v>3693770</v>
      </c>
      <c r="D254">
        <v>21883</v>
      </c>
      <c r="E254">
        <v>21883</v>
      </c>
      <c r="F254" t="s">
        <v>441</v>
      </c>
      <c r="G254">
        <v>0</v>
      </c>
      <c r="I254" s="5">
        <v>44044</v>
      </c>
      <c r="J254" s="5">
        <v>44005.333333333336</v>
      </c>
    </row>
    <row r="255" spans="1:10" x14ac:dyDescent="0.2">
      <c r="A255">
        <v>7117493</v>
      </c>
      <c r="B255">
        <v>3692597</v>
      </c>
      <c r="C255">
        <v>3692598</v>
      </c>
      <c r="D255">
        <v>21883</v>
      </c>
      <c r="E255">
        <v>21883</v>
      </c>
      <c r="F255" t="s">
        <v>441</v>
      </c>
      <c r="G255">
        <v>0</v>
      </c>
      <c r="I255" s="5">
        <v>44044</v>
      </c>
      <c r="J255" s="5">
        <v>43970.333333333336</v>
      </c>
    </row>
    <row r="256" spans="1:10" x14ac:dyDescent="0.2">
      <c r="A256">
        <v>7117494</v>
      </c>
      <c r="B256">
        <v>3692598</v>
      </c>
      <c r="C256">
        <v>3692599</v>
      </c>
      <c r="D256">
        <v>21883</v>
      </c>
      <c r="E256">
        <v>21883</v>
      </c>
      <c r="F256" t="s">
        <v>441</v>
      </c>
      <c r="G256">
        <v>0</v>
      </c>
      <c r="I256" s="5">
        <v>44044</v>
      </c>
      <c r="J256" s="5">
        <v>43970.333333333336</v>
      </c>
    </row>
    <row r="257" spans="1:10" x14ac:dyDescent="0.2">
      <c r="A257">
        <v>7117495</v>
      </c>
      <c r="B257">
        <v>3693847</v>
      </c>
      <c r="C257">
        <v>3692598</v>
      </c>
      <c r="D257">
        <v>21883</v>
      </c>
      <c r="E257">
        <v>21883</v>
      </c>
      <c r="F257" t="s">
        <v>441</v>
      </c>
      <c r="G257">
        <v>0</v>
      </c>
      <c r="I257" s="5">
        <v>44044</v>
      </c>
      <c r="J257" s="5">
        <v>43970.333333333336</v>
      </c>
    </row>
    <row r="258" spans="1:10" x14ac:dyDescent="0.2">
      <c r="A258">
        <v>7117496</v>
      </c>
      <c r="B258">
        <v>3692598</v>
      </c>
      <c r="C258">
        <v>3692602</v>
      </c>
      <c r="D258">
        <v>21883</v>
      </c>
      <c r="E258">
        <v>21883</v>
      </c>
      <c r="F258" t="s">
        <v>441</v>
      </c>
      <c r="G258">
        <v>0</v>
      </c>
      <c r="I258" s="5">
        <v>44044</v>
      </c>
      <c r="J258" s="5">
        <v>43970.333333333336</v>
      </c>
    </row>
    <row r="259" spans="1:10" x14ac:dyDescent="0.2">
      <c r="A259">
        <v>7117497</v>
      </c>
      <c r="B259">
        <v>3692599</v>
      </c>
      <c r="C259">
        <v>3693035</v>
      </c>
      <c r="D259">
        <v>21883</v>
      </c>
      <c r="E259">
        <v>21883</v>
      </c>
      <c r="F259" t="s">
        <v>441</v>
      </c>
      <c r="G259">
        <v>0</v>
      </c>
      <c r="I259" s="5">
        <v>44044</v>
      </c>
      <c r="J259" s="5">
        <v>43970.333333333336</v>
      </c>
    </row>
    <row r="260" spans="1:10" x14ac:dyDescent="0.2">
      <c r="A260">
        <v>7117498</v>
      </c>
      <c r="B260">
        <v>3693833</v>
      </c>
      <c r="C260">
        <v>3692599</v>
      </c>
      <c r="D260">
        <v>21883</v>
      </c>
      <c r="E260">
        <v>21883</v>
      </c>
      <c r="F260" t="s">
        <v>441</v>
      </c>
      <c r="G260">
        <v>0</v>
      </c>
      <c r="I260" s="5">
        <v>44044</v>
      </c>
      <c r="J260" s="5">
        <v>43970.333333333336</v>
      </c>
    </row>
    <row r="261" spans="1:10" x14ac:dyDescent="0.2">
      <c r="A261">
        <v>7117499</v>
      </c>
      <c r="B261">
        <v>3692600</v>
      </c>
      <c r="C261">
        <v>3692638</v>
      </c>
      <c r="D261">
        <v>21883</v>
      </c>
      <c r="E261">
        <v>21883</v>
      </c>
      <c r="F261" t="s">
        <v>441</v>
      </c>
      <c r="G261">
        <v>0</v>
      </c>
      <c r="I261" s="5">
        <v>44044</v>
      </c>
      <c r="J261" s="5">
        <v>43970.333333333336</v>
      </c>
    </row>
    <row r="262" spans="1:10" x14ac:dyDescent="0.2">
      <c r="A262">
        <v>7117500</v>
      </c>
      <c r="B262">
        <v>3692638</v>
      </c>
      <c r="C262">
        <v>3692602</v>
      </c>
      <c r="D262">
        <v>21883</v>
      </c>
      <c r="E262">
        <v>21883</v>
      </c>
      <c r="F262" t="s">
        <v>441</v>
      </c>
      <c r="G262">
        <v>0</v>
      </c>
      <c r="I262" s="5">
        <v>44044</v>
      </c>
      <c r="J262" s="5">
        <v>43970.333333333336</v>
      </c>
    </row>
    <row r="263" spans="1:10" x14ac:dyDescent="0.2">
      <c r="A263">
        <v>7117501</v>
      </c>
      <c r="B263">
        <v>3692601</v>
      </c>
      <c r="C263">
        <v>3692646</v>
      </c>
      <c r="D263">
        <v>21883</v>
      </c>
      <c r="E263">
        <v>21883</v>
      </c>
      <c r="F263" t="s">
        <v>441</v>
      </c>
      <c r="G263">
        <v>16</v>
      </c>
      <c r="I263" s="5">
        <v>44044</v>
      </c>
      <c r="J263" s="5">
        <v>43970.333333333336</v>
      </c>
    </row>
    <row r="264" spans="1:10" x14ac:dyDescent="0.2">
      <c r="A264">
        <v>7117502</v>
      </c>
      <c r="B264">
        <v>3692646</v>
      </c>
      <c r="C264">
        <v>3692603</v>
      </c>
      <c r="D264">
        <v>21883</v>
      </c>
      <c r="E264">
        <v>21883</v>
      </c>
      <c r="F264" t="s">
        <v>441</v>
      </c>
      <c r="G264">
        <v>0</v>
      </c>
      <c r="I264" s="5">
        <v>44044</v>
      </c>
      <c r="J264" s="5">
        <v>43970.333333333336</v>
      </c>
    </row>
    <row r="265" spans="1:10" x14ac:dyDescent="0.2">
      <c r="A265">
        <v>7117503</v>
      </c>
      <c r="B265">
        <v>3693856</v>
      </c>
      <c r="C265">
        <v>3692600</v>
      </c>
      <c r="D265">
        <v>21883</v>
      </c>
      <c r="E265">
        <v>21883</v>
      </c>
      <c r="F265" t="s">
        <v>441</v>
      </c>
      <c r="G265">
        <v>0</v>
      </c>
      <c r="I265" s="5">
        <v>44044</v>
      </c>
      <c r="J265" s="5">
        <v>43970.333333333336</v>
      </c>
    </row>
    <row r="266" spans="1:10" x14ac:dyDescent="0.2">
      <c r="A266">
        <v>7117504</v>
      </c>
      <c r="B266">
        <v>3692602</v>
      </c>
      <c r="C266">
        <v>3692601</v>
      </c>
      <c r="D266">
        <v>21883</v>
      </c>
      <c r="E266">
        <v>21883</v>
      </c>
      <c r="F266" t="s">
        <v>441</v>
      </c>
      <c r="G266">
        <v>0</v>
      </c>
      <c r="I266" s="5">
        <v>44044</v>
      </c>
      <c r="J266" s="5">
        <v>43970.333333333336</v>
      </c>
    </row>
    <row r="267" spans="1:10" x14ac:dyDescent="0.2">
      <c r="A267">
        <v>7117505</v>
      </c>
      <c r="B267">
        <v>3692601</v>
      </c>
      <c r="C267">
        <v>3692603</v>
      </c>
      <c r="D267">
        <v>21883</v>
      </c>
      <c r="E267">
        <v>21883</v>
      </c>
      <c r="F267" t="s">
        <v>441</v>
      </c>
      <c r="G267">
        <v>0</v>
      </c>
      <c r="I267" s="5">
        <v>44044</v>
      </c>
      <c r="J267" s="5">
        <v>43970.333333333336</v>
      </c>
    </row>
    <row r="268" spans="1:10" x14ac:dyDescent="0.2">
      <c r="A268">
        <v>7117506</v>
      </c>
      <c r="B268">
        <v>3692603</v>
      </c>
      <c r="C268">
        <v>3693035</v>
      </c>
      <c r="D268">
        <v>21883</v>
      </c>
      <c r="E268">
        <v>21883</v>
      </c>
      <c r="F268" t="s">
        <v>441</v>
      </c>
      <c r="G268">
        <v>0</v>
      </c>
      <c r="I268" s="5">
        <v>44044</v>
      </c>
      <c r="J268" s="5">
        <v>43970.333333333336</v>
      </c>
    </row>
    <row r="269" spans="1:10" x14ac:dyDescent="0.2">
      <c r="A269">
        <v>7117507</v>
      </c>
      <c r="B269">
        <v>3692602</v>
      </c>
      <c r="C269">
        <v>3692634</v>
      </c>
      <c r="D269">
        <v>21883</v>
      </c>
      <c r="E269">
        <v>21883</v>
      </c>
      <c r="F269" t="s">
        <v>441</v>
      </c>
      <c r="G269">
        <v>0</v>
      </c>
      <c r="I269" s="5">
        <v>44044</v>
      </c>
      <c r="J269" s="5">
        <v>43970.333333333336</v>
      </c>
    </row>
    <row r="270" spans="1:10" x14ac:dyDescent="0.2">
      <c r="A270">
        <v>7117508</v>
      </c>
      <c r="B270">
        <v>3692634</v>
      </c>
      <c r="C270">
        <v>3693699</v>
      </c>
      <c r="D270">
        <v>21883</v>
      </c>
      <c r="E270">
        <v>21883</v>
      </c>
      <c r="F270" t="s">
        <v>441</v>
      </c>
      <c r="G270">
        <v>0</v>
      </c>
      <c r="I270" s="5">
        <v>44044</v>
      </c>
      <c r="J270" s="5">
        <v>43970.333333333336</v>
      </c>
    </row>
    <row r="271" spans="1:10" x14ac:dyDescent="0.2">
      <c r="A271">
        <v>7117509</v>
      </c>
      <c r="B271">
        <v>3693036</v>
      </c>
      <c r="C271">
        <v>3692634</v>
      </c>
      <c r="D271">
        <v>21883</v>
      </c>
      <c r="E271">
        <v>21883</v>
      </c>
      <c r="F271" t="s">
        <v>441</v>
      </c>
      <c r="G271">
        <v>0</v>
      </c>
      <c r="I271" s="5">
        <v>44044</v>
      </c>
      <c r="J271" s="5">
        <v>43970.333333333336</v>
      </c>
    </row>
    <row r="272" spans="1:10" x14ac:dyDescent="0.2">
      <c r="A272">
        <v>7117510</v>
      </c>
      <c r="B272">
        <v>3693035</v>
      </c>
      <c r="C272">
        <v>3693673</v>
      </c>
      <c r="D272">
        <v>21883</v>
      </c>
      <c r="E272">
        <v>21883</v>
      </c>
      <c r="F272" t="s">
        <v>441</v>
      </c>
      <c r="G272">
        <v>0</v>
      </c>
      <c r="I272" s="5">
        <v>44044</v>
      </c>
      <c r="J272" s="5">
        <v>43970.333333333336</v>
      </c>
    </row>
    <row r="273" spans="1:10" x14ac:dyDescent="0.2">
      <c r="A273">
        <v>7117511</v>
      </c>
      <c r="B273">
        <v>3693036</v>
      </c>
      <c r="C273">
        <v>3693673</v>
      </c>
      <c r="D273">
        <v>21883</v>
      </c>
      <c r="E273">
        <v>21883</v>
      </c>
      <c r="F273" t="s">
        <v>441</v>
      </c>
      <c r="G273">
        <v>0</v>
      </c>
      <c r="I273" s="5">
        <v>44044</v>
      </c>
      <c r="J273" s="5">
        <v>43970.333333333336</v>
      </c>
    </row>
    <row r="274" spans="1:10" x14ac:dyDescent="0.2">
      <c r="A274">
        <v>7117512</v>
      </c>
      <c r="B274">
        <v>3692683</v>
      </c>
      <c r="C274">
        <v>3692721</v>
      </c>
      <c r="D274">
        <v>21883</v>
      </c>
      <c r="E274">
        <v>21883</v>
      </c>
      <c r="F274" t="s">
        <v>441</v>
      </c>
      <c r="G274">
        <v>0</v>
      </c>
      <c r="I274" s="5">
        <v>44044</v>
      </c>
      <c r="J274" s="5">
        <v>43983.333333333336</v>
      </c>
    </row>
    <row r="275" spans="1:10" x14ac:dyDescent="0.2">
      <c r="A275">
        <v>7117513</v>
      </c>
      <c r="B275">
        <v>3693205</v>
      </c>
      <c r="C275">
        <v>3692604</v>
      </c>
      <c r="D275">
        <v>21883</v>
      </c>
      <c r="E275">
        <v>21883</v>
      </c>
      <c r="F275" t="s">
        <v>441</v>
      </c>
      <c r="G275">
        <v>0</v>
      </c>
      <c r="I275" s="5">
        <v>44044</v>
      </c>
      <c r="J275" s="5">
        <v>44008.666666666664</v>
      </c>
    </row>
    <row r="276" spans="1:10" x14ac:dyDescent="0.2">
      <c r="A276">
        <v>7117514</v>
      </c>
      <c r="B276">
        <v>3692808</v>
      </c>
      <c r="C276">
        <v>3692605</v>
      </c>
      <c r="D276">
        <v>21883</v>
      </c>
      <c r="E276">
        <v>21883</v>
      </c>
      <c r="F276" t="s">
        <v>441</v>
      </c>
      <c r="G276">
        <v>0</v>
      </c>
      <c r="I276" s="5">
        <v>44044</v>
      </c>
      <c r="J276" s="5">
        <v>43993.333333333336</v>
      </c>
    </row>
    <row r="277" spans="1:10" x14ac:dyDescent="0.2">
      <c r="A277">
        <v>7117515</v>
      </c>
      <c r="B277">
        <v>3692810</v>
      </c>
      <c r="C277">
        <v>3692605</v>
      </c>
      <c r="D277">
        <v>21883</v>
      </c>
      <c r="E277">
        <v>21883</v>
      </c>
      <c r="F277" t="s">
        <v>441</v>
      </c>
      <c r="G277">
        <v>0</v>
      </c>
      <c r="I277" s="5">
        <v>44044</v>
      </c>
      <c r="J277" s="5">
        <v>43993.333333333336</v>
      </c>
    </row>
    <row r="278" spans="1:10" x14ac:dyDescent="0.2">
      <c r="A278">
        <v>7117516</v>
      </c>
      <c r="B278">
        <v>3692605</v>
      </c>
      <c r="C278">
        <v>3694054</v>
      </c>
      <c r="D278">
        <v>21883</v>
      </c>
      <c r="E278">
        <v>21883</v>
      </c>
      <c r="F278" t="s">
        <v>441</v>
      </c>
      <c r="G278">
        <v>0</v>
      </c>
      <c r="I278" s="5">
        <v>44044</v>
      </c>
      <c r="J278" s="5">
        <v>43993.333333333336</v>
      </c>
    </row>
    <row r="279" spans="1:10" x14ac:dyDescent="0.2">
      <c r="A279">
        <v>7117517</v>
      </c>
      <c r="B279">
        <v>3692606</v>
      </c>
      <c r="C279">
        <v>3692705</v>
      </c>
      <c r="D279">
        <v>21883</v>
      </c>
      <c r="E279">
        <v>21883</v>
      </c>
      <c r="F279" t="s">
        <v>441</v>
      </c>
      <c r="G279">
        <v>0</v>
      </c>
      <c r="I279" s="5">
        <v>44044</v>
      </c>
      <c r="J279" s="5">
        <v>43986.333333333336</v>
      </c>
    </row>
    <row r="280" spans="1:10" x14ac:dyDescent="0.2">
      <c r="A280">
        <v>7117518</v>
      </c>
      <c r="B280">
        <v>3693050</v>
      </c>
      <c r="C280">
        <v>3692617</v>
      </c>
      <c r="D280">
        <v>21883</v>
      </c>
      <c r="E280">
        <v>21883</v>
      </c>
      <c r="F280" t="s">
        <v>441</v>
      </c>
      <c r="G280">
        <v>0</v>
      </c>
      <c r="I280" s="5">
        <v>44089.666666666664</v>
      </c>
      <c r="J280" s="5">
        <v>44117.333333333336</v>
      </c>
    </row>
    <row r="281" spans="1:10" x14ac:dyDescent="0.2">
      <c r="A281">
        <v>7117519</v>
      </c>
      <c r="B281">
        <v>3692688</v>
      </c>
      <c r="C281">
        <v>3692692</v>
      </c>
      <c r="D281">
        <v>21883</v>
      </c>
      <c r="E281">
        <v>21883</v>
      </c>
      <c r="F281" t="s">
        <v>441</v>
      </c>
      <c r="G281">
        <v>0</v>
      </c>
      <c r="I281" s="5">
        <v>44044</v>
      </c>
      <c r="J281" s="5">
        <v>43983.333333333336</v>
      </c>
    </row>
    <row r="282" spans="1:10" x14ac:dyDescent="0.2">
      <c r="A282">
        <v>7117520</v>
      </c>
      <c r="B282">
        <v>3692687</v>
      </c>
      <c r="C282">
        <v>3693216</v>
      </c>
      <c r="D282">
        <v>21883</v>
      </c>
      <c r="E282">
        <v>21883</v>
      </c>
      <c r="F282" t="s">
        <v>441</v>
      </c>
      <c r="G282">
        <v>0</v>
      </c>
      <c r="I282" s="5">
        <v>44044</v>
      </c>
      <c r="J282" s="5">
        <v>43983.333333333336</v>
      </c>
    </row>
    <row r="283" spans="1:10" x14ac:dyDescent="0.2">
      <c r="A283">
        <v>7117521</v>
      </c>
      <c r="B283">
        <v>3692678</v>
      </c>
      <c r="C283">
        <v>3692668</v>
      </c>
      <c r="D283">
        <v>21883</v>
      </c>
      <c r="E283">
        <v>21883</v>
      </c>
      <c r="F283" t="s">
        <v>441</v>
      </c>
      <c r="G283">
        <v>0</v>
      </c>
      <c r="I283" s="5">
        <v>44044</v>
      </c>
      <c r="J283" s="5">
        <v>43983.333333333336</v>
      </c>
    </row>
    <row r="284" spans="1:10" x14ac:dyDescent="0.2">
      <c r="A284">
        <v>7117522</v>
      </c>
      <c r="B284">
        <v>3692668</v>
      </c>
      <c r="C284">
        <v>3692685</v>
      </c>
      <c r="D284">
        <v>21883</v>
      </c>
      <c r="E284">
        <v>21883</v>
      </c>
      <c r="F284" t="s">
        <v>441</v>
      </c>
      <c r="G284">
        <v>0</v>
      </c>
      <c r="I284" s="5">
        <v>44044</v>
      </c>
      <c r="J284" s="5">
        <v>43983.333333333336</v>
      </c>
    </row>
    <row r="285" spans="1:10" x14ac:dyDescent="0.2">
      <c r="A285">
        <v>7117523</v>
      </c>
      <c r="B285">
        <v>3693746</v>
      </c>
      <c r="C285">
        <v>3692646</v>
      </c>
      <c r="D285">
        <v>21883</v>
      </c>
      <c r="E285">
        <v>21883</v>
      </c>
      <c r="F285" t="s">
        <v>441</v>
      </c>
      <c r="G285">
        <v>0</v>
      </c>
      <c r="I285" s="5">
        <v>44044</v>
      </c>
      <c r="J285" s="5">
        <v>44005.333333333336</v>
      </c>
    </row>
    <row r="286" spans="1:10" x14ac:dyDescent="0.2">
      <c r="A286">
        <v>7117524</v>
      </c>
      <c r="B286">
        <v>3693050</v>
      </c>
      <c r="C286">
        <v>3692607</v>
      </c>
      <c r="D286">
        <v>21883</v>
      </c>
      <c r="E286">
        <v>21883</v>
      </c>
      <c r="F286" t="s">
        <v>441</v>
      </c>
      <c r="G286">
        <v>0</v>
      </c>
      <c r="I286" s="5">
        <v>44070.666666666664</v>
      </c>
      <c r="J286" s="5">
        <v>44117.333333333336</v>
      </c>
    </row>
    <row r="287" spans="1:10" x14ac:dyDescent="0.2">
      <c r="A287">
        <v>7117525</v>
      </c>
      <c r="B287">
        <v>3692607</v>
      </c>
      <c r="C287">
        <v>3693049</v>
      </c>
      <c r="D287">
        <v>21883</v>
      </c>
      <c r="E287">
        <v>21883</v>
      </c>
      <c r="F287" t="s">
        <v>441</v>
      </c>
      <c r="G287">
        <v>0</v>
      </c>
      <c r="I287" s="5">
        <v>44044</v>
      </c>
      <c r="J287" s="5">
        <v>44090.333333333336</v>
      </c>
    </row>
    <row r="288" spans="1:10" x14ac:dyDescent="0.2">
      <c r="A288">
        <v>7117526</v>
      </c>
      <c r="B288">
        <v>3693049</v>
      </c>
      <c r="C288">
        <v>3693012</v>
      </c>
      <c r="D288">
        <v>21883</v>
      </c>
      <c r="E288">
        <v>21883</v>
      </c>
      <c r="F288" t="s">
        <v>441</v>
      </c>
      <c r="G288">
        <v>0</v>
      </c>
      <c r="I288" s="5">
        <v>44044</v>
      </c>
      <c r="J288" s="5">
        <v>44032.333333333336</v>
      </c>
    </row>
    <row r="289" spans="1:10" x14ac:dyDescent="0.2">
      <c r="A289">
        <v>7117527</v>
      </c>
      <c r="B289">
        <v>3693048</v>
      </c>
      <c r="C289">
        <v>3693011</v>
      </c>
      <c r="D289">
        <v>21883</v>
      </c>
      <c r="E289">
        <v>21883</v>
      </c>
      <c r="F289" t="s">
        <v>441</v>
      </c>
      <c r="G289">
        <v>0</v>
      </c>
      <c r="I289" s="5">
        <v>44044</v>
      </c>
      <c r="J289" s="5">
        <v>44032.333333333336</v>
      </c>
    </row>
    <row r="290" spans="1:10" x14ac:dyDescent="0.2">
      <c r="A290">
        <v>7117528</v>
      </c>
      <c r="B290">
        <v>3693012</v>
      </c>
      <c r="C290">
        <v>3692608</v>
      </c>
      <c r="D290">
        <v>21883</v>
      </c>
      <c r="E290">
        <v>21883</v>
      </c>
      <c r="F290" t="s">
        <v>441</v>
      </c>
      <c r="G290">
        <v>0</v>
      </c>
      <c r="I290" s="5">
        <v>44044</v>
      </c>
      <c r="J290" s="5">
        <v>44032.333333333336</v>
      </c>
    </row>
    <row r="291" spans="1:10" x14ac:dyDescent="0.2">
      <c r="A291">
        <v>7117529</v>
      </c>
      <c r="B291">
        <v>3692608</v>
      </c>
      <c r="C291">
        <v>3693011</v>
      </c>
      <c r="D291">
        <v>21883</v>
      </c>
      <c r="E291">
        <v>21883</v>
      </c>
      <c r="F291" t="s">
        <v>441</v>
      </c>
      <c r="G291">
        <v>0</v>
      </c>
      <c r="I291" s="5">
        <v>44044</v>
      </c>
      <c r="J291" s="5">
        <v>44032.333333333336</v>
      </c>
    </row>
    <row r="292" spans="1:10" x14ac:dyDescent="0.2">
      <c r="A292">
        <v>7117530</v>
      </c>
      <c r="B292">
        <v>3693224</v>
      </c>
      <c r="C292">
        <v>3693033</v>
      </c>
      <c r="D292">
        <v>21883</v>
      </c>
      <c r="E292">
        <v>21883</v>
      </c>
      <c r="F292" t="s">
        <v>441</v>
      </c>
      <c r="G292">
        <v>0</v>
      </c>
      <c r="I292" s="5">
        <v>44044</v>
      </c>
      <c r="J292" s="5">
        <v>44043.333333333336</v>
      </c>
    </row>
    <row r="293" spans="1:10" x14ac:dyDescent="0.2">
      <c r="A293">
        <v>7117531</v>
      </c>
      <c r="B293">
        <v>3692612</v>
      </c>
      <c r="C293">
        <v>3693016</v>
      </c>
      <c r="D293">
        <v>21883</v>
      </c>
      <c r="E293">
        <v>21883</v>
      </c>
      <c r="F293" t="s">
        <v>441</v>
      </c>
      <c r="G293">
        <v>0</v>
      </c>
      <c r="I293" s="5">
        <v>44044</v>
      </c>
      <c r="J293" s="5">
        <v>44032.333333333336</v>
      </c>
    </row>
    <row r="294" spans="1:10" x14ac:dyDescent="0.2">
      <c r="A294">
        <v>7117532</v>
      </c>
      <c r="B294">
        <v>3692610</v>
      </c>
      <c r="C294">
        <v>3692613</v>
      </c>
      <c r="D294">
        <v>21883</v>
      </c>
      <c r="E294">
        <v>21883</v>
      </c>
      <c r="F294" t="s">
        <v>441</v>
      </c>
      <c r="G294">
        <v>0</v>
      </c>
      <c r="I294" s="5">
        <v>44044</v>
      </c>
      <c r="J294" s="5">
        <v>44032.333333333336</v>
      </c>
    </row>
    <row r="295" spans="1:10" x14ac:dyDescent="0.2">
      <c r="A295">
        <v>7117533</v>
      </c>
      <c r="B295">
        <v>3692613</v>
      </c>
      <c r="C295">
        <v>3692612</v>
      </c>
      <c r="D295">
        <v>21883</v>
      </c>
      <c r="E295">
        <v>21883</v>
      </c>
      <c r="F295" t="s">
        <v>441</v>
      </c>
      <c r="G295">
        <v>0</v>
      </c>
      <c r="I295" s="5">
        <v>44044</v>
      </c>
      <c r="J295" s="5">
        <v>44032.333333333336</v>
      </c>
    </row>
    <row r="296" spans="1:10" x14ac:dyDescent="0.2">
      <c r="A296">
        <v>7117534</v>
      </c>
      <c r="B296">
        <v>3692613</v>
      </c>
      <c r="C296">
        <v>3692612</v>
      </c>
      <c r="D296">
        <v>21883</v>
      </c>
      <c r="E296">
        <v>21883</v>
      </c>
      <c r="F296" t="s">
        <v>442</v>
      </c>
      <c r="G296">
        <v>48</v>
      </c>
      <c r="I296" s="5">
        <v>44044</v>
      </c>
      <c r="J296" s="5">
        <v>44032.333333333336</v>
      </c>
    </row>
    <row r="297" spans="1:10" x14ac:dyDescent="0.2">
      <c r="A297">
        <v>7117535</v>
      </c>
      <c r="B297">
        <v>3692616</v>
      </c>
      <c r="C297">
        <v>3692615</v>
      </c>
      <c r="D297">
        <v>21883</v>
      </c>
      <c r="E297">
        <v>21883</v>
      </c>
      <c r="F297" t="s">
        <v>442</v>
      </c>
      <c r="G297">
        <v>64</v>
      </c>
      <c r="I297" s="5">
        <v>44075.666666666664</v>
      </c>
      <c r="J297" s="5">
        <v>44025.333333333336</v>
      </c>
    </row>
    <row r="298" spans="1:10" x14ac:dyDescent="0.2">
      <c r="A298">
        <v>7117536</v>
      </c>
      <c r="B298">
        <v>3692617</v>
      </c>
      <c r="C298">
        <v>3692616</v>
      </c>
      <c r="D298">
        <v>21883</v>
      </c>
      <c r="E298">
        <v>21883</v>
      </c>
      <c r="F298" t="s">
        <v>442</v>
      </c>
      <c r="G298">
        <v>32</v>
      </c>
      <c r="I298" s="5">
        <v>44082.666666666664</v>
      </c>
      <c r="J298" s="5">
        <v>44056.333333333336</v>
      </c>
    </row>
    <row r="299" spans="1:10" x14ac:dyDescent="0.2">
      <c r="A299">
        <v>7117537</v>
      </c>
      <c r="B299">
        <v>3692826</v>
      </c>
      <c r="C299">
        <v>3694071</v>
      </c>
      <c r="D299">
        <v>21883</v>
      </c>
      <c r="E299">
        <v>21883</v>
      </c>
      <c r="F299" t="s">
        <v>441</v>
      </c>
      <c r="G299">
        <v>0</v>
      </c>
      <c r="I299" s="5">
        <v>44044</v>
      </c>
      <c r="J299" s="5">
        <v>44306.666666666664</v>
      </c>
    </row>
    <row r="300" spans="1:10" x14ac:dyDescent="0.2">
      <c r="A300">
        <v>7117538</v>
      </c>
      <c r="B300">
        <v>3694071</v>
      </c>
      <c r="C300">
        <v>3692892</v>
      </c>
      <c r="D300">
        <v>21883</v>
      </c>
      <c r="E300">
        <v>21883</v>
      </c>
      <c r="F300" t="s">
        <v>441</v>
      </c>
      <c r="G300">
        <v>0</v>
      </c>
      <c r="I300" s="5">
        <v>44044</v>
      </c>
      <c r="J300" s="5">
        <v>44306.666666666664</v>
      </c>
    </row>
    <row r="301" spans="1:10" x14ac:dyDescent="0.2">
      <c r="A301">
        <v>7117539</v>
      </c>
      <c r="B301">
        <v>3692873</v>
      </c>
      <c r="C301">
        <v>3693712</v>
      </c>
      <c r="D301">
        <v>21883</v>
      </c>
      <c r="E301">
        <v>21883</v>
      </c>
      <c r="F301" t="s">
        <v>441</v>
      </c>
      <c r="G301">
        <v>0</v>
      </c>
      <c r="I301" s="5">
        <v>44044</v>
      </c>
      <c r="J301" s="5">
        <v>44054.333333333336</v>
      </c>
    </row>
    <row r="302" spans="1:10" x14ac:dyDescent="0.2">
      <c r="A302">
        <v>7117540</v>
      </c>
      <c r="B302">
        <v>3692789</v>
      </c>
      <c r="C302">
        <v>3693239</v>
      </c>
      <c r="D302">
        <v>21883</v>
      </c>
      <c r="E302">
        <v>21883</v>
      </c>
      <c r="F302" t="s">
        <v>441</v>
      </c>
      <c r="G302">
        <v>0</v>
      </c>
      <c r="I302" s="5">
        <v>44141.666666666664</v>
      </c>
      <c r="J302" s="5">
        <v>44116.333333333336</v>
      </c>
    </row>
    <row r="303" spans="1:10" x14ac:dyDescent="0.2">
      <c r="A303">
        <v>7117541</v>
      </c>
      <c r="B303">
        <v>3692789</v>
      </c>
      <c r="C303">
        <v>3693016</v>
      </c>
      <c r="D303">
        <v>21883</v>
      </c>
      <c r="E303">
        <v>21883</v>
      </c>
      <c r="F303" t="s">
        <v>441</v>
      </c>
      <c r="G303">
        <v>0</v>
      </c>
      <c r="I303" s="5">
        <v>44044</v>
      </c>
      <c r="J303" s="5">
        <v>44116.333333333336</v>
      </c>
    </row>
    <row r="304" spans="1:10" x14ac:dyDescent="0.2">
      <c r="A304">
        <v>7117542</v>
      </c>
      <c r="B304">
        <v>3692826</v>
      </c>
      <c r="C304">
        <v>3693478</v>
      </c>
      <c r="D304">
        <v>21883</v>
      </c>
      <c r="E304">
        <v>21883</v>
      </c>
      <c r="F304" t="s">
        <v>441</v>
      </c>
      <c r="G304">
        <v>0</v>
      </c>
      <c r="I304" s="5">
        <v>44044</v>
      </c>
      <c r="J304" s="5">
        <v>44306.666666666664</v>
      </c>
    </row>
    <row r="305" spans="1:10" x14ac:dyDescent="0.2">
      <c r="A305">
        <v>7117543</v>
      </c>
      <c r="B305">
        <v>3693478</v>
      </c>
      <c r="C305">
        <v>3692892</v>
      </c>
      <c r="D305">
        <v>21883</v>
      </c>
      <c r="E305">
        <v>21883</v>
      </c>
      <c r="F305" t="s">
        <v>441</v>
      </c>
      <c r="G305">
        <v>0</v>
      </c>
      <c r="I305" s="5">
        <v>44044</v>
      </c>
      <c r="J305" s="5">
        <v>44306.666666666664</v>
      </c>
    </row>
    <row r="306" spans="1:10" x14ac:dyDescent="0.2">
      <c r="A306">
        <v>7117544</v>
      </c>
      <c r="B306">
        <v>3693032</v>
      </c>
      <c r="C306">
        <v>3693479</v>
      </c>
      <c r="D306">
        <v>21883</v>
      </c>
      <c r="E306">
        <v>21883</v>
      </c>
      <c r="F306" t="s">
        <v>441</v>
      </c>
      <c r="G306">
        <v>0</v>
      </c>
      <c r="I306" s="5">
        <v>44044</v>
      </c>
      <c r="J306" s="5">
        <v>43970.333333333336</v>
      </c>
    </row>
    <row r="307" spans="1:10" x14ac:dyDescent="0.2">
      <c r="A307">
        <v>7117545</v>
      </c>
      <c r="B307">
        <v>3692826</v>
      </c>
      <c r="C307">
        <v>3693497</v>
      </c>
      <c r="D307">
        <v>21883</v>
      </c>
      <c r="E307">
        <v>21883</v>
      </c>
      <c r="F307" t="s">
        <v>441</v>
      </c>
      <c r="G307">
        <v>0</v>
      </c>
      <c r="I307" s="5">
        <v>44044</v>
      </c>
      <c r="J307" s="5">
        <v>44306.666666666664</v>
      </c>
    </row>
    <row r="308" spans="1:10" x14ac:dyDescent="0.2">
      <c r="A308">
        <v>7117546</v>
      </c>
      <c r="B308">
        <v>3693497</v>
      </c>
      <c r="C308">
        <v>3692892</v>
      </c>
      <c r="D308">
        <v>21883</v>
      </c>
      <c r="E308">
        <v>21883</v>
      </c>
      <c r="F308" t="s">
        <v>441</v>
      </c>
      <c r="G308">
        <v>0</v>
      </c>
      <c r="I308" s="5">
        <v>44044</v>
      </c>
      <c r="J308" s="5">
        <v>44306.666666666664</v>
      </c>
    </row>
    <row r="309" spans="1:10" x14ac:dyDescent="0.2">
      <c r="A309">
        <v>7117547</v>
      </c>
      <c r="B309">
        <v>3693032</v>
      </c>
      <c r="C309">
        <v>3693496</v>
      </c>
      <c r="D309">
        <v>21883</v>
      </c>
      <c r="E309">
        <v>21883</v>
      </c>
      <c r="F309" t="s">
        <v>441</v>
      </c>
      <c r="G309">
        <v>0</v>
      </c>
      <c r="I309" s="5">
        <v>44044</v>
      </c>
      <c r="J309" s="5">
        <v>43970.333333333336</v>
      </c>
    </row>
    <row r="310" spans="1:10" x14ac:dyDescent="0.2">
      <c r="A310">
        <v>7117548</v>
      </c>
      <c r="B310">
        <v>3693650</v>
      </c>
      <c r="C310">
        <v>3693665</v>
      </c>
      <c r="D310">
        <v>21883</v>
      </c>
      <c r="E310">
        <v>21883</v>
      </c>
      <c r="F310" t="s">
        <v>441</v>
      </c>
      <c r="G310">
        <v>0</v>
      </c>
      <c r="I310" s="5">
        <v>44044</v>
      </c>
      <c r="J310" s="5">
        <v>43970.333333333336</v>
      </c>
    </row>
    <row r="311" spans="1:10" x14ac:dyDescent="0.2">
      <c r="A311">
        <v>7117549</v>
      </c>
      <c r="B311">
        <v>3692826</v>
      </c>
      <c r="C311">
        <v>3692765</v>
      </c>
      <c r="D311">
        <v>21883</v>
      </c>
      <c r="E311">
        <v>21883</v>
      </c>
      <c r="F311" t="s">
        <v>441</v>
      </c>
      <c r="G311">
        <v>0</v>
      </c>
      <c r="I311" s="5">
        <v>44044</v>
      </c>
      <c r="J311" s="5">
        <v>44306.666666666664</v>
      </c>
    </row>
    <row r="312" spans="1:10" x14ac:dyDescent="0.2">
      <c r="A312">
        <v>7117550</v>
      </c>
      <c r="B312">
        <v>3692765</v>
      </c>
      <c r="C312">
        <v>3692892</v>
      </c>
      <c r="D312">
        <v>21883</v>
      </c>
      <c r="E312">
        <v>21883</v>
      </c>
      <c r="F312" t="s">
        <v>441</v>
      </c>
      <c r="G312">
        <v>0</v>
      </c>
      <c r="I312" s="5">
        <v>44044</v>
      </c>
      <c r="J312" s="5">
        <v>44306.666666666664</v>
      </c>
    </row>
    <row r="313" spans="1:10" x14ac:dyDescent="0.2">
      <c r="A313">
        <v>7117551</v>
      </c>
      <c r="B313">
        <v>3693738</v>
      </c>
      <c r="C313">
        <v>3692673</v>
      </c>
      <c r="D313">
        <v>21883</v>
      </c>
      <c r="E313">
        <v>21883</v>
      </c>
      <c r="F313" t="s">
        <v>441</v>
      </c>
      <c r="G313">
        <v>0</v>
      </c>
      <c r="I313" s="5">
        <v>44044</v>
      </c>
      <c r="J313" s="5">
        <v>44053.333333333336</v>
      </c>
    </row>
    <row r="314" spans="1:10" x14ac:dyDescent="0.2">
      <c r="A314">
        <v>7117552</v>
      </c>
      <c r="B314">
        <v>3692630</v>
      </c>
      <c r="C314">
        <v>3692618</v>
      </c>
      <c r="D314">
        <v>21883</v>
      </c>
      <c r="E314">
        <v>21883</v>
      </c>
      <c r="F314" t="s">
        <v>441</v>
      </c>
      <c r="G314">
        <v>0</v>
      </c>
      <c r="I314" s="5">
        <v>44044</v>
      </c>
      <c r="J314" s="5">
        <v>44028.333333333336</v>
      </c>
    </row>
    <row r="315" spans="1:10" x14ac:dyDescent="0.2">
      <c r="A315">
        <v>7117553</v>
      </c>
      <c r="B315">
        <v>3692618</v>
      </c>
      <c r="C315">
        <v>3692631</v>
      </c>
      <c r="D315">
        <v>21883</v>
      </c>
      <c r="E315">
        <v>21883</v>
      </c>
      <c r="F315" t="s">
        <v>441</v>
      </c>
      <c r="G315">
        <v>0</v>
      </c>
      <c r="I315" s="5">
        <v>44044</v>
      </c>
      <c r="J315" s="5">
        <v>44028.333333333336</v>
      </c>
    </row>
    <row r="316" spans="1:10" x14ac:dyDescent="0.2">
      <c r="A316">
        <v>7117554</v>
      </c>
      <c r="B316">
        <v>3692619</v>
      </c>
      <c r="C316">
        <v>3692620</v>
      </c>
      <c r="D316">
        <v>21883</v>
      </c>
      <c r="E316">
        <v>21883</v>
      </c>
      <c r="F316" t="s">
        <v>441</v>
      </c>
      <c r="G316">
        <v>0</v>
      </c>
      <c r="I316" s="5">
        <v>44109.666666666664</v>
      </c>
      <c r="J316" s="5">
        <v>44140.333333333336</v>
      </c>
    </row>
    <row r="317" spans="1:10" x14ac:dyDescent="0.2">
      <c r="A317">
        <v>7117555</v>
      </c>
      <c r="B317">
        <v>3692620</v>
      </c>
      <c r="C317">
        <v>3692621</v>
      </c>
      <c r="D317">
        <v>21883</v>
      </c>
      <c r="E317">
        <v>21883</v>
      </c>
      <c r="F317" t="s">
        <v>441</v>
      </c>
      <c r="G317">
        <v>0</v>
      </c>
      <c r="I317" s="5">
        <v>44099.666666666664</v>
      </c>
      <c r="J317" s="5">
        <v>44075.333333333336</v>
      </c>
    </row>
    <row r="318" spans="1:10" x14ac:dyDescent="0.2">
      <c r="A318">
        <v>7117556</v>
      </c>
      <c r="B318">
        <v>3692621</v>
      </c>
      <c r="C318">
        <v>3692623</v>
      </c>
      <c r="D318">
        <v>21883</v>
      </c>
      <c r="E318">
        <v>21883</v>
      </c>
      <c r="F318" t="s">
        <v>441</v>
      </c>
      <c r="G318">
        <v>0</v>
      </c>
      <c r="I318" s="5">
        <v>44092.666666666664</v>
      </c>
      <c r="J318" s="5">
        <v>44070.333333333336</v>
      </c>
    </row>
    <row r="319" spans="1:10" x14ac:dyDescent="0.2">
      <c r="A319">
        <v>7117557</v>
      </c>
      <c r="B319">
        <v>3692623</v>
      </c>
      <c r="C319">
        <v>3692624</v>
      </c>
      <c r="D319">
        <v>21883</v>
      </c>
      <c r="E319">
        <v>21883</v>
      </c>
      <c r="F319" t="s">
        <v>441</v>
      </c>
      <c r="G319">
        <v>0</v>
      </c>
      <c r="I319" s="5">
        <v>44077.666666666664</v>
      </c>
      <c r="J319" s="5">
        <v>44050.333333333336</v>
      </c>
    </row>
    <row r="320" spans="1:10" x14ac:dyDescent="0.2">
      <c r="A320">
        <v>7117558</v>
      </c>
      <c r="B320">
        <v>3692624</v>
      </c>
      <c r="C320">
        <v>3692625</v>
      </c>
      <c r="D320">
        <v>21883</v>
      </c>
      <c r="E320">
        <v>21883</v>
      </c>
      <c r="F320" t="s">
        <v>441</v>
      </c>
      <c r="G320">
        <v>0</v>
      </c>
      <c r="I320" s="5">
        <v>44074.666666666664</v>
      </c>
      <c r="J320" s="5">
        <v>44046.333333333336</v>
      </c>
    </row>
    <row r="321" spans="1:10" x14ac:dyDescent="0.2">
      <c r="A321">
        <v>7117559</v>
      </c>
      <c r="B321">
        <v>3692622</v>
      </c>
      <c r="C321">
        <v>3692626</v>
      </c>
      <c r="D321">
        <v>21883</v>
      </c>
      <c r="E321">
        <v>21883</v>
      </c>
      <c r="F321" t="s">
        <v>441</v>
      </c>
      <c r="G321">
        <v>0</v>
      </c>
      <c r="I321" s="5">
        <v>44046.666666666664</v>
      </c>
      <c r="J321" s="5">
        <v>44022.333333333336</v>
      </c>
    </row>
    <row r="322" spans="1:10" x14ac:dyDescent="0.2">
      <c r="A322">
        <v>7117560</v>
      </c>
      <c r="B322">
        <v>3692630</v>
      </c>
      <c r="C322">
        <v>3692631</v>
      </c>
      <c r="D322">
        <v>21883</v>
      </c>
      <c r="E322">
        <v>21883</v>
      </c>
      <c r="F322" t="s">
        <v>441</v>
      </c>
      <c r="G322">
        <v>0</v>
      </c>
      <c r="I322" s="5">
        <v>44044</v>
      </c>
      <c r="J322" s="5">
        <v>44028.333333333336</v>
      </c>
    </row>
    <row r="323" spans="1:10" x14ac:dyDescent="0.2">
      <c r="A323">
        <v>7117561</v>
      </c>
      <c r="B323">
        <v>3692737</v>
      </c>
      <c r="C323">
        <v>3693343</v>
      </c>
      <c r="D323">
        <v>21883</v>
      </c>
      <c r="E323">
        <v>21883</v>
      </c>
      <c r="F323" t="s">
        <v>441</v>
      </c>
      <c r="G323">
        <v>0</v>
      </c>
      <c r="I323" s="5">
        <v>44044</v>
      </c>
      <c r="J323" s="5">
        <v>43970.333333333336</v>
      </c>
    </row>
    <row r="324" spans="1:10" x14ac:dyDescent="0.2">
      <c r="A324">
        <v>7117562</v>
      </c>
      <c r="B324">
        <v>3693523</v>
      </c>
      <c r="C324">
        <v>3692632</v>
      </c>
      <c r="D324">
        <v>21883</v>
      </c>
      <c r="E324">
        <v>21883</v>
      </c>
      <c r="F324" t="s">
        <v>441</v>
      </c>
      <c r="G324">
        <v>0</v>
      </c>
      <c r="I324" s="5">
        <v>44044</v>
      </c>
      <c r="J324" s="5">
        <v>43970.333333333336</v>
      </c>
    </row>
    <row r="325" spans="1:10" x14ac:dyDescent="0.2">
      <c r="A325">
        <v>7117563</v>
      </c>
      <c r="B325">
        <v>3692632</v>
      </c>
      <c r="C325">
        <v>3693515</v>
      </c>
      <c r="D325">
        <v>21883</v>
      </c>
      <c r="E325">
        <v>21883</v>
      </c>
      <c r="F325" t="s">
        <v>441</v>
      </c>
      <c r="G325">
        <v>0</v>
      </c>
      <c r="I325" s="5">
        <v>44044</v>
      </c>
      <c r="J325" s="5">
        <v>43970.333333333336</v>
      </c>
    </row>
    <row r="326" spans="1:10" x14ac:dyDescent="0.2">
      <c r="A326">
        <v>7117564</v>
      </c>
      <c r="B326">
        <v>3693585</v>
      </c>
      <c r="C326">
        <v>3692786</v>
      </c>
      <c r="D326">
        <v>21883</v>
      </c>
      <c r="E326">
        <v>21883</v>
      </c>
      <c r="F326" t="s">
        <v>441</v>
      </c>
      <c r="G326">
        <v>0</v>
      </c>
      <c r="I326" s="5">
        <v>44044</v>
      </c>
      <c r="J326" s="5">
        <v>43970.333333333336</v>
      </c>
    </row>
    <row r="327" spans="1:10" x14ac:dyDescent="0.2">
      <c r="A327">
        <v>7117565</v>
      </c>
      <c r="B327">
        <v>3693568</v>
      </c>
      <c r="C327">
        <v>3693563</v>
      </c>
      <c r="D327">
        <v>21883</v>
      </c>
      <c r="E327">
        <v>21883</v>
      </c>
      <c r="F327" t="s">
        <v>441</v>
      </c>
      <c r="G327">
        <v>0</v>
      </c>
      <c r="I327" s="5">
        <v>44044</v>
      </c>
      <c r="J327" s="5">
        <v>43970.333333333336</v>
      </c>
    </row>
    <row r="328" spans="1:10" x14ac:dyDescent="0.2">
      <c r="A328">
        <v>7117566</v>
      </c>
      <c r="B328">
        <v>3693563</v>
      </c>
      <c r="C328">
        <v>3693567</v>
      </c>
      <c r="D328">
        <v>21883</v>
      </c>
      <c r="E328">
        <v>21883</v>
      </c>
      <c r="F328" t="s">
        <v>441</v>
      </c>
      <c r="G328">
        <v>0</v>
      </c>
      <c r="I328" s="5">
        <v>44044</v>
      </c>
      <c r="J328" s="5">
        <v>43970.333333333336</v>
      </c>
    </row>
    <row r="329" spans="1:10" x14ac:dyDescent="0.2">
      <c r="A329">
        <v>7117567</v>
      </c>
      <c r="B329">
        <v>3693567</v>
      </c>
      <c r="C329">
        <v>3693562</v>
      </c>
      <c r="D329">
        <v>21883</v>
      </c>
      <c r="E329">
        <v>21883</v>
      </c>
      <c r="F329" t="s">
        <v>441</v>
      </c>
      <c r="G329">
        <v>0</v>
      </c>
      <c r="I329" s="5">
        <v>44044</v>
      </c>
      <c r="J329" s="5">
        <v>43970.333333333336</v>
      </c>
    </row>
    <row r="330" spans="1:10" x14ac:dyDescent="0.2">
      <c r="A330">
        <v>7117568</v>
      </c>
      <c r="B330">
        <v>3693567</v>
      </c>
      <c r="C330">
        <v>3693572</v>
      </c>
      <c r="D330">
        <v>21883</v>
      </c>
      <c r="E330">
        <v>21883</v>
      </c>
      <c r="F330" t="s">
        <v>441</v>
      </c>
      <c r="G330">
        <v>0</v>
      </c>
      <c r="I330" s="5">
        <v>44044</v>
      </c>
      <c r="J330" s="5">
        <v>43970.333333333336</v>
      </c>
    </row>
    <row r="331" spans="1:10" x14ac:dyDescent="0.2">
      <c r="A331">
        <v>7117569</v>
      </c>
      <c r="B331">
        <v>3693567</v>
      </c>
      <c r="C331">
        <v>3692783</v>
      </c>
      <c r="D331">
        <v>21883</v>
      </c>
      <c r="E331">
        <v>21883</v>
      </c>
      <c r="F331" t="s">
        <v>441</v>
      </c>
      <c r="G331">
        <v>0</v>
      </c>
      <c r="I331" s="5">
        <v>44044</v>
      </c>
      <c r="J331" s="5">
        <v>43970.333333333336</v>
      </c>
    </row>
    <row r="332" spans="1:10" x14ac:dyDescent="0.2">
      <c r="A332">
        <v>7117570</v>
      </c>
      <c r="B332">
        <v>3693554</v>
      </c>
      <c r="C332">
        <v>3693549</v>
      </c>
      <c r="D332">
        <v>21883</v>
      </c>
      <c r="E332">
        <v>21883</v>
      </c>
      <c r="F332" t="s">
        <v>441</v>
      </c>
      <c r="G332">
        <v>0</v>
      </c>
      <c r="I332" s="5">
        <v>44044</v>
      </c>
      <c r="J332" s="5">
        <v>43970.333333333336</v>
      </c>
    </row>
    <row r="333" spans="1:10" x14ac:dyDescent="0.2">
      <c r="A333">
        <v>7117571</v>
      </c>
      <c r="B333">
        <v>3693549</v>
      </c>
      <c r="C333">
        <v>3693553</v>
      </c>
      <c r="D333">
        <v>21883</v>
      </c>
      <c r="E333">
        <v>21883</v>
      </c>
      <c r="F333" t="s">
        <v>441</v>
      </c>
      <c r="G333">
        <v>0</v>
      </c>
      <c r="I333" s="5">
        <v>44044</v>
      </c>
      <c r="J333" s="5">
        <v>43970.333333333336</v>
      </c>
    </row>
    <row r="334" spans="1:10" x14ac:dyDescent="0.2">
      <c r="A334">
        <v>7117572</v>
      </c>
      <c r="B334">
        <v>3693553</v>
      </c>
      <c r="C334">
        <v>3693548</v>
      </c>
      <c r="D334">
        <v>21883</v>
      </c>
      <c r="E334">
        <v>21883</v>
      </c>
      <c r="F334" t="s">
        <v>441</v>
      </c>
      <c r="G334">
        <v>0</v>
      </c>
      <c r="I334" s="5">
        <v>44044</v>
      </c>
      <c r="J334" s="5">
        <v>43970.333333333336</v>
      </c>
    </row>
    <row r="335" spans="1:10" x14ac:dyDescent="0.2">
      <c r="A335">
        <v>7117573</v>
      </c>
      <c r="B335">
        <v>3693553</v>
      </c>
      <c r="C335">
        <v>3693559</v>
      </c>
      <c r="D335">
        <v>21883</v>
      </c>
      <c r="E335">
        <v>21883</v>
      </c>
      <c r="F335" t="s">
        <v>441</v>
      </c>
      <c r="G335">
        <v>0</v>
      </c>
      <c r="I335" s="5">
        <v>44044</v>
      </c>
      <c r="J335" s="5">
        <v>43970.333333333336</v>
      </c>
    </row>
    <row r="336" spans="1:10" x14ac:dyDescent="0.2">
      <c r="A336">
        <v>7117574</v>
      </c>
      <c r="B336">
        <v>3693553</v>
      </c>
      <c r="C336">
        <v>3692786</v>
      </c>
      <c r="D336">
        <v>21883</v>
      </c>
      <c r="E336">
        <v>21883</v>
      </c>
      <c r="F336" t="s">
        <v>441</v>
      </c>
      <c r="G336">
        <v>0</v>
      </c>
      <c r="I336" s="5">
        <v>44044</v>
      </c>
      <c r="J336" s="5">
        <v>43970.333333333336</v>
      </c>
    </row>
    <row r="337" spans="1:10" x14ac:dyDescent="0.2">
      <c r="A337">
        <v>7117575</v>
      </c>
      <c r="B337">
        <v>3693531</v>
      </c>
      <c r="C337">
        <v>3693510</v>
      </c>
      <c r="D337">
        <v>21883</v>
      </c>
      <c r="E337">
        <v>21883</v>
      </c>
      <c r="F337" t="s">
        <v>441</v>
      </c>
      <c r="G337">
        <v>0</v>
      </c>
      <c r="I337" s="5">
        <v>44044</v>
      </c>
      <c r="J337" s="5">
        <v>43970.333333333336</v>
      </c>
    </row>
    <row r="338" spans="1:10" x14ac:dyDescent="0.2">
      <c r="A338">
        <v>7117576</v>
      </c>
      <c r="B338">
        <v>3693508</v>
      </c>
      <c r="C338">
        <v>3693522</v>
      </c>
      <c r="D338">
        <v>21883</v>
      </c>
      <c r="E338">
        <v>21883</v>
      </c>
      <c r="F338" t="s">
        <v>441</v>
      </c>
      <c r="G338">
        <v>0</v>
      </c>
      <c r="I338" s="5">
        <v>44044</v>
      </c>
      <c r="J338" s="5">
        <v>43970.333333333336</v>
      </c>
    </row>
    <row r="339" spans="1:10" x14ac:dyDescent="0.2">
      <c r="A339">
        <v>7117577</v>
      </c>
      <c r="B339">
        <v>3693520</v>
      </c>
      <c r="C339">
        <v>3693486</v>
      </c>
      <c r="D339">
        <v>21883</v>
      </c>
      <c r="E339">
        <v>21883</v>
      </c>
      <c r="F339" t="s">
        <v>441</v>
      </c>
      <c r="G339">
        <v>0</v>
      </c>
      <c r="I339" s="5">
        <v>44044</v>
      </c>
      <c r="J339" s="5">
        <v>43970.333333333336</v>
      </c>
    </row>
    <row r="340" spans="1:10" x14ac:dyDescent="0.2">
      <c r="A340">
        <v>7117578</v>
      </c>
      <c r="B340">
        <v>3694075</v>
      </c>
      <c r="C340">
        <v>3693033</v>
      </c>
      <c r="D340">
        <v>21883</v>
      </c>
      <c r="E340">
        <v>21883</v>
      </c>
      <c r="F340" t="s">
        <v>441</v>
      </c>
      <c r="G340">
        <v>0</v>
      </c>
      <c r="I340" s="5">
        <v>44044</v>
      </c>
      <c r="J340" s="5">
        <v>44098.333333333336</v>
      </c>
    </row>
    <row r="341" spans="1:10" x14ac:dyDescent="0.2">
      <c r="A341">
        <v>7117579</v>
      </c>
      <c r="B341">
        <v>3692826</v>
      </c>
      <c r="C341">
        <v>3692802</v>
      </c>
      <c r="D341">
        <v>21883</v>
      </c>
      <c r="E341">
        <v>21883</v>
      </c>
      <c r="F341" t="s">
        <v>441</v>
      </c>
      <c r="G341">
        <v>0</v>
      </c>
      <c r="I341" s="5">
        <v>44044</v>
      </c>
      <c r="J341" s="5">
        <v>44306.666666666664</v>
      </c>
    </row>
    <row r="342" spans="1:10" x14ac:dyDescent="0.2">
      <c r="A342">
        <v>7117580</v>
      </c>
      <c r="B342">
        <v>3692802</v>
      </c>
      <c r="C342">
        <v>3692892</v>
      </c>
      <c r="D342">
        <v>21883</v>
      </c>
      <c r="E342">
        <v>21883</v>
      </c>
      <c r="F342" t="s">
        <v>441</v>
      </c>
      <c r="G342">
        <v>0</v>
      </c>
      <c r="I342" s="5">
        <v>44044</v>
      </c>
      <c r="J342" s="5">
        <v>44306.666666666664</v>
      </c>
    </row>
    <row r="343" spans="1:10" x14ac:dyDescent="0.2">
      <c r="A343">
        <v>7117581</v>
      </c>
      <c r="B343">
        <v>3692826</v>
      </c>
      <c r="C343">
        <v>3692801</v>
      </c>
      <c r="D343">
        <v>21883</v>
      </c>
      <c r="E343">
        <v>21883</v>
      </c>
      <c r="F343" t="s">
        <v>441</v>
      </c>
      <c r="G343">
        <v>0</v>
      </c>
      <c r="I343" s="5">
        <v>44044</v>
      </c>
      <c r="J343" s="5">
        <v>44306.666666666664</v>
      </c>
    </row>
    <row r="344" spans="1:10" x14ac:dyDescent="0.2">
      <c r="A344">
        <v>7117582</v>
      </c>
      <c r="B344">
        <v>3692801</v>
      </c>
      <c r="C344">
        <v>3692892</v>
      </c>
      <c r="D344">
        <v>21883</v>
      </c>
      <c r="E344">
        <v>21883</v>
      </c>
      <c r="F344" t="s">
        <v>441</v>
      </c>
      <c r="G344">
        <v>0</v>
      </c>
      <c r="I344" s="5">
        <v>44044</v>
      </c>
      <c r="J344" s="5">
        <v>44306.666666666664</v>
      </c>
    </row>
    <row r="345" spans="1:10" x14ac:dyDescent="0.2">
      <c r="A345">
        <v>7117583</v>
      </c>
      <c r="B345">
        <v>3692826</v>
      </c>
      <c r="C345">
        <v>3692800</v>
      </c>
      <c r="D345">
        <v>21883</v>
      </c>
      <c r="E345">
        <v>21883</v>
      </c>
      <c r="F345" t="s">
        <v>441</v>
      </c>
      <c r="G345">
        <v>0</v>
      </c>
      <c r="I345" s="5">
        <v>44044</v>
      </c>
      <c r="J345" s="5">
        <v>44306.666666666664</v>
      </c>
    </row>
    <row r="346" spans="1:10" x14ac:dyDescent="0.2">
      <c r="A346">
        <v>7117584</v>
      </c>
      <c r="B346">
        <v>3692800</v>
      </c>
      <c r="C346">
        <v>3692892</v>
      </c>
      <c r="D346">
        <v>21883</v>
      </c>
      <c r="E346">
        <v>21883</v>
      </c>
      <c r="F346" t="s">
        <v>441</v>
      </c>
      <c r="G346">
        <v>0</v>
      </c>
      <c r="I346" s="5">
        <v>44044</v>
      </c>
      <c r="J346" s="5">
        <v>44306.666666666664</v>
      </c>
    </row>
    <row r="347" spans="1:10" x14ac:dyDescent="0.2">
      <c r="A347">
        <v>7117585</v>
      </c>
      <c r="B347">
        <v>3692826</v>
      </c>
      <c r="C347">
        <v>3692799</v>
      </c>
      <c r="D347">
        <v>21883</v>
      </c>
      <c r="E347">
        <v>21883</v>
      </c>
      <c r="F347" t="s">
        <v>441</v>
      </c>
      <c r="G347">
        <v>0</v>
      </c>
      <c r="I347" s="5">
        <v>44044</v>
      </c>
      <c r="J347" s="5">
        <v>44306.666666666664</v>
      </c>
    </row>
    <row r="348" spans="1:10" x14ac:dyDescent="0.2">
      <c r="A348">
        <v>7117586</v>
      </c>
      <c r="B348">
        <v>3692799</v>
      </c>
      <c r="C348">
        <v>3692892</v>
      </c>
      <c r="D348">
        <v>21883</v>
      </c>
      <c r="E348">
        <v>21883</v>
      </c>
      <c r="F348" t="s">
        <v>441</v>
      </c>
      <c r="G348">
        <v>0</v>
      </c>
      <c r="I348" s="5">
        <v>44044</v>
      </c>
      <c r="J348" s="5">
        <v>44306.666666666664</v>
      </c>
    </row>
    <row r="349" spans="1:10" x14ac:dyDescent="0.2">
      <c r="A349">
        <v>7117587</v>
      </c>
      <c r="B349">
        <v>3693237</v>
      </c>
      <c r="C349">
        <v>3692892</v>
      </c>
      <c r="D349">
        <v>21883</v>
      </c>
      <c r="E349">
        <v>21883</v>
      </c>
      <c r="F349" t="s">
        <v>441</v>
      </c>
      <c r="G349">
        <v>0</v>
      </c>
      <c r="I349" s="5">
        <v>44044</v>
      </c>
      <c r="J349" s="5">
        <v>44306.666666666664</v>
      </c>
    </row>
    <row r="350" spans="1:10" x14ac:dyDescent="0.2">
      <c r="A350">
        <v>7117588</v>
      </c>
      <c r="B350">
        <v>3692826</v>
      </c>
      <c r="C350">
        <v>3693237</v>
      </c>
      <c r="D350">
        <v>21883</v>
      </c>
      <c r="E350">
        <v>21883</v>
      </c>
      <c r="F350" t="s">
        <v>441</v>
      </c>
      <c r="G350">
        <v>0</v>
      </c>
      <c r="I350" s="5">
        <v>44044</v>
      </c>
      <c r="J350" s="5">
        <v>44306.666666666664</v>
      </c>
    </row>
    <row r="351" spans="1:10" x14ac:dyDescent="0.2">
      <c r="A351">
        <v>7117589</v>
      </c>
      <c r="B351">
        <v>3692826</v>
      </c>
      <c r="C351">
        <v>3692825</v>
      </c>
      <c r="D351">
        <v>21883</v>
      </c>
      <c r="E351">
        <v>21883</v>
      </c>
      <c r="F351" t="s">
        <v>441</v>
      </c>
      <c r="G351">
        <v>0</v>
      </c>
      <c r="I351" s="5">
        <v>44044</v>
      </c>
      <c r="J351" s="5">
        <v>44306.666666666664</v>
      </c>
    </row>
    <row r="352" spans="1:10" x14ac:dyDescent="0.2">
      <c r="A352">
        <v>7117590</v>
      </c>
      <c r="B352">
        <v>3692826</v>
      </c>
      <c r="C352">
        <v>3692824</v>
      </c>
      <c r="D352">
        <v>21883</v>
      </c>
      <c r="E352">
        <v>21883</v>
      </c>
      <c r="F352" t="s">
        <v>441</v>
      </c>
      <c r="G352">
        <v>0</v>
      </c>
      <c r="J352" s="5">
        <v>44306.666666666664</v>
      </c>
    </row>
    <row r="353" spans="1:10" x14ac:dyDescent="0.2">
      <c r="A353">
        <v>7117591</v>
      </c>
      <c r="B353">
        <v>3692826</v>
      </c>
      <c r="C353">
        <v>3693235</v>
      </c>
      <c r="D353">
        <v>21883</v>
      </c>
      <c r="E353">
        <v>21883</v>
      </c>
      <c r="F353" t="s">
        <v>441</v>
      </c>
      <c r="G353">
        <v>0</v>
      </c>
      <c r="I353" s="5">
        <v>44044</v>
      </c>
      <c r="J353" s="5">
        <v>44306.666666666664</v>
      </c>
    </row>
    <row r="354" spans="1:10" x14ac:dyDescent="0.2">
      <c r="A354">
        <v>7117592</v>
      </c>
      <c r="B354">
        <v>3693235</v>
      </c>
      <c r="C354">
        <v>3692892</v>
      </c>
      <c r="D354">
        <v>21883</v>
      </c>
      <c r="E354">
        <v>21883</v>
      </c>
      <c r="F354" t="s">
        <v>441</v>
      </c>
      <c r="G354">
        <v>0</v>
      </c>
      <c r="I354" s="5">
        <v>44044</v>
      </c>
      <c r="J354" s="5">
        <v>44306.666666666664</v>
      </c>
    </row>
    <row r="355" spans="1:10" x14ac:dyDescent="0.2">
      <c r="A355">
        <v>7117593</v>
      </c>
      <c r="B355">
        <v>3692826</v>
      </c>
      <c r="C355">
        <v>3693236</v>
      </c>
      <c r="D355">
        <v>21883</v>
      </c>
      <c r="E355">
        <v>21883</v>
      </c>
      <c r="F355" t="s">
        <v>441</v>
      </c>
      <c r="G355">
        <v>0</v>
      </c>
      <c r="I355" s="5">
        <v>44044</v>
      </c>
      <c r="J355" s="5">
        <v>44306.666666666664</v>
      </c>
    </row>
    <row r="356" spans="1:10" x14ac:dyDescent="0.2">
      <c r="A356">
        <v>7117594</v>
      </c>
      <c r="B356">
        <v>3693236</v>
      </c>
      <c r="C356">
        <v>3692892</v>
      </c>
      <c r="D356">
        <v>21883</v>
      </c>
      <c r="E356">
        <v>21883</v>
      </c>
      <c r="F356" t="s">
        <v>441</v>
      </c>
      <c r="G356">
        <v>0</v>
      </c>
      <c r="I356" s="5">
        <v>44044</v>
      </c>
      <c r="J356" s="5">
        <v>44306.666666666664</v>
      </c>
    </row>
    <row r="357" spans="1:10" x14ac:dyDescent="0.2">
      <c r="A357">
        <v>7117595</v>
      </c>
      <c r="B357">
        <v>3693050</v>
      </c>
      <c r="C357">
        <v>3692814</v>
      </c>
      <c r="D357">
        <v>21883</v>
      </c>
      <c r="E357">
        <v>21883</v>
      </c>
      <c r="F357" t="s">
        <v>441</v>
      </c>
      <c r="G357">
        <v>0</v>
      </c>
      <c r="I357" s="5">
        <v>44117.666666666664</v>
      </c>
      <c r="J357" s="5">
        <v>44117.333333333336</v>
      </c>
    </row>
    <row r="358" spans="1:10" x14ac:dyDescent="0.2">
      <c r="A358">
        <v>7117596</v>
      </c>
      <c r="B358">
        <v>3693225</v>
      </c>
      <c r="C358">
        <v>3693033</v>
      </c>
      <c r="D358">
        <v>21883</v>
      </c>
      <c r="E358">
        <v>21883</v>
      </c>
      <c r="F358" t="s">
        <v>441</v>
      </c>
      <c r="G358">
        <v>0</v>
      </c>
      <c r="I358" s="5">
        <v>44044</v>
      </c>
      <c r="J358" s="5">
        <v>44060.333333333336</v>
      </c>
    </row>
    <row r="359" spans="1:10" x14ac:dyDescent="0.2">
      <c r="A359">
        <v>7117597</v>
      </c>
      <c r="B359">
        <v>3692814</v>
      </c>
      <c r="C359">
        <v>3692633</v>
      </c>
      <c r="D359">
        <v>21883</v>
      </c>
      <c r="E359">
        <v>21883</v>
      </c>
      <c r="F359" t="s">
        <v>441</v>
      </c>
      <c r="G359">
        <v>0</v>
      </c>
      <c r="I359" s="5">
        <v>44117.666666666664</v>
      </c>
      <c r="J359" s="5">
        <v>44116.666666666664</v>
      </c>
    </row>
    <row r="360" spans="1:10" x14ac:dyDescent="0.2">
      <c r="A360">
        <v>7117598</v>
      </c>
      <c r="B360">
        <v>3692633</v>
      </c>
      <c r="C360">
        <v>3693225</v>
      </c>
      <c r="D360">
        <v>21883</v>
      </c>
      <c r="E360">
        <v>21883</v>
      </c>
      <c r="F360" t="s">
        <v>441</v>
      </c>
      <c r="G360">
        <v>0</v>
      </c>
      <c r="I360" s="5">
        <v>44083.666666666664</v>
      </c>
      <c r="J360" s="5">
        <v>44083.333333333336</v>
      </c>
    </row>
    <row r="361" spans="1:10" x14ac:dyDescent="0.2">
      <c r="A361">
        <v>7117599</v>
      </c>
      <c r="B361">
        <v>3692814</v>
      </c>
      <c r="C361">
        <v>3693225</v>
      </c>
      <c r="D361">
        <v>21883</v>
      </c>
      <c r="E361">
        <v>21883</v>
      </c>
      <c r="F361" t="s">
        <v>441</v>
      </c>
      <c r="G361">
        <v>0</v>
      </c>
      <c r="I361" s="5">
        <v>44083.666666666664</v>
      </c>
      <c r="J361" s="5">
        <v>44116.666666666664</v>
      </c>
    </row>
    <row r="362" spans="1:10" x14ac:dyDescent="0.2">
      <c r="A362">
        <v>7117600</v>
      </c>
      <c r="B362">
        <v>3693225</v>
      </c>
      <c r="C362">
        <v>3693224</v>
      </c>
      <c r="D362">
        <v>21883</v>
      </c>
      <c r="E362">
        <v>21883</v>
      </c>
      <c r="F362" t="s">
        <v>441</v>
      </c>
      <c r="G362">
        <v>0</v>
      </c>
      <c r="I362" s="5">
        <v>44060.666666666664</v>
      </c>
      <c r="J362" s="5">
        <v>44060.333333333336</v>
      </c>
    </row>
    <row r="363" spans="1:10" x14ac:dyDescent="0.2">
      <c r="A363">
        <v>7117601</v>
      </c>
      <c r="B363">
        <v>3693909</v>
      </c>
      <c r="C363">
        <v>3693928</v>
      </c>
      <c r="D363">
        <v>21883</v>
      </c>
      <c r="E363">
        <v>21883</v>
      </c>
      <c r="F363" t="s">
        <v>441</v>
      </c>
      <c r="G363">
        <v>0</v>
      </c>
      <c r="I363" s="5">
        <v>44102.666666666664</v>
      </c>
      <c r="J363" s="5">
        <v>44050.333333333336</v>
      </c>
    </row>
    <row r="364" spans="1:10" x14ac:dyDescent="0.2">
      <c r="A364">
        <v>7117602</v>
      </c>
      <c r="B364">
        <v>3693924</v>
      </c>
      <c r="C364">
        <v>3693943</v>
      </c>
      <c r="D364">
        <v>21883</v>
      </c>
      <c r="E364">
        <v>21883</v>
      </c>
      <c r="F364" t="s">
        <v>441</v>
      </c>
      <c r="G364">
        <v>0</v>
      </c>
      <c r="I364" s="5">
        <v>44098.666666666664</v>
      </c>
      <c r="J364" s="5">
        <v>44070.333333333336</v>
      </c>
    </row>
    <row r="365" spans="1:10" x14ac:dyDescent="0.2">
      <c r="A365">
        <v>7117603</v>
      </c>
      <c r="B365">
        <v>3693699</v>
      </c>
      <c r="C365">
        <v>3693685</v>
      </c>
      <c r="D365">
        <v>21883</v>
      </c>
      <c r="E365">
        <v>21883</v>
      </c>
      <c r="F365" t="s">
        <v>442</v>
      </c>
      <c r="G365">
        <v>24</v>
      </c>
      <c r="I365" s="5">
        <v>44044</v>
      </c>
      <c r="J365" s="5">
        <v>43970.333333333336</v>
      </c>
    </row>
    <row r="366" spans="1:10" x14ac:dyDescent="0.2">
      <c r="A366">
        <v>7117604</v>
      </c>
      <c r="B366">
        <v>3693684</v>
      </c>
      <c r="C366">
        <v>3693670</v>
      </c>
      <c r="D366">
        <v>21883</v>
      </c>
      <c r="E366">
        <v>21883</v>
      </c>
      <c r="F366" t="s">
        <v>442</v>
      </c>
      <c r="G366">
        <v>24</v>
      </c>
      <c r="I366" s="5">
        <v>44044</v>
      </c>
      <c r="J366" s="5">
        <v>43970.333333333336</v>
      </c>
    </row>
    <row r="367" spans="1:10" x14ac:dyDescent="0.2">
      <c r="A367">
        <v>7117605</v>
      </c>
      <c r="B367">
        <v>3693669</v>
      </c>
      <c r="C367">
        <v>3693655</v>
      </c>
      <c r="D367">
        <v>21883</v>
      </c>
      <c r="E367">
        <v>21883</v>
      </c>
      <c r="F367" t="s">
        <v>442</v>
      </c>
      <c r="G367">
        <v>24</v>
      </c>
      <c r="I367" s="5">
        <v>44044</v>
      </c>
      <c r="J367" s="5">
        <v>43970.333333333336</v>
      </c>
    </row>
    <row r="368" spans="1:10" x14ac:dyDescent="0.2">
      <c r="A368">
        <v>7117606</v>
      </c>
      <c r="B368">
        <v>3693782</v>
      </c>
      <c r="C368">
        <v>3692892</v>
      </c>
      <c r="D368">
        <v>21883</v>
      </c>
      <c r="E368">
        <v>21883</v>
      </c>
      <c r="F368" t="s">
        <v>441</v>
      </c>
      <c r="G368">
        <v>0</v>
      </c>
      <c r="I368" s="5">
        <v>44044</v>
      </c>
      <c r="J368" s="5">
        <v>44306.666666666664</v>
      </c>
    </row>
    <row r="369" spans="1:10" x14ac:dyDescent="0.2">
      <c r="A369">
        <v>7117607</v>
      </c>
      <c r="B369">
        <v>3692826</v>
      </c>
      <c r="C369">
        <v>3693782</v>
      </c>
      <c r="D369">
        <v>21883</v>
      </c>
      <c r="E369">
        <v>21883</v>
      </c>
      <c r="F369" t="s">
        <v>441</v>
      </c>
      <c r="G369">
        <v>0</v>
      </c>
      <c r="I369" s="5">
        <v>44044</v>
      </c>
      <c r="J369" s="5">
        <v>44306.666666666664</v>
      </c>
    </row>
    <row r="370" spans="1:10" x14ac:dyDescent="0.2">
      <c r="A370">
        <v>7117608</v>
      </c>
      <c r="B370">
        <v>3693875</v>
      </c>
      <c r="C370">
        <v>3693781</v>
      </c>
      <c r="D370">
        <v>21883</v>
      </c>
      <c r="E370">
        <v>21883</v>
      </c>
      <c r="F370" t="s">
        <v>441</v>
      </c>
      <c r="G370">
        <v>0</v>
      </c>
      <c r="I370" s="5">
        <v>44044</v>
      </c>
      <c r="J370" s="5">
        <v>44005.333333333336</v>
      </c>
    </row>
    <row r="371" spans="1:10" x14ac:dyDescent="0.2">
      <c r="A371">
        <v>7117609</v>
      </c>
      <c r="B371">
        <v>3693499</v>
      </c>
      <c r="C371">
        <v>3693485</v>
      </c>
      <c r="D371">
        <v>21883</v>
      </c>
      <c r="E371">
        <v>21883</v>
      </c>
      <c r="F371" t="s">
        <v>441</v>
      </c>
      <c r="G371">
        <v>0</v>
      </c>
      <c r="I371" s="5">
        <v>44044</v>
      </c>
      <c r="J371" s="5">
        <v>43970.333333333336</v>
      </c>
    </row>
    <row r="372" spans="1:10" x14ac:dyDescent="0.2">
      <c r="A372">
        <v>7117610</v>
      </c>
      <c r="B372">
        <v>3694000</v>
      </c>
      <c r="C372">
        <v>3693498</v>
      </c>
      <c r="D372">
        <v>21883</v>
      </c>
      <c r="E372">
        <v>21883</v>
      </c>
      <c r="F372" t="s">
        <v>441</v>
      </c>
      <c r="G372">
        <v>0</v>
      </c>
      <c r="I372" s="5">
        <v>44044</v>
      </c>
      <c r="J372" s="5">
        <v>43970.333333333336</v>
      </c>
    </row>
    <row r="373" spans="1:10" x14ac:dyDescent="0.2">
      <c r="A373">
        <v>7117611</v>
      </c>
      <c r="B373">
        <v>3693498</v>
      </c>
      <c r="C373">
        <v>3693488</v>
      </c>
      <c r="D373">
        <v>21883</v>
      </c>
      <c r="E373">
        <v>21883</v>
      </c>
      <c r="F373" t="s">
        <v>441</v>
      </c>
      <c r="G373">
        <v>0</v>
      </c>
      <c r="I373" s="5">
        <v>44044</v>
      </c>
      <c r="J373" s="5">
        <v>43970.333333333336</v>
      </c>
    </row>
    <row r="374" spans="1:10" x14ac:dyDescent="0.2">
      <c r="A374">
        <v>7117612</v>
      </c>
      <c r="B374">
        <v>3693571</v>
      </c>
      <c r="C374">
        <v>3692635</v>
      </c>
      <c r="D374">
        <v>21883</v>
      </c>
      <c r="E374">
        <v>21883</v>
      </c>
      <c r="F374" t="s">
        <v>441</v>
      </c>
      <c r="G374">
        <v>0</v>
      </c>
      <c r="I374" s="5">
        <v>44044</v>
      </c>
      <c r="J374" s="5">
        <v>43970.333333333336</v>
      </c>
    </row>
    <row r="375" spans="1:10" x14ac:dyDescent="0.2">
      <c r="A375">
        <v>7117613</v>
      </c>
      <c r="B375">
        <v>3692635</v>
      </c>
      <c r="C375">
        <v>3692763</v>
      </c>
      <c r="D375">
        <v>21883</v>
      </c>
      <c r="E375">
        <v>21883</v>
      </c>
      <c r="F375" t="s">
        <v>441</v>
      </c>
      <c r="G375">
        <v>0</v>
      </c>
      <c r="I375" s="5">
        <v>44044</v>
      </c>
      <c r="J375" s="5">
        <v>43970.333333333336</v>
      </c>
    </row>
    <row r="376" spans="1:10" x14ac:dyDescent="0.2">
      <c r="A376">
        <v>7117614</v>
      </c>
      <c r="B376">
        <v>3693233</v>
      </c>
      <c r="C376">
        <v>3693033</v>
      </c>
      <c r="D376">
        <v>21883</v>
      </c>
      <c r="E376">
        <v>21883</v>
      </c>
      <c r="F376" t="s">
        <v>441</v>
      </c>
      <c r="G376">
        <v>0</v>
      </c>
      <c r="I376" s="5">
        <v>44044</v>
      </c>
      <c r="J376" s="5">
        <v>44036.333333333336</v>
      </c>
    </row>
    <row r="377" spans="1:10" x14ac:dyDescent="0.2">
      <c r="A377">
        <v>7117615</v>
      </c>
      <c r="B377">
        <v>3692814</v>
      </c>
      <c r="C377">
        <v>3693233</v>
      </c>
      <c r="D377">
        <v>21883</v>
      </c>
      <c r="E377">
        <v>21883</v>
      </c>
      <c r="F377" t="s">
        <v>441</v>
      </c>
      <c r="G377">
        <v>0</v>
      </c>
      <c r="I377" s="5">
        <v>44071.666666666664</v>
      </c>
      <c r="J377" s="5">
        <v>44116.666666666664</v>
      </c>
    </row>
    <row r="378" spans="1:10" x14ac:dyDescent="0.2">
      <c r="A378">
        <v>7117616</v>
      </c>
      <c r="B378">
        <v>3692824</v>
      </c>
      <c r="C378">
        <v>3692892</v>
      </c>
      <c r="D378">
        <v>21883</v>
      </c>
      <c r="E378">
        <v>21883</v>
      </c>
      <c r="F378" t="s">
        <v>441</v>
      </c>
      <c r="G378">
        <v>0</v>
      </c>
      <c r="I378" s="5">
        <v>44044</v>
      </c>
    </row>
    <row r="379" spans="1:10" x14ac:dyDescent="0.2">
      <c r="A379">
        <v>7117617</v>
      </c>
      <c r="B379">
        <v>3692825</v>
      </c>
      <c r="C379">
        <v>3692892</v>
      </c>
      <c r="D379">
        <v>21883</v>
      </c>
      <c r="E379">
        <v>21883</v>
      </c>
      <c r="F379" t="s">
        <v>441</v>
      </c>
      <c r="G379">
        <v>0</v>
      </c>
      <c r="I379" s="5">
        <v>44044</v>
      </c>
      <c r="J379" s="5">
        <v>44306.666666666664</v>
      </c>
    </row>
    <row r="380" spans="1:10" x14ac:dyDescent="0.2">
      <c r="A380">
        <v>7117618</v>
      </c>
      <c r="B380">
        <v>3692826</v>
      </c>
      <c r="C380">
        <v>3693060</v>
      </c>
      <c r="D380">
        <v>21883</v>
      </c>
      <c r="E380">
        <v>21883</v>
      </c>
      <c r="F380" t="s">
        <v>441</v>
      </c>
      <c r="G380">
        <v>0</v>
      </c>
      <c r="I380" s="5">
        <v>44044</v>
      </c>
      <c r="J380" s="5">
        <v>44306.666666666664</v>
      </c>
    </row>
    <row r="381" spans="1:10" x14ac:dyDescent="0.2">
      <c r="A381">
        <v>7117619</v>
      </c>
      <c r="B381">
        <v>3692826</v>
      </c>
      <c r="C381">
        <v>3693065</v>
      </c>
      <c r="D381">
        <v>21883</v>
      </c>
      <c r="E381">
        <v>21883</v>
      </c>
      <c r="F381" t="s">
        <v>441</v>
      </c>
      <c r="G381">
        <v>0</v>
      </c>
      <c r="I381" s="5">
        <v>44044</v>
      </c>
      <c r="J381" s="5">
        <v>44306.666666666664</v>
      </c>
    </row>
    <row r="382" spans="1:10" x14ac:dyDescent="0.2">
      <c r="A382">
        <v>7117620</v>
      </c>
      <c r="B382">
        <v>3692826</v>
      </c>
      <c r="C382">
        <v>3693064</v>
      </c>
      <c r="D382">
        <v>21883</v>
      </c>
      <c r="E382">
        <v>21883</v>
      </c>
      <c r="F382" t="s">
        <v>441</v>
      </c>
      <c r="G382">
        <v>0</v>
      </c>
      <c r="I382" s="5">
        <v>44044</v>
      </c>
      <c r="J382" s="5">
        <v>44306.666666666664</v>
      </c>
    </row>
    <row r="383" spans="1:10" x14ac:dyDescent="0.2">
      <c r="A383">
        <v>7117621</v>
      </c>
      <c r="B383">
        <v>3692826</v>
      </c>
      <c r="C383">
        <v>3693063</v>
      </c>
      <c r="D383">
        <v>21883</v>
      </c>
      <c r="E383">
        <v>21883</v>
      </c>
      <c r="F383" t="s">
        <v>441</v>
      </c>
      <c r="G383">
        <v>0</v>
      </c>
      <c r="I383" s="5">
        <v>44044</v>
      </c>
      <c r="J383" s="5">
        <v>44306.666666666664</v>
      </c>
    </row>
    <row r="384" spans="1:10" x14ac:dyDescent="0.2">
      <c r="A384">
        <v>7117622</v>
      </c>
      <c r="B384">
        <v>3692826</v>
      </c>
      <c r="C384">
        <v>3693062</v>
      </c>
      <c r="D384">
        <v>21883</v>
      </c>
      <c r="E384">
        <v>21883</v>
      </c>
      <c r="F384" t="s">
        <v>441</v>
      </c>
      <c r="G384">
        <v>0</v>
      </c>
      <c r="I384" s="5">
        <v>44044</v>
      </c>
      <c r="J384" s="5">
        <v>44306.666666666664</v>
      </c>
    </row>
    <row r="385" spans="1:10" x14ac:dyDescent="0.2">
      <c r="A385">
        <v>7117623</v>
      </c>
      <c r="B385">
        <v>3692826</v>
      </c>
      <c r="C385">
        <v>3693061</v>
      </c>
      <c r="D385">
        <v>21883</v>
      </c>
      <c r="E385">
        <v>21883</v>
      </c>
      <c r="F385" t="s">
        <v>441</v>
      </c>
      <c r="G385">
        <v>0</v>
      </c>
      <c r="I385" s="5">
        <v>44044</v>
      </c>
      <c r="J385" s="5">
        <v>44306.666666666664</v>
      </c>
    </row>
    <row r="386" spans="1:10" x14ac:dyDescent="0.2">
      <c r="A386">
        <v>7117624</v>
      </c>
      <c r="B386">
        <v>3692826</v>
      </c>
      <c r="C386">
        <v>3694058</v>
      </c>
      <c r="D386">
        <v>21883</v>
      </c>
      <c r="E386">
        <v>21883</v>
      </c>
      <c r="F386" t="s">
        <v>441</v>
      </c>
      <c r="G386">
        <v>0</v>
      </c>
      <c r="I386" s="5">
        <v>44044</v>
      </c>
      <c r="J386" s="5">
        <v>44306.666666666664</v>
      </c>
    </row>
    <row r="387" spans="1:10" x14ac:dyDescent="0.2">
      <c r="A387">
        <v>7117625</v>
      </c>
      <c r="B387">
        <v>3692826</v>
      </c>
      <c r="C387">
        <v>3693052</v>
      </c>
      <c r="D387">
        <v>21883</v>
      </c>
      <c r="E387">
        <v>21883</v>
      </c>
      <c r="F387" t="s">
        <v>441</v>
      </c>
      <c r="G387">
        <v>0</v>
      </c>
      <c r="I387" s="5">
        <v>44044</v>
      </c>
      <c r="J387" s="5">
        <v>44306.666666666664</v>
      </c>
    </row>
    <row r="388" spans="1:10" x14ac:dyDescent="0.2">
      <c r="A388">
        <v>7117626</v>
      </c>
      <c r="B388">
        <v>3692826</v>
      </c>
      <c r="C388">
        <v>3693055</v>
      </c>
      <c r="D388">
        <v>21883</v>
      </c>
      <c r="E388">
        <v>21883</v>
      </c>
      <c r="F388" t="s">
        <v>441</v>
      </c>
      <c r="G388">
        <v>0</v>
      </c>
      <c r="I388" s="5">
        <v>44044</v>
      </c>
      <c r="J388" s="5">
        <v>44306.666666666664</v>
      </c>
    </row>
    <row r="389" spans="1:10" x14ac:dyDescent="0.2">
      <c r="A389">
        <v>7117627</v>
      </c>
      <c r="B389">
        <v>3692826</v>
      </c>
      <c r="C389">
        <v>3693051</v>
      </c>
      <c r="D389">
        <v>21883</v>
      </c>
      <c r="E389">
        <v>21883</v>
      </c>
      <c r="F389" t="s">
        <v>441</v>
      </c>
      <c r="G389">
        <v>0</v>
      </c>
      <c r="J389" s="5">
        <v>44306.666666666664</v>
      </c>
    </row>
    <row r="390" spans="1:10" x14ac:dyDescent="0.2">
      <c r="A390">
        <v>7117628</v>
      </c>
      <c r="B390">
        <v>3692826</v>
      </c>
      <c r="C390">
        <v>3692871</v>
      </c>
      <c r="D390">
        <v>21883</v>
      </c>
      <c r="E390">
        <v>21883</v>
      </c>
      <c r="F390" t="s">
        <v>441</v>
      </c>
      <c r="G390">
        <v>0</v>
      </c>
      <c r="I390" s="5">
        <v>44044</v>
      </c>
      <c r="J390" s="5">
        <v>44306.666666666664</v>
      </c>
    </row>
    <row r="391" spans="1:10" x14ac:dyDescent="0.2">
      <c r="A391">
        <v>7117629</v>
      </c>
      <c r="B391">
        <v>3692871</v>
      </c>
      <c r="C391">
        <v>3692892</v>
      </c>
      <c r="D391">
        <v>21883</v>
      </c>
      <c r="E391">
        <v>21883</v>
      </c>
      <c r="F391" t="s">
        <v>441</v>
      </c>
      <c r="G391">
        <v>0</v>
      </c>
      <c r="I391" s="5">
        <v>44044</v>
      </c>
      <c r="J391" s="5">
        <v>44306.666666666664</v>
      </c>
    </row>
    <row r="392" spans="1:10" x14ac:dyDescent="0.2">
      <c r="A392">
        <v>7117630</v>
      </c>
      <c r="B392">
        <v>3693050</v>
      </c>
      <c r="C392">
        <v>3692714</v>
      </c>
      <c r="D392">
        <v>21883</v>
      </c>
      <c r="E392">
        <v>21883</v>
      </c>
      <c r="F392" t="s">
        <v>441</v>
      </c>
      <c r="G392">
        <v>0</v>
      </c>
      <c r="I392" s="5">
        <v>44044</v>
      </c>
      <c r="J392" s="5">
        <v>44117.333333333336</v>
      </c>
    </row>
    <row r="393" spans="1:10" x14ac:dyDescent="0.2">
      <c r="A393">
        <v>7117631</v>
      </c>
      <c r="B393">
        <v>3693050</v>
      </c>
      <c r="C393">
        <v>3692757</v>
      </c>
      <c r="D393">
        <v>21883</v>
      </c>
      <c r="E393">
        <v>21883</v>
      </c>
      <c r="F393" t="s">
        <v>441</v>
      </c>
      <c r="G393">
        <v>0</v>
      </c>
      <c r="I393" s="5">
        <v>44044</v>
      </c>
      <c r="J393" s="5">
        <v>44117.333333333336</v>
      </c>
    </row>
    <row r="394" spans="1:10" x14ac:dyDescent="0.2">
      <c r="A394">
        <v>7117632</v>
      </c>
      <c r="B394">
        <v>3693217</v>
      </c>
      <c r="C394">
        <v>3694054</v>
      </c>
      <c r="D394">
        <v>21883</v>
      </c>
      <c r="E394">
        <v>21883</v>
      </c>
      <c r="F394" t="s">
        <v>441</v>
      </c>
      <c r="G394">
        <v>0</v>
      </c>
      <c r="I394" s="5">
        <v>44044</v>
      </c>
      <c r="J394" s="5">
        <v>43993.333333333336</v>
      </c>
    </row>
    <row r="395" spans="1:10" x14ac:dyDescent="0.2">
      <c r="A395">
        <v>7117633</v>
      </c>
      <c r="B395">
        <v>3693050</v>
      </c>
      <c r="C395">
        <v>3692751</v>
      </c>
      <c r="D395">
        <v>21883</v>
      </c>
      <c r="E395">
        <v>21883</v>
      </c>
      <c r="F395" t="s">
        <v>441</v>
      </c>
      <c r="G395">
        <v>0</v>
      </c>
      <c r="I395" s="5">
        <v>44044</v>
      </c>
      <c r="J395" s="5">
        <v>44117.333333333336</v>
      </c>
    </row>
    <row r="396" spans="1:10" x14ac:dyDescent="0.2">
      <c r="A396">
        <v>7117634</v>
      </c>
      <c r="B396">
        <v>3692698</v>
      </c>
      <c r="C396">
        <v>3692689</v>
      </c>
      <c r="D396">
        <v>21883</v>
      </c>
      <c r="E396">
        <v>21883</v>
      </c>
      <c r="F396" t="s">
        <v>441</v>
      </c>
      <c r="G396">
        <v>0</v>
      </c>
      <c r="I396" s="5">
        <v>44044</v>
      </c>
      <c r="J396" s="5">
        <v>43983.333333333336</v>
      </c>
    </row>
    <row r="397" spans="1:10" x14ac:dyDescent="0.2">
      <c r="A397">
        <v>7117635</v>
      </c>
      <c r="B397">
        <v>3693050</v>
      </c>
      <c r="C397">
        <v>3694078</v>
      </c>
      <c r="D397">
        <v>21883</v>
      </c>
      <c r="E397">
        <v>21883</v>
      </c>
      <c r="F397" t="s">
        <v>441</v>
      </c>
      <c r="G397">
        <v>0</v>
      </c>
      <c r="I397" s="5">
        <v>44078.666666666664</v>
      </c>
      <c r="J397" s="5">
        <v>44117.333333333336</v>
      </c>
    </row>
    <row r="398" spans="1:10" x14ac:dyDescent="0.2">
      <c r="A398">
        <v>7117636</v>
      </c>
      <c r="B398">
        <v>3693050</v>
      </c>
      <c r="C398">
        <v>3694074</v>
      </c>
      <c r="D398">
        <v>21883</v>
      </c>
      <c r="E398">
        <v>21883</v>
      </c>
      <c r="F398" t="s">
        <v>441</v>
      </c>
      <c r="G398">
        <v>0</v>
      </c>
      <c r="I398" s="5">
        <v>44060.666666666664</v>
      </c>
      <c r="J398" s="5">
        <v>44117.333333333336</v>
      </c>
    </row>
    <row r="399" spans="1:10" x14ac:dyDescent="0.2">
      <c r="A399">
        <v>7117637</v>
      </c>
      <c r="B399">
        <v>3693050</v>
      </c>
      <c r="C399">
        <v>3694076</v>
      </c>
      <c r="D399">
        <v>21883</v>
      </c>
      <c r="E399">
        <v>21883</v>
      </c>
      <c r="F399" t="s">
        <v>441</v>
      </c>
      <c r="G399">
        <v>0</v>
      </c>
      <c r="I399" s="5">
        <v>44060.666666666664</v>
      </c>
      <c r="J399" s="5">
        <v>44117.333333333336</v>
      </c>
    </row>
    <row r="400" spans="1:10" x14ac:dyDescent="0.2">
      <c r="A400">
        <v>7117638</v>
      </c>
      <c r="B400">
        <v>3693050</v>
      </c>
      <c r="C400">
        <v>3693224</v>
      </c>
      <c r="D400">
        <v>21883</v>
      </c>
      <c r="E400">
        <v>21883</v>
      </c>
      <c r="F400" t="s">
        <v>441</v>
      </c>
      <c r="G400">
        <v>0</v>
      </c>
      <c r="I400" s="5">
        <v>44060.666666666664</v>
      </c>
      <c r="J400" s="5">
        <v>44117.333333333336</v>
      </c>
    </row>
    <row r="401" spans="1:10" x14ac:dyDescent="0.2">
      <c r="A401">
        <v>7117639</v>
      </c>
      <c r="B401">
        <v>3693050</v>
      </c>
      <c r="C401">
        <v>3693334</v>
      </c>
      <c r="D401">
        <v>21883</v>
      </c>
      <c r="E401">
        <v>21883</v>
      </c>
      <c r="F401" t="s">
        <v>441</v>
      </c>
      <c r="G401">
        <v>0</v>
      </c>
      <c r="I401" s="5">
        <v>44124.666666666664</v>
      </c>
      <c r="J401" s="5">
        <v>44117.333333333336</v>
      </c>
    </row>
    <row r="402" spans="1:10" x14ac:dyDescent="0.2">
      <c r="A402">
        <v>7117640</v>
      </c>
      <c r="B402">
        <v>3693723</v>
      </c>
      <c r="C402">
        <v>3692892</v>
      </c>
      <c r="D402">
        <v>21883</v>
      </c>
      <c r="E402">
        <v>21883</v>
      </c>
      <c r="F402" t="s">
        <v>441</v>
      </c>
      <c r="G402">
        <v>0</v>
      </c>
      <c r="I402" s="5">
        <v>44044</v>
      </c>
      <c r="J402" s="5">
        <v>44306.666666666664</v>
      </c>
    </row>
    <row r="403" spans="1:10" x14ac:dyDescent="0.2">
      <c r="A403">
        <v>7117641</v>
      </c>
      <c r="B403">
        <v>3692826</v>
      </c>
      <c r="C403">
        <v>3693723</v>
      </c>
      <c r="D403">
        <v>21883</v>
      </c>
      <c r="E403">
        <v>21883</v>
      </c>
      <c r="F403" t="s">
        <v>441</v>
      </c>
      <c r="G403">
        <v>0</v>
      </c>
      <c r="I403" s="5">
        <v>44044</v>
      </c>
      <c r="J403" s="5">
        <v>44306.666666666664</v>
      </c>
    </row>
    <row r="404" spans="1:10" x14ac:dyDescent="0.2">
      <c r="A404">
        <v>7117642</v>
      </c>
      <c r="B404">
        <v>3692725</v>
      </c>
      <c r="C404">
        <v>3693202</v>
      </c>
      <c r="D404">
        <v>21883</v>
      </c>
      <c r="E404">
        <v>21883</v>
      </c>
      <c r="F404" t="s">
        <v>442</v>
      </c>
      <c r="G404">
        <v>80</v>
      </c>
      <c r="I404" s="5">
        <v>44044</v>
      </c>
      <c r="J404" s="5">
        <v>43983.333333333336</v>
      </c>
    </row>
    <row r="405" spans="1:10" x14ac:dyDescent="0.2">
      <c r="A405">
        <v>7117643</v>
      </c>
      <c r="B405">
        <v>3692873</v>
      </c>
      <c r="C405">
        <v>3692743</v>
      </c>
      <c r="D405">
        <v>21883</v>
      </c>
      <c r="E405">
        <v>21883</v>
      </c>
      <c r="F405" t="s">
        <v>441</v>
      </c>
      <c r="G405">
        <v>0</v>
      </c>
      <c r="I405" s="5">
        <v>44044</v>
      </c>
      <c r="J405" s="5">
        <v>44054.333333333336</v>
      </c>
    </row>
    <row r="406" spans="1:10" x14ac:dyDescent="0.2">
      <c r="A406">
        <v>7117644</v>
      </c>
      <c r="B406">
        <v>3692747</v>
      </c>
      <c r="C406">
        <v>3692748</v>
      </c>
      <c r="D406">
        <v>21883</v>
      </c>
      <c r="E406">
        <v>21883</v>
      </c>
      <c r="F406" t="s">
        <v>441</v>
      </c>
      <c r="G406">
        <v>0</v>
      </c>
      <c r="I406" s="5">
        <v>44044</v>
      </c>
      <c r="J406" s="5">
        <v>43970.333333333336</v>
      </c>
    </row>
    <row r="407" spans="1:10" x14ac:dyDescent="0.2">
      <c r="A407">
        <v>7117645</v>
      </c>
      <c r="B407">
        <v>3692748</v>
      </c>
      <c r="C407">
        <v>3692815</v>
      </c>
      <c r="D407">
        <v>21883</v>
      </c>
      <c r="E407">
        <v>21883</v>
      </c>
      <c r="F407" t="s">
        <v>441</v>
      </c>
      <c r="G407">
        <v>0</v>
      </c>
      <c r="I407" s="5">
        <v>44044</v>
      </c>
      <c r="J407" s="5">
        <v>43970.333333333336</v>
      </c>
    </row>
    <row r="408" spans="1:10" x14ac:dyDescent="0.2">
      <c r="A408">
        <v>7117646</v>
      </c>
      <c r="B408">
        <v>3692762</v>
      </c>
      <c r="C408">
        <v>3692758</v>
      </c>
      <c r="D408">
        <v>21883</v>
      </c>
      <c r="E408">
        <v>21883</v>
      </c>
      <c r="F408" t="s">
        <v>441</v>
      </c>
      <c r="G408">
        <v>0</v>
      </c>
      <c r="I408" s="5">
        <v>44044</v>
      </c>
      <c r="J408" s="5">
        <v>43970.333333333336</v>
      </c>
    </row>
    <row r="409" spans="1:10" x14ac:dyDescent="0.2">
      <c r="A409">
        <v>7117647</v>
      </c>
      <c r="B409">
        <v>3694073</v>
      </c>
      <c r="C409">
        <v>3693033</v>
      </c>
      <c r="D409">
        <v>21883</v>
      </c>
      <c r="E409">
        <v>21883</v>
      </c>
      <c r="F409" t="s">
        <v>441</v>
      </c>
      <c r="G409">
        <v>0</v>
      </c>
      <c r="I409" s="5">
        <v>44044</v>
      </c>
      <c r="J409" s="5">
        <v>44098.333333333336</v>
      </c>
    </row>
    <row r="410" spans="1:10" x14ac:dyDescent="0.2">
      <c r="A410">
        <v>7117648</v>
      </c>
      <c r="B410">
        <v>3693011</v>
      </c>
      <c r="C410">
        <v>3693033</v>
      </c>
      <c r="D410">
        <v>21883</v>
      </c>
      <c r="E410">
        <v>21883</v>
      </c>
      <c r="F410" t="s">
        <v>441</v>
      </c>
      <c r="G410">
        <v>0</v>
      </c>
      <c r="I410" s="5">
        <v>44044</v>
      </c>
      <c r="J410" s="5">
        <v>44032.333333333336</v>
      </c>
    </row>
    <row r="411" spans="1:10" x14ac:dyDescent="0.2">
      <c r="A411">
        <v>7117649</v>
      </c>
      <c r="B411">
        <v>3693331</v>
      </c>
      <c r="C411">
        <v>3692737</v>
      </c>
      <c r="D411">
        <v>21883</v>
      </c>
      <c r="E411">
        <v>21883</v>
      </c>
      <c r="F411" t="s">
        <v>441</v>
      </c>
      <c r="G411">
        <v>0</v>
      </c>
      <c r="I411" s="5">
        <v>44044</v>
      </c>
      <c r="J411" s="5">
        <v>44273.666666666664</v>
      </c>
    </row>
    <row r="412" spans="1:10" x14ac:dyDescent="0.2">
      <c r="A412">
        <v>7117650</v>
      </c>
      <c r="B412">
        <v>3693331</v>
      </c>
      <c r="C412">
        <v>3692818</v>
      </c>
      <c r="D412">
        <v>21883</v>
      </c>
      <c r="E412">
        <v>21883</v>
      </c>
      <c r="F412" t="s">
        <v>441</v>
      </c>
      <c r="G412">
        <v>0</v>
      </c>
      <c r="I412" s="5">
        <v>44075.666666666664</v>
      </c>
      <c r="J412" s="5">
        <v>44273.666666666664</v>
      </c>
    </row>
    <row r="413" spans="1:10" x14ac:dyDescent="0.2">
      <c r="A413">
        <v>7117651</v>
      </c>
      <c r="B413">
        <v>3692693</v>
      </c>
      <c r="C413">
        <v>3692701</v>
      </c>
      <c r="D413">
        <v>21883</v>
      </c>
      <c r="E413">
        <v>21883</v>
      </c>
      <c r="F413" t="s">
        <v>441</v>
      </c>
      <c r="G413">
        <v>0</v>
      </c>
      <c r="I413" s="5">
        <v>44044</v>
      </c>
      <c r="J413" s="5">
        <v>43983.333333333336</v>
      </c>
    </row>
    <row r="414" spans="1:10" x14ac:dyDescent="0.2">
      <c r="A414">
        <v>7117652</v>
      </c>
      <c r="B414">
        <v>3692684</v>
      </c>
      <c r="C414">
        <v>3692690</v>
      </c>
      <c r="D414">
        <v>21883</v>
      </c>
      <c r="E414">
        <v>21883</v>
      </c>
      <c r="F414" t="s">
        <v>440</v>
      </c>
      <c r="G414">
        <v>0</v>
      </c>
      <c r="I414" s="5">
        <v>44044</v>
      </c>
      <c r="J414" s="5">
        <v>43983.333333333336</v>
      </c>
    </row>
    <row r="415" spans="1:10" x14ac:dyDescent="0.2">
      <c r="A415">
        <v>7117653</v>
      </c>
      <c r="B415">
        <v>3692684</v>
      </c>
      <c r="C415">
        <v>3692690</v>
      </c>
      <c r="D415">
        <v>21883</v>
      </c>
      <c r="E415">
        <v>21883</v>
      </c>
      <c r="F415" t="s">
        <v>441</v>
      </c>
      <c r="G415">
        <v>0</v>
      </c>
      <c r="I415" s="5">
        <v>44044</v>
      </c>
      <c r="J415" s="5">
        <v>43983.333333333336</v>
      </c>
    </row>
    <row r="416" spans="1:10" x14ac:dyDescent="0.2">
      <c r="A416">
        <v>7117654</v>
      </c>
      <c r="B416">
        <v>3692734</v>
      </c>
      <c r="C416">
        <v>3692813</v>
      </c>
      <c r="D416">
        <v>21883</v>
      </c>
      <c r="E416">
        <v>21883</v>
      </c>
      <c r="F416" t="s">
        <v>441</v>
      </c>
      <c r="G416">
        <v>0</v>
      </c>
      <c r="I416" s="5">
        <v>44044</v>
      </c>
      <c r="J416" s="5">
        <v>43986.333333333336</v>
      </c>
    </row>
    <row r="417" spans="1:10" x14ac:dyDescent="0.2">
      <c r="A417">
        <v>7117655</v>
      </c>
      <c r="B417">
        <v>3692745</v>
      </c>
      <c r="C417">
        <v>3692746</v>
      </c>
      <c r="D417">
        <v>21883</v>
      </c>
      <c r="E417">
        <v>21883</v>
      </c>
      <c r="F417" t="s">
        <v>441</v>
      </c>
      <c r="G417">
        <v>0</v>
      </c>
      <c r="I417" s="5">
        <v>44044</v>
      </c>
      <c r="J417" s="5">
        <v>43970.333333333336</v>
      </c>
    </row>
    <row r="418" spans="1:10" x14ac:dyDescent="0.2">
      <c r="A418">
        <v>7117656</v>
      </c>
      <c r="B418">
        <v>3692746</v>
      </c>
      <c r="C418">
        <v>3692747</v>
      </c>
      <c r="D418">
        <v>21883</v>
      </c>
      <c r="E418">
        <v>21883</v>
      </c>
      <c r="F418" t="s">
        <v>441</v>
      </c>
      <c r="G418">
        <v>0</v>
      </c>
      <c r="I418" s="5">
        <v>44044</v>
      </c>
      <c r="J418" s="5">
        <v>43970.333333333336</v>
      </c>
    </row>
    <row r="419" spans="1:10" x14ac:dyDescent="0.2">
      <c r="A419">
        <v>7117657</v>
      </c>
      <c r="B419">
        <v>3692671</v>
      </c>
      <c r="C419">
        <v>3692676</v>
      </c>
      <c r="D419">
        <v>21883</v>
      </c>
      <c r="E419">
        <v>21883</v>
      </c>
      <c r="F419" t="s">
        <v>441</v>
      </c>
      <c r="G419">
        <v>0</v>
      </c>
      <c r="I419" s="5">
        <v>44044</v>
      </c>
      <c r="J419" s="5">
        <v>43983.333333333336</v>
      </c>
    </row>
    <row r="420" spans="1:10" x14ac:dyDescent="0.2">
      <c r="A420">
        <v>7117658</v>
      </c>
      <c r="B420">
        <v>3693980</v>
      </c>
      <c r="C420">
        <v>3693965</v>
      </c>
      <c r="D420">
        <v>21883</v>
      </c>
      <c r="E420">
        <v>21883</v>
      </c>
      <c r="F420" t="s">
        <v>441</v>
      </c>
      <c r="G420">
        <v>0</v>
      </c>
      <c r="I420" s="5">
        <v>44085.666666666664</v>
      </c>
      <c r="J420" s="5">
        <v>44014.333333333336</v>
      </c>
    </row>
    <row r="421" spans="1:10" x14ac:dyDescent="0.2">
      <c r="A421">
        <v>7117659</v>
      </c>
      <c r="B421">
        <v>3693905</v>
      </c>
      <c r="C421">
        <v>3693890</v>
      </c>
      <c r="D421">
        <v>21883</v>
      </c>
      <c r="E421">
        <v>21883</v>
      </c>
      <c r="F421" t="s">
        <v>441</v>
      </c>
      <c r="G421">
        <v>0</v>
      </c>
      <c r="I421" s="5">
        <v>44044</v>
      </c>
      <c r="J421" s="5">
        <v>44006.333333333336</v>
      </c>
    </row>
    <row r="422" spans="1:10" x14ac:dyDescent="0.2">
      <c r="A422">
        <v>7117660</v>
      </c>
      <c r="B422">
        <v>3693890</v>
      </c>
      <c r="C422">
        <v>3693875</v>
      </c>
      <c r="D422">
        <v>21883</v>
      </c>
      <c r="E422">
        <v>21883</v>
      </c>
      <c r="F422" t="s">
        <v>441</v>
      </c>
      <c r="G422">
        <v>0</v>
      </c>
      <c r="I422" s="5">
        <v>44044</v>
      </c>
      <c r="J422" s="5">
        <v>44006.333333333336</v>
      </c>
    </row>
    <row r="423" spans="1:10" x14ac:dyDescent="0.2">
      <c r="A423">
        <v>7117661</v>
      </c>
      <c r="B423">
        <v>3693827</v>
      </c>
      <c r="C423">
        <v>3693818</v>
      </c>
      <c r="D423">
        <v>21883</v>
      </c>
      <c r="E423">
        <v>21883</v>
      </c>
      <c r="F423" t="s">
        <v>441</v>
      </c>
      <c r="G423">
        <v>0</v>
      </c>
      <c r="I423" s="5">
        <v>44044</v>
      </c>
      <c r="J423" s="5">
        <v>44018.333333333336</v>
      </c>
    </row>
    <row r="424" spans="1:10" x14ac:dyDescent="0.2">
      <c r="A424">
        <v>7117662</v>
      </c>
      <c r="B424">
        <v>3693816</v>
      </c>
      <c r="C424">
        <v>3693807</v>
      </c>
      <c r="D424">
        <v>21883</v>
      </c>
      <c r="E424">
        <v>21883</v>
      </c>
      <c r="F424" t="s">
        <v>441</v>
      </c>
      <c r="G424">
        <v>0</v>
      </c>
      <c r="I424" s="5">
        <v>44044</v>
      </c>
      <c r="J424" s="5">
        <v>44005.333333333336</v>
      </c>
    </row>
    <row r="425" spans="1:10" x14ac:dyDescent="0.2">
      <c r="A425">
        <v>7117663</v>
      </c>
      <c r="B425">
        <v>3693805</v>
      </c>
      <c r="C425">
        <v>3693795</v>
      </c>
      <c r="D425">
        <v>21883</v>
      </c>
      <c r="E425">
        <v>21883</v>
      </c>
      <c r="F425" t="s">
        <v>441</v>
      </c>
      <c r="G425">
        <v>0</v>
      </c>
      <c r="I425" s="5">
        <v>44044</v>
      </c>
      <c r="J425" s="5">
        <v>44005.333333333336</v>
      </c>
    </row>
    <row r="426" spans="1:10" x14ac:dyDescent="0.2">
      <c r="A426">
        <v>7117664</v>
      </c>
      <c r="B426">
        <v>3693793</v>
      </c>
      <c r="C426">
        <v>3693771</v>
      </c>
      <c r="D426">
        <v>21883</v>
      </c>
      <c r="E426">
        <v>21883</v>
      </c>
      <c r="F426" t="s">
        <v>441</v>
      </c>
      <c r="G426">
        <v>0</v>
      </c>
      <c r="I426" s="5">
        <v>44044</v>
      </c>
      <c r="J426" s="5">
        <v>44005.333333333336</v>
      </c>
    </row>
    <row r="427" spans="1:10" x14ac:dyDescent="0.2">
      <c r="A427">
        <v>7117665</v>
      </c>
      <c r="B427">
        <v>3693770</v>
      </c>
      <c r="C427">
        <v>3693746</v>
      </c>
      <c r="D427">
        <v>21883</v>
      </c>
      <c r="E427">
        <v>21883</v>
      </c>
      <c r="F427" t="s">
        <v>441</v>
      </c>
      <c r="G427">
        <v>0</v>
      </c>
      <c r="I427" s="5">
        <v>44044</v>
      </c>
      <c r="J427" s="5">
        <v>44005.333333333336</v>
      </c>
    </row>
    <row r="428" spans="1:10" x14ac:dyDescent="0.2">
      <c r="A428">
        <v>7117666</v>
      </c>
      <c r="B428">
        <v>3693752</v>
      </c>
      <c r="C428">
        <v>3692639</v>
      </c>
      <c r="D428">
        <v>21883</v>
      </c>
      <c r="E428">
        <v>21883</v>
      </c>
      <c r="F428" t="s">
        <v>441</v>
      </c>
      <c r="G428">
        <v>0</v>
      </c>
      <c r="I428" s="5">
        <v>44044</v>
      </c>
      <c r="J428" s="5">
        <v>44012.333333333336</v>
      </c>
    </row>
    <row r="429" spans="1:10" x14ac:dyDescent="0.2">
      <c r="A429">
        <v>7117667</v>
      </c>
      <c r="B429">
        <v>3693870</v>
      </c>
      <c r="C429">
        <v>3692639</v>
      </c>
      <c r="D429">
        <v>21883</v>
      </c>
      <c r="E429">
        <v>21883</v>
      </c>
      <c r="F429" t="s">
        <v>441</v>
      </c>
      <c r="G429">
        <v>0</v>
      </c>
      <c r="I429" s="5">
        <v>44044</v>
      </c>
      <c r="J429" s="5">
        <v>43970.333333333336</v>
      </c>
    </row>
    <row r="430" spans="1:10" x14ac:dyDescent="0.2">
      <c r="A430">
        <v>7117668</v>
      </c>
      <c r="B430">
        <v>3693827</v>
      </c>
      <c r="C430">
        <v>3692642</v>
      </c>
      <c r="D430">
        <v>21883</v>
      </c>
      <c r="E430">
        <v>21883</v>
      </c>
      <c r="F430" t="s">
        <v>441</v>
      </c>
      <c r="G430">
        <v>0</v>
      </c>
      <c r="I430" s="5">
        <v>44044</v>
      </c>
      <c r="J430" s="5">
        <v>44018.333333333336</v>
      </c>
    </row>
    <row r="431" spans="1:10" x14ac:dyDescent="0.2">
      <c r="A431">
        <v>7117669</v>
      </c>
      <c r="B431">
        <v>3693816</v>
      </c>
      <c r="C431">
        <v>3692642</v>
      </c>
      <c r="D431">
        <v>21883</v>
      </c>
      <c r="E431">
        <v>21883</v>
      </c>
      <c r="F431" t="s">
        <v>441</v>
      </c>
      <c r="G431">
        <v>0</v>
      </c>
      <c r="I431" s="5">
        <v>44044</v>
      </c>
      <c r="J431" s="5">
        <v>44005.333333333336</v>
      </c>
    </row>
    <row r="432" spans="1:10" x14ac:dyDescent="0.2">
      <c r="A432">
        <v>7117670</v>
      </c>
      <c r="B432">
        <v>3693805</v>
      </c>
      <c r="C432">
        <v>3692642</v>
      </c>
      <c r="D432">
        <v>21883</v>
      </c>
      <c r="E432">
        <v>21883</v>
      </c>
      <c r="F432" t="s">
        <v>441</v>
      </c>
      <c r="G432">
        <v>0</v>
      </c>
      <c r="I432" s="5">
        <v>44044</v>
      </c>
      <c r="J432" s="5">
        <v>44005.333333333336</v>
      </c>
    </row>
    <row r="433" spans="1:10" x14ac:dyDescent="0.2">
      <c r="A433">
        <v>7117671</v>
      </c>
      <c r="B433">
        <v>3693856</v>
      </c>
      <c r="C433">
        <v>3692638</v>
      </c>
      <c r="D433">
        <v>21883</v>
      </c>
      <c r="E433">
        <v>21883</v>
      </c>
      <c r="F433" t="s">
        <v>441</v>
      </c>
      <c r="G433">
        <v>0</v>
      </c>
      <c r="I433" s="5">
        <v>44044</v>
      </c>
      <c r="J433" s="5">
        <v>43970.333333333336</v>
      </c>
    </row>
    <row r="434" spans="1:10" x14ac:dyDescent="0.2">
      <c r="A434">
        <v>7117672</v>
      </c>
      <c r="B434">
        <v>3693793</v>
      </c>
      <c r="C434">
        <v>3692643</v>
      </c>
      <c r="D434">
        <v>21883</v>
      </c>
      <c r="E434">
        <v>21883</v>
      </c>
      <c r="F434" t="s">
        <v>441</v>
      </c>
      <c r="G434">
        <v>0</v>
      </c>
      <c r="I434" s="5">
        <v>44044</v>
      </c>
      <c r="J434" s="5">
        <v>44005.333333333336</v>
      </c>
    </row>
    <row r="435" spans="1:10" x14ac:dyDescent="0.2">
      <c r="A435">
        <v>7117673</v>
      </c>
      <c r="B435">
        <v>3693770</v>
      </c>
      <c r="C435">
        <v>3692644</v>
      </c>
      <c r="D435">
        <v>21883</v>
      </c>
      <c r="E435">
        <v>21883</v>
      </c>
      <c r="F435" t="s">
        <v>441</v>
      </c>
      <c r="G435">
        <v>0</v>
      </c>
      <c r="I435" s="5">
        <v>44044</v>
      </c>
      <c r="J435" s="5">
        <v>44005.333333333336</v>
      </c>
    </row>
    <row r="436" spans="1:10" x14ac:dyDescent="0.2">
      <c r="A436">
        <v>7117674</v>
      </c>
      <c r="B436">
        <v>3693842</v>
      </c>
      <c r="C436">
        <v>3692646</v>
      </c>
      <c r="D436">
        <v>21883</v>
      </c>
      <c r="E436">
        <v>21883</v>
      </c>
      <c r="F436" t="s">
        <v>441</v>
      </c>
      <c r="G436">
        <v>0</v>
      </c>
      <c r="I436" s="5">
        <v>44044</v>
      </c>
      <c r="J436" s="5">
        <v>43970.333333333336</v>
      </c>
    </row>
    <row r="437" spans="1:10" x14ac:dyDescent="0.2">
      <c r="A437">
        <v>7117675</v>
      </c>
      <c r="B437">
        <v>3692648</v>
      </c>
      <c r="C437">
        <v>3693038</v>
      </c>
      <c r="D437">
        <v>21883</v>
      </c>
      <c r="E437">
        <v>21883</v>
      </c>
      <c r="F437" t="s">
        <v>441</v>
      </c>
      <c r="G437">
        <v>0</v>
      </c>
      <c r="I437" s="5">
        <v>44044</v>
      </c>
      <c r="J437" s="5">
        <v>43970.333333333336</v>
      </c>
    </row>
    <row r="438" spans="1:10" x14ac:dyDescent="0.2">
      <c r="A438">
        <v>7117676</v>
      </c>
      <c r="B438">
        <v>3693047</v>
      </c>
      <c r="C438">
        <v>3692639</v>
      </c>
      <c r="D438">
        <v>21883</v>
      </c>
      <c r="E438">
        <v>21883</v>
      </c>
      <c r="F438" t="s">
        <v>441</v>
      </c>
      <c r="G438">
        <v>0</v>
      </c>
      <c r="I438" s="5">
        <v>44044</v>
      </c>
      <c r="J438" s="5">
        <v>44109.666666666664</v>
      </c>
    </row>
    <row r="439" spans="1:10" x14ac:dyDescent="0.2">
      <c r="A439">
        <v>7117677</v>
      </c>
      <c r="B439">
        <v>3693047</v>
      </c>
      <c r="C439">
        <v>3692642</v>
      </c>
      <c r="D439">
        <v>21883</v>
      </c>
      <c r="E439">
        <v>21883</v>
      </c>
      <c r="F439" t="s">
        <v>441</v>
      </c>
      <c r="G439">
        <v>0</v>
      </c>
      <c r="I439" s="5">
        <v>44044</v>
      </c>
      <c r="J439" s="5">
        <v>44109.666666666664</v>
      </c>
    </row>
    <row r="440" spans="1:10" x14ac:dyDescent="0.2">
      <c r="A440">
        <v>7117678</v>
      </c>
      <c r="B440">
        <v>3692641</v>
      </c>
      <c r="C440">
        <v>3693038</v>
      </c>
      <c r="D440">
        <v>21883</v>
      </c>
      <c r="E440">
        <v>21883</v>
      </c>
      <c r="F440" t="s">
        <v>441</v>
      </c>
      <c r="G440">
        <v>0</v>
      </c>
      <c r="I440" s="5">
        <v>44044</v>
      </c>
      <c r="J440" s="5">
        <v>43970.333333333336</v>
      </c>
    </row>
    <row r="441" spans="1:10" x14ac:dyDescent="0.2">
      <c r="A441">
        <v>7117679</v>
      </c>
      <c r="B441">
        <v>3692640</v>
      </c>
      <c r="C441">
        <v>3692638</v>
      </c>
      <c r="D441">
        <v>21883</v>
      </c>
      <c r="E441">
        <v>21883</v>
      </c>
      <c r="F441" t="s">
        <v>441</v>
      </c>
      <c r="G441">
        <v>0</v>
      </c>
      <c r="I441" s="5">
        <v>44044</v>
      </c>
      <c r="J441" s="5">
        <v>43970.333333333336</v>
      </c>
    </row>
    <row r="442" spans="1:10" x14ac:dyDescent="0.2">
      <c r="A442">
        <v>7117680</v>
      </c>
      <c r="B442">
        <v>3692638</v>
      </c>
      <c r="C442">
        <v>3692641</v>
      </c>
      <c r="D442">
        <v>21883</v>
      </c>
      <c r="E442">
        <v>21883</v>
      </c>
      <c r="F442" t="s">
        <v>441</v>
      </c>
      <c r="G442">
        <v>0</v>
      </c>
      <c r="I442" s="5">
        <v>44044</v>
      </c>
      <c r="J442" s="5">
        <v>43970.333333333336</v>
      </c>
    </row>
    <row r="443" spans="1:10" x14ac:dyDescent="0.2">
      <c r="A443">
        <v>7117681</v>
      </c>
      <c r="B443">
        <v>3692639</v>
      </c>
      <c r="C443">
        <v>3692640</v>
      </c>
      <c r="D443">
        <v>21883</v>
      </c>
      <c r="E443">
        <v>21883</v>
      </c>
      <c r="F443" t="s">
        <v>441</v>
      </c>
      <c r="G443">
        <v>0</v>
      </c>
      <c r="I443" s="5">
        <v>44044</v>
      </c>
      <c r="J443" s="5">
        <v>43970.333333333336</v>
      </c>
    </row>
    <row r="444" spans="1:10" x14ac:dyDescent="0.2">
      <c r="A444">
        <v>7117682</v>
      </c>
      <c r="B444">
        <v>3692642</v>
      </c>
      <c r="C444">
        <v>3692643</v>
      </c>
      <c r="D444">
        <v>21883</v>
      </c>
      <c r="E444">
        <v>21883</v>
      </c>
      <c r="F444" t="s">
        <v>441</v>
      </c>
      <c r="G444">
        <v>0</v>
      </c>
      <c r="I444" s="5">
        <v>44044</v>
      </c>
      <c r="J444" s="5">
        <v>44005.333333333336</v>
      </c>
    </row>
    <row r="445" spans="1:10" x14ac:dyDescent="0.2">
      <c r="A445">
        <v>7117683</v>
      </c>
      <c r="B445">
        <v>3692643</v>
      </c>
      <c r="C445">
        <v>3692644</v>
      </c>
      <c r="D445">
        <v>21883</v>
      </c>
      <c r="E445">
        <v>21883</v>
      </c>
      <c r="F445" t="s">
        <v>441</v>
      </c>
      <c r="G445">
        <v>0</v>
      </c>
      <c r="I445" s="5">
        <v>44044</v>
      </c>
      <c r="J445" s="5">
        <v>44005.333333333336</v>
      </c>
    </row>
    <row r="446" spans="1:10" x14ac:dyDescent="0.2">
      <c r="A446">
        <v>7117684</v>
      </c>
      <c r="B446">
        <v>3692644</v>
      </c>
      <c r="C446">
        <v>3692645</v>
      </c>
      <c r="D446">
        <v>21883</v>
      </c>
      <c r="E446">
        <v>21883</v>
      </c>
      <c r="F446" t="s">
        <v>441</v>
      </c>
      <c r="G446">
        <v>0</v>
      </c>
      <c r="I446" s="5">
        <v>44044</v>
      </c>
      <c r="J446" s="5">
        <v>44005.333333333336</v>
      </c>
    </row>
    <row r="447" spans="1:10" x14ac:dyDescent="0.2">
      <c r="A447">
        <v>7117685</v>
      </c>
      <c r="B447">
        <v>3692645</v>
      </c>
      <c r="C447">
        <v>3692646</v>
      </c>
      <c r="D447">
        <v>21883</v>
      </c>
      <c r="E447">
        <v>21883</v>
      </c>
      <c r="F447" t="s">
        <v>442</v>
      </c>
      <c r="G447">
        <v>16</v>
      </c>
      <c r="I447" s="5">
        <v>44044</v>
      </c>
      <c r="J447" s="5">
        <v>44005.333333333336</v>
      </c>
    </row>
    <row r="448" spans="1:10" x14ac:dyDescent="0.2">
      <c r="A448">
        <v>7117686</v>
      </c>
      <c r="B448">
        <v>3692646</v>
      </c>
      <c r="C448">
        <v>3692647</v>
      </c>
      <c r="D448">
        <v>21883</v>
      </c>
      <c r="E448">
        <v>21883</v>
      </c>
      <c r="F448" t="s">
        <v>441</v>
      </c>
      <c r="G448">
        <v>0</v>
      </c>
      <c r="I448" s="5">
        <v>44044</v>
      </c>
      <c r="J448" s="5">
        <v>43970.333333333336</v>
      </c>
    </row>
    <row r="449" spans="1:10" x14ac:dyDescent="0.2">
      <c r="A449">
        <v>7117687</v>
      </c>
      <c r="B449">
        <v>3692647</v>
      </c>
      <c r="C449">
        <v>3692648</v>
      </c>
      <c r="D449">
        <v>21883</v>
      </c>
      <c r="E449">
        <v>21883</v>
      </c>
      <c r="F449" t="s">
        <v>440</v>
      </c>
      <c r="G449">
        <v>0</v>
      </c>
      <c r="I449" s="5">
        <v>44044</v>
      </c>
      <c r="J449" s="5">
        <v>43970.333333333336</v>
      </c>
    </row>
    <row r="450" spans="1:10" x14ac:dyDescent="0.2">
      <c r="A450">
        <v>7117688</v>
      </c>
      <c r="B450">
        <v>3692826</v>
      </c>
      <c r="C450">
        <v>3693046</v>
      </c>
      <c r="D450">
        <v>21883</v>
      </c>
      <c r="E450">
        <v>21883</v>
      </c>
      <c r="F450" t="s">
        <v>441</v>
      </c>
      <c r="G450">
        <v>0</v>
      </c>
      <c r="I450" s="5">
        <v>44044</v>
      </c>
      <c r="J450" s="5">
        <v>44306.666666666664</v>
      </c>
    </row>
    <row r="451" spans="1:10" x14ac:dyDescent="0.2">
      <c r="A451">
        <v>7117689</v>
      </c>
      <c r="B451">
        <v>3692826</v>
      </c>
      <c r="C451">
        <v>3693045</v>
      </c>
      <c r="D451">
        <v>21883</v>
      </c>
      <c r="E451">
        <v>21883</v>
      </c>
      <c r="F451" t="s">
        <v>441</v>
      </c>
      <c r="G451">
        <v>0</v>
      </c>
      <c r="I451" s="5">
        <v>44044</v>
      </c>
      <c r="J451" s="5">
        <v>44306.666666666664</v>
      </c>
    </row>
    <row r="452" spans="1:10" x14ac:dyDescent="0.2">
      <c r="A452">
        <v>7117690</v>
      </c>
      <c r="B452">
        <v>3692826</v>
      </c>
      <c r="C452">
        <v>3693044</v>
      </c>
      <c r="D452">
        <v>21883</v>
      </c>
      <c r="E452">
        <v>21883</v>
      </c>
      <c r="F452" t="s">
        <v>441</v>
      </c>
      <c r="G452">
        <v>0</v>
      </c>
      <c r="I452" s="5">
        <v>44044</v>
      </c>
      <c r="J452" s="5">
        <v>44306.666666666664</v>
      </c>
    </row>
    <row r="453" spans="1:10" x14ac:dyDescent="0.2">
      <c r="A453">
        <v>7117691</v>
      </c>
      <c r="B453">
        <v>3692826</v>
      </c>
      <c r="C453">
        <v>3693043</v>
      </c>
      <c r="D453">
        <v>21883</v>
      </c>
      <c r="E453">
        <v>21883</v>
      </c>
      <c r="F453" t="s">
        <v>441</v>
      </c>
      <c r="G453">
        <v>0</v>
      </c>
      <c r="I453" s="5">
        <v>44044</v>
      </c>
      <c r="J453" s="5">
        <v>44306.666666666664</v>
      </c>
    </row>
    <row r="454" spans="1:10" x14ac:dyDescent="0.2">
      <c r="A454">
        <v>7117692</v>
      </c>
      <c r="B454">
        <v>3692826</v>
      </c>
      <c r="C454">
        <v>3693042</v>
      </c>
      <c r="D454">
        <v>21883</v>
      </c>
      <c r="E454">
        <v>21883</v>
      </c>
      <c r="F454" t="s">
        <v>441</v>
      </c>
      <c r="G454">
        <v>0</v>
      </c>
      <c r="I454" s="5">
        <v>44044</v>
      </c>
      <c r="J454" s="5">
        <v>44306.666666666664</v>
      </c>
    </row>
    <row r="455" spans="1:10" x14ac:dyDescent="0.2">
      <c r="A455">
        <v>7117693</v>
      </c>
      <c r="B455">
        <v>3692826</v>
      </c>
      <c r="C455">
        <v>3693039</v>
      </c>
      <c r="D455">
        <v>21883</v>
      </c>
      <c r="E455">
        <v>21883</v>
      </c>
      <c r="F455" t="s">
        <v>441</v>
      </c>
      <c r="G455">
        <v>0</v>
      </c>
      <c r="I455" s="5">
        <v>44044</v>
      </c>
      <c r="J455" s="5">
        <v>44306.666666666664</v>
      </c>
    </row>
    <row r="456" spans="1:10" x14ac:dyDescent="0.2">
      <c r="A456">
        <v>7117694</v>
      </c>
      <c r="B456">
        <v>3692826</v>
      </c>
      <c r="C456">
        <v>3693041</v>
      </c>
      <c r="D456">
        <v>21883</v>
      </c>
      <c r="E456">
        <v>21883</v>
      </c>
      <c r="F456" t="s">
        <v>441</v>
      </c>
      <c r="G456">
        <v>0</v>
      </c>
      <c r="I456" s="5">
        <v>44044</v>
      </c>
      <c r="J456" s="5">
        <v>44306.666666666664</v>
      </c>
    </row>
    <row r="457" spans="1:10" x14ac:dyDescent="0.2">
      <c r="A457">
        <v>7117695</v>
      </c>
      <c r="B457">
        <v>3692826</v>
      </c>
      <c r="C457">
        <v>3693040</v>
      </c>
      <c r="D457">
        <v>21883</v>
      </c>
      <c r="E457">
        <v>21883</v>
      </c>
      <c r="F457" t="s">
        <v>441</v>
      </c>
      <c r="G457">
        <v>0</v>
      </c>
      <c r="I457" s="5">
        <v>44044</v>
      </c>
      <c r="J457" s="5">
        <v>44306.666666666664</v>
      </c>
    </row>
    <row r="458" spans="1:10" x14ac:dyDescent="0.2">
      <c r="A458">
        <v>7117696</v>
      </c>
      <c r="B458">
        <v>3693046</v>
      </c>
      <c r="C458">
        <v>3692892</v>
      </c>
      <c r="D458">
        <v>21883</v>
      </c>
      <c r="E458">
        <v>21883</v>
      </c>
      <c r="F458" t="s">
        <v>441</v>
      </c>
      <c r="G458">
        <v>0</v>
      </c>
      <c r="I458" s="5">
        <v>44044</v>
      </c>
      <c r="J458" s="5">
        <v>44306.666666666664</v>
      </c>
    </row>
    <row r="459" spans="1:10" x14ac:dyDescent="0.2">
      <c r="A459">
        <v>7117697</v>
      </c>
      <c r="B459">
        <v>3693045</v>
      </c>
      <c r="C459">
        <v>3692892</v>
      </c>
      <c r="D459">
        <v>21883</v>
      </c>
      <c r="E459">
        <v>21883</v>
      </c>
      <c r="F459" t="s">
        <v>441</v>
      </c>
      <c r="G459">
        <v>0</v>
      </c>
      <c r="I459" s="5">
        <v>44044</v>
      </c>
      <c r="J459" s="5">
        <v>44306.666666666664</v>
      </c>
    </row>
    <row r="460" spans="1:10" x14ac:dyDescent="0.2">
      <c r="A460">
        <v>7117698</v>
      </c>
      <c r="B460">
        <v>3693044</v>
      </c>
      <c r="C460">
        <v>3692892</v>
      </c>
      <c r="D460">
        <v>21883</v>
      </c>
      <c r="E460">
        <v>21883</v>
      </c>
      <c r="F460" t="s">
        <v>441</v>
      </c>
      <c r="G460">
        <v>0</v>
      </c>
      <c r="I460" s="5">
        <v>44044</v>
      </c>
      <c r="J460" s="5">
        <v>44306.666666666664</v>
      </c>
    </row>
    <row r="461" spans="1:10" x14ac:dyDescent="0.2">
      <c r="A461">
        <v>7117699</v>
      </c>
      <c r="B461">
        <v>3693043</v>
      </c>
      <c r="C461">
        <v>3692892</v>
      </c>
      <c r="D461">
        <v>21883</v>
      </c>
      <c r="E461">
        <v>21883</v>
      </c>
      <c r="F461" t="s">
        <v>441</v>
      </c>
      <c r="G461">
        <v>0</v>
      </c>
      <c r="I461" s="5">
        <v>44044</v>
      </c>
      <c r="J461" s="5">
        <v>44306.666666666664</v>
      </c>
    </row>
    <row r="462" spans="1:10" x14ac:dyDescent="0.2">
      <c r="A462">
        <v>7117700</v>
      </c>
      <c r="B462">
        <v>3693042</v>
      </c>
      <c r="C462">
        <v>3692892</v>
      </c>
      <c r="D462">
        <v>21883</v>
      </c>
      <c r="E462">
        <v>21883</v>
      </c>
      <c r="F462" t="s">
        <v>441</v>
      </c>
      <c r="G462">
        <v>0</v>
      </c>
      <c r="I462" s="5">
        <v>44044</v>
      </c>
      <c r="J462" s="5">
        <v>44306.666666666664</v>
      </c>
    </row>
    <row r="463" spans="1:10" x14ac:dyDescent="0.2">
      <c r="A463">
        <v>7117701</v>
      </c>
      <c r="B463">
        <v>3693039</v>
      </c>
      <c r="C463">
        <v>3692892</v>
      </c>
      <c r="D463">
        <v>21883</v>
      </c>
      <c r="E463">
        <v>21883</v>
      </c>
      <c r="F463" t="s">
        <v>441</v>
      </c>
      <c r="G463">
        <v>0</v>
      </c>
      <c r="I463" s="5">
        <v>44044</v>
      </c>
      <c r="J463" s="5">
        <v>44306.666666666664</v>
      </c>
    </row>
    <row r="464" spans="1:10" x14ac:dyDescent="0.2">
      <c r="A464">
        <v>7117702</v>
      </c>
      <c r="B464">
        <v>3693041</v>
      </c>
      <c r="C464">
        <v>3692892</v>
      </c>
      <c r="D464">
        <v>21883</v>
      </c>
      <c r="E464">
        <v>21883</v>
      </c>
      <c r="F464" t="s">
        <v>441</v>
      </c>
      <c r="G464">
        <v>0</v>
      </c>
      <c r="I464" s="5">
        <v>44044</v>
      </c>
      <c r="J464" s="5">
        <v>44306.666666666664</v>
      </c>
    </row>
    <row r="465" spans="1:10" x14ac:dyDescent="0.2">
      <c r="A465">
        <v>7117703</v>
      </c>
      <c r="B465">
        <v>3693040</v>
      </c>
      <c r="C465">
        <v>3692892</v>
      </c>
      <c r="D465">
        <v>21883</v>
      </c>
      <c r="E465">
        <v>21883</v>
      </c>
      <c r="F465" t="s">
        <v>441</v>
      </c>
      <c r="G465">
        <v>0</v>
      </c>
      <c r="I465" s="5">
        <v>44044</v>
      </c>
      <c r="J465" s="5">
        <v>44306.666666666664</v>
      </c>
    </row>
    <row r="466" spans="1:10" x14ac:dyDescent="0.2">
      <c r="A466">
        <v>7117704</v>
      </c>
      <c r="B466">
        <v>3692826</v>
      </c>
      <c r="C466">
        <v>3693225</v>
      </c>
      <c r="D466">
        <v>21883</v>
      </c>
      <c r="E466">
        <v>21883</v>
      </c>
      <c r="F466" t="s">
        <v>441</v>
      </c>
      <c r="G466">
        <v>0</v>
      </c>
      <c r="I466" s="5">
        <v>44083.666666666664</v>
      </c>
      <c r="J466" s="5">
        <v>44306.666666666664</v>
      </c>
    </row>
    <row r="467" spans="1:10" x14ac:dyDescent="0.2">
      <c r="A467">
        <v>7117705</v>
      </c>
      <c r="B467">
        <v>3692826</v>
      </c>
      <c r="C467">
        <v>3693341</v>
      </c>
      <c r="D467">
        <v>21883</v>
      </c>
      <c r="E467">
        <v>21883</v>
      </c>
      <c r="F467" t="s">
        <v>441</v>
      </c>
      <c r="G467">
        <v>0</v>
      </c>
      <c r="I467" s="5">
        <v>44044</v>
      </c>
      <c r="J467" s="5">
        <v>44306.666666666664</v>
      </c>
    </row>
    <row r="468" spans="1:10" x14ac:dyDescent="0.2">
      <c r="A468">
        <v>7117706</v>
      </c>
      <c r="B468">
        <v>3692826</v>
      </c>
      <c r="C468">
        <v>3693340</v>
      </c>
      <c r="D468">
        <v>21883</v>
      </c>
      <c r="E468">
        <v>21883</v>
      </c>
      <c r="F468" t="s">
        <v>441</v>
      </c>
      <c r="G468">
        <v>0</v>
      </c>
      <c r="I468" s="5">
        <v>44044</v>
      </c>
      <c r="J468" s="5">
        <v>44306.666666666664</v>
      </c>
    </row>
    <row r="469" spans="1:10" x14ac:dyDescent="0.2">
      <c r="A469">
        <v>7117707</v>
      </c>
      <c r="B469">
        <v>3692826</v>
      </c>
      <c r="C469">
        <v>3692804</v>
      </c>
      <c r="D469">
        <v>21883</v>
      </c>
      <c r="E469">
        <v>21883</v>
      </c>
      <c r="F469" t="s">
        <v>441</v>
      </c>
      <c r="G469">
        <v>0</v>
      </c>
      <c r="I469" s="5">
        <v>44044</v>
      </c>
      <c r="J469" s="5">
        <v>44306.666666666664</v>
      </c>
    </row>
    <row r="470" spans="1:10" x14ac:dyDescent="0.2">
      <c r="A470">
        <v>7117708</v>
      </c>
      <c r="B470">
        <v>3692826</v>
      </c>
      <c r="C470">
        <v>3693227</v>
      </c>
      <c r="D470">
        <v>21883</v>
      </c>
      <c r="E470">
        <v>21883</v>
      </c>
      <c r="F470" t="s">
        <v>441</v>
      </c>
      <c r="G470">
        <v>0</v>
      </c>
      <c r="I470" s="5">
        <v>44044</v>
      </c>
      <c r="J470" s="5">
        <v>44306.666666666664</v>
      </c>
    </row>
    <row r="471" spans="1:10" x14ac:dyDescent="0.2">
      <c r="A471">
        <v>7117709</v>
      </c>
      <c r="B471">
        <v>3692826</v>
      </c>
      <c r="C471">
        <v>3693228</v>
      </c>
      <c r="D471">
        <v>21883</v>
      </c>
      <c r="E471">
        <v>21883</v>
      </c>
      <c r="F471" t="s">
        <v>441</v>
      </c>
      <c r="G471">
        <v>0</v>
      </c>
      <c r="I471" s="5">
        <v>44044</v>
      </c>
      <c r="J471" s="5">
        <v>44306.666666666664</v>
      </c>
    </row>
    <row r="472" spans="1:10" x14ac:dyDescent="0.2">
      <c r="A472">
        <v>7117710</v>
      </c>
      <c r="B472">
        <v>3692826</v>
      </c>
      <c r="C472">
        <v>3693230</v>
      </c>
      <c r="D472">
        <v>21883</v>
      </c>
      <c r="E472">
        <v>21883</v>
      </c>
      <c r="F472" t="s">
        <v>441</v>
      </c>
      <c r="G472">
        <v>0</v>
      </c>
      <c r="I472" s="5">
        <v>44044</v>
      </c>
      <c r="J472" s="5">
        <v>44306.666666666664</v>
      </c>
    </row>
    <row r="473" spans="1:10" x14ac:dyDescent="0.2">
      <c r="A473">
        <v>7117711</v>
      </c>
      <c r="B473">
        <v>3692826</v>
      </c>
      <c r="C473">
        <v>3693229</v>
      </c>
      <c r="D473">
        <v>21883</v>
      </c>
      <c r="E473">
        <v>21883</v>
      </c>
      <c r="F473" t="s">
        <v>441</v>
      </c>
      <c r="G473">
        <v>0</v>
      </c>
      <c r="I473" s="5">
        <v>44044</v>
      </c>
      <c r="J473" s="5">
        <v>44306.666666666664</v>
      </c>
    </row>
    <row r="474" spans="1:10" x14ac:dyDescent="0.2">
      <c r="A474">
        <v>7117712</v>
      </c>
      <c r="B474">
        <v>3692826</v>
      </c>
      <c r="C474">
        <v>3693231</v>
      </c>
      <c r="D474">
        <v>21883</v>
      </c>
      <c r="E474">
        <v>21883</v>
      </c>
      <c r="F474" t="s">
        <v>441</v>
      </c>
      <c r="G474">
        <v>0</v>
      </c>
      <c r="I474" s="5">
        <v>44044</v>
      </c>
      <c r="J474" s="5">
        <v>44306.666666666664</v>
      </c>
    </row>
    <row r="475" spans="1:10" x14ac:dyDescent="0.2">
      <c r="A475">
        <v>7117713</v>
      </c>
      <c r="B475">
        <v>3692826</v>
      </c>
      <c r="C475">
        <v>3693339</v>
      </c>
      <c r="D475">
        <v>21883</v>
      </c>
      <c r="E475">
        <v>21883</v>
      </c>
      <c r="F475" t="s">
        <v>441</v>
      </c>
      <c r="G475">
        <v>0</v>
      </c>
      <c r="I475" s="5">
        <v>44044</v>
      </c>
      <c r="J475" s="5">
        <v>44306.666666666664</v>
      </c>
    </row>
    <row r="476" spans="1:10" x14ac:dyDescent="0.2">
      <c r="A476">
        <v>7117714</v>
      </c>
      <c r="B476">
        <v>3692826</v>
      </c>
      <c r="C476">
        <v>3692806</v>
      </c>
      <c r="D476">
        <v>21883</v>
      </c>
      <c r="E476">
        <v>21883</v>
      </c>
      <c r="F476" t="s">
        <v>441</v>
      </c>
      <c r="G476">
        <v>0</v>
      </c>
      <c r="I476" s="5">
        <v>44044</v>
      </c>
      <c r="J476" s="5">
        <v>44306.666666666664</v>
      </c>
    </row>
    <row r="477" spans="1:10" x14ac:dyDescent="0.2">
      <c r="A477">
        <v>7117715</v>
      </c>
      <c r="B477">
        <v>3692826</v>
      </c>
      <c r="C477">
        <v>3692805</v>
      </c>
      <c r="D477">
        <v>21883</v>
      </c>
      <c r="E477">
        <v>21883</v>
      </c>
      <c r="F477" t="s">
        <v>441</v>
      </c>
      <c r="G477">
        <v>0</v>
      </c>
      <c r="I477" s="5">
        <v>44044</v>
      </c>
      <c r="J477" s="5">
        <v>44306.666666666664</v>
      </c>
    </row>
    <row r="478" spans="1:10" x14ac:dyDescent="0.2">
      <c r="A478">
        <v>7117716</v>
      </c>
      <c r="B478">
        <v>3692826</v>
      </c>
      <c r="C478">
        <v>3692803</v>
      </c>
      <c r="D478">
        <v>21883</v>
      </c>
      <c r="E478">
        <v>21883</v>
      </c>
      <c r="F478" t="s">
        <v>441</v>
      </c>
      <c r="G478">
        <v>0</v>
      </c>
      <c r="I478" s="5">
        <v>44044</v>
      </c>
      <c r="J478" s="5">
        <v>44306.666666666664</v>
      </c>
    </row>
    <row r="479" spans="1:10" x14ac:dyDescent="0.2">
      <c r="A479">
        <v>7117717</v>
      </c>
      <c r="B479">
        <v>3692826</v>
      </c>
      <c r="C479">
        <v>3692817</v>
      </c>
      <c r="D479">
        <v>21883</v>
      </c>
      <c r="E479">
        <v>21883</v>
      </c>
      <c r="F479" t="s">
        <v>441</v>
      </c>
      <c r="G479">
        <v>0</v>
      </c>
      <c r="I479" s="5">
        <v>44044</v>
      </c>
      <c r="J479" s="5">
        <v>44306.666666666664</v>
      </c>
    </row>
    <row r="480" spans="1:10" x14ac:dyDescent="0.2">
      <c r="A480">
        <v>7117718</v>
      </c>
      <c r="B480">
        <v>3693341</v>
      </c>
      <c r="C480">
        <v>3692892</v>
      </c>
      <c r="D480">
        <v>21883</v>
      </c>
      <c r="E480">
        <v>21883</v>
      </c>
      <c r="F480" t="s">
        <v>441</v>
      </c>
      <c r="G480">
        <v>0</v>
      </c>
      <c r="I480" s="5">
        <v>44044</v>
      </c>
      <c r="J480" s="5">
        <v>44306.666666666664</v>
      </c>
    </row>
    <row r="481" spans="1:10" x14ac:dyDescent="0.2">
      <c r="A481">
        <v>7117719</v>
      </c>
      <c r="B481">
        <v>3693340</v>
      </c>
      <c r="C481">
        <v>3692892</v>
      </c>
      <c r="D481">
        <v>21883</v>
      </c>
      <c r="E481">
        <v>21883</v>
      </c>
      <c r="F481" t="s">
        <v>441</v>
      </c>
      <c r="G481">
        <v>0</v>
      </c>
      <c r="I481" s="5">
        <v>44044</v>
      </c>
      <c r="J481" s="5">
        <v>44306.666666666664</v>
      </c>
    </row>
    <row r="482" spans="1:10" x14ac:dyDescent="0.2">
      <c r="A482">
        <v>7117720</v>
      </c>
      <c r="B482">
        <v>3692804</v>
      </c>
      <c r="C482">
        <v>3692892</v>
      </c>
      <c r="D482">
        <v>21883</v>
      </c>
      <c r="E482">
        <v>21883</v>
      </c>
      <c r="F482" t="s">
        <v>441</v>
      </c>
      <c r="G482">
        <v>0</v>
      </c>
      <c r="I482" s="5">
        <v>44044</v>
      </c>
      <c r="J482" s="5">
        <v>44306.666666666664</v>
      </c>
    </row>
    <row r="483" spans="1:10" x14ac:dyDescent="0.2">
      <c r="A483">
        <v>7117721</v>
      </c>
      <c r="B483">
        <v>3693227</v>
      </c>
      <c r="C483">
        <v>3692892</v>
      </c>
      <c r="D483">
        <v>21883</v>
      </c>
      <c r="E483">
        <v>21883</v>
      </c>
      <c r="F483" t="s">
        <v>441</v>
      </c>
      <c r="G483">
        <v>0</v>
      </c>
      <c r="I483" s="5">
        <v>44044</v>
      </c>
      <c r="J483" s="5">
        <v>44306.666666666664</v>
      </c>
    </row>
    <row r="484" spans="1:10" x14ac:dyDescent="0.2">
      <c r="A484">
        <v>7117722</v>
      </c>
      <c r="B484">
        <v>3693228</v>
      </c>
      <c r="C484">
        <v>3692892</v>
      </c>
      <c r="D484">
        <v>21883</v>
      </c>
      <c r="E484">
        <v>21883</v>
      </c>
      <c r="F484" t="s">
        <v>441</v>
      </c>
      <c r="G484">
        <v>0</v>
      </c>
      <c r="I484" s="5">
        <v>44044</v>
      </c>
      <c r="J484" s="5">
        <v>44306.666666666664</v>
      </c>
    </row>
    <row r="485" spans="1:10" x14ac:dyDescent="0.2">
      <c r="A485">
        <v>7117723</v>
      </c>
      <c r="B485">
        <v>3693230</v>
      </c>
      <c r="C485">
        <v>3692892</v>
      </c>
      <c r="D485">
        <v>21883</v>
      </c>
      <c r="E485">
        <v>21883</v>
      </c>
      <c r="F485" t="s">
        <v>441</v>
      </c>
      <c r="G485">
        <v>0</v>
      </c>
      <c r="I485" s="5">
        <v>44044</v>
      </c>
      <c r="J485" s="5">
        <v>44306.666666666664</v>
      </c>
    </row>
    <row r="486" spans="1:10" x14ac:dyDescent="0.2">
      <c r="A486">
        <v>7117724</v>
      </c>
      <c r="B486">
        <v>3693229</v>
      </c>
      <c r="C486">
        <v>3692892</v>
      </c>
      <c r="D486">
        <v>21883</v>
      </c>
      <c r="E486">
        <v>21883</v>
      </c>
      <c r="F486" t="s">
        <v>441</v>
      </c>
      <c r="G486">
        <v>0</v>
      </c>
      <c r="I486" s="5">
        <v>44044</v>
      </c>
      <c r="J486" s="5">
        <v>44306.666666666664</v>
      </c>
    </row>
    <row r="487" spans="1:10" x14ac:dyDescent="0.2">
      <c r="A487">
        <v>7117725</v>
      </c>
      <c r="B487">
        <v>3693231</v>
      </c>
      <c r="C487">
        <v>3692892</v>
      </c>
      <c r="D487">
        <v>21883</v>
      </c>
      <c r="E487">
        <v>21883</v>
      </c>
      <c r="F487" t="s">
        <v>441</v>
      </c>
      <c r="G487">
        <v>0</v>
      </c>
      <c r="I487" s="5">
        <v>44044</v>
      </c>
      <c r="J487" s="5">
        <v>44306.666666666664</v>
      </c>
    </row>
    <row r="488" spans="1:10" x14ac:dyDescent="0.2">
      <c r="A488">
        <v>7117726</v>
      </c>
      <c r="B488">
        <v>3693339</v>
      </c>
      <c r="C488">
        <v>3692892</v>
      </c>
      <c r="D488">
        <v>21883</v>
      </c>
      <c r="E488">
        <v>21883</v>
      </c>
      <c r="F488" t="s">
        <v>441</v>
      </c>
      <c r="G488">
        <v>0</v>
      </c>
      <c r="I488" s="5">
        <v>44044</v>
      </c>
      <c r="J488" s="5">
        <v>44306.666666666664</v>
      </c>
    </row>
    <row r="489" spans="1:10" x14ac:dyDescent="0.2">
      <c r="A489">
        <v>7117727</v>
      </c>
      <c r="B489">
        <v>3692806</v>
      </c>
      <c r="C489">
        <v>3692892</v>
      </c>
      <c r="D489">
        <v>21883</v>
      </c>
      <c r="E489">
        <v>21883</v>
      </c>
      <c r="F489" t="s">
        <v>441</v>
      </c>
      <c r="G489">
        <v>0</v>
      </c>
      <c r="I489" s="5">
        <v>44044</v>
      </c>
      <c r="J489" s="5">
        <v>44306.666666666664</v>
      </c>
    </row>
    <row r="490" spans="1:10" x14ac:dyDescent="0.2">
      <c r="A490">
        <v>7117728</v>
      </c>
      <c r="B490">
        <v>3692805</v>
      </c>
      <c r="C490">
        <v>3692892</v>
      </c>
      <c r="D490">
        <v>21883</v>
      </c>
      <c r="E490">
        <v>21883</v>
      </c>
      <c r="F490" t="s">
        <v>441</v>
      </c>
      <c r="G490">
        <v>0</v>
      </c>
      <c r="I490" s="5">
        <v>44044</v>
      </c>
      <c r="J490" s="5">
        <v>44306.666666666664</v>
      </c>
    </row>
    <row r="491" spans="1:10" x14ac:dyDescent="0.2">
      <c r="A491">
        <v>7117729</v>
      </c>
      <c r="B491">
        <v>3692803</v>
      </c>
      <c r="C491">
        <v>3692892</v>
      </c>
      <c r="D491">
        <v>21883</v>
      </c>
      <c r="E491">
        <v>21883</v>
      </c>
      <c r="F491" t="s">
        <v>441</v>
      </c>
      <c r="G491">
        <v>0</v>
      </c>
      <c r="I491" s="5">
        <v>44044</v>
      </c>
      <c r="J491" s="5">
        <v>44306.666666666664</v>
      </c>
    </row>
    <row r="492" spans="1:10" x14ac:dyDescent="0.2">
      <c r="A492">
        <v>7117730</v>
      </c>
      <c r="B492">
        <v>3692817</v>
      </c>
      <c r="C492">
        <v>3692892</v>
      </c>
      <c r="D492">
        <v>21883</v>
      </c>
      <c r="E492">
        <v>21883</v>
      </c>
      <c r="F492" t="s">
        <v>441</v>
      </c>
      <c r="G492">
        <v>0</v>
      </c>
      <c r="I492" s="5">
        <v>44044</v>
      </c>
      <c r="J492" s="5">
        <v>44306.666666666664</v>
      </c>
    </row>
    <row r="493" spans="1:10" x14ac:dyDescent="0.2">
      <c r="A493">
        <v>7117731</v>
      </c>
      <c r="B493">
        <v>3692874</v>
      </c>
      <c r="C493">
        <v>3693713</v>
      </c>
      <c r="D493">
        <v>21883</v>
      </c>
      <c r="E493">
        <v>21883</v>
      </c>
      <c r="F493" t="s">
        <v>442</v>
      </c>
      <c r="G493">
        <v>64</v>
      </c>
      <c r="I493" s="5">
        <v>44044</v>
      </c>
      <c r="J493" s="5">
        <v>44054.333333333336</v>
      </c>
    </row>
    <row r="494" spans="1:10" x14ac:dyDescent="0.2">
      <c r="A494">
        <v>7117732</v>
      </c>
      <c r="B494">
        <v>3693710</v>
      </c>
      <c r="C494">
        <v>3692749</v>
      </c>
      <c r="D494">
        <v>21883</v>
      </c>
      <c r="E494">
        <v>21883</v>
      </c>
      <c r="F494" t="s">
        <v>441</v>
      </c>
      <c r="G494">
        <v>0</v>
      </c>
      <c r="I494" s="5">
        <v>44044</v>
      </c>
      <c r="J494" s="5">
        <v>44054.333333333336</v>
      </c>
    </row>
    <row r="495" spans="1:10" x14ac:dyDescent="0.2">
      <c r="A495">
        <v>7117733</v>
      </c>
      <c r="B495">
        <v>3693713</v>
      </c>
      <c r="C495">
        <v>3693711</v>
      </c>
      <c r="D495">
        <v>21883</v>
      </c>
      <c r="E495">
        <v>21883</v>
      </c>
      <c r="F495" t="s">
        <v>441</v>
      </c>
      <c r="G495">
        <v>0</v>
      </c>
      <c r="I495" s="5">
        <v>44044</v>
      </c>
      <c r="J495" s="5">
        <v>44054.333333333336</v>
      </c>
    </row>
    <row r="496" spans="1:10" x14ac:dyDescent="0.2">
      <c r="A496">
        <v>7117734</v>
      </c>
      <c r="B496">
        <v>3692826</v>
      </c>
      <c r="C496">
        <v>3693733</v>
      </c>
      <c r="D496">
        <v>21883</v>
      </c>
      <c r="E496">
        <v>21883</v>
      </c>
      <c r="F496" t="s">
        <v>441</v>
      </c>
      <c r="G496">
        <v>0</v>
      </c>
      <c r="I496" s="5">
        <v>44044</v>
      </c>
      <c r="J496" s="5">
        <v>44306.666666666664</v>
      </c>
    </row>
    <row r="497" spans="1:10" x14ac:dyDescent="0.2">
      <c r="A497">
        <v>7117735</v>
      </c>
      <c r="B497">
        <v>3692826</v>
      </c>
      <c r="C497">
        <v>3693732</v>
      </c>
      <c r="D497">
        <v>21883</v>
      </c>
      <c r="E497">
        <v>21883</v>
      </c>
      <c r="F497" t="s">
        <v>441</v>
      </c>
      <c r="G497">
        <v>0</v>
      </c>
      <c r="I497" s="5">
        <v>44044</v>
      </c>
      <c r="J497" s="5">
        <v>44306.666666666664</v>
      </c>
    </row>
    <row r="498" spans="1:10" x14ac:dyDescent="0.2">
      <c r="A498">
        <v>7117736</v>
      </c>
      <c r="B498">
        <v>3692826</v>
      </c>
      <c r="C498">
        <v>3693731</v>
      </c>
      <c r="D498">
        <v>21883</v>
      </c>
      <c r="E498">
        <v>21883</v>
      </c>
      <c r="F498" t="s">
        <v>441</v>
      </c>
      <c r="G498">
        <v>0</v>
      </c>
      <c r="I498" s="5">
        <v>44044</v>
      </c>
      <c r="J498" s="5">
        <v>44306.666666666664</v>
      </c>
    </row>
    <row r="499" spans="1:10" x14ac:dyDescent="0.2">
      <c r="A499">
        <v>7117737</v>
      </c>
      <c r="B499">
        <v>3692826</v>
      </c>
      <c r="C499">
        <v>3693730</v>
      </c>
      <c r="D499">
        <v>21883</v>
      </c>
      <c r="E499">
        <v>21883</v>
      </c>
      <c r="F499" t="s">
        <v>441</v>
      </c>
      <c r="G499">
        <v>0</v>
      </c>
      <c r="I499" s="5">
        <v>44044</v>
      </c>
      <c r="J499" s="5">
        <v>44306.666666666664</v>
      </c>
    </row>
    <row r="500" spans="1:10" x14ac:dyDescent="0.2">
      <c r="A500">
        <v>7117738</v>
      </c>
      <c r="B500">
        <v>3692826</v>
      </c>
      <c r="C500">
        <v>3693729</v>
      </c>
      <c r="D500">
        <v>21883</v>
      </c>
      <c r="E500">
        <v>21883</v>
      </c>
      <c r="F500" t="s">
        <v>441</v>
      </c>
      <c r="G500">
        <v>0</v>
      </c>
      <c r="I500" s="5">
        <v>44044</v>
      </c>
      <c r="J500" s="5">
        <v>44306.666666666664</v>
      </c>
    </row>
    <row r="501" spans="1:10" x14ac:dyDescent="0.2">
      <c r="A501">
        <v>7117739</v>
      </c>
      <c r="B501">
        <v>3692826</v>
      </c>
      <c r="C501">
        <v>3693728</v>
      </c>
      <c r="D501">
        <v>21883</v>
      </c>
      <c r="E501">
        <v>21883</v>
      </c>
      <c r="F501" t="s">
        <v>441</v>
      </c>
      <c r="G501">
        <v>0</v>
      </c>
      <c r="I501" s="5">
        <v>44044</v>
      </c>
      <c r="J501" s="5">
        <v>44306.666666666664</v>
      </c>
    </row>
    <row r="502" spans="1:10" x14ac:dyDescent="0.2">
      <c r="A502">
        <v>7117740</v>
      </c>
      <c r="B502">
        <v>3692826</v>
      </c>
      <c r="C502">
        <v>3693727</v>
      </c>
      <c r="D502">
        <v>21883</v>
      </c>
      <c r="E502">
        <v>21883</v>
      </c>
      <c r="F502" t="s">
        <v>441</v>
      </c>
      <c r="G502">
        <v>0</v>
      </c>
      <c r="I502" s="5">
        <v>44044</v>
      </c>
      <c r="J502" s="5">
        <v>44306.666666666664</v>
      </c>
    </row>
    <row r="503" spans="1:10" x14ac:dyDescent="0.2">
      <c r="A503">
        <v>7117741</v>
      </c>
      <c r="B503">
        <v>3692826</v>
      </c>
      <c r="C503">
        <v>3693726</v>
      </c>
      <c r="D503">
        <v>21883</v>
      </c>
      <c r="E503">
        <v>21883</v>
      </c>
      <c r="F503" t="s">
        <v>441</v>
      </c>
      <c r="G503">
        <v>0</v>
      </c>
      <c r="I503" s="5">
        <v>44044</v>
      </c>
      <c r="J503" s="5">
        <v>44306.666666666664</v>
      </c>
    </row>
    <row r="504" spans="1:10" x14ac:dyDescent="0.2">
      <c r="A504">
        <v>7117742</v>
      </c>
      <c r="B504">
        <v>3692826</v>
      </c>
      <c r="C504">
        <v>3692869</v>
      </c>
      <c r="D504">
        <v>21883</v>
      </c>
      <c r="E504">
        <v>21883</v>
      </c>
      <c r="F504" t="s">
        <v>441</v>
      </c>
      <c r="G504">
        <v>0</v>
      </c>
      <c r="I504" s="5">
        <v>44044</v>
      </c>
      <c r="J504" s="5">
        <v>44306.666666666664</v>
      </c>
    </row>
    <row r="505" spans="1:10" x14ac:dyDescent="0.2">
      <c r="A505">
        <v>7117743</v>
      </c>
      <c r="B505">
        <v>3692826</v>
      </c>
      <c r="C505">
        <v>3692870</v>
      </c>
      <c r="D505">
        <v>21883</v>
      </c>
      <c r="E505">
        <v>21883</v>
      </c>
      <c r="F505" t="s">
        <v>441</v>
      </c>
      <c r="G505">
        <v>0</v>
      </c>
      <c r="I505" s="5">
        <v>44044</v>
      </c>
      <c r="J505" s="5">
        <v>44306.666666666664</v>
      </c>
    </row>
    <row r="506" spans="1:10" x14ac:dyDescent="0.2">
      <c r="A506">
        <v>7117744</v>
      </c>
      <c r="B506">
        <v>3692826</v>
      </c>
      <c r="C506">
        <v>3693725</v>
      </c>
      <c r="D506">
        <v>21883</v>
      </c>
      <c r="E506">
        <v>21883</v>
      </c>
      <c r="F506" t="s">
        <v>441</v>
      </c>
      <c r="G506">
        <v>0</v>
      </c>
      <c r="I506" s="5">
        <v>44044</v>
      </c>
      <c r="J506" s="5">
        <v>44306.666666666664</v>
      </c>
    </row>
    <row r="507" spans="1:10" x14ac:dyDescent="0.2">
      <c r="A507">
        <v>7117745</v>
      </c>
      <c r="B507">
        <v>3692826</v>
      </c>
      <c r="C507">
        <v>3693724</v>
      </c>
      <c r="D507">
        <v>21883</v>
      </c>
      <c r="E507">
        <v>21883</v>
      </c>
      <c r="F507" t="s">
        <v>441</v>
      </c>
      <c r="G507">
        <v>0</v>
      </c>
      <c r="I507" s="5">
        <v>44044</v>
      </c>
      <c r="J507" s="5">
        <v>44306.666666666664</v>
      </c>
    </row>
    <row r="508" spans="1:10" x14ac:dyDescent="0.2">
      <c r="A508">
        <v>7117746</v>
      </c>
      <c r="B508">
        <v>3692826</v>
      </c>
      <c r="C508">
        <v>3693722</v>
      </c>
      <c r="D508">
        <v>21883</v>
      </c>
      <c r="E508">
        <v>21883</v>
      </c>
      <c r="F508" t="s">
        <v>440</v>
      </c>
      <c r="G508">
        <v>0</v>
      </c>
      <c r="I508" s="5">
        <v>44044</v>
      </c>
      <c r="J508" s="5">
        <v>44306.666666666664</v>
      </c>
    </row>
    <row r="509" spans="1:10" x14ac:dyDescent="0.2">
      <c r="A509">
        <v>7117747</v>
      </c>
      <c r="B509">
        <v>3693733</v>
      </c>
      <c r="C509">
        <v>3692892</v>
      </c>
      <c r="D509">
        <v>21883</v>
      </c>
      <c r="E509">
        <v>21883</v>
      </c>
      <c r="F509" t="s">
        <v>441</v>
      </c>
      <c r="G509">
        <v>0</v>
      </c>
      <c r="I509" s="5">
        <v>44044</v>
      </c>
      <c r="J509" s="5">
        <v>44306.666666666664</v>
      </c>
    </row>
    <row r="510" spans="1:10" x14ac:dyDescent="0.2">
      <c r="A510">
        <v>7117748</v>
      </c>
      <c r="B510">
        <v>3693732</v>
      </c>
      <c r="C510">
        <v>3692892</v>
      </c>
      <c r="D510">
        <v>21883</v>
      </c>
      <c r="E510">
        <v>21883</v>
      </c>
      <c r="F510" t="s">
        <v>441</v>
      </c>
      <c r="G510">
        <v>0</v>
      </c>
      <c r="I510" s="5">
        <v>44044</v>
      </c>
      <c r="J510" s="5">
        <v>44306.666666666664</v>
      </c>
    </row>
    <row r="511" spans="1:10" x14ac:dyDescent="0.2">
      <c r="A511">
        <v>7117749</v>
      </c>
      <c r="B511">
        <v>3693731</v>
      </c>
      <c r="C511">
        <v>3692892</v>
      </c>
      <c r="D511">
        <v>21883</v>
      </c>
      <c r="E511">
        <v>21883</v>
      </c>
      <c r="F511" t="s">
        <v>441</v>
      </c>
      <c r="G511">
        <v>0</v>
      </c>
      <c r="I511" s="5">
        <v>44044</v>
      </c>
      <c r="J511" s="5">
        <v>44306.666666666664</v>
      </c>
    </row>
    <row r="512" spans="1:10" x14ac:dyDescent="0.2">
      <c r="A512">
        <v>7117750</v>
      </c>
      <c r="B512">
        <v>3693730</v>
      </c>
      <c r="C512">
        <v>3692892</v>
      </c>
      <c r="D512">
        <v>21883</v>
      </c>
      <c r="E512">
        <v>21883</v>
      </c>
      <c r="F512" t="s">
        <v>441</v>
      </c>
      <c r="G512">
        <v>0</v>
      </c>
      <c r="I512" s="5">
        <v>44044</v>
      </c>
      <c r="J512" s="5">
        <v>44306.666666666664</v>
      </c>
    </row>
    <row r="513" spans="1:10" x14ac:dyDescent="0.2">
      <c r="A513">
        <v>7117751</v>
      </c>
      <c r="B513">
        <v>3693729</v>
      </c>
      <c r="C513">
        <v>3692892</v>
      </c>
      <c r="D513">
        <v>21883</v>
      </c>
      <c r="E513">
        <v>21883</v>
      </c>
      <c r="F513" t="s">
        <v>441</v>
      </c>
      <c r="G513">
        <v>0</v>
      </c>
      <c r="I513" s="5">
        <v>44044</v>
      </c>
      <c r="J513" s="5">
        <v>44306.666666666664</v>
      </c>
    </row>
    <row r="514" spans="1:10" x14ac:dyDescent="0.2">
      <c r="A514">
        <v>7117752</v>
      </c>
      <c r="B514">
        <v>3693728</v>
      </c>
      <c r="C514">
        <v>3692892</v>
      </c>
      <c r="D514">
        <v>21883</v>
      </c>
      <c r="E514">
        <v>21883</v>
      </c>
      <c r="F514" t="s">
        <v>441</v>
      </c>
      <c r="G514">
        <v>0</v>
      </c>
      <c r="I514" s="5">
        <v>44044</v>
      </c>
      <c r="J514" s="5">
        <v>44306.666666666664</v>
      </c>
    </row>
    <row r="515" spans="1:10" x14ac:dyDescent="0.2">
      <c r="A515">
        <v>7117753</v>
      </c>
      <c r="B515">
        <v>3693727</v>
      </c>
      <c r="C515">
        <v>3692892</v>
      </c>
      <c r="D515">
        <v>21883</v>
      </c>
      <c r="E515">
        <v>21883</v>
      </c>
      <c r="F515" t="s">
        <v>441</v>
      </c>
      <c r="G515">
        <v>0</v>
      </c>
      <c r="I515" s="5">
        <v>44044</v>
      </c>
      <c r="J515" s="5">
        <v>44306.666666666664</v>
      </c>
    </row>
    <row r="516" spans="1:10" x14ac:dyDescent="0.2">
      <c r="A516">
        <v>7117754</v>
      </c>
      <c r="B516">
        <v>3693726</v>
      </c>
      <c r="C516">
        <v>3692892</v>
      </c>
      <c r="D516">
        <v>21883</v>
      </c>
      <c r="E516">
        <v>21883</v>
      </c>
      <c r="F516" t="s">
        <v>441</v>
      </c>
      <c r="G516">
        <v>0</v>
      </c>
      <c r="I516" s="5">
        <v>44044</v>
      </c>
      <c r="J516" s="5">
        <v>44306.666666666664</v>
      </c>
    </row>
    <row r="517" spans="1:10" x14ac:dyDescent="0.2">
      <c r="A517">
        <v>7117755</v>
      </c>
      <c r="B517">
        <v>3692869</v>
      </c>
      <c r="C517">
        <v>3692892</v>
      </c>
      <c r="D517">
        <v>21883</v>
      </c>
      <c r="E517">
        <v>21883</v>
      </c>
      <c r="F517" t="s">
        <v>441</v>
      </c>
      <c r="G517">
        <v>0</v>
      </c>
      <c r="I517" s="5">
        <v>44044</v>
      </c>
      <c r="J517" s="5">
        <v>44306.666666666664</v>
      </c>
    </row>
    <row r="518" spans="1:10" x14ac:dyDescent="0.2">
      <c r="A518">
        <v>7117756</v>
      </c>
      <c r="B518">
        <v>3692870</v>
      </c>
      <c r="C518">
        <v>3692892</v>
      </c>
      <c r="D518">
        <v>21883</v>
      </c>
      <c r="E518">
        <v>21883</v>
      </c>
      <c r="F518" t="s">
        <v>441</v>
      </c>
      <c r="G518">
        <v>0</v>
      </c>
      <c r="I518" s="5">
        <v>44044</v>
      </c>
      <c r="J518" s="5">
        <v>44306.666666666664</v>
      </c>
    </row>
    <row r="519" spans="1:10" x14ac:dyDescent="0.2">
      <c r="A519">
        <v>7117757</v>
      </c>
      <c r="B519">
        <v>3693725</v>
      </c>
      <c r="C519">
        <v>3692892</v>
      </c>
      <c r="D519">
        <v>21883</v>
      </c>
      <c r="E519">
        <v>21883</v>
      </c>
      <c r="F519" t="s">
        <v>441</v>
      </c>
      <c r="G519">
        <v>0</v>
      </c>
      <c r="I519" s="5">
        <v>44044</v>
      </c>
      <c r="J519" s="5">
        <v>44306.666666666664</v>
      </c>
    </row>
    <row r="520" spans="1:10" x14ac:dyDescent="0.2">
      <c r="A520">
        <v>7117758</v>
      </c>
      <c r="B520">
        <v>3693724</v>
      </c>
      <c r="C520">
        <v>3692892</v>
      </c>
      <c r="D520">
        <v>21883</v>
      </c>
      <c r="E520">
        <v>21883</v>
      </c>
      <c r="F520" t="s">
        <v>441</v>
      </c>
      <c r="G520">
        <v>0</v>
      </c>
      <c r="I520" s="5">
        <v>44044</v>
      </c>
      <c r="J520" s="5">
        <v>44306.666666666664</v>
      </c>
    </row>
    <row r="521" spans="1:10" x14ac:dyDescent="0.2">
      <c r="A521">
        <v>7117759</v>
      </c>
      <c r="B521">
        <v>3693722</v>
      </c>
      <c r="C521">
        <v>3692892</v>
      </c>
      <c r="D521">
        <v>21883</v>
      </c>
      <c r="E521">
        <v>21883</v>
      </c>
      <c r="F521" t="s">
        <v>441</v>
      </c>
      <c r="G521">
        <v>0</v>
      </c>
      <c r="I521" s="5">
        <v>44044</v>
      </c>
      <c r="J521" s="5">
        <v>44306.666666666664</v>
      </c>
    </row>
    <row r="522" spans="1:10" x14ac:dyDescent="0.2">
      <c r="A522">
        <v>7117760</v>
      </c>
      <c r="B522">
        <v>3692656</v>
      </c>
      <c r="C522">
        <v>3692818</v>
      </c>
      <c r="D522">
        <v>21883</v>
      </c>
      <c r="E522">
        <v>21883</v>
      </c>
      <c r="F522" t="s">
        <v>441</v>
      </c>
      <c r="G522">
        <v>0</v>
      </c>
      <c r="I522" s="5">
        <v>44075.666666666664</v>
      </c>
      <c r="J522" s="5">
        <v>44025.333333333336</v>
      </c>
    </row>
    <row r="523" spans="1:10" x14ac:dyDescent="0.2">
      <c r="A523">
        <v>7117761</v>
      </c>
      <c r="B523">
        <v>3693734</v>
      </c>
      <c r="C523">
        <v>3693007</v>
      </c>
      <c r="D523">
        <v>21883</v>
      </c>
      <c r="E523">
        <v>21883</v>
      </c>
      <c r="F523" t="s">
        <v>441</v>
      </c>
      <c r="G523">
        <v>0</v>
      </c>
      <c r="I523" s="5">
        <v>44060.666666666664</v>
      </c>
      <c r="J523" s="5">
        <v>44000.333333333336</v>
      </c>
    </row>
    <row r="524" spans="1:10" x14ac:dyDescent="0.2">
      <c r="A524">
        <v>7117762</v>
      </c>
      <c r="B524">
        <v>3693007</v>
      </c>
      <c r="C524">
        <v>3692696</v>
      </c>
      <c r="D524">
        <v>21883</v>
      </c>
      <c r="E524">
        <v>21883</v>
      </c>
      <c r="F524" t="s">
        <v>441</v>
      </c>
      <c r="G524">
        <v>0</v>
      </c>
      <c r="I524" s="5">
        <v>44060.666666666664</v>
      </c>
      <c r="J524" s="5">
        <v>43998.666666666664</v>
      </c>
    </row>
    <row r="525" spans="1:10" x14ac:dyDescent="0.2">
      <c r="A525">
        <v>7117763</v>
      </c>
      <c r="B525">
        <v>3692656</v>
      </c>
      <c r="C525">
        <v>3692649</v>
      </c>
      <c r="D525">
        <v>21883</v>
      </c>
      <c r="E525">
        <v>21883</v>
      </c>
      <c r="F525" t="s">
        <v>441</v>
      </c>
      <c r="G525">
        <v>0</v>
      </c>
      <c r="I525" s="5">
        <v>44046.333333333336</v>
      </c>
      <c r="J525" s="5">
        <v>44025.333333333336</v>
      </c>
    </row>
    <row r="526" spans="1:10" x14ac:dyDescent="0.2">
      <c r="A526">
        <v>7117764</v>
      </c>
      <c r="B526">
        <v>3692649</v>
      </c>
      <c r="C526">
        <v>3693209</v>
      </c>
      <c r="D526">
        <v>21883</v>
      </c>
      <c r="E526">
        <v>21883</v>
      </c>
      <c r="F526" t="s">
        <v>441</v>
      </c>
      <c r="G526">
        <v>0</v>
      </c>
      <c r="I526" s="5">
        <v>44044</v>
      </c>
      <c r="J526" s="5">
        <v>44008.666666666664</v>
      </c>
    </row>
    <row r="527" spans="1:10" x14ac:dyDescent="0.2">
      <c r="A527">
        <v>7117765</v>
      </c>
      <c r="B527">
        <v>3693715</v>
      </c>
      <c r="C527">
        <v>3692650</v>
      </c>
      <c r="D527">
        <v>21883</v>
      </c>
      <c r="E527">
        <v>21883</v>
      </c>
      <c r="F527" t="s">
        <v>441</v>
      </c>
      <c r="G527">
        <v>0</v>
      </c>
      <c r="I527" s="5">
        <v>44049.666666666664</v>
      </c>
      <c r="J527" s="5">
        <v>44060.333333333336</v>
      </c>
    </row>
    <row r="528" spans="1:10" x14ac:dyDescent="0.2">
      <c r="A528">
        <v>7117766</v>
      </c>
      <c r="B528">
        <v>3692650</v>
      </c>
      <c r="C528">
        <v>3693714</v>
      </c>
      <c r="D528">
        <v>21883</v>
      </c>
      <c r="E528">
        <v>21883</v>
      </c>
      <c r="F528" t="s">
        <v>441</v>
      </c>
      <c r="G528">
        <v>0</v>
      </c>
      <c r="I528" s="5">
        <v>44044</v>
      </c>
      <c r="J528" s="5">
        <v>44054.333333333336</v>
      </c>
    </row>
    <row r="529" spans="1:10" x14ac:dyDescent="0.2">
      <c r="A529">
        <v>7117767</v>
      </c>
      <c r="B529">
        <v>3693739</v>
      </c>
      <c r="C529">
        <v>3692651</v>
      </c>
      <c r="D529">
        <v>21883</v>
      </c>
      <c r="E529">
        <v>21883</v>
      </c>
      <c r="F529" t="s">
        <v>441</v>
      </c>
      <c r="G529">
        <v>0</v>
      </c>
      <c r="I529" s="5">
        <v>44125.666666666664</v>
      </c>
      <c r="J529" s="5">
        <v>44074.333333333336</v>
      </c>
    </row>
    <row r="530" spans="1:10" x14ac:dyDescent="0.2">
      <c r="A530">
        <v>7117768</v>
      </c>
      <c r="B530">
        <v>3692651</v>
      </c>
      <c r="C530">
        <v>3693738</v>
      </c>
      <c r="D530">
        <v>21883</v>
      </c>
      <c r="E530">
        <v>21883</v>
      </c>
      <c r="F530" t="s">
        <v>441</v>
      </c>
      <c r="G530">
        <v>0</v>
      </c>
      <c r="I530" s="5">
        <v>44118.666666666664</v>
      </c>
      <c r="J530" s="5">
        <v>44067.333333333336</v>
      </c>
    </row>
    <row r="531" spans="1:10" x14ac:dyDescent="0.2">
      <c r="A531">
        <v>7117769</v>
      </c>
      <c r="B531">
        <v>3692661</v>
      </c>
      <c r="C531">
        <v>3692652</v>
      </c>
      <c r="D531">
        <v>21883</v>
      </c>
      <c r="E531">
        <v>21883</v>
      </c>
      <c r="F531" t="s">
        <v>441</v>
      </c>
      <c r="G531">
        <v>0</v>
      </c>
      <c r="I531" s="5">
        <v>44123.666666666664</v>
      </c>
      <c r="J531" s="5">
        <v>44076.333333333336</v>
      </c>
    </row>
    <row r="532" spans="1:10" x14ac:dyDescent="0.2">
      <c r="A532">
        <v>7117770</v>
      </c>
      <c r="B532">
        <v>3692652</v>
      </c>
      <c r="C532">
        <v>3692660</v>
      </c>
      <c r="D532">
        <v>21883</v>
      </c>
      <c r="E532">
        <v>21883</v>
      </c>
      <c r="F532" t="s">
        <v>441</v>
      </c>
      <c r="G532">
        <v>0</v>
      </c>
      <c r="I532" s="5">
        <v>44116.666666666664</v>
      </c>
      <c r="J532" s="5">
        <v>44069.333333333336</v>
      </c>
    </row>
    <row r="533" spans="1:10" x14ac:dyDescent="0.2">
      <c r="A533">
        <v>7117771</v>
      </c>
      <c r="B533">
        <v>3692660</v>
      </c>
      <c r="C533">
        <v>3692653</v>
      </c>
      <c r="D533">
        <v>21883</v>
      </c>
      <c r="E533">
        <v>21883</v>
      </c>
      <c r="F533" t="s">
        <v>442</v>
      </c>
      <c r="G533">
        <v>24</v>
      </c>
      <c r="I533" s="5">
        <v>44106.666666666664</v>
      </c>
      <c r="J533" s="5">
        <v>44035.333333333336</v>
      </c>
    </row>
    <row r="534" spans="1:10" x14ac:dyDescent="0.2">
      <c r="A534">
        <v>7117772</v>
      </c>
      <c r="B534">
        <v>3692653</v>
      </c>
      <c r="C534">
        <v>3692658</v>
      </c>
      <c r="D534">
        <v>21883</v>
      </c>
      <c r="E534">
        <v>21883</v>
      </c>
      <c r="F534" t="s">
        <v>441</v>
      </c>
      <c r="G534">
        <v>0</v>
      </c>
      <c r="I534" s="5">
        <v>44099.666666666664</v>
      </c>
      <c r="J534" s="5">
        <v>44049.333333333336</v>
      </c>
    </row>
    <row r="535" spans="1:10" x14ac:dyDescent="0.2">
      <c r="A535">
        <v>7117773</v>
      </c>
      <c r="B535">
        <v>3692654</v>
      </c>
      <c r="C535">
        <v>3692658</v>
      </c>
      <c r="D535">
        <v>21883</v>
      </c>
      <c r="E535">
        <v>21883</v>
      </c>
      <c r="F535" t="s">
        <v>441</v>
      </c>
      <c r="G535">
        <v>0</v>
      </c>
      <c r="I535" s="5">
        <v>44099.666666666664</v>
      </c>
      <c r="J535" s="5">
        <v>44054.333333333336</v>
      </c>
    </row>
    <row r="536" spans="1:10" x14ac:dyDescent="0.2">
      <c r="A536">
        <v>7117774</v>
      </c>
      <c r="B536">
        <v>3692655</v>
      </c>
      <c r="C536">
        <v>3692659</v>
      </c>
      <c r="D536">
        <v>21883</v>
      </c>
      <c r="E536">
        <v>21883</v>
      </c>
      <c r="F536" t="s">
        <v>442</v>
      </c>
      <c r="G536">
        <v>64</v>
      </c>
      <c r="I536" s="5">
        <v>44060.666666666664</v>
      </c>
      <c r="J536" s="5">
        <v>43990.333333333336</v>
      </c>
    </row>
    <row r="537" spans="1:10" x14ac:dyDescent="0.2">
      <c r="A537">
        <v>7117775</v>
      </c>
      <c r="B537">
        <v>3692657</v>
      </c>
      <c r="C537">
        <v>3692656</v>
      </c>
      <c r="D537">
        <v>21883</v>
      </c>
      <c r="E537">
        <v>21883</v>
      </c>
      <c r="F537" t="s">
        <v>442</v>
      </c>
      <c r="G537">
        <v>16</v>
      </c>
      <c r="I537" s="5">
        <v>44075.666666666664</v>
      </c>
      <c r="J537" s="5">
        <v>44025.333333333336</v>
      </c>
    </row>
    <row r="538" spans="1:10" x14ac:dyDescent="0.2">
      <c r="A538">
        <v>7117776</v>
      </c>
      <c r="B538">
        <v>3692660</v>
      </c>
      <c r="C538">
        <v>3692654</v>
      </c>
      <c r="D538">
        <v>21883</v>
      </c>
      <c r="E538">
        <v>21883</v>
      </c>
      <c r="F538" t="s">
        <v>441</v>
      </c>
      <c r="G538">
        <v>0</v>
      </c>
      <c r="I538" s="5">
        <v>44103.666666666664</v>
      </c>
      <c r="J538" s="5">
        <v>44056.333333333336</v>
      </c>
    </row>
    <row r="539" spans="1:10" x14ac:dyDescent="0.2">
      <c r="A539">
        <v>7117777</v>
      </c>
      <c r="B539">
        <v>3692658</v>
      </c>
      <c r="C539">
        <v>3692655</v>
      </c>
      <c r="D539">
        <v>21883</v>
      </c>
      <c r="E539">
        <v>21883</v>
      </c>
      <c r="F539" t="s">
        <v>442</v>
      </c>
      <c r="G539">
        <v>16</v>
      </c>
      <c r="I539" s="5">
        <v>44083.666666666664</v>
      </c>
      <c r="J539" s="5">
        <v>44021.333333333336</v>
      </c>
    </row>
    <row r="540" spans="1:10" x14ac:dyDescent="0.2">
      <c r="A540">
        <v>7117778</v>
      </c>
      <c r="B540">
        <v>3692661</v>
      </c>
      <c r="C540">
        <v>3692660</v>
      </c>
      <c r="D540">
        <v>21883</v>
      </c>
      <c r="E540">
        <v>21883</v>
      </c>
      <c r="F540" t="s">
        <v>441</v>
      </c>
      <c r="G540">
        <v>0</v>
      </c>
      <c r="I540" s="5">
        <v>44116.666666666664</v>
      </c>
      <c r="J540" s="5">
        <v>44076.333333333336</v>
      </c>
    </row>
    <row r="541" spans="1:10" x14ac:dyDescent="0.2">
      <c r="A541">
        <v>7117779</v>
      </c>
      <c r="B541">
        <v>3692662</v>
      </c>
      <c r="C541">
        <v>3692661</v>
      </c>
      <c r="D541">
        <v>21883</v>
      </c>
      <c r="E541">
        <v>21883</v>
      </c>
      <c r="F541" t="s">
        <v>442</v>
      </c>
      <c r="G541">
        <v>64</v>
      </c>
      <c r="I541" s="5">
        <v>44139.666666666664</v>
      </c>
      <c r="J541" s="5">
        <v>44060.333333333336</v>
      </c>
    </row>
    <row r="542" spans="1:10" x14ac:dyDescent="0.2">
      <c r="A542">
        <v>7117780</v>
      </c>
      <c r="B542">
        <v>3692663</v>
      </c>
      <c r="C542">
        <v>3692662</v>
      </c>
      <c r="D542">
        <v>21883</v>
      </c>
      <c r="E542">
        <v>21883</v>
      </c>
      <c r="F542" t="s">
        <v>442</v>
      </c>
      <c r="G542">
        <v>32</v>
      </c>
      <c r="I542" s="5">
        <v>44148.666666666664</v>
      </c>
      <c r="J542" s="5">
        <v>44083.333333333336</v>
      </c>
    </row>
    <row r="543" spans="1:10" x14ac:dyDescent="0.2">
      <c r="A543">
        <v>7117781</v>
      </c>
      <c r="B543">
        <v>3692666</v>
      </c>
      <c r="C543">
        <v>3692665</v>
      </c>
      <c r="D543">
        <v>21883</v>
      </c>
      <c r="E543">
        <v>21883</v>
      </c>
      <c r="F543" t="s">
        <v>441</v>
      </c>
      <c r="G543">
        <v>0</v>
      </c>
      <c r="I543" s="5">
        <v>44168.666666666664</v>
      </c>
      <c r="J543" s="5">
        <v>44155.333333333336</v>
      </c>
    </row>
    <row r="544" spans="1:10" x14ac:dyDescent="0.2">
      <c r="A544">
        <v>7117782</v>
      </c>
      <c r="B544">
        <v>3693738</v>
      </c>
      <c r="C544">
        <v>3692866</v>
      </c>
      <c r="D544">
        <v>21883</v>
      </c>
      <c r="E544">
        <v>21883</v>
      </c>
      <c r="F544" t="s">
        <v>442</v>
      </c>
      <c r="G544">
        <v>48</v>
      </c>
      <c r="I544" s="5">
        <v>44110.666666666664</v>
      </c>
      <c r="J544" s="5">
        <v>44026.333333333336</v>
      </c>
    </row>
    <row r="545" spans="1:10" x14ac:dyDescent="0.2">
      <c r="A545">
        <v>7117783</v>
      </c>
      <c r="B545">
        <v>3692866</v>
      </c>
      <c r="C545">
        <v>3693736</v>
      </c>
      <c r="D545">
        <v>21883</v>
      </c>
      <c r="E545">
        <v>21883</v>
      </c>
      <c r="F545" t="s">
        <v>441</v>
      </c>
      <c r="G545">
        <v>0</v>
      </c>
      <c r="I545" s="5">
        <v>44098.666666666664</v>
      </c>
      <c r="J545" s="5">
        <v>44042.333333333336</v>
      </c>
    </row>
    <row r="546" spans="1:10" x14ac:dyDescent="0.2">
      <c r="A546">
        <v>7117784</v>
      </c>
      <c r="B546">
        <v>3692867</v>
      </c>
      <c r="C546">
        <v>3693736</v>
      </c>
      <c r="D546">
        <v>21883</v>
      </c>
      <c r="E546">
        <v>21883</v>
      </c>
      <c r="F546" t="s">
        <v>441</v>
      </c>
      <c r="G546">
        <v>0</v>
      </c>
      <c r="I546" s="5">
        <v>44098.666666666664</v>
      </c>
      <c r="J546" s="5">
        <v>44049.333333333336</v>
      </c>
    </row>
    <row r="547" spans="1:10" x14ac:dyDescent="0.2">
      <c r="A547">
        <v>7117785</v>
      </c>
      <c r="B547">
        <v>3693736</v>
      </c>
      <c r="C547">
        <v>3692868</v>
      </c>
      <c r="D547">
        <v>21883</v>
      </c>
      <c r="E547">
        <v>21883</v>
      </c>
      <c r="F547" t="s">
        <v>441</v>
      </c>
      <c r="G547">
        <v>0</v>
      </c>
      <c r="I547" s="5">
        <v>44078.666666666664</v>
      </c>
      <c r="J547" s="5">
        <v>44026.333333333336</v>
      </c>
    </row>
    <row r="548" spans="1:10" x14ac:dyDescent="0.2">
      <c r="A548">
        <v>7117786</v>
      </c>
      <c r="B548">
        <v>3692868</v>
      </c>
      <c r="C548">
        <v>3693737</v>
      </c>
      <c r="D548">
        <v>21883</v>
      </c>
      <c r="E548">
        <v>21883</v>
      </c>
      <c r="F548" t="s">
        <v>442</v>
      </c>
      <c r="G548">
        <v>64</v>
      </c>
      <c r="I548" s="5">
        <v>44069.666666666664</v>
      </c>
      <c r="J548" s="5">
        <v>43978.333333333336</v>
      </c>
    </row>
    <row r="549" spans="1:10" x14ac:dyDescent="0.2">
      <c r="A549">
        <v>7117787</v>
      </c>
      <c r="B549">
        <v>3693735</v>
      </c>
      <c r="C549">
        <v>3693734</v>
      </c>
      <c r="D549">
        <v>21883</v>
      </c>
      <c r="E549">
        <v>21883</v>
      </c>
      <c r="F549" t="s">
        <v>442</v>
      </c>
      <c r="G549">
        <v>16</v>
      </c>
      <c r="I549" s="5">
        <v>44063.666666666664</v>
      </c>
      <c r="J549" s="5">
        <v>43993.333333333336</v>
      </c>
    </row>
    <row r="550" spans="1:10" x14ac:dyDescent="0.2">
      <c r="A550">
        <v>7117788</v>
      </c>
      <c r="B550">
        <v>3693337</v>
      </c>
      <c r="C550">
        <v>3692700</v>
      </c>
      <c r="D550">
        <v>21883</v>
      </c>
      <c r="E550">
        <v>21883</v>
      </c>
      <c r="F550" t="s">
        <v>441</v>
      </c>
      <c r="G550">
        <v>0</v>
      </c>
      <c r="I550" s="5">
        <v>44050.666666666664</v>
      </c>
      <c r="J550" s="5">
        <v>44000.333333333336</v>
      </c>
    </row>
    <row r="551" spans="1:10" x14ac:dyDescent="0.2">
      <c r="A551">
        <v>7117789</v>
      </c>
      <c r="B551">
        <v>3692698</v>
      </c>
      <c r="C551">
        <v>3692675</v>
      </c>
      <c r="D551">
        <v>21883</v>
      </c>
      <c r="E551">
        <v>21883</v>
      </c>
      <c r="F551" t="s">
        <v>441</v>
      </c>
      <c r="G551">
        <v>0</v>
      </c>
      <c r="I551" s="5">
        <v>44044</v>
      </c>
      <c r="J551" s="5">
        <v>43983.333333333336</v>
      </c>
    </row>
    <row r="552" spans="1:10" x14ac:dyDescent="0.2">
      <c r="A552">
        <v>7117790</v>
      </c>
      <c r="B552">
        <v>3692672</v>
      </c>
      <c r="C552">
        <v>3692676</v>
      </c>
      <c r="D552">
        <v>21883</v>
      </c>
      <c r="E552">
        <v>21883</v>
      </c>
      <c r="F552" t="s">
        <v>441</v>
      </c>
      <c r="G552">
        <v>0</v>
      </c>
      <c r="I552" s="5">
        <v>44044</v>
      </c>
      <c r="J552" s="5">
        <v>43983.333333333336</v>
      </c>
    </row>
    <row r="553" spans="1:10" x14ac:dyDescent="0.2">
      <c r="A553">
        <v>7117791</v>
      </c>
      <c r="B553">
        <v>3692676</v>
      </c>
      <c r="C553">
        <v>3692677</v>
      </c>
      <c r="D553">
        <v>21883</v>
      </c>
      <c r="E553">
        <v>21883</v>
      </c>
      <c r="F553" t="s">
        <v>441</v>
      </c>
      <c r="G553">
        <v>0</v>
      </c>
      <c r="I553" s="5">
        <v>44044</v>
      </c>
      <c r="J553" s="5">
        <v>43983.333333333336</v>
      </c>
    </row>
    <row r="554" spans="1:10" x14ac:dyDescent="0.2">
      <c r="A554">
        <v>7117792</v>
      </c>
      <c r="B554">
        <v>3692675</v>
      </c>
      <c r="C554">
        <v>3692669</v>
      </c>
      <c r="D554">
        <v>21883</v>
      </c>
      <c r="E554">
        <v>21883</v>
      </c>
      <c r="F554" t="s">
        <v>441</v>
      </c>
      <c r="G554">
        <v>0</v>
      </c>
      <c r="I554" s="5">
        <v>44044</v>
      </c>
      <c r="J554" s="5">
        <v>43983.333333333336</v>
      </c>
    </row>
    <row r="555" spans="1:10" x14ac:dyDescent="0.2">
      <c r="A555">
        <v>7117793</v>
      </c>
      <c r="B555">
        <v>3692669</v>
      </c>
      <c r="C555">
        <v>3692674</v>
      </c>
      <c r="D555">
        <v>21883</v>
      </c>
      <c r="E555">
        <v>21883</v>
      </c>
      <c r="F555" t="s">
        <v>441</v>
      </c>
      <c r="G555">
        <v>0</v>
      </c>
      <c r="I555" s="5">
        <v>44044</v>
      </c>
      <c r="J555" s="5">
        <v>43983.333333333336</v>
      </c>
    </row>
    <row r="556" spans="1:10" x14ac:dyDescent="0.2">
      <c r="A556">
        <v>7117794</v>
      </c>
      <c r="B556">
        <v>3692674</v>
      </c>
      <c r="C556">
        <v>3692670</v>
      </c>
      <c r="D556">
        <v>21883</v>
      </c>
      <c r="E556">
        <v>21883</v>
      </c>
      <c r="F556" t="s">
        <v>441</v>
      </c>
      <c r="G556">
        <v>0</v>
      </c>
      <c r="I556" s="5">
        <v>44044</v>
      </c>
      <c r="J556" s="5">
        <v>43983.333333333336</v>
      </c>
    </row>
    <row r="557" spans="1:10" x14ac:dyDescent="0.2">
      <c r="A557">
        <v>7117795</v>
      </c>
      <c r="B557">
        <v>3692670</v>
      </c>
      <c r="C557">
        <v>3692673</v>
      </c>
      <c r="D557">
        <v>21883</v>
      </c>
      <c r="E557">
        <v>21883</v>
      </c>
      <c r="F557" t="s">
        <v>441</v>
      </c>
      <c r="G557">
        <v>0</v>
      </c>
      <c r="I557" s="5">
        <v>44044</v>
      </c>
      <c r="J557" s="5">
        <v>43983.333333333336</v>
      </c>
    </row>
    <row r="558" spans="1:10" x14ac:dyDescent="0.2">
      <c r="A558">
        <v>7117796</v>
      </c>
      <c r="B558">
        <v>3692673</v>
      </c>
      <c r="C558">
        <v>3692671</v>
      </c>
      <c r="D558">
        <v>21883</v>
      </c>
      <c r="E558">
        <v>21883</v>
      </c>
      <c r="F558" t="s">
        <v>441</v>
      </c>
      <c r="G558">
        <v>0</v>
      </c>
      <c r="I558" s="5">
        <v>44044</v>
      </c>
      <c r="J558" s="5">
        <v>43983.333333333336</v>
      </c>
    </row>
    <row r="559" spans="1:10" x14ac:dyDescent="0.2">
      <c r="A559">
        <v>7117797</v>
      </c>
      <c r="B559">
        <v>3692673</v>
      </c>
      <c r="C559">
        <v>3692672</v>
      </c>
      <c r="D559">
        <v>21883</v>
      </c>
      <c r="E559">
        <v>21883</v>
      </c>
      <c r="F559" t="s">
        <v>441</v>
      </c>
      <c r="G559">
        <v>0</v>
      </c>
      <c r="I559" s="5">
        <v>44044</v>
      </c>
      <c r="J559" s="5">
        <v>43983.333333333336</v>
      </c>
    </row>
    <row r="560" spans="1:10" x14ac:dyDescent="0.2">
      <c r="A560">
        <v>7117798</v>
      </c>
      <c r="B560">
        <v>3692698</v>
      </c>
      <c r="C560">
        <v>3692678</v>
      </c>
      <c r="D560">
        <v>21883</v>
      </c>
      <c r="E560">
        <v>21883</v>
      </c>
      <c r="F560" t="s">
        <v>441</v>
      </c>
      <c r="G560">
        <v>0</v>
      </c>
      <c r="I560" s="5">
        <v>44044</v>
      </c>
      <c r="J560" s="5">
        <v>43983.333333333336</v>
      </c>
    </row>
    <row r="561" spans="1:10" x14ac:dyDescent="0.2">
      <c r="A561">
        <v>7117799</v>
      </c>
      <c r="B561">
        <v>3692678</v>
      </c>
      <c r="C561">
        <v>3692685</v>
      </c>
      <c r="D561">
        <v>21883</v>
      </c>
      <c r="E561">
        <v>21883</v>
      </c>
      <c r="F561" t="s">
        <v>441</v>
      </c>
      <c r="G561">
        <v>0</v>
      </c>
      <c r="I561" s="5">
        <v>44044</v>
      </c>
      <c r="J561" s="5">
        <v>43983.333333333336</v>
      </c>
    </row>
    <row r="562" spans="1:10" x14ac:dyDescent="0.2">
      <c r="A562">
        <v>7117800</v>
      </c>
      <c r="B562">
        <v>3692682</v>
      </c>
      <c r="C562">
        <v>3692686</v>
      </c>
      <c r="D562">
        <v>21883</v>
      </c>
      <c r="E562">
        <v>21883</v>
      </c>
      <c r="F562" t="s">
        <v>441</v>
      </c>
      <c r="G562">
        <v>0</v>
      </c>
      <c r="I562" s="5">
        <v>44044</v>
      </c>
      <c r="J562" s="5">
        <v>43983.333333333336</v>
      </c>
    </row>
    <row r="563" spans="1:10" x14ac:dyDescent="0.2">
      <c r="A563">
        <v>7117801</v>
      </c>
      <c r="B563">
        <v>3692686</v>
      </c>
      <c r="C563">
        <v>3692687</v>
      </c>
      <c r="D563">
        <v>21883</v>
      </c>
      <c r="E563">
        <v>21883</v>
      </c>
      <c r="F563" t="s">
        <v>441</v>
      </c>
      <c r="G563">
        <v>0</v>
      </c>
      <c r="I563" s="5">
        <v>44044</v>
      </c>
      <c r="J563" s="5">
        <v>43983.333333333336</v>
      </c>
    </row>
    <row r="564" spans="1:10" x14ac:dyDescent="0.2">
      <c r="A564">
        <v>7117802</v>
      </c>
      <c r="B564">
        <v>3692681</v>
      </c>
      <c r="C564">
        <v>3692686</v>
      </c>
      <c r="D564">
        <v>21883</v>
      </c>
      <c r="E564">
        <v>21883</v>
      </c>
      <c r="F564" t="s">
        <v>441</v>
      </c>
      <c r="G564">
        <v>0</v>
      </c>
      <c r="I564" s="5">
        <v>44044</v>
      </c>
      <c r="J564" s="5">
        <v>43983.333333333336</v>
      </c>
    </row>
    <row r="565" spans="1:10" x14ac:dyDescent="0.2">
      <c r="A565">
        <v>7117803</v>
      </c>
      <c r="B565">
        <v>3692685</v>
      </c>
      <c r="C565">
        <v>3692679</v>
      </c>
      <c r="D565">
        <v>21883</v>
      </c>
      <c r="E565">
        <v>21883</v>
      </c>
      <c r="F565" t="s">
        <v>441</v>
      </c>
      <c r="G565">
        <v>0</v>
      </c>
      <c r="I565" s="5">
        <v>44044</v>
      </c>
      <c r="J565" s="5">
        <v>43983.333333333336</v>
      </c>
    </row>
    <row r="566" spans="1:10" x14ac:dyDescent="0.2">
      <c r="A566">
        <v>7117804</v>
      </c>
      <c r="B566">
        <v>3692679</v>
      </c>
      <c r="C566">
        <v>3692684</v>
      </c>
      <c r="D566">
        <v>21883</v>
      </c>
      <c r="E566">
        <v>21883</v>
      </c>
      <c r="F566" t="s">
        <v>441</v>
      </c>
      <c r="G566">
        <v>0</v>
      </c>
      <c r="I566" s="5">
        <v>44044</v>
      </c>
      <c r="J566" s="5">
        <v>43983.333333333336</v>
      </c>
    </row>
    <row r="567" spans="1:10" x14ac:dyDescent="0.2">
      <c r="A567">
        <v>7117805</v>
      </c>
      <c r="B567">
        <v>3692684</v>
      </c>
      <c r="C567">
        <v>3692680</v>
      </c>
      <c r="D567">
        <v>21883</v>
      </c>
      <c r="E567">
        <v>21883</v>
      </c>
      <c r="F567" t="s">
        <v>441</v>
      </c>
      <c r="G567">
        <v>0</v>
      </c>
      <c r="I567" s="5">
        <v>44044</v>
      </c>
      <c r="J567" s="5">
        <v>43983.333333333336</v>
      </c>
    </row>
    <row r="568" spans="1:10" x14ac:dyDescent="0.2">
      <c r="A568">
        <v>7117806</v>
      </c>
      <c r="B568">
        <v>3692680</v>
      </c>
      <c r="C568">
        <v>3692683</v>
      </c>
      <c r="D568">
        <v>21883</v>
      </c>
      <c r="E568">
        <v>21883</v>
      </c>
      <c r="F568" t="s">
        <v>441</v>
      </c>
      <c r="G568">
        <v>0</v>
      </c>
      <c r="I568" s="5">
        <v>44044</v>
      </c>
      <c r="J568" s="5">
        <v>43983.333333333336</v>
      </c>
    </row>
    <row r="569" spans="1:10" x14ac:dyDescent="0.2">
      <c r="A569">
        <v>7117807</v>
      </c>
      <c r="B569">
        <v>3692683</v>
      </c>
      <c r="C569">
        <v>3692681</v>
      </c>
      <c r="D569">
        <v>21883</v>
      </c>
      <c r="E569">
        <v>21883</v>
      </c>
      <c r="F569" t="s">
        <v>441</v>
      </c>
      <c r="G569">
        <v>0</v>
      </c>
      <c r="I569" s="5">
        <v>44044</v>
      </c>
      <c r="J569" s="5">
        <v>43983.333333333336</v>
      </c>
    </row>
    <row r="570" spans="1:10" x14ac:dyDescent="0.2">
      <c r="A570">
        <v>7117808</v>
      </c>
      <c r="B570">
        <v>3692683</v>
      </c>
      <c r="C570">
        <v>3692682</v>
      </c>
      <c r="D570">
        <v>21883</v>
      </c>
      <c r="E570">
        <v>21883</v>
      </c>
      <c r="F570" t="s">
        <v>441</v>
      </c>
      <c r="G570">
        <v>0</v>
      </c>
      <c r="I570" s="5">
        <v>44044</v>
      </c>
      <c r="J570" s="5">
        <v>43983.333333333336</v>
      </c>
    </row>
    <row r="571" spans="1:10" x14ac:dyDescent="0.2">
      <c r="A571">
        <v>7117809</v>
      </c>
      <c r="B571">
        <v>3692692</v>
      </c>
      <c r="C571">
        <v>3692693</v>
      </c>
      <c r="D571">
        <v>21883</v>
      </c>
      <c r="E571">
        <v>21883</v>
      </c>
      <c r="F571" t="s">
        <v>441</v>
      </c>
      <c r="G571">
        <v>0</v>
      </c>
      <c r="I571" s="5">
        <v>44044</v>
      </c>
      <c r="J571" s="5">
        <v>43983.333333333336</v>
      </c>
    </row>
    <row r="572" spans="1:10" x14ac:dyDescent="0.2">
      <c r="A572">
        <v>7117810</v>
      </c>
      <c r="B572">
        <v>3692700</v>
      </c>
      <c r="C572">
        <v>3692694</v>
      </c>
      <c r="D572">
        <v>21883</v>
      </c>
      <c r="E572">
        <v>21883</v>
      </c>
      <c r="F572" t="s">
        <v>441</v>
      </c>
      <c r="G572">
        <v>0</v>
      </c>
      <c r="I572" s="5">
        <v>44044</v>
      </c>
      <c r="J572" s="5">
        <v>43993.333333333336</v>
      </c>
    </row>
    <row r="573" spans="1:10" x14ac:dyDescent="0.2">
      <c r="A573">
        <v>7117811</v>
      </c>
      <c r="B573">
        <v>3692694</v>
      </c>
      <c r="C573">
        <v>3693221</v>
      </c>
      <c r="D573">
        <v>21883</v>
      </c>
      <c r="E573">
        <v>21883</v>
      </c>
      <c r="F573" t="s">
        <v>441</v>
      </c>
      <c r="G573">
        <v>0</v>
      </c>
      <c r="I573" s="5">
        <v>44044</v>
      </c>
      <c r="J573" s="5">
        <v>43993.333333333336</v>
      </c>
    </row>
    <row r="574" spans="1:10" x14ac:dyDescent="0.2">
      <c r="A574">
        <v>7117812</v>
      </c>
      <c r="B574">
        <v>3692696</v>
      </c>
      <c r="C574">
        <v>3692695</v>
      </c>
      <c r="D574">
        <v>21883</v>
      </c>
      <c r="E574">
        <v>21883</v>
      </c>
      <c r="F574" t="s">
        <v>441</v>
      </c>
      <c r="G574">
        <v>0</v>
      </c>
      <c r="I574" s="5">
        <v>44056.666666666664</v>
      </c>
      <c r="J574" s="5">
        <v>43994.333333333336</v>
      </c>
    </row>
    <row r="575" spans="1:10" x14ac:dyDescent="0.2">
      <c r="A575">
        <v>7117813</v>
      </c>
      <c r="B575">
        <v>3692697</v>
      </c>
      <c r="C575">
        <v>3692698</v>
      </c>
      <c r="D575">
        <v>21883</v>
      </c>
      <c r="E575">
        <v>21883</v>
      </c>
      <c r="F575" t="s">
        <v>441</v>
      </c>
      <c r="G575">
        <v>0</v>
      </c>
      <c r="I575" s="5">
        <v>44044</v>
      </c>
      <c r="J575" s="5">
        <v>43983.333333333336</v>
      </c>
    </row>
    <row r="576" spans="1:10" x14ac:dyDescent="0.2">
      <c r="A576">
        <v>7117814</v>
      </c>
      <c r="B576">
        <v>3692699</v>
      </c>
      <c r="C576">
        <v>3692697</v>
      </c>
      <c r="D576">
        <v>21883</v>
      </c>
      <c r="E576">
        <v>21883</v>
      </c>
      <c r="F576" t="s">
        <v>441</v>
      </c>
      <c r="G576">
        <v>0</v>
      </c>
      <c r="I576" s="5">
        <v>44044</v>
      </c>
      <c r="J576" s="5">
        <v>43983.333333333336</v>
      </c>
    </row>
    <row r="577" spans="1:10" x14ac:dyDescent="0.2">
      <c r="A577">
        <v>7117815</v>
      </c>
      <c r="B577">
        <v>3692695</v>
      </c>
      <c r="C577">
        <v>3692699</v>
      </c>
      <c r="D577">
        <v>21883</v>
      </c>
      <c r="E577">
        <v>21883</v>
      </c>
      <c r="F577" t="s">
        <v>441</v>
      </c>
      <c r="G577">
        <v>0</v>
      </c>
      <c r="I577" s="5">
        <v>44044</v>
      </c>
      <c r="J577" s="5">
        <v>43983.333333333336</v>
      </c>
    </row>
    <row r="578" spans="1:10" x14ac:dyDescent="0.2">
      <c r="A578">
        <v>7117816</v>
      </c>
      <c r="B578">
        <v>3693222</v>
      </c>
      <c r="C578">
        <v>3692700</v>
      </c>
      <c r="D578">
        <v>21883</v>
      </c>
      <c r="E578">
        <v>21883</v>
      </c>
      <c r="F578" t="s">
        <v>441</v>
      </c>
      <c r="G578">
        <v>0</v>
      </c>
      <c r="I578" s="5">
        <v>44050.666666666664</v>
      </c>
      <c r="J578" s="5">
        <v>44006.333333333336</v>
      </c>
    </row>
    <row r="579" spans="1:10" x14ac:dyDescent="0.2">
      <c r="A579">
        <v>7117817</v>
      </c>
      <c r="B579">
        <v>3692701</v>
      </c>
      <c r="C579">
        <v>3693180</v>
      </c>
      <c r="D579">
        <v>21883</v>
      </c>
      <c r="E579">
        <v>21883</v>
      </c>
      <c r="F579" t="s">
        <v>441</v>
      </c>
      <c r="G579">
        <v>0</v>
      </c>
      <c r="I579" s="5">
        <v>44044</v>
      </c>
      <c r="J579" s="5">
        <v>43983.333333333336</v>
      </c>
    </row>
    <row r="580" spans="1:10" x14ac:dyDescent="0.2">
      <c r="A580">
        <v>7117818</v>
      </c>
      <c r="B580">
        <v>3692821</v>
      </c>
      <c r="C580">
        <v>3692707</v>
      </c>
      <c r="D580">
        <v>21883</v>
      </c>
      <c r="E580">
        <v>21883</v>
      </c>
      <c r="F580" t="s">
        <v>441</v>
      </c>
      <c r="G580">
        <v>0</v>
      </c>
      <c r="I580" s="5">
        <v>44049.666666666664</v>
      </c>
      <c r="J580" s="5">
        <v>43991.666666666664</v>
      </c>
    </row>
    <row r="581" spans="1:10" x14ac:dyDescent="0.2">
      <c r="A581">
        <v>7117819</v>
      </c>
      <c r="B581">
        <v>3692709</v>
      </c>
      <c r="C581">
        <v>3692702</v>
      </c>
      <c r="D581">
        <v>21883</v>
      </c>
      <c r="E581">
        <v>21883</v>
      </c>
      <c r="F581" t="s">
        <v>441</v>
      </c>
      <c r="G581">
        <v>0</v>
      </c>
      <c r="I581" s="5">
        <v>44044</v>
      </c>
      <c r="J581" s="5">
        <v>43986.333333333336</v>
      </c>
    </row>
    <row r="582" spans="1:10" x14ac:dyDescent="0.2">
      <c r="A582">
        <v>7117820</v>
      </c>
      <c r="B582">
        <v>3692705</v>
      </c>
      <c r="C582">
        <v>3692712</v>
      </c>
      <c r="D582">
        <v>21883</v>
      </c>
      <c r="E582">
        <v>21883</v>
      </c>
      <c r="F582" t="s">
        <v>441</v>
      </c>
      <c r="G582">
        <v>0</v>
      </c>
      <c r="I582" s="5">
        <v>44044</v>
      </c>
      <c r="J582" s="5">
        <v>43986.333333333336</v>
      </c>
    </row>
    <row r="583" spans="1:10" x14ac:dyDescent="0.2">
      <c r="A583">
        <v>7117821</v>
      </c>
      <c r="B583">
        <v>3692709</v>
      </c>
      <c r="C583">
        <v>3692703</v>
      </c>
      <c r="D583">
        <v>21883</v>
      </c>
      <c r="E583">
        <v>21883</v>
      </c>
      <c r="F583" t="s">
        <v>441</v>
      </c>
      <c r="G583">
        <v>0</v>
      </c>
      <c r="I583" s="5">
        <v>44044</v>
      </c>
      <c r="J583" s="5">
        <v>43986.333333333336</v>
      </c>
    </row>
    <row r="584" spans="1:10" x14ac:dyDescent="0.2">
      <c r="A584">
        <v>7117822</v>
      </c>
      <c r="B584">
        <v>3693247</v>
      </c>
      <c r="C584">
        <v>3692711</v>
      </c>
      <c r="D584">
        <v>21883</v>
      </c>
      <c r="E584">
        <v>21883</v>
      </c>
      <c r="F584" t="s">
        <v>441</v>
      </c>
      <c r="G584">
        <v>0</v>
      </c>
      <c r="I584" s="5">
        <v>44044</v>
      </c>
      <c r="J584" s="5">
        <v>44008.666666666664</v>
      </c>
    </row>
    <row r="585" spans="1:10" x14ac:dyDescent="0.2">
      <c r="A585">
        <v>7117823</v>
      </c>
      <c r="B585">
        <v>3692703</v>
      </c>
      <c r="C585">
        <v>3692723</v>
      </c>
      <c r="D585">
        <v>21883</v>
      </c>
      <c r="E585">
        <v>21883</v>
      </c>
      <c r="F585" t="s">
        <v>441</v>
      </c>
      <c r="G585">
        <v>0</v>
      </c>
      <c r="I585" s="5">
        <v>44044</v>
      </c>
      <c r="J585" s="5">
        <v>43986.333333333336</v>
      </c>
    </row>
    <row r="586" spans="1:10" x14ac:dyDescent="0.2">
      <c r="A586">
        <v>7117824</v>
      </c>
      <c r="B586">
        <v>3692709</v>
      </c>
      <c r="C586">
        <v>3692732</v>
      </c>
      <c r="D586">
        <v>21883</v>
      </c>
      <c r="E586">
        <v>21883</v>
      </c>
      <c r="F586" t="s">
        <v>441</v>
      </c>
      <c r="G586">
        <v>0</v>
      </c>
      <c r="I586" s="5">
        <v>44044</v>
      </c>
      <c r="J586" s="5">
        <v>43986.333333333336</v>
      </c>
    </row>
    <row r="587" spans="1:10" x14ac:dyDescent="0.2">
      <c r="A587">
        <v>7117825</v>
      </c>
      <c r="B587">
        <v>3692707</v>
      </c>
      <c r="C587">
        <v>3692706</v>
      </c>
      <c r="D587">
        <v>21883</v>
      </c>
      <c r="E587">
        <v>21883</v>
      </c>
      <c r="F587" t="s">
        <v>441</v>
      </c>
      <c r="G587">
        <v>0</v>
      </c>
      <c r="I587" s="5">
        <v>44044</v>
      </c>
      <c r="J587" s="5">
        <v>43986.333333333336</v>
      </c>
    </row>
    <row r="588" spans="1:10" x14ac:dyDescent="0.2">
      <c r="A588">
        <v>7117826</v>
      </c>
      <c r="B588">
        <v>3692708</v>
      </c>
      <c r="C588">
        <v>3692709</v>
      </c>
      <c r="D588">
        <v>21883</v>
      </c>
      <c r="E588">
        <v>21883</v>
      </c>
      <c r="F588" t="s">
        <v>441</v>
      </c>
      <c r="G588">
        <v>0</v>
      </c>
      <c r="I588" s="5">
        <v>44044</v>
      </c>
      <c r="J588" s="5">
        <v>43986.333333333336</v>
      </c>
    </row>
    <row r="589" spans="1:10" x14ac:dyDescent="0.2">
      <c r="A589">
        <v>7117827</v>
      </c>
      <c r="B589">
        <v>3692710</v>
      </c>
      <c r="C589">
        <v>3692708</v>
      </c>
      <c r="D589">
        <v>21883</v>
      </c>
      <c r="E589">
        <v>21883</v>
      </c>
      <c r="F589" t="s">
        <v>441</v>
      </c>
      <c r="G589">
        <v>0</v>
      </c>
      <c r="I589" s="5">
        <v>44044</v>
      </c>
      <c r="J589" s="5">
        <v>43986.333333333336</v>
      </c>
    </row>
    <row r="590" spans="1:10" x14ac:dyDescent="0.2">
      <c r="A590">
        <v>7117828</v>
      </c>
      <c r="B590">
        <v>3692706</v>
      </c>
      <c r="C590">
        <v>3692710</v>
      </c>
      <c r="D590">
        <v>21883</v>
      </c>
      <c r="E590">
        <v>21883</v>
      </c>
      <c r="F590" t="s">
        <v>441</v>
      </c>
      <c r="G590">
        <v>0</v>
      </c>
      <c r="I590" s="5">
        <v>44044</v>
      </c>
      <c r="J590" s="5">
        <v>43986.333333333336</v>
      </c>
    </row>
    <row r="591" spans="1:10" x14ac:dyDescent="0.2">
      <c r="A591">
        <v>7117829</v>
      </c>
      <c r="B591">
        <v>3692711</v>
      </c>
      <c r="C591">
        <v>3693207</v>
      </c>
      <c r="D591">
        <v>21883</v>
      </c>
      <c r="E591">
        <v>21883</v>
      </c>
      <c r="F591" t="s">
        <v>441</v>
      </c>
      <c r="G591">
        <v>0</v>
      </c>
      <c r="I591" s="5">
        <v>44044</v>
      </c>
      <c r="J591" s="5">
        <v>44008.666666666664</v>
      </c>
    </row>
    <row r="592" spans="1:10" x14ac:dyDescent="0.2">
      <c r="A592">
        <v>7117830</v>
      </c>
      <c r="B592">
        <v>3692753</v>
      </c>
      <c r="C592">
        <v>3692715</v>
      </c>
      <c r="D592">
        <v>21883</v>
      </c>
      <c r="E592">
        <v>21883</v>
      </c>
      <c r="F592" t="s">
        <v>441</v>
      </c>
      <c r="G592">
        <v>0</v>
      </c>
      <c r="I592" s="5">
        <v>44044</v>
      </c>
      <c r="J592" s="5">
        <v>43990.333333333336</v>
      </c>
    </row>
    <row r="593" spans="1:10" x14ac:dyDescent="0.2">
      <c r="A593">
        <v>7117831</v>
      </c>
      <c r="B593">
        <v>3692716</v>
      </c>
      <c r="C593">
        <v>3693203</v>
      </c>
      <c r="D593">
        <v>21883</v>
      </c>
      <c r="E593">
        <v>21883</v>
      </c>
      <c r="F593" t="s">
        <v>442</v>
      </c>
      <c r="G593">
        <v>160</v>
      </c>
      <c r="I593" s="5">
        <v>44044</v>
      </c>
      <c r="J593" s="5">
        <v>43990.333333333336</v>
      </c>
    </row>
    <row r="594" spans="1:10" x14ac:dyDescent="0.2">
      <c r="A594">
        <v>7117832</v>
      </c>
      <c r="B594">
        <v>3692713</v>
      </c>
      <c r="C594">
        <v>3692811</v>
      </c>
      <c r="D594">
        <v>21883</v>
      </c>
      <c r="E594">
        <v>21883</v>
      </c>
      <c r="F594" t="s">
        <v>442</v>
      </c>
      <c r="G594">
        <v>16</v>
      </c>
      <c r="I594" s="5">
        <v>44044</v>
      </c>
      <c r="J594" s="5">
        <v>44008.666666666664</v>
      </c>
    </row>
    <row r="595" spans="1:10" x14ac:dyDescent="0.2">
      <c r="A595">
        <v>7117833</v>
      </c>
      <c r="B595">
        <v>3693207</v>
      </c>
      <c r="C595">
        <v>3692713</v>
      </c>
      <c r="D595">
        <v>21883</v>
      </c>
      <c r="E595">
        <v>21883</v>
      </c>
      <c r="F595" t="s">
        <v>441</v>
      </c>
      <c r="G595">
        <v>0</v>
      </c>
      <c r="I595" s="5">
        <v>44044</v>
      </c>
      <c r="J595" s="5">
        <v>44008.666666666664</v>
      </c>
    </row>
    <row r="596" spans="1:10" x14ac:dyDescent="0.2">
      <c r="A596">
        <v>7117834</v>
      </c>
      <c r="B596">
        <v>3692826</v>
      </c>
      <c r="C596">
        <v>3692998</v>
      </c>
      <c r="D596">
        <v>21883</v>
      </c>
      <c r="E596">
        <v>21883</v>
      </c>
      <c r="F596" t="s">
        <v>441</v>
      </c>
      <c r="G596">
        <v>0</v>
      </c>
      <c r="I596" s="5">
        <v>44044</v>
      </c>
      <c r="J596" s="5">
        <v>44306.666666666664</v>
      </c>
    </row>
    <row r="597" spans="1:10" x14ac:dyDescent="0.2">
      <c r="A597">
        <v>7117835</v>
      </c>
      <c r="B597">
        <v>3692998</v>
      </c>
      <c r="C597">
        <v>3692892</v>
      </c>
      <c r="D597">
        <v>21883</v>
      </c>
      <c r="E597">
        <v>21883</v>
      </c>
      <c r="F597" t="s">
        <v>441</v>
      </c>
      <c r="G597">
        <v>0</v>
      </c>
      <c r="I597" s="5">
        <v>44044</v>
      </c>
      <c r="J597" s="5">
        <v>44306.666666666664</v>
      </c>
    </row>
    <row r="598" spans="1:10" x14ac:dyDescent="0.2">
      <c r="A598">
        <v>7117836</v>
      </c>
      <c r="B598">
        <v>3692714</v>
      </c>
      <c r="C598">
        <v>3692715</v>
      </c>
      <c r="D598">
        <v>21883</v>
      </c>
      <c r="E598">
        <v>21883</v>
      </c>
      <c r="F598" t="s">
        <v>440</v>
      </c>
      <c r="G598">
        <v>0</v>
      </c>
      <c r="I598" s="5">
        <v>44044</v>
      </c>
      <c r="J598" s="5">
        <v>44117.333333333336</v>
      </c>
    </row>
    <row r="599" spans="1:10" x14ac:dyDescent="0.2">
      <c r="A599">
        <v>7117837</v>
      </c>
      <c r="B599">
        <v>3692715</v>
      </c>
      <c r="C599">
        <v>3692716</v>
      </c>
      <c r="D599">
        <v>21883</v>
      </c>
      <c r="E599">
        <v>21883</v>
      </c>
      <c r="F599" t="s">
        <v>441</v>
      </c>
      <c r="G599">
        <v>0</v>
      </c>
      <c r="I599" s="5">
        <v>44044</v>
      </c>
      <c r="J599" s="5">
        <v>43990.333333333336</v>
      </c>
    </row>
    <row r="600" spans="1:10" x14ac:dyDescent="0.2">
      <c r="A600">
        <v>7117838</v>
      </c>
      <c r="B600">
        <v>3692720</v>
      </c>
      <c r="C600">
        <v>3692724</v>
      </c>
      <c r="D600">
        <v>21883</v>
      </c>
      <c r="E600">
        <v>21883</v>
      </c>
      <c r="F600" t="s">
        <v>441</v>
      </c>
      <c r="G600">
        <v>0</v>
      </c>
      <c r="I600" s="5">
        <v>44044</v>
      </c>
      <c r="J600" s="5">
        <v>43983.333333333336</v>
      </c>
    </row>
    <row r="601" spans="1:10" x14ac:dyDescent="0.2">
      <c r="A601">
        <v>7117839</v>
      </c>
      <c r="B601">
        <v>3692724</v>
      </c>
      <c r="C601">
        <v>3692725</v>
      </c>
      <c r="D601">
        <v>21883</v>
      </c>
      <c r="E601">
        <v>21883</v>
      </c>
      <c r="F601" t="s">
        <v>441</v>
      </c>
      <c r="G601">
        <v>0</v>
      </c>
      <c r="I601" s="5">
        <v>44044</v>
      </c>
      <c r="J601" s="5">
        <v>43983.333333333336</v>
      </c>
    </row>
    <row r="602" spans="1:10" x14ac:dyDescent="0.2">
      <c r="A602">
        <v>7117840</v>
      </c>
      <c r="B602">
        <v>3692719</v>
      </c>
      <c r="C602">
        <v>3692724</v>
      </c>
      <c r="D602">
        <v>21883</v>
      </c>
      <c r="E602">
        <v>21883</v>
      </c>
      <c r="F602" t="s">
        <v>441</v>
      </c>
      <c r="G602">
        <v>0</v>
      </c>
      <c r="I602" s="5">
        <v>44044</v>
      </c>
      <c r="J602" s="5">
        <v>43983.333333333336</v>
      </c>
    </row>
    <row r="603" spans="1:10" x14ac:dyDescent="0.2">
      <c r="A603">
        <v>7117841</v>
      </c>
      <c r="B603">
        <v>3692723</v>
      </c>
      <c r="C603">
        <v>3692717</v>
      </c>
      <c r="D603">
        <v>21883</v>
      </c>
      <c r="E603">
        <v>21883</v>
      </c>
      <c r="F603" t="s">
        <v>441</v>
      </c>
      <c r="G603">
        <v>0</v>
      </c>
      <c r="I603" s="5">
        <v>44044</v>
      </c>
      <c r="J603" s="5">
        <v>43986.333333333336</v>
      </c>
    </row>
    <row r="604" spans="1:10" x14ac:dyDescent="0.2">
      <c r="A604">
        <v>7117842</v>
      </c>
      <c r="B604">
        <v>3692717</v>
      </c>
      <c r="C604">
        <v>3692722</v>
      </c>
      <c r="D604">
        <v>21883</v>
      </c>
      <c r="E604">
        <v>21883</v>
      </c>
      <c r="F604" t="s">
        <v>441</v>
      </c>
      <c r="G604">
        <v>0</v>
      </c>
      <c r="I604" s="5">
        <v>44044</v>
      </c>
      <c r="J604" s="5">
        <v>43986.333333333336</v>
      </c>
    </row>
    <row r="605" spans="1:10" x14ac:dyDescent="0.2">
      <c r="A605">
        <v>7117843</v>
      </c>
      <c r="B605">
        <v>3692722</v>
      </c>
      <c r="C605">
        <v>3692718</v>
      </c>
      <c r="D605">
        <v>21883</v>
      </c>
      <c r="E605">
        <v>21883</v>
      </c>
      <c r="F605" t="s">
        <v>441</v>
      </c>
      <c r="G605">
        <v>0</v>
      </c>
      <c r="I605" s="5">
        <v>44044</v>
      </c>
      <c r="J605" s="5">
        <v>43986.333333333336</v>
      </c>
    </row>
    <row r="606" spans="1:10" x14ac:dyDescent="0.2">
      <c r="A606">
        <v>7117844</v>
      </c>
      <c r="B606">
        <v>3692718</v>
      </c>
      <c r="C606">
        <v>3692721</v>
      </c>
      <c r="D606">
        <v>21883</v>
      </c>
      <c r="E606">
        <v>21883</v>
      </c>
      <c r="F606" t="s">
        <v>441</v>
      </c>
      <c r="G606">
        <v>0</v>
      </c>
      <c r="I606" s="5">
        <v>44044</v>
      </c>
      <c r="J606" s="5">
        <v>43986.333333333336</v>
      </c>
    </row>
    <row r="607" spans="1:10" x14ac:dyDescent="0.2">
      <c r="A607">
        <v>7117845</v>
      </c>
      <c r="B607">
        <v>3692721</v>
      </c>
      <c r="C607">
        <v>3692719</v>
      </c>
      <c r="D607">
        <v>21883</v>
      </c>
      <c r="E607">
        <v>21883</v>
      </c>
      <c r="F607" t="s">
        <v>441</v>
      </c>
      <c r="G607">
        <v>0</v>
      </c>
      <c r="I607" s="5">
        <v>44044</v>
      </c>
      <c r="J607" s="5">
        <v>43983.333333333336</v>
      </c>
    </row>
    <row r="608" spans="1:10" x14ac:dyDescent="0.2">
      <c r="A608">
        <v>7117846</v>
      </c>
      <c r="B608">
        <v>3692721</v>
      </c>
      <c r="C608">
        <v>3692720</v>
      </c>
      <c r="D608">
        <v>21883</v>
      </c>
      <c r="E608">
        <v>21883</v>
      </c>
      <c r="F608" t="s">
        <v>441</v>
      </c>
      <c r="G608">
        <v>0</v>
      </c>
      <c r="I608" s="5">
        <v>44044</v>
      </c>
      <c r="J608" s="5">
        <v>43983.333333333336</v>
      </c>
    </row>
    <row r="609" spans="1:10" x14ac:dyDescent="0.2">
      <c r="A609">
        <v>7117847</v>
      </c>
      <c r="B609">
        <v>3692729</v>
      </c>
      <c r="C609">
        <v>3692733</v>
      </c>
      <c r="D609">
        <v>21883</v>
      </c>
      <c r="E609">
        <v>21883</v>
      </c>
      <c r="F609" t="s">
        <v>441</v>
      </c>
      <c r="G609">
        <v>0</v>
      </c>
      <c r="I609" s="5">
        <v>44044</v>
      </c>
      <c r="J609" s="5">
        <v>43986.333333333336</v>
      </c>
    </row>
    <row r="610" spans="1:10" x14ac:dyDescent="0.2">
      <c r="A610">
        <v>7117848</v>
      </c>
      <c r="B610">
        <v>3692733</v>
      </c>
      <c r="C610">
        <v>3692734</v>
      </c>
      <c r="D610">
        <v>21883</v>
      </c>
      <c r="E610">
        <v>21883</v>
      </c>
      <c r="F610" t="s">
        <v>441</v>
      </c>
      <c r="G610">
        <v>0</v>
      </c>
      <c r="I610" s="5">
        <v>44044</v>
      </c>
      <c r="J610" s="5">
        <v>43986.333333333336</v>
      </c>
    </row>
    <row r="611" spans="1:10" x14ac:dyDescent="0.2">
      <c r="A611">
        <v>7117849</v>
      </c>
      <c r="B611">
        <v>3692728</v>
      </c>
      <c r="C611">
        <v>3692733</v>
      </c>
      <c r="D611">
        <v>21883</v>
      </c>
      <c r="E611">
        <v>21883</v>
      </c>
      <c r="F611" t="s">
        <v>441</v>
      </c>
      <c r="G611">
        <v>0</v>
      </c>
      <c r="I611" s="5">
        <v>44044</v>
      </c>
      <c r="J611" s="5">
        <v>43986.333333333336</v>
      </c>
    </row>
    <row r="612" spans="1:10" x14ac:dyDescent="0.2">
      <c r="A612">
        <v>7117850</v>
      </c>
      <c r="B612">
        <v>3692732</v>
      </c>
      <c r="C612">
        <v>3692726</v>
      </c>
      <c r="D612">
        <v>21883</v>
      </c>
      <c r="E612">
        <v>21883</v>
      </c>
      <c r="F612" t="s">
        <v>441</v>
      </c>
      <c r="G612">
        <v>0</v>
      </c>
      <c r="I612" s="5">
        <v>44044</v>
      </c>
      <c r="J612" s="5">
        <v>43986.333333333336</v>
      </c>
    </row>
    <row r="613" spans="1:10" x14ac:dyDescent="0.2">
      <c r="A613">
        <v>7117851</v>
      </c>
      <c r="B613">
        <v>3692726</v>
      </c>
      <c r="C613">
        <v>3692731</v>
      </c>
      <c r="D613">
        <v>21883</v>
      </c>
      <c r="E613">
        <v>21883</v>
      </c>
      <c r="F613" t="s">
        <v>441</v>
      </c>
      <c r="G613">
        <v>0</v>
      </c>
      <c r="I613" s="5">
        <v>44044</v>
      </c>
      <c r="J613" s="5">
        <v>43986.333333333336</v>
      </c>
    </row>
    <row r="614" spans="1:10" x14ac:dyDescent="0.2">
      <c r="A614">
        <v>7117852</v>
      </c>
      <c r="B614">
        <v>3692731</v>
      </c>
      <c r="C614">
        <v>3692727</v>
      </c>
      <c r="D614">
        <v>21883</v>
      </c>
      <c r="E614">
        <v>21883</v>
      </c>
      <c r="F614" t="s">
        <v>441</v>
      </c>
      <c r="G614">
        <v>0</v>
      </c>
      <c r="I614" s="5">
        <v>44044</v>
      </c>
      <c r="J614" s="5">
        <v>43986.333333333336</v>
      </c>
    </row>
    <row r="615" spans="1:10" x14ac:dyDescent="0.2">
      <c r="A615">
        <v>7117853</v>
      </c>
      <c r="B615">
        <v>3692727</v>
      </c>
      <c r="C615">
        <v>3692730</v>
      </c>
      <c r="D615">
        <v>21883</v>
      </c>
      <c r="E615">
        <v>21883</v>
      </c>
      <c r="F615" t="s">
        <v>441</v>
      </c>
      <c r="G615">
        <v>0</v>
      </c>
      <c r="I615" s="5">
        <v>44044</v>
      </c>
      <c r="J615" s="5">
        <v>43986.333333333336</v>
      </c>
    </row>
    <row r="616" spans="1:10" x14ac:dyDescent="0.2">
      <c r="A616">
        <v>7117854</v>
      </c>
      <c r="B616">
        <v>3692730</v>
      </c>
      <c r="C616">
        <v>3692728</v>
      </c>
      <c r="D616">
        <v>21883</v>
      </c>
      <c r="E616">
        <v>21883</v>
      </c>
      <c r="F616" t="s">
        <v>441</v>
      </c>
      <c r="G616">
        <v>0</v>
      </c>
      <c r="I616" s="5">
        <v>44044</v>
      </c>
      <c r="J616" s="5">
        <v>43986.333333333336</v>
      </c>
    </row>
    <row r="617" spans="1:10" x14ac:dyDescent="0.2">
      <c r="A617">
        <v>7117855</v>
      </c>
      <c r="B617">
        <v>3692730</v>
      </c>
      <c r="C617">
        <v>3692729</v>
      </c>
      <c r="D617">
        <v>21883</v>
      </c>
      <c r="E617">
        <v>21883</v>
      </c>
      <c r="F617" t="s">
        <v>441</v>
      </c>
      <c r="G617">
        <v>0</v>
      </c>
      <c r="I617" s="5">
        <v>44044</v>
      </c>
      <c r="J617" s="5">
        <v>43986.333333333336</v>
      </c>
    </row>
    <row r="618" spans="1:10" x14ac:dyDescent="0.2">
      <c r="A618">
        <v>7117856</v>
      </c>
      <c r="B618">
        <v>3692852</v>
      </c>
      <c r="C618">
        <v>3692858</v>
      </c>
      <c r="D618">
        <v>21883</v>
      </c>
      <c r="E618">
        <v>21883</v>
      </c>
      <c r="F618" t="s">
        <v>441</v>
      </c>
      <c r="G618">
        <v>0</v>
      </c>
      <c r="I618" s="5">
        <v>44044</v>
      </c>
      <c r="J618" s="5">
        <v>43970.333333333336</v>
      </c>
    </row>
    <row r="619" spans="1:10" x14ac:dyDescent="0.2">
      <c r="A619">
        <v>7117857</v>
      </c>
      <c r="B619">
        <v>3692852</v>
      </c>
      <c r="C619">
        <v>3692848</v>
      </c>
      <c r="D619">
        <v>21883</v>
      </c>
      <c r="E619">
        <v>21883</v>
      </c>
      <c r="F619" t="s">
        <v>441</v>
      </c>
      <c r="G619">
        <v>0</v>
      </c>
      <c r="I619" s="5">
        <v>44044</v>
      </c>
      <c r="J619" s="5">
        <v>43970.333333333336</v>
      </c>
    </row>
    <row r="620" spans="1:10" x14ac:dyDescent="0.2">
      <c r="A620">
        <v>7117858</v>
      </c>
      <c r="B620">
        <v>3692857</v>
      </c>
      <c r="C620">
        <v>3692854</v>
      </c>
      <c r="D620">
        <v>21883</v>
      </c>
      <c r="E620">
        <v>21883</v>
      </c>
      <c r="F620" t="s">
        <v>441</v>
      </c>
      <c r="G620">
        <v>0</v>
      </c>
      <c r="I620" s="5">
        <v>44044</v>
      </c>
      <c r="J620" s="5">
        <v>43970.333333333336</v>
      </c>
    </row>
    <row r="621" spans="1:10" x14ac:dyDescent="0.2">
      <c r="A621">
        <v>7117859</v>
      </c>
      <c r="B621">
        <v>3692858</v>
      </c>
      <c r="C621">
        <v>3692855</v>
      </c>
      <c r="D621">
        <v>21883</v>
      </c>
      <c r="E621">
        <v>21883</v>
      </c>
      <c r="F621" t="s">
        <v>441</v>
      </c>
      <c r="G621">
        <v>0</v>
      </c>
      <c r="I621" s="5">
        <v>44044</v>
      </c>
      <c r="J621" s="5">
        <v>43970.333333333336</v>
      </c>
    </row>
    <row r="622" spans="1:10" x14ac:dyDescent="0.2">
      <c r="A622">
        <v>7117860</v>
      </c>
      <c r="B622">
        <v>3692840</v>
      </c>
      <c r="C622">
        <v>3692837</v>
      </c>
      <c r="D622">
        <v>21883</v>
      </c>
      <c r="E622">
        <v>21883</v>
      </c>
      <c r="F622" t="s">
        <v>441</v>
      </c>
      <c r="G622">
        <v>0</v>
      </c>
      <c r="I622" s="5">
        <v>44044</v>
      </c>
      <c r="J622" s="5">
        <v>43970.333333333336</v>
      </c>
    </row>
    <row r="623" spans="1:10" x14ac:dyDescent="0.2">
      <c r="A623">
        <v>7117861</v>
      </c>
      <c r="B623">
        <v>3692837</v>
      </c>
      <c r="C623">
        <v>3692841</v>
      </c>
      <c r="D623">
        <v>21883</v>
      </c>
      <c r="E623">
        <v>21883</v>
      </c>
      <c r="F623" t="s">
        <v>441</v>
      </c>
      <c r="G623">
        <v>0</v>
      </c>
      <c r="I623" s="5">
        <v>44044</v>
      </c>
      <c r="J623" s="5">
        <v>43970.333333333336</v>
      </c>
    </row>
    <row r="624" spans="1:10" x14ac:dyDescent="0.2">
      <c r="A624">
        <v>7117862</v>
      </c>
      <c r="B624">
        <v>3692835</v>
      </c>
      <c r="C624">
        <v>3692841</v>
      </c>
      <c r="D624">
        <v>21883</v>
      </c>
      <c r="E624">
        <v>21883</v>
      </c>
      <c r="F624" t="s">
        <v>441</v>
      </c>
      <c r="G624">
        <v>0</v>
      </c>
      <c r="I624" s="5">
        <v>44044</v>
      </c>
      <c r="J624" s="5">
        <v>43970.333333333336</v>
      </c>
    </row>
    <row r="625" spans="1:10" x14ac:dyDescent="0.2">
      <c r="A625">
        <v>7117863</v>
      </c>
      <c r="B625">
        <v>3692835</v>
      </c>
      <c r="C625">
        <v>3692735</v>
      </c>
      <c r="D625">
        <v>21883</v>
      </c>
      <c r="E625">
        <v>21883</v>
      </c>
      <c r="F625" t="s">
        <v>441</v>
      </c>
      <c r="G625">
        <v>0</v>
      </c>
      <c r="I625" s="5">
        <v>44044</v>
      </c>
      <c r="J625" s="5">
        <v>43970.333333333336</v>
      </c>
    </row>
    <row r="626" spans="1:10" x14ac:dyDescent="0.2">
      <c r="A626">
        <v>7117864</v>
      </c>
      <c r="B626">
        <v>3692735</v>
      </c>
      <c r="C626">
        <v>3692841</v>
      </c>
      <c r="D626">
        <v>21883</v>
      </c>
      <c r="E626">
        <v>21883</v>
      </c>
      <c r="F626" t="s">
        <v>441</v>
      </c>
      <c r="G626">
        <v>0</v>
      </c>
      <c r="I626" s="5">
        <v>44044</v>
      </c>
      <c r="J626" s="5">
        <v>43970.333333333336</v>
      </c>
    </row>
    <row r="627" spans="1:10" x14ac:dyDescent="0.2">
      <c r="A627">
        <v>7117865</v>
      </c>
      <c r="B627">
        <v>3692735</v>
      </c>
      <c r="C627">
        <v>3692736</v>
      </c>
      <c r="D627">
        <v>21883</v>
      </c>
      <c r="E627">
        <v>21883</v>
      </c>
      <c r="F627" t="s">
        <v>441</v>
      </c>
      <c r="G627">
        <v>0</v>
      </c>
      <c r="I627" s="5">
        <v>44044</v>
      </c>
      <c r="J627" s="5">
        <v>43970.333333333336</v>
      </c>
    </row>
    <row r="628" spans="1:10" x14ac:dyDescent="0.2">
      <c r="A628">
        <v>7117866</v>
      </c>
      <c r="B628">
        <v>3692736</v>
      </c>
      <c r="C628">
        <v>3692743</v>
      </c>
      <c r="D628">
        <v>21883</v>
      </c>
      <c r="E628">
        <v>21883</v>
      </c>
      <c r="F628" t="s">
        <v>442</v>
      </c>
      <c r="G628">
        <v>8</v>
      </c>
      <c r="I628" s="5">
        <v>44044</v>
      </c>
      <c r="J628" s="5">
        <v>43970.333333333336</v>
      </c>
    </row>
    <row r="629" spans="1:10" x14ac:dyDescent="0.2">
      <c r="A629">
        <v>7117867</v>
      </c>
      <c r="B629">
        <v>3692841</v>
      </c>
      <c r="C629">
        <v>3692838</v>
      </c>
      <c r="D629">
        <v>21883</v>
      </c>
      <c r="E629">
        <v>21883</v>
      </c>
      <c r="F629" t="s">
        <v>441</v>
      </c>
      <c r="G629">
        <v>0</v>
      </c>
      <c r="I629" s="5">
        <v>44044</v>
      </c>
      <c r="J629" s="5">
        <v>43970.333333333336</v>
      </c>
    </row>
    <row r="630" spans="1:10" x14ac:dyDescent="0.2">
      <c r="A630">
        <v>7117868</v>
      </c>
      <c r="B630">
        <v>3692835</v>
      </c>
      <c r="C630">
        <v>3692737</v>
      </c>
      <c r="D630">
        <v>21883</v>
      </c>
      <c r="E630">
        <v>21883</v>
      </c>
      <c r="F630" t="s">
        <v>441</v>
      </c>
      <c r="G630">
        <v>0</v>
      </c>
      <c r="I630" s="5">
        <v>44044</v>
      </c>
      <c r="J630" s="5">
        <v>43970.333333333336</v>
      </c>
    </row>
    <row r="631" spans="1:10" x14ac:dyDescent="0.2">
      <c r="A631">
        <v>7117869</v>
      </c>
      <c r="B631">
        <v>3692826</v>
      </c>
      <c r="C631">
        <v>3692831</v>
      </c>
      <c r="D631">
        <v>21883</v>
      </c>
      <c r="E631">
        <v>21883</v>
      </c>
      <c r="F631" t="s">
        <v>441</v>
      </c>
      <c r="G631">
        <v>0</v>
      </c>
      <c r="I631" s="5">
        <v>44044</v>
      </c>
      <c r="J631" s="5">
        <v>44306.666666666664</v>
      </c>
    </row>
    <row r="632" spans="1:10" x14ac:dyDescent="0.2">
      <c r="A632">
        <v>7117870</v>
      </c>
      <c r="B632">
        <v>3692831</v>
      </c>
      <c r="C632">
        <v>3692892</v>
      </c>
      <c r="D632">
        <v>21883</v>
      </c>
      <c r="E632">
        <v>21883</v>
      </c>
      <c r="F632" t="s">
        <v>441</v>
      </c>
      <c r="G632">
        <v>0</v>
      </c>
      <c r="I632" s="5">
        <v>44044</v>
      </c>
      <c r="J632" s="5">
        <v>44306.666666666664</v>
      </c>
    </row>
    <row r="633" spans="1:10" x14ac:dyDescent="0.2">
      <c r="A633">
        <v>7117871</v>
      </c>
      <c r="B633">
        <v>3693343</v>
      </c>
      <c r="C633">
        <v>3692738</v>
      </c>
      <c r="D633">
        <v>21883</v>
      </c>
      <c r="E633">
        <v>21883</v>
      </c>
      <c r="F633" t="s">
        <v>441</v>
      </c>
      <c r="G633">
        <v>0</v>
      </c>
      <c r="I633" s="5">
        <v>44044</v>
      </c>
      <c r="J633" s="5">
        <v>43970.333333333336</v>
      </c>
    </row>
    <row r="634" spans="1:10" x14ac:dyDescent="0.2">
      <c r="A634">
        <v>7117872</v>
      </c>
      <c r="B634">
        <v>3692738</v>
      </c>
      <c r="C634">
        <v>3692739</v>
      </c>
      <c r="D634">
        <v>21883</v>
      </c>
      <c r="E634">
        <v>21883</v>
      </c>
      <c r="F634" t="s">
        <v>441</v>
      </c>
      <c r="G634">
        <v>0</v>
      </c>
      <c r="I634" s="5">
        <v>44044</v>
      </c>
      <c r="J634" s="5">
        <v>43970.333333333336</v>
      </c>
    </row>
    <row r="635" spans="1:10" x14ac:dyDescent="0.2">
      <c r="A635">
        <v>7117873</v>
      </c>
      <c r="B635">
        <v>3692739</v>
      </c>
      <c r="C635">
        <v>3692740</v>
      </c>
      <c r="D635">
        <v>21883</v>
      </c>
      <c r="E635">
        <v>21883</v>
      </c>
      <c r="F635" t="s">
        <v>441</v>
      </c>
      <c r="G635">
        <v>0</v>
      </c>
      <c r="I635" s="5">
        <v>44044</v>
      </c>
      <c r="J635" s="5">
        <v>43970.333333333336</v>
      </c>
    </row>
    <row r="636" spans="1:10" x14ac:dyDescent="0.2">
      <c r="A636">
        <v>7117874</v>
      </c>
      <c r="B636">
        <v>3692740</v>
      </c>
      <c r="C636">
        <v>3692741</v>
      </c>
      <c r="D636">
        <v>21883</v>
      </c>
      <c r="E636">
        <v>21883</v>
      </c>
      <c r="F636" t="s">
        <v>441</v>
      </c>
      <c r="G636">
        <v>0</v>
      </c>
      <c r="I636" s="5">
        <v>44044</v>
      </c>
      <c r="J636" s="5">
        <v>43970.333333333336</v>
      </c>
    </row>
    <row r="637" spans="1:10" x14ac:dyDescent="0.2">
      <c r="A637">
        <v>7117875</v>
      </c>
      <c r="B637">
        <v>3692741</v>
      </c>
      <c r="C637">
        <v>3692742</v>
      </c>
      <c r="D637">
        <v>21883</v>
      </c>
      <c r="E637">
        <v>21883</v>
      </c>
      <c r="F637" t="s">
        <v>441</v>
      </c>
      <c r="G637">
        <v>0</v>
      </c>
      <c r="I637" s="5">
        <v>44044</v>
      </c>
      <c r="J637" s="5">
        <v>43970.333333333336</v>
      </c>
    </row>
    <row r="638" spans="1:10" x14ac:dyDescent="0.2">
      <c r="A638">
        <v>7117876</v>
      </c>
      <c r="B638">
        <v>3692744</v>
      </c>
      <c r="C638">
        <v>3692745</v>
      </c>
      <c r="D638">
        <v>21883</v>
      </c>
      <c r="E638">
        <v>21883</v>
      </c>
      <c r="F638" t="s">
        <v>441</v>
      </c>
      <c r="G638">
        <v>0</v>
      </c>
      <c r="I638" s="5">
        <v>44044</v>
      </c>
      <c r="J638" s="5">
        <v>43970.333333333336</v>
      </c>
    </row>
    <row r="639" spans="1:10" x14ac:dyDescent="0.2">
      <c r="A639">
        <v>7117877</v>
      </c>
      <c r="B639">
        <v>3692744</v>
      </c>
      <c r="C639">
        <v>3692750</v>
      </c>
      <c r="D639">
        <v>21883</v>
      </c>
      <c r="E639">
        <v>21883</v>
      </c>
      <c r="F639" t="s">
        <v>441</v>
      </c>
      <c r="G639">
        <v>0</v>
      </c>
      <c r="I639" s="5">
        <v>44044</v>
      </c>
      <c r="J639" s="5">
        <v>43970.333333333336</v>
      </c>
    </row>
    <row r="640" spans="1:10" x14ac:dyDescent="0.2">
      <c r="A640">
        <v>7117878</v>
      </c>
      <c r="B640">
        <v>3692743</v>
      </c>
      <c r="C640">
        <v>3692749</v>
      </c>
      <c r="D640">
        <v>21883</v>
      </c>
      <c r="E640">
        <v>21883</v>
      </c>
      <c r="F640" t="s">
        <v>441</v>
      </c>
      <c r="G640">
        <v>0</v>
      </c>
      <c r="I640" s="5">
        <v>44044</v>
      </c>
      <c r="J640" s="5">
        <v>43970.333333333336</v>
      </c>
    </row>
    <row r="641" spans="1:10" x14ac:dyDescent="0.2">
      <c r="A641">
        <v>7117879</v>
      </c>
      <c r="B641">
        <v>3692749</v>
      </c>
      <c r="C641">
        <v>3692744</v>
      </c>
      <c r="D641">
        <v>21883</v>
      </c>
      <c r="E641">
        <v>21883</v>
      </c>
      <c r="F641" t="s">
        <v>441</v>
      </c>
      <c r="G641">
        <v>0</v>
      </c>
      <c r="I641" s="5">
        <v>44044</v>
      </c>
      <c r="J641" s="5">
        <v>43970.333333333336</v>
      </c>
    </row>
    <row r="642" spans="1:10" x14ac:dyDescent="0.2">
      <c r="A642">
        <v>7117880</v>
      </c>
      <c r="B642">
        <v>3692750</v>
      </c>
      <c r="C642">
        <v>3692754</v>
      </c>
      <c r="D642">
        <v>21883</v>
      </c>
      <c r="E642">
        <v>21883</v>
      </c>
      <c r="F642" t="s">
        <v>441</v>
      </c>
      <c r="G642">
        <v>0</v>
      </c>
      <c r="I642" s="5">
        <v>44044</v>
      </c>
      <c r="J642" s="5">
        <v>43970.333333333336</v>
      </c>
    </row>
    <row r="643" spans="1:10" x14ac:dyDescent="0.2">
      <c r="A643">
        <v>7117881</v>
      </c>
      <c r="B643">
        <v>3692751</v>
      </c>
      <c r="C643">
        <v>3692752</v>
      </c>
      <c r="D643">
        <v>21883</v>
      </c>
      <c r="E643">
        <v>21883</v>
      </c>
      <c r="F643" t="s">
        <v>440</v>
      </c>
      <c r="G643">
        <v>0</v>
      </c>
      <c r="I643" s="5">
        <v>44044</v>
      </c>
      <c r="J643" s="5">
        <v>43990.333333333336</v>
      </c>
    </row>
    <row r="644" spans="1:10" x14ac:dyDescent="0.2">
      <c r="A644">
        <v>7117882</v>
      </c>
      <c r="B644">
        <v>3692752</v>
      </c>
      <c r="C644">
        <v>3692753</v>
      </c>
      <c r="D644">
        <v>21883</v>
      </c>
      <c r="E644">
        <v>21883</v>
      </c>
      <c r="F644" t="s">
        <v>441</v>
      </c>
      <c r="G644">
        <v>0</v>
      </c>
      <c r="I644" s="5">
        <v>44044</v>
      </c>
      <c r="J644" s="5">
        <v>43990.333333333336</v>
      </c>
    </row>
    <row r="645" spans="1:10" x14ac:dyDescent="0.2">
      <c r="A645">
        <v>7117883</v>
      </c>
      <c r="B645">
        <v>3692754</v>
      </c>
      <c r="C645">
        <v>3692755</v>
      </c>
      <c r="D645">
        <v>21883</v>
      </c>
      <c r="E645">
        <v>21883</v>
      </c>
      <c r="F645" t="s">
        <v>441</v>
      </c>
      <c r="G645">
        <v>0</v>
      </c>
      <c r="I645" s="5">
        <v>44044</v>
      </c>
      <c r="J645" s="5">
        <v>43970.333333333336</v>
      </c>
    </row>
    <row r="646" spans="1:10" x14ac:dyDescent="0.2">
      <c r="A646">
        <v>7117884</v>
      </c>
      <c r="B646">
        <v>3692755</v>
      </c>
      <c r="C646">
        <v>3692756</v>
      </c>
      <c r="D646">
        <v>21883</v>
      </c>
      <c r="E646">
        <v>21883</v>
      </c>
      <c r="F646" t="s">
        <v>441</v>
      </c>
      <c r="G646">
        <v>0</v>
      </c>
      <c r="I646" s="5">
        <v>44044</v>
      </c>
      <c r="J646" s="5">
        <v>43970.333333333336</v>
      </c>
    </row>
    <row r="647" spans="1:10" x14ac:dyDescent="0.2">
      <c r="A647">
        <v>7117885</v>
      </c>
      <c r="B647">
        <v>3692756</v>
      </c>
      <c r="C647">
        <v>3692759</v>
      </c>
      <c r="D647">
        <v>21883</v>
      </c>
      <c r="E647">
        <v>21883</v>
      </c>
      <c r="F647" t="s">
        <v>441</v>
      </c>
      <c r="G647">
        <v>0</v>
      </c>
      <c r="I647" s="5">
        <v>44044</v>
      </c>
      <c r="J647" s="5">
        <v>43970.333333333336</v>
      </c>
    </row>
    <row r="648" spans="1:10" x14ac:dyDescent="0.2">
      <c r="A648">
        <v>7117886</v>
      </c>
      <c r="B648">
        <v>3692759</v>
      </c>
      <c r="C648">
        <v>3692760</v>
      </c>
      <c r="D648">
        <v>21883</v>
      </c>
      <c r="E648">
        <v>21883</v>
      </c>
      <c r="F648" t="s">
        <v>441</v>
      </c>
      <c r="G648">
        <v>0</v>
      </c>
      <c r="I648" s="5">
        <v>44044</v>
      </c>
      <c r="J648" s="5">
        <v>43970.333333333336</v>
      </c>
    </row>
    <row r="649" spans="1:10" x14ac:dyDescent="0.2">
      <c r="A649">
        <v>7117887</v>
      </c>
      <c r="B649">
        <v>3692760</v>
      </c>
      <c r="C649">
        <v>3692761</v>
      </c>
      <c r="D649">
        <v>21883</v>
      </c>
      <c r="E649">
        <v>21883</v>
      </c>
      <c r="F649" t="s">
        <v>441</v>
      </c>
      <c r="G649">
        <v>0</v>
      </c>
      <c r="I649" s="5">
        <v>44044</v>
      </c>
      <c r="J649" s="5">
        <v>43970.333333333336</v>
      </c>
    </row>
    <row r="650" spans="1:10" x14ac:dyDescent="0.2">
      <c r="A650">
        <v>7117888</v>
      </c>
      <c r="B650">
        <v>3692761</v>
      </c>
      <c r="C650">
        <v>3692762</v>
      </c>
      <c r="D650">
        <v>21883</v>
      </c>
      <c r="E650">
        <v>21883</v>
      </c>
      <c r="F650" t="s">
        <v>441</v>
      </c>
      <c r="G650">
        <v>0</v>
      </c>
      <c r="I650" s="5">
        <v>44044</v>
      </c>
      <c r="J650" s="5">
        <v>43970.333333333336</v>
      </c>
    </row>
    <row r="651" spans="1:10" x14ac:dyDescent="0.2">
      <c r="A651">
        <v>7117889</v>
      </c>
      <c r="B651">
        <v>3692759</v>
      </c>
      <c r="C651">
        <v>3692758</v>
      </c>
      <c r="D651">
        <v>21883</v>
      </c>
      <c r="E651">
        <v>21883</v>
      </c>
      <c r="F651" t="s">
        <v>441</v>
      </c>
      <c r="G651">
        <v>0</v>
      </c>
      <c r="I651" s="5">
        <v>44044</v>
      </c>
      <c r="J651" s="5">
        <v>43970.333333333336</v>
      </c>
    </row>
    <row r="652" spans="1:10" x14ac:dyDescent="0.2">
      <c r="A652">
        <v>7117890</v>
      </c>
      <c r="B652">
        <v>3692757</v>
      </c>
      <c r="C652">
        <v>3692758</v>
      </c>
      <c r="D652">
        <v>21883</v>
      </c>
      <c r="E652">
        <v>21883</v>
      </c>
      <c r="F652" t="s">
        <v>440</v>
      </c>
      <c r="G652">
        <v>0</v>
      </c>
      <c r="I652" s="5">
        <v>44044</v>
      </c>
      <c r="J652" s="5">
        <v>44117.333333333336</v>
      </c>
    </row>
    <row r="653" spans="1:10" x14ac:dyDescent="0.2">
      <c r="A653">
        <v>7117891</v>
      </c>
      <c r="B653">
        <v>3692758</v>
      </c>
      <c r="C653">
        <v>3694056</v>
      </c>
      <c r="D653">
        <v>21883</v>
      </c>
      <c r="E653">
        <v>21883</v>
      </c>
      <c r="F653" t="s">
        <v>441</v>
      </c>
      <c r="G653">
        <v>0</v>
      </c>
      <c r="I653" s="5">
        <v>44044</v>
      </c>
      <c r="J653" s="5">
        <v>43970.333333333336</v>
      </c>
    </row>
    <row r="654" spans="1:10" x14ac:dyDescent="0.2">
      <c r="A654">
        <v>7117892</v>
      </c>
      <c r="B654">
        <v>3693029</v>
      </c>
      <c r="C654">
        <v>3693655</v>
      </c>
      <c r="D654">
        <v>21883</v>
      </c>
      <c r="E654">
        <v>21883</v>
      </c>
      <c r="F654" t="s">
        <v>441</v>
      </c>
      <c r="G654">
        <v>0</v>
      </c>
      <c r="I654" s="5">
        <v>44044</v>
      </c>
      <c r="J654" s="5">
        <v>43970.333333333336</v>
      </c>
    </row>
    <row r="655" spans="1:10" x14ac:dyDescent="0.2">
      <c r="A655">
        <v>7117893</v>
      </c>
      <c r="B655">
        <v>3694121</v>
      </c>
      <c r="C655">
        <v>3692777</v>
      </c>
      <c r="D655">
        <v>21883</v>
      </c>
      <c r="E655">
        <v>21883</v>
      </c>
      <c r="F655" t="s">
        <v>441</v>
      </c>
      <c r="G655">
        <v>0</v>
      </c>
      <c r="I655" s="5">
        <v>44044</v>
      </c>
      <c r="J655" s="5">
        <v>43970.333333333336</v>
      </c>
    </row>
    <row r="656" spans="1:10" x14ac:dyDescent="0.2">
      <c r="A656">
        <v>7117894</v>
      </c>
      <c r="B656">
        <v>3692826</v>
      </c>
      <c r="C656">
        <v>3692782</v>
      </c>
      <c r="D656">
        <v>21883</v>
      </c>
      <c r="E656">
        <v>21883</v>
      </c>
      <c r="F656" t="s">
        <v>441</v>
      </c>
      <c r="G656">
        <v>0</v>
      </c>
      <c r="I656" s="5">
        <v>44044</v>
      </c>
      <c r="J656" s="5">
        <v>44306.666666666664</v>
      </c>
    </row>
    <row r="657" spans="1:10" x14ac:dyDescent="0.2">
      <c r="A657">
        <v>7117895</v>
      </c>
      <c r="B657">
        <v>3692826</v>
      </c>
      <c r="C657">
        <v>3692785</v>
      </c>
      <c r="D657">
        <v>21883</v>
      </c>
      <c r="E657">
        <v>21883</v>
      </c>
      <c r="F657" t="s">
        <v>441</v>
      </c>
      <c r="G657">
        <v>0</v>
      </c>
      <c r="I657" s="5">
        <v>44044</v>
      </c>
      <c r="J657" s="5">
        <v>44306.666666666664</v>
      </c>
    </row>
    <row r="658" spans="1:10" x14ac:dyDescent="0.2">
      <c r="A658">
        <v>7117896</v>
      </c>
      <c r="B658">
        <v>3692785</v>
      </c>
      <c r="C658">
        <v>3692892</v>
      </c>
      <c r="D658">
        <v>21883</v>
      </c>
      <c r="E658">
        <v>21883</v>
      </c>
      <c r="F658" t="s">
        <v>441</v>
      </c>
      <c r="G658">
        <v>0</v>
      </c>
      <c r="I658" s="5">
        <v>44044</v>
      </c>
      <c r="J658" s="5">
        <v>44306.666666666664</v>
      </c>
    </row>
    <row r="659" spans="1:10" x14ac:dyDescent="0.2">
      <c r="A659">
        <v>7117897</v>
      </c>
      <c r="B659">
        <v>3692781</v>
      </c>
      <c r="C659">
        <v>3692784</v>
      </c>
      <c r="D659">
        <v>21883</v>
      </c>
      <c r="E659">
        <v>21883</v>
      </c>
      <c r="F659" t="s">
        <v>441</v>
      </c>
      <c r="G659">
        <v>0</v>
      </c>
      <c r="I659" s="5">
        <v>44044</v>
      </c>
      <c r="J659" s="5">
        <v>43983.333333333336</v>
      </c>
    </row>
    <row r="660" spans="1:10" x14ac:dyDescent="0.2">
      <c r="A660">
        <v>7117898</v>
      </c>
      <c r="B660">
        <v>3692784</v>
      </c>
      <c r="C660">
        <v>3693695</v>
      </c>
      <c r="D660">
        <v>21883</v>
      </c>
      <c r="E660">
        <v>21883</v>
      </c>
      <c r="F660" t="s">
        <v>441</v>
      </c>
      <c r="G660">
        <v>0</v>
      </c>
      <c r="I660" s="5">
        <v>44044</v>
      </c>
      <c r="J660" s="5">
        <v>43983.333333333336</v>
      </c>
    </row>
    <row r="661" spans="1:10" x14ac:dyDescent="0.2">
      <c r="A661">
        <v>7117899</v>
      </c>
      <c r="B661">
        <v>3692784</v>
      </c>
      <c r="C661">
        <v>3692786</v>
      </c>
      <c r="D661">
        <v>21883</v>
      </c>
      <c r="E661">
        <v>21883</v>
      </c>
      <c r="F661" t="s">
        <v>441</v>
      </c>
      <c r="G661">
        <v>0</v>
      </c>
      <c r="I661" s="5">
        <v>44044</v>
      </c>
      <c r="J661" s="5">
        <v>43983.333333333336</v>
      </c>
    </row>
    <row r="662" spans="1:10" x14ac:dyDescent="0.2">
      <c r="A662">
        <v>7117900</v>
      </c>
      <c r="B662">
        <v>3692781</v>
      </c>
      <c r="C662">
        <v>3693695</v>
      </c>
      <c r="D662">
        <v>21883</v>
      </c>
      <c r="E662">
        <v>21883</v>
      </c>
      <c r="F662" t="s">
        <v>441</v>
      </c>
      <c r="G662">
        <v>0</v>
      </c>
      <c r="I662" s="5">
        <v>44044</v>
      </c>
      <c r="J662" s="5">
        <v>43983.333333333336</v>
      </c>
    </row>
    <row r="663" spans="1:10" x14ac:dyDescent="0.2">
      <c r="A663">
        <v>7117901</v>
      </c>
      <c r="B663">
        <v>3692781</v>
      </c>
      <c r="C663">
        <v>3692783</v>
      </c>
      <c r="D663">
        <v>21883</v>
      </c>
      <c r="E663">
        <v>21883</v>
      </c>
      <c r="F663" t="s">
        <v>441</v>
      </c>
      <c r="G663">
        <v>0</v>
      </c>
      <c r="I663" s="5">
        <v>44044</v>
      </c>
      <c r="J663" s="5">
        <v>43983.333333333336</v>
      </c>
    </row>
    <row r="664" spans="1:10" x14ac:dyDescent="0.2">
      <c r="A664">
        <v>7117902</v>
      </c>
      <c r="B664">
        <v>3692782</v>
      </c>
      <c r="C664">
        <v>3692892</v>
      </c>
      <c r="D664">
        <v>21883</v>
      </c>
      <c r="E664">
        <v>21883</v>
      </c>
      <c r="F664" t="s">
        <v>441</v>
      </c>
      <c r="G664">
        <v>0</v>
      </c>
      <c r="I664" s="5">
        <v>44044</v>
      </c>
      <c r="J664" s="5">
        <v>44306.666666666664</v>
      </c>
    </row>
    <row r="665" spans="1:10" x14ac:dyDescent="0.2">
      <c r="A665">
        <v>7117903</v>
      </c>
      <c r="B665">
        <v>3692826</v>
      </c>
      <c r="C665">
        <v>3692778</v>
      </c>
      <c r="D665">
        <v>21883</v>
      </c>
      <c r="E665">
        <v>21883</v>
      </c>
      <c r="F665" t="s">
        <v>441</v>
      </c>
      <c r="G665">
        <v>0</v>
      </c>
      <c r="I665" s="5">
        <v>44044</v>
      </c>
      <c r="J665" s="5">
        <v>44306.666666666664</v>
      </c>
    </row>
    <row r="666" spans="1:10" x14ac:dyDescent="0.2">
      <c r="A666">
        <v>7117904</v>
      </c>
      <c r="B666">
        <v>3692778</v>
      </c>
      <c r="C666">
        <v>3692892</v>
      </c>
      <c r="D666">
        <v>21883</v>
      </c>
      <c r="E666">
        <v>21883</v>
      </c>
      <c r="F666" t="s">
        <v>441</v>
      </c>
      <c r="G666">
        <v>0</v>
      </c>
      <c r="I666" s="5">
        <v>44044</v>
      </c>
      <c r="J666" s="5">
        <v>44306.666666666664</v>
      </c>
    </row>
    <row r="667" spans="1:10" x14ac:dyDescent="0.2">
      <c r="A667">
        <v>7117905</v>
      </c>
      <c r="B667">
        <v>3692826</v>
      </c>
      <c r="C667">
        <v>3692779</v>
      </c>
      <c r="D667">
        <v>21883</v>
      </c>
      <c r="E667">
        <v>21883</v>
      </c>
      <c r="F667" t="s">
        <v>441</v>
      </c>
      <c r="G667">
        <v>0</v>
      </c>
      <c r="I667" s="5">
        <v>44044</v>
      </c>
      <c r="J667" s="5">
        <v>44306.666666666664</v>
      </c>
    </row>
    <row r="668" spans="1:10" x14ac:dyDescent="0.2">
      <c r="A668">
        <v>7117906</v>
      </c>
      <c r="B668">
        <v>3692779</v>
      </c>
      <c r="C668">
        <v>3692892</v>
      </c>
      <c r="D668">
        <v>21883</v>
      </c>
      <c r="E668">
        <v>21883</v>
      </c>
      <c r="F668" t="s">
        <v>441</v>
      </c>
      <c r="G668">
        <v>0</v>
      </c>
      <c r="I668" s="5">
        <v>44044</v>
      </c>
      <c r="J668" s="5">
        <v>44306.666666666664</v>
      </c>
    </row>
    <row r="669" spans="1:10" x14ac:dyDescent="0.2">
      <c r="A669">
        <v>7117907</v>
      </c>
      <c r="B669">
        <v>3692826</v>
      </c>
      <c r="C669">
        <v>3692780</v>
      </c>
      <c r="D669">
        <v>21883</v>
      </c>
      <c r="E669">
        <v>21883</v>
      </c>
      <c r="F669" t="s">
        <v>441</v>
      </c>
      <c r="G669">
        <v>0</v>
      </c>
      <c r="I669" s="5">
        <v>44044</v>
      </c>
      <c r="J669" s="5">
        <v>44306.666666666664</v>
      </c>
    </row>
    <row r="670" spans="1:10" x14ac:dyDescent="0.2">
      <c r="A670">
        <v>7117908</v>
      </c>
      <c r="B670">
        <v>3692780</v>
      </c>
      <c r="C670">
        <v>3692892</v>
      </c>
      <c r="D670">
        <v>21883</v>
      </c>
      <c r="E670">
        <v>21883</v>
      </c>
      <c r="F670" t="s">
        <v>441</v>
      </c>
      <c r="G670">
        <v>0</v>
      </c>
      <c r="I670" s="5">
        <v>44044</v>
      </c>
      <c r="J670" s="5">
        <v>44306.666666666664</v>
      </c>
    </row>
    <row r="671" spans="1:10" x14ac:dyDescent="0.2">
      <c r="A671">
        <v>7117909</v>
      </c>
      <c r="B671">
        <v>3692763</v>
      </c>
      <c r="C671">
        <v>3692766</v>
      </c>
      <c r="D671">
        <v>21883</v>
      </c>
      <c r="E671">
        <v>21883</v>
      </c>
      <c r="F671" t="s">
        <v>441</v>
      </c>
      <c r="G671">
        <v>0</v>
      </c>
      <c r="I671" s="5">
        <v>44044</v>
      </c>
      <c r="J671" s="5">
        <v>43970.333333333336</v>
      </c>
    </row>
    <row r="672" spans="1:10" x14ac:dyDescent="0.2">
      <c r="A672">
        <v>7117910</v>
      </c>
      <c r="B672">
        <v>3692838</v>
      </c>
      <c r="C672">
        <v>3693015</v>
      </c>
      <c r="D672">
        <v>21883</v>
      </c>
      <c r="E672">
        <v>21883</v>
      </c>
      <c r="F672" t="s">
        <v>441</v>
      </c>
      <c r="G672">
        <v>0</v>
      </c>
      <c r="I672" s="5">
        <v>44044</v>
      </c>
      <c r="J672" s="5">
        <v>43970.333333333336</v>
      </c>
    </row>
    <row r="673" spans="1:10" x14ac:dyDescent="0.2">
      <c r="A673">
        <v>7117911</v>
      </c>
      <c r="B673">
        <v>3692854</v>
      </c>
      <c r="C673">
        <v>3693015</v>
      </c>
      <c r="D673">
        <v>21883</v>
      </c>
      <c r="E673">
        <v>21883</v>
      </c>
      <c r="F673" t="s">
        <v>441</v>
      </c>
      <c r="G673">
        <v>0</v>
      </c>
      <c r="I673" s="5">
        <v>44044</v>
      </c>
      <c r="J673" s="5">
        <v>43970.333333333336</v>
      </c>
    </row>
    <row r="674" spans="1:10" x14ac:dyDescent="0.2">
      <c r="A674">
        <v>7117912</v>
      </c>
      <c r="B674">
        <v>3692856</v>
      </c>
      <c r="C674">
        <v>3692855</v>
      </c>
      <c r="D674">
        <v>21883</v>
      </c>
      <c r="E674">
        <v>21883</v>
      </c>
      <c r="F674" t="s">
        <v>441</v>
      </c>
      <c r="G674">
        <v>0</v>
      </c>
      <c r="I674" s="5">
        <v>44044</v>
      </c>
      <c r="J674" s="5">
        <v>43970.333333333336</v>
      </c>
    </row>
    <row r="675" spans="1:10" x14ac:dyDescent="0.2">
      <c r="A675">
        <v>7117913</v>
      </c>
      <c r="B675">
        <v>3692856</v>
      </c>
      <c r="C675">
        <v>3693027</v>
      </c>
      <c r="D675">
        <v>21883</v>
      </c>
      <c r="E675">
        <v>21883</v>
      </c>
      <c r="F675" t="s">
        <v>441</v>
      </c>
      <c r="G675">
        <v>0</v>
      </c>
      <c r="I675" s="5">
        <v>44044</v>
      </c>
      <c r="J675" s="5">
        <v>43970.333333333336</v>
      </c>
    </row>
    <row r="676" spans="1:10" x14ac:dyDescent="0.2">
      <c r="A676">
        <v>7117914</v>
      </c>
      <c r="B676">
        <v>3692855</v>
      </c>
      <c r="C676">
        <v>3693015</v>
      </c>
      <c r="D676">
        <v>21883</v>
      </c>
      <c r="E676">
        <v>21883</v>
      </c>
      <c r="F676" t="s">
        <v>441</v>
      </c>
      <c r="G676">
        <v>0</v>
      </c>
      <c r="I676" s="5">
        <v>44044</v>
      </c>
      <c r="J676" s="5">
        <v>43970.333333333336</v>
      </c>
    </row>
    <row r="677" spans="1:10" x14ac:dyDescent="0.2">
      <c r="A677">
        <v>7117915</v>
      </c>
      <c r="B677">
        <v>3693665</v>
      </c>
      <c r="C677">
        <v>3692764</v>
      </c>
      <c r="D677">
        <v>21883</v>
      </c>
      <c r="E677">
        <v>21883</v>
      </c>
      <c r="F677" t="s">
        <v>441</v>
      </c>
      <c r="G677">
        <v>0</v>
      </c>
      <c r="I677" s="5">
        <v>44044</v>
      </c>
      <c r="J677" s="5">
        <v>43970.333333333336</v>
      </c>
    </row>
    <row r="678" spans="1:10" x14ac:dyDescent="0.2">
      <c r="A678">
        <v>7117916</v>
      </c>
      <c r="B678">
        <v>3692764</v>
      </c>
      <c r="C678">
        <v>3693635</v>
      </c>
      <c r="D678">
        <v>21883</v>
      </c>
      <c r="E678">
        <v>21883</v>
      </c>
      <c r="F678" t="s">
        <v>441</v>
      </c>
      <c r="G678">
        <v>0</v>
      </c>
      <c r="I678" s="5">
        <v>44044</v>
      </c>
      <c r="J678" s="5">
        <v>43970.333333333336</v>
      </c>
    </row>
    <row r="679" spans="1:10" x14ac:dyDescent="0.2">
      <c r="A679">
        <v>7117917</v>
      </c>
      <c r="B679">
        <v>3693485</v>
      </c>
      <c r="C679">
        <v>3693028</v>
      </c>
      <c r="D679">
        <v>21883</v>
      </c>
      <c r="E679">
        <v>21883</v>
      </c>
      <c r="F679" t="s">
        <v>442</v>
      </c>
      <c r="G679">
        <v>0</v>
      </c>
      <c r="I679" s="5">
        <v>44044</v>
      </c>
      <c r="J679" s="5">
        <v>43970.333333333336</v>
      </c>
    </row>
    <row r="680" spans="1:10" x14ac:dyDescent="0.2">
      <c r="A680">
        <v>7117918</v>
      </c>
      <c r="B680">
        <v>3693585</v>
      </c>
      <c r="C680">
        <v>3692767</v>
      </c>
      <c r="D680">
        <v>21883</v>
      </c>
      <c r="E680">
        <v>21883</v>
      </c>
      <c r="F680" t="s">
        <v>441</v>
      </c>
      <c r="G680">
        <v>0</v>
      </c>
      <c r="I680" s="5">
        <v>44044</v>
      </c>
      <c r="J680" s="5">
        <v>43970.333333333336</v>
      </c>
    </row>
    <row r="681" spans="1:10" x14ac:dyDescent="0.2">
      <c r="A681">
        <v>7117919</v>
      </c>
      <c r="B681">
        <v>3693467</v>
      </c>
      <c r="C681">
        <v>3692767</v>
      </c>
      <c r="D681">
        <v>21883</v>
      </c>
      <c r="E681">
        <v>21883</v>
      </c>
      <c r="F681" t="s">
        <v>441</v>
      </c>
      <c r="G681">
        <v>0</v>
      </c>
      <c r="I681" s="5">
        <v>44044</v>
      </c>
      <c r="J681" s="5">
        <v>43970.333333333336</v>
      </c>
    </row>
    <row r="682" spans="1:10" x14ac:dyDescent="0.2">
      <c r="A682">
        <v>7117920</v>
      </c>
      <c r="B682">
        <v>3693027</v>
      </c>
      <c r="C682">
        <v>3692767</v>
      </c>
      <c r="D682">
        <v>21883</v>
      </c>
      <c r="E682">
        <v>21883</v>
      </c>
      <c r="F682" t="s">
        <v>441</v>
      </c>
      <c r="G682">
        <v>0</v>
      </c>
      <c r="I682" s="5">
        <v>44044</v>
      </c>
      <c r="J682" s="5">
        <v>43970.333333333336</v>
      </c>
    </row>
    <row r="683" spans="1:10" x14ac:dyDescent="0.2">
      <c r="A683">
        <v>7117921</v>
      </c>
      <c r="B683">
        <v>3692768</v>
      </c>
      <c r="C683">
        <v>3692766</v>
      </c>
      <c r="D683">
        <v>21883</v>
      </c>
      <c r="E683">
        <v>21883</v>
      </c>
      <c r="F683" t="s">
        <v>441</v>
      </c>
      <c r="G683">
        <v>0</v>
      </c>
      <c r="I683" s="5">
        <v>44044</v>
      </c>
      <c r="J683" s="5">
        <v>43970.333333333336</v>
      </c>
    </row>
    <row r="684" spans="1:10" x14ac:dyDescent="0.2">
      <c r="A684">
        <v>7117922</v>
      </c>
      <c r="B684">
        <v>3692766</v>
      </c>
      <c r="C684">
        <v>3692769</v>
      </c>
      <c r="D684">
        <v>21883</v>
      </c>
      <c r="E684">
        <v>21883</v>
      </c>
      <c r="F684" t="s">
        <v>441</v>
      </c>
      <c r="G684">
        <v>0</v>
      </c>
      <c r="I684" s="5">
        <v>44044</v>
      </c>
      <c r="J684" s="5">
        <v>43970.333333333336</v>
      </c>
    </row>
    <row r="685" spans="1:10" x14ac:dyDescent="0.2">
      <c r="A685">
        <v>7117923</v>
      </c>
      <c r="B685">
        <v>3693669</v>
      </c>
      <c r="C685">
        <v>3693658</v>
      </c>
      <c r="D685">
        <v>21883</v>
      </c>
      <c r="E685">
        <v>21883</v>
      </c>
      <c r="F685" t="s">
        <v>441</v>
      </c>
      <c r="G685">
        <v>0</v>
      </c>
      <c r="I685" s="5">
        <v>44044</v>
      </c>
      <c r="J685" s="5">
        <v>43970.333333333336</v>
      </c>
    </row>
    <row r="686" spans="1:10" x14ac:dyDescent="0.2">
      <c r="A686">
        <v>7117924</v>
      </c>
      <c r="B686">
        <v>3693684</v>
      </c>
      <c r="C686">
        <v>3693705</v>
      </c>
      <c r="D686">
        <v>21883</v>
      </c>
      <c r="E686">
        <v>21883</v>
      </c>
      <c r="F686" t="s">
        <v>441</v>
      </c>
      <c r="G686">
        <v>0</v>
      </c>
      <c r="I686" s="5">
        <v>44044</v>
      </c>
      <c r="J686" s="5">
        <v>43970.333333333336</v>
      </c>
    </row>
    <row r="687" spans="1:10" x14ac:dyDescent="0.2">
      <c r="A687">
        <v>7117925</v>
      </c>
      <c r="B687">
        <v>3693669</v>
      </c>
      <c r="C687">
        <v>3693692</v>
      </c>
      <c r="D687">
        <v>21883</v>
      </c>
      <c r="E687">
        <v>21883</v>
      </c>
      <c r="F687" t="s">
        <v>441</v>
      </c>
      <c r="G687">
        <v>0</v>
      </c>
      <c r="I687" s="5">
        <v>44044</v>
      </c>
      <c r="J687" s="5">
        <v>43970.333333333336</v>
      </c>
    </row>
    <row r="688" spans="1:10" x14ac:dyDescent="0.2">
      <c r="A688">
        <v>7117926</v>
      </c>
      <c r="B688">
        <v>3693654</v>
      </c>
      <c r="C688">
        <v>3693675</v>
      </c>
      <c r="D688">
        <v>21883</v>
      </c>
      <c r="E688">
        <v>21883</v>
      </c>
      <c r="F688" t="s">
        <v>441</v>
      </c>
      <c r="G688">
        <v>0</v>
      </c>
      <c r="I688" s="5">
        <v>44044</v>
      </c>
      <c r="J688" s="5">
        <v>43970.333333333336</v>
      </c>
    </row>
    <row r="689" spans="1:10" x14ac:dyDescent="0.2">
      <c r="A689">
        <v>7117927</v>
      </c>
      <c r="B689">
        <v>3693639</v>
      </c>
      <c r="C689">
        <v>3693658</v>
      </c>
      <c r="D689">
        <v>21883</v>
      </c>
      <c r="E689">
        <v>21883</v>
      </c>
      <c r="F689" t="s">
        <v>441</v>
      </c>
      <c r="G689">
        <v>0</v>
      </c>
      <c r="I689" s="5">
        <v>44044</v>
      </c>
      <c r="J689" s="5">
        <v>43970.333333333336</v>
      </c>
    </row>
    <row r="690" spans="1:10" x14ac:dyDescent="0.2">
      <c r="A690">
        <v>7117928</v>
      </c>
      <c r="B690">
        <v>3693624</v>
      </c>
      <c r="C690">
        <v>3693643</v>
      </c>
      <c r="D690">
        <v>21883</v>
      </c>
      <c r="E690">
        <v>21883</v>
      </c>
      <c r="F690" t="s">
        <v>441</v>
      </c>
      <c r="G690">
        <v>0</v>
      </c>
      <c r="I690" s="5">
        <v>44044</v>
      </c>
      <c r="J690" s="5">
        <v>43970.333333333336</v>
      </c>
    </row>
    <row r="691" spans="1:10" x14ac:dyDescent="0.2">
      <c r="A691">
        <v>7117929</v>
      </c>
      <c r="B691">
        <v>3693609</v>
      </c>
      <c r="C691">
        <v>3693628</v>
      </c>
      <c r="D691">
        <v>21883</v>
      </c>
      <c r="E691">
        <v>21883</v>
      </c>
      <c r="F691" t="s">
        <v>441</v>
      </c>
      <c r="G691">
        <v>0</v>
      </c>
      <c r="I691" s="5">
        <v>44044</v>
      </c>
      <c r="J691" s="5">
        <v>43970.333333333336</v>
      </c>
    </row>
    <row r="692" spans="1:10" x14ac:dyDescent="0.2">
      <c r="A692">
        <v>7117930</v>
      </c>
      <c r="B692">
        <v>3693593</v>
      </c>
      <c r="C692">
        <v>3693605</v>
      </c>
      <c r="D692">
        <v>21883</v>
      </c>
      <c r="E692">
        <v>21883</v>
      </c>
      <c r="F692" t="s">
        <v>441</v>
      </c>
      <c r="G692">
        <v>0</v>
      </c>
      <c r="I692" s="5">
        <v>44044</v>
      </c>
      <c r="J692" s="5">
        <v>43970.333333333336</v>
      </c>
    </row>
    <row r="693" spans="1:10" x14ac:dyDescent="0.2">
      <c r="A693">
        <v>7117931</v>
      </c>
      <c r="B693">
        <v>3692815</v>
      </c>
      <c r="C693">
        <v>3693243</v>
      </c>
      <c r="D693">
        <v>21883</v>
      </c>
      <c r="E693">
        <v>21883</v>
      </c>
      <c r="F693" t="s">
        <v>441</v>
      </c>
      <c r="G693">
        <v>0</v>
      </c>
      <c r="I693" s="5">
        <v>44044</v>
      </c>
      <c r="J693" s="5">
        <v>43970.333333333336</v>
      </c>
    </row>
    <row r="694" spans="1:10" x14ac:dyDescent="0.2">
      <c r="A694">
        <v>7117932</v>
      </c>
      <c r="B694">
        <v>3692865</v>
      </c>
      <c r="C694">
        <v>3692815</v>
      </c>
      <c r="D694">
        <v>21883</v>
      </c>
      <c r="E694">
        <v>21883</v>
      </c>
      <c r="F694" t="s">
        <v>441</v>
      </c>
      <c r="G694">
        <v>0</v>
      </c>
      <c r="I694" s="5">
        <v>44044</v>
      </c>
      <c r="J694" s="5">
        <v>43970.333333333336</v>
      </c>
    </row>
    <row r="695" spans="1:10" x14ac:dyDescent="0.2">
      <c r="A695">
        <v>7117933</v>
      </c>
      <c r="B695">
        <v>3692865</v>
      </c>
      <c r="C695">
        <v>3692816</v>
      </c>
      <c r="D695">
        <v>21883</v>
      </c>
      <c r="E695">
        <v>21883</v>
      </c>
      <c r="F695" t="s">
        <v>441</v>
      </c>
      <c r="G695">
        <v>0</v>
      </c>
      <c r="I695" s="5">
        <v>44044</v>
      </c>
      <c r="J695" s="5">
        <v>43970.333333333336</v>
      </c>
    </row>
    <row r="696" spans="1:10" x14ac:dyDescent="0.2">
      <c r="A696">
        <v>7117934</v>
      </c>
      <c r="B696">
        <v>3692816</v>
      </c>
      <c r="C696">
        <v>3693241</v>
      </c>
      <c r="D696">
        <v>21883</v>
      </c>
      <c r="E696">
        <v>21883</v>
      </c>
      <c r="F696" t="s">
        <v>441</v>
      </c>
      <c r="G696">
        <v>0</v>
      </c>
      <c r="I696" s="5">
        <v>44044</v>
      </c>
      <c r="J696" s="5">
        <v>43970.333333333336</v>
      </c>
    </row>
    <row r="697" spans="1:10" x14ac:dyDescent="0.2">
      <c r="A697">
        <v>7117935</v>
      </c>
      <c r="B697">
        <v>3693695</v>
      </c>
      <c r="C697">
        <v>3693680</v>
      </c>
      <c r="D697">
        <v>21883</v>
      </c>
      <c r="E697">
        <v>21883</v>
      </c>
      <c r="F697" t="s">
        <v>441</v>
      </c>
      <c r="G697">
        <v>0</v>
      </c>
      <c r="I697" s="5">
        <v>44044</v>
      </c>
      <c r="J697" s="5">
        <v>43970.333333333336</v>
      </c>
    </row>
    <row r="698" spans="1:10" x14ac:dyDescent="0.2">
      <c r="A698">
        <v>7117936</v>
      </c>
      <c r="B698">
        <v>3693635</v>
      </c>
      <c r="C698">
        <v>3693620</v>
      </c>
      <c r="D698">
        <v>21883</v>
      </c>
      <c r="E698">
        <v>21883</v>
      </c>
      <c r="F698" t="s">
        <v>441</v>
      </c>
      <c r="G698">
        <v>0</v>
      </c>
      <c r="I698" s="5">
        <v>44044</v>
      </c>
      <c r="J698" s="5">
        <v>43970.333333333336</v>
      </c>
    </row>
    <row r="699" spans="1:10" x14ac:dyDescent="0.2">
      <c r="A699">
        <v>7117937</v>
      </c>
      <c r="B699">
        <v>3693620</v>
      </c>
      <c r="C699">
        <v>3693605</v>
      </c>
      <c r="D699">
        <v>21883</v>
      </c>
      <c r="E699">
        <v>21883</v>
      </c>
      <c r="F699" t="s">
        <v>441</v>
      </c>
      <c r="G699">
        <v>0</v>
      </c>
      <c r="I699" s="5">
        <v>44044</v>
      </c>
      <c r="J699" s="5">
        <v>43970.333333333336</v>
      </c>
    </row>
    <row r="700" spans="1:10" x14ac:dyDescent="0.2">
      <c r="A700">
        <v>7117938</v>
      </c>
      <c r="B700">
        <v>3693605</v>
      </c>
      <c r="C700">
        <v>3693590</v>
      </c>
      <c r="D700">
        <v>21883</v>
      </c>
      <c r="E700">
        <v>21883</v>
      </c>
      <c r="F700" t="s">
        <v>441</v>
      </c>
      <c r="G700">
        <v>0</v>
      </c>
      <c r="I700" s="5">
        <v>44044</v>
      </c>
      <c r="J700" s="5">
        <v>43970.333333333336</v>
      </c>
    </row>
    <row r="701" spans="1:10" x14ac:dyDescent="0.2">
      <c r="A701">
        <v>7117939</v>
      </c>
      <c r="B701">
        <v>3693542</v>
      </c>
      <c r="C701">
        <v>3693533</v>
      </c>
      <c r="D701">
        <v>21883</v>
      </c>
      <c r="E701">
        <v>21883</v>
      </c>
      <c r="F701" t="s">
        <v>441</v>
      </c>
      <c r="G701">
        <v>0</v>
      </c>
      <c r="I701" s="5">
        <v>44044</v>
      </c>
      <c r="J701" s="5">
        <v>43970.333333333336</v>
      </c>
    </row>
    <row r="702" spans="1:10" x14ac:dyDescent="0.2">
      <c r="A702">
        <v>7117940</v>
      </c>
      <c r="B702">
        <v>3693485</v>
      </c>
      <c r="C702">
        <v>3692772</v>
      </c>
      <c r="D702">
        <v>21883</v>
      </c>
      <c r="E702">
        <v>21883</v>
      </c>
      <c r="F702" t="s">
        <v>442</v>
      </c>
      <c r="G702">
        <v>0</v>
      </c>
      <c r="I702" s="5">
        <v>44044</v>
      </c>
      <c r="J702" s="5">
        <v>43970.333333333336</v>
      </c>
    </row>
    <row r="703" spans="1:10" x14ac:dyDescent="0.2">
      <c r="A703">
        <v>7117941</v>
      </c>
      <c r="B703">
        <v>3692826</v>
      </c>
      <c r="C703">
        <v>3693019</v>
      </c>
      <c r="D703">
        <v>21883</v>
      </c>
      <c r="E703">
        <v>21883</v>
      </c>
      <c r="F703" t="s">
        <v>441</v>
      </c>
      <c r="G703">
        <v>0</v>
      </c>
      <c r="I703" s="5">
        <v>44044</v>
      </c>
      <c r="J703" s="5">
        <v>44306.666666666664</v>
      </c>
    </row>
    <row r="704" spans="1:10" x14ac:dyDescent="0.2">
      <c r="A704">
        <v>7117942</v>
      </c>
      <c r="B704">
        <v>3692826</v>
      </c>
      <c r="C704">
        <v>3693020</v>
      </c>
      <c r="D704">
        <v>21883</v>
      </c>
      <c r="E704">
        <v>21883</v>
      </c>
      <c r="F704" t="s">
        <v>441</v>
      </c>
      <c r="G704">
        <v>0</v>
      </c>
      <c r="I704" s="5">
        <v>44044</v>
      </c>
      <c r="J704" s="5">
        <v>44306.666666666664</v>
      </c>
    </row>
    <row r="705" spans="1:10" x14ac:dyDescent="0.2">
      <c r="A705">
        <v>7117943</v>
      </c>
      <c r="B705">
        <v>3692826</v>
      </c>
      <c r="C705">
        <v>3693021</v>
      </c>
      <c r="D705">
        <v>21883</v>
      </c>
      <c r="E705">
        <v>21883</v>
      </c>
      <c r="F705" t="s">
        <v>441</v>
      </c>
      <c r="G705">
        <v>0</v>
      </c>
      <c r="I705" s="5">
        <v>44044</v>
      </c>
      <c r="J705" s="5">
        <v>44306.666666666664</v>
      </c>
    </row>
    <row r="706" spans="1:10" x14ac:dyDescent="0.2">
      <c r="A706">
        <v>7117944</v>
      </c>
      <c r="B706">
        <v>3692826</v>
      </c>
      <c r="C706">
        <v>3693022</v>
      </c>
      <c r="D706">
        <v>21883</v>
      </c>
      <c r="E706">
        <v>21883</v>
      </c>
      <c r="F706" t="s">
        <v>441</v>
      </c>
      <c r="G706">
        <v>0</v>
      </c>
      <c r="I706" s="5">
        <v>44044</v>
      </c>
      <c r="J706" s="5">
        <v>44306.666666666664</v>
      </c>
    </row>
    <row r="707" spans="1:10" x14ac:dyDescent="0.2">
      <c r="A707">
        <v>7117945</v>
      </c>
      <c r="B707">
        <v>3692826</v>
      </c>
      <c r="C707">
        <v>3693023</v>
      </c>
      <c r="D707">
        <v>21883</v>
      </c>
      <c r="E707">
        <v>21883</v>
      </c>
      <c r="F707" t="s">
        <v>441</v>
      </c>
      <c r="G707">
        <v>0</v>
      </c>
      <c r="I707" s="5">
        <v>44044</v>
      </c>
      <c r="J707" s="5">
        <v>44306.666666666664</v>
      </c>
    </row>
    <row r="708" spans="1:10" x14ac:dyDescent="0.2">
      <c r="A708">
        <v>7117946</v>
      </c>
      <c r="B708">
        <v>3692826</v>
      </c>
      <c r="C708">
        <v>3693024</v>
      </c>
      <c r="D708">
        <v>21883</v>
      </c>
      <c r="E708">
        <v>21883</v>
      </c>
      <c r="F708" t="s">
        <v>441</v>
      </c>
      <c r="G708">
        <v>0</v>
      </c>
      <c r="I708" s="5">
        <v>44044</v>
      </c>
      <c r="J708" s="5">
        <v>44306.666666666664</v>
      </c>
    </row>
    <row r="709" spans="1:10" x14ac:dyDescent="0.2">
      <c r="A709">
        <v>7117947</v>
      </c>
      <c r="B709">
        <v>3692826</v>
      </c>
      <c r="C709">
        <v>3693025</v>
      </c>
      <c r="D709">
        <v>21883</v>
      </c>
      <c r="E709">
        <v>21883</v>
      </c>
      <c r="F709" t="s">
        <v>441</v>
      </c>
      <c r="G709">
        <v>0</v>
      </c>
      <c r="I709" s="5">
        <v>44044</v>
      </c>
      <c r="J709" s="5">
        <v>44306.666666666664</v>
      </c>
    </row>
    <row r="710" spans="1:10" x14ac:dyDescent="0.2">
      <c r="A710">
        <v>7117948</v>
      </c>
      <c r="B710">
        <v>3692826</v>
      </c>
      <c r="C710">
        <v>3693026</v>
      </c>
      <c r="D710">
        <v>21883</v>
      </c>
      <c r="E710">
        <v>21883</v>
      </c>
      <c r="F710" t="s">
        <v>441</v>
      </c>
      <c r="G710">
        <v>0</v>
      </c>
      <c r="I710" s="5">
        <v>44044</v>
      </c>
      <c r="J710" s="5">
        <v>44306.666666666664</v>
      </c>
    </row>
    <row r="711" spans="1:10" x14ac:dyDescent="0.2">
      <c r="A711">
        <v>7117949</v>
      </c>
      <c r="B711">
        <v>3693019</v>
      </c>
      <c r="C711">
        <v>3692892</v>
      </c>
      <c r="D711">
        <v>21883</v>
      </c>
      <c r="E711">
        <v>21883</v>
      </c>
      <c r="F711" t="s">
        <v>441</v>
      </c>
      <c r="G711">
        <v>0</v>
      </c>
      <c r="I711" s="5">
        <v>44044</v>
      </c>
      <c r="J711" s="5">
        <v>44306.666666666664</v>
      </c>
    </row>
    <row r="712" spans="1:10" x14ac:dyDescent="0.2">
      <c r="A712">
        <v>7117950</v>
      </c>
      <c r="B712">
        <v>3693020</v>
      </c>
      <c r="C712">
        <v>3692892</v>
      </c>
      <c r="D712">
        <v>21883</v>
      </c>
      <c r="E712">
        <v>21883</v>
      </c>
      <c r="F712" t="s">
        <v>441</v>
      </c>
      <c r="G712">
        <v>0</v>
      </c>
      <c r="I712" s="5">
        <v>44044</v>
      </c>
      <c r="J712" s="5">
        <v>44306.666666666664</v>
      </c>
    </row>
    <row r="713" spans="1:10" x14ac:dyDescent="0.2">
      <c r="A713">
        <v>7117951</v>
      </c>
      <c r="B713">
        <v>3693021</v>
      </c>
      <c r="C713">
        <v>3692892</v>
      </c>
      <c r="D713">
        <v>21883</v>
      </c>
      <c r="E713">
        <v>21883</v>
      </c>
      <c r="F713" t="s">
        <v>441</v>
      </c>
      <c r="G713">
        <v>0</v>
      </c>
      <c r="I713" s="5">
        <v>44044</v>
      </c>
      <c r="J713" s="5">
        <v>44306.666666666664</v>
      </c>
    </row>
    <row r="714" spans="1:10" x14ac:dyDescent="0.2">
      <c r="A714">
        <v>7117952</v>
      </c>
      <c r="B714">
        <v>3693022</v>
      </c>
      <c r="C714">
        <v>3692892</v>
      </c>
      <c r="D714">
        <v>21883</v>
      </c>
      <c r="E714">
        <v>21883</v>
      </c>
      <c r="F714" t="s">
        <v>441</v>
      </c>
      <c r="G714">
        <v>0</v>
      </c>
      <c r="I714" s="5">
        <v>44044</v>
      </c>
      <c r="J714" s="5">
        <v>44306.666666666664</v>
      </c>
    </row>
    <row r="715" spans="1:10" x14ac:dyDescent="0.2">
      <c r="A715">
        <v>7117953</v>
      </c>
      <c r="B715">
        <v>3693023</v>
      </c>
      <c r="C715">
        <v>3692892</v>
      </c>
      <c r="D715">
        <v>21883</v>
      </c>
      <c r="E715">
        <v>21883</v>
      </c>
      <c r="F715" t="s">
        <v>441</v>
      </c>
      <c r="G715">
        <v>0</v>
      </c>
      <c r="I715" s="5">
        <v>44044</v>
      </c>
      <c r="J715" s="5">
        <v>44306.666666666664</v>
      </c>
    </row>
    <row r="716" spans="1:10" x14ac:dyDescent="0.2">
      <c r="A716">
        <v>7117954</v>
      </c>
      <c r="B716">
        <v>3693024</v>
      </c>
      <c r="C716">
        <v>3692892</v>
      </c>
      <c r="D716">
        <v>21883</v>
      </c>
      <c r="E716">
        <v>21883</v>
      </c>
      <c r="F716" t="s">
        <v>441</v>
      </c>
      <c r="G716">
        <v>0</v>
      </c>
      <c r="I716" s="5">
        <v>44044</v>
      </c>
      <c r="J716" s="5">
        <v>44306.666666666664</v>
      </c>
    </row>
    <row r="717" spans="1:10" x14ac:dyDescent="0.2">
      <c r="A717">
        <v>7117955</v>
      </c>
      <c r="B717">
        <v>3693025</v>
      </c>
      <c r="C717">
        <v>3692892</v>
      </c>
      <c r="D717">
        <v>21883</v>
      </c>
      <c r="E717">
        <v>21883</v>
      </c>
      <c r="F717" t="s">
        <v>441</v>
      </c>
      <c r="G717">
        <v>0</v>
      </c>
      <c r="I717" s="5">
        <v>44044</v>
      </c>
      <c r="J717" s="5">
        <v>44306.666666666664</v>
      </c>
    </row>
    <row r="718" spans="1:10" x14ac:dyDescent="0.2">
      <c r="A718">
        <v>7117956</v>
      </c>
      <c r="B718">
        <v>3693026</v>
      </c>
      <c r="C718">
        <v>3692892</v>
      </c>
      <c r="D718">
        <v>21883</v>
      </c>
      <c r="E718">
        <v>21883</v>
      </c>
      <c r="F718" t="s">
        <v>441</v>
      </c>
      <c r="G718">
        <v>0</v>
      </c>
      <c r="I718" s="5">
        <v>44044</v>
      </c>
      <c r="J718" s="5">
        <v>44306.666666666664</v>
      </c>
    </row>
    <row r="719" spans="1:10" x14ac:dyDescent="0.2">
      <c r="A719">
        <v>7117957</v>
      </c>
      <c r="B719">
        <v>3693571</v>
      </c>
      <c r="C719">
        <v>3692766</v>
      </c>
      <c r="D719">
        <v>21883</v>
      </c>
      <c r="E719">
        <v>21883</v>
      </c>
      <c r="F719" t="s">
        <v>441</v>
      </c>
      <c r="G719">
        <v>0</v>
      </c>
      <c r="I719" s="5">
        <v>44044</v>
      </c>
      <c r="J719" s="5">
        <v>43970.333333333336</v>
      </c>
    </row>
    <row r="720" spans="1:10" x14ac:dyDescent="0.2">
      <c r="A720">
        <v>7117958</v>
      </c>
      <c r="B720">
        <v>3693557</v>
      </c>
      <c r="C720">
        <v>3692774</v>
      </c>
      <c r="D720">
        <v>21883</v>
      </c>
      <c r="E720">
        <v>21883</v>
      </c>
      <c r="F720" t="s">
        <v>441</v>
      </c>
      <c r="G720">
        <v>0</v>
      </c>
      <c r="I720" s="5">
        <v>44044</v>
      </c>
      <c r="J720" s="5">
        <v>43970.333333333336</v>
      </c>
    </row>
    <row r="721" spans="1:10" x14ac:dyDescent="0.2">
      <c r="A721">
        <v>7117959</v>
      </c>
      <c r="B721">
        <v>3693508</v>
      </c>
      <c r="C721">
        <v>3692771</v>
      </c>
      <c r="D721">
        <v>21883</v>
      </c>
      <c r="E721">
        <v>21883</v>
      </c>
      <c r="F721" t="s">
        <v>441</v>
      </c>
      <c r="G721">
        <v>0</v>
      </c>
      <c r="I721" s="5">
        <v>44044</v>
      </c>
      <c r="J721" s="5">
        <v>43970.333333333336</v>
      </c>
    </row>
    <row r="722" spans="1:10" x14ac:dyDescent="0.2">
      <c r="A722">
        <v>7117960</v>
      </c>
      <c r="B722">
        <v>3693520</v>
      </c>
      <c r="C722">
        <v>3692770</v>
      </c>
      <c r="D722">
        <v>21883</v>
      </c>
      <c r="E722">
        <v>21883</v>
      </c>
      <c r="F722" t="s">
        <v>441</v>
      </c>
      <c r="G722">
        <v>0</v>
      </c>
      <c r="I722" s="5">
        <v>44044</v>
      </c>
      <c r="J722" s="5">
        <v>43970.333333333336</v>
      </c>
    </row>
    <row r="723" spans="1:10" x14ac:dyDescent="0.2">
      <c r="A723">
        <v>7117961</v>
      </c>
      <c r="B723">
        <v>3693531</v>
      </c>
      <c r="C723">
        <v>3692770</v>
      </c>
      <c r="D723">
        <v>21883</v>
      </c>
      <c r="E723">
        <v>21883</v>
      </c>
      <c r="F723" t="s">
        <v>441</v>
      </c>
      <c r="G723">
        <v>0</v>
      </c>
      <c r="I723" s="5">
        <v>44044</v>
      </c>
      <c r="J723" s="5">
        <v>43970.333333333336</v>
      </c>
    </row>
    <row r="724" spans="1:10" x14ac:dyDescent="0.2">
      <c r="A724">
        <v>7117962</v>
      </c>
      <c r="B724">
        <v>3693542</v>
      </c>
      <c r="C724">
        <v>3692770</v>
      </c>
      <c r="D724">
        <v>21883</v>
      </c>
      <c r="E724">
        <v>21883</v>
      </c>
      <c r="F724" t="s">
        <v>441</v>
      </c>
      <c r="G724">
        <v>0</v>
      </c>
      <c r="I724" s="5">
        <v>44044</v>
      </c>
      <c r="J724" s="5">
        <v>43970.333333333336</v>
      </c>
    </row>
    <row r="725" spans="1:10" x14ac:dyDescent="0.2">
      <c r="A725">
        <v>7117963</v>
      </c>
      <c r="B725">
        <v>3693027</v>
      </c>
      <c r="C725">
        <v>3692770</v>
      </c>
      <c r="D725">
        <v>21883</v>
      </c>
      <c r="E725">
        <v>21883</v>
      </c>
      <c r="F725" t="s">
        <v>441</v>
      </c>
      <c r="G725">
        <v>0</v>
      </c>
      <c r="I725" s="5">
        <v>44044</v>
      </c>
      <c r="J725" s="5">
        <v>43970.333333333336</v>
      </c>
    </row>
    <row r="726" spans="1:10" x14ac:dyDescent="0.2">
      <c r="A726">
        <v>7117964</v>
      </c>
      <c r="B726">
        <v>3692767</v>
      </c>
      <c r="C726">
        <v>3692768</v>
      </c>
      <c r="D726">
        <v>21883</v>
      </c>
      <c r="E726">
        <v>21883</v>
      </c>
      <c r="F726" t="s">
        <v>441</v>
      </c>
      <c r="G726">
        <v>0</v>
      </c>
      <c r="I726" s="5">
        <v>44044</v>
      </c>
      <c r="J726" s="5">
        <v>43970.333333333336</v>
      </c>
    </row>
    <row r="727" spans="1:10" x14ac:dyDescent="0.2">
      <c r="A727">
        <v>7117965</v>
      </c>
      <c r="B727">
        <v>3692769</v>
      </c>
      <c r="C727">
        <v>3693018</v>
      </c>
      <c r="D727">
        <v>21883</v>
      </c>
      <c r="E727">
        <v>21883</v>
      </c>
      <c r="F727" t="s">
        <v>441</v>
      </c>
      <c r="G727">
        <v>0</v>
      </c>
      <c r="I727" s="5">
        <v>44044</v>
      </c>
      <c r="J727" s="5">
        <v>43970.333333333336</v>
      </c>
    </row>
    <row r="728" spans="1:10" x14ac:dyDescent="0.2">
      <c r="A728">
        <v>7117966</v>
      </c>
      <c r="B728">
        <v>3692770</v>
      </c>
      <c r="C728">
        <v>3692771</v>
      </c>
      <c r="D728">
        <v>21883</v>
      </c>
      <c r="E728">
        <v>21883</v>
      </c>
      <c r="F728" t="s">
        <v>441</v>
      </c>
      <c r="G728">
        <v>0</v>
      </c>
      <c r="I728" s="5">
        <v>44044</v>
      </c>
      <c r="J728" s="5">
        <v>43970.333333333336</v>
      </c>
    </row>
    <row r="729" spans="1:10" x14ac:dyDescent="0.2">
      <c r="A729">
        <v>7117967</v>
      </c>
      <c r="B729">
        <v>3692771</v>
      </c>
      <c r="C729">
        <v>3692772</v>
      </c>
      <c r="D729">
        <v>21883</v>
      </c>
      <c r="E729">
        <v>21883</v>
      </c>
      <c r="F729" t="s">
        <v>441</v>
      </c>
      <c r="G729">
        <v>0</v>
      </c>
      <c r="I729" s="5">
        <v>44044</v>
      </c>
      <c r="J729" s="5">
        <v>43970.333333333336</v>
      </c>
    </row>
    <row r="730" spans="1:10" x14ac:dyDescent="0.2">
      <c r="A730">
        <v>7117968</v>
      </c>
      <c r="B730">
        <v>3692772</v>
      </c>
      <c r="C730">
        <v>3692773</v>
      </c>
      <c r="D730">
        <v>21883</v>
      </c>
      <c r="E730">
        <v>21883</v>
      </c>
      <c r="F730" t="s">
        <v>441</v>
      </c>
      <c r="G730">
        <v>0</v>
      </c>
      <c r="I730" s="5">
        <v>44044</v>
      </c>
      <c r="J730" s="5">
        <v>43970.333333333336</v>
      </c>
    </row>
    <row r="731" spans="1:10" x14ac:dyDescent="0.2">
      <c r="A731">
        <v>7117969</v>
      </c>
      <c r="B731">
        <v>3692773</v>
      </c>
      <c r="C731">
        <v>3692774</v>
      </c>
      <c r="D731">
        <v>21883</v>
      </c>
      <c r="E731">
        <v>21883</v>
      </c>
      <c r="F731" t="s">
        <v>442</v>
      </c>
      <c r="G731">
        <v>16</v>
      </c>
      <c r="I731" s="5">
        <v>44044</v>
      </c>
      <c r="J731" s="5">
        <v>43970.333333333336</v>
      </c>
    </row>
    <row r="732" spans="1:10" x14ac:dyDescent="0.2">
      <c r="A732">
        <v>7117970</v>
      </c>
      <c r="B732">
        <v>3692774</v>
      </c>
      <c r="C732">
        <v>3692775</v>
      </c>
      <c r="D732">
        <v>21883</v>
      </c>
      <c r="E732">
        <v>21883</v>
      </c>
      <c r="F732" t="s">
        <v>441</v>
      </c>
      <c r="G732">
        <v>0</v>
      </c>
      <c r="I732" s="5">
        <v>44044</v>
      </c>
      <c r="J732" s="5">
        <v>43970.333333333336</v>
      </c>
    </row>
    <row r="733" spans="1:10" x14ac:dyDescent="0.2">
      <c r="A733">
        <v>7117971</v>
      </c>
      <c r="B733">
        <v>3692775</v>
      </c>
      <c r="C733">
        <v>3692776</v>
      </c>
      <c r="D733">
        <v>21883</v>
      </c>
      <c r="E733">
        <v>21883</v>
      </c>
      <c r="F733" t="s">
        <v>440</v>
      </c>
      <c r="G733">
        <v>0</v>
      </c>
      <c r="I733" s="5">
        <v>44044</v>
      </c>
      <c r="J733" s="5">
        <v>43970.333333333336</v>
      </c>
    </row>
    <row r="734" spans="1:10" x14ac:dyDescent="0.2">
      <c r="A734">
        <v>7117972</v>
      </c>
      <c r="B734">
        <v>3692776</v>
      </c>
      <c r="C734">
        <v>3693018</v>
      </c>
      <c r="D734">
        <v>21883</v>
      </c>
      <c r="E734">
        <v>21883</v>
      </c>
      <c r="F734" t="s">
        <v>441</v>
      </c>
      <c r="G734">
        <v>0</v>
      </c>
      <c r="I734" s="5">
        <v>44044</v>
      </c>
      <c r="J734" s="5">
        <v>43970.333333333336</v>
      </c>
    </row>
    <row r="735" spans="1:10" x14ac:dyDescent="0.2">
      <c r="A735">
        <v>7117973</v>
      </c>
      <c r="B735">
        <v>3694063</v>
      </c>
      <c r="C735">
        <v>3692996</v>
      </c>
      <c r="D735">
        <v>21883</v>
      </c>
      <c r="E735">
        <v>21883</v>
      </c>
      <c r="F735" t="s">
        <v>441</v>
      </c>
      <c r="G735">
        <v>0</v>
      </c>
      <c r="I735" s="5">
        <v>44044</v>
      </c>
      <c r="J735" s="5">
        <v>43970.333333333336</v>
      </c>
    </row>
    <row r="736" spans="1:10" x14ac:dyDescent="0.2">
      <c r="A736">
        <v>7117974</v>
      </c>
      <c r="B736">
        <v>3692826</v>
      </c>
      <c r="C736">
        <v>3693017</v>
      </c>
      <c r="D736">
        <v>21883</v>
      </c>
      <c r="E736">
        <v>21883</v>
      </c>
      <c r="F736" t="s">
        <v>441</v>
      </c>
      <c r="G736">
        <v>0</v>
      </c>
      <c r="I736" s="5">
        <v>44044</v>
      </c>
      <c r="J736" s="5">
        <v>44306.666666666664</v>
      </c>
    </row>
    <row r="737" spans="1:10" x14ac:dyDescent="0.2">
      <c r="A737">
        <v>7117975</v>
      </c>
      <c r="B737">
        <v>3693017</v>
      </c>
      <c r="C737">
        <v>3692892</v>
      </c>
      <c r="D737">
        <v>21883</v>
      </c>
      <c r="E737">
        <v>21883</v>
      </c>
      <c r="F737" t="s">
        <v>441</v>
      </c>
      <c r="G737">
        <v>0</v>
      </c>
      <c r="I737" s="5">
        <v>44044</v>
      </c>
      <c r="J737" s="5">
        <v>44306.666666666664</v>
      </c>
    </row>
    <row r="738" spans="1:10" x14ac:dyDescent="0.2">
      <c r="A738">
        <v>7117976</v>
      </c>
      <c r="B738">
        <v>3692826</v>
      </c>
      <c r="C738">
        <v>3693335</v>
      </c>
      <c r="D738">
        <v>21883</v>
      </c>
      <c r="E738">
        <v>21883</v>
      </c>
      <c r="F738" t="s">
        <v>441</v>
      </c>
      <c r="G738">
        <v>0</v>
      </c>
      <c r="I738" s="5">
        <v>44044</v>
      </c>
      <c r="J738" s="5">
        <v>44306.666666666664</v>
      </c>
    </row>
    <row r="739" spans="1:10" x14ac:dyDescent="0.2">
      <c r="A739">
        <v>7117977</v>
      </c>
      <c r="B739">
        <v>3693335</v>
      </c>
      <c r="C739">
        <v>3692892</v>
      </c>
      <c r="D739">
        <v>21883</v>
      </c>
      <c r="E739">
        <v>21883</v>
      </c>
      <c r="F739" t="s">
        <v>441</v>
      </c>
      <c r="G739">
        <v>0</v>
      </c>
      <c r="I739" s="5">
        <v>44044</v>
      </c>
      <c r="J739" s="5">
        <v>44306.666666666664</v>
      </c>
    </row>
    <row r="740" spans="1:10" x14ac:dyDescent="0.2">
      <c r="A740">
        <v>7117978</v>
      </c>
      <c r="B740">
        <v>3692826</v>
      </c>
      <c r="C740">
        <v>3694060</v>
      </c>
      <c r="D740">
        <v>21883</v>
      </c>
      <c r="E740">
        <v>21883</v>
      </c>
      <c r="F740" t="s">
        <v>441</v>
      </c>
      <c r="G740">
        <v>0</v>
      </c>
      <c r="I740" s="5">
        <v>44044</v>
      </c>
      <c r="J740" s="5">
        <v>44306.666666666664</v>
      </c>
    </row>
    <row r="741" spans="1:10" x14ac:dyDescent="0.2">
      <c r="A741">
        <v>7117979</v>
      </c>
      <c r="B741">
        <v>3692826</v>
      </c>
      <c r="C741">
        <v>3694062</v>
      </c>
      <c r="D741">
        <v>21883</v>
      </c>
      <c r="E741">
        <v>21883</v>
      </c>
      <c r="F741" t="s">
        <v>441</v>
      </c>
      <c r="G741">
        <v>0</v>
      </c>
      <c r="I741" s="5">
        <v>44044</v>
      </c>
      <c r="J741" s="5">
        <v>44306.666666666664</v>
      </c>
    </row>
    <row r="742" spans="1:10" x14ac:dyDescent="0.2">
      <c r="A742">
        <v>7117980</v>
      </c>
      <c r="B742">
        <v>3694062</v>
      </c>
      <c r="C742">
        <v>3692892</v>
      </c>
      <c r="D742">
        <v>21883</v>
      </c>
      <c r="E742">
        <v>21883</v>
      </c>
      <c r="F742" t="s">
        <v>441</v>
      </c>
      <c r="G742">
        <v>0</v>
      </c>
      <c r="I742" s="5">
        <v>44044</v>
      </c>
      <c r="J742" s="5">
        <v>44306.666666666664</v>
      </c>
    </row>
    <row r="743" spans="1:10" x14ac:dyDescent="0.2">
      <c r="A743">
        <v>7117981</v>
      </c>
      <c r="B743">
        <v>3692777</v>
      </c>
      <c r="C743">
        <v>3694116</v>
      </c>
      <c r="D743">
        <v>21883</v>
      </c>
      <c r="E743">
        <v>21883</v>
      </c>
      <c r="F743" t="s">
        <v>441</v>
      </c>
      <c r="G743">
        <v>0</v>
      </c>
      <c r="I743" s="5">
        <v>44044</v>
      </c>
      <c r="J743" s="5">
        <v>43970.333333333336</v>
      </c>
    </row>
    <row r="744" spans="1:10" x14ac:dyDescent="0.2">
      <c r="A744">
        <v>7117982</v>
      </c>
      <c r="B744">
        <v>3693859</v>
      </c>
      <c r="C744">
        <v>3692781</v>
      </c>
      <c r="D744">
        <v>21883</v>
      </c>
      <c r="E744">
        <v>21883</v>
      </c>
      <c r="F744" t="s">
        <v>441</v>
      </c>
      <c r="G744">
        <v>0</v>
      </c>
      <c r="I744" s="5">
        <v>44044</v>
      </c>
      <c r="J744" s="5">
        <v>43983.333333333336</v>
      </c>
    </row>
    <row r="745" spans="1:10" x14ac:dyDescent="0.2">
      <c r="A745">
        <v>7117983</v>
      </c>
      <c r="B745">
        <v>3692783</v>
      </c>
      <c r="C745">
        <v>3693562</v>
      </c>
      <c r="D745">
        <v>21883</v>
      </c>
      <c r="E745">
        <v>21883</v>
      </c>
      <c r="F745" t="s">
        <v>441</v>
      </c>
      <c r="G745">
        <v>0</v>
      </c>
      <c r="I745" s="5">
        <v>44044</v>
      </c>
      <c r="J745" s="5">
        <v>43970.333333333336</v>
      </c>
    </row>
    <row r="746" spans="1:10" x14ac:dyDescent="0.2">
      <c r="A746">
        <v>7117984</v>
      </c>
      <c r="B746">
        <v>3693843</v>
      </c>
      <c r="C746">
        <v>3692784</v>
      </c>
      <c r="D746">
        <v>21883</v>
      </c>
      <c r="E746">
        <v>21883</v>
      </c>
      <c r="F746" t="s">
        <v>441</v>
      </c>
      <c r="G746">
        <v>0</v>
      </c>
      <c r="I746" s="5">
        <v>44044</v>
      </c>
      <c r="J746" s="5">
        <v>44005.333333333336</v>
      </c>
    </row>
    <row r="747" spans="1:10" x14ac:dyDescent="0.2">
      <c r="A747">
        <v>7117985</v>
      </c>
      <c r="B747">
        <v>3693571</v>
      </c>
      <c r="C747">
        <v>3692786</v>
      </c>
      <c r="D747">
        <v>21883</v>
      </c>
      <c r="E747">
        <v>21883</v>
      </c>
      <c r="F747" t="s">
        <v>441</v>
      </c>
      <c r="G747">
        <v>0</v>
      </c>
      <c r="I747" s="5">
        <v>44044</v>
      </c>
      <c r="J747" s="5">
        <v>43970.333333333336</v>
      </c>
    </row>
    <row r="748" spans="1:10" x14ac:dyDescent="0.2">
      <c r="A748">
        <v>7117986</v>
      </c>
      <c r="B748">
        <v>3692786</v>
      </c>
      <c r="C748">
        <v>3693548</v>
      </c>
      <c r="D748">
        <v>21883</v>
      </c>
      <c r="E748">
        <v>21883</v>
      </c>
      <c r="F748" t="s">
        <v>441</v>
      </c>
      <c r="G748">
        <v>0</v>
      </c>
      <c r="I748" s="5">
        <v>44044</v>
      </c>
      <c r="J748" s="5">
        <v>43970.333333333336</v>
      </c>
    </row>
    <row r="749" spans="1:10" x14ac:dyDescent="0.2">
      <c r="A749">
        <v>7117987</v>
      </c>
      <c r="B749">
        <v>3694058</v>
      </c>
      <c r="C749">
        <v>3692892</v>
      </c>
      <c r="D749">
        <v>21883</v>
      </c>
      <c r="E749">
        <v>21883</v>
      </c>
      <c r="F749" t="s">
        <v>441</v>
      </c>
      <c r="G749">
        <v>0</v>
      </c>
      <c r="I749" s="5">
        <v>44044</v>
      </c>
      <c r="J749" s="5">
        <v>44306.666666666664</v>
      </c>
    </row>
    <row r="750" spans="1:10" x14ac:dyDescent="0.2">
      <c r="A750">
        <v>7117988</v>
      </c>
      <c r="B750">
        <v>3693055</v>
      </c>
      <c r="C750">
        <v>3692892</v>
      </c>
      <c r="D750">
        <v>21883</v>
      </c>
      <c r="E750">
        <v>21883</v>
      </c>
      <c r="F750" t="s">
        <v>441</v>
      </c>
      <c r="G750">
        <v>0</v>
      </c>
      <c r="I750" s="5">
        <v>44044</v>
      </c>
      <c r="J750" s="5">
        <v>44306.666666666664</v>
      </c>
    </row>
    <row r="751" spans="1:10" x14ac:dyDescent="0.2">
      <c r="A751">
        <v>7117989</v>
      </c>
      <c r="B751">
        <v>3693057</v>
      </c>
      <c r="C751">
        <v>3693054</v>
      </c>
      <c r="D751">
        <v>21883</v>
      </c>
      <c r="E751">
        <v>21883</v>
      </c>
      <c r="F751" t="s">
        <v>441</v>
      </c>
      <c r="G751">
        <v>0</v>
      </c>
      <c r="I751" s="5">
        <v>44258.666666666664</v>
      </c>
      <c r="J751" s="5">
        <v>44160.333333333336</v>
      </c>
    </row>
    <row r="752" spans="1:10" x14ac:dyDescent="0.2">
      <c r="A752">
        <v>7117990</v>
      </c>
      <c r="B752">
        <v>3693057</v>
      </c>
      <c r="C752">
        <v>3692787</v>
      </c>
      <c r="D752">
        <v>21883</v>
      </c>
      <c r="E752">
        <v>21883</v>
      </c>
      <c r="F752" t="s">
        <v>441</v>
      </c>
      <c r="G752">
        <v>0</v>
      </c>
      <c r="I752" s="5">
        <v>44258.666666666664</v>
      </c>
      <c r="J752" s="5">
        <v>44160.333333333336</v>
      </c>
    </row>
    <row r="753" spans="1:10" x14ac:dyDescent="0.2">
      <c r="A753">
        <v>7117991</v>
      </c>
      <c r="B753">
        <v>3692787</v>
      </c>
      <c r="C753">
        <v>3693721</v>
      </c>
      <c r="D753">
        <v>21883</v>
      </c>
      <c r="E753">
        <v>21883</v>
      </c>
      <c r="F753" t="s">
        <v>441</v>
      </c>
      <c r="G753">
        <v>0</v>
      </c>
      <c r="I753" s="5">
        <v>44105.666666666664</v>
      </c>
      <c r="J753" s="5">
        <v>44159.666666666664</v>
      </c>
    </row>
    <row r="754" spans="1:10" x14ac:dyDescent="0.2">
      <c r="A754">
        <v>7117992</v>
      </c>
      <c r="B754">
        <v>3693051</v>
      </c>
      <c r="C754">
        <v>3692892</v>
      </c>
      <c r="D754">
        <v>21883</v>
      </c>
      <c r="E754">
        <v>21883</v>
      </c>
      <c r="F754" t="s">
        <v>441</v>
      </c>
      <c r="G754">
        <v>0</v>
      </c>
      <c r="I754" s="5">
        <v>44044</v>
      </c>
    </row>
    <row r="755" spans="1:10" x14ac:dyDescent="0.2">
      <c r="A755">
        <v>7117993</v>
      </c>
      <c r="B755">
        <v>3693059</v>
      </c>
      <c r="C755">
        <v>3693058</v>
      </c>
      <c r="D755">
        <v>21883</v>
      </c>
      <c r="E755">
        <v>21883</v>
      </c>
      <c r="F755" t="s">
        <v>441</v>
      </c>
      <c r="G755">
        <v>0</v>
      </c>
      <c r="I755" s="5">
        <v>44272.666666666664</v>
      </c>
      <c r="J755" s="5">
        <v>44263.333333333336</v>
      </c>
    </row>
    <row r="756" spans="1:10" x14ac:dyDescent="0.2">
      <c r="A756">
        <v>7117994</v>
      </c>
      <c r="B756">
        <v>3693058</v>
      </c>
      <c r="C756">
        <v>3693057</v>
      </c>
      <c r="D756">
        <v>21883</v>
      </c>
      <c r="E756">
        <v>21883</v>
      </c>
      <c r="F756" t="s">
        <v>441</v>
      </c>
      <c r="G756">
        <v>0</v>
      </c>
      <c r="I756" s="5">
        <v>44263.333333333336</v>
      </c>
      <c r="J756" s="5">
        <v>44160.333333333336</v>
      </c>
    </row>
    <row r="757" spans="1:10" x14ac:dyDescent="0.2">
      <c r="A757">
        <v>7117995</v>
      </c>
      <c r="B757">
        <v>3693065</v>
      </c>
      <c r="C757">
        <v>3692892</v>
      </c>
      <c r="D757">
        <v>21883</v>
      </c>
      <c r="E757">
        <v>21883</v>
      </c>
      <c r="F757" t="s">
        <v>441</v>
      </c>
      <c r="G757">
        <v>0</v>
      </c>
      <c r="I757" s="5">
        <v>44044</v>
      </c>
      <c r="J757" s="5">
        <v>44306.666666666664</v>
      </c>
    </row>
    <row r="758" spans="1:10" x14ac:dyDescent="0.2">
      <c r="A758">
        <v>7117996</v>
      </c>
      <c r="B758">
        <v>3693064</v>
      </c>
      <c r="C758">
        <v>3692892</v>
      </c>
      <c r="D758">
        <v>21883</v>
      </c>
      <c r="E758">
        <v>21883</v>
      </c>
      <c r="F758" t="s">
        <v>441</v>
      </c>
      <c r="G758">
        <v>0</v>
      </c>
      <c r="I758" s="5">
        <v>44044</v>
      </c>
      <c r="J758" s="5">
        <v>44306.666666666664</v>
      </c>
    </row>
    <row r="759" spans="1:10" x14ac:dyDescent="0.2">
      <c r="A759">
        <v>7117997</v>
      </c>
      <c r="B759">
        <v>3693063</v>
      </c>
      <c r="C759">
        <v>3692892</v>
      </c>
      <c r="D759">
        <v>21883</v>
      </c>
      <c r="E759">
        <v>21883</v>
      </c>
      <c r="F759" t="s">
        <v>441</v>
      </c>
      <c r="G759">
        <v>0</v>
      </c>
      <c r="I759" s="5">
        <v>44044</v>
      </c>
      <c r="J759" s="5">
        <v>44306.666666666664</v>
      </c>
    </row>
    <row r="760" spans="1:10" x14ac:dyDescent="0.2">
      <c r="A760">
        <v>7117998</v>
      </c>
      <c r="B760">
        <v>3693061</v>
      </c>
      <c r="C760">
        <v>3692892</v>
      </c>
      <c r="D760">
        <v>21883</v>
      </c>
      <c r="E760">
        <v>21883</v>
      </c>
      <c r="F760" t="s">
        <v>441</v>
      </c>
      <c r="G760">
        <v>0</v>
      </c>
      <c r="I760" s="5">
        <v>44044</v>
      </c>
      <c r="J760" s="5">
        <v>44306.666666666664</v>
      </c>
    </row>
    <row r="761" spans="1:10" x14ac:dyDescent="0.2">
      <c r="A761">
        <v>7117999</v>
      </c>
      <c r="B761">
        <v>3693060</v>
      </c>
      <c r="C761">
        <v>3692892</v>
      </c>
      <c r="D761">
        <v>21883</v>
      </c>
      <c r="E761">
        <v>21883</v>
      </c>
      <c r="F761" t="s">
        <v>441</v>
      </c>
      <c r="G761">
        <v>0</v>
      </c>
      <c r="I761" s="5">
        <v>44044</v>
      </c>
      <c r="J761" s="5">
        <v>44306.666666666664</v>
      </c>
    </row>
    <row r="762" spans="1:10" x14ac:dyDescent="0.2">
      <c r="A762">
        <v>7118000</v>
      </c>
      <c r="B762">
        <v>3693062</v>
      </c>
      <c r="C762">
        <v>3692892</v>
      </c>
      <c r="D762">
        <v>21883</v>
      </c>
      <c r="E762">
        <v>21883</v>
      </c>
      <c r="F762" t="s">
        <v>441</v>
      </c>
      <c r="G762">
        <v>0</v>
      </c>
      <c r="I762" s="5">
        <v>44044</v>
      </c>
      <c r="J762" s="5">
        <v>44306.666666666664</v>
      </c>
    </row>
    <row r="763" spans="1:10" x14ac:dyDescent="0.2">
      <c r="A763">
        <v>7118001</v>
      </c>
      <c r="B763">
        <v>3693053</v>
      </c>
      <c r="C763">
        <v>3693054</v>
      </c>
      <c r="D763">
        <v>21883</v>
      </c>
      <c r="E763">
        <v>21883</v>
      </c>
      <c r="F763" t="s">
        <v>441</v>
      </c>
      <c r="G763">
        <v>0</v>
      </c>
      <c r="I763" s="5">
        <v>44258.666666666664</v>
      </c>
      <c r="J763" s="5">
        <v>44159.666666666664</v>
      </c>
    </row>
    <row r="764" spans="1:10" x14ac:dyDescent="0.2">
      <c r="A764">
        <v>7118002</v>
      </c>
      <c r="B764">
        <v>3693052</v>
      </c>
      <c r="C764">
        <v>3692892</v>
      </c>
      <c r="D764">
        <v>21883</v>
      </c>
      <c r="E764">
        <v>21883</v>
      </c>
      <c r="F764" t="s">
        <v>441</v>
      </c>
      <c r="G764">
        <v>0</v>
      </c>
      <c r="I764" s="5">
        <v>44044</v>
      </c>
      <c r="J764" s="5">
        <v>44306.666666666664</v>
      </c>
    </row>
    <row r="765" spans="1:10" x14ac:dyDescent="0.2">
      <c r="A765">
        <v>7118003</v>
      </c>
      <c r="B765">
        <v>3693050</v>
      </c>
      <c r="C765">
        <v>3692789</v>
      </c>
      <c r="D765">
        <v>21883</v>
      </c>
      <c r="E765">
        <v>21883</v>
      </c>
      <c r="F765" t="s">
        <v>441</v>
      </c>
      <c r="G765">
        <v>0</v>
      </c>
      <c r="I765" s="5">
        <v>44183.666666666664</v>
      </c>
      <c r="J765" s="5">
        <v>44117.333333333336</v>
      </c>
    </row>
    <row r="766" spans="1:10" x14ac:dyDescent="0.2">
      <c r="A766">
        <v>7118004</v>
      </c>
      <c r="B766">
        <v>3692884</v>
      </c>
      <c r="C766">
        <v>3692882</v>
      </c>
      <c r="D766">
        <v>21883</v>
      </c>
      <c r="E766">
        <v>21883</v>
      </c>
      <c r="F766" t="s">
        <v>441</v>
      </c>
      <c r="G766">
        <v>0</v>
      </c>
      <c r="I766" s="5">
        <v>44258.666666666664</v>
      </c>
      <c r="J766" s="5">
        <v>44273.666666666664</v>
      </c>
    </row>
    <row r="767" spans="1:10" x14ac:dyDescent="0.2">
      <c r="A767">
        <v>7118005</v>
      </c>
      <c r="B767">
        <v>3692789</v>
      </c>
      <c r="C767">
        <v>3693332</v>
      </c>
      <c r="D767">
        <v>21883</v>
      </c>
      <c r="E767">
        <v>21883</v>
      </c>
      <c r="F767" t="s">
        <v>440</v>
      </c>
      <c r="G767">
        <v>0</v>
      </c>
      <c r="I767" s="5">
        <v>44183.333333333336</v>
      </c>
      <c r="J767" s="5">
        <v>44116.666666666664</v>
      </c>
    </row>
    <row r="768" spans="1:10" x14ac:dyDescent="0.2">
      <c r="A768">
        <v>7118006</v>
      </c>
      <c r="B768">
        <v>3692789</v>
      </c>
      <c r="C768">
        <v>3692788</v>
      </c>
      <c r="D768">
        <v>21883</v>
      </c>
      <c r="E768">
        <v>21883</v>
      </c>
      <c r="F768" t="s">
        <v>441</v>
      </c>
      <c r="G768">
        <v>0</v>
      </c>
      <c r="I768" s="5">
        <v>44183.333333333336</v>
      </c>
      <c r="J768" s="5">
        <v>44116.333333333336</v>
      </c>
    </row>
    <row r="769" spans="1:10" x14ac:dyDescent="0.2">
      <c r="A769">
        <v>7118007</v>
      </c>
      <c r="B769">
        <v>3692788</v>
      </c>
      <c r="C769">
        <v>3693721</v>
      </c>
      <c r="D769">
        <v>21883</v>
      </c>
      <c r="E769">
        <v>21883</v>
      </c>
      <c r="F769" t="s">
        <v>441</v>
      </c>
      <c r="G769">
        <v>0</v>
      </c>
      <c r="I769" s="5">
        <v>44105.666666666664</v>
      </c>
      <c r="J769" s="5">
        <v>44113.666666666664</v>
      </c>
    </row>
    <row r="770" spans="1:10" x14ac:dyDescent="0.2">
      <c r="A770">
        <v>7118008</v>
      </c>
      <c r="B770">
        <v>3692789</v>
      </c>
      <c r="C770">
        <v>3693751</v>
      </c>
      <c r="D770">
        <v>21883</v>
      </c>
      <c r="E770">
        <v>21883</v>
      </c>
      <c r="F770" t="s">
        <v>441</v>
      </c>
      <c r="G770">
        <v>0</v>
      </c>
      <c r="I770" s="5">
        <v>44181.666666666664</v>
      </c>
      <c r="J770" s="5">
        <v>44116.333333333336</v>
      </c>
    </row>
    <row r="771" spans="1:10" x14ac:dyDescent="0.2">
      <c r="A771">
        <v>7118009</v>
      </c>
      <c r="B771">
        <v>3694120</v>
      </c>
      <c r="C771">
        <v>3693188</v>
      </c>
      <c r="D771">
        <v>21883</v>
      </c>
      <c r="E771">
        <v>21883</v>
      </c>
      <c r="F771" t="s">
        <v>441</v>
      </c>
      <c r="G771">
        <v>0</v>
      </c>
      <c r="I771" s="5">
        <v>44044</v>
      </c>
      <c r="J771" s="5">
        <v>43970.333333333336</v>
      </c>
    </row>
    <row r="772" spans="1:10" x14ac:dyDescent="0.2">
      <c r="A772">
        <v>7118010</v>
      </c>
      <c r="B772">
        <v>3692816</v>
      </c>
      <c r="C772">
        <v>3694122</v>
      </c>
      <c r="D772">
        <v>21883</v>
      </c>
      <c r="E772">
        <v>21883</v>
      </c>
      <c r="F772" t="s">
        <v>441</v>
      </c>
      <c r="G772">
        <v>0</v>
      </c>
      <c r="I772" s="5">
        <v>44044</v>
      </c>
      <c r="J772" s="5">
        <v>43970.333333333336</v>
      </c>
    </row>
    <row r="773" spans="1:10" x14ac:dyDescent="0.2">
      <c r="A773">
        <v>7118011</v>
      </c>
      <c r="B773">
        <v>3692790</v>
      </c>
      <c r="C773">
        <v>3693294</v>
      </c>
      <c r="D773">
        <v>21883</v>
      </c>
      <c r="E773">
        <v>21883</v>
      </c>
      <c r="F773" t="s">
        <v>441</v>
      </c>
      <c r="G773">
        <v>0</v>
      </c>
      <c r="I773" s="5">
        <v>44044</v>
      </c>
      <c r="J773" s="5">
        <v>43970.333333333336</v>
      </c>
    </row>
    <row r="774" spans="1:10" x14ac:dyDescent="0.2">
      <c r="A774">
        <v>7118012</v>
      </c>
      <c r="B774">
        <v>3693457</v>
      </c>
      <c r="C774">
        <v>3692790</v>
      </c>
      <c r="D774">
        <v>21883</v>
      </c>
      <c r="E774">
        <v>21883</v>
      </c>
      <c r="F774" t="s">
        <v>441</v>
      </c>
      <c r="G774">
        <v>0</v>
      </c>
      <c r="I774" s="5">
        <v>44044</v>
      </c>
      <c r="J774" s="5">
        <v>43970.333333333336</v>
      </c>
    </row>
    <row r="775" spans="1:10" x14ac:dyDescent="0.2">
      <c r="A775">
        <v>7118013</v>
      </c>
      <c r="B775">
        <v>3692790</v>
      </c>
      <c r="C775">
        <v>3692988</v>
      </c>
      <c r="D775">
        <v>21883</v>
      </c>
      <c r="E775">
        <v>21883</v>
      </c>
      <c r="F775" t="s">
        <v>441</v>
      </c>
      <c r="G775">
        <v>0</v>
      </c>
      <c r="I775" s="5">
        <v>44044</v>
      </c>
      <c r="J775" s="5">
        <v>43970.333333333336</v>
      </c>
    </row>
    <row r="776" spans="1:10" x14ac:dyDescent="0.2">
      <c r="A776">
        <v>7118014</v>
      </c>
      <c r="B776">
        <v>3692791</v>
      </c>
      <c r="C776">
        <v>3692988</v>
      </c>
      <c r="D776">
        <v>21883</v>
      </c>
      <c r="E776">
        <v>21883</v>
      </c>
      <c r="F776" t="s">
        <v>441</v>
      </c>
      <c r="G776">
        <v>0</v>
      </c>
      <c r="I776" s="5">
        <v>44044</v>
      </c>
      <c r="J776" s="5">
        <v>43970.333333333336</v>
      </c>
    </row>
    <row r="777" spans="1:10" x14ac:dyDescent="0.2">
      <c r="A777">
        <v>7118015</v>
      </c>
      <c r="B777">
        <v>3693457</v>
      </c>
      <c r="C777">
        <v>3692791</v>
      </c>
      <c r="D777">
        <v>21883</v>
      </c>
      <c r="E777">
        <v>21883</v>
      </c>
      <c r="F777" t="s">
        <v>441</v>
      </c>
      <c r="G777">
        <v>0</v>
      </c>
      <c r="I777" s="5">
        <v>44044</v>
      </c>
      <c r="J777" s="5">
        <v>43970.333333333336</v>
      </c>
    </row>
    <row r="778" spans="1:10" x14ac:dyDescent="0.2">
      <c r="A778">
        <v>7118016</v>
      </c>
      <c r="B778">
        <v>3692791</v>
      </c>
      <c r="C778">
        <v>3692982</v>
      </c>
      <c r="D778">
        <v>21883</v>
      </c>
      <c r="E778">
        <v>21883</v>
      </c>
      <c r="F778" t="s">
        <v>441</v>
      </c>
      <c r="G778">
        <v>0</v>
      </c>
      <c r="I778" s="5">
        <v>44044</v>
      </c>
      <c r="J778" s="5">
        <v>43970.333333333336</v>
      </c>
    </row>
    <row r="779" spans="1:10" x14ac:dyDescent="0.2">
      <c r="A779">
        <v>7118017</v>
      </c>
      <c r="B779">
        <v>3692792</v>
      </c>
      <c r="C779">
        <v>3692982</v>
      </c>
      <c r="D779">
        <v>21883</v>
      </c>
      <c r="E779">
        <v>21883</v>
      </c>
      <c r="F779" t="s">
        <v>441</v>
      </c>
      <c r="G779">
        <v>0</v>
      </c>
      <c r="I779" s="5">
        <v>44044</v>
      </c>
      <c r="J779" s="5">
        <v>43970.333333333336</v>
      </c>
    </row>
    <row r="780" spans="1:10" x14ac:dyDescent="0.2">
      <c r="A780">
        <v>7118018</v>
      </c>
      <c r="B780">
        <v>3693450</v>
      </c>
      <c r="C780">
        <v>3692792</v>
      </c>
      <c r="D780">
        <v>21883</v>
      </c>
      <c r="E780">
        <v>21883</v>
      </c>
      <c r="F780" t="s">
        <v>441</v>
      </c>
      <c r="G780">
        <v>0</v>
      </c>
      <c r="I780" s="5">
        <v>44044</v>
      </c>
      <c r="J780" s="5">
        <v>43970.333333333336</v>
      </c>
    </row>
    <row r="781" spans="1:10" x14ac:dyDescent="0.2">
      <c r="A781">
        <v>7118019</v>
      </c>
      <c r="B781">
        <v>3692792</v>
      </c>
      <c r="C781">
        <v>3692976</v>
      </c>
      <c r="D781">
        <v>21883</v>
      </c>
      <c r="E781">
        <v>21883</v>
      </c>
      <c r="F781" t="s">
        <v>441</v>
      </c>
      <c r="G781">
        <v>0</v>
      </c>
      <c r="I781" s="5">
        <v>44044</v>
      </c>
      <c r="J781" s="5">
        <v>43970.333333333336</v>
      </c>
    </row>
    <row r="782" spans="1:10" x14ac:dyDescent="0.2">
      <c r="A782">
        <v>7118020</v>
      </c>
      <c r="B782">
        <v>3693443</v>
      </c>
      <c r="C782">
        <v>3692793</v>
      </c>
      <c r="D782">
        <v>21883</v>
      </c>
      <c r="E782">
        <v>21883</v>
      </c>
      <c r="F782" t="s">
        <v>441</v>
      </c>
      <c r="G782">
        <v>0</v>
      </c>
      <c r="I782" s="5">
        <v>44044</v>
      </c>
      <c r="J782" s="5">
        <v>43970.333333333336</v>
      </c>
    </row>
    <row r="783" spans="1:10" x14ac:dyDescent="0.2">
      <c r="A783">
        <v>7118021</v>
      </c>
      <c r="B783">
        <v>3692793</v>
      </c>
      <c r="C783">
        <v>3692976</v>
      </c>
      <c r="D783">
        <v>21883</v>
      </c>
      <c r="E783">
        <v>21883</v>
      </c>
      <c r="F783" t="s">
        <v>441</v>
      </c>
      <c r="G783">
        <v>0</v>
      </c>
      <c r="I783" s="5">
        <v>44044</v>
      </c>
      <c r="J783" s="5">
        <v>43970.333333333336</v>
      </c>
    </row>
    <row r="784" spans="1:10" x14ac:dyDescent="0.2">
      <c r="A784">
        <v>7118022</v>
      </c>
      <c r="B784">
        <v>3692793</v>
      </c>
      <c r="C784">
        <v>3692970</v>
      </c>
      <c r="D784">
        <v>21883</v>
      </c>
      <c r="E784">
        <v>21883</v>
      </c>
      <c r="F784" t="s">
        <v>441</v>
      </c>
      <c r="G784">
        <v>0</v>
      </c>
      <c r="I784" s="5">
        <v>44044</v>
      </c>
      <c r="J784" s="5">
        <v>43970.333333333336</v>
      </c>
    </row>
    <row r="785" spans="1:10" x14ac:dyDescent="0.2">
      <c r="A785">
        <v>7118023</v>
      </c>
      <c r="B785">
        <v>3692794</v>
      </c>
      <c r="C785">
        <v>3692970</v>
      </c>
      <c r="D785">
        <v>21883</v>
      </c>
      <c r="E785">
        <v>21883</v>
      </c>
      <c r="F785" t="s">
        <v>441</v>
      </c>
      <c r="G785">
        <v>0</v>
      </c>
      <c r="I785" s="5">
        <v>44044</v>
      </c>
      <c r="J785" s="5">
        <v>43970.333333333336</v>
      </c>
    </row>
    <row r="786" spans="1:10" x14ac:dyDescent="0.2">
      <c r="A786">
        <v>7118024</v>
      </c>
      <c r="B786">
        <v>3693441</v>
      </c>
      <c r="C786">
        <v>3692794</v>
      </c>
      <c r="D786">
        <v>21883</v>
      </c>
      <c r="E786">
        <v>21883</v>
      </c>
      <c r="F786" t="s">
        <v>441</v>
      </c>
      <c r="G786">
        <v>0</v>
      </c>
      <c r="I786" s="5">
        <v>44044</v>
      </c>
      <c r="J786" s="5">
        <v>43970.333333333336</v>
      </c>
    </row>
    <row r="787" spans="1:10" x14ac:dyDescent="0.2">
      <c r="A787">
        <v>7118025</v>
      </c>
      <c r="B787">
        <v>3692794</v>
      </c>
      <c r="C787">
        <v>3692964</v>
      </c>
      <c r="D787">
        <v>21883</v>
      </c>
      <c r="E787">
        <v>21883</v>
      </c>
      <c r="F787" t="s">
        <v>441</v>
      </c>
      <c r="G787">
        <v>0</v>
      </c>
      <c r="I787" s="5">
        <v>44044</v>
      </c>
      <c r="J787" s="5">
        <v>43970.333333333336</v>
      </c>
    </row>
    <row r="788" spans="1:10" x14ac:dyDescent="0.2">
      <c r="A788">
        <v>7118026</v>
      </c>
      <c r="B788">
        <v>3692795</v>
      </c>
      <c r="C788">
        <v>3692970</v>
      </c>
      <c r="D788">
        <v>21883</v>
      </c>
      <c r="E788">
        <v>21883</v>
      </c>
      <c r="F788" t="s">
        <v>441</v>
      </c>
      <c r="G788">
        <v>0</v>
      </c>
      <c r="I788" s="5">
        <v>44044</v>
      </c>
      <c r="J788" s="5">
        <v>43970.333333333336</v>
      </c>
    </row>
    <row r="789" spans="1:10" x14ac:dyDescent="0.2">
      <c r="A789">
        <v>7118027</v>
      </c>
      <c r="B789">
        <v>3692795</v>
      </c>
      <c r="C789">
        <v>3692958</v>
      </c>
      <c r="D789">
        <v>21883</v>
      </c>
      <c r="E789">
        <v>21883</v>
      </c>
      <c r="F789" t="s">
        <v>441</v>
      </c>
      <c r="G789">
        <v>0</v>
      </c>
      <c r="I789" s="5">
        <v>44044</v>
      </c>
      <c r="J789" s="5">
        <v>43970.333333333336</v>
      </c>
    </row>
    <row r="790" spans="1:10" x14ac:dyDescent="0.2">
      <c r="A790">
        <v>7118028</v>
      </c>
      <c r="B790">
        <v>3692796</v>
      </c>
      <c r="C790">
        <v>3692958</v>
      </c>
      <c r="D790">
        <v>21883</v>
      </c>
      <c r="E790">
        <v>21883</v>
      </c>
      <c r="F790" t="s">
        <v>441</v>
      </c>
      <c r="G790">
        <v>0</v>
      </c>
      <c r="I790" s="5">
        <v>44044</v>
      </c>
      <c r="J790" s="5">
        <v>43970.333333333336</v>
      </c>
    </row>
    <row r="791" spans="1:10" x14ac:dyDescent="0.2">
      <c r="A791">
        <v>7118029</v>
      </c>
      <c r="B791">
        <v>3692796</v>
      </c>
      <c r="C791">
        <v>3692952</v>
      </c>
      <c r="D791">
        <v>21883</v>
      </c>
      <c r="E791">
        <v>21883</v>
      </c>
      <c r="F791" t="s">
        <v>441</v>
      </c>
      <c r="G791">
        <v>0</v>
      </c>
      <c r="I791" s="5">
        <v>44044</v>
      </c>
      <c r="J791" s="5">
        <v>43970.333333333336</v>
      </c>
    </row>
    <row r="792" spans="1:10" x14ac:dyDescent="0.2">
      <c r="A792">
        <v>7118030</v>
      </c>
      <c r="B792">
        <v>3692797</v>
      </c>
      <c r="C792">
        <v>3692952</v>
      </c>
      <c r="D792">
        <v>21883</v>
      </c>
      <c r="E792">
        <v>21883</v>
      </c>
      <c r="F792" t="s">
        <v>441</v>
      </c>
      <c r="G792">
        <v>0</v>
      </c>
      <c r="I792" s="5">
        <v>44044</v>
      </c>
      <c r="J792" s="5">
        <v>43970.333333333336</v>
      </c>
    </row>
    <row r="793" spans="1:10" x14ac:dyDescent="0.2">
      <c r="A793">
        <v>7118031</v>
      </c>
      <c r="B793">
        <v>3693413</v>
      </c>
      <c r="C793">
        <v>3692798</v>
      </c>
      <c r="D793">
        <v>21883</v>
      </c>
      <c r="E793">
        <v>21883</v>
      </c>
      <c r="F793" t="s">
        <v>441</v>
      </c>
      <c r="G793">
        <v>0</v>
      </c>
      <c r="I793" s="5">
        <v>44044</v>
      </c>
      <c r="J793" s="5">
        <v>43970.333333333336</v>
      </c>
    </row>
    <row r="794" spans="1:10" x14ac:dyDescent="0.2">
      <c r="A794">
        <v>7118032</v>
      </c>
      <c r="B794">
        <v>3692798</v>
      </c>
      <c r="C794">
        <v>3692946</v>
      </c>
      <c r="D794">
        <v>21883</v>
      </c>
      <c r="E794">
        <v>21883</v>
      </c>
      <c r="F794" t="s">
        <v>441</v>
      </c>
      <c r="G794">
        <v>0</v>
      </c>
      <c r="I794" s="5">
        <v>44044</v>
      </c>
      <c r="J794" s="5">
        <v>43970.333333333336</v>
      </c>
    </row>
    <row r="795" spans="1:10" x14ac:dyDescent="0.2">
      <c r="A795">
        <v>7118033</v>
      </c>
      <c r="B795">
        <v>3692798</v>
      </c>
      <c r="C795">
        <v>3693290</v>
      </c>
      <c r="D795">
        <v>21883</v>
      </c>
      <c r="E795">
        <v>21883</v>
      </c>
      <c r="F795" t="s">
        <v>441</v>
      </c>
      <c r="G795">
        <v>0</v>
      </c>
      <c r="I795" s="5">
        <v>44044</v>
      </c>
      <c r="J795" s="5">
        <v>43970.333333333336</v>
      </c>
    </row>
    <row r="796" spans="1:10" x14ac:dyDescent="0.2">
      <c r="A796">
        <v>7118034</v>
      </c>
      <c r="B796">
        <v>3693289</v>
      </c>
      <c r="C796">
        <v>3692945</v>
      </c>
      <c r="D796">
        <v>21883</v>
      </c>
      <c r="E796">
        <v>21883</v>
      </c>
      <c r="F796" t="s">
        <v>441</v>
      </c>
      <c r="G796">
        <v>0</v>
      </c>
      <c r="I796" s="5">
        <v>44044</v>
      </c>
      <c r="J796" s="5">
        <v>43970.333333333336</v>
      </c>
    </row>
    <row r="797" spans="1:10" x14ac:dyDescent="0.2">
      <c r="A797">
        <v>7118035</v>
      </c>
      <c r="B797">
        <v>3692975</v>
      </c>
      <c r="C797">
        <v>3693294</v>
      </c>
      <c r="D797">
        <v>21883</v>
      </c>
      <c r="E797">
        <v>21883</v>
      </c>
      <c r="F797" t="s">
        <v>441</v>
      </c>
      <c r="G797">
        <v>0</v>
      </c>
      <c r="I797" s="5">
        <v>44044</v>
      </c>
      <c r="J797" s="5">
        <v>43970.333333333336</v>
      </c>
    </row>
    <row r="798" spans="1:10" x14ac:dyDescent="0.2">
      <c r="A798">
        <v>7118036</v>
      </c>
      <c r="B798">
        <v>3693294</v>
      </c>
      <c r="C798">
        <v>3692981</v>
      </c>
      <c r="D798">
        <v>21883</v>
      </c>
      <c r="E798">
        <v>21883</v>
      </c>
      <c r="F798" t="s">
        <v>441</v>
      </c>
      <c r="G798">
        <v>0</v>
      </c>
      <c r="I798" s="5">
        <v>44044</v>
      </c>
      <c r="J798" s="5">
        <v>43970.333333333336</v>
      </c>
    </row>
    <row r="799" spans="1:10" x14ac:dyDescent="0.2">
      <c r="A799">
        <v>7118037</v>
      </c>
      <c r="B799">
        <v>3692945</v>
      </c>
      <c r="C799">
        <v>3692951</v>
      </c>
      <c r="D799">
        <v>21883</v>
      </c>
      <c r="E799">
        <v>21883</v>
      </c>
      <c r="F799" t="s">
        <v>441</v>
      </c>
      <c r="G799">
        <v>0</v>
      </c>
      <c r="I799" s="5">
        <v>44044</v>
      </c>
      <c r="J799" s="5">
        <v>43970.333333333336</v>
      </c>
    </row>
    <row r="800" spans="1:10" x14ac:dyDescent="0.2">
      <c r="A800">
        <v>7118038</v>
      </c>
      <c r="B800">
        <v>3692951</v>
      </c>
      <c r="C800">
        <v>3692957</v>
      </c>
      <c r="D800">
        <v>21883</v>
      </c>
      <c r="E800">
        <v>21883</v>
      </c>
      <c r="F800" t="s">
        <v>441</v>
      </c>
      <c r="G800">
        <v>0</v>
      </c>
      <c r="I800" s="5">
        <v>44044</v>
      </c>
      <c r="J800" s="5">
        <v>43970.333333333336</v>
      </c>
    </row>
    <row r="801" spans="1:10" x14ac:dyDescent="0.2">
      <c r="A801">
        <v>7118039</v>
      </c>
      <c r="B801">
        <v>3692957</v>
      </c>
      <c r="C801">
        <v>3692963</v>
      </c>
      <c r="D801">
        <v>21883</v>
      </c>
      <c r="E801">
        <v>21883</v>
      </c>
      <c r="F801" t="s">
        <v>441</v>
      </c>
      <c r="G801">
        <v>0</v>
      </c>
      <c r="I801" s="5">
        <v>44044</v>
      </c>
      <c r="J801" s="5">
        <v>43970.333333333336</v>
      </c>
    </row>
    <row r="802" spans="1:10" x14ac:dyDescent="0.2">
      <c r="A802">
        <v>7118040</v>
      </c>
      <c r="B802">
        <v>3692963</v>
      </c>
      <c r="C802">
        <v>3692969</v>
      </c>
      <c r="D802">
        <v>21883</v>
      </c>
      <c r="E802">
        <v>21883</v>
      </c>
      <c r="F802" t="s">
        <v>441</v>
      </c>
      <c r="G802">
        <v>0</v>
      </c>
      <c r="I802" s="5">
        <v>44044</v>
      </c>
      <c r="J802" s="5">
        <v>43970.333333333336</v>
      </c>
    </row>
    <row r="803" spans="1:10" x14ac:dyDescent="0.2">
      <c r="A803">
        <v>7118041</v>
      </c>
      <c r="B803">
        <v>3692969</v>
      </c>
      <c r="C803">
        <v>3692975</v>
      </c>
      <c r="D803">
        <v>21883</v>
      </c>
      <c r="E803">
        <v>21883</v>
      </c>
      <c r="F803" t="s">
        <v>441</v>
      </c>
      <c r="G803">
        <v>0</v>
      </c>
      <c r="I803" s="5">
        <v>44044</v>
      </c>
      <c r="J803" s="5">
        <v>43970.333333333336</v>
      </c>
    </row>
    <row r="804" spans="1:10" x14ac:dyDescent="0.2">
      <c r="A804">
        <v>7118042</v>
      </c>
      <c r="B804">
        <v>3692981</v>
      </c>
      <c r="C804">
        <v>3692987</v>
      </c>
      <c r="D804">
        <v>21883</v>
      </c>
      <c r="E804">
        <v>21883</v>
      </c>
      <c r="F804" t="s">
        <v>441</v>
      </c>
      <c r="G804">
        <v>0</v>
      </c>
      <c r="I804" s="5">
        <v>44044</v>
      </c>
      <c r="J804" s="5">
        <v>43970.333333333336</v>
      </c>
    </row>
    <row r="805" spans="1:10" x14ac:dyDescent="0.2">
      <c r="A805">
        <v>7118043</v>
      </c>
      <c r="B805">
        <v>3692882</v>
      </c>
      <c r="C805">
        <v>3693721</v>
      </c>
      <c r="D805">
        <v>21883</v>
      </c>
      <c r="E805">
        <v>21883</v>
      </c>
      <c r="F805" t="s">
        <v>441</v>
      </c>
      <c r="G805">
        <v>0</v>
      </c>
      <c r="I805" s="5">
        <v>44105.666666666664</v>
      </c>
      <c r="J805" s="5">
        <v>44273.666666666664</v>
      </c>
    </row>
    <row r="806" spans="1:10" x14ac:dyDescent="0.2">
      <c r="A806">
        <v>7118044</v>
      </c>
      <c r="B806">
        <v>3693203</v>
      </c>
      <c r="C806">
        <v>3694109</v>
      </c>
      <c r="D806">
        <v>21883</v>
      </c>
      <c r="E806">
        <v>21883</v>
      </c>
      <c r="F806" t="s">
        <v>441</v>
      </c>
      <c r="G806">
        <v>0</v>
      </c>
      <c r="I806" s="5">
        <v>44044</v>
      </c>
      <c r="J806" s="5">
        <v>43986.333333333336</v>
      </c>
    </row>
    <row r="807" spans="1:10" x14ac:dyDescent="0.2">
      <c r="A807">
        <v>7118045</v>
      </c>
      <c r="B807">
        <v>3692826</v>
      </c>
      <c r="C807">
        <v>3693076</v>
      </c>
      <c r="D807">
        <v>21883</v>
      </c>
      <c r="E807">
        <v>21883</v>
      </c>
      <c r="F807" t="s">
        <v>441</v>
      </c>
      <c r="G807">
        <v>0</v>
      </c>
      <c r="I807" s="5">
        <v>44044</v>
      </c>
      <c r="J807" s="5">
        <v>44306.666666666664</v>
      </c>
    </row>
    <row r="808" spans="1:10" x14ac:dyDescent="0.2">
      <c r="A808">
        <v>7118046</v>
      </c>
      <c r="B808">
        <v>3692826</v>
      </c>
      <c r="C808">
        <v>3693031</v>
      </c>
      <c r="D808">
        <v>21883</v>
      </c>
      <c r="E808">
        <v>21883</v>
      </c>
      <c r="F808" t="s">
        <v>441</v>
      </c>
      <c r="G808">
        <v>0</v>
      </c>
      <c r="I808" s="5">
        <v>44044</v>
      </c>
      <c r="J808" s="5">
        <v>44306.666666666664</v>
      </c>
    </row>
    <row r="809" spans="1:10" x14ac:dyDescent="0.2">
      <c r="A809">
        <v>7118047</v>
      </c>
      <c r="B809">
        <v>3692826</v>
      </c>
      <c r="C809">
        <v>3693013</v>
      </c>
      <c r="D809">
        <v>21883</v>
      </c>
      <c r="E809">
        <v>21883</v>
      </c>
      <c r="F809" t="s">
        <v>441</v>
      </c>
      <c r="G809">
        <v>0</v>
      </c>
      <c r="I809" s="5">
        <v>44044</v>
      </c>
      <c r="J809" s="5">
        <v>44306.666666666664</v>
      </c>
    </row>
    <row r="810" spans="1:10" x14ac:dyDescent="0.2">
      <c r="A810">
        <v>7118048</v>
      </c>
      <c r="B810">
        <v>3692826</v>
      </c>
      <c r="C810">
        <v>3693082</v>
      </c>
      <c r="D810">
        <v>21883</v>
      </c>
      <c r="E810">
        <v>21883</v>
      </c>
      <c r="F810" t="s">
        <v>441</v>
      </c>
      <c r="G810">
        <v>0</v>
      </c>
      <c r="I810" s="5">
        <v>44044</v>
      </c>
      <c r="J810" s="5">
        <v>44306.666666666664</v>
      </c>
    </row>
    <row r="811" spans="1:10" x14ac:dyDescent="0.2">
      <c r="A811">
        <v>7118049</v>
      </c>
      <c r="B811">
        <v>3692826</v>
      </c>
      <c r="C811">
        <v>3693184</v>
      </c>
      <c r="D811">
        <v>21883</v>
      </c>
      <c r="E811">
        <v>21883</v>
      </c>
      <c r="F811" t="s">
        <v>441</v>
      </c>
      <c r="G811">
        <v>0</v>
      </c>
      <c r="I811" s="5">
        <v>44044</v>
      </c>
      <c r="J811" s="5">
        <v>44306.666666666664</v>
      </c>
    </row>
    <row r="812" spans="1:10" x14ac:dyDescent="0.2">
      <c r="A812">
        <v>7118050</v>
      </c>
      <c r="B812">
        <v>3692826</v>
      </c>
      <c r="C812">
        <v>3693185</v>
      </c>
      <c r="D812">
        <v>21883</v>
      </c>
      <c r="E812">
        <v>21883</v>
      </c>
      <c r="F812" t="s">
        <v>441</v>
      </c>
      <c r="G812">
        <v>0</v>
      </c>
      <c r="I812" s="5">
        <v>44044</v>
      </c>
      <c r="J812" s="5">
        <v>44306.666666666664</v>
      </c>
    </row>
    <row r="813" spans="1:10" x14ac:dyDescent="0.2">
      <c r="A813">
        <v>7118051</v>
      </c>
      <c r="B813">
        <v>3692826</v>
      </c>
      <c r="C813">
        <v>3693183</v>
      </c>
      <c r="D813">
        <v>21883</v>
      </c>
      <c r="E813">
        <v>21883</v>
      </c>
      <c r="F813" t="s">
        <v>441</v>
      </c>
      <c r="G813">
        <v>0</v>
      </c>
      <c r="I813" s="5">
        <v>44044</v>
      </c>
      <c r="J813" s="5">
        <v>44306.666666666664</v>
      </c>
    </row>
    <row r="814" spans="1:10" x14ac:dyDescent="0.2">
      <c r="A814">
        <v>7118052</v>
      </c>
      <c r="B814">
        <v>3692826</v>
      </c>
      <c r="C814">
        <v>3693226</v>
      </c>
      <c r="D814">
        <v>21883</v>
      </c>
      <c r="E814">
        <v>21883</v>
      </c>
      <c r="F814" t="s">
        <v>441</v>
      </c>
      <c r="G814">
        <v>0</v>
      </c>
      <c r="I814" s="5">
        <v>44044</v>
      </c>
      <c r="J814" s="5">
        <v>44306.666666666664</v>
      </c>
    </row>
    <row r="815" spans="1:10" x14ac:dyDescent="0.2">
      <c r="A815">
        <v>7118053</v>
      </c>
      <c r="B815">
        <v>3692826</v>
      </c>
      <c r="C815">
        <v>3693178</v>
      </c>
      <c r="D815">
        <v>21883</v>
      </c>
      <c r="E815">
        <v>21883</v>
      </c>
      <c r="F815" t="s">
        <v>441</v>
      </c>
      <c r="G815">
        <v>0</v>
      </c>
      <c r="I815" s="5">
        <v>44044</v>
      </c>
      <c r="J815" s="5">
        <v>44306.666666666664</v>
      </c>
    </row>
    <row r="816" spans="1:10" x14ac:dyDescent="0.2">
      <c r="A816">
        <v>7118054</v>
      </c>
      <c r="B816">
        <v>3692826</v>
      </c>
      <c r="C816">
        <v>3693179</v>
      </c>
      <c r="D816">
        <v>21883</v>
      </c>
      <c r="E816">
        <v>21883</v>
      </c>
      <c r="F816" t="s">
        <v>441</v>
      </c>
      <c r="G816">
        <v>0</v>
      </c>
      <c r="I816" s="5">
        <v>44044</v>
      </c>
      <c r="J816" s="5">
        <v>44306.666666666664</v>
      </c>
    </row>
    <row r="817" spans="1:10" x14ac:dyDescent="0.2">
      <c r="A817">
        <v>7118055</v>
      </c>
      <c r="B817">
        <v>3692826</v>
      </c>
      <c r="C817">
        <v>3693177</v>
      </c>
      <c r="D817">
        <v>21883</v>
      </c>
      <c r="E817">
        <v>21883</v>
      </c>
      <c r="F817" t="s">
        <v>441</v>
      </c>
      <c r="G817">
        <v>0</v>
      </c>
      <c r="I817" s="5">
        <v>44044</v>
      </c>
      <c r="J817" s="5">
        <v>44306.666666666664</v>
      </c>
    </row>
    <row r="818" spans="1:10" x14ac:dyDescent="0.2">
      <c r="A818">
        <v>7118056</v>
      </c>
      <c r="B818">
        <v>3692826</v>
      </c>
      <c r="C818">
        <v>3693218</v>
      </c>
      <c r="D818">
        <v>21883</v>
      </c>
      <c r="E818">
        <v>21883</v>
      </c>
      <c r="F818" t="s">
        <v>441</v>
      </c>
      <c r="G818">
        <v>0</v>
      </c>
      <c r="I818" s="5">
        <v>44044</v>
      </c>
      <c r="J818" s="5">
        <v>44306.666666666664</v>
      </c>
    </row>
    <row r="819" spans="1:10" x14ac:dyDescent="0.2">
      <c r="A819">
        <v>7118057</v>
      </c>
      <c r="B819">
        <v>3692826</v>
      </c>
      <c r="C819">
        <v>3693181</v>
      </c>
      <c r="D819">
        <v>21883</v>
      </c>
      <c r="E819">
        <v>21883</v>
      </c>
      <c r="F819" t="s">
        <v>441</v>
      </c>
      <c r="G819">
        <v>0</v>
      </c>
      <c r="I819" s="5">
        <v>44044</v>
      </c>
      <c r="J819" s="5">
        <v>44306.666666666664</v>
      </c>
    </row>
    <row r="820" spans="1:10" x14ac:dyDescent="0.2">
      <c r="A820">
        <v>7118058</v>
      </c>
      <c r="B820">
        <v>3692826</v>
      </c>
      <c r="C820">
        <v>3693182</v>
      </c>
      <c r="D820">
        <v>21883</v>
      </c>
      <c r="E820">
        <v>21883</v>
      </c>
      <c r="F820" t="s">
        <v>441</v>
      </c>
      <c r="G820">
        <v>0</v>
      </c>
      <c r="I820" s="5">
        <v>44044</v>
      </c>
      <c r="J820" s="5">
        <v>44306.666666666664</v>
      </c>
    </row>
    <row r="821" spans="1:10" x14ac:dyDescent="0.2">
      <c r="A821">
        <v>7118059</v>
      </c>
      <c r="B821">
        <v>3692826</v>
      </c>
      <c r="C821">
        <v>3694023</v>
      </c>
      <c r="D821">
        <v>21883</v>
      </c>
      <c r="E821">
        <v>21883</v>
      </c>
      <c r="F821" t="s">
        <v>441</v>
      </c>
      <c r="G821">
        <v>0</v>
      </c>
      <c r="I821" s="5">
        <v>44044</v>
      </c>
      <c r="J821" s="5">
        <v>44306.666666666664</v>
      </c>
    </row>
    <row r="822" spans="1:10" x14ac:dyDescent="0.2">
      <c r="A822">
        <v>7118060</v>
      </c>
      <c r="B822">
        <v>3692826</v>
      </c>
      <c r="C822">
        <v>3694025</v>
      </c>
      <c r="D822">
        <v>21883</v>
      </c>
      <c r="E822">
        <v>21883</v>
      </c>
      <c r="F822" t="s">
        <v>441</v>
      </c>
      <c r="G822">
        <v>0</v>
      </c>
      <c r="I822" s="5">
        <v>44044</v>
      </c>
      <c r="J822" s="5">
        <v>44306.666666666664</v>
      </c>
    </row>
    <row r="823" spans="1:10" x14ac:dyDescent="0.2">
      <c r="A823">
        <v>7118061</v>
      </c>
      <c r="B823">
        <v>3692826</v>
      </c>
      <c r="C823">
        <v>3694024</v>
      </c>
      <c r="D823">
        <v>21883</v>
      </c>
      <c r="E823">
        <v>21883</v>
      </c>
      <c r="F823" t="s">
        <v>441</v>
      </c>
      <c r="G823">
        <v>0</v>
      </c>
      <c r="I823" s="5">
        <v>44044</v>
      </c>
      <c r="J823" s="5">
        <v>44306.666666666664</v>
      </c>
    </row>
    <row r="824" spans="1:10" x14ac:dyDescent="0.2">
      <c r="A824">
        <v>7118062</v>
      </c>
      <c r="B824">
        <v>3692826</v>
      </c>
      <c r="C824">
        <v>3694027</v>
      </c>
      <c r="D824">
        <v>21883</v>
      </c>
      <c r="E824">
        <v>21883</v>
      </c>
      <c r="F824" t="s">
        <v>441</v>
      </c>
      <c r="G824">
        <v>0</v>
      </c>
      <c r="I824" s="5">
        <v>44044</v>
      </c>
      <c r="J824" s="5">
        <v>44306.666666666664</v>
      </c>
    </row>
    <row r="825" spans="1:10" x14ac:dyDescent="0.2">
      <c r="A825">
        <v>7118063</v>
      </c>
      <c r="B825">
        <v>3692826</v>
      </c>
      <c r="C825">
        <v>3694028</v>
      </c>
      <c r="D825">
        <v>21883</v>
      </c>
      <c r="E825">
        <v>21883</v>
      </c>
      <c r="F825" t="s">
        <v>441</v>
      </c>
      <c r="G825">
        <v>0</v>
      </c>
      <c r="I825" s="5">
        <v>44044</v>
      </c>
      <c r="J825" s="5">
        <v>44306.666666666664</v>
      </c>
    </row>
    <row r="826" spans="1:10" x14ac:dyDescent="0.2">
      <c r="A826">
        <v>7118064</v>
      </c>
      <c r="B826">
        <v>3692826</v>
      </c>
      <c r="C826">
        <v>3694026</v>
      </c>
      <c r="D826">
        <v>21883</v>
      </c>
      <c r="E826">
        <v>21883</v>
      </c>
      <c r="F826" t="s">
        <v>441</v>
      </c>
      <c r="G826">
        <v>0</v>
      </c>
      <c r="I826" s="5">
        <v>44044</v>
      </c>
      <c r="J826" s="5">
        <v>44306.666666666664</v>
      </c>
    </row>
    <row r="827" spans="1:10" x14ac:dyDescent="0.2">
      <c r="A827">
        <v>7118065</v>
      </c>
      <c r="B827">
        <v>3692826</v>
      </c>
      <c r="C827">
        <v>3694035</v>
      </c>
      <c r="D827">
        <v>21883</v>
      </c>
      <c r="E827">
        <v>21883</v>
      </c>
      <c r="F827" t="s">
        <v>441</v>
      </c>
      <c r="G827">
        <v>0</v>
      </c>
      <c r="I827" s="5">
        <v>44044</v>
      </c>
      <c r="J827" s="5">
        <v>44306.666666666664</v>
      </c>
    </row>
    <row r="828" spans="1:10" x14ac:dyDescent="0.2">
      <c r="A828">
        <v>7118066</v>
      </c>
      <c r="B828">
        <v>3692826</v>
      </c>
      <c r="C828">
        <v>3694037</v>
      </c>
      <c r="D828">
        <v>21883</v>
      </c>
      <c r="E828">
        <v>21883</v>
      </c>
      <c r="F828" t="s">
        <v>441</v>
      </c>
      <c r="G828">
        <v>0</v>
      </c>
      <c r="I828" s="5">
        <v>44044</v>
      </c>
      <c r="J828" s="5">
        <v>44306.666666666664</v>
      </c>
    </row>
    <row r="829" spans="1:10" x14ac:dyDescent="0.2">
      <c r="A829">
        <v>7118067</v>
      </c>
      <c r="B829">
        <v>3692826</v>
      </c>
      <c r="C829">
        <v>3694036</v>
      </c>
      <c r="D829">
        <v>21883</v>
      </c>
      <c r="E829">
        <v>21883</v>
      </c>
      <c r="F829" t="s">
        <v>441</v>
      </c>
      <c r="G829">
        <v>0</v>
      </c>
      <c r="I829" s="5">
        <v>44044</v>
      </c>
      <c r="J829" s="5">
        <v>44306.666666666664</v>
      </c>
    </row>
    <row r="830" spans="1:10" x14ac:dyDescent="0.2">
      <c r="A830">
        <v>7118068</v>
      </c>
      <c r="B830">
        <v>3692826</v>
      </c>
      <c r="C830">
        <v>3694039</v>
      </c>
      <c r="D830">
        <v>21883</v>
      </c>
      <c r="E830">
        <v>21883</v>
      </c>
      <c r="F830" t="s">
        <v>441</v>
      </c>
      <c r="G830">
        <v>0</v>
      </c>
      <c r="I830" s="5">
        <v>44044</v>
      </c>
      <c r="J830" s="5">
        <v>44306.666666666664</v>
      </c>
    </row>
    <row r="831" spans="1:10" x14ac:dyDescent="0.2">
      <c r="A831">
        <v>7118069</v>
      </c>
      <c r="B831">
        <v>3692826</v>
      </c>
      <c r="C831">
        <v>3694040</v>
      </c>
      <c r="D831">
        <v>21883</v>
      </c>
      <c r="E831">
        <v>21883</v>
      </c>
      <c r="F831" t="s">
        <v>441</v>
      </c>
      <c r="G831">
        <v>0</v>
      </c>
      <c r="I831" s="5">
        <v>44044</v>
      </c>
      <c r="J831" s="5">
        <v>44306.666666666664</v>
      </c>
    </row>
    <row r="832" spans="1:10" x14ac:dyDescent="0.2">
      <c r="A832">
        <v>7118070</v>
      </c>
      <c r="B832">
        <v>3692826</v>
      </c>
      <c r="C832">
        <v>3694038</v>
      </c>
      <c r="D832">
        <v>21883</v>
      </c>
      <c r="E832">
        <v>21883</v>
      </c>
      <c r="F832" t="s">
        <v>441</v>
      </c>
      <c r="G832">
        <v>0</v>
      </c>
      <c r="I832" s="5">
        <v>44044</v>
      </c>
      <c r="J832" s="5">
        <v>44306.666666666664</v>
      </c>
    </row>
    <row r="833" spans="1:10" x14ac:dyDescent="0.2">
      <c r="A833">
        <v>7118071</v>
      </c>
      <c r="B833">
        <v>3692826</v>
      </c>
      <c r="C833">
        <v>3693056</v>
      </c>
      <c r="D833">
        <v>21883</v>
      </c>
      <c r="E833">
        <v>21883</v>
      </c>
      <c r="F833" t="s">
        <v>441</v>
      </c>
      <c r="G833">
        <v>0</v>
      </c>
      <c r="J833" s="5">
        <v>44306.666666666664</v>
      </c>
    </row>
    <row r="834" spans="1:10" x14ac:dyDescent="0.2">
      <c r="A834">
        <v>7118072</v>
      </c>
      <c r="B834">
        <v>3692826</v>
      </c>
      <c r="C834">
        <v>3693204</v>
      </c>
      <c r="D834">
        <v>21883</v>
      </c>
      <c r="E834">
        <v>21883</v>
      </c>
      <c r="F834" t="s">
        <v>441</v>
      </c>
      <c r="G834">
        <v>0</v>
      </c>
      <c r="I834" s="5">
        <v>44044</v>
      </c>
      <c r="J834" s="5">
        <v>44306.666666666664</v>
      </c>
    </row>
    <row r="835" spans="1:10" x14ac:dyDescent="0.2">
      <c r="A835">
        <v>7118073</v>
      </c>
      <c r="B835">
        <v>3692826</v>
      </c>
      <c r="C835">
        <v>3693333</v>
      </c>
      <c r="D835">
        <v>21883</v>
      </c>
      <c r="E835">
        <v>21883</v>
      </c>
      <c r="F835" t="s">
        <v>441</v>
      </c>
      <c r="G835">
        <v>0</v>
      </c>
      <c r="I835" s="5">
        <v>44044</v>
      </c>
      <c r="J835" s="5">
        <v>44306.666666666664</v>
      </c>
    </row>
    <row r="836" spans="1:10" x14ac:dyDescent="0.2">
      <c r="A836">
        <v>7118074</v>
      </c>
      <c r="B836">
        <v>3692826</v>
      </c>
      <c r="C836">
        <v>3693346</v>
      </c>
      <c r="D836">
        <v>21883</v>
      </c>
      <c r="E836">
        <v>21883</v>
      </c>
      <c r="F836" t="s">
        <v>441</v>
      </c>
      <c r="G836">
        <v>0</v>
      </c>
      <c r="I836" s="5">
        <v>44044</v>
      </c>
      <c r="J836" s="5">
        <v>44306.666666666664</v>
      </c>
    </row>
    <row r="837" spans="1:10" x14ac:dyDescent="0.2">
      <c r="A837">
        <v>7118075</v>
      </c>
      <c r="B837">
        <v>3692826</v>
      </c>
      <c r="C837">
        <v>3693269</v>
      </c>
      <c r="D837">
        <v>21883</v>
      </c>
      <c r="E837">
        <v>21883</v>
      </c>
      <c r="F837" t="s">
        <v>441</v>
      </c>
      <c r="G837">
        <v>0</v>
      </c>
      <c r="I837" s="5">
        <v>44044</v>
      </c>
      <c r="J837" s="5">
        <v>44306.666666666664</v>
      </c>
    </row>
    <row r="838" spans="1:10" x14ac:dyDescent="0.2">
      <c r="A838">
        <v>7118076</v>
      </c>
      <c r="B838">
        <v>3692826</v>
      </c>
      <c r="C838">
        <v>3693277</v>
      </c>
      <c r="D838">
        <v>21883</v>
      </c>
      <c r="E838">
        <v>21883</v>
      </c>
      <c r="F838" t="s">
        <v>441</v>
      </c>
      <c r="G838">
        <v>0</v>
      </c>
      <c r="I838" s="5">
        <v>44044</v>
      </c>
      <c r="J838" s="5">
        <v>44306.666666666664</v>
      </c>
    </row>
    <row r="839" spans="1:10" x14ac:dyDescent="0.2">
      <c r="A839">
        <v>7118077</v>
      </c>
      <c r="B839">
        <v>3692826</v>
      </c>
      <c r="C839">
        <v>3693347</v>
      </c>
      <c r="D839">
        <v>21883</v>
      </c>
      <c r="E839">
        <v>21883</v>
      </c>
      <c r="F839" t="s">
        <v>441</v>
      </c>
      <c r="G839">
        <v>0</v>
      </c>
      <c r="I839" s="5">
        <v>44044</v>
      </c>
      <c r="J839" s="5">
        <v>44306.666666666664</v>
      </c>
    </row>
    <row r="840" spans="1:10" x14ac:dyDescent="0.2">
      <c r="A840">
        <v>7118078</v>
      </c>
      <c r="B840">
        <v>3692826</v>
      </c>
      <c r="C840">
        <v>3693008</v>
      </c>
      <c r="D840">
        <v>21883</v>
      </c>
      <c r="E840">
        <v>21883</v>
      </c>
      <c r="F840" t="s">
        <v>441</v>
      </c>
      <c r="G840">
        <v>0</v>
      </c>
      <c r="I840" s="5">
        <v>44044</v>
      </c>
      <c r="J840" s="5">
        <v>44306.666666666664</v>
      </c>
    </row>
    <row r="841" spans="1:10" x14ac:dyDescent="0.2">
      <c r="A841">
        <v>7118079</v>
      </c>
      <c r="B841">
        <v>3692826</v>
      </c>
      <c r="C841">
        <v>3693234</v>
      </c>
      <c r="D841">
        <v>21883</v>
      </c>
      <c r="E841">
        <v>21883</v>
      </c>
      <c r="F841" t="s">
        <v>441</v>
      </c>
      <c r="G841">
        <v>0</v>
      </c>
      <c r="I841" s="5">
        <v>44044</v>
      </c>
      <c r="J841" s="5">
        <v>44306.666666666664</v>
      </c>
    </row>
    <row r="842" spans="1:10" x14ac:dyDescent="0.2">
      <c r="A842">
        <v>7118080</v>
      </c>
      <c r="B842">
        <v>3692826</v>
      </c>
      <c r="C842">
        <v>3693345</v>
      </c>
      <c r="D842">
        <v>21883</v>
      </c>
      <c r="E842">
        <v>21883</v>
      </c>
      <c r="F842" t="s">
        <v>440</v>
      </c>
      <c r="G842">
        <v>0</v>
      </c>
      <c r="I842" s="5">
        <v>44044</v>
      </c>
      <c r="J842" s="5">
        <v>44306.666666666664</v>
      </c>
    </row>
    <row r="843" spans="1:10" x14ac:dyDescent="0.2">
      <c r="A843">
        <v>7118081</v>
      </c>
      <c r="B843">
        <v>3692826</v>
      </c>
      <c r="C843">
        <v>3693345</v>
      </c>
      <c r="D843">
        <v>21883</v>
      </c>
      <c r="E843">
        <v>21883</v>
      </c>
      <c r="F843" t="s">
        <v>441</v>
      </c>
      <c r="G843">
        <v>0</v>
      </c>
      <c r="I843" s="5">
        <v>44044</v>
      </c>
      <c r="J843" s="5">
        <v>44306.666666666664</v>
      </c>
    </row>
    <row r="844" spans="1:10" x14ac:dyDescent="0.2">
      <c r="A844">
        <v>7118082</v>
      </c>
      <c r="B844">
        <v>3693076</v>
      </c>
      <c r="C844">
        <v>3692892</v>
      </c>
      <c r="D844">
        <v>21883</v>
      </c>
      <c r="E844">
        <v>21883</v>
      </c>
      <c r="F844" t="s">
        <v>441</v>
      </c>
      <c r="G844">
        <v>0</v>
      </c>
      <c r="I844" s="5">
        <v>44044</v>
      </c>
      <c r="J844" s="5">
        <v>44306.666666666664</v>
      </c>
    </row>
    <row r="845" spans="1:10" x14ac:dyDescent="0.2">
      <c r="A845">
        <v>7118083</v>
      </c>
      <c r="B845">
        <v>3693031</v>
      </c>
      <c r="C845">
        <v>3692892</v>
      </c>
      <c r="D845">
        <v>21883</v>
      </c>
      <c r="E845">
        <v>21883</v>
      </c>
      <c r="F845" t="s">
        <v>441</v>
      </c>
      <c r="G845">
        <v>0</v>
      </c>
      <c r="I845" s="5">
        <v>44044</v>
      </c>
      <c r="J845" s="5">
        <v>44306.666666666664</v>
      </c>
    </row>
    <row r="846" spans="1:10" x14ac:dyDescent="0.2">
      <c r="A846">
        <v>7118084</v>
      </c>
      <c r="B846">
        <v>3693013</v>
      </c>
      <c r="C846">
        <v>3692892</v>
      </c>
      <c r="D846">
        <v>21883</v>
      </c>
      <c r="E846">
        <v>21883</v>
      </c>
      <c r="F846" t="s">
        <v>441</v>
      </c>
      <c r="G846">
        <v>0</v>
      </c>
      <c r="I846" s="5">
        <v>44044</v>
      </c>
      <c r="J846" s="5">
        <v>44306.666666666664</v>
      </c>
    </row>
    <row r="847" spans="1:10" x14ac:dyDescent="0.2">
      <c r="A847">
        <v>7118085</v>
      </c>
      <c r="B847">
        <v>3693082</v>
      </c>
      <c r="C847">
        <v>3692892</v>
      </c>
      <c r="D847">
        <v>21883</v>
      </c>
      <c r="E847">
        <v>21883</v>
      </c>
      <c r="F847" t="s">
        <v>441</v>
      </c>
      <c r="G847">
        <v>0</v>
      </c>
      <c r="I847" s="5">
        <v>44044</v>
      </c>
      <c r="J847" s="5">
        <v>44306.666666666664</v>
      </c>
    </row>
    <row r="848" spans="1:10" x14ac:dyDescent="0.2">
      <c r="A848">
        <v>7118086</v>
      </c>
      <c r="B848">
        <v>3693184</v>
      </c>
      <c r="C848">
        <v>3692892</v>
      </c>
      <c r="D848">
        <v>21883</v>
      </c>
      <c r="E848">
        <v>21883</v>
      </c>
      <c r="F848" t="s">
        <v>441</v>
      </c>
      <c r="G848">
        <v>0</v>
      </c>
      <c r="I848" s="5">
        <v>44044</v>
      </c>
      <c r="J848" s="5">
        <v>44306.666666666664</v>
      </c>
    </row>
    <row r="849" spans="1:10" x14ac:dyDescent="0.2">
      <c r="A849">
        <v>7118087</v>
      </c>
      <c r="B849">
        <v>3693185</v>
      </c>
      <c r="C849">
        <v>3692892</v>
      </c>
      <c r="D849">
        <v>21883</v>
      </c>
      <c r="E849">
        <v>21883</v>
      </c>
      <c r="F849" t="s">
        <v>441</v>
      </c>
      <c r="G849">
        <v>0</v>
      </c>
      <c r="I849" s="5">
        <v>44044</v>
      </c>
      <c r="J849" s="5">
        <v>44306.666666666664</v>
      </c>
    </row>
    <row r="850" spans="1:10" x14ac:dyDescent="0.2">
      <c r="A850">
        <v>7118088</v>
      </c>
      <c r="B850">
        <v>3693183</v>
      </c>
      <c r="C850">
        <v>3692892</v>
      </c>
      <c r="D850">
        <v>21883</v>
      </c>
      <c r="E850">
        <v>21883</v>
      </c>
      <c r="F850" t="s">
        <v>441</v>
      </c>
      <c r="G850">
        <v>0</v>
      </c>
      <c r="I850" s="5">
        <v>44044</v>
      </c>
      <c r="J850" s="5">
        <v>44306.666666666664</v>
      </c>
    </row>
    <row r="851" spans="1:10" x14ac:dyDescent="0.2">
      <c r="A851">
        <v>7118089</v>
      </c>
      <c r="B851">
        <v>3693226</v>
      </c>
      <c r="C851">
        <v>3692892</v>
      </c>
      <c r="D851">
        <v>21883</v>
      </c>
      <c r="E851">
        <v>21883</v>
      </c>
      <c r="F851" t="s">
        <v>441</v>
      </c>
      <c r="G851">
        <v>0</v>
      </c>
      <c r="I851" s="5">
        <v>44044</v>
      </c>
      <c r="J851" s="5">
        <v>44306.666666666664</v>
      </c>
    </row>
    <row r="852" spans="1:10" x14ac:dyDescent="0.2">
      <c r="A852">
        <v>7118090</v>
      </c>
      <c r="B852">
        <v>3693178</v>
      </c>
      <c r="C852">
        <v>3692892</v>
      </c>
      <c r="D852">
        <v>21883</v>
      </c>
      <c r="E852">
        <v>21883</v>
      </c>
      <c r="F852" t="s">
        <v>441</v>
      </c>
      <c r="G852">
        <v>0</v>
      </c>
      <c r="I852" s="5">
        <v>44044</v>
      </c>
      <c r="J852" s="5">
        <v>44306.666666666664</v>
      </c>
    </row>
    <row r="853" spans="1:10" x14ac:dyDescent="0.2">
      <c r="A853">
        <v>7118091</v>
      </c>
      <c r="B853">
        <v>3693179</v>
      </c>
      <c r="C853">
        <v>3692892</v>
      </c>
      <c r="D853">
        <v>21883</v>
      </c>
      <c r="E853">
        <v>21883</v>
      </c>
      <c r="F853" t="s">
        <v>441</v>
      </c>
      <c r="G853">
        <v>0</v>
      </c>
      <c r="I853" s="5">
        <v>44044</v>
      </c>
      <c r="J853" s="5">
        <v>44306.666666666664</v>
      </c>
    </row>
    <row r="854" spans="1:10" x14ac:dyDescent="0.2">
      <c r="A854">
        <v>7118092</v>
      </c>
      <c r="B854">
        <v>3693177</v>
      </c>
      <c r="C854">
        <v>3692892</v>
      </c>
      <c r="D854">
        <v>21883</v>
      </c>
      <c r="E854">
        <v>21883</v>
      </c>
      <c r="F854" t="s">
        <v>441</v>
      </c>
      <c r="G854">
        <v>0</v>
      </c>
      <c r="I854" s="5">
        <v>44044</v>
      </c>
      <c r="J854" s="5">
        <v>44306.666666666664</v>
      </c>
    </row>
    <row r="855" spans="1:10" x14ac:dyDescent="0.2">
      <c r="A855">
        <v>7118093</v>
      </c>
      <c r="B855">
        <v>3693218</v>
      </c>
      <c r="C855">
        <v>3692892</v>
      </c>
      <c r="D855">
        <v>21883</v>
      </c>
      <c r="E855">
        <v>21883</v>
      </c>
      <c r="F855" t="s">
        <v>441</v>
      </c>
      <c r="G855">
        <v>0</v>
      </c>
      <c r="I855" s="5">
        <v>44044</v>
      </c>
      <c r="J855" s="5">
        <v>44306.666666666664</v>
      </c>
    </row>
    <row r="856" spans="1:10" x14ac:dyDescent="0.2">
      <c r="A856">
        <v>7118094</v>
      </c>
      <c r="B856">
        <v>3693181</v>
      </c>
      <c r="C856">
        <v>3692892</v>
      </c>
      <c r="D856">
        <v>21883</v>
      </c>
      <c r="E856">
        <v>21883</v>
      </c>
      <c r="F856" t="s">
        <v>441</v>
      </c>
      <c r="G856">
        <v>0</v>
      </c>
      <c r="I856" s="5">
        <v>44044</v>
      </c>
      <c r="J856" s="5">
        <v>44306.666666666664</v>
      </c>
    </row>
    <row r="857" spans="1:10" x14ac:dyDescent="0.2">
      <c r="A857">
        <v>7118095</v>
      </c>
      <c r="B857">
        <v>3693182</v>
      </c>
      <c r="C857">
        <v>3692892</v>
      </c>
      <c r="D857">
        <v>21883</v>
      </c>
      <c r="E857">
        <v>21883</v>
      </c>
      <c r="F857" t="s">
        <v>441</v>
      </c>
      <c r="G857">
        <v>0</v>
      </c>
      <c r="I857" s="5">
        <v>44044</v>
      </c>
      <c r="J857" s="5">
        <v>44306.666666666664</v>
      </c>
    </row>
    <row r="858" spans="1:10" x14ac:dyDescent="0.2">
      <c r="A858">
        <v>7118096</v>
      </c>
      <c r="B858">
        <v>3694023</v>
      </c>
      <c r="C858">
        <v>3692892</v>
      </c>
      <c r="D858">
        <v>21883</v>
      </c>
      <c r="E858">
        <v>21883</v>
      </c>
      <c r="F858" t="s">
        <v>441</v>
      </c>
      <c r="G858">
        <v>0</v>
      </c>
      <c r="I858" s="5">
        <v>44044</v>
      </c>
      <c r="J858" s="5">
        <v>44306.666666666664</v>
      </c>
    </row>
    <row r="859" spans="1:10" x14ac:dyDescent="0.2">
      <c r="A859">
        <v>7118097</v>
      </c>
      <c r="B859">
        <v>3694025</v>
      </c>
      <c r="C859">
        <v>3692892</v>
      </c>
      <c r="D859">
        <v>21883</v>
      </c>
      <c r="E859">
        <v>21883</v>
      </c>
      <c r="F859" t="s">
        <v>441</v>
      </c>
      <c r="G859">
        <v>0</v>
      </c>
      <c r="I859" s="5">
        <v>44044</v>
      </c>
      <c r="J859" s="5">
        <v>44306.666666666664</v>
      </c>
    </row>
    <row r="860" spans="1:10" x14ac:dyDescent="0.2">
      <c r="A860">
        <v>7118098</v>
      </c>
      <c r="B860">
        <v>3694024</v>
      </c>
      <c r="C860">
        <v>3692892</v>
      </c>
      <c r="D860">
        <v>21883</v>
      </c>
      <c r="E860">
        <v>21883</v>
      </c>
      <c r="F860" t="s">
        <v>441</v>
      </c>
      <c r="G860">
        <v>0</v>
      </c>
      <c r="I860" s="5">
        <v>44044</v>
      </c>
      <c r="J860" s="5">
        <v>44306.666666666664</v>
      </c>
    </row>
    <row r="861" spans="1:10" x14ac:dyDescent="0.2">
      <c r="A861">
        <v>7118099</v>
      </c>
      <c r="B861">
        <v>3694027</v>
      </c>
      <c r="C861">
        <v>3692892</v>
      </c>
      <c r="D861">
        <v>21883</v>
      </c>
      <c r="E861">
        <v>21883</v>
      </c>
      <c r="F861" t="s">
        <v>441</v>
      </c>
      <c r="G861">
        <v>0</v>
      </c>
      <c r="I861" s="5">
        <v>44044</v>
      </c>
      <c r="J861" s="5">
        <v>44306.666666666664</v>
      </c>
    </row>
    <row r="862" spans="1:10" x14ac:dyDescent="0.2">
      <c r="A862">
        <v>7118100</v>
      </c>
      <c r="B862">
        <v>3694028</v>
      </c>
      <c r="C862">
        <v>3692892</v>
      </c>
      <c r="D862">
        <v>21883</v>
      </c>
      <c r="E862">
        <v>21883</v>
      </c>
      <c r="F862" t="s">
        <v>441</v>
      </c>
      <c r="G862">
        <v>0</v>
      </c>
      <c r="I862" s="5">
        <v>44044</v>
      </c>
      <c r="J862" s="5">
        <v>44306.666666666664</v>
      </c>
    </row>
    <row r="863" spans="1:10" x14ac:dyDescent="0.2">
      <c r="A863">
        <v>7118101</v>
      </c>
      <c r="B863">
        <v>3694026</v>
      </c>
      <c r="C863">
        <v>3692892</v>
      </c>
      <c r="D863">
        <v>21883</v>
      </c>
      <c r="E863">
        <v>21883</v>
      </c>
      <c r="F863" t="s">
        <v>441</v>
      </c>
      <c r="G863">
        <v>0</v>
      </c>
      <c r="I863" s="5">
        <v>44044</v>
      </c>
      <c r="J863" s="5">
        <v>44306.666666666664</v>
      </c>
    </row>
    <row r="864" spans="1:10" x14ac:dyDescent="0.2">
      <c r="A864">
        <v>7118102</v>
      </c>
      <c r="B864">
        <v>3694035</v>
      </c>
      <c r="C864">
        <v>3692892</v>
      </c>
      <c r="D864">
        <v>21883</v>
      </c>
      <c r="E864">
        <v>21883</v>
      </c>
      <c r="F864" t="s">
        <v>441</v>
      </c>
      <c r="G864">
        <v>0</v>
      </c>
      <c r="I864" s="5">
        <v>44044</v>
      </c>
      <c r="J864" s="5">
        <v>44306.666666666664</v>
      </c>
    </row>
    <row r="865" spans="1:10" x14ac:dyDescent="0.2">
      <c r="A865">
        <v>7118103</v>
      </c>
      <c r="B865">
        <v>3694037</v>
      </c>
      <c r="C865">
        <v>3692892</v>
      </c>
      <c r="D865">
        <v>21883</v>
      </c>
      <c r="E865">
        <v>21883</v>
      </c>
      <c r="F865" t="s">
        <v>441</v>
      </c>
      <c r="G865">
        <v>0</v>
      </c>
      <c r="I865" s="5">
        <v>44044</v>
      </c>
      <c r="J865" s="5">
        <v>44306.666666666664</v>
      </c>
    </row>
    <row r="866" spans="1:10" x14ac:dyDescent="0.2">
      <c r="A866">
        <v>7118104</v>
      </c>
      <c r="B866">
        <v>3694036</v>
      </c>
      <c r="C866">
        <v>3692892</v>
      </c>
      <c r="D866">
        <v>21883</v>
      </c>
      <c r="E866">
        <v>21883</v>
      </c>
      <c r="F866" t="s">
        <v>441</v>
      </c>
      <c r="G866">
        <v>0</v>
      </c>
      <c r="I866" s="5">
        <v>44044</v>
      </c>
      <c r="J866" s="5">
        <v>44306.666666666664</v>
      </c>
    </row>
    <row r="867" spans="1:10" x14ac:dyDescent="0.2">
      <c r="A867">
        <v>7118105</v>
      </c>
      <c r="B867">
        <v>3694039</v>
      </c>
      <c r="C867">
        <v>3692892</v>
      </c>
      <c r="D867">
        <v>21883</v>
      </c>
      <c r="E867">
        <v>21883</v>
      </c>
      <c r="F867" t="s">
        <v>441</v>
      </c>
      <c r="G867">
        <v>0</v>
      </c>
      <c r="I867" s="5">
        <v>44044</v>
      </c>
      <c r="J867" s="5">
        <v>44306.666666666664</v>
      </c>
    </row>
    <row r="868" spans="1:10" x14ac:dyDescent="0.2">
      <c r="A868">
        <v>7118106</v>
      </c>
      <c r="B868">
        <v>3694040</v>
      </c>
      <c r="C868">
        <v>3692892</v>
      </c>
      <c r="D868">
        <v>21883</v>
      </c>
      <c r="E868">
        <v>21883</v>
      </c>
      <c r="F868" t="s">
        <v>441</v>
      </c>
      <c r="G868">
        <v>0</v>
      </c>
      <c r="I868" s="5">
        <v>44044</v>
      </c>
      <c r="J868" s="5">
        <v>44306.666666666664</v>
      </c>
    </row>
    <row r="869" spans="1:10" x14ac:dyDescent="0.2">
      <c r="A869">
        <v>7118107</v>
      </c>
      <c r="B869">
        <v>3694038</v>
      </c>
      <c r="C869">
        <v>3692892</v>
      </c>
      <c r="D869">
        <v>21883</v>
      </c>
      <c r="E869">
        <v>21883</v>
      </c>
      <c r="F869" t="s">
        <v>441</v>
      </c>
      <c r="G869">
        <v>0</v>
      </c>
      <c r="I869" s="5">
        <v>44044</v>
      </c>
      <c r="J869" s="5">
        <v>44306.666666666664</v>
      </c>
    </row>
    <row r="870" spans="1:10" x14ac:dyDescent="0.2">
      <c r="A870">
        <v>7118108</v>
      </c>
      <c r="B870">
        <v>3693056</v>
      </c>
      <c r="C870">
        <v>3692892</v>
      </c>
      <c r="D870">
        <v>21883</v>
      </c>
      <c r="E870">
        <v>21883</v>
      </c>
      <c r="F870" t="s">
        <v>441</v>
      </c>
      <c r="G870">
        <v>0</v>
      </c>
      <c r="I870" s="5">
        <v>44044</v>
      </c>
    </row>
    <row r="871" spans="1:10" x14ac:dyDescent="0.2">
      <c r="A871">
        <v>7118109</v>
      </c>
      <c r="B871">
        <v>3693204</v>
      </c>
      <c r="C871">
        <v>3692892</v>
      </c>
      <c r="D871">
        <v>21883</v>
      </c>
      <c r="E871">
        <v>21883</v>
      </c>
      <c r="F871" t="s">
        <v>442</v>
      </c>
      <c r="G871">
        <v>0</v>
      </c>
      <c r="I871" s="5">
        <v>44044</v>
      </c>
      <c r="J871" s="5">
        <v>44306.666666666664</v>
      </c>
    </row>
    <row r="872" spans="1:10" x14ac:dyDescent="0.2">
      <c r="A872">
        <v>7118110</v>
      </c>
      <c r="B872">
        <v>3693333</v>
      </c>
      <c r="C872">
        <v>3692892</v>
      </c>
      <c r="D872">
        <v>21883</v>
      </c>
      <c r="E872">
        <v>21883</v>
      </c>
      <c r="F872" t="s">
        <v>441</v>
      </c>
      <c r="G872">
        <v>0</v>
      </c>
      <c r="I872" s="5">
        <v>44044</v>
      </c>
      <c r="J872" s="5">
        <v>44306.666666666664</v>
      </c>
    </row>
    <row r="873" spans="1:10" x14ac:dyDescent="0.2">
      <c r="A873">
        <v>7118111</v>
      </c>
      <c r="B873">
        <v>3693346</v>
      </c>
      <c r="C873">
        <v>3692892</v>
      </c>
      <c r="D873">
        <v>21883</v>
      </c>
      <c r="E873">
        <v>21883</v>
      </c>
      <c r="F873" t="s">
        <v>441</v>
      </c>
      <c r="G873">
        <v>0</v>
      </c>
      <c r="I873" s="5">
        <v>44044</v>
      </c>
      <c r="J873" s="5">
        <v>44306.666666666664</v>
      </c>
    </row>
    <row r="874" spans="1:10" x14ac:dyDescent="0.2">
      <c r="A874">
        <v>7118112</v>
      </c>
      <c r="B874">
        <v>3693269</v>
      </c>
      <c r="C874">
        <v>3692892</v>
      </c>
      <c r="D874">
        <v>21883</v>
      </c>
      <c r="E874">
        <v>21883</v>
      </c>
      <c r="F874" t="s">
        <v>441</v>
      </c>
      <c r="G874">
        <v>0</v>
      </c>
      <c r="I874" s="5">
        <v>44044</v>
      </c>
      <c r="J874" s="5">
        <v>44306.666666666664</v>
      </c>
    </row>
    <row r="875" spans="1:10" x14ac:dyDescent="0.2">
      <c r="A875">
        <v>7118113</v>
      </c>
      <c r="B875">
        <v>3693277</v>
      </c>
      <c r="C875">
        <v>3692892</v>
      </c>
      <c r="D875">
        <v>21883</v>
      </c>
      <c r="E875">
        <v>21883</v>
      </c>
      <c r="F875" t="s">
        <v>441</v>
      </c>
      <c r="G875">
        <v>0</v>
      </c>
      <c r="I875" s="5">
        <v>44044</v>
      </c>
      <c r="J875" s="5">
        <v>44306.666666666664</v>
      </c>
    </row>
    <row r="876" spans="1:10" x14ac:dyDescent="0.2">
      <c r="A876">
        <v>7118114</v>
      </c>
      <c r="B876">
        <v>3693347</v>
      </c>
      <c r="C876">
        <v>3692892</v>
      </c>
      <c r="D876">
        <v>21883</v>
      </c>
      <c r="E876">
        <v>21883</v>
      </c>
      <c r="F876" t="s">
        <v>441</v>
      </c>
      <c r="G876">
        <v>0</v>
      </c>
      <c r="I876" s="5">
        <v>44044</v>
      </c>
      <c r="J876" s="5">
        <v>44306.666666666664</v>
      </c>
    </row>
    <row r="877" spans="1:10" x14ac:dyDescent="0.2">
      <c r="A877">
        <v>7118115</v>
      </c>
      <c r="B877">
        <v>3693008</v>
      </c>
      <c r="C877">
        <v>3692892</v>
      </c>
      <c r="D877">
        <v>21883</v>
      </c>
      <c r="E877">
        <v>21883</v>
      </c>
      <c r="F877" t="s">
        <v>441</v>
      </c>
      <c r="G877">
        <v>0</v>
      </c>
      <c r="I877" s="5">
        <v>44044</v>
      </c>
      <c r="J877" s="5">
        <v>44306.666666666664</v>
      </c>
    </row>
    <row r="878" spans="1:10" x14ac:dyDescent="0.2">
      <c r="A878">
        <v>7118116</v>
      </c>
      <c r="B878">
        <v>3693234</v>
      </c>
      <c r="C878">
        <v>3692892</v>
      </c>
      <c r="D878">
        <v>21883</v>
      </c>
      <c r="E878">
        <v>21883</v>
      </c>
      <c r="F878" t="s">
        <v>441</v>
      </c>
      <c r="G878">
        <v>0</v>
      </c>
      <c r="I878" s="5">
        <v>44044</v>
      </c>
      <c r="J878" s="5">
        <v>44306.666666666664</v>
      </c>
    </row>
    <row r="879" spans="1:10" x14ac:dyDescent="0.2">
      <c r="A879">
        <v>7118117</v>
      </c>
      <c r="B879">
        <v>3693345</v>
      </c>
      <c r="C879">
        <v>3692892</v>
      </c>
      <c r="D879">
        <v>21883</v>
      </c>
      <c r="E879">
        <v>21883</v>
      </c>
      <c r="F879" t="s">
        <v>441</v>
      </c>
      <c r="G879">
        <v>0</v>
      </c>
      <c r="I879" s="5">
        <v>44044</v>
      </c>
      <c r="J879" s="5">
        <v>44306.666666666664</v>
      </c>
    </row>
    <row r="880" spans="1:10" x14ac:dyDescent="0.2">
      <c r="A880">
        <v>7118118</v>
      </c>
      <c r="B880">
        <v>3693330</v>
      </c>
      <c r="C880">
        <v>3693329</v>
      </c>
      <c r="D880">
        <v>21883</v>
      </c>
      <c r="E880">
        <v>21883</v>
      </c>
      <c r="F880" t="s">
        <v>441</v>
      </c>
      <c r="G880">
        <v>0</v>
      </c>
      <c r="I880" s="5">
        <v>44044</v>
      </c>
      <c r="J880" s="5">
        <v>44273.666666666664</v>
      </c>
    </row>
    <row r="881" spans="1:10" x14ac:dyDescent="0.2">
      <c r="A881">
        <v>7118119</v>
      </c>
      <c r="B881">
        <v>3693180</v>
      </c>
      <c r="C881">
        <v>3693173</v>
      </c>
      <c r="D881">
        <v>21883</v>
      </c>
      <c r="E881">
        <v>21883</v>
      </c>
      <c r="F881" t="s">
        <v>441</v>
      </c>
      <c r="G881">
        <v>0</v>
      </c>
      <c r="I881" s="5">
        <v>44044</v>
      </c>
      <c r="J881" s="5">
        <v>43983.333333333336</v>
      </c>
    </row>
    <row r="882" spans="1:10" x14ac:dyDescent="0.2">
      <c r="A882">
        <v>7118120</v>
      </c>
      <c r="B882">
        <v>3693330</v>
      </c>
      <c r="C882">
        <v>3693180</v>
      </c>
      <c r="D882">
        <v>21883</v>
      </c>
      <c r="E882">
        <v>21883</v>
      </c>
      <c r="F882" t="s">
        <v>441</v>
      </c>
      <c r="G882">
        <v>0</v>
      </c>
      <c r="I882" s="5">
        <v>44044</v>
      </c>
      <c r="J882" s="5">
        <v>44273.666666666664</v>
      </c>
    </row>
    <row r="883" spans="1:10" x14ac:dyDescent="0.2">
      <c r="A883">
        <v>7118121</v>
      </c>
      <c r="B883">
        <v>3692808</v>
      </c>
      <c r="C883">
        <v>3693216</v>
      </c>
      <c r="D883">
        <v>21883</v>
      </c>
      <c r="E883">
        <v>21883</v>
      </c>
      <c r="F883" t="s">
        <v>441</v>
      </c>
      <c r="G883">
        <v>0</v>
      </c>
      <c r="I883" s="5">
        <v>44044</v>
      </c>
      <c r="J883" s="5">
        <v>43993.333333333336</v>
      </c>
    </row>
    <row r="884" spans="1:10" x14ac:dyDescent="0.2">
      <c r="A884">
        <v>7118122</v>
      </c>
      <c r="B884">
        <v>3693233</v>
      </c>
      <c r="C884">
        <v>3693180</v>
      </c>
      <c r="D884">
        <v>21883</v>
      </c>
      <c r="E884">
        <v>21883</v>
      </c>
      <c r="F884" t="s">
        <v>441</v>
      </c>
      <c r="G884">
        <v>0</v>
      </c>
      <c r="I884" s="5">
        <v>44044</v>
      </c>
      <c r="J884" s="5">
        <v>44036.333333333336</v>
      </c>
    </row>
    <row r="885" spans="1:10" x14ac:dyDescent="0.2">
      <c r="A885">
        <v>7118123</v>
      </c>
      <c r="B885">
        <v>3693232</v>
      </c>
      <c r="C885">
        <v>3693180</v>
      </c>
      <c r="D885">
        <v>21883</v>
      </c>
      <c r="E885">
        <v>21883</v>
      </c>
      <c r="F885" t="s">
        <v>441</v>
      </c>
      <c r="G885">
        <v>0</v>
      </c>
      <c r="I885" s="5">
        <v>44044</v>
      </c>
      <c r="J885" s="5">
        <v>44089.333333333336</v>
      </c>
    </row>
    <row r="886" spans="1:10" x14ac:dyDescent="0.2">
      <c r="A886">
        <v>7118124</v>
      </c>
      <c r="B886">
        <v>3693224</v>
      </c>
      <c r="C886">
        <v>3693180</v>
      </c>
      <c r="D886">
        <v>21883</v>
      </c>
      <c r="E886">
        <v>21883</v>
      </c>
      <c r="F886" t="s">
        <v>441</v>
      </c>
      <c r="G886">
        <v>0</v>
      </c>
      <c r="I886" s="5">
        <v>44044</v>
      </c>
      <c r="J886" s="5">
        <v>44043.333333333336</v>
      </c>
    </row>
    <row r="887" spans="1:10" x14ac:dyDescent="0.2">
      <c r="A887">
        <v>7118125</v>
      </c>
      <c r="B887">
        <v>3693217</v>
      </c>
      <c r="C887">
        <v>3693180</v>
      </c>
      <c r="D887">
        <v>21883</v>
      </c>
      <c r="E887">
        <v>21883</v>
      </c>
      <c r="F887" t="s">
        <v>442</v>
      </c>
      <c r="G887">
        <v>160</v>
      </c>
      <c r="I887" s="5">
        <v>44044</v>
      </c>
      <c r="J887" s="5">
        <v>43993.333333333336</v>
      </c>
    </row>
    <row r="888" spans="1:10" x14ac:dyDescent="0.2">
      <c r="A888">
        <v>7118126</v>
      </c>
      <c r="B888">
        <v>3693221</v>
      </c>
      <c r="C888">
        <v>3692807</v>
      </c>
      <c r="D888">
        <v>21883</v>
      </c>
      <c r="E888">
        <v>21883</v>
      </c>
      <c r="F888" t="s">
        <v>441</v>
      </c>
      <c r="G888">
        <v>0</v>
      </c>
      <c r="I888" s="5">
        <v>44044</v>
      </c>
      <c r="J888" s="5">
        <v>43993.333333333336</v>
      </c>
    </row>
    <row r="889" spans="1:10" x14ac:dyDescent="0.2">
      <c r="A889">
        <v>7118127</v>
      </c>
      <c r="B889">
        <v>3692807</v>
      </c>
      <c r="C889">
        <v>3693220</v>
      </c>
      <c r="D889">
        <v>21883</v>
      </c>
      <c r="E889">
        <v>21883</v>
      </c>
      <c r="F889" t="s">
        <v>441</v>
      </c>
      <c r="G889">
        <v>0</v>
      </c>
      <c r="I889" s="5">
        <v>44044</v>
      </c>
      <c r="J889" s="5">
        <v>43993.333333333336</v>
      </c>
    </row>
    <row r="890" spans="1:10" x14ac:dyDescent="0.2">
      <c r="A890">
        <v>7118128</v>
      </c>
      <c r="B890">
        <v>3693219</v>
      </c>
      <c r="C890">
        <v>3692808</v>
      </c>
      <c r="D890">
        <v>21883</v>
      </c>
      <c r="E890">
        <v>21883</v>
      </c>
      <c r="F890" t="s">
        <v>441</v>
      </c>
      <c r="G890">
        <v>0</v>
      </c>
      <c r="I890" s="5">
        <v>44044</v>
      </c>
      <c r="J890" s="5">
        <v>43993.333333333336</v>
      </c>
    </row>
    <row r="891" spans="1:10" x14ac:dyDescent="0.2">
      <c r="A891">
        <v>7118129</v>
      </c>
      <c r="B891">
        <v>3692808</v>
      </c>
      <c r="C891">
        <v>3693217</v>
      </c>
      <c r="D891">
        <v>21883</v>
      </c>
      <c r="E891">
        <v>21883</v>
      </c>
      <c r="F891" t="s">
        <v>441</v>
      </c>
      <c r="G891">
        <v>0</v>
      </c>
      <c r="I891" s="5">
        <v>44044</v>
      </c>
      <c r="J891" s="5">
        <v>43993.333333333336</v>
      </c>
    </row>
    <row r="892" spans="1:10" x14ac:dyDescent="0.2">
      <c r="A892">
        <v>7118130</v>
      </c>
      <c r="B892">
        <v>3693220</v>
      </c>
      <c r="C892">
        <v>3692809</v>
      </c>
      <c r="D892">
        <v>21883</v>
      </c>
      <c r="E892">
        <v>21883</v>
      </c>
      <c r="F892" t="s">
        <v>441</v>
      </c>
      <c r="G892">
        <v>0</v>
      </c>
      <c r="I892" s="5">
        <v>44044</v>
      </c>
      <c r="J892" s="5">
        <v>43993.333333333336</v>
      </c>
    </row>
    <row r="893" spans="1:10" x14ac:dyDescent="0.2">
      <c r="A893">
        <v>7118131</v>
      </c>
      <c r="B893">
        <v>3692809</v>
      </c>
      <c r="C893">
        <v>3693219</v>
      </c>
      <c r="D893">
        <v>21883</v>
      </c>
      <c r="E893">
        <v>21883</v>
      </c>
      <c r="F893" t="s">
        <v>441</v>
      </c>
      <c r="G893">
        <v>0</v>
      </c>
      <c r="I893" s="5">
        <v>44044</v>
      </c>
      <c r="J893" s="5">
        <v>43993.333333333336</v>
      </c>
    </row>
    <row r="894" spans="1:10" x14ac:dyDescent="0.2">
      <c r="A894">
        <v>7118132</v>
      </c>
      <c r="B894">
        <v>3693219</v>
      </c>
      <c r="C894">
        <v>3692810</v>
      </c>
      <c r="D894">
        <v>21883</v>
      </c>
      <c r="E894">
        <v>21883</v>
      </c>
      <c r="F894" t="s">
        <v>441</v>
      </c>
      <c r="G894">
        <v>0</v>
      </c>
      <c r="I894" s="5">
        <v>44044</v>
      </c>
      <c r="J894" s="5">
        <v>43993.333333333336</v>
      </c>
    </row>
    <row r="895" spans="1:10" x14ac:dyDescent="0.2">
      <c r="A895">
        <v>7118133</v>
      </c>
      <c r="B895">
        <v>3692810</v>
      </c>
      <c r="C895">
        <v>3693217</v>
      </c>
      <c r="D895">
        <v>21883</v>
      </c>
      <c r="E895">
        <v>21883</v>
      </c>
      <c r="F895" t="s">
        <v>441</v>
      </c>
      <c r="G895">
        <v>0</v>
      </c>
      <c r="I895" s="5">
        <v>44044</v>
      </c>
      <c r="J895" s="5">
        <v>43993.333333333336</v>
      </c>
    </row>
    <row r="896" spans="1:10" x14ac:dyDescent="0.2">
      <c r="A896">
        <v>7118134</v>
      </c>
      <c r="B896">
        <v>3693216</v>
      </c>
      <c r="C896">
        <v>3693180</v>
      </c>
      <c r="D896">
        <v>21883</v>
      </c>
      <c r="E896">
        <v>21883</v>
      </c>
      <c r="F896" t="s">
        <v>442</v>
      </c>
      <c r="G896">
        <v>160</v>
      </c>
      <c r="I896" s="5">
        <v>44044</v>
      </c>
      <c r="J896" s="5">
        <v>43983.333333333336</v>
      </c>
    </row>
    <row r="897" spans="1:10" x14ac:dyDescent="0.2">
      <c r="A897">
        <v>7118135</v>
      </c>
      <c r="B897">
        <v>3693207</v>
      </c>
      <c r="C897">
        <v>3692811</v>
      </c>
      <c r="D897">
        <v>21883</v>
      </c>
      <c r="E897">
        <v>21883</v>
      </c>
      <c r="F897" t="s">
        <v>441</v>
      </c>
      <c r="G897">
        <v>0</v>
      </c>
      <c r="I897" s="5">
        <v>44044</v>
      </c>
      <c r="J897" s="5">
        <v>44008.666666666664</v>
      </c>
    </row>
    <row r="898" spans="1:10" x14ac:dyDescent="0.2">
      <c r="A898">
        <v>7118136</v>
      </c>
      <c r="B898">
        <v>3692811</v>
      </c>
      <c r="C898">
        <v>3693206</v>
      </c>
      <c r="D898">
        <v>21883</v>
      </c>
      <c r="E898">
        <v>21883</v>
      </c>
      <c r="F898" t="s">
        <v>441</v>
      </c>
      <c r="G898">
        <v>0</v>
      </c>
      <c r="I898" s="5">
        <v>44044</v>
      </c>
      <c r="J898" s="5">
        <v>44008.666666666664</v>
      </c>
    </row>
    <row r="899" spans="1:10" x14ac:dyDescent="0.2">
      <c r="A899">
        <v>7118137</v>
      </c>
      <c r="B899">
        <v>3693206</v>
      </c>
      <c r="C899">
        <v>3692812</v>
      </c>
      <c r="D899">
        <v>21883</v>
      </c>
      <c r="E899">
        <v>21883</v>
      </c>
      <c r="F899" t="s">
        <v>441</v>
      </c>
      <c r="G899">
        <v>0</v>
      </c>
      <c r="I899" s="5">
        <v>44044</v>
      </c>
      <c r="J899" s="5">
        <v>44008.666666666664</v>
      </c>
    </row>
    <row r="900" spans="1:10" x14ac:dyDescent="0.2">
      <c r="A900">
        <v>7118138</v>
      </c>
      <c r="B900">
        <v>3692812</v>
      </c>
      <c r="C900">
        <v>3693205</v>
      </c>
      <c r="D900">
        <v>21883</v>
      </c>
      <c r="E900">
        <v>21883</v>
      </c>
      <c r="F900" t="s">
        <v>441</v>
      </c>
      <c r="G900">
        <v>0</v>
      </c>
      <c r="I900" s="5">
        <v>44044</v>
      </c>
      <c r="J900" s="5">
        <v>44008.666666666664</v>
      </c>
    </row>
    <row r="901" spans="1:10" x14ac:dyDescent="0.2">
      <c r="A901">
        <v>7118139</v>
      </c>
      <c r="B901">
        <v>3693205</v>
      </c>
      <c r="C901">
        <v>3692813</v>
      </c>
      <c r="D901">
        <v>21883</v>
      </c>
      <c r="E901">
        <v>21883</v>
      </c>
      <c r="F901" t="s">
        <v>441</v>
      </c>
      <c r="G901">
        <v>0</v>
      </c>
      <c r="I901" s="5">
        <v>44044</v>
      </c>
      <c r="J901" s="5">
        <v>44008.666666666664</v>
      </c>
    </row>
    <row r="902" spans="1:10" x14ac:dyDescent="0.2">
      <c r="A902">
        <v>7118140</v>
      </c>
      <c r="B902">
        <v>3692813</v>
      </c>
      <c r="C902">
        <v>3693203</v>
      </c>
      <c r="D902">
        <v>21883</v>
      </c>
      <c r="E902">
        <v>21883</v>
      </c>
      <c r="F902" t="s">
        <v>441</v>
      </c>
      <c r="G902">
        <v>0</v>
      </c>
      <c r="I902" s="5">
        <v>44044</v>
      </c>
      <c r="J902" s="5">
        <v>43986.333333333336</v>
      </c>
    </row>
    <row r="903" spans="1:10" x14ac:dyDescent="0.2">
      <c r="A903">
        <v>7118141</v>
      </c>
      <c r="B903">
        <v>3693049</v>
      </c>
      <c r="C903">
        <v>3693098</v>
      </c>
      <c r="D903">
        <v>21883</v>
      </c>
      <c r="E903">
        <v>21883</v>
      </c>
      <c r="F903" t="s">
        <v>441</v>
      </c>
      <c r="G903">
        <v>0</v>
      </c>
      <c r="I903" s="5">
        <v>44044</v>
      </c>
      <c r="J903" s="5">
        <v>44032.333333333336</v>
      </c>
    </row>
    <row r="904" spans="1:10" x14ac:dyDescent="0.2">
      <c r="A904">
        <v>7118142</v>
      </c>
      <c r="B904">
        <v>3693050</v>
      </c>
      <c r="C904">
        <v>3694081</v>
      </c>
      <c r="D904">
        <v>21883</v>
      </c>
      <c r="E904">
        <v>21883</v>
      </c>
      <c r="F904" t="s">
        <v>441</v>
      </c>
      <c r="G904">
        <v>0</v>
      </c>
      <c r="I904" s="5">
        <v>44057.666666666664</v>
      </c>
      <c r="J904" s="5">
        <v>44117.333333333336</v>
      </c>
    </row>
    <row r="905" spans="1:10" x14ac:dyDescent="0.2">
      <c r="A905">
        <v>7118143</v>
      </c>
      <c r="B905">
        <v>3693746</v>
      </c>
      <c r="C905">
        <v>3693034</v>
      </c>
      <c r="D905">
        <v>21883</v>
      </c>
      <c r="E905">
        <v>21883</v>
      </c>
      <c r="F905" t="s">
        <v>441</v>
      </c>
      <c r="G905">
        <v>0</v>
      </c>
      <c r="I905" s="5">
        <v>44044</v>
      </c>
      <c r="J905" s="5">
        <v>44005.333333333336</v>
      </c>
    </row>
    <row r="906" spans="1:10" x14ac:dyDescent="0.2">
      <c r="A906">
        <v>7118144</v>
      </c>
      <c r="B906">
        <v>3693000</v>
      </c>
      <c r="C906">
        <v>3694083</v>
      </c>
      <c r="D906">
        <v>21883</v>
      </c>
      <c r="E906">
        <v>21883</v>
      </c>
      <c r="F906" t="s">
        <v>441</v>
      </c>
      <c r="G906">
        <v>0</v>
      </c>
      <c r="I906" s="5">
        <v>44044</v>
      </c>
      <c r="J906" s="5">
        <v>44114.333333333336</v>
      </c>
    </row>
    <row r="907" spans="1:10" x14ac:dyDescent="0.2">
      <c r="A907">
        <v>7118145</v>
      </c>
      <c r="B907">
        <v>3693242</v>
      </c>
      <c r="C907">
        <v>3692993</v>
      </c>
      <c r="D907">
        <v>21883</v>
      </c>
      <c r="E907">
        <v>21883</v>
      </c>
      <c r="F907" t="s">
        <v>441</v>
      </c>
      <c r="G907">
        <v>0</v>
      </c>
      <c r="I907" s="5">
        <v>44044</v>
      </c>
      <c r="J907" s="5">
        <v>43970.333333333336</v>
      </c>
    </row>
    <row r="908" spans="1:10" x14ac:dyDescent="0.2">
      <c r="A908">
        <v>7118146</v>
      </c>
      <c r="B908">
        <v>3692815</v>
      </c>
      <c r="C908">
        <v>3693201</v>
      </c>
      <c r="D908">
        <v>21883</v>
      </c>
      <c r="E908">
        <v>21883</v>
      </c>
      <c r="F908" t="s">
        <v>441</v>
      </c>
      <c r="G908">
        <v>0</v>
      </c>
      <c r="I908" s="5">
        <v>44044</v>
      </c>
      <c r="J908" s="5">
        <v>43970.333333333336</v>
      </c>
    </row>
    <row r="909" spans="1:10" x14ac:dyDescent="0.2">
      <c r="A909">
        <v>7118147</v>
      </c>
      <c r="B909">
        <v>3692816</v>
      </c>
      <c r="C909">
        <v>3693193</v>
      </c>
      <c r="D909">
        <v>21883</v>
      </c>
      <c r="E909">
        <v>21883</v>
      </c>
      <c r="F909" t="s">
        <v>441</v>
      </c>
      <c r="G909">
        <v>0</v>
      </c>
      <c r="I909" s="5">
        <v>44044</v>
      </c>
      <c r="J909" s="5">
        <v>43970.333333333336</v>
      </c>
    </row>
    <row r="910" spans="1:10" x14ac:dyDescent="0.2">
      <c r="A910">
        <v>7118148</v>
      </c>
      <c r="B910">
        <v>3692818</v>
      </c>
      <c r="C910">
        <v>3693223</v>
      </c>
      <c r="D910">
        <v>21883</v>
      </c>
      <c r="E910">
        <v>21883</v>
      </c>
      <c r="F910" t="s">
        <v>441</v>
      </c>
      <c r="G910">
        <v>0</v>
      </c>
      <c r="I910" s="5">
        <v>44075.666666666664</v>
      </c>
      <c r="J910" s="5">
        <v>44022.666666666664</v>
      </c>
    </row>
    <row r="911" spans="1:10" x14ac:dyDescent="0.2">
      <c r="A911">
        <v>7118149</v>
      </c>
      <c r="B911">
        <v>3693734</v>
      </c>
      <c r="C911">
        <v>3692821</v>
      </c>
      <c r="D911">
        <v>21883</v>
      </c>
      <c r="E911">
        <v>21883</v>
      </c>
      <c r="F911" t="s">
        <v>441</v>
      </c>
      <c r="G911">
        <v>0</v>
      </c>
      <c r="I911" s="5">
        <v>44049.666666666664</v>
      </c>
      <c r="J911" s="5">
        <v>44000.333333333336</v>
      </c>
    </row>
    <row r="912" spans="1:10" x14ac:dyDescent="0.2">
      <c r="A912">
        <v>7118150</v>
      </c>
      <c r="B912">
        <v>3692881</v>
      </c>
      <c r="C912">
        <v>3692878</v>
      </c>
      <c r="D912">
        <v>21883</v>
      </c>
      <c r="E912">
        <v>21883</v>
      </c>
      <c r="F912" t="s">
        <v>441</v>
      </c>
      <c r="G912">
        <v>0</v>
      </c>
      <c r="I912" s="5">
        <v>44044</v>
      </c>
      <c r="J912" s="5">
        <v>44273.666666666664</v>
      </c>
    </row>
    <row r="913" spans="1:10" x14ac:dyDescent="0.2">
      <c r="A913">
        <v>7118151</v>
      </c>
      <c r="B913">
        <v>3694034</v>
      </c>
      <c r="C913">
        <v>3694033</v>
      </c>
      <c r="D913">
        <v>21883</v>
      </c>
      <c r="E913">
        <v>21883</v>
      </c>
      <c r="F913" t="s">
        <v>441</v>
      </c>
      <c r="G913">
        <v>0</v>
      </c>
      <c r="I913" s="5">
        <v>44187.666666666664</v>
      </c>
      <c r="J913" s="5">
        <v>44119.333333333336</v>
      </c>
    </row>
    <row r="914" spans="1:10" x14ac:dyDescent="0.2">
      <c r="A914">
        <v>7118152</v>
      </c>
      <c r="B914">
        <v>3693033</v>
      </c>
      <c r="C914">
        <v>3693325</v>
      </c>
      <c r="D914">
        <v>21883</v>
      </c>
      <c r="E914">
        <v>21883</v>
      </c>
      <c r="F914" t="s">
        <v>441</v>
      </c>
      <c r="G914">
        <v>0</v>
      </c>
      <c r="I914" s="5">
        <v>44044</v>
      </c>
      <c r="J914" s="5">
        <v>43970.333333333336</v>
      </c>
    </row>
    <row r="915" spans="1:10" x14ac:dyDescent="0.2">
      <c r="A915">
        <v>7118153</v>
      </c>
      <c r="B915">
        <v>3693028</v>
      </c>
      <c r="C915">
        <v>3692865</v>
      </c>
      <c r="D915">
        <v>21883</v>
      </c>
      <c r="E915">
        <v>21883</v>
      </c>
      <c r="F915" t="s">
        <v>441</v>
      </c>
      <c r="G915">
        <v>0</v>
      </c>
      <c r="I915" s="5">
        <v>44044</v>
      </c>
      <c r="J915" s="5">
        <v>43970.333333333336</v>
      </c>
    </row>
    <row r="916" spans="1:10" x14ac:dyDescent="0.2">
      <c r="A916">
        <v>7118154</v>
      </c>
      <c r="B916">
        <v>3693205</v>
      </c>
      <c r="C916">
        <v>3692819</v>
      </c>
      <c r="D916">
        <v>21883</v>
      </c>
      <c r="E916">
        <v>21883</v>
      </c>
      <c r="F916" t="s">
        <v>441</v>
      </c>
      <c r="G916">
        <v>0</v>
      </c>
      <c r="I916" s="5">
        <v>44044</v>
      </c>
      <c r="J916" s="5">
        <v>44008.666666666664</v>
      </c>
    </row>
    <row r="917" spans="1:10" x14ac:dyDescent="0.2">
      <c r="A917">
        <v>7118155</v>
      </c>
      <c r="B917">
        <v>3692819</v>
      </c>
      <c r="C917">
        <v>3693203</v>
      </c>
      <c r="D917">
        <v>21883</v>
      </c>
      <c r="E917">
        <v>21883</v>
      </c>
      <c r="F917" t="s">
        <v>441</v>
      </c>
      <c r="G917">
        <v>0</v>
      </c>
      <c r="I917" s="5">
        <v>44044</v>
      </c>
      <c r="J917" s="5">
        <v>44008.666666666664</v>
      </c>
    </row>
    <row r="918" spans="1:10" x14ac:dyDescent="0.2">
      <c r="A918">
        <v>7118156</v>
      </c>
      <c r="B918">
        <v>3693032</v>
      </c>
      <c r="C918">
        <v>3693027</v>
      </c>
      <c r="D918">
        <v>21883</v>
      </c>
      <c r="E918">
        <v>21883</v>
      </c>
      <c r="F918" t="s">
        <v>441</v>
      </c>
      <c r="G918">
        <v>0</v>
      </c>
      <c r="I918" s="5">
        <v>44044</v>
      </c>
      <c r="J918" s="5">
        <v>43970.333333333336</v>
      </c>
    </row>
    <row r="919" spans="1:10" x14ac:dyDescent="0.2">
      <c r="A919">
        <v>7118157</v>
      </c>
      <c r="B919">
        <v>3692865</v>
      </c>
      <c r="C919">
        <v>3693243</v>
      </c>
      <c r="D919">
        <v>21883</v>
      </c>
      <c r="E919">
        <v>21883</v>
      </c>
      <c r="F919" t="s">
        <v>441</v>
      </c>
      <c r="G919">
        <v>0</v>
      </c>
      <c r="I919" s="5">
        <v>44044</v>
      </c>
      <c r="J919" s="5">
        <v>43970.333333333336</v>
      </c>
    </row>
    <row r="920" spans="1:10" x14ac:dyDescent="0.2">
      <c r="A920">
        <v>7118158</v>
      </c>
      <c r="B920">
        <v>3693243</v>
      </c>
      <c r="C920">
        <v>3693201</v>
      </c>
      <c r="D920">
        <v>21883</v>
      </c>
      <c r="E920">
        <v>21883</v>
      </c>
      <c r="F920" t="s">
        <v>441</v>
      </c>
      <c r="G920">
        <v>0</v>
      </c>
      <c r="I920" s="5">
        <v>44044</v>
      </c>
      <c r="J920" s="5">
        <v>43970.333333333336</v>
      </c>
    </row>
    <row r="921" spans="1:10" x14ac:dyDescent="0.2">
      <c r="A921">
        <v>7118159</v>
      </c>
      <c r="B921">
        <v>3693050</v>
      </c>
      <c r="C921">
        <v>3694087</v>
      </c>
      <c r="D921">
        <v>21883</v>
      </c>
      <c r="E921">
        <v>21883</v>
      </c>
      <c r="F921" t="s">
        <v>441</v>
      </c>
      <c r="G921">
        <v>0</v>
      </c>
      <c r="I921" s="5">
        <v>44044</v>
      </c>
      <c r="J921" s="5">
        <v>44117.333333333336</v>
      </c>
    </row>
    <row r="922" spans="1:10" x14ac:dyDescent="0.2">
      <c r="A922">
        <v>7118160</v>
      </c>
      <c r="B922">
        <v>3692865</v>
      </c>
      <c r="C922">
        <v>3693241</v>
      </c>
      <c r="D922">
        <v>21883</v>
      </c>
      <c r="E922">
        <v>21883</v>
      </c>
      <c r="F922" t="s">
        <v>441</v>
      </c>
      <c r="G922">
        <v>0</v>
      </c>
      <c r="I922" s="5">
        <v>44044</v>
      </c>
      <c r="J922" s="5">
        <v>43970.333333333336</v>
      </c>
    </row>
    <row r="923" spans="1:10" x14ac:dyDescent="0.2">
      <c r="A923">
        <v>7118161</v>
      </c>
      <c r="B923">
        <v>3693241</v>
      </c>
      <c r="C923">
        <v>3693193</v>
      </c>
      <c r="D923">
        <v>21883</v>
      </c>
      <c r="E923">
        <v>21883</v>
      </c>
      <c r="F923" t="s">
        <v>441</v>
      </c>
      <c r="G923">
        <v>0</v>
      </c>
      <c r="I923" s="5">
        <v>44044</v>
      </c>
      <c r="J923" s="5">
        <v>43970.333333333336</v>
      </c>
    </row>
    <row r="924" spans="1:10" x14ac:dyDescent="0.2">
      <c r="A924">
        <v>7118162</v>
      </c>
      <c r="B924">
        <v>3693188</v>
      </c>
      <c r="C924">
        <v>3693186</v>
      </c>
      <c r="D924">
        <v>21883</v>
      </c>
      <c r="E924">
        <v>21883</v>
      </c>
      <c r="F924" t="s">
        <v>441</v>
      </c>
      <c r="G924">
        <v>0</v>
      </c>
      <c r="I924" s="5">
        <v>44044</v>
      </c>
      <c r="J924" s="5">
        <v>43970.333333333336</v>
      </c>
    </row>
    <row r="925" spans="1:10" x14ac:dyDescent="0.2">
      <c r="A925">
        <v>7118163</v>
      </c>
      <c r="B925">
        <v>3693189</v>
      </c>
      <c r="C925">
        <v>3692820</v>
      </c>
      <c r="D925">
        <v>21883</v>
      </c>
      <c r="E925">
        <v>21883</v>
      </c>
      <c r="F925" t="s">
        <v>441</v>
      </c>
      <c r="G925">
        <v>0</v>
      </c>
      <c r="I925" s="5">
        <v>44044</v>
      </c>
      <c r="J925" s="5">
        <v>43970.333333333336</v>
      </c>
    </row>
    <row r="926" spans="1:10" x14ac:dyDescent="0.2">
      <c r="A926">
        <v>7118164</v>
      </c>
      <c r="B926">
        <v>3692820</v>
      </c>
      <c r="C926">
        <v>3694109</v>
      </c>
      <c r="D926">
        <v>21883</v>
      </c>
      <c r="E926">
        <v>21883</v>
      </c>
      <c r="F926" t="s">
        <v>441</v>
      </c>
      <c r="G926">
        <v>0</v>
      </c>
      <c r="I926" s="5">
        <v>44044</v>
      </c>
      <c r="J926" s="5">
        <v>43970.333333333336</v>
      </c>
    </row>
    <row r="927" spans="1:10" x14ac:dyDescent="0.2">
      <c r="A927">
        <v>7118165</v>
      </c>
      <c r="B927">
        <v>3693002</v>
      </c>
      <c r="C927">
        <v>3693217</v>
      </c>
      <c r="D927">
        <v>21883</v>
      </c>
      <c r="E927">
        <v>21883</v>
      </c>
      <c r="F927" t="s">
        <v>441</v>
      </c>
      <c r="G927">
        <v>0</v>
      </c>
      <c r="I927" s="5">
        <v>44044</v>
      </c>
      <c r="J927" s="5">
        <v>44114.333333333336</v>
      </c>
    </row>
    <row r="928" spans="1:10" x14ac:dyDescent="0.2">
      <c r="A928">
        <v>7118166</v>
      </c>
      <c r="B928">
        <v>3692997</v>
      </c>
      <c r="C928">
        <v>3692821</v>
      </c>
      <c r="D928">
        <v>21883</v>
      </c>
      <c r="E928">
        <v>21883</v>
      </c>
      <c r="F928" t="s">
        <v>441</v>
      </c>
      <c r="G928">
        <v>0</v>
      </c>
      <c r="I928" s="5">
        <v>44049.666666666664</v>
      </c>
      <c r="J928" s="5">
        <v>44117.333333333336</v>
      </c>
    </row>
    <row r="929" spans="1:10" x14ac:dyDescent="0.2">
      <c r="A929">
        <v>7118167</v>
      </c>
      <c r="B929">
        <v>3692999</v>
      </c>
      <c r="C929">
        <v>3692821</v>
      </c>
      <c r="D929">
        <v>21883</v>
      </c>
      <c r="E929">
        <v>21883</v>
      </c>
      <c r="F929" t="s">
        <v>441</v>
      </c>
      <c r="G929">
        <v>0</v>
      </c>
      <c r="I929" s="5">
        <v>44049.666666666664</v>
      </c>
      <c r="J929" s="5">
        <v>44114.333333333336</v>
      </c>
    </row>
    <row r="930" spans="1:10" x14ac:dyDescent="0.2">
      <c r="A930">
        <v>7118168</v>
      </c>
      <c r="B930">
        <v>3693000</v>
      </c>
      <c r="C930">
        <v>3692821</v>
      </c>
      <c r="D930">
        <v>21883</v>
      </c>
      <c r="E930">
        <v>21883</v>
      </c>
      <c r="F930" t="s">
        <v>441</v>
      </c>
      <c r="G930">
        <v>0</v>
      </c>
      <c r="I930" s="5">
        <v>44049.666666666664</v>
      </c>
      <c r="J930" s="5">
        <v>44114.333333333336</v>
      </c>
    </row>
    <row r="931" spans="1:10" x14ac:dyDescent="0.2">
      <c r="A931">
        <v>7118169</v>
      </c>
      <c r="B931">
        <v>3692995</v>
      </c>
      <c r="C931">
        <v>3693001</v>
      </c>
      <c r="D931">
        <v>21883</v>
      </c>
      <c r="E931">
        <v>21883</v>
      </c>
      <c r="F931" t="s">
        <v>441</v>
      </c>
      <c r="G931">
        <v>0</v>
      </c>
      <c r="I931" s="5">
        <v>44044</v>
      </c>
      <c r="J931" s="5">
        <v>44114.333333333336</v>
      </c>
    </row>
    <row r="932" spans="1:10" x14ac:dyDescent="0.2">
      <c r="A932">
        <v>7118170</v>
      </c>
      <c r="B932">
        <v>3692994</v>
      </c>
      <c r="C932">
        <v>3693001</v>
      </c>
      <c r="D932">
        <v>21883</v>
      </c>
      <c r="E932">
        <v>21883</v>
      </c>
      <c r="F932" t="s">
        <v>441</v>
      </c>
      <c r="G932">
        <v>0</v>
      </c>
      <c r="I932" s="5">
        <v>44044</v>
      </c>
      <c r="J932" s="5">
        <v>44114.333333333336</v>
      </c>
    </row>
    <row r="933" spans="1:10" x14ac:dyDescent="0.2">
      <c r="A933">
        <v>7118171</v>
      </c>
      <c r="B933">
        <v>3693050</v>
      </c>
      <c r="C933">
        <v>3693005</v>
      </c>
      <c r="D933">
        <v>21883</v>
      </c>
      <c r="E933">
        <v>21883</v>
      </c>
      <c r="F933" t="s">
        <v>441</v>
      </c>
      <c r="G933">
        <v>0</v>
      </c>
      <c r="I933" s="5">
        <v>44073.666666666664</v>
      </c>
      <c r="J933" s="5">
        <v>44117.333333333336</v>
      </c>
    </row>
    <row r="934" spans="1:10" x14ac:dyDescent="0.2">
      <c r="A934">
        <v>7118172</v>
      </c>
      <c r="B934">
        <v>3693050</v>
      </c>
      <c r="C934">
        <v>3693002</v>
      </c>
      <c r="D934">
        <v>21883</v>
      </c>
      <c r="E934">
        <v>21883</v>
      </c>
      <c r="F934" t="s">
        <v>441</v>
      </c>
      <c r="G934">
        <v>0</v>
      </c>
      <c r="I934" s="5">
        <v>44045.666666666664</v>
      </c>
      <c r="J934" s="5">
        <v>44117.333333333336</v>
      </c>
    </row>
    <row r="935" spans="1:10" x14ac:dyDescent="0.2">
      <c r="A935">
        <v>7118173</v>
      </c>
      <c r="B935">
        <v>3693050</v>
      </c>
      <c r="C935">
        <v>3693000</v>
      </c>
      <c r="D935">
        <v>21883</v>
      </c>
      <c r="E935">
        <v>21883</v>
      </c>
      <c r="F935" t="s">
        <v>441</v>
      </c>
      <c r="G935">
        <v>0</v>
      </c>
      <c r="I935" s="5">
        <v>44052.666666666664</v>
      </c>
      <c r="J935" s="5">
        <v>44117.333333333336</v>
      </c>
    </row>
    <row r="936" spans="1:10" x14ac:dyDescent="0.2">
      <c r="A936">
        <v>7118174</v>
      </c>
      <c r="B936">
        <v>3693050</v>
      </c>
      <c r="C936">
        <v>3692997</v>
      </c>
      <c r="D936">
        <v>21883</v>
      </c>
      <c r="E936">
        <v>21883</v>
      </c>
      <c r="F936" t="s">
        <v>441</v>
      </c>
      <c r="G936">
        <v>0</v>
      </c>
      <c r="I936" s="5">
        <v>44049.666666666664</v>
      </c>
      <c r="J936" s="5">
        <v>44117.333333333336</v>
      </c>
    </row>
    <row r="937" spans="1:10" x14ac:dyDescent="0.2">
      <c r="A937">
        <v>7118175</v>
      </c>
      <c r="B937">
        <v>3693050</v>
      </c>
      <c r="C937">
        <v>3692999</v>
      </c>
      <c r="D937">
        <v>21883</v>
      </c>
      <c r="E937">
        <v>21883</v>
      </c>
      <c r="F937" t="s">
        <v>441</v>
      </c>
      <c r="G937">
        <v>0</v>
      </c>
      <c r="I937" s="5">
        <v>44052.666666666664</v>
      </c>
      <c r="J937" s="5">
        <v>44117.333333333336</v>
      </c>
    </row>
    <row r="938" spans="1:10" x14ac:dyDescent="0.2">
      <c r="A938">
        <v>7118176</v>
      </c>
      <c r="B938">
        <v>3693050</v>
      </c>
      <c r="C938">
        <v>3692995</v>
      </c>
      <c r="D938">
        <v>21883</v>
      </c>
      <c r="E938">
        <v>21883</v>
      </c>
      <c r="F938" t="s">
        <v>441</v>
      </c>
      <c r="G938">
        <v>0</v>
      </c>
      <c r="I938" s="5">
        <v>44045.666666666664</v>
      </c>
      <c r="J938" s="5">
        <v>44117.333333333336</v>
      </c>
    </row>
    <row r="939" spans="1:10" x14ac:dyDescent="0.2">
      <c r="A939">
        <v>7118177</v>
      </c>
      <c r="B939">
        <v>3693050</v>
      </c>
      <c r="C939">
        <v>3692994</v>
      </c>
      <c r="D939">
        <v>21883</v>
      </c>
      <c r="E939">
        <v>21883</v>
      </c>
      <c r="F939" t="s">
        <v>441</v>
      </c>
      <c r="G939">
        <v>0</v>
      </c>
      <c r="I939" s="5">
        <v>44045.666666666664</v>
      </c>
      <c r="J939" s="5">
        <v>44117.333333333336</v>
      </c>
    </row>
    <row r="940" spans="1:10" x14ac:dyDescent="0.2">
      <c r="A940">
        <v>7118178</v>
      </c>
      <c r="B940">
        <v>3693191</v>
      </c>
      <c r="C940">
        <v>3693009</v>
      </c>
      <c r="D940">
        <v>21883</v>
      </c>
      <c r="E940">
        <v>21883</v>
      </c>
      <c r="F940" t="s">
        <v>441</v>
      </c>
      <c r="G940">
        <v>0</v>
      </c>
      <c r="I940" s="5">
        <v>44044</v>
      </c>
      <c r="J940" s="5">
        <v>43970.333333333336</v>
      </c>
    </row>
    <row r="941" spans="1:10" x14ac:dyDescent="0.2">
      <c r="A941">
        <v>7118179</v>
      </c>
      <c r="B941">
        <v>3693050</v>
      </c>
      <c r="C941">
        <v>3693004</v>
      </c>
      <c r="D941">
        <v>21883</v>
      </c>
      <c r="E941">
        <v>21883</v>
      </c>
      <c r="F941" t="s">
        <v>441</v>
      </c>
      <c r="G941">
        <v>0</v>
      </c>
      <c r="I941" s="5">
        <v>44173.666666666664</v>
      </c>
      <c r="J941" s="5">
        <v>44117.333333333336</v>
      </c>
    </row>
    <row r="942" spans="1:10" x14ac:dyDescent="0.2">
      <c r="A942">
        <v>7118180</v>
      </c>
      <c r="B942">
        <v>3693004</v>
      </c>
      <c r="C942">
        <v>3693033</v>
      </c>
      <c r="D942">
        <v>21883</v>
      </c>
      <c r="E942">
        <v>21883</v>
      </c>
      <c r="F942" t="s">
        <v>441</v>
      </c>
      <c r="G942">
        <v>0</v>
      </c>
      <c r="I942" s="5">
        <v>44044</v>
      </c>
      <c r="J942" s="5">
        <v>44070.333333333336</v>
      </c>
    </row>
    <row r="943" spans="1:10" x14ac:dyDescent="0.2">
      <c r="A943">
        <v>7118181</v>
      </c>
      <c r="B943">
        <v>3694056</v>
      </c>
      <c r="C943">
        <v>3694063</v>
      </c>
      <c r="D943">
        <v>21883</v>
      </c>
      <c r="E943">
        <v>21883</v>
      </c>
      <c r="F943" t="s">
        <v>441</v>
      </c>
      <c r="G943">
        <v>0</v>
      </c>
      <c r="I943" s="5">
        <v>44044</v>
      </c>
      <c r="J943" s="5">
        <v>43970.333333333336</v>
      </c>
    </row>
    <row r="944" spans="1:10" x14ac:dyDescent="0.2">
      <c r="A944">
        <v>7118182</v>
      </c>
      <c r="B944">
        <v>3693200</v>
      </c>
      <c r="C944">
        <v>3694063</v>
      </c>
      <c r="D944">
        <v>21883</v>
      </c>
      <c r="E944">
        <v>21883</v>
      </c>
      <c r="F944" t="s">
        <v>441</v>
      </c>
      <c r="G944">
        <v>0</v>
      </c>
      <c r="I944" s="5">
        <v>44044</v>
      </c>
      <c r="J944" s="5">
        <v>43970.333333333336</v>
      </c>
    </row>
    <row r="945" spans="1:10" x14ac:dyDescent="0.2">
      <c r="A945">
        <v>7118183</v>
      </c>
      <c r="B945">
        <v>3692881</v>
      </c>
      <c r="C945">
        <v>3693331</v>
      </c>
      <c r="D945">
        <v>21883</v>
      </c>
      <c r="E945">
        <v>21883</v>
      </c>
      <c r="F945" t="s">
        <v>441</v>
      </c>
      <c r="G945">
        <v>0</v>
      </c>
      <c r="I945" s="5">
        <v>44075.666666666664</v>
      </c>
      <c r="J945" s="5">
        <v>44273.666666666664</v>
      </c>
    </row>
    <row r="946" spans="1:10" x14ac:dyDescent="0.2">
      <c r="A946">
        <v>7118184</v>
      </c>
      <c r="B946">
        <v>3693331</v>
      </c>
      <c r="C946">
        <v>3693007</v>
      </c>
      <c r="D946">
        <v>21883</v>
      </c>
      <c r="E946">
        <v>21883</v>
      </c>
      <c r="F946" t="s">
        <v>441</v>
      </c>
      <c r="G946">
        <v>0</v>
      </c>
      <c r="I946" s="5">
        <v>44060.666666666664</v>
      </c>
      <c r="J946" s="5">
        <v>44273.666666666664</v>
      </c>
    </row>
    <row r="947" spans="1:10" x14ac:dyDescent="0.2">
      <c r="A947">
        <v>7118185</v>
      </c>
      <c r="B947">
        <v>3692995</v>
      </c>
      <c r="C947">
        <v>3694056</v>
      </c>
      <c r="D947">
        <v>21883</v>
      </c>
      <c r="E947">
        <v>21883</v>
      </c>
      <c r="F947" t="s">
        <v>440</v>
      </c>
      <c r="G947">
        <v>0</v>
      </c>
      <c r="I947" s="5">
        <v>44037.333333333336</v>
      </c>
      <c r="J947" s="5">
        <v>44115.666666666664</v>
      </c>
    </row>
    <row r="948" spans="1:10" x14ac:dyDescent="0.2">
      <c r="A948">
        <v>7118186</v>
      </c>
      <c r="B948">
        <v>3692822</v>
      </c>
      <c r="C948">
        <v>3692886</v>
      </c>
      <c r="D948">
        <v>21883</v>
      </c>
      <c r="E948">
        <v>21883</v>
      </c>
      <c r="F948" t="s">
        <v>441</v>
      </c>
      <c r="G948">
        <v>0</v>
      </c>
      <c r="I948" s="5">
        <v>44292.666666666664</v>
      </c>
      <c r="J948" s="5">
        <v>44273.666666666664</v>
      </c>
    </row>
    <row r="949" spans="1:10" x14ac:dyDescent="0.2">
      <c r="A949">
        <v>7118187</v>
      </c>
      <c r="B949">
        <v>3693033</v>
      </c>
      <c r="C949">
        <v>3693016</v>
      </c>
      <c r="D949">
        <v>21883</v>
      </c>
      <c r="E949">
        <v>21883</v>
      </c>
      <c r="F949" t="s">
        <v>441</v>
      </c>
      <c r="G949">
        <v>0</v>
      </c>
      <c r="I949" s="5">
        <v>44044</v>
      </c>
      <c r="J949" s="5">
        <v>43970.333333333336</v>
      </c>
    </row>
    <row r="950" spans="1:10" x14ac:dyDescent="0.2">
      <c r="A950">
        <v>7118188</v>
      </c>
      <c r="B950">
        <v>3693356</v>
      </c>
      <c r="C950">
        <v>3692829</v>
      </c>
      <c r="D950">
        <v>21883</v>
      </c>
      <c r="E950">
        <v>21883</v>
      </c>
      <c r="F950" t="s">
        <v>441</v>
      </c>
      <c r="G950">
        <v>0</v>
      </c>
      <c r="I950" s="5">
        <v>44044</v>
      </c>
      <c r="J950" s="5">
        <v>43970.333333333336</v>
      </c>
    </row>
    <row r="951" spans="1:10" x14ac:dyDescent="0.2">
      <c r="A951">
        <v>7118189</v>
      </c>
      <c r="B951">
        <v>3692901</v>
      </c>
      <c r="C951">
        <v>3692829</v>
      </c>
      <c r="D951">
        <v>21883</v>
      </c>
      <c r="E951">
        <v>21883</v>
      </c>
      <c r="F951" t="s">
        <v>441</v>
      </c>
      <c r="G951">
        <v>0</v>
      </c>
      <c r="I951" s="5">
        <v>44044</v>
      </c>
      <c r="J951" s="5">
        <v>43970.333333333336</v>
      </c>
    </row>
    <row r="952" spans="1:10" x14ac:dyDescent="0.2">
      <c r="A952">
        <v>7118190</v>
      </c>
      <c r="B952">
        <v>3692829</v>
      </c>
      <c r="C952">
        <v>3692899</v>
      </c>
      <c r="D952">
        <v>21883</v>
      </c>
      <c r="E952">
        <v>21883</v>
      </c>
      <c r="F952" t="s">
        <v>441</v>
      </c>
      <c r="G952">
        <v>0</v>
      </c>
      <c r="I952" s="5">
        <v>44044</v>
      </c>
      <c r="J952" s="5">
        <v>43970.333333333336</v>
      </c>
    </row>
    <row r="953" spans="1:10" x14ac:dyDescent="0.2">
      <c r="A953">
        <v>7118191</v>
      </c>
      <c r="B953">
        <v>3693126</v>
      </c>
      <c r="C953">
        <v>3692830</v>
      </c>
      <c r="D953">
        <v>21883</v>
      </c>
      <c r="E953">
        <v>21883</v>
      </c>
      <c r="F953" t="s">
        <v>441</v>
      </c>
      <c r="G953">
        <v>0</v>
      </c>
      <c r="I953" s="5">
        <v>44044</v>
      </c>
      <c r="J953" s="5">
        <v>43970.333333333336</v>
      </c>
    </row>
    <row r="954" spans="1:10" x14ac:dyDescent="0.2">
      <c r="A954">
        <v>7118192</v>
      </c>
      <c r="B954">
        <v>3693095</v>
      </c>
      <c r="C954">
        <v>3692830</v>
      </c>
      <c r="D954">
        <v>21883</v>
      </c>
      <c r="E954">
        <v>21883</v>
      </c>
      <c r="F954" t="s">
        <v>441</v>
      </c>
      <c r="G954">
        <v>0</v>
      </c>
      <c r="I954" s="5">
        <v>44044</v>
      </c>
      <c r="J954" s="5">
        <v>43970.333333333336</v>
      </c>
    </row>
    <row r="955" spans="1:10" x14ac:dyDescent="0.2">
      <c r="A955">
        <v>7118193</v>
      </c>
      <c r="B955">
        <v>3693090</v>
      </c>
      <c r="C955">
        <v>3692830</v>
      </c>
      <c r="D955">
        <v>21883</v>
      </c>
      <c r="E955">
        <v>21883</v>
      </c>
      <c r="F955" t="s">
        <v>441</v>
      </c>
      <c r="G955">
        <v>0</v>
      </c>
      <c r="I955" s="5">
        <v>44044</v>
      </c>
      <c r="J955" s="5">
        <v>44032.333333333336</v>
      </c>
    </row>
    <row r="956" spans="1:10" x14ac:dyDescent="0.2">
      <c r="A956">
        <v>7118194</v>
      </c>
      <c r="B956">
        <v>3693087</v>
      </c>
      <c r="C956">
        <v>3692830</v>
      </c>
      <c r="D956">
        <v>21883</v>
      </c>
      <c r="E956">
        <v>21883</v>
      </c>
      <c r="F956" t="s">
        <v>441</v>
      </c>
      <c r="G956">
        <v>0</v>
      </c>
      <c r="I956" s="5">
        <v>44044</v>
      </c>
      <c r="J956" s="5">
        <v>43970.333333333336</v>
      </c>
    </row>
    <row r="957" spans="1:10" x14ac:dyDescent="0.2">
      <c r="A957">
        <v>7118195</v>
      </c>
      <c r="B957">
        <v>3693067</v>
      </c>
      <c r="C957">
        <v>3692830</v>
      </c>
      <c r="D957">
        <v>21883</v>
      </c>
      <c r="E957">
        <v>21883</v>
      </c>
      <c r="F957" t="s">
        <v>441</v>
      </c>
      <c r="G957">
        <v>0</v>
      </c>
      <c r="I957" s="5">
        <v>44044</v>
      </c>
      <c r="J957" s="5">
        <v>43970.333333333336</v>
      </c>
    </row>
    <row r="958" spans="1:10" x14ac:dyDescent="0.2">
      <c r="A958">
        <v>7118196</v>
      </c>
      <c r="B958">
        <v>3692896</v>
      </c>
      <c r="C958">
        <v>3692830</v>
      </c>
      <c r="D958">
        <v>21883</v>
      </c>
      <c r="E958">
        <v>21883</v>
      </c>
      <c r="F958" t="s">
        <v>441</v>
      </c>
      <c r="G958">
        <v>0</v>
      </c>
      <c r="I958" s="5">
        <v>44044</v>
      </c>
      <c r="J958" s="5">
        <v>43970.333333333336</v>
      </c>
    </row>
    <row r="959" spans="1:10" x14ac:dyDescent="0.2">
      <c r="A959">
        <v>7118197</v>
      </c>
      <c r="B959">
        <v>3692830</v>
      </c>
      <c r="C959">
        <v>3692895</v>
      </c>
      <c r="D959">
        <v>21883</v>
      </c>
      <c r="E959">
        <v>21883</v>
      </c>
      <c r="F959" t="s">
        <v>441</v>
      </c>
      <c r="G959">
        <v>0</v>
      </c>
      <c r="I959" s="5">
        <v>44044</v>
      </c>
      <c r="J959" s="5">
        <v>43970.333333333336</v>
      </c>
    </row>
    <row r="960" spans="1:10" x14ac:dyDescent="0.2">
      <c r="A960">
        <v>7118198</v>
      </c>
      <c r="B960">
        <v>3692826</v>
      </c>
      <c r="C960">
        <v>3692827</v>
      </c>
      <c r="D960">
        <v>21883</v>
      </c>
      <c r="E960">
        <v>21883</v>
      </c>
      <c r="F960" t="s">
        <v>441</v>
      </c>
      <c r="G960">
        <v>0</v>
      </c>
      <c r="I960" s="5">
        <v>44326.666666666664</v>
      </c>
      <c r="J960" s="5">
        <v>44306.666666666664</v>
      </c>
    </row>
    <row r="961" spans="1:10" x14ac:dyDescent="0.2">
      <c r="A961">
        <v>7118199</v>
      </c>
      <c r="B961">
        <v>3692828</v>
      </c>
      <c r="C961">
        <v>3692823</v>
      </c>
      <c r="D961">
        <v>21883</v>
      </c>
      <c r="E961">
        <v>21883</v>
      </c>
      <c r="F961" t="s">
        <v>440</v>
      </c>
      <c r="G961">
        <v>0</v>
      </c>
      <c r="I961" s="5">
        <v>44293.333333333336</v>
      </c>
      <c r="J961" s="5">
        <v>44273.666666666664</v>
      </c>
    </row>
    <row r="962" spans="1:10" x14ac:dyDescent="0.2">
      <c r="A962">
        <v>7118200</v>
      </c>
      <c r="B962">
        <v>3692823</v>
      </c>
      <c r="C962">
        <v>3692822</v>
      </c>
      <c r="D962">
        <v>21883</v>
      </c>
      <c r="E962">
        <v>21883</v>
      </c>
      <c r="F962" t="s">
        <v>441</v>
      </c>
      <c r="G962">
        <v>0</v>
      </c>
      <c r="I962" s="5">
        <v>44292.666666666664</v>
      </c>
      <c r="J962" s="5">
        <v>44273.666666666664</v>
      </c>
    </row>
    <row r="963" spans="1:10" x14ac:dyDescent="0.2">
      <c r="A963">
        <v>7118201</v>
      </c>
      <c r="B963">
        <v>3692827</v>
      </c>
      <c r="C963">
        <v>3692828</v>
      </c>
      <c r="D963">
        <v>21883</v>
      </c>
      <c r="E963">
        <v>21883</v>
      </c>
      <c r="F963" t="s">
        <v>441</v>
      </c>
      <c r="G963">
        <v>0</v>
      </c>
      <c r="I963" s="5">
        <v>44292.666666666664</v>
      </c>
      <c r="J963" s="5">
        <v>44274.333333333336</v>
      </c>
    </row>
    <row r="964" spans="1:10" x14ac:dyDescent="0.2">
      <c r="A964">
        <v>7118202</v>
      </c>
      <c r="B964">
        <v>3693016</v>
      </c>
      <c r="C964">
        <v>3692847</v>
      </c>
      <c r="D964">
        <v>21883</v>
      </c>
      <c r="E964">
        <v>21883</v>
      </c>
      <c r="F964" t="s">
        <v>441</v>
      </c>
      <c r="G964">
        <v>0</v>
      </c>
      <c r="I964" s="5">
        <v>44044</v>
      </c>
      <c r="J964" s="5">
        <v>43970.333333333336</v>
      </c>
    </row>
    <row r="965" spans="1:10" x14ac:dyDescent="0.2">
      <c r="A965">
        <v>7118203</v>
      </c>
      <c r="B965">
        <v>3693016</v>
      </c>
      <c r="C965">
        <v>3692864</v>
      </c>
      <c r="D965">
        <v>21883</v>
      </c>
      <c r="E965">
        <v>21883</v>
      </c>
      <c r="F965" t="s">
        <v>441</v>
      </c>
      <c r="G965">
        <v>0</v>
      </c>
      <c r="I965" s="5">
        <v>44044</v>
      </c>
      <c r="J965" s="5">
        <v>43970.333333333336</v>
      </c>
    </row>
    <row r="966" spans="1:10" x14ac:dyDescent="0.2">
      <c r="A966">
        <v>7118204</v>
      </c>
      <c r="B966">
        <v>3692835</v>
      </c>
      <c r="C966">
        <v>3692840</v>
      </c>
      <c r="D966">
        <v>21883</v>
      </c>
      <c r="E966">
        <v>21883</v>
      </c>
      <c r="F966" t="s">
        <v>441</v>
      </c>
      <c r="G966">
        <v>0</v>
      </c>
      <c r="I966" s="5">
        <v>44044</v>
      </c>
      <c r="J966" s="5">
        <v>43970.333333333336</v>
      </c>
    </row>
    <row r="967" spans="1:10" x14ac:dyDescent="0.2">
      <c r="A967">
        <v>7118205</v>
      </c>
      <c r="B967">
        <v>3692846</v>
      </c>
      <c r="C967">
        <v>3692845</v>
      </c>
      <c r="D967">
        <v>21883</v>
      </c>
      <c r="E967">
        <v>21883</v>
      </c>
      <c r="F967" t="s">
        <v>441</v>
      </c>
      <c r="G967">
        <v>0</v>
      </c>
      <c r="I967" s="5">
        <v>44044</v>
      </c>
      <c r="J967" s="5">
        <v>43970.333333333336</v>
      </c>
    </row>
    <row r="968" spans="1:10" x14ac:dyDescent="0.2">
      <c r="A968">
        <v>7118206</v>
      </c>
      <c r="B968">
        <v>3692842</v>
      </c>
      <c r="C968">
        <v>3692835</v>
      </c>
      <c r="D968">
        <v>21883</v>
      </c>
      <c r="E968">
        <v>21883</v>
      </c>
      <c r="F968" t="s">
        <v>441</v>
      </c>
      <c r="G968">
        <v>0</v>
      </c>
      <c r="I968" s="5">
        <v>44044</v>
      </c>
      <c r="J968" s="5">
        <v>43970.333333333336</v>
      </c>
    </row>
    <row r="969" spans="1:10" x14ac:dyDescent="0.2">
      <c r="A969">
        <v>7118207</v>
      </c>
      <c r="B969">
        <v>3692842</v>
      </c>
      <c r="C969">
        <v>3692836</v>
      </c>
      <c r="D969">
        <v>21883</v>
      </c>
      <c r="E969">
        <v>21883</v>
      </c>
      <c r="F969" t="s">
        <v>441</v>
      </c>
      <c r="G969">
        <v>0</v>
      </c>
      <c r="I969" s="5">
        <v>44044</v>
      </c>
      <c r="J969" s="5">
        <v>43970.333333333336</v>
      </c>
    </row>
    <row r="970" spans="1:10" x14ac:dyDescent="0.2">
      <c r="A970">
        <v>7118208</v>
      </c>
      <c r="B970">
        <v>3692836</v>
      </c>
      <c r="C970">
        <v>3692840</v>
      </c>
      <c r="D970">
        <v>21883</v>
      </c>
      <c r="E970">
        <v>21883</v>
      </c>
      <c r="F970" t="s">
        <v>441</v>
      </c>
      <c r="G970">
        <v>0</v>
      </c>
      <c r="I970" s="5">
        <v>44044</v>
      </c>
      <c r="J970" s="5">
        <v>43970.333333333336</v>
      </c>
    </row>
    <row r="971" spans="1:10" x14ac:dyDescent="0.2">
      <c r="A971">
        <v>7118209</v>
      </c>
      <c r="B971">
        <v>3692843</v>
      </c>
      <c r="C971">
        <v>3692842</v>
      </c>
      <c r="D971">
        <v>21883</v>
      </c>
      <c r="E971">
        <v>21883</v>
      </c>
      <c r="F971" t="s">
        <v>441</v>
      </c>
      <c r="G971">
        <v>0</v>
      </c>
      <c r="I971" s="5">
        <v>44044</v>
      </c>
      <c r="J971" s="5">
        <v>43970.333333333336</v>
      </c>
    </row>
    <row r="972" spans="1:10" x14ac:dyDescent="0.2">
      <c r="A972">
        <v>7118210</v>
      </c>
      <c r="B972">
        <v>3692844</v>
      </c>
      <c r="C972">
        <v>3692843</v>
      </c>
      <c r="D972">
        <v>21883</v>
      </c>
      <c r="E972">
        <v>21883</v>
      </c>
      <c r="F972" t="s">
        <v>441</v>
      </c>
      <c r="G972">
        <v>0</v>
      </c>
      <c r="I972" s="5">
        <v>44044</v>
      </c>
      <c r="J972" s="5">
        <v>43970.333333333336</v>
      </c>
    </row>
    <row r="973" spans="1:10" x14ac:dyDescent="0.2">
      <c r="A973">
        <v>7118211</v>
      </c>
      <c r="B973">
        <v>3692852</v>
      </c>
      <c r="C973">
        <v>3692857</v>
      </c>
      <c r="D973">
        <v>21883</v>
      </c>
      <c r="E973">
        <v>21883</v>
      </c>
      <c r="F973" t="s">
        <v>441</v>
      </c>
      <c r="G973">
        <v>0</v>
      </c>
      <c r="I973" s="5">
        <v>44044</v>
      </c>
      <c r="J973" s="5">
        <v>43970.333333333336</v>
      </c>
    </row>
    <row r="974" spans="1:10" x14ac:dyDescent="0.2">
      <c r="A974">
        <v>7118212</v>
      </c>
      <c r="B974">
        <v>3692848</v>
      </c>
      <c r="C974">
        <v>3693015</v>
      </c>
      <c r="D974">
        <v>21883</v>
      </c>
      <c r="E974">
        <v>21883</v>
      </c>
      <c r="F974" t="s">
        <v>441</v>
      </c>
      <c r="G974">
        <v>0</v>
      </c>
      <c r="I974" s="5">
        <v>44044</v>
      </c>
      <c r="J974" s="5">
        <v>43970.333333333336</v>
      </c>
    </row>
    <row r="975" spans="1:10" x14ac:dyDescent="0.2">
      <c r="A975">
        <v>7118213</v>
      </c>
      <c r="B975">
        <v>3692850</v>
      </c>
      <c r="C975">
        <v>3692849</v>
      </c>
      <c r="D975">
        <v>21883</v>
      </c>
      <c r="E975">
        <v>21883</v>
      </c>
      <c r="F975" t="s">
        <v>441</v>
      </c>
      <c r="G975">
        <v>0</v>
      </c>
      <c r="I975" s="5">
        <v>44044</v>
      </c>
      <c r="J975" s="5">
        <v>43970.333333333336</v>
      </c>
    </row>
    <row r="976" spans="1:10" x14ac:dyDescent="0.2">
      <c r="A976">
        <v>7118214</v>
      </c>
      <c r="B976">
        <v>3692849</v>
      </c>
      <c r="C976">
        <v>3692856</v>
      </c>
      <c r="D976">
        <v>21883</v>
      </c>
      <c r="E976">
        <v>21883</v>
      </c>
      <c r="F976" t="s">
        <v>441</v>
      </c>
      <c r="G976">
        <v>0</v>
      </c>
      <c r="I976" s="5">
        <v>44044</v>
      </c>
      <c r="J976" s="5">
        <v>43970.333333333336</v>
      </c>
    </row>
    <row r="977" spans="1:10" x14ac:dyDescent="0.2">
      <c r="A977">
        <v>7118215</v>
      </c>
      <c r="B977">
        <v>3692863</v>
      </c>
      <c r="C977">
        <v>3692850</v>
      </c>
      <c r="D977">
        <v>21883</v>
      </c>
      <c r="E977">
        <v>21883</v>
      </c>
      <c r="F977" t="s">
        <v>441</v>
      </c>
      <c r="G977">
        <v>0</v>
      </c>
      <c r="I977" s="5">
        <v>44044</v>
      </c>
      <c r="J977" s="5">
        <v>43970.333333333336</v>
      </c>
    </row>
    <row r="978" spans="1:10" x14ac:dyDescent="0.2">
      <c r="A978">
        <v>7118216</v>
      </c>
      <c r="B978">
        <v>3692863</v>
      </c>
      <c r="C978">
        <v>3692862</v>
      </c>
      <c r="D978">
        <v>21883</v>
      </c>
      <c r="E978">
        <v>21883</v>
      </c>
      <c r="F978" t="s">
        <v>441</v>
      </c>
      <c r="G978">
        <v>0</v>
      </c>
      <c r="I978" s="5">
        <v>44044</v>
      </c>
      <c r="J978" s="5">
        <v>43970.333333333336</v>
      </c>
    </row>
    <row r="979" spans="1:10" x14ac:dyDescent="0.2">
      <c r="A979">
        <v>7118217</v>
      </c>
      <c r="B979">
        <v>3692860</v>
      </c>
      <c r="C979">
        <v>3692851</v>
      </c>
      <c r="D979">
        <v>21883</v>
      </c>
      <c r="E979">
        <v>21883</v>
      </c>
      <c r="F979" t="s">
        <v>441</v>
      </c>
      <c r="G979">
        <v>0</v>
      </c>
      <c r="I979" s="5">
        <v>44044</v>
      </c>
      <c r="J979" s="5">
        <v>43970.333333333336</v>
      </c>
    </row>
    <row r="980" spans="1:10" x14ac:dyDescent="0.2">
      <c r="A980">
        <v>7118218</v>
      </c>
      <c r="B980">
        <v>3692851</v>
      </c>
      <c r="C980">
        <v>3692859</v>
      </c>
      <c r="D980">
        <v>21883</v>
      </c>
      <c r="E980">
        <v>21883</v>
      </c>
      <c r="F980" t="s">
        <v>441</v>
      </c>
      <c r="G980">
        <v>0</v>
      </c>
      <c r="I980" s="5">
        <v>44044</v>
      </c>
      <c r="J980" s="5">
        <v>43970.333333333336</v>
      </c>
    </row>
    <row r="981" spans="1:10" x14ac:dyDescent="0.2">
      <c r="A981">
        <v>7118219</v>
      </c>
      <c r="B981">
        <v>3692859</v>
      </c>
      <c r="C981">
        <v>3692852</v>
      </c>
      <c r="D981">
        <v>21883</v>
      </c>
      <c r="E981">
        <v>21883</v>
      </c>
      <c r="F981" t="s">
        <v>441</v>
      </c>
      <c r="G981">
        <v>0</v>
      </c>
      <c r="I981" s="5">
        <v>44044</v>
      </c>
      <c r="J981" s="5">
        <v>43970.333333333336</v>
      </c>
    </row>
    <row r="982" spans="1:10" x14ac:dyDescent="0.2">
      <c r="A982">
        <v>7118220</v>
      </c>
      <c r="B982">
        <v>3692859</v>
      </c>
      <c r="C982">
        <v>3692853</v>
      </c>
      <c r="D982">
        <v>21883</v>
      </c>
      <c r="E982">
        <v>21883</v>
      </c>
      <c r="F982" t="s">
        <v>441</v>
      </c>
      <c r="G982">
        <v>0</v>
      </c>
      <c r="I982" s="5">
        <v>44044</v>
      </c>
      <c r="J982" s="5">
        <v>43970.333333333336</v>
      </c>
    </row>
    <row r="983" spans="1:10" x14ac:dyDescent="0.2">
      <c r="A983">
        <v>7118221</v>
      </c>
      <c r="B983">
        <v>3692853</v>
      </c>
      <c r="C983">
        <v>3692857</v>
      </c>
      <c r="D983">
        <v>21883</v>
      </c>
      <c r="E983">
        <v>21883</v>
      </c>
      <c r="F983" t="s">
        <v>441</v>
      </c>
      <c r="G983">
        <v>0</v>
      </c>
      <c r="I983" s="5">
        <v>44044</v>
      </c>
      <c r="J983" s="5">
        <v>43970.333333333336</v>
      </c>
    </row>
    <row r="984" spans="1:10" x14ac:dyDescent="0.2">
      <c r="A984">
        <v>7118222</v>
      </c>
      <c r="B984">
        <v>3692860</v>
      </c>
      <c r="C984">
        <v>3692859</v>
      </c>
      <c r="D984">
        <v>21883</v>
      </c>
      <c r="E984">
        <v>21883</v>
      </c>
      <c r="F984" t="s">
        <v>441</v>
      </c>
      <c r="G984">
        <v>0</v>
      </c>
      <c r="I984" s="5">
        <v>44044</v>
      </c>
      <c r="J984" s="5">
        <v>43970.333333333336</v>
      </c>
    </row>
    <row r="985" spans="1:10" x14ac:dyDescent="0.2">
      <c r="A985">
        <v>7118223</v>
      </c>
      <c r="B985">
        <v>3692861</v>
      </c>
      <c r="C985">
        <v>3692860</v>
      </c>
      <c r="D985">
        <v>21883</v>
      </c>
      <c r="E985">
        <v>21883</v>
      </c>
      <c r="F985" t="s">
        <v>441</v>
      </c>
      <c r="G985">
        <v>0</v>
      </c>
      <c r="I985" s="5">
        <v>44044</v>
      </c>
      <c r="J985" s="5">
        <v>43970.333333333336</v>
      </c>
    </row>
    <row r="986" spans="1:10" x14ac:dyDescent="0.2">
      <c r="A986">
        <v>7118224</v>
      </c>
      <c r="B986">
        <v>3692862</v>
      </c>
      <c r="C986">
        <v>3692861</v>
      </c>
      <c r="D986">
        <v>21883</v>
      </c>
      <c r="E986">
        <v>21883</v>
      </c>
      <c r="F986" t="s">
        <v>441</v>
      </c>
      <c r="G986">
        <v>0</v>
      </c>
      <c r="I986" s="5">
        <v>44044</v>
      </c>
      <c r="J986" s="5">
        <v>43970.333333333336</v>
      </c>
    </row>
    <row r="987" spans="1:10" x14ac:dyDescent="0.2">
      <c r="A987">
        <v>7118225</v>
      </c>
      <c r="B987">
        <v>3692864</v>
      </c>
      <c r="C987">
        <v>3692863</v>
      </c>
      <c r="D987">
        <v>21883</v>
      </c>
      <c r="E987">
        <v>21883</v>
      </c>
      <c r="F987" t="s">
        <v>441</v>
      </c>
      <c r="G987">
        <v>0</v>
      </c>
      <c r="I987" s="5">
        <v>44044</v>
      </c>
      <c r="J987" s="5">
        <v>43970.333333333336</v>
      </c>
    </row>
    <row r="988" spans="1:10" x14ac:dyDescent="0.2">
      <c r="A988">
        <v>7118226</v>
      </c>
      <c r="B988">
        <v>3692865</v>
      </c>
      <c r="C988">
        <v>3692991</v>
      </c>
      <c r="D988">
        <v>21883</v>
      </c>
      <c r="E988">
        <v>21883</v>
      </c>
      <c r="F988" t="s">
        <v>441</v>
      </c>
      <c r="G988">
        <v>0</v>
      </c>
      <c r="I988" s="5">
        <v>44044</v>
      </c>
      <c r="J988" s="5">
        <v>43970.333333333336</v>
      </c>
    </row>
    <row r="989" spans="1:10" x14ac:dyDescent="0.2">
      <c r="A989">
        <v>7118227</v>
      </c>
      <c r="B989">
        <v>3693018</v>
      </c>
      <c r="C989">
        <v>3692865</v>
      </c>
      <c r="D989">
        <v>21883</v>
      </c>
      <c r="E989">
        <v>21883</v>
      </c>
      <c r="F989" t="s">
        <v>441</v>
      </c>
      <c r="G989">
        <v>0</v>
      </c>
      <c r="I989" s="5">
        <v>44044</v>
      </c>
      <c r="J989" s="5">
        <v>43970.333333333336</v>
      </c>
    </row>
    <row r="990" spans="1:10" x14ac:dyDescent="0.2">
      <c r="A990">
        <v>7118228</v>
      </c>
      <c r="B990">
        <v>3693015</v>
      </c>
      <c r="C990">
        <v>3692865</v>
      </c>
      <c r="D990">
        <v>21883</v>
      </c>
      <c r="E990">
        <v>21883</v>
      </c>
      <c r="F990" t="s">
        <v>441</v>
      </c>
      <c r="G990">
        <v>0</v>
      </c>
      <c r="I990" s="5">
        <v>44044</v>
      </c>
      <c r="J990" s="5">
        <v>43970.333333333336</v>
      </c>
    </row>
    <row r="991" spans="1:10" x14ac:dyDescent="0.2">
      <c r="A991">
        <v>7118229</v>
      </c>
      <c r="B991">
        <v>3692878</v>
      </c>
      <c r="C991">
        <v>3692865</v>
      </c>
      <c r="D991">
        <v>21883</v>
      </c>
      <c r="E991">
        <v>21883</v>
      </c>
      <c r="F991" t="s">
        <v>441</v>
      </c>
      <c r="G991">
        <v>0</v>
      </c>
      <c r="I991" s="5">
        <v>44044</v>
      </c>
      <c r="J991" s="5">
        <v>43970.333333333336</v>
      </c>
    </row>
    <row r="992" spans="1:10" x14ac:dyDescent="0.2">
      <c r="A992">
        <v>7118230</v>
      </c>
      <c r="B992">
        <v>3692865</v>
      </c>
      <c r="C992">
        <v>3693001</v>
      </c>
      <c r="D992">
        <v>21883</v>
      </c>
      <c r="E992">
        <v>21883</v>
      </c>
      <c r="F992" t="s">
        <v>441</v>
      </c>
      <c r="G992">
        <v>0</v>
      </c>
      <c r="I992" s="5">
        <v>44044</v>
      </c>
      <c r="J992" s="5">
        <v>43970.333333333336</v>
      </c>
    </row>
    <row r="993" spans="1:10" x14ac:dyDescent="0.2">
      <c r="A993">
        <v>7118231</v>
      </c>
      <c r="B993">
        <v>3693738</v>
      </c>
      <c r="C993">
        <v>3692867</v>
      </c>
      <c r="D993">
        <v>21883</v>
      </c>
      <c r="E993">
        <v>21883</v>
      </c>
      <c r="F993" t="s">
        <v>441</v>
      </c>
      <c r="G993">
        <v>0</v>
      </c>
      <c r="I993" s="5">
        <v>44102.666666666664</v>
      </c>
      <c r="J993" s="5">
        <v>44053.333333333336</v>
      </c>
    </row>
    <row r="994" spans="1:10" x14ac:dyDescent="0.2">
      <c r="A994">
        <v>7118232</v>
      </c>
      <c r="B994">
        <v>3693736</v>
      </c>
      <c r="C994">
        <v>3692868</v>
      </c>
      <c r="D994">
        <v>21883</v>
      </c>
      <c r="E994">
        <v>21883</v>
      </c>
      <c r="F994" t="s">
        <v>442</v>
      </c>
      <c r="G994">
        <v>48</v>
      </c>
      <c r="I994" s="5">
        <v>44082.666666666664</v>
      </c>
      <c r="J994" s="5">
        <v>44001.333333333336</v>
      </c>
    </row>
    <row r="995" spans="1:10" x14ac:dyDescent="0.2">
      <c r="A995">
        <v>7118233</v>
      </c>
      <c r="B995">
        <v>3693714</v>
      </c>
      <c r="C995">
        <v>3692872</v>
      </c>
      <c r="D995">
        <v>21883</v>
      </c>
      <c r="E995">
        <v>21883</v>
      </c>
      <c r="F995" t="s">
        <v>441</v>
      </c>
      <c r="G995">
        <v>0</v>
      </c>
      <c r="I995" s="5">
        <v>44044</v>
      </c>
      <c r="J995" s="5">
        <v>44054.333333333336</v>
      </c>
    </row>
    <row r="996" spans="1:10" x14ac:dyDescent="0.2">
      <c r="A996">
        <v>7118234</v>
      </c>
      <c r="B996">
        <v>3692872</v>
      </c>
      <c r="C996">
        <v>3693712</v>
      </c>
      <c r="D996">
        <v>21883</v>
      </c>
      <c r="E996">
        <v>21883</v>
      </c>
      <c r="F996" t="s">
        <v>441</v>
      </c>
      <c r="G996">
        <v>0</v>
      </c>
      <c r="I996" s="5">
        <v>44044</v>
      </c>
      <c r="J996" s="5">
        <v>44054.333333333336</v>
      </c>
    </row>
    <row r="997" spans="1:10" x14ac:dyDescent="0.2">
      <c r="A997">
        <v>7118235</v>
      </c>
      <c r="B997">
        <v>3693714</v>
      </c>
      <c r="C997">
        <v>3692873</v>
      </c>
      <c r="D997">
        <v>21883</v>
      </c>
      <c r="E997">
        <v>21883</v>
      </c>
      <c r="F997" t="s">
        <v>441</v>
      </c>
      <c r="G997">
        <v>0</v>
      </c>
      <c r="I997" s="5">
        <v>44044</v>
      </c>
      <c r="J997" s="5">
        <v>44054.333333333336</v>
      </c>
    </row>
    <row r="998" spans="1:10" x14ac:dyDescent="0.2">
      <c r="A998">
        <v>7118236</v>
      </c>
      <c r="B998">
        <v>3693712</v>
      </c>
      <c r="C998">
        <v>3692874</v>
      </c>
      <c r="D998">
        <v>21883</v>
      </c>
      <c r="E998">
        <v>21883</v>
      </c>
      <c r="F998" t="s">
        <v>441</v>
      </c>
      <c r="G998">
        <v>0</v>
      </c>
      <c r="I998" s="5">
        <v>44044</v>
      </c>
      <c r="J998" s="5">
        <v>44054.333333333336</v>
      </c>
    </row>
    <row r="999" spans="1:10" x14ac:dyDescent="0.2">
      <c r="A999">
        <v>7118237</v>
      </c>
      <c r="B999">
        <v>3692933</v>
      </c>
      <c r="C999">
        <v>3694105</v>
      </c>
      <c r="D999">
        <v>21883</v>
      </c>
      <c r="E999">
        <v>21883</v>
      </c>
      <c r="F999" t="s">
        <v>441</v>
      </c>
      <c r="G999">
        <v>0</v>
      </c>
      <c r="I999" s="5">
        <v>44044</v>
      </c>
      <c r="J999" s="5">
        <v>43970.333333333336</v>
      </c>
    </row>
    <row r="1000" spans="1:10" x14ac:dyDescent="0.2">
      <c r="A1000">
        <v>7118238</v>
      </c>
      <c r="B1000">
        <v>3692893</v>
      </c>
      <c r="C1000">
        <v>3692892</v>
      </c>
      <c r="D1000">
        <v>21883</v>
      </c>
      <c r="E1000">
        <v>21883</v>
      </c>
      <c r="F1000" t="s">
        <v>441</v>
      </c>
      <c r="G1000">
        <v>80</v>
      </c>
      <c r="I1000" s="5">
        <v>44044</v>
      </c>
      <c r="J1000" s="5">
        <v>43970.333333333336</v>
      </c>
    </row>
    <row r="1001" spans="1:10" x14ac:dyDescent="0.2">
      <c r="A1001">
        <v>7118239</v>
      </c>
      <c r="B1001">
        <v>3692894</v>
      </c>
      <c r="C1001">
        <v>3692893</v>
      </c>
      <c r="D1001">
        <v>21883</v>
      </c>
      <c r="E1001">
        <v>21883</v>
      </c>
      <c r="F1001" t="s">
        <v>441</v>
      </c>
      <c r="G1001">
        <v>24</v>
      </c>
      <c r="I1001" s="5">
        <v>44044</v>
      </c>
      <c r="J1001" s="5">
        <v>43970.333333333336</v>
      </c>
    </row>
    <row r="1002" spans="1:10" x14ac:dyDescent="0.2">
      <c r="A1002">
        <v>7118240</v>
      </c>
      <c r="B1002">
        <v>3692895</v>
      </c>
      <c r="C1002">
        <v>3692894</v>
      </c>
      <c r="D1002">
        <v>21883</v>
      </c>
      <c r="E1002">
        <v>21883</v>
      </c>
      <c r="F1002" t="s">
        <v>441</v>
      </c>
      <c r="G1002">
        <v>0</v>
      </c>
      <c r="I1002" s="5">
        <v>44044</v>
      </c>
      <c r="J1002" s="5">
        <v>43970.333333333336</v>
      </c>
    </row>
    <row r="1003" spans="1:10" x14ac:dyDescent="0.2">
      <c r="A1003">
        <v>7118241</v>
      </c>
      <c r="B1003">
        <v>3692897</v>
      </c>
      <c r="C1003">
        <v>3692896</v>
      </c>
      <c r="D1003">
        <v>21883</v>
      </c>
      <c r="E1003">
        <v>21883</v>
      </c>
      <c r="F1003" t="s">
        <v>442</v>
      </c>
      <c r="G1003">
        <v>80</v>
      </c>
      <c r="I1003" s="5">
        <v>44044</v>
      </c>
      <c r="J1003" s="5">
        <v>43970.333333333336</v>
      </c>
    </row>
    <row r="1004" spans="1:10" x14ac:dyDescent="0.2">
      <c r="A1004">
        <v>7118242</v>
      </c>
      <c r="B1004">
        <v>3692898</v>
      </c>
      <c r="C1004">
        <v>3692896</v>
      </c>
      <c r="D1004">
        <v>21883</v>
      </c>
      <c r="E1004">
        <v>21883</v>
      </c>
      <c r="F1004" t="s">
        <v>442</v>
      </c>
      <c r="G1004">
        <v>40</v>
      </c>
      <c r="I1004" s="5">
        <v>44044</v>
      </c>
      <c r="J1004" s="5">
        <v>43970.333333333336</v>
      </c>
    </row>
    <row r="1005" spans="1:10" x14ac:dyDescent="0.2">
      <c r="A1005">
        <v>7118243</v>
      </c>
      <c r="B1005">
        <v>3692899</v>
      </c>
      <c r="C1005">
        <v>3692898</v>
      </c>
      <c r="D1005">
        <v>21883</v>
      </c>
      <c r="E1005">
        <v>21883</v>
      </c>
      <c r="F1005" t="s">
        <v>441</v>
      </c>
      <c r="G1005">
        <v>0</v>
      </c>
      <c r="I1005" s="5">
        <v>44044</v>
      </c>
      <c r="J1005" s="5">
        <v>43970.333333333336</v>
      </c>
    </row>
    <row r="1006" spans="1:10" x14ac:dyDescent="0.2">
      <c r="A1006">
        <v>7118244</v>
      </c>
      <c r="B1006">
        <v>3692899</v>
      </c>
      <c r="C1006">
        <v>3692897</v>
      </c>
      <c r="D1006">
        <v>21883</v>
      </c>
      <c r="E1006">
        <v>21883</v>
      </c>
      <c r="F1006" t="s">
        <v>441</v>
      </c>
      <c r="G1006">
        <v>0</v>
      </c>
      <c r="I1006" s="5">
        <v>44044</v>
      </c>
      <c r="J1006" s="5">
        <v>43970.333333333336</v>
      </c>
    </row>
    <row r="1007" spans="1:10" x14ac:dyDescent="0.2">
      <c r="A1007">
        <v>7118245</v>
      </c>
      <c r="B1007">
        <v>3692905</v>
      </c>
      <c r="C1007">
        <v>3692904</v>
      </c>
      <c r="D1007">
        <v>21883</v>
      </c>
      <c r="E1007">
        <v>21883</v>
      </c>
      <c r="F1007" t="s">
        <v>441</v>
      </c>
      <c r="G1007">
        <v>0</v>
      </c>
      <c r="I1007" s="5">
        <v>44044</v>
      </c>
      <c r="J1007" s="5">
        <v>43970.333333333336</v>
      </c>
    </row>
    <row r="1008" spans="1:10" x14ac:dyDescent="0.2">
      <c r="A1008">
        <v>7118246</v>
      </c>
      <c r="B1008">
        <v>3692906</v>
      </c>
      <c r="C1008">
        <v>3692905</v>
      </c>
      <c r="D1008">
        <v>21883</v>
      </c>
      <c r="E1008">
        <v>21883</v>
      </c>
      <c r="F1008" t="s">
        <v>441</v>
      </c>
      <c r="G1008">
        <v>0</v>
      </c>
      <c r="I1008" s="5">
        <v>44044</v>
      </c>
      <c r="J1008" s="5">
        <v>43970.333333333336</v>
      </c>
    </row>
    <row r="1009" spans="1:10" x14ac:dyDescent="0.2">
      <c r="A1009">
        <v>7118247</v>
      </c>
      <c r="B1009">
        <v>3692937</v>
      </c>
      <c r="C1009">
        <v>3692936</v>
      </c>
      <c r="D1009">
        <v>21883</v>
      </c>
      <c r="E1009">
        <v>21883</v>
      </c>
      <c r="F1009" t="s">
        <v>441</v>
      </c>
      <c r="G1009">
        <v>0</v>
      </c>
      <c r="I1009" s="5">
        <v>44044</v>
      </c>
      <c r="J1009" s="5">
        <v>43970.333333333336</v>
      </c>
    </row>
    <row r="1010" spans="1:10" x14ac:dyDescent="0.2">
      <c r="A1010">
        <v>7118248</v>
      </c>
      <c r="B1010">
        <v>3692938</v>
      </c>
      <c r="C1010">
        <v>3692937</v>
      </c>
      <c r="D1010">
        <v>21883</v>
      </c>
      <c r="E1010">
        <v>21883</v>
      </c>
      <c r="F1010" t="s">
        <v>441</v>
      </c>
      <c r="G1010">
        <v>0</v>
      </c>
      <c r="I1010" s="5">
        <v>44044</v>
      </c>
      <c r="J1010" s="5">
        <v>43970.333333333336</v>
      </c>
    </row>
    <row r="1011" spans="1:10" x14ac:dyDescent="0.2">
      <c r="A1011">
        <v>7118249</v>
      </c>
      <c r="B1011">
        <v>3692922</v>
      </c>
      <c r="C1011">
        <v>3692921</v>
      </c>
      <c r="D1011">
        <v>21883</v>
      </c>
      <c r="E1011">
        <v>21883</v>
      </c>
      <c r="F1011" t="s">
        <v>441</v>
      </c>
      <c r="G1011">
        <v>0</v>
      </c>
      <c r="I1011" s="5">
        <v>44044</v>
      </c>
      <c r="J1011" s="5">
        <v>43970.333333333336</v>
      </c>
    </row>
    <row r="1012" spans="1:10" x14ac:dyDescent="0.2">
      <c r="A1012">
        <v>7118250</v>
      </c>
      <c r="B1012">
        <v>3692927</v>
      </c>
      <c r="C1012">
        <v>3692926</v>
      </c>
      <c r="D1012">
        <v>21883</v>
      </c>
      <c r="E1012">
        <v>21883</v>
      </c>
      <c r="F1012" t="s">
        <v>441</v>
      </c>
      <c r="G1012">
        <v>0</v>
      </c>
      <c r="I1012" s="5">
        <v>44044</v>
      </c>
      <c r="J1012" s="5">
        <v>43970.333333333336</v>
      </c>
    </row>
    <row r="1013" spans="1:10" x14ac:dyDescent="0.2">
      <c r="A1013">
        <v>7118251</v>
      </c>
      <c r="B1013">
        <v>3692944</v>
      </c>
      <c r="C1013">
        <v>3692943</v>
      </c>
      <c r="D1013">
        <v>21883</v>
      </c>
      <c r="E1013">
        <v>21883</v>
      </c>
      <c r="F1013" t="s">
        <v>442</v>
      </c>
      <c r="G1013">
        <v>16</v>
      </c>
      <c r="I1013" s="5">
        <v>44044</v>
      </c>
      <c r="J1013" s="5">
        <v>43970.333333333336</v>
      </c>
    </row>
    <row r="1014" spans="1:10" x14ac:dyDescent="0.2">
      <c r="A1014">
        <v>7118252</v>
      </c>
      <c r="B1014">
        <v>3692942</v>
      </c>
      <c r="C1014">
        <v>3692941</v>
      </c>
      <c r="D1014">
        <v>21883</v>
      </c>
      <c r="E1014">
        <v>21883</v>
      </c>
      <c r="F1014" t="s">
        <v>441</v>
      </c>
      <c r="G1014">
        <v>0</v>
      </c>
      <c r="I1014" s="5">
        <v>44044</v>
      </c>
      <c r="J1014" s="5">
        <v>43970.333333333336</v>
      </c>
    </row>
    <row r="1015" spans="1:10" x14ac:dyDescent="0.2">
      <c r="A1015">
        <v>7118253</v>
      </c>
      <c r="B1015">
        <v>3692948</v>
      </c>
      <c r="C1015">
        <v>3692947</v>
      </c>
      <c r="D1015">
        <v>21883</v>
      </c>
      <c r="E1015">
        <v>21883</v>
      </c>
      <c r="F1015" t="s">
        <v>441</v>
      </c>
      <c r="G1015">
        <v>0</v>
      </c>
      <c r="I1015" s="5">
        <v>44044</v>
      </c>
      <c r="J1015" s="5">
        <v>43970.333333333336</v>
      </c>
    </row>
    <row r="1016" spans="1:10" x14ac:dyDescent="0.2">
      <c r="A1016">
        <v>7118254</v>
      </c>
      <c r="B1016">
        <v>3692960</v>
      </c>
      <c r="C1016">
        <v>3692959</v>
      </c>
      <c r="D1016">
        <v>21883</v>
      </c>
      <c r="E1016">
        <v>21883</v>
      </c>
      <c r="F1016" t="s">
        <v>441</v>
      </c>
      <c r="G1016">
        <v>0</v>
      </c>
      <c r="I1016" s="5">
        <v>44044</v>
      </c>
      <c r="J1016" s="5">
        <v>43970.333333333336</v>
      </c>
    </row>
    <row r="1017" spans="1:10" x14ac:dyDescent="0.2">
      <c r="A1017">
        <v>7118255</v>
      </c>
      <c r="B1017">
        <v>3692968</v>
      </c>
      <c r="C1017">
        <v>3692967</v>
      </c>
      <c r="D1017">
        <v>21883</v>
      </c>
      <c r="E1017">
        <v>21883</v>
      </c>
      <c r="F1017" t="s">
        <v>442</v>
      </c>
      <c r="G1017">
        <v>16</v>
      </c>
      <c r="I1017" s="5">
        <v>44044</v>
      </c>
      <c r="J1017" s="5">
        <v>43970.333333333336</v>
      </c>
    </row>
    <row r="1018" spans="1:10" x14ac:dyDescent="0.2">
      <c r="A1018">
        <v>7118256</v>
      </c>
      <c r="B1018">
        <v>3692980</v>
      </c>
      <c r="C1018">
        <v>3692979</v>
      </c>
      <c r="D1018">
        <v>21883</v>
      </c>
      <c r="E1018">
        <v>21883</v>
      </c>
      <c r="F1018" t="s">
        <v>442</v>
      </c>
      <c r="G1018">
        <v>16</v>
      </c>
      <c r="I1018" s="5">
        <v>44044</v>
      </c>
      <c r="J1018" s="5">
        <v>43970.333333333336</v>
      </c>
    </row>
    <row r="1019" spans="1:10" x14ac:dyDescent="0.2">
      <c r="A1019">
        <v>7118257</v>
      </c>
      <c r="B1019">
        <v>3692978</v>
      </c>
      <c r="C1019">
        <v>3692977</v>
      </c>
      <c r="D1019">
        <v>21883</v>
      </c>
      <c r="E1019">
        <v>21883</v>
      </c>
      <c r="F1019" t="s">
        <v>441</v>
      </c>
      <c r="G1019">
        <v>0</v>
      </c>
      <c r="I1019" s="5">
        <v>44044</v>
      </c>
      <c r="J1019" s="5">
        <v>43970.333333333336</v>
      </c>
    </row>
    <row r="1020" spans="1:10" x14ac:dyDescent="0.2">
      <c r="A1020">
        <v>7118258</v>
      </c>
      <c r="B1020">
        <v>3692915</v>
      </c>
      <c r="C1020">
        <v>3692912</v>
      </c>
      <c r="D1020">
        <v>21883</v>
      </c>
      <c r="E1020">
        <v>21883</v>
      </c>
      <c r="F1020" t="s">
        <v>441</v>
      </c>
      <c r="G1020">
        <v>0</v>
      </c>
      <c r="I1020" s="5">
        <v>44044</v>
      </c>
      <c r="J1020" s="5">
        <v>43970.333333333336</v>
      </c>
    </row>
    <row r="1021" spans="1:10" x14ac:dyDescent="0.2">
      <c r="A1021">
        <v>7118259</v>
      </c>
      <c r="B1021">
        <v>3692941</v>
      </c>
      <c r="C1021">
        <v>3692907</v>
      </c>
      <c r="D1021">
        <v>21883</v>
      </c>
      <c r="E1021">
        <v>21883</v>
      </c>
      <c r="F1021" t="s">
        <v>441</v>
      </c>
      <c r="G1021">
        <v>0</v>
      </c>
      <c r="I1021" s="5">
        <v>44044</v>
      </c>
      <c r="J1021" s="5">
        <v>43970.333333333336</v>
      </c>
    </row>
    <row r="1022" spans="1:10" x14ac:dyDescent="0.2">
      <c r="A1022">
        <v>7118260</v>
      </c>
      <c r="B1022">
        <v>3692941</v>
      </c>
      <c r="C1022">
        <v>3692910</v>
      </c>
      <c r="D1022">
        <v>21883</v>
      </c>
      <c r="E1022">
        <v>21883</v>
      </c>
      <c r="F1022" t="s">
        <v>441</v>
      </c>
      <c r="G1022">
        <v>0</v>
      </c>
      <c r="I1022" s="5">
        <v>44044</v>
      </c>
      <c r="J1022" s="5">
        <v>43970.333333333336</v>
      </c>
    </row>
    <row r="1023" spans="1:10" x14ac:dyDescent="0.2">
      <c r="A1023">
        <v>7118261</v>
      </c>
      <c r="B1023">
        <v>3692947</v>
      </c>
      <c r="C1023">
        <v>3692910</v>
      </c>
      <c r="D1023">
        <v>21883</v>
      </c>
      <c r="E1023">
        <v>21883</v>
      </c>
      <c r="F1023" t="s">
        <v>441</v>
      </c>
      <c r="G1023">
        <v>0</v>
      </c>
      <c r="I1023" s="5">
        <v>44044</v>
      </c>
      <c r="J1023" s="5">
        <v>43970.333333333336</v>
      </c>
    </row>
    <row r="1024" spans="1:10" x14ac:dyDescent="0.2">
      <c r="A1024">
        <v>7118262</v>
      </c>
      <c r="B1024">
        <v>3692947</v>
      </c>
      <c r="C1024">
        <v>3692913</v>
      </c>
      <c r="D1024">
        <v>21883</v>
      </c>
      <c r="E1024">
        <v>21883</v>
      </c>
      <c r="F1024" t="s">
        <v>441</v>
      </c>
      <c r="G1024">
        <v>0</v>
      </c>
      <c r="I1024" s="5">
        <v>44044</v>
      </c>
      <c r="J1024" s="5">
        <v>43970.333333333336</v>
      </c>
    </row>
    <row r="1025" spans="1:10" x14ac:dyDescent="0.2">
      <c r="A1025">
        <v>7118263</v>
      </c>
      <c r="B1025">
        <v>3692953</v>
      </c>
      <c r="C1025">
        <v>3692913</v>
      </c>
      <c r="D1025">
        <v>21883</v>
      </c>
      <c r="E1025">
        <v>21883</v>
      </c>
      <c r="F1025" t="s">
        <v>441</v>
      </c>
      <c r="G1025">
        <v>0</v>
      </c>
      <c r="I1025" s="5">
        <v>44044</v>
      </c>
      <c r="J1025" s="5">
        <v>43970.333333333336</v>
      </c>
    </row>
    <row r="1026" spans="1:10" x14ac:dyDescent="0.2">
      <c r="A1026">
        <v>7118264</v>
      </c>
      <c r="B1026">
        <v>3692953</v>
      </c>
      <c r="C1026">
        <v>3692916</v>
      </c>
      <c r="D1026">
        <v>21883</v>
      </c>
      <c r="E1026">
        <v>21883</v>
      </c>
      <c r="F1026" t="s">
        <v>441</v>
      </c>
      <c r="G1026">
        <v>0</v>
      </c>
      <c r="I1026" s="5">
        <v>44044</v>
      </c>
      <c r="J1026" s="5">
        <v>43970.333333333336</v>
      </c>
    </row>
    <row r="1027" spans="1:10" x14ac:dyDescent="0.2">
      <c r="A1027">
        <v>7118265</v>
      </c>
      <c r="B1027">
        <v>3692959</v>
      </c>
      <c r="C1027">
        <v>3692916</v>
      </c>
      <c r="D1027">
        <v>21883</v>
      </c>
      <c r="E1027">
        <v>21883</v>
      </c>
      <c r="F1027" t="s">
        <v>441</v>
      </c>
      <c r="G1027">
        <v>0</v>
      </c>
      <c r="I1027" s="5">
        <v>44044</v>
      </c>
      <c r="J1027" s="5">
        <v>43970.333333333336</v>
      </c>
    </row>
    <row r="1028" spans="1:10" x14ac:dyDescent="0.2">
      <c r="A1028">
        <v>7118266</v>
      </c>
      <c r="B1028">
        <v>3692959</v>
      </c>
      <c r="C1028">
        <v>3692919</v>
      </c>
      <c r="D1028">
        <v>21883</v>
      </c>
      <c r="E1028">
        <v>21883</v>
      </c>
      <c r="F1028" t="s">
        <v>441</v>
      </c>
      <c r="G1028">
        <v>0</v>
      </c>
      <c r="I1028" s="5">
        <v>44044</v>
      </c>
      <c r="J1028" s="5">
        <v>43970.333333333336</v>
      </c>
    </row>
    <row r="1029" spans="1:10" x14ac:dyDescent="0.2">
      <c r="A1029">
        <v>7118267</v>
      </c>
      <c r="B1029">
        <v>3692965</v>
      </c>
      <c r="C1029">
        <v>3692919</v>
      </c>
      <c r="D1029">
        <v>21883</v>
      </c>
      <c r="E1029">
        <v>21883</v>
      </c>
      <c r="F1029" t="s">
        <v>441</v>
      </c>
      <c r="G1029">
        <v>0</v>
      </c>
      <c r="I1029" s="5">
        <v>44044</v>
      </c>
      <c r="J1029" s="5">
        <v>43970.333333333336</v>
      </c>
    </row>
    <row r="1030" spans="1:10" x14ac:dyDescent="0.2">
      <c r="A1030">
        <v>7118268</v>
      </c>
      <c r="B1030">
        <v>3692965</v>
      </c>
      <c r="C1030">
        <v>3692923</v>
      </c>
      <c r="D1030">
        <v>21883</v>
      </c>
      <c r="E1030">
        <v>21883</v>
      </c>
      <c r="F1030" t="s">
        <v>441</v>
      </c>
      <c r="G1030">
        <v>0</v>
      </c>
      <c r="I1030" s="5">
        <v>44044</v>
      </c>
      <c r="J1030" s="5">
        <v>43970.333333333336</v>
      </c>
    </row>
    <row r="1031" spans="1:10" x14ac:dyDescent="0.2">
      <c r="A1031">
        <v>7118269</v>
      </c>
      <c r="B1031">
        <v>3692971</v>
      </c>
      <c r="C1031">
        <v>3692923</v>
      </c>
      <c r="D1031">
        <v>21883</v>
      </c>
      <c r="E1031">
        <v>21883</v>
      </c>
      <c r="F1031" t="s">
        <v>441</v>
      </c>
      <c r="G1031">
        <v>0</v>
      </c>
      <c r="I1031" s="5">
        <v>44044</v>
      </c>
      <c r="J1031" s="5">
        <v>43970.333333333336</v>
      </c>
    </row>
    <row r="1032" spans="1:10" x14ac:dyDescent="0.2">
      <c r="A1032">
        <v>7118270</v>
      </c>
      <c r="B1032">
        <v>3692971</v>
      </c>
      <c r="C1032">
        <v>3692928</v>
      </c>
      <c r="D1032">
        <v>21883</v>
      </c>
      <c r="E1032">
        <v>21883</v>
      </c>
      <c r="F1032" t="s">
        <v>441</v>
      </c>
      <c r="G1032">
        <v>0</v>
      </c>
      <c r="I1032" s="5">
        <v>44044</v>
      </c>
      <c r="J1032" s="5">
        <v>43970.333333333336</v>
      </c>
    </row>
    <row r="1033" spans="1:10" x14ac:dyDescent="0.2">
      <c r="A1033">
        <v>7118271</v>
      </c>
      <c r="B1033">
        <v>3692977</v>
      </c>
      <c r="C1033">
        <v>3692928</v>
      </c>
      <c r="D1033">
        <v>21883</v>
      </c>
      <c r="E1033">
        <v>21883</v>
      </c>
      <c r="F1033" t="s">
        <v>441</v>
      </c>
      <c r="G1033">
        <v>0</v>
      </c>
      <c r="I1033" s="5">
        <v>44044</v>
      </c>
      <c r="J1033" s="5">
        <v>43970.333333333336</v>
      </c>
    </row>
    <row r="1034" spans="1:10" x14ac:dyDescent="0.2">
      <c r="A1034">
        <v>7118272</v>
      </c>
      <c r="B1034">
        <v>3692983</v>
      </c>
      <c r="C1034">
        <v>3692939</v>
      </c>
      <c r="D1034">
        <v>21883</v>
      </c>
      <c r="E1034">
        <v>21883</v>
      </c>
      <c r="F1034" t="s">
        <v>441</v>
      </c>
      <c r="G1034">
        <v>0</v>
      </c>
      <c r="I1034" s="5">
        <v>44044</v>
      </c>
      <c r="J1034" s="5">
        <v>43970.333333333336</v>
      </c>
    </row>
    <row r="1035" spans="1:10" x14ac:dyDescent="0.2">
      <c r="A1035">
        <v>7118273</v>
      </c>
      <c r="B1035">
        <v>3692933</v>
      </c>
      <c r="C1035">
        <v>3692931</v>
      </c>
      <c r="D1035">
        <v>21883</v>
      </c>
      <c r="E1035">
        <v>21883</v>
      </c>
      <c r="F1035" t="s">
        <v>441</v>
      </c>
      <c r="G1035">
        <v>0</v>
      </c>
      <c r="I1035" s="5">
        <v>44044</v>
      </c>
      <c r="J1035" s="5">
        <v>43970.333333333336</v>
      </c>
    </row>
    <row r="1036" spans="1:10" x14ac:dyDescent="0.2">
      <c r="A1036">
        <v>7118274</v>
      </c>
      <c r="B1036">
        <v>3692940</v>
      </c>
      <c r="C1036">
        <v>3692938</v>
      </c>
      <c r="D1036">
        <v>21883</v>
      </c>
      <c r="E1036">
        <v>21883</v>
      </c>
      <c r="F1036" t="s">
        <v>441</v>
      </c>
      <c r="G1036">
        <v>0</v>
      </c>
      <c r="I1036" s="5">
        <v>44044</v>
      </c>
      <c r="J1036" s="5">
        <v>43970.333333333336</v>
      </c>
    </row>
    <row r="1037" spans="1:10" x14ac:dyDescent="0.2">
      <c r="A1037">
        <v>7118275</v>
      </c>
      <c r="B1037">
        <v>3692911</v>
      </c>
      <c r="C1037">
        <v>3692909</v>
      </c>
      <c r="D1037">
        <v>21883</v>
      </c>
      <c r="E1037">
        <v>21883</v>
      </c>
      <c r="F1037" t="s">
        <v>441</v>
      </c>
      <c r="G1037">
        <v>0</v>
      </c>
      <c r="I1037" s="5">
        <v>44044</v>
      </c>
      <c r="J1037" s="5">
        <v>43970.333333333336</v>
      </c>
    </row>
    <row r="1038" spans="1:10" x14ac:dyDescent="0.2">
      <c r="A1038">
        <v>7118276</v>
      </c>
      <c r="B1038">
        <v>3692910</v>
      </c>
      <c r="C1038">
        <v>3692911</v>
      </c>
      <c r="D1038">
        <v>21883</v>
      </c>
      <c r="E1038">
        <v>21883</v>
      </c>
      <c r="F1038" t="s">
        <v>441</v>
      </c>
      <c r="G1038">
        <v>0</v>
      </c>
      <c r="I1038" s="5">
        <v>44044</v>
      </c>
      <c r="J1038" s="5">
        <v>43970.333333333336</v>
      </c>
    </row>
    <row r="1039" spans="1:10" x14ac:dyDescent="0.2">
      <c r="A1039">
        <v>7118277</v>
      </c>
      <c r="B1039">
        <v>3692908</v>
      </c>
      <c r="C1039">
        <v>3692906</v>
      </c>
      <c r="D1039">
        <v>21883</v>
      </c>
      <c r="E1039">
        <v>21883</v>
      </c>
      <c r="F1039" t="s">
        <v>441</v>
      </c>
      <c r="G1039">
        <v>0</v>
      </c>
      <c r="I1039" s="5">
        <v>44044</v>
      </c>
      <c r="J1039" s="5">
        <v>43970.333333333336</v>
      </c>
    </row>
    <row r="1040" spans="1:10" x14ac:dyDescent="0.2">
      <c r="A1040">
        <v>7118278</v>
      </c>
      <c r="B1040">
        <v>3692907</v>
      </c>
      <c r="C1040">
        <v>3692908</v>
      </c>
      <c r="D1040">
        <v>21883</v>
      </c>
      <c r="E1040">
        <v>21883</v>
      </c>
      <c r="F1040" t="s">
        <v>441</v>
      </c>
      <c r="G1040">
        <v>0</v>
      </c>
      <c r="I1040" s="5">
        <v>44044</v>
      </c>
      <c r="J1040" s="5">
        <v>43970.333333333336</v>
      </c>
    </row>
    <row r="1041" spans="1:10" x14ac:dyDescent="0.2">
      <c r="A1041">
        <v>7118279</v>
      </c>
      <c r="B1041">
        <v>3692914</v>
      </c>
      <c r="C1041">
        <v>3692912</v>
      </c>
      <c r="D1041">
        <v>21883</v>
      </c>
      <c r="E1041">
        <v>21883</v>
      </c>
      <c r="F1041" t="s">
        <v>441</v>
      </c>
      <c r="G1041">
        <v>0</v>
      </c>
      <c r="I1041" s="5">
        <v>44044</v>
      </c>
      <c r="J1041" s="5">
        <v>43970.333333333336</v>
      </c>
    </row>
    <row r="1042" spans="1:10" x14ac:dyDescent="0.2">
      <c r="A1042">
        <v>7118280</v>
      </c>
      <c r="B1042">
        <v>3692913</v>
      </c>
      <c r="C1042">
        <v>3692914</v>
      </c>
      <c r="D1042">
        <v>21883</v>
      </c>
      <c r="E1042">
        <v>21883</v>
      </c>
      <c r="F1042" t="s">
        <v>441</v>
      </c>
      <c r="G1042">
        <v>0</v>
      </c>
      <c r="I1042" s="5">
        <v>44044</v>
      </c>
      <c r="J1042" s="5">
        <v>43970.333333333336</v>
      </c>
    </row>
    <row r="1043" spans="1:10" x14ac:dyDescent="0.2">
      <c r="A1043">
        <v>7118281</v>
      </c>
      <c r="B1043">
        <v>3692917</v>
      </c>
      <c r="C1043">
        <v>3692915</v>
      </c>
      <c r="D1043">
        <v>21883</v>
      </c>
      <c r="E1043">
        <v>21883</v>
      </c>
      <c r="F1043" t="s">
        <v>441</v>
      </c>
      <c r="G1043">
        <v>0</v>
      </c>
      <c r="I1043" s="5">
        <v>44044</v>
      </c>
      <c r="J1043" s="5">
        <v>43970.333333333336</v>
      </c>
    </row>
    <row r="1044" spans="1:10" x14ac:dyDescent="0.2">
      <c r="A1044">
        <v>7118282</v>
      </c>
      <c r="B1044">
        <v>3692916</v>
      </c>
      <c r="C1044">
        <v>3692917</v>
      </c>
      <c r="D1044">
        <v>21883</v>
      </c>
      <c r="E1044">
        <v>21883</v>
      </c>
      <c r="F1044" t="s">
        <v>441</v>
      </c>
      <c r="G1044">
        <v>0</v>
      </c>
      <c r="I1044" s="5">
        <v>44044</v>
      </c>
      <c r="J1044" s="5">
        <v>43970.333333333336</v>
      </c>
    </row>
    <row r="1045" spans="1:10" x14ac:dyDescent="0.2">
      <c r="A1045">
        <v>7118283</v>
      </c>
      <c r="B1045">
        <v>3692920</v>
      </c>
      <c r="C1045">
        <v>3692918</v>
      </c>
      <c r="D1045">
        <v>21883</v>
      </c>
      <c r="E1045">
        <v>21883</v>
      </c>
      <c r="F1045" t="s">
        <v>441</v>
      </c>
      <c r="G1045">
        <v>0</v>
      </c>
      <c r="I1045" s="5">
        <v>44044</v>
      </c>
      <c r="J1045" s="5">
        <v>43970.333333333336</v>
      </c>
    </row>
    <row r="1046" spans="1:10" x14ac:dyDescent="0.2">
      <c r="A1046">
        <v>7118284</v>
      </c>
      <c r="B1046">
        <v>3692919</v>
      </c>
      <c r="C1046">
        <v>3692920</v>
      </c>
      <c r="D1046">
        <v>21883</v>
      </c>
      <c r="E1046">
        <v>21883</v>
      </c>
      <c r="F1046" t="s">
        <v>441</v>
      </c>
      <c r="G1046">
        <v>0</v>
      </c>
      <c r="I1046" s="5">
        <v>44044</v>
      </c>
      <c r="J1046" s="5">
        <v>43970.333333333336</v>
      </c>
    </row>
    <row r="1047" spans="1:10" x14ac:dyDescent="0.2">
      <c r="A1047">
        <v>7118285</v>
      </c>
      <c r="B1047">
        <v>3692935</v>
      </c>
      <c r="C1047">
        <v>3692933</v>
      </c>
      <c r="D1047">
        <v>21883</v>
      </c>
      <c r="E1047">
        <v>21883</v>
      </c>
      <c r="F1047" t="s">
        <v>441</v>
      </c>
      <c r="G1047">
        <v>0</v>
      </c>
      <c r="I1047" s="5">
        <v>44044</v>
      </c>
      <c r="J1047" s="5">
        <v>43970.333333333336</v>
      </c>
    </row>
    <row r="1048" spans="1:10" x14ac:dyDescent="0.2">
      <c r="A1048">
        <v>7118286</v>
      </c>
      <c r="B1048">
        <v>3692934</v>
      </c>
      <c r="C1048">
        <v>3692935</v>
      </c>
      <c r="D1048">
        <v>21883</v>
      </c>
      <c r="E1048">
        <v>21883</v>
      </c>
      <c r="F1048" t="s">
        <v>441</v>
      </c>
      <c r="G1048">
        <v>0</v>
      </c>
      <c r="I1048" s="5">
        <v>44044</v>
      </c>
      <c r="J1048" s="5">
        <v>43970.333333333336</v>
      </c>
    </row>
    <row r="1049" spans="1:10" x14ac:dyDescent="0.2">
      <c r="A1049">
        <v>7118287</v>
      </c>
      <c r="B1049">
        <v>3692925</v>
      </c>
      <c r="C1049">
        <v>3692922</v>
      </c>
      <c r="D1049">
        <v>21883</v>
      </c>
      <c r="E1049">
        <v>21883</v>
      </c>
      <c r="F1049" t="s">
        <v>441</v>
      </c>
      <c r="G1049">
        <v>0</v>
      </c>
      <c r="I1049" s="5">
        <v>44044</v>
      </c>
      <c r="J1049" s="5">
        <v>43970.333333333336</v>
      </c>
    </row>
    <row r="1050" spans="1:10" x14ac:dyDescent="0.2">
      <c r="A1050">
        <v>7118288</v>
      </c>
      <c r="B1050">
        <v>3692924</v>
      </c>
      <c r="C1050">
        <v>3692925</v>
      </c>
      <c r="D1050">
        <v>21883</v>
      </c>
      <c r="E1050">
        <v>21883</v>
      </c>
      <c r="F1050" t="s">
        <v>441</v>
      </c>
      <c r="G1050">
        <v>0</v>
      </c>
      <c r="I1050" s="5">
        <v>44044</v>
      </c>
      <c r="J1050" s="5">
        <v>43970.333333333336</v>
      </c>
    </row>
    <row r="1051" spans="1:10" x14ac:dyDescent="0.2">
      <c r="A1051">
        <v>7118289</v>
      </c>
      <c r="B1051">
        <v>3692930</v>
      </c>
      <c r="C1051">
        <v>3692927</v>
      </c>
      <c r="D1051">
        <v>21883</v>
      </c>
      <c r="E1051">
        <v>21883</v>
      </c>
      <c r="F1051" t="s">
        <v>441</v>
      </c>
      <c r="G1051">
        <v>0</v>
      </c>
      <c r="I1051" s="5">
        <v>44044</v>
      </c>
      <c r="J1051" s="5">
        <v>43970.333333333336</v>
      </c>
    </row>
    <row r="1052" spans="1:10" x14ac:dyDescent="0.2">
      <c r="A1052">
        <v>7118290</v>
      </c>
      <c r="B1052">
        <v>3692989</v>
      </c>
      <c r="C1052">
        <v>3692952</v>
      </c>
      <c r="D1052">
        <v>21883</v>
      </c>
      <c r="E1052">
        <v>21883</v>
      </c>
      <c r="F1052" t="s">
        <v>441</v>
      </c>
      <c r="G1052">
        <v>0</v>
      </c>
      <c r="I1052" s="5">
        <v>44044</v>
      </c>
      <c r="J1052" s="5">
        <v>43970.333333333336</v>
      </c>
    </row>
    <row r="1053" spans="1:10" x14ac:dyDescent="0.2">
      <c r="A1053">
        <v>7118291</v>
      </c>
      <c r="B1053">
        <v>3692989</v>
      </c>
      <c r="C1053">
        <v>3692958</v>
      </c>
      <c r="D1053">
        <v>21883</v>
      </c>
      <c r="E1053">
        <v>21883</v>
      </c>
      <c r="F1053" t="s">
        <v>441</v>
      </c>
      <c r="G1053">
        <v>0</v>
      </c>
      <c r="I1053" s="5">
        <v>44044</v>
      </c>
      <c r="J1053" s="5">
        <v>43970.333333333336</v>
      </c>
    </row>
    <row r="1054" spans="1:10" x14ac:dyDescent="0.2">
      <c r="A1054">
        <v>7118292</v>
      </c>
      <c r="B1054">
        <v>3692989</v>
      </c>
      <c r="C1054">
        <v>3692964</v>
      </c>
      <c r="D1054">
        <v>21883</v>
      </c>
      <c r="E1054">
        <v>21883</v>
      </c>
      <c r="F1054" t="s">
        <v>441</v>
      </c>
      <c r="G1054">
        <v>0</v>
      </c>
      <c r="I1054" s="5">
        <v>44044</v>
      </c>
      <c r="J1054" s="5">
        <v>43970.333333333336</v>
      </c>
    </row>
    <row r="1055" spans="1:10" x14ac:dyDescent="0.2">
      <c r="A1055">
        <v>7118293</v>
      </c>
      <c r="B1055">
        <v>3692989</v>
      </c>
      <c r="C1055">
        <v>3692988</v>
      </c>
      <c r="D1055">
        <v>21883</v>
      </c>
      <c r="E1055">
        <v>21883</v>
      </c>
      <c r="F1055" t="s">
        <v>441</v>
      </c>
      <c r="G1055">
        <v>0</v>
      </c>
      <c r="I1055" s="5">
        <v>44044</v>
      </c>
      <c r="J1055" s="5">
        <v>43970.333333333336</v>
      </c>
    </row>
    <row r="1056" spans="1:10" x14ac:dyDescent="0.2">
      <c r="A1056">
        <v>7118294</v>
      </c>
      <c r="B1056">
        <v>3692989</v>
      </c>
      <c r="C1056">
        <v>3692982</v>
      </c>
      <c r="D1056">
        <v>21883</v>
      </c>
      <c r="E1056">
        <v>21883</v>
      </c>
      <c r="F1056" t="s">
        <v>441</v>
      </c>
      <c r="G1056">
        <v>0</v>
      </c>
      <c r="I1056" s="5">
        <v>44044</v>
      </c>
      <c r="J1056" s="5">
        <v>43970.333333333336</v>
      </c>
    </row>
    <row r="1057" spans="1:10" x14ac:dyDescent="0.2">
      <c r="A1057">
        <v>7118295</v>
      </c>
      <c r="B1057">
        <v>3692989</v>
      </c>
      <c r="C1057">
        <v>3692976</v>
      </c>
      <c r="D1057">
        <v>21883</v>
      </c>
      <c r="E1057">
        <v>21883</v>
      </c>
      <c r="F1057" t="s">
        <v>441</v>
      </c>
      <c r="G1057">
        <v>0</v>
      </c>
      <c r="I1057" s="5">
        <v>44044</v>
      </c>
      <c r="J1057" s="5">
        <v>43970.333333333336</v>
      </c>
    </row>
    <row r="1058" spans="1:10" x14ac:dyDescent="0.2">
      <c r="A1058">
        <v>7118296</v>
      </c>
      <c r="B1058">
        <v>3692989</v>
      </c>
      <c r="C1058">
        <v>3692970</v>
      </c>
      <c r="D1058">
        <v>21883</v>
      </c>
      <c r="E1058">
        <v>21883</v>
      </c>
      <c r="F1058" t="s">
        <v>441</v>
      </c>
      <c r="G1058">
        <v>0</v>
      </c>
      <c r="I1058" s="5">
        <v>44044</v>
      </c>
      <c r="J1058" s="5">
        <v>43970.333333333336</v>
      </c>
    </row>
    <row r="1059" spans="1:10" x14ac:dyDescent="0.2">
      <c r="A1059">
        <v>7118297</v>
      </c>
      <c r="B1059">
        <v>3692946</v>
      </c>
      <c r="C1059">
        <v>3692945</v>
      </c>
      <c r="D1059">
        <v>21883</v>
      </c>
      <c r="E1059">
        <v>21883</v>
      </c>
      <c r="F1059" t="s">
        <v>441</v>
      </c>
      <c r="G1059">
        <v>0</v>
      </c>
      <c r="I1059" s="5">
        <v>44044</v>
      </c>
      <c r="J1059" s="5">
        <v>43970.333333333336</v>
      </c>
    </row>
    <row r="1060" spans="1:10" x14ac:dyDescent="0.2">
      <c r="A1060">
        <v>7118298</v>
      </c>
      <c r="B1060">
        <v>3692952</v>
      </c>
      <c r="C1060">
        <v>3692951</v>
      </c>
      <c r="D1060">
        <v>21883</v>
      </c>
      <c r="E1060">
        <v>21883</v>
      </c>
      <c r="F1060" t="s">
        <v>441</v>
      </c>
      <c r="G1060">
        <v>0</v>
      </c>
      <c r="I1060" s="5">
        <v>44044</v>
      </c>
      <c r="J1060" s="5">
        <v>43970.333333333336</v>
      </c>
    </row>
    <row r="1061" spans="1:10" x14ac:dyDescent="0.2">
      <c r="A1061">
        <v>7118299</v>
      </c>
      <c r="B1061">
        <v>3692958</v>
      </c>
      <c r="C1061">
        <v>3692957</v>
      </c>
      <c r="D1061">
        <v>21883</v>
      </c>
      <c r="E1061">
        <v>21883</v>
      </c>
      <c r="F1061" t="s">
        <v>441</v>
      </c>
      <c r="G1061">
        <v>0</v>
      </c>
      <c r="I1061" s="5">
        <v>44044</v>
      </c>
      <c r="J1061" s="5">
        <v>43970.333333333336</v>
      </c>
    </row>
    <row r="1062" spans="1:10" x14ac:dyDescent="0.2">
      <c r="A1062">
        <v>7118300</v>
      </c>
      <c r="B1062">
        <v>3692964</v>
      </c>
      <c r="C1062">
        <v>3692963</v>
      </c>
      <c r="D1062">
        <v>21883</v>
      </c>
      <c r="E1062">
        <v>21883</v>
      </c>
      <c r="F1062" t="s">
        <v>441</v>
      </c>
      <c r="G1062">
        <v>0</v>
      </c>
      <c r="I1062" s="5">
        <v>44044</v>
      </c>
      <c r="J1062" s="5">
        <v>43970.333333333336</v>
      </c>
    </row>
    <row r="1063" spans="1:10" x14ac:dyDescent="0.2">
      <c r="A1063">
        <v>7118301</v>
      </c>
      <c r="B1063">
        <v>3692988</v>
      </c>
      <c r="C1063">
        <v>3692987</v>
      </c>
      <c r="D1063">
        <v>21883</v>
      </c>
      <c r="E1063">
        <v>21883</v>
      </c>
      <c r="F1063" t="s">
        <v>441</v>
      </c>
      <c r="G1063">
        <v>0</v>
      </c>
      <c r="I1063" s="5">
        <v>44044</v>
      </c>
      <c r="J1063" s="5">
        <v>43970.333333333336</v>
      </c>
    </row>
    <row r="1064" spans="1:10" x14ac:dyDescent="0.2">
      <c r="A1064">
        <v>7118302</v>
      </c>
      <c r="B1064">
        <v>3692982</v>
      </c>
      <c r="C1064">
        <v>3692981</v>
      </c>
      <c r="D1064">
        <v>21883</v>
      </c>
      <c r="E1064">
        <v>21883</v>
      </c>
      <c r="F1064" t="s">
        <v>441</v>
      </c>
      <c r="G1064">
        <v>0</v>
      </c>
      <c r="I1064" s="5">
        <v>44044</v>
      </c>
      <c r="J1064" s="5">
        <v>43970.333333333336</v>
      </c>
    </row>
    <row r="1065" spans="1:10" x14ac:dyDescent="0.2">
      <c r="A1065">
        <v>7118303</v>
      </c>
      <c r="B1065">
        <v>3692976</v>
      </c>
      <c r="C1065">
        <v>3692975</v>
      </c>
      <c r="D1065">
        <v>21883</v>
      </c>
      <c r="E1065">
        <v>21883</v>
      </c>
      <c r="F1065" t="s">
        <v>441</v>
      </c>
      <c r="G1065">
        <v>0</v>
      </c>
      <c r="I1065" s="5">
        <v>44044</v>
      </c>
      <c r="J1065" s="5">
        <v>43970.333333333336</v>
      </c>
    </row>
    <row r="1066" spans="1:10" x14ac:dyDescent="0.2">
      <c r="A1066">
        <v>7118304</v>
      </c>
      <c r="B1066">
        <v>3692970</v>
      </c>
      <c r="C1066">
        <v>3692969</v>
      </c>
      <c r="D1066">
        <v>21883</v>
      </c>
      <c r="E1066">
        <v>21883</v>
      </c>
      <c r="F1066" t="s">
        <v>441</v>
      </c>
      <c r="G1066">
        <v>0</v>
      </c>
      <c r="I1066" s="5">
        <v>44044</v>
      </c>
      <c r="J1066" s="5">
        <v>43970.333333333336</v>
      </c>
    </row>
    <row r="1067" spans="1:10" x14ac:dyDescent="0.2">
      <c r="A1067">
        <v>7118305</v>
      </c>
      <c r="B1067">
        <v>3692990</v>
      </c>
      <c r="C1067">
        <v>3692989</v>
      </c>
      <c r="D1067">
        <v>21883</v>
      </c>
      <c r="E1067">
        <v>21883</v>
      </c>
      <c r="F1067" t="s">
        <v>441</v>
      </c>
      <c r="G1067">
        <v>0</v>
      </c>
      <c r="I1067" s="5">
        <v>44044</v>
      </c>
      <c r="J1067" s="5">
        <v>43970.333333333336</v>
      </c>
    </row>
    <row r="1068" spans="1:10" x14ac:dyDescent="0.2">
      <c r="A1068">
        <v>7118306</v>
      </c>
      <c r="B1068">
        <v>3692901</v>
      </c>
      <c r="C1068">
        <v>3692899</v>
      </c>
      <c r="D1068">
        <v>21883</v>
      </c>
      <c r="E1068">
        <v>21883</v>
      </c>
      <c r="F1068" t="s">
        <v>441</v>
      </c>
      <c r="G1068">
        <v>0</v>
      </c>
      <c r="I1068" s="5">
        <v>44044</v>
      </c>
      <c r="J1068" s="5">
        <v>43970.333333333336</v>
      </c>
    </row>
    <row r="1069" spans="1:10" x14ac:dyDescent="0.2">
      <c r="A1069">
        <v>7118307</v>
      </c>
      <c r="B1069">
        <v>3692936</v>
      </c>
      <c r="C1069">
        <v>3692901</v>
      </c>
      <c r="D1069">
        <v>21883</v>
      </c>
      <c r="E1069">
        <v>21883</v>
      </c>
      <c r="F1069" t="s">
        <v>441</v>
      </c>
      <c r="G1069">
        <v>0</v>
      </c>
      <c r="I1069" s="5">
        <v>44044</v>
      </c>
      <c r="J1069" s="5">
        <v>43970.333333333336</v>
      </c>
    </row>
    <row r="1070" spans="1:10" x14ac:dyDescent="0.2">
      <c r="A1070">
        <v>7118308</v>
      </c>
      <c r="B1070">
        <v>3692904</v>
      </c>
      <c r="C1070">
        <v>3692901</v>
      </c>
      <c r="D1070">
        <v>21883</v>
      </c>
      <c r="E1070">
        <v>21883</v>
      </c>
      <c r="F1070" t="s">
        <v>441</v>
      </c>
      <c r="G1070">
        <v>0</v>
      </c>
      <c r="I1070" s="5">
        <v>44044</v>
      </c>
      <c r="J1070" s="5">
        <v>43970.333333333336</v>
      </c>
    </row>
    <row r="1071" spans="1:10" x14ac:dyDescent="0.2">
      <c r="A1071">
        <v>7118309</v>
      </c>
      <c r="B1071">
        <v>3693030</v>
      </c>
      <c r="C1071">
        <v>3693029</v>
      </c>
      <c r="D1071">
        <v>21883</v>
      </c>
      <c r="E1071">
        <v>21883</v>
      </c>
      <c r="F1071" t="s">
        <v>441</v>
      </c>
      <c r="G1071">
        <v>0</v>
      </c>
      <c r="I1071" s="5">
        <v>44044</v>
      </c>
      <c r="J1071" s="5">
        <v>43970.333333333336</v>
      </c>
    </row>
    <row r="1072" spans="1:10" x14ac:dyDescent="0.2">
      <c r="A1072">
        <v>7118310</v>
      </c>
      <c r="B1072">
        <v>3693070</v>
      </c>
      <c r="C1072">
        <v>3693069</v>
      </c>
      <c r="D1072">
        <v>21883</v>
      </c>
      <c r="E1072">
        <v>21883</v>
      </c>
      <c r="F1072" t="s">
        <v>441</v>
      </c>
      <c r="G1072">
        <v>0</v>
      </c>
      <c r="I1072" s="5">
        <v>44044</v>
      </c>
      <c r="J1072" s="5">
        <v>43970.333333333336</v>
      </c>
    </row>
    <row r="1073" spans="1:10" x14ac:dyDescent="0.2">
      <c r="A1073">
        <v>7118311</v>
      </c>
      <c r="B1073">
        <v>3692887</v>
      </c>
      <c r="C1073">
        <v>3693067</v>
      </c>
      <c r="D1073">
        <v>21883</v>
      </c>
      <c r="E1073">
        <v>21883</v>
      </c>
      <c r="F1073" t="s">
        <v>442</v>
      </c>
      <c r="G1073">
        <v>0</v>
      </c>
      <c r="I1073" s="5">
        <v>44044</v>
      </c>
      <c r="J1073" s="5">
        <v>43970.333333333336</v>
      </c>
    </row>
    <row r="1074" spans="1:10" x14ac:dyDescent="0.2">
      <c r="A1074">
        <v>7118312</v>
      </c>
      <c r="B1074">
        <v>3692888</v>
      </c>
      <c r="C1074">
        <v>3693070</v>
      </c>
      <c r="D1074">
        <v>21883</v>
      </c>
      <c r="E1074">
        <v>21883</v>
      </c>
      <c r="F1074" t="s">
        <v>441</v>
      </c>
      <c r="G1074">
        <v>0</v>
      </c>
      <c r="I1074" s="5">
        <v>44044</v>
      </c>
      <c r="J1074" s="5">
        <v>43970.333333333336</v>
      </c>
    </row>
    <row r="1075" spans="1:10" x14ac:dyDescent="0.2">
      <c r="A1075">
        <v>7118313</v>
      </c>
      <c r="B1075">
        <v>3693128</v>
      </c>
      <c r="C1075">
        <v>3693127</v>
      </c>
      <c r="D1075">
        <v>21883</v>
      </c>
      <c r="E1075">
        <v>21883</v>
      </c>
      <c r="F1075" t="s">
        <v>442</v>
      </c>
      <c r="G1075">
        <v>240</v>
      </c>
      <c r="I1075" s="5">
        <v>44044</v>
      </c>
      <c r="J1075" s="5">
        <v>43970.333333333336</v>
      </c>
    </row>
    <row r="1076" spans="1:10" x14ac:dyDescent="0.2">
      <c r="A1076">
        <v>7118314</v>
      </c>
      <c r="B1076">
        <v>3693129</v>
      </c>
      <c r="C1076">
        <v>3693128</v>
      </c>
      <c r="D1076">
        <v>21883</v>
      </c>
      <c r="E1076">
        <v>21883</v>
      </c>
      <c r="F1076" t="s">
        <v>441</v>
      </c>
      <c r="G1076">
        <v>0</v>
      </c>
      <c r="I1076" s="5">
        <v>44044</v>
      </c>
      <c r="J1076" s="5">
        <v>43970.333333333336</v>
      </c>
    </row>
    <row r="1077" spans="1:10" x14ac:dyDescent="0.2">
      <c r="A1077">
        <v>7118315</v>
      </c>
      <c r="B1077">
        <v>3692890</v>
      </c>
      <c r="C1077">
        <v>3693129</v>
      </c>
      <c r="D1077">
        <v>21883</v>
      </c>
      <c r="E1077">
        <v>21883</v>
      </c>
      <c r="F1077" t="s">
        <v>441</v>
      </c>
      <c r="G1077">
        <v>0</v>
      </c>
      <c r="I1077" s="5">
        <v>44044</v>
      </c>
      <c r="J1077" s="5">
        <v>43970.333333333336</v>
      </c>
    </row>
    <row r="1078" spans="1:10" x14ac:dyDescent="0.2">
      <c r="A1078">
        <v>7118316</v>
      </c>
      <c r="B1078">
        <v>3692889</v>
      </c>
      <c r="C1078">
        <v>3693127</v>
      </c>
      <c r="D1078">
        <v>21883</v>
      </c>
      <c r="E1078">
        <v>21883</v>
      </c>
      <c r="F1078" t="s">
        <v>442</v>
      </c>
      <c r="G1078">
        <v>0</v>
      </c>
      <c r="I1078" s="5">
        <v>44044</v>
      </c>
      <c r="J1078" s="5">
        <v>43970.333333333336</v>
      </c>
    </row>
    <row r="1079" spans="1:10" x14ac:dyDescent="0.2">
      <c r="A1079">
        <v>7118317</v>
      </c>
      <c r="B1079">
        <v>3693010</v>
      </c>
      <c r="C1079">
        <v>3693009</v>
      </c>
      <c r="D1079">
        <v>21883</v>
      </c>
      <c r="E1079">
        <v>21883</v>
      </c>
      <c r="F1079" t="s">
        <v>441</v>
      </c>
      <c r="G1079">
        <v>0</v>
      </c>
      <c r="I1079" s="5">
        <v>44044</v>
      </c>
      <c r="J1079" s="5">
        <v>44032.333333333336</v>
      </c>
    </row>
    <row r="1080" spans="1:10" x14ac:dyDescent="0.2">
      <c r="A1080">
        <v>7118318</v>
      </c>
      <c r="B1080">
        <v>3693006</v>
      </c>
      <c r="C1080">
        <v>3693005</v>
      </c>
      <c r="D1080">
        <v>21883</v>
      </c>
      <c r="E1080">
        <v>21883</v>
      </c>
      <c r="F1080" t="s">
        <v>441</v>
      </c>
      <c r="G1080">
        <v>0</v>
      </c>
      <c r="I1080" s="5">
        <v>44073.666666666664</v>
      </c>
      <c r="J1080" s="5">
        <v>44114.333333333336</v>
      </c>
    </row>
    <row r="1081" spans="1:10" x14ac:dyDescent="0.2">
      <c r="A1081">
        <v>7118319</v>
      </c>
      <c r="B1081">
        <v>3693012</v>
      </c>
      <c r="C1081">
        <v>3693011</v>
      </c>
      <c r="D1081">
        <v>21883</v>
      </c>
      <c r="E1081">
        <v>21883</v>
      </c>
      <c r="F1081" t="s">
        <v>441</v>
      </c>
      <c r="G1081">
        <v>0</v>
      </c>
      <c r="I1081" s="5">
        <v>44044</v>
      </c>
      <c r="J1081" s="5">
        <v>44032.333333333336</v>
      </c>
    </row>
    <row r="1082" spans="1:10" x14ac:dyDescent="0.2">
      <c r="A1082">
        <v>7118320</v>
      </c>
      <c r="B1082">
        <v>3692931</v>
      </c>
      <c r="C1082">
        <v>3692901</v>
      </c>
      <c r="D1082">
        <v>21883</v>
      </c>
      <c r="E1082">
        <v>21883</v>
      </c>
      <c r="F1082" t="s">
        <v>441</v>
      </c>
      <c r="G1082">
        <v>0</v>
      </c>
      <c r="I1082" s="5">
        <v>44044</v>
      </c>
      <c r="J1082" s="5">
        <v>43970.333333333336</v>
      </c>
    </row>
    <row r="1083" spans="1:10" x14ac:dyDescent="0.2">
      <c r="A1083">
        <v>7118321</v>
      </c>
      <c r="B1083">
        <v>3692879</v>
      </c>
      <c r="C1083">
        <v>3693018</v>
      </c>
      <c r="D1083">
        <v>21883</v>
      </c>
      <c r="E1083">
        <v>21883</v>
      </c>
      <c r="F1083" t="s">
        <v>442</v>
      </c>
      <c r="G1083">
        <v>0</v>
      </c>
      <c r="I1083" s="5">
        <v>44044</v>
      </c>
      <c r="J1083" s="5">
        <v>43970.333333333336</v>
      </c>
    </row>
    <row r="1084" spans="1:10" x14ac:dyDescent="0.2">
      <c r="A1084">
        <v>7118322</v>
      </c>
      <c r="B1084">
        <v>3693033</v>
      </c>
      <c r="C1084">
        <v>3693032</v>
      </c>
      <c r="D1084">
        <v>21883</v>
      </c>
      <c r="E1084">
        <v>21883</v>
      </c>
      <c r="F1084" t="s">
        <v>441</v>
      </c>
      <c r="G1084">
        <v>0</v>
      </c>
      <c r="I1084" s="5">
        <v>44044</v>
      </c>
      <c r="J1084" s="5">
        <v>43970.333333333336</v>
      </c>
    </row>
    <row r="1085" spans="1:10" x14ac:dyDescent="0.2">
      <c r="A1085">
        <v>7118323</v>
      </c>
      <c r="B1085">
        <v>3693068</v>
      </c>
      <c r="C1085">
        <v>3693067</v>
      </c>
      <c r="D1085">
        <v>21883</v>
      </c>
      <c r="E1085">
        <v>21883</v>
      </c>
      <c r="F1085" t="s">
        <v>442</v>
      </c>
      <c r="G1085">
        <v>0</v>
      </c>
      <c r="I1085" s="5">
        <v>44044</v>
      </c>
      <c r="J1085" s="5">
        <v>43970.333333333336</v>
      </c>
    </row>
    <row r="1086" spans="1:10" x14ac:dyDescent="0.2">
      <c r="A1086">
        <v>7118324</v>
      </c>
      <c r="B1086">
        <v>3693069</v>
      </c>
      <c r="C1086">
        <v>3693068</v>
      </c>
      <c r="D1086">
        <v>21883</v>
      </c>
      <c r="E1086">
        <v>21883</v>
      </c>
      <c r="F1086" t="s">
        <v>441</v>
      </c>
      <c r="G1086">
        <v>0</v>
      </c>
      <c r="I1086" s="5">
        <v>44044</v>
      </c>
      <c r="J1086" s="5">
        <v>43970.333333333336</v>
      </c>
    </row>
    <row r="1087" spans="1:10" x14ac:dyDescent="0.2">
      <c r="A1087">
        <v>7118325</v>
      </c>
      <c r="B1087">
        <v>3693071</v>
      </c>
      <c r="C1087">
        <v>3693067</v>
      </c>
      <c r="D1087">
        <v>21883</v>
      </c>
      <c r="E1087">
        <v>21883</v>
      </c>
      <c r="F1087" t="s">
        <v>442</v>
      </c>
      <c r="G1087">
        <v>0</v>
      </c>
      <c r="I1087" s="5">
        <v>44044</v>
      </c>
      <c r="J1087" s="5">
        <v>43970.333333333336</v>
      </c>
    </row>
    <row r="1088" spans="1:10" x14ac:dyDescent="0.2">
      <c r="A1088">
        <v>7118326</v>
      </c>
      <c r="B1088">
        <v>3693070</v>
      </c>
      <c r="C1088">
        <v>3693071</v>
      </c>
      <c r="D1088">
        <v>21883</v>
      </c>
      <c r="E1088">
        <v>21883</v>
      </c>
      <c r="F1088" t="s">
        <v>441</v>
      </c>
      <c r="G1088">
        <v>0</v>
      </c>
      <c r="I1088" s="5">
        <v>44044</v>
      </c>
      <c r="J1088" s="5">
        <v>43970.333333333336</v>
      </c>
    </row>
    <row r="1089" spans="1:10" x14ac:dyDescent="0.2">
      <c r="A1089">
        <v>7118327</v>
      </c>
      <c r="B1089">
        <v>3692899</v>
      </c>
      <c r="C1089">
        <v>3693070</v>
      </c>
      <c r="D1089">
        <v>21883</v>
      </c>
      <c r="E1089">
        <v>21883</v>
      </c>
      <c r="F1089" t="s">
        <v>441</v>
      </c>
      <c r="G1089">
        <v>0</v>
      </c>
      <c r="I1089" s="5">
        <v>44044</v>
      </c>
      <c r="J1089" s="5">
        <v>43970.333333333336</v>
      </c>
    </row>
    <row r="1090" spans="1:10" x14ac:dyDescent="0.2">
      <c r="A1090">
        <v>7118328</v>
      </c>
      <c r="B1090">
        <v>3693057</v>
      </c>
      <c r="C1090">
        <v>3693053</v>
      </c>
      <c r="D1090">
        <v>21883</v>
      </c>
      <c r="E1090">
        <v>21883</v>
      </c>
      <c r="F1090" t="s">
        <v>441</v>
      </c>
      <c r="G1090">
        <v>0</v>
      </c>
      <c r="I1090" s="5">
        <v>44258.666666666664</v>
      </c>
      <c r="J1090" s="5">
        <v>44160.333333333336</v>
      </c>
    </row>
    <row r="1091" spans="1:10" x14ac:dyDescent="0.2">
      <c r="A1091">
        <v>7118329</v>
      </c>
      <c r="B1091">
        <v>3693066</v>
      </c>
      <c r="C1091">
        <v>3693059</v>
      </c>
      <c r="D1091">
        <v>21883</v>
      </c>
      <c r="E1091">
        <v>21883</v>
      </c>
      <c r="F1091" t="s">
        <v>441</v>
      </c>
      <c r="G1091">
        <v>0</v>
      </c>
      <c r="I1091" s="5">
        <v>44292.666666666664</v>
      </c>
      <c r="J1091" s="5">
        <v>44273.666666666664</v>
      </c>
    </row>
    <row r="1092" spans="1:10" x14ac:dyDescent="0.2">
      <c r="A1092">
        <v>7118330</v>
      </c>
      <c r="B1092">
        <v>3692885</v>
      </c>
      <c r="C1092">
        <v>3693057</v>
      </c>
      <c r="D1092">
        <v>21883</v>
      </c>
      <c r="E1092">
        <v>21883</v>
      </c>
      <c r="F1092" t="s">
        <v>442</v>
      </c>
      <c r="G1092">
        <v>0</v>
      </c>
      <c r="I1092" s="5">
        <v>44263.333333333336</v>
      </c>
      <c r="J1092" s="5">
        <v>44273.666666666664</v>
      </c>
    </row>
    <row r="1093" spans="1:10" x14ac:dyDescent="0.2">
      <c r="A1093">
        <v>7118331</v>
      </c>
      <c r="B1093">
        <v>3692886</v>
      </c>
      <c r="C1093">
        <v>3693066</v>
      </c>
      <c r="D1093">
        <v>21883</v>
      </c>
      <c r="E1093">
        <v>21883</v>
      </c>
      <c r="F1093" t="s">
        <v>440</v>
      </c>
      <c r="G1093">
        <v>0</v>
      </c>
      <c r="I1093" s="5">
        <v>44292.666666666664</v>
      </c>
      <c r="J1093" s="5">
        <v>44273.666666666664</v>
      </c>
    </row>
    <row r="1094" spans="1:10" x14ac:dyDescent="0.2">
      <c r="A1094">
        <v>7118332</v>
      </c>
      <c r="B1094">
        <v>3692883</v>
      </c>
      <c r="C1094">
        <v>3693050</v>
      </c>
      <c r="D1094">
        <v>21883</v>
      </c>
      <c r="E1094">
        <v>21883</v>
      </c>
      <c r="F1094" t="s">
        <v>442</v>
      </c>
      <c r="G1094">
        <v>0</v>
      </c>
      <c r="I1094" s="5">
        <v>44186.333333333336</v>
      </c>
      <c r="J1094" s="5">
        <v>44273.666666666664</v>
      </c>
    </row>
    <row r="1095" spans="1:10" x14ac:dyDescent="0.2">
      <c r="A1095">
        <v>7118333</v>
      </c>
      <c r="B1095">
        <v>3692884</v>
      </c>
      <c r="C1095">
        <v>3693053</v>
      </c>
      <c r="D1095">
        <v>21883</v>
      </c>
      <c r="E1095">
        <v>21883</v>
      </c>
      <c r="F1095" t="s">
        <v>440</v>
      </c>
      <c r="G1095">
        <v>0</v>
      </c>
      <c r="I1095" s="5">
        <v>44258.666666666664</v>
      </c>
      <c r="J1095" s="5">
        <v>44273.666666666664</v>
      </c>
    </row>
    <row r="1096" spans="1:10" x14ac:dyDescent="0.2">
      <c r="A1096">
        <v>7118334</v>
      </c>
      <c r="B1096">
        <v>3693127</v>
      </c>
      <c r="C1096">
        <v>3693067</v>
      </c>
      <c r="D1096">
        <v>21883</v>
      </c>
      <c r="E1096">
        <v>21883</v>
      </c>
      <c r="F1096" t="s">
        <v>442</v>
      </c>
      <c r="G1096">
        <v>1312</v>
      </c>
      <c r="I1096" s="5">
        <v>44044</v>
      </c>
      <c r="J1096" s="5">
        <v>43970.333333333336</v>
      </c>
    </row>
    <row r="1097" spans="1:10" x14ac:dyDescent="0.2">
      <c r="A1097">
        <v>7118335</v>
      </c>
      <c r="B1097">
        <v>3692888</v>
      </c>
      <c r="C1097">
        <v>3692887</v>
      </c>
      <c r="D1097">
        <v>21883</v>
      </c>
      <c r="E1097">
        <v>21883</v>
      </c>
      <c r="F1097" t="s">
        <v>441</v>
      </c>
      <c r="G1097">
        <v>0</v>
      </c>
      <c r="I1097" s="5">
        <v>44044</v>
      </c>
      <c r="J1097" s="5">
        <v>43970.333333333336</v>
      </c>
    </row>
    <row r="1098" spans="1:10" x14ac:dyDescent="0.2">
      <c r="A1098">
        <v>7118336</v>
      </c>
      <c r="B1098">
        <v>3692890</v>
      </c>
      <c r="C1098">
        <v>3692889</v>
      </c>
      <c r="D1098">
        <v>21883</v>
      </c>
      <c r="E1098">
        <v>21883</v>
      </c>
      <c r="F1098" t="s">
        <v>441</v>
      </c>
      <c r="G1098">
        <v>0</v>
      </c>
      <c r="I1098" s="5">
        <v>44044</v>
      </c>
      <c r="J1098" s="5">
        <v>43970.333333333336</v>
      </c>
    </row>
    <row r="1099" spans="1:10" x14ac:dyDescent="0.2">
      <c r="A1099">
        <v>7118337</v>
      </c>
      <c r="B1099">
        <v>3692878</v>
      </c>
      <c r="C1099">
        <v>3692877</v>
      </c>
      <c r="D1099">
        <v>21883</v>
      </c>
      <c r="E1099">
        <v>21883</v>
      </c>
      <c r="F1099" t="s">
        <v>441</v>
      </c>
      <c r="G1099">
        <v>0</v>
      </c>
      <c r="I1099" s="5">
        <v>44044</v>
      </c>
      <c r="J1099" s="5">
        <v>43970.333333333336</v>
      </c>
    </row>
    <row r="1100" spans="1:10" x14ac:dyDescent="0.2">
      <c r="A1100">
        <v>7118338</v>
      </c>
      <c r="B1100">
        <v>3692879</v>
      </c>
      <c r="C1100">
        <v>3692878</v>
      </c>
      <c r="D1100">
        <v>21883</v>
      </c>
      <c r="E1100">
        <v>21883</v>
      </c>
      <c r="F1100" t="s">
        <v>441</v>
      </c>
      <c r="G1100">
        <v>0</v>
      </c>
      <c r="I1100" s="5">
        <v>44044</v>
      </c>
      <c r="J1100" s="5">
        <v>43970.333333333336</v>
      </c>
    </row>
    <row r="1101" spans="1:10" x14ac:dyDescent="0.2">
      <c r="A1101">
        <v>7118339</v>
      </c>
      <c r="B1101">
        <v>3692880</v>
      </c>
      <c r="C1101">
        <v>3692879</v>
      </c>
      <c r="D1101">
        <v>21883</v>
      </c>
      <c r="E1101">
        <v>21883</v>
      </c>
      <c r="F1101" t="s">
        <v>441</v>
      </c>
      <c r="G1101">
        <v>0</v>
      </c>
      <c r="I1101" s="5">
        <v>44044</v>
      </c>
      <c r="J1101" s="5">
        <v>43970.333333333336</v>
      </c>
    </row>
    <row r="1102" spans="1:10" x14ac:dyDescent="0.2">
      <c r="A1102">
        <v>7118340</v>
      </c>
      <c r="B1102">
        <v>3692882</v>
      </c>
      <c r="C1102">
        <v>3692881</v>
      </c>
      <c r="D1102">
        <v>21883</v>
      </c>
      <c r="E1102">
        <v>21883</v>
      </c>
      <c r="F1102" t="s">
        <v>441</v>
      </c>
      <c r="G1102">
        <v>0</v>
      </c>
      <c r="I1102" s="5">
        <v>44076.333333333336</v>
      </c>
      <c r="J1102" s="5">
        <v>44273.666666666664</v>
      </c>
    </row>
    <row r="1103" spans="1:10" x14ac:dyDescent="0.2">
      <c r="A1103">
        <v>7118341</v>
      </c>
      <c r="B1103">
        <v>3692884</v>
      </c>
      <c r="C1103">
        <v>3692883</v>
      </c>
      <c r="D1103">
        <v>21883</v>
      </c>
      <c r="E1103">
        <v>21883</v>
      </c>
      <c r="F1103" t="s">
        <v>441</v>
      </c>
      <c r="G1103">
        <v>0</v>
      </c>
      <c r="I1103" s="5">
        <v>44186.333333333336</v>
      </c>
      <c r="J1103" s="5">
        <v>44273.666666666664</v>
      </c>
    </row>
    <row r="1104" spans="1:10" x14ac:dyDescent="0.2">
      <c r="A1104">
        <v>7118342</v>
      </c>
      <c r="B1104">
        <v>3692885</v>
      </c>
      <c r="C1104">
        <v>3692884</v>
      </c>
      <c r="D1104">
        <v>21883</v>
      </c>
      <c r="E1104">
        <v>21883</v>
      </c>
      <c r="F1104" t="s">
        <v>441</v>
      </c>
      <c r="G1104">
        <v>0</v>
      </c>
      <c r="I1104" s="5">
        <v>44258.666666666664</v>
      </c>
      <c r="J1104" s="5">
        <v>44273.666666666664</v>
      </c>
    </row>
    <row r="1105" spans="1:10" x14ac:dyDescent="0.2">
      <c r="A1105">
        <v>7118343</v>
      </c>
      <c r="B1105">
        <v>3692886</v>
      </c>
      <c r="C1105">
        <v>3692885</v>
      </c>
      <c r="D1105">
        <v>21883</v>
      </c>
      <c r="E1105">
        <v>21883</v>
      </c>
      <c r="F1105" t="s">
        <v>441</v>
      </c>
      <c r="G1105">
        <v>0</v>
      </c>
      <c r="I1105" s="5">
        <v>44263.333333333336</v>
      </c>
      <c r="J1105" s="5">
        <v>44273.666666666664</v>
      </c>
    </row>
    <row r="1106" spans="1:10" x14ac:dyDescent="0.2">
      <c r="A1106">
        <v>7118344</v>
      </c>
      <c r="B1106">
        <v>3692989</v>
      </c>
      <c r="C1106">
        <v>3692946</v>
      </c>
      <c r="D1106">
        <v>21883</v>
      </c>
      <c r="E1106">
        <v>21883</v>
      </c>
      <c r="F1106" t="s">
        <v>441</v>
      </c>
      <c r="G1106">
        <v>0</v>
      </c>
      <c r="I1106" s="5">
        <v>44044</v>
      </c>
      <c r="J1106" s="5">
        <v>43970.333333333336</v>
      </c>
    </row>
    <row r="1107" spans="1:10" x14ac:dyDescent="0.2">
      <c r="A1107">
        <v>7118345</v>
      </c>
      <c r="B1107">
        <v>3692890</v>
      </c>
      <c r="C1107">
        <v>3692888</v>
      </c>
      <c r="D1107">
        <v>21883</v>
      </c>
      <c r="E1107">
        <v>21883</v>
      </c>
      <c r="F1107" t="s">
        <v>441</v>
      </c>
      <c r="G1107">
        <v>0</v>
      </c>
      <c r="I1107" s="5">
        <v>44044</v>
      </c>
      <c r="J1107" s="5">
        <v>43970.333333333336</v>
      </c>
    </row>
    <row r="1108" spans="1:10" x14ac:dyDescent="0.2">
      <c r="A1108">
        <v>7118346</v>
      </c>
      <c r="B1108">
        <v>3692902</v>
      </c>
      <c r="C1108">
        <v>3692903</v>
      </c>
      <c r="D1108">
        <v>21883</v>
      </c>
      <c r="E1108">
        <v>21883</v>
      </c>
      <c r="F1108" t="s">
        <v>441</v>
      </c>
      <c r="G1108">
        <v>0</v>
      </c>
      <c r="I1108" s="5">
        <v>44044</v>
      </c>
      <c r="J1108" s="5">
        <v>43970.333333333336</v>
      </c>
    </row>
    <row r="1109" spans="1:10" x14ac:dyDescent="0.2">
      <c r="A1109">
        <v>7118347</v>
      </c>
      <c r="B1109">
        <v>3692899</v>
      </c>
      <c r="C1109">
        <v>3693071</v>
      </c>
      <c r="D1109">
        <v>21883</v>
      </c>
      <c r="E1109">
        <v>21883</v>
      </c>
      <c r="F1109" t="s">
        <v>441</v>
      </c>
      <c r="G1109">
        <v>0</v>
      </c>
      <c r="I1109" s="5">
        <v>44044</v>
      </c>
      <c r="J1109" s="5">
        <v>43970.333333333336</v>
      </c>
    </row>
    <row r="1110" spans="1:10" x14ac:dyDescent="0.2">
      <c r="A1110">
        <v>7118348</v>
      </c>
      <c r="B1110">
        <v>3693049</v>
      </c>
      <c r="C1110">
        <v>3693048</v>
      </c>
      <c r="D1110">
        <v>21883</v>
      </c>
      <c r="E1110">
        <v>21883</v>
      </c>
      <c r="F1110" t="s">
        <v>441</v>
      </c>
      <c r="G1110">
        <v>0</v>
      </c>
      <c r="I1110" s="5">
        <v>44044</v>
      </c>
      <c r="J1110" s="5">
        <v>44032.333333333336</v>
      </c>
    </row>
    <row r="1111" spans="1:10" x14ac:dyDescent="0.2">
      <c r="A1111">
        <v>7118349</v>
      </c>
      <c r="B1111">
        <v>3693009</v>
      </c>
      <c r="C1111">
        <v>3693014</v>
      </c>
      <c r="D1111">
        <v>21883</v>
      </c>
      <c r="E1111">
        <v>21883</v>
      </c>
      <c r="F1111" t="s">
        <v>441</v>
      </c>
      <c r="G1111">
        <v>0</v>
      </c>
      <c r="I1111" s="5">
        <v>44044</v>
      </c>
      <c r="J1111" s="5">
        <v>43970.333333333336</v>
      </c>
    </row>
    <row r="1112" spans="1:10" x14ac:dyDescent="0.2">
      <c r="A1112">
        <v>7118350</v>
      </c>
      <c r="B1112">
        <v>3693049</v>
      </c>
      <c r="C1112">
        <v>3693010</v>
      </c>
      <c r="D1112">
        <v>21883</v>
      </c>
      <c r="E1112">
        <v>21883</v>
      </c>
      <c r="F1112" t="s">
        <v>441</v>
      </c>
      <c r="G1112">
        <v>0</v>
      </c>
      <c r="I1112" s="5">
        <v>44044</v>
      </c>
      <c r="J1112" s="5">
        <v>44032.333333333336</v>
      </c>
    </row>
    <row r="1113" spans="1:10" x14ac:dyDescent="0.2">
      <c r="A1113">
        <v>7118351</v>
      </c>
      <c r="B1113">
        <v>3693072</v>
      </c>
      <c r="C1113">
        <v>3693067</v>
      </c>
      <c r="D1113">
        <v>21883</v>
      </c>
      <c r="E1113">
        <v>21883</v>
      </c>
      <c r="F1113" t="s">
        <v>442</v>
      </c>
      <c r="G1113">
        <v>512</v>
      </c>
      <c r="I1113" s="5">
        <v>44044</v>
      </c>
      <c r="J1113" s="5">
        <v>43970.333333333336</v>
      </c>
    </row>
    <row r="1114" spans="1:10" x14ac:dyDescent="0.2">
      <c r="A1114">
        <v>7118352</v>
      </c>
      <c r="B1114">
        <v>3693073</v>
      </c>
      <c r="C1114">
        <v>3693068</v>
      </c>
      <c r="D1114">
        <v>21883</v>
      </c>
      <c r="E1114">
        <v>21883</v>
      </c>
      <c r="F1114" t="s">
        <v>442</v>
      </c>
      <c r="G1114">
        <v>0</v>
      </c>
      <c r="I1114" s="5">
        <v>44044</v>
      </c>
      <c r="J1114" s="5">
        <v>43970.333333333336</v>
      </c>
    </row>
    <row r="1115" spans="1:10" x14ac:dyDescent="0.2">
      <c r="A1115">
        <v>7118353</v>
      </c>
      <c r="B1115">
        <v>3693069</v>
      </c>
      <c r="C1115">
        <v>3693073</v>
      </c>
      <c r="D1115">
        <v>21883</v>
      </c>
      <c r="E1115">
        <v>21883</v>
      </c>
      <c r="F1115" t="s">
        <v>440</v>
      </c>
      <c r="G1115">
        <v>0</v>
      </c>
      <c r="I1115" s="5">
        <v>44044</v>
      </c>
      <c r="J1115" s="5">
        <v>43970.333333333336</v>
      </c>
    </row>
    <row r="1116" spans="1:10" x14ac:dyDescent="0.2">
      <c r="A1116">
        <v>7118354</v>
      </c>
      <c r="B1116">
        <v>3693074</v>
      </c>
      <c r="C1116">
        <v>3693069</v>
      </c>
      <c r="D1116">
        <v>21883</v>
      </c>
      <c r="E1116">
        <v>21883</v>
      </c>
      <c r="F1116" t="s">
        <v>441</v>
      </c>
      <c r="G1116">
        <v>0</v>
      </c>
      <c r="I1116" s="5">
        <v>44044</v>
      </c>
      <c r="J1116" s="5">
        <v>43970.333333333336</v>
      </c>
    </row>
    <row r="1117" spans="1:10" x14ac:dyDescent="0.2">
      <c r="A1117">
        <v>7118355</v>
      </c>
      <c r="B1117">
        <v>3693071</v>
      </c>
      <c r="C1117">
        <v>3693074</v>
      </c>
      <c r="D1117">
        <v>21883</v>
      </c>
      <c r="E1117">
        <v>21883</v>
      </c>
      <c r="F1117" t="s">
        <v>441</v>
      </c>
      <c r="G1117">
        <v>0</v>
      </c>
      <c r="I1117" s="5">
        <v>44044</v>
      </c>
      <c r="J1117" s="5">
        <v>43970.333333333336</v>
      </c>
    </row>
    <row r="1118" spans="1:10" x14ac:dyDescent="0.2">
      <c r="A1118">
        <v>7118356</v>
      </c>
      <c r="B1118">
        <v>3693077</v>
      </c>
      <c r="C1118">
        <v>3692895</v>
      </c>
      <c r="D1118">
        <v>21883</v>
      </c>
      <c r="E1118">
        <v>21883</v>
      </c>
      <c r="F1118" t="s">
        <v>441</v>
      </c>
      <c r="G1118">
        <v>64</v>
      </c>
      <c r="I1118" s="5">
        <v>44044</v>
      </c>
      <c r="J1118" s="5">
        <v>43970.333333333336</v>
      </c>
    </row>
    <row r="1119" spans="1:10" x14ac:dyDescent="0.2">
      <c r="A1119">
        <v>7118357</v>
      </c>
      <c r="B1119">
        <v>3693078</v>
      </c>
      <c r="C1119">
        <v>3693077</v>
      </c>
      <c r="D1119">
        <v>21883</v>
      </c>
      <c r="E1119">
        <v>21883</v>
      </c>
      <c r="F1119" t="s">
        <v>442</v>
      </c>
      <c r="G1119">
        <v>232</v>
      </c>
      <c r="I1119" s="5">
        <v>44044</v>
      </c>
      <c r="J1119" s="5">
        <v>43970.333333333336</v>
      </c>
    </row>
    <row r="1120" spans="1:10" x14ac:dyDescent="0.2">
      <c r="A1120">
        <v>7118358</v>
      </c>
      <c r="B1120">
        <v>3693079</v>
      </c>
      <c r="C1120">
        <v>3693078</v>
      </c>
      <c r="D1120">
        <v>21883</v>
      </c>
      <c r="E1120">
        <v>21883</v>
      </c>
      <c r="F1120" t="s">
        <v>441</v>
      </c>
      <c r="G1120">
        <v>216</v>
      </c>
      <c r="I1120" s="5">
        <v>44044</v>
      </c>
      <c r="J1120" s="5">
        <v>43970.333333333336</v>
      </c>
    </row>
    <row r="1121" spans="1:10" x14ac:dyDescent="0.2">
      <c r="A1121">
        <v>7118359</v>
      </c>
      <c r="B1121">
        <v>3693080</v>
      </c>
      <c r="C1121">
        <v>3693079</v>
      </c>
      <c r="D1121">
        <v>21883</v>
      </c>
      <c r="E1121">
        <v>21883</v>
      </c>
      <c r="F1121" t="s">
        <v>442</v>
      </c>
      <c r="G1121">
        <v>480</v>
      </c>
      <c r="I1121" s="5">
        <v>44044</v>
      </c>
      <c r="J1121" s="5">
        <v>43970.333333333336</v>
      </c>
    </row>
    <row r="1122" spans="1:10" x14ac:dyDescent="0.2">
      <c r="A1122">
        <v>7118360</v>
      </c>
      <c r="B1122">
        <v>3693081</v>
      </c>
      <c r="C1122">
        <v>3693080</v>
      </c>
      <c r="D1122">
        <v>21883</v>
      </c>
      <c r="E1122">
        <v>21883</v>
      </c>
      <c r="F1122" t="s">
        <v>441</v>
      </c>
      <c r="G1122">
        <v>536</v>
      </c>
      <c r="I1122" s="5">
        <v>44044</v>
      </c>
      <c r="J1122" s="5">
        <v>43970.333333333336</v>
      </c>
    </row>
    <row r="1123" spans="1:10" x14ac:dyDescent="0.2">
      <c r="A1123">
        <v>7118361</v>
      </c>
      <c r="B1123">
        <v>3693075</v>
      </c>
      <c r="C1123">
        <v>3693077</v>
      </c>
      <c r="D1123">
        <v>21883</v>
      </c>
      <c r="E1123">
        <v>21883</v>
      </c>
      <c r="F1123" t="s">
        <v>442</v>
      </c>
      <c r="G1123">
        <v>0</v>
      </c>
      <c r="I1123" s="5">
        <v>44044</v>
      </c>
    </row>
    <row r="1124" spans="1:10" x14ac:dyDescent="0.2">
      <c r="A1124">
        <v>7118362</v>
      </c>
      <c r="B1124">
        <v>3693081</v>
      </c>
      <c r="C1124">
        <v>3693075</v>
      </c>
      <c r="D1124">
        <v>21883</v>
      </c>
      <c r="E1124">
        <v>21883</v>
      </c>
      <c r="F1124" t="s">
        <v>440</v>
      </c>
      <c r="G1124">
        <v>0</v>
      </c>
      <c r="J1124" s="5">
        <v>43970.333333333336</v>
      </c>
    </row>
    <row r="1125" spans="1:10" x14ac:dyDescent="0.2">
      <c r="A1125">
        <v>7118363</v>
      </c>
      <c r="B1125">
        <v>3693084</v>
      </c>
      <c r="C1125">
        <v>3692895</v>
      </c>
      <c r="D1125">
        <v>21883</v>
      </c>
      <c r="E1125">
        <v>21883</v>
      </c>
      <c r="F1125" t="s">
        <v>441</v>
      </c>
      <c r="G1125">
        <v>0</v>
      </c>
      <c r="I1125" s="5">
        <v>44044</v>
      </c>
      <c r="J1125" s="5">
        <v>43970.333333333336</v>
      </c>
    </row>
    <row r="1126" spans="1:10" x14ac:dyDescent="0.2">
      <c r="A1126">
        <v>7118364</v>
      </c>
      <c r="B1126">
        <v>3693070</v>
      </c>
      <c r="C1126">
        <v>3693085</v>
      </c>
      <c r="D1126">
        <v>21883</v>
      </c>
      <c r="E1126">
        <v>21883</v>
      </c>
      <c r="F1126" t="s">
        <v>441</v>
      </c>
      <c r="G1126">
        <v>0</v>
      </c>
      <c r="I1126" s="5">
        <v>44044</v>
      </c>
      <c r="J1126" s="5">
        <v>43970.333333333336</v>
      </c>
    </row>
    <row r="1127" spans="1:10" x14ac:dyDescent="0.2">
      <c r="A1127">
        <v>7118365</v>
      </c>
      <c r="B1127">
        <v>3693083</v>
      </c>
      <c r="C1127">
        <v>3693084</v>
      </c>
      <c r="D1127">
        <v>21883</v>
      </c>
      <c r="E1127">
        <v>21883</v>
      </c>
      <c r="F1127" t="s">
        <v>442</v>
      </c>
      <c r="G1127">
        <v>0</v>
      </c>
      <c r="I1127" s="5">
        <v>44044</v>
      </c>
    </row>
    <row r="1128" spans="1:10" x14ac:dyDescent="0.2">
      <c r="A1128">
        <v>7118366</v>
      </c>
      <c r="B1128">
        <v>3693085</v>
      </c>
      <c r="C1128">
        <v>3693083</v>
      </c>
      <c r="D1128">
        <v>21883</v>
      </c>
      <c r="E1128">
        <v>21883</v>
      </c>
      <c r="F1128" t="s">
        <v>440</v>
      </c>
      <c r="G1128">
        <v>0</v>
      </c>
      <c r="J1128" s="5">
        <v>43970.333333333336</v>
      </c>
    </row>
    <row r="1129" spans="1:10" x14ac:dyDescent="0.2">
      <c r="A1129">
        <v>7118367</v>
      </c>
      <c r="B1129">
        <v>3693086</v>
      </c>
      <c r="C1129">
        <v>3693084</v>
      </c>
      <c r="D1129">
        <v>21883</v>
      </c>
      <c r="E1129">
        <v>21883</v>
      </c>
      <c r="F1129" t="s">
        <v>442</v>
      </c>
      <c r="G1129">
        <v>984</v>
      </c>
      <c r="I1129" s="5">
        <v>44044</v>
      </c>
      <c r="J1129" s="5">
        <v>43970.333333333336</v>
      </c>
    </row>
    <row r="1130" spans="1:10" x14ac:dyDescent="0.2">
      <c r="A1130">
        <v>7118368</v>
      </c>
      <c r="B1130">
        <v>3693088</v>
      </c>
      <c r="C1130">
        <v>3693087</v>
      </c>
      <c r="D1130">
        <v>21883</v>
      </c>
      <c r="E1130">
        <v>21883</v>
      </c>
      <c r="F1130" t="s">
        <v>441</v>
      </c>
      <c r="G1130">
        <v>0</v>
      </c>
      <c r="I1130" s="5">
        <v>44044</v>
      </c>
      <c r="J1130" s="5">
        <v>43970.333333333336</v>
      </c>
    </row>
    <row r="1131" spans="1:10" x14ac:dyDescent="0.2">
      <c r="A1131">
        <v>7118369</v>
      </c>
      <c r="B1131">
        <v>3693089</v>
      </c>
      <c r="C1131">
        <v>3693088</v>
      </c>
      <c r="D1131">
        <v>21883</v>
      </c>
      <c r="E1131">
        <v>21883</v>
      </c>
      <c r="F1131" t="s">
        <v>441</v>
      </c>
      <c r="G1131">
        <v>0</v>
      </c>
      <c r="I1131" s="5">
        <v>44044</v>
      </c>
      <c r="J1131" s="5">
        <v>43970.333333333336</v>
      </c>
    </row>
    <row r="1132" spans="1:10" x14ac:dyDescent="0.2">
      <c r="A1132">
        <v>7118370</v>
      </c>
      <c r="B1132">
        <v>3693091</v>
      </c>
      <c r="C1132">
        <v>3693090</v>
      </c>
      <c r="D1132">
        <v>21883</v>
      </c>
      <c r="E1132">
        <v>21883</v>
      </c>
      <c r="F1132" t="s">
        <v>441</v>
      </c>
      <c r="G1132">
        <v>0</v>
      </c>
      <c r="I1132" s="5">
        <v>44044</v>
      </c>
      <c r="J1132" s="5">
        <v>44032.333333333336</v>
      </c>
    </row>
    <row r="1133" spans="1:10" x14ac:dyDescent="0.2">
      <c r="A1133">
        <v>7118371</v>
      </c>
      <c r="B1133">
        <v>3693092</v>
      </c>
      <c r="C1133">
        <v>3693091</v>
      </c>
      <c r="D1133">
        <v>21883</v>
      </c>
      <c r="E1133">
        <v>21883</v>
      </c>
      <c r="F1133" t="s">
        <v>441</v>
      </c>
      <c r="G1133">
        <v>0</v>
      </c>
      <c r="I1133" s="5">
        <v>44044</v>
      </c>
      <c r="J1133" s="5">
        <v>44032.333333333336</v>
      </c>
    </row>
    <row r="1134" spans="1:10" x14ac:dyDescent="0.2">
      <c r="A1134">
        <v>7118372</v>
      </c>
      <c r="B1134">
        <v>3693093</v>
      </c>
      <c r="C1134">
        <v>3693090</v>
      </c>
      <c r="D1134">
        <v>21883</v>
      </c>
      <c r="E1134">
        <v>21883</v>
      </c>
      <c r="F1134" t="s">
        <v>441</v>
      </c>
      <c r="G1134">
        <v>440</v>
      </c>
      <c r="I1134" s="5">
        <v>44044</v>
      </c>
      <c r="J1134" s="5">
        <v>44032.333333333336</v>
      </c>
    </row>
    <row r="1135" spans="1:10" x14ac:dyDescent="0.2">
      <c r="A1135">
        <v>7118373</v>
      </c>
      <c r="B1135">
        <v>3693094</v>
      </c>
      <c r="C1135">
        <v>3693093</v>
      </c>
      <c r="D1135">
        <v>21883</v>
      </c>
      <c r="E1135">
        <v>21883</v>
      </c>
      <c r="F1135" t="s">
        <v>441</v>
      </c>
      <c r="G1135">
        <v>0</v>
      </c>
      <c r="I1135" s="5">
        <v>44044</v>
      </c>
      <c r="J1135" s="5">
        <v>44032.333333333336</v>
      </c>
    </row>
    <row r="1136" spans="1:10" x14ac:dyDescent="0.2">
      <c r="A1136">
        <v>7118374</v>
      </c>
      <c r="B1136">
        <v>3693096</v>
      </c>
      <c r="C1136">
        <v>3693095</v>
      </c>
      <c r="D1136">
        <v>21883</v>
      </c>
      <c r="E1136">
        <v>21883</v>
      </c>
      <c r="F1136" t="s">
        <v>441</v>
      </c>
      <c r="G1136">
        <v>0</v>
      </c>
      <c r="I1136" s="5">
        <v>44044</v>
      </c>
      <c r="J1136" s="5">
        <v>43970.333333333336</v>
      </c>
    </row>
    <row r="1137" spans="1:10" x14ac:dyDescent="0.2">
      <c r="A1137">
        <v>7118375</v>
      </c>
      <c r="B1137">
        <v>3693097</v>
      </c>
      <c r="C1137">
        <v>3693078</v>
      </c>
      <c r="D1137">
        <v>21883</v>
      </c>
      <c r="E1137">
        <v>21883</v>
      </c>
      <c r="F1137" t="s">
        <v>441</v>
      </c>
      <c r="G1137">
        <v>352</v>
      </c>
      <c r="I1137" s="5">
        <v>44044</v>
      </c>
      <c r="J1137" s="5">
        <v>43970.333333333336</v>
      </c>
    </row>
    <row r="1138" spans="1:10" x14ac:dyDescent="0.2">
      <c r="A1138">
        <v>7118376</v>
      </c>
      <c r="B1138">
        <v>3693098</v>
      </c>
      <c r="C1138">
        <v>3693090</v>
      </c>
      <c r="D1138">
        <v>21883</v>
      </c>
      <c r="E1138">
        <v>21883</v>
      </c>
      <c r="F1138" t="s">
        <v>441</v>
      </c>
      <c r="G1138">
        <v>56</v>
      </c>
      <c r="I1138" s="5">
        <v>44044</v>
      </c>
      <c r="J1138" s="5">
        <v>44032.333333333336</v>
      </c>
    </row>
    <row r="1139" spans="1:10" x14ac:dyDescent="0.2">
      <c r="A1139">
        <v>7118377</v>
      </c>
      <c r="B1139">
        <v>3693099</v>
      </c>
      <c r="C1139">
        <v>3693078</v>
      </c>
      <c r="D1139">
        <v>21883</v>
      </c>
      <c r="E1139">
        <v>21883</v>
      </c>
      <c r="F1139" t="s">
        <v>441</v>
      </c>
      <c r="G1139">
        <v>0</v>
      </c>
      <c r="I1139" s="5">
        <v>44044</v>
      </c>
      <c r="J1139" s="5">
        <v>43970.333333333336</v>
      </c>
    </row>
    <row r="1140" spans="1:10" x14ac:dyDescent="0.2">
      <c r="A1140">
        <v>7118378</v>
      </c>
      <c r="B1140">
        <v>3693102</v>
      </c>
      <c r="C1140">
        <v>3693078</v>
      </c>
      <c r="D1140">
        <v>21883</v>
      </c>
      <c r="E1140">
        <v>21883</v>
      </c>
      <c r="F1140" t="s">
        <v>441</v>
      </c>
      <c r="G1140">
        <v>0</v>
      </c>
      <c r="I1140" s="5">
        <v>44044</v>
      </c>
      <c r="J1140" s="5">
        <v>43970.333333333336</v>
      </c>
    </row>
    <row r="1141" spans="1:10" x14ac:dyDescent="0.2">
      <c r="A1141">
        <v>7118379</v>
      </c>
      <c r="B1141">
        <v>3693100</v>
      </c>
      <c r="C1141">
        <v>3693078</v>
      </c>
      <c r="D1141">
        <v>21883</v>
      </c>
      <c r="E1141">
        <v>21883</v>
      </c>
      <c r="F1141" t="s">
        <v>441</v>
      </c>
      <c r="G1141">
        <v>0</v>
      </c>
      <c r="I1141" s="5">
        <v>44044</v>
      </c>
      <c r="J1141" s="5">
        <v>44032.333333333336</v>
      </c>
    </row>
    <row r="1142" spans="1:10" x14ac:dyDescent="0.2">
      <c r="A1142">
        <v>7118380</v>
      </c>
      <c r="B1142">
        <v>3693101</v>
      </c>
      <c r="C1142">
        <v>3693097</v>
      </c>
      <c r="D1142">
        <v>21883</v>
      </c>
      <c r="E1142">
        <v>21883</v>
      </c>
      <c r="F1142" t="s">
        <v>440</v>
      </c>
      <c r="G1142">
        <v>0</v>
      </c>
      <c r="I1142" s="5">
        <v>44044</v>
      </c>
      <c r="J1142" s="5">
        <v>43970.333333333336</v>
      </c>
    </row>
    <row r="1143" spans="1:10" x14ac:dyDescent="0.2">
      <c r="A1143">
        <v>7118381</v>
      </c>
      <c r="B1143">
        <v>3693101</v>
      </c>
      <c r="C1143">
        <v>3693099</v>
      </c>
      <c r="D1143">
        <v>21883</v>
      </c>
      <c r="E1143">
        <v>21883</v>
      </c>
      <c r="F1143" t="s">
        <v>440</v>
      </c>
      <c r="G1143">
        <v>0</v>
      </c>
      <c r="I1143" s="5">
        <v>44044</v>
      </c>
      <c r="J1143" s="5">
        <v>43970.333333333336</v>
      </c>
    </row>
    <row r="1144" spans="1:10" x14ac:dyDescent="0.2">
      <c r="A1144">
        <v>7118382</v>
      </c>
      <c r="B1144">
        <v>3693101</v>
      </c>
      <c r="C1144">
        <v>3693102</v>
      </c>
      <c r="D1144">
        <v>21883</v>
      </c>
      <c r="E1144">
        <v>21883</v>
      </c>
      <c r="F1144" t="s">
        <v>440</v>
      </c>
      <c r="G1144">
        <v>0</v>
      </c>
      <c r="I1144" s="5">
        <v>44044</v>
      </c>
      <c r="J1144" s="5">
        <v>43970.333333333336</v>
      </c>
    </row>
    <row r="1145" spans="1:10" x14ac:dyDescent="0.2">
      <c r="A1145">
        <v>7118383</v>
      </c>
      <c r="B1145">
        <v>3693103</v>
      </c>
      <c r="C1145">
        <v>3693078</v>
      </c>
      <c r="D1145">
        <v>21883</v>
      </c>
      <c r="E1145">
        <v>21883</v>
      </c>
      <c r="F1145" t="s">
        <v>441</v>
      </c>
      <c r="G1145">
        <v>352</v>
      </c>
      <c r="I1145" s="5">
        <v>44044</v>
      </c>
      <c r="J1145" s="5">
        <v>44273.666666666664</v>
      </c>
    </row>
    <row r="1146" spans="1:10" x14ac:dyDescent="0.2">
      <c r="A1146">
        <v>7118384</v>
      </c>
      <c r="B1146">
        <v>3693104</v>
      </c>
      <c r="C1146">
        <v>3693103</v>
      </c>
      <c r="D1146">
        <v>21883</v>
      </c>
      <c r="E1146">
        <v>21883</v>
      </c>
      <c r="F1146" t="s">
        <v>441</v>
      </c>
      <c r="G1146">
        <v>0</v>
      </c>
      <c r="I1146" s="5">
        <v>44044</v>
      </c>
      <c r="J1146" s="5">
        <v>44273.666666666664</v>
      </c>
    </row>
    <row r="1147" spans="1:10" x14ac:dyDescent="0.2">
      <c r="A1147">
        <v>7118385</v>
      </c>
      <c r="B1147">
        <v>3693105</v>
      </c>
      <c r="C1147">
        <v>3693104</v>
      </c>
      <c r="D1147">
        <v>21883</v>
      </c>
      <c r="E1147">
        <v>21883</v>
      </c>
      <c r="F1147" t="s">
        <v>441</v>
      </c>
      <c r="G1147">
        <v>0</v>
      </c>
      <c r="I1147" s="5">
        <v>44044</v>
      </c>
      <c r="J1147" s="5">
        <v>44273.666666666664</v>
      </c>
    </row>
    <row r="1148" spans="1:10" x14ac:dyDescent="0.2">
      <c r="A1148">
        <v>7118386</v>
      </c>
      <c r="B1148">
        <v>3693123</v>
      </c>
      <c r="C1148">
        <v>3693078</v>
      </c>
      <c r="D1148">
        <v>21883</v>
      </c>
      <c r="E1148">
        <v>21883</v>
      </c>
      <c r="F1148" t="s">
        <v>441</v>
      </c>
      <c r="G1148">
        <v>584</v>
      </c>
      <c r="I1148" s="5">
        <v>44044</v>
      </c>
      <c r="J1148" s="5">
        <v>44273.666666666664</v>
      </c>
    </row>
    <row r="1149" spans="1:10" x14ac:dyDescent="0.2">
      <c r="A1149">
        <v>7118387</v>
      </c>
      <c r="B1149">
        <v>3693124</v>
      </c>
      <c r="C1149">
        <v>3693123</v>
      </c>
      <c r="D1149">
        <v>21883</v>
      </c>
      <c r="E1149">
        <v>21883</v>
      </c>
      <c r="F1149" t="s">
        <v>442</v>
      </c>
      <c r="G1149">
        <v>336</v>
      </c>
      <c r="I1149" s="5">
        <v>44044</v>
      </c>
      <c r="J1149" s="5">
        <v>44273.666666666664</v>
      </c>
    </row>
    <row r="1150" spans="1:10" x14ac:dyDescent="0.2">
      <c r="A1150">
        <v>7118388</v>
      </c>
      <c r="B1150">
        <v>3693125</v>
      </c>
      <c r="C1150">
        <v>3693124</v>
      </c>
      <c r="D1150">
        <v>21883</v>
      </c>
      <c r="E1150">
        <v>21883</v>
      </c>
      <c r="F1150" t="s">
        <v>441</v>
      </c>
      <c r="G1150">
        <v>0</v>
      </c>
      <c r="I1150" s="5">
        <v>44044</v>
      </c>
      <c r="J1150" s="5">
        <v>44273.666666666664</v>
      </c>
    </row>
    <row r="1151" spans="1:10" x14ac:dyDescent="0.2">
      <c r="A1151">
        <v>7118389</v>
      </c>
      <c r="B1151">
        <v>3693106</v>
      </c>
      <c r="C1151">
        <v>3693078</v>
      </c>
      <c r="D1151">
        <v>21883</v>
      </c>
      <c r="E1151">
        <v>21883</v>
      </c>
      <c r="F1151" t="s">
        <v>441</v>
      </c>
      <c r="G1151">
        <v>0</v>
      </c>
      <c r="I1151" s="5">
        <v>44044</v>
      </c>
      <c r="J1151" s="5">
        <v>44082.333333333336</v>
      </c>
    </row>
    <row r="1152" spans="1:10" x14ac:dyDescent="0.2">
      <c r="A1152">
        <v>7118390</v>
      </c>
      <c r="B1152">
        <v>3693107</v>
      </c>
      <c r="C1152">
        <v>3693106</v>
      </c>
      <c r="D1152">
        <v>21883</v>
      </c>
      <c r="E1152">
        <v>21883</v>
      </c>
      <c r="F1152" t="s">
        <v>442</v>
      </c>
      <c r="G1152">
        <v>448</v>
      </c>
      <c r="I1152" s="5">
        <v>44044</v>
      </c>
      <c r="J1152" s="5">
        <v>44082.333333333336</v>
      </c>
    </row>
    <row r="1153" spans="1:10" x14ac:dyDescent="0.2">
      <c r="A1153">
        <v>7118391</v>
      </c>
      <c r="B1153">
        <v>3693108</v>
      </c>
      <c r="C1153">
        <v>3693107</v>
      </c>
      <c r="D1153">
        <v>21883</v>
      </c>
      <c r="E1153">
        <v>21883</v>
      </c>
      <c r="F1153" t="s">
        <v>442</v>
      </c>
      <c r="G1153">
        <v>0</v>
      </c>
      <c r="I1153" s="5">
        <v>44044</v>
      </c>
      <c r="J1153" s="5">
        <v>44082.333333333336</v>
      </c>
    </row>
    <row r="1154" spans="1:10" x14ac:dyDescent="0.2">
      <c r="A1154">
        <v>7118392</v>
      </c>
      <c r="B1154">
        <v>3693109</v>
      </c>
      <c r="C1154">
        <v>3693093</v>
      </c>
      <c r="D1154">
        <v>21883</v>
      </c>
      <c r="E1154">
        <v>21883</v>
      </c>
      <c r="F1154" t="s">
        <v>442</v>
      </c>
      <c r="G1154">
        <v>848</v>
      </c>
      <c r="I1154" s="5">
        <v>44044</v>
      </c>
      <c r="J1154" s="5">
        <v>44032.333333333336</v>
      </c>
    </row>
    <row r="1155" spans="1:10" x14ac:dyDescent="0.2">
      <c r="A1155">
        <v>7118393</v>
      </c>
      <c r="B1155">
        <v>3693122</v>
      </c>
      <c r="C1155">
        <v>3693110</v>
      </c>
      <c r="D1155">
        <v>21883</v>
      </c>
      <c r="E1155">
        <v>21883</v>
      </c>
      <c r="F1155" t="s">
        <v>441</v>
      </c>
      <c r="G1155">
        <v>0</v>
      </c>
      <c r="I1155" s="5">
        <v>44044</v>
      </c>
      <c r="J1155" s="5">
        <v>44273.666666666664</v>
      </c>
    </row>
    <row r="1156" spans="1:10" x14ac:dyDescent="0.2">
      <c r="A1156">
        <v>7118394</v>
      </c>
      <c r="B1156">
        <v>3692891</v>
      </c>
      <c r="C1156">
        <v>3693122</v>
      </c>
      <c r="D1156">
        <v>21883</v>
      </c>
      <c r="E1156">
        <v>21883</v>
      </c>
      <c r="F1156" t="s">
        <v>441</v>
      </c>
      <c r="G1156">
        <v>0</v>
      </c>
      <c r="I1156" s="5">
        <v>44044</v>
      </c>
      <c r="J1156" s="5">
        <v>44273.666666666664</v>
      </c>
    </row>
    <row r="1157" spans="1:10" x14ac:dyDescent="0.2">
      <c r="A1157">
        <v>7118395</v>
      </c>
      <c r="B1157">
        <v>3693122</v>
      </c>
      <c r="C1157">
        <v>3693108</v>
      </c>
      <c r="D1157">
        <v>21883</v>
      </c>
      <c r="E1157">
        <v>21883</v>
      </c>
      <c r="F1157" t="s">
        <v>441</v>
      </c>
      <c r="G1157">
        <v>0</v>
      </c>
      <c r="I1157" s="5">
        <v>44044</v>
      </c>
      <c r="J1157" s="5">
        <v>44273.666666666664</v>
      </c>
    </row>
    <row r="1158" spans="1:10" x14ac:dyDescent="0.2">
      <c r="A1158">
        <v>7118396</v>
      </c>
      <c r="B1158">
        <v>3693122</v>
      </c>
      <c r="C1158">
        <v>3693125</v>
      </c>
      <c r="D1158">
        <v>21883</v>
      </c>
      <c r="E1158">
        <v>21883</v>
      </c>
      <c r="F1158" t="s">
        <v>441</v>
      </c>
      <c r="G1158">
        <v>0</v>
      </c>
      <c r="I1158" s="5">
        <v>44044</v>
      </c>
      <c r="J1158" s="5">
        <v>44273.666666666664</v>
      </c>
    </row>
    <row r="1159" spans="1:10" x14ac:dyDescent="0.2">
      <c r="A1159">
        <v>7118397</v>
      </c>
      <c r="B1159">
        <v>3693122</v>
      </c>
      <c r="C1159">
        <v>3693105</v>
      </c>
      <c r="D1159">
        <v>21883</v>
      </c>
      <c r="E1159">
        <v>21883</v>
      </c>
      <c r="F1159" t="s">
        <v>441</v>
      </c>
      <c r="G1159">
        <v>0</v>
      </c>
      <c r="I1159" s="5">
        <v>44044</v>
      </c>
      <c r="J1159" s="5">
        <v>44273.666666666664</v>
      </c>
    </row>
    <row r="1160" spans="1:10" x14ac:dyDescent="0.2">
      <c r="A1160">
        <v>7118398</v>
      </c>
      <c r="B1160">
        <v>3693122</v>
      </c>
      <c r="C1160">
        <v>3693100</v>
      </c>
      <c r="D1160">
        <v>21883</v>
      </c>
      <c r="E1160">
        <v>21883</v>
      </c>
      <c r="F1160" t="s">
        <v>441</v>
      </c>
      <c r="G1160">
        <v>0</v>
      </c>
      <c r="I1160" s="5">
        <v>44044</v>
      </c>
      <c r="J1160" s="5">
        <v>44273.666666666664</v>
      </c>
    </row>
    <row r="1161" spans="1:10" x14ac:dyDescent="0.2">
      <c r="A1161">
        <v>7118399</v>
      </c>
      <c r="B1161">
        <v>3693122</v>
      </c>
      <c r="C1161">
        <v>3693089</v>
      </c>
      <c r="D1161">
        <v>21883</v>
      </c>
      <c r="E1161">
        <v>21883</v>
      </c>
      <c r="F1161" t="s">
        <v>441</v>
      </c>
      <c r="G1161">
        <v>0</v>
      </c>
      <c r="I1161" s="5">
        <v>44044</v>
      </c>
      <c r="J1161" s="5">
        <v>44273.666666666664</v>
      </c>
    </row>
    <row r="1162" spans="1:10" x14ac:dyDescent="0.2">
      <c r="A1162">
        <v>7118400</v>
      </c>
      <c r="B1162">
        <v>3693070</v>
      </c>
      <c r="C1162">
        <v>3693086</v>
      </c>
      <c r="D1162">
        <v>21883</v>
      </c>
      <c r="E1162">
        <v>21883</v>
      </c>
      <c r="F1162" t="s">
        <v>441</v>
      </c>
      <c r="G1162">
        <v>0</v>
      </c>
      <c r="I1162" s="5">
        <v>44044</v>
      </c>
      <c r="J1162" s="5">
        <v>43970.333333333336</v>
      </c>
    </row>
    <row r="1163" spans="1:10" x14ac:dyDescent="0.2">
      <c r="A1163">
        <v>7118401</v>
      </c>
      <c r="B1163">
        <v>3693111</v>
      </c>
      <c r="C1163">
        <v>3693078</v>
      </c>
      <c r="D1163">
        <v>21883</v>
      </c>
      <c r="E1163">
        <v>21883</v>
      </c>
      <c r="F1163" t="s">
        <v>442</v>
      </c>
      <c r="G1163">
        <v>288</v>
      </c>
      <c r="I1163" s="5">
        <v>44044</v>
      </c>
      <c r="J1163" s="5">
        <v>44159.666666666664</v>
      </c>
    </row>
    <row r="1164" spans="1:10" x14ac:dyDescent="0.2">
      <c r="A1164">
        <v>7118402</v>
      </c>
      <c r="B1164">
        <v>3693112</v>
      </c>
      <c r="C1164">
        <v>3693111</v>
      </c>
      <c r="D1164">
        <v>21883</v>
      </c>
      <c r="E1164">
        <v>21883</v>
      </c>
      <c r="F1164" t="s">
        <v>442</v>
      </c>
      <c r="G1164">
        <v>0</v>
      </c>
      <c r="I1164" s="5">
        <v>44044</v>
      </c>
      <c r="J1164" s="5">
        <v>44159.666666666664</v>
      </c>
    </row>
    <row r="1165" spans="1:10" x14ac:dyDescent="0.2">
      <c r="A1165">
        <v>7118403</v>
      </c>
      <c r="B1165">
        <v>3693113</v>
      </c>
      <c r="C1165">
        <v>3693112</v>
      </c>
      <c r="D1165">
        <v>21883</v>
      </c>
      <c r="E1165">
        <v>21883</v>
      </c>
      <c r="F1165" t="s">
        <v>441</v>
      </c>
      <c r="G1165">
        <v>0</v>
      </c>
      <c r="I1165" s="5">
        <v>44044</v>
      </c>
      <c r="J1165" s="5">
        <v>44159.666666666664</v>
      </c>
    </row>
    <row r="1166" spans="1:10" x14ac:dyDescent="0.2">
      <c r="A1166">
        <v>7118404</v>
      </c>
      <c r="B1166">
        <v>3693114</v>
      </c>
      <c r="C1166">
        <v>3693113</v>
      </c>
      <c r="D1166">
        <v>21883</v>
      </c>
      <c r="E1166">
        <v>21883</v>
      </c>
      <c r="F1166" t="s">
        <v>442</v>
      </c>
      <c r="G1166">
        <v>0</v>
      </c>
      <c r="I1166" s="5">
        <v>44044</v>
      </c>
      <c r="J1166" s="5">
        <v>44159.666666666664</v>
      </c>
    </row>
    <row r="1167" spans="1:10" x14ac:dyDescent="0.2">
      <c r="A1167">
        <v>7118405</v>
      </c>
      <c r="B1167">
        <v>3693115</v>
      </c>
      <c r="C1167">
        <v>3693114</v>
      </c>
      <c r="D1167">
        <v>21883</v>
      </c>
      <c r="E1167">
        <v>21883</v>
      </c>
      <c r="F1167" t="s">
        <v>441</v>
      </c>
      <c r="G1167">
        <v>0</v>
      </c>
      <c r="I1167" s="5">
        <v>44044</v>
      </c>
      <c r="J1167" s="5">
        <v>44159.666666666664</v>
      </c>
    </row>
    <row r="1168" spans="1:10" x14ac:dyDescent="0.2">
      <c r="A1168">
        <v>7118406</v>
      </c>
      <c r="B1168">
        <v>3693115</v>
      </c>
      <c r="C1168">
        <v>3693114</v>
      </c>
      <c r="D1168">
        <v>21883</v>
      </c>
      <c r="E1168">
        <v>21883</v>
      </c>
      <c r="F1168" t="s">
        <v>440</v>
      </c>
      <c r="G1168">
        <v>0</v>
      </c>
      <c r="I1168" s="5">
        <v>44044</v>
      </c>
      <c r="J1168" s="5">
        <v>44159.666666666664</v>
      </c>
    </row>
    <row r="1169" spans="1:10" x14ac:dyDescent="0.2">
      <c r="A1169">
        <v>7118407</v>
      </c>
      <c r="B1169">
        <v>3693122</v>
      </c>
      <c r="C1169">
        <v>3693115</v>
      </c>
      <c r="D1169">
        <v>21883</v>
      </c>
      <c r="E1169">
        <v>21883</v>
      </c>
      <c r="F1169" t="s">
        <v>441</v>
      </c>
      <c r="G1169">
        <v>0</v>
      </c>
      <c r="I1169" s="5">
        <v>44044</v>
      </c>
      <c r="J1169" s="5">
        <v>44273.666666666664</v>
      </c>
    </row>
    <row r="1170" spans="1:10" x14ac:dyDescent="0.2">
      <c r="A1170">
        <v>7118408</v>
      </c>
      <c r="B1170">
        <v>3693117</v>
      </c>
      <c r="C1170">
        <v>3693116</v>
      </c>
      <c r="D1170">
        <v>21883</v>
      </c>
      <c r="E1170">
        <v>21883</v>
      </c>
      <c r="F1170" t="s">
        <v>441</v>
      </c>
      <c r="G1170">
        <v>0</v>
      </c>
      <c r="I1170" s="5">
        <v>44044</v>
      </c>
      <c r="J1170" s="5">
        <v>44273.666666666664</v>
      </c>
    </row>
    <row r="1171" spans="1:10" x14ac:dyDescent="0.2">
      <c r="A1171">
        <v>7118409</v>
      </c>
      <c r="B1171">
        <v>3693118</v>
      </c>
      <c r="C1171">
        <v>3693117</v>
      </c>
      <c r="D1171">
        <v>21883</v>
      </c>
      <c r="E1171">
        <v>21883</v>
      </c>
      <c r="F1171" t="s">
        <v>441</v>
      </c>
      <c r="G1171">
        <v>0</v>
      </c>
      <c r="I1171" s="5">
        <v>44044</v>
      </c>
      <c r="J1171" s="5">
        <v>44273.666666666664</v>
      </c>
    </row>
    <row r="1172" spans="1:10" x14ac:dyDescent="0.2">
      <c r="A1172">
        <v>7118410</v>
      </c>
      <c r="B1172">
        <v>3693122</v>
      </c>
      <c r="C1172">
        <v>3693118</v>
      </c>
      <c r="D1172">
        <v>21883</v>
      </c>
      <c r="E1172">
        <v>21883</v>
      </c>
      <c r="F1172" t="s">
        <v>441</v>
      </c>
      <c r="G1172">
        <v>0</v>
      </c>
      <c r="I1172" s="5">
        <v>44044</v>
      </c>
      <c r="J1172" s="5">
        <v>44273.666666666664</v>
      </c>
    </row>
    <row r="1173" spans="1:10" x14ac:dyDescent="0.2">
      <c r="A1173">
        <v>7118411</v>
      </c>
      <c r="B1173">
        <v>3693119</v>
      </c>
      <c r="C1173">
        <v>3693085</v>
      </c>
      <c r="D1173">
        <v>21883</v>
      </c>
      <c r="E1173">
        <v>21883</v>
      </c>
      <c r="F1173" t="s">
        <v>441</v>
      </c>
      <c r="G1173">
        <v>0</v>
      </c>
      <c r="I1173" s="5">
        <v>44044</v>
      </c>
      <c r="J1173" s="5">
        <v>44273.666666666664</v>
      </c>
    </row>
    <row r="1174" spans="1:10" x14ac:dyDescent="0.2">
      <c r="A1174">
        <v>7118412</v>
      </c>
      <c r="B1174">
        <v>3693119</v>
      </c>
      <c r="C1174">
        <v>3693085</v>
      </c>
      <c r="D1174">
        <v>21883</v>
      </c>
      <c r="E1174">
        <v>21883</v>
      </c>
      <c r="F1174" t="s">
        <v>440</v>
      </c>
      <c r="G1174">
        <v>0</v>
      </c>
      <c r="I1174" s="5">
        <v>44044</v>
      </c>
      <c r="J1174" s="5">
        <v>44273.666666666664</v>
      </c>
    </row>
    <row r="1175" spans="1:10" x14ac:dyDescent="0.2">
      <c r="A1175">
        <v>7118413</v>
      </c>
      <c r="B1175">
        <v>3693120</v>
      </c>
      <c r="C1175">
        <v>3693119</v>
      </c>
      <c r="D1175">
        <v>21883</v>
      </c>
      <c r="E1175">
        <v>21883</v>
      </c>
      <c r="F1175" t="s">
        <v>441</v>
      </c>
      <c r="G1175">
        <v>0</v>
      </c>
      <c r="I1175" s="5">
        <v>44044</v>
      </c>
      <c r="J1175" s="5">
        <v>44273.666666666664</v>
      </c>
    </row>
    <row r="1176" spans="1:10" x14ac:dyDescent="0.2">
      <c r="A1176">
        <v>7118414</v>
      </c>
      <c r="B1176">
        <v>3693121</v>
      </c>
      <c r="C1176">
        <v>3693120</v>
      </c>
      <c r="D1176">
        <v>21883</v>
      </c>
      <c r="E1176">
        <v>21883</v>
      </c>
      <c r="F1176" t="s">
        <v>441</v>
      </c>
      <c r="G1176">
        <v>0</v>
      </c>
      <c r="I1176" s="5">
        <v>44044</v>
      </c>
      <c r="J1176" s="5">
        <v>44273.666666666664</v>
      </c>
    </row>
    <row r="1177" spans="1:10" x14ac:dyDescent="0.2">
      <c r="A1177">
        <v>7118415</v>
      </c>
      <c r="B1177">
        <v>3693122</v>
      </c>
      <c r="C1177">
        <v>3693121</v>
      </c>
      <c r="D1177">
        <v>21883</v>
      </c>
      <c r="E1177">
        <v>21883</v>
      </c>
      <c r="F1177" t="s">
        <v>441</v>
      </c>
      <c r="G1177">
        <v>0</v>
      </c>
      <c r="I1177" s="5">
        <v>44044</v>
      </c>
      <c r="J1177" s="5">
        <v>44273.666666666664</v>
      </c>
    </row>
    <row r="1178" spans="1:10" x14ac:dyDescent="0.2">
      <c r="A1178">
        <v>7118416</v>
      </c>
      <c r="B1178">
        <v>3692991</v>
      </c>
      <c r="C1178">
        <v>3693129</v>
      </c>
      <c r="D1178">
        <v>21883</v>
      </c>
      <c r="E1178">
        <v>21883</v>
      </c>
      <c r="F1178" t="s">
        <v>441</v>
      </c>
      <c r="G1178">
        <v>0</v>
      </c>
      <c r="I1178" s="5">
        <v>44044</v>
      </c>
      <c r="J1178" s="5">
        <v>43970.333333333336</v>
      </c>
    </row>
    <row r="1179" spans="1:10" x14ac:dyDescent="0.2">
      <c r="A1179">
        <v>7118417</v>
      </c>
      <c r="B1179">
        <v>3692878</v>
      </c>
      <c r="C1179">
        <v>3692890</v>
      </c>
      <c r="D1179">
        <v>21883</v>
      </c>
      <c r="E1179">
        <v>21883</v>
      </c>
      <c r="F1179" t="s">
        <v>441</v>
      </c>
      <c r="G1179">
        <v>0</v>
      </c>
      <c r="I1179" s="5">
        <v>44044</v>
      </c>
      <c r="J1179" s="5">
        <v>43970.333333333336</v>
      </c>
    </row>
    <row r="1180" spans="1:10" x14ac:dyDescent="0.2">
      <c r="A1180">
        <v>7118418</v>
      </c>
      <c r="B1180">
        <v>3693068</v>
      </c>
      <c r="C1180">
        <v>3693072</v>
      </c>
      <c r="D1180">
        <v>21883</v>
      </c>
      <c r="E1180">
        <v>21883</v>
      </c>
      <c r="F1180" t="s">
        <v>440</v>
      </c>
      <c r="G1180">
        <v>0</v>
      </c>
      <c r="I1180" s="5">
        <v>44044</v>
      </c>
      <c r="J1180" s="5">
        <v>43970.333333333336</v>
      </c>
    </row>
    <row r="1181" spans="1:10" x14ac:dyDescent="0.2">
      <c r="A1181">
        <v>7118419</v>
      </c>
      <c r="B1181">
        <v>3693130</v>
      </c>
      <c r="C1181">
        <v>3692898</v>
      </c>
      <c r="D1181">
        <v>21883</v>
      </c>
      <c r="E1181">
        <v>21883</v>
      </c>
      <c r="F1181" t="s">
        <v>441</v>
      </c>
      <c r="G1181">
        <v>0</v>
      </c>
      <c r="I1181" s="5">
        <v>44044</v>
      </c>
      <c r="J1181" s="5">
        <v>43970.333333333336</v>
      </c>
    </row>
    <row r="1182" spans="1:10" x14ac:dyDescent="0.2">
      <c r="A1182">
        <v>7118420</v>
      </c>
      <c r="B1182">
        <v>3692903</v>
      </c>
      <c r="C1182">
        <v>3693130</v>
      </c>
      <c r="D1182">
        <v>21883</v>
      </c>
      <c r="E1182">
        <v>21883</v>
      </c>
      <c r="F1182" t="s">
        <v>441</v>
      </c>
      <c r="G1182">
        <v>0</v>
      </c>
      <c r="I1182" s="5">
        <v>44044</v>
      </c>
      <c r="J1182" s="5">
        <v>43970.333333333336</v>
      </c>
    </row>
    <row r="1183" spans="1:10" x14ac:dyDescent="0.2">
      <c r="A1183">
        <v>7118421</v>
      </c>
      <c r="B1183">
        <v>3693131</v>
      </c>
      <c r="C1183">
        <v>3692938</v>
      </c>
      <c r="D1183">
        <v>21883</v>
      </c>
      <c r="E1183">
        <v>21883</v>
      </c>
      <c r="F1183" t="s">
        <v>441</v>
      </c>
      <c r="G1183">
        <v>0</v>
      </c>
      <c r="I1183" s="5">
        <v>44044</v>
      </c>
      <c r="J1183" s="5">
        <v>43970.333333333336</v>
      </c>
    </row>
    <row r="1184" spans="1:10" x14ac:dyDescent="0.2">
      <c r="A1184">
        <v>7118422</v>
      </c>
      <c r="B1184">
        <v>3693132</v>
      </c>
      <c r="C1184">
        <v>3693131</v>
      </c>
      <c r="D1184">
        <v>21883</v>
      </c>
      <c r="E1184">
        <v>21883</v>
      </c>
      <c r="F1184" t="s">
        <v>441</v>
      </c>
      <c r="G1184">
        <v>0</v>
      </c>
      <c r="I1184" s="5">
        <v>44044</v>
      </c>
      <c r="J1184" s="5">
        <v>43970.333333333336</v>
      </c>
    </row>
    <row r="1185" spans="1:10" x14ac:dyDescent="0.2">
      <c r="A1185">
        <v>7118423</v>
      </c>
      <c r="B1185">
        <v>3693133</v>
      </c>
      <c r="C1185">
        <v>3693132</v>
      </c>
      <c r="D1185">
        <v>21883</v>
      </c>
      <c r="E1185">
        <v>21883</v>
      </c>
      <c r="F1185" t="s">
        <v>441</v>
      </c>
      <c r="G1185">
        <v>0</v>
      </c>
      <c r="I1185" s="5">
        <v>44044</v>
      </c>
      <c r="J1185" s="5">
        <v>43970.333333333336</v>
      </c>
    </row>
    <row r="1186" spans="1:10" x14ac:dyDescent="0.2">
      <c r="A1186">
        <v>7118424</v>
      </c>
      <c r="B1186">
        <v>3692940</v>
      </c>
      <c r="C1186">
        <v>3693133</v>
      </c>
      <c r="D1186">
        <v>21883</v>
      </c>
      <c r="E1186">
        <v>21883</v>
      </c>
      <c r="F1186" t="s">
        <v>442</v>
      </c>
      <c r="G1186">
        <v>0</v>
      </c>
      <c r="I1186" s="5">
        <v>44044</v>
      </c>
      <c r="J1186" s="5">
        <v>43970.333333333336</v>
      </c>
    </row>
    <row r="1187" spans="1:10" x14ac:dyDescent="0.2">
      <c r="A1187">
        <v>7118425</v>
      </c>
      <c r="B1187">
        <v>3692939</v>
      </c>
      <c r="C1187">
        <v>3693134</v>
      </c>
      <c r="D1187">
        <v>21883</v>
      </c>
      <c r="E1187">
        <v>21883</v>
      </c>
      <c r="F1187" t="s">
        <v>441</v>
      </c>
      <c r="G1187">
        <v>0</v>
      </c>
      <c r="I1187" s="5">
        <v>44044</v>
      </c>
      <c r="J1187" s="5">
        <v>43970.333333333336</v>
      </c>
    </row>
    <row r="1188" spans="1:10" x14ac:dyDescent="0.2">
      <c r="A1188">
        <v>7118426</v>
      </c>
      <c r="B1188">
        <v>3693136</v>
      </c>
      <c r="C1188">
        <v>3693135</v>
      </c>
      <c r="D1188">
        <v>21883</v>
      </c>
      <c r="E1188">
        <v>21883</v>
      </c>
      <c r="F1188" t="s">
        <v>441</v>
      </c>
      <c r="G1188">
        <v>0</v>
      </c>
      <c r="I1188" s="5">
        <v>44044</v>
      </c>
      <c r="J1188" s="5">
        <v>43970.333333333336</v>
      </c>
    </row>
    <row r="1189" spans="1:10" x14ac:dyDescent="0.2">
      <c r="A1189">
        <v>7118427</v>
      </c>
      <c r="B1189">
        <v>3693137</v>
      </c>
      <c r="C1189">
        <v>3693136</v>
      </c>
      <c r="D1189">
        <v>21883</v>
      </c>
      <c r="E1189">
        <v>21883</v>
      </c>
      <c r="F1189" t="s">
        <v>441</v>
      </c>
      <c r="G1189">
        <v>0</v>
      </c>
      <c r="I1189" s="5">
        <v>44044</v>
      </c>
      <c r="J1189" s="5">
        <v>43970.333333333336</v>
      </c>
    </row>
    <row r="1190" spans="1:10" x14ac:dyDescent="0.2">
      <c r="A1190">
        <v>7118428</v>
      </c>
      <c r="B1190">
        <v>3693135</v>
      </c>
      <c r="C1190">
        <v>3692906</v>
      </c>
      <c r="D1190">
        <v>21883</v>
      </c>
      <c r="E1190">
        <v>21883</v>
      </c>
      <c r="F1190" t="s">
        <v>441</v>
      </c>
      <c r="G1190">
        <v>0</v>
      </c>
      <c r="I1190" s="5">
        <v>44044</v>
      </c>
      <c r="J1190" s="5">
        <v>43970.333333333336</v>
      </c>
    </row>
    <row r="1191" spans="1:10" x14ac:dyDescent="0.2">
      <c r="A1191">
        <v>7118429</v>
      </c>
      <c r="B1191">
        <v>3692908</v>
      </c>
      <c r="C1191">
        <v>3693137</v>
      </c>
      <c r="D1191">
        <v>21883</v>
      </c>
      <c r="E1191">
        <v>21883</v>
      </c>
      <c r="F1191" t="s">
        <v>441</v>
      </c>
      <c r="G1191">
        <v>0</v>
      </c>
      <c r="I1191" s="5">
        <v>44044</v>
      </c>
      <c r="J1191" s="5">
        <v>43970.333333333336</v>
      </c>
    </row>
    <row r="1192" spans="1:10" x14ac:dyDescent="0.2">
      <c r="A1192">
        <v>7118430</v>
      </c>
      <c r="B1192">
        <v>3693138</v>
      </c>
      <c r="C1192">
        <v>3692908</v>
      </c>
      <c r="D1192">
        <v>21883</v>
      </c>
      <c r="E1192">
        <v>21883</v>
      </c>
      <c r="F1192" t="s">
        <v>441</v>
      </c>
      <c r="G1192">
        <v>0</v>
      </c>
      <c r="I1192" s="5">
        <v>44044</v>
      </c>
      <c r="J1192" s="5">
        <v>43970.333333333336</v>
      </c>
    </row>
    <row r="1193" spans="1:10" x14ac:dyDescent="0.2">
      <c r="A1193">
        <v>7118431</v>
      </c>
      <c r="B1193">
        <v>3693140</v>
      </c>
      <c r="C1193">
        <v>3693139</v>
      </c>
      <c r="D1193">
        <v>21883</v>
      </c>
      <c r="E1193">
        <v>21883</v>
      </c>
      <c r="F1193" t="s">
        <v>441</v>
      </c>
      <c r="G1193">
        <v>0</v>
      </c>
      <c r="I1193" s="5">
        <v>44044</v>
      </c>
      <c r="J1193" s="5">
        <v>43970.333333333336</v>
      </c>
    </row>
    <row r="1194" spans="1:10" x14ac:dyDescent="0.2">
      <c r="A1194">
        <v>7118432</v>
      </c>
      <c r="B1194">
        <v>3692910</v>
      </c>
      <c r="C1194">
        <v>3693140</v>
      </c>
      <c r="D1194">
        <v>21883</v>
      </c>
      <c r="E1194">
        <v>21883</v>
      </c>
      <c r="F1194" t="s">
        <v>441</v>
      </c>
      <c r="G1194">
        <v>0</v>
      </c>
      <c r="I1194" s="5">
        <v>44044</v>
      </c>
      <c r="J1194" s="5">
        <v>43970.333333333336</v>
      </c>
    </row>
    <row r="1195" spans="1:10" x14ac:dyDescent="0.2">
      <c r="A1195">
        <v>7118433</v>
      </c>
      <c r="B1195">
        <v>3693139</v>
      </c>
      <c r="C1195">
        <v>3692911</v>
      </c>
      <c r="D1195">
        <v>21883</v>
      </c>
      <c r="E1195">
        <v>21883</v>
      </c>
      <c r="F1195" t="s">
        <v>441</v>
      </c>
      <c r="G1195">
        <v>0</v>
      </c>
      <c r="I1195" s="5">
        <v>44044</v>
      </c>
      <c r="J1195" s="5">
        <v>43970.333333333336</v>
      </c>
    </row>
    <row r="1196" spans="1:10" x14ac:dyDescent="0.2">
      <c r="A1196">
        <v>7118434</v>
      </c>
      <c r="B1196">
        <v>3693142</v>
      </c>
      <c r="C1196">
        <v>3693141</v>
      </c>
      <c r="D1196">
        <v>21883</v>
      </c>
      <c r="E1196">
        <v>21883</v>
      </c>
      <c r="F1196" t="s">
        <v>441</v>
      </c>
      <c r="G1196">
        <v>0</v>
      </c>
      <c r="I1196" s="5">
        <v>44044</v>
      </c>
      <c r="J1196" s="5">
        <v>43970.333333333336</v>
      </c>
    </row>
    <row r="1197" spans="1:10" x14ac:dyDescent="0.2">
      <c r="A1197">
        <v>7118435</v>
      </c>
      <c r="B1197">
        <v>3692913</v>
      </c>
      <c r="C1197">
        <v>3693142</v>
      </c>
      <c r="D1197">
        <v>21883</v>
      </c>
      <c r="E1197">
        <v>21883</v>
      </c>
      <c r="F1197" t="s">
        <v>441</v>
      </c>
      <c r="G1197">
        <v>0</v>
      </c>
      <c r="I1197" s="5">
        <v>44044</v>
      </c>
      <c r="J1197" s="5">
        <v>43970.333333333336</v>
      </c>
    </row>
    <row r="1198" spans="1:10" x14ac:dyDescent="0.2">
      <c r="A1198">
        <v>7118436</v>
      </c>
      <c r="B1198">
        <v>3693141</v>
      </c>
      <c r="C1198">
        <v>3692914</v>
      </c>
      <c r="D1198">
        <v>21883</v>
      </c>
      <c r="E1198">
        <v>21883</v>
      </c>
      <c r="F1198" t="s">
        <v>441</v>
      </c>
      <c r="G1198">
        <v>0</v>
      </c>
      <c r="I1198" s="5">
        <v>44044</v>
      </c>
      <c r="J1198" s="5">
        <v>43970.333333333336</v>
      </c>
    </row>
    <row r="1199" spans="1:10" x14ac:dyDescent="0.2">
      <c r="A1199">
        <v>7118437</v>
      </c>
      <c r="B1199">
        <v>3693144</v>
      </c>
      <c r="C1199">
        <v>3693143</v>
      </c>
      <c r="D1199">
        <v>21883</v>
      </c>
      <c r="E1199">
        <v>21883</v>
      </c>
      <c r="F1199" t="s">
        <v>441</v>
      </c>
      <c r="G1199">
        <v>0</v>
      </c>
      <c r="I1199" s="5">
        <v>44044</v>
      </c>
      <c r="J1199" s="5">
        <v>43970.333333333336</v>
      </c>
    </row>
    <row r="1200" spans="1:10" x14ac:dyDescent="0.2">
      <c r="A1200">
        <v>7118438</v>
      </c>
      <c r="B1200">
        <v>3692916</v>
      </c>
      <c r="C1200">
        <v>3693144</v>
      </c>
      <c r="D1200">
        <v>21883</v>
      </c>
      <c r="E1200">
        <v>21883</v>
      </c>
      <c r="F1200" t="s">
        <v>441</v>
      </c>
      <c r="G1200">
        <v>0</v>
      </c>
      <c r="I1200" s="5">
        <v>44044</v>
      </c>
      <c r="J1200" s="5">
        <v>43970.333333333336</v>
      </c>
    </row>
    <row r="1201" spans="1:10" x14ac:dyDescent="0.2">
      <c r="A1201">
        <v>7118439</v>
      </c>
      <c r="B1201">
        <v>3693143</v>
      </c>
      <c r="C1201">
        <v>3692917</v>
      </c>
      <c r="D1201">
        <v>21883</v>
      </c>
      <c r="E1201">
        <v>21883</v>
      </c>
      <c r="F1201" t="s">
        <v>441</v>
      </c>
      <c r="G1201">
        <v>0</v>
      </c>
      <c r="I1201" s="5">
        <v>44044</v>
      </c>
      <c r="J1201" s="5">
        <v>43970.333333333336</v>
      </c>
    </row>
    <row r="1202" spans="1:10" x14ac:dyDescent="0.2">
      <c r="A1202">
        <v>7118440</v>
      </c>
      <c r="B1202">
        <v>3692916</v>
      </c>
      <c r="C1202">
        <v>3693144</v>
      </c>
      <c r="D1202">
        <v>21883</v>
      </c>
      <c r="E1202">
        <v>21883</v>
      </c>
      <c r="F1202" t="s">
        <v>440</v>
      </c>
      <c r="G1202">
        <v>0</v>
      </c>
      <c r="I1202" s="5">
        <v>44044</v>
      </c>
      <c r="J1202" s="5">
        <v>43970.333333333336</v>
      </c>
    </row>
    <row r="1203" spans="1:10" x14ac:dyDescent="0.2">
      <c r="A1203">
        <v>7118441</v>
      </c>
      <c r="B1203">
        <v>3693145</v>
      </c>
      <c r="C1203">
        <v>3692920</v>
      </c>
      <c r="D1203">
        <v>21883</v>
      </c>
      <c r="E1203">
        <v>21883</v>
      </c>
      <c r="F1203" t="s">
        <v>441</v>
      </c>
      <c r="G1203">
        <v>0</v>
      </c>
      <c r="I1203" s="5">
        <v>44044</v>
      </c>
      <c r="J1203" s="5">
        <v>43970.333333333336</v>
      </c>
    </row>
    <row r="1204" spans="1:10" x14ac:dyDescent="0.2">
      <c r="A1204">
        <v>7118442</v>
      </c>
      <c r="B1204">
        <v>3693146</v>
      </c>
      <c r="C1204">
        <v>3693145</v>
      </c>
      <c r="D1204">
        <v>21883</v>
      </c>
      <c r="E1204">
        <v>21883</v>
      </c>
      <c r="F1204" t="s">
        <v>441</v>
      </c>
      <c r="G1204">
        <v>0</v>
      </c>
      <c r="I1204" s="5">
        <v>44044</v>
      </c>
      <c r="J1204" s="5">
        <v>43970.333333333336</v>
      </c>
    </row>
    <row r="1205" spans="1:10" x14ac:dyDescent="0.2">
      <c r="A1205">
        <v>7118443</v>
      </c>
      <c r="B1205">
        <v>3692919</v>
      </c>
      <c r="C1205">
        <v>3693146</v>
      </c>
      <c r="D1205">
        <v>21883</v>
      </c>
      <c r="E1205">
        <v>21883</v>
      </c>
      <c r="F1205" t="s">
        <v>441</v>
      </c>
      <c r="G1205">
        <v>0</v>
      </c>
      <c r="I1205" s="5">
        <v>44044</v>
      </c>
      <c r="J1205" s="5">
        <v>43970.333333333336</v>
      </c>
    </row>
    <row r="1206" spans="1:10" x14ac:dyDescent="0.2">
      <c r="A1206">
        <v>7118444</v>
      </c>
      <c r="B1206">
        <v>3693148</v>
      </c>
      <c r="C1206">
        <v>3693147</v>
      </c>
      <c r="D1206">
        <v>21883</v>
      </c>
      <c r="E1206">
        <v>21883</v>
      </c>
      <c r="F1206" t="s">
        <v>441</v>
      </c>
      <c r="G1206">
        <v>0</v>
      </c>
      <c r="I1206" s="5">
        <v>44044</v>
      </c>
      <c r="J1206" s="5">
        <v>43970.333333333336</v>
      </c>
    </row>
    <row r="1207" spans="1:10" x14ac:dyDescent="0.2">
      <c r="A1207">
        <v>7118445</v>
      </c>
      <c r="B1207">
        <v>3692935</v>
      </c>
      <c r="C1207">
        <v>3693148</v>
      </c>
      <c r="D1207">
        <v>21883</v>
      </c>
      <c r="E1207">
        <v>21883</v>
      </c>
      <c r="F1207" t="s">
        <v>441</v>
      </c>
      <c r="G1207">
        <v>0</v>
      </c>
      <c r="I1207" s="5">
        <v>44044</v>
      </c>
      <c r="J1207" s="5">
        <v>43970.333333333336</v>
      </c>
    </row>
    <row r="1208" spans="1:10" x14ac:dyDescent="0.2">
      <c r="A1208">
        <v>7118446</v>
      </c>
      <c r="B1208">
        <v>3693150</v>
      </c>
      <c r="C1208">
        <v>3693149</v>
      </c>
      <c r="D1208">
        <v>21883</v>
      </c>
      <c r="E1208">
        <v>21883</v>
      </c>
      <c r="F1208" t="s">
        <v>441</v>
      </c>
      <c r="G1208">
        <v>0</v>
      </c>
      <c r="I1208" s="5">
        <v>44044</v>
      </c>
      <c r="J1208" s="5">
        <v>43970.333333333336</v>
      </c>
    </row>
    <row r="1209" spans="1:10" x14ac:dyDescent="0.2">
      <c r="A1209">
        <v>7118447</v>
      </c>
      <c r="B1209">
        <v>3692932</v>
      </c>
      <c r="C1209">
        <v>3693150</v>
      </c>
      <c r="D1209">
        <v>21883</v>
      </c>
      <c r="E1209">
        <v>21883</v>
      </c>
      <c r="F1209" t="s">
        <v>441</v>
      </c>
      <c r="G1209">
        <v>0</v>
      </c>
      <c r="I1209" s="5">
        <v>44044</v>
      </c>
      <c r="J1209" s="5">
        <v>43970.333333333336</v>
      </c>
    </row>
    <row r="1210" spans="1:10" x14ac:dyDescent="0.2">
      <c r="A1210">
        <v>7118448</v>
      </c>
      <c r="B1210">
        <v>3693147</v>
      </c>
      <c r="C1210">
        <v>3692933</v>
      </c>
      <c r="D1210">
        <v>21883</v>
      </c>
      <c r="E1210">
        <v>21883</v>
      </c>
      <c r="F1210" t="s">
        <v>441</v>
      </c>
      <c r="G1210">
        <v>0</v>
      </c>
      <c r="I1210" s="5">
        <v>44044</v>
      </c>
      <c r="J1210" s="5">
        <v>43970.333333333336</v>
      </c>
    </row>
    <row r="1211" spans="1:10" x14ac:dyDescent="0.2">
      <c r="A1211">
        <v>7118449</v>
      </c>
      <c r="B1211">
        <v>3693151</v>
      </c>
      <c r="C1211">
        <v>3692927</v>
      </c>
      <c r="D1211">
        <v>21883</v>
      </c>
      <c r="E1211">
        <v>21883</v>
      </c>
      <c r="F1211" t="s">
        <v>441</v>
      </c>
      <c r="G1211">
        <v>0</v>
      </c>
      <c r="I1211" s="5">
        <v>44044</v>
      </c>
      <c r="J1211" s="5">
        <v>43970.333333333336</v>
      </c>
    </row>
    <row r="1212" spans="1:10" x14ac:dyDescent="0.2">
      <c r="A1212">
        <v>7118450</v>
      </c>
      <c r="B1212">
        <v>3693152</v>
      </c>
      <c r="C1212">
        <v>3693151</v>
      </c>
      <c r="D1212">
        <v>21883</v>
      </c>
      <c r="E1212">
        <v>21883</v>
      </c>
      <c r="F1212" t="s">
        <v>441</v>
      </c>
      <c r="G1212">
        <v>0</v>
      </c>
      <c r="I1212" s="5">
        <v>44044</v>
      </c>
      <c r="J1212" s="5">
        <v>43970.333333333336</v>
      </c>
    </row>
    <row r="1213" spans="1:10" x14ac:dyDescent="0.2">
      <c r="A1213">
        <v>7118451</v>
      </c>
      <c r="B1213">
        <v>3693154</v>
      </c>
      <c r="C1213">
        <v>3693153</v>
      </c>
      <c r="D1213">
        <v>21883</v>
      </c>
      <c r="E1213">
        <v>21883</v>
      </c>
      <c r="F1213" t="s">
        <v>441</v>
      </c>
      <c r="G1213">
        <v>0</v>
      </c>
      <c r="I1213" s="5">
        <v>44044</v>
      </c>
      <c r="J1213" s="5">
        <v>43970.333333333336</v>
      </c>
    </row>
    <row r="1214" spans="1:10" x14ac:dyDescent="0.2">
      <c r="A1214">
        <v>7118452</v>
      </c>
      <c r="B1214">
        <v>3692928</v>
      </c>
      <c r="C1214">
        <v>3693154</v>
      </c>
      <c r="D1214">
        <v>21883</v>
      </c>
      <c r="E1214">
        <v>21883</v>
      </c>
      <c r="F1214" t="s">
        <v>441</v>
      </c>
      <c r="G1214">
        <v>0</v>
      </c>
      <c r="I1214" s="5">
        <v>44044</v>
      </c>
      <c r="J1214" s="5">
        <v>43970.333333333336</v>
      </c>
    </row>
    <row r="1215" spans="1:10" x14ac:dyDescent="0.2">
      <c r="A1215">
        <v>7118453</v>
      </c>
      <c r="B1215">
        <v>3692930</v>
      </c>
      <c r="C1215">
        <v>3693152</v>
      </c>
      <c r="D1215">
        <v>21883</v>
      </c>
      <c r="E1215">
        <v>21883</v>
      </c>
      <c r="F1215" t="s">
        <v>441</v>
      </c>
      <c r="G1215">
        <v>0</v>
      </c>
      <c r="I1215" s="5">
        <v>44044</v>
      </c>
      <c r="J1215" s="5">
        <v>43970.333333333336</v>
      </c>
    </row>
    <row r="1216" spans="1:10" x14ac:dyDescent="0.2">
      <c r="A1216">
        <v>7118454</v>
      </c>
      <c r="B1216">
        <v>3693156</v>
      </c>
      <c r="C1216">
        <v>3693155</v>
      </c>
      <c r="D1216">
        <v>21883</v>
      </c>
      <c r="E1216">
        <v>21883</v>
      </c>
      <c r="F1216" t="s">
        <v>441</v>
      </c>
      <c r="G1216">
        <v>0</v>
      </c>
      <c r="I1216" s="5">
        <v>44044</v>
      </c>
      <c r="J1216" s="5">
        <v>43970.333333333336</v>
      </c>
    </row>
    <row r="1217" spans="1:10" x14ac:dyDescent="0.2">
      <c r="A1217">
        <v>7118455</v>
      </c>
      <c r="B1217">
        <v>3692925</v>
      </c>
      <c r="C1217">
        <v>3693156</v>
      </c>
      <c r="D1217">
        <v>21883</v>
      </c>
      <c r="E1217">
        <v>21883</v>
      </c>
      <c r="F1217" t="s">
        <v>441</v>
      </c>
      <c r="G1217">
        <v>0</v>
      </c>
      <c r="I1217" s="5">
        <v>44044</v>
      </c>
      <c r="J1217" s="5">
        <v>43970.333333333336</v>
      </c>
    </row>
    <row r="1218" spans="1:10" x14ac:dyDescent="0.2">
      <c r="A1218">
        <v>7118456</v>
      </c>
      <c r="B1218">
        <v>3692923</v>
      </c>
      <c r="C1218">
        <v>3693158</v>
      </c>
      <c r="D1218">
        <v>21883</v>
      </c>
      <c r="E1218">
        <v>21883</v>
      </c>
      <c r="F1218" t="s">
        <v>441</v>
      </c>
      <c r="G1218">
        <v>0</v>
      </c>
      <c r="I1218" s="5">
        <v>44044</v>
      </c>
      <c r="J1218" s="5">
        <v>43970.333333333336</v>
      </c>
    </row>
    <row r="1219" spans="1:10" x14ac:dyDescent="0.2">
      <c r="A1219">
        <v>7118457</v>
      </c>
      <c r="B1219">
        <v>3693155</v>
      </c>
      <c r="C1219">
        <v>3692922</v>
      </c>
      <c r="D1219">
        <v>21883</v>
      </c>
      <c r="E1219">
        <v>21883</v>
      </c>
      <c r="F1219" t="s">
        <v>440</v>
      </c>
      <c r="G1219">
        <v>0</v>
      </c>
      <c r="I1219" s="5">
        <v>44044</v>
      </c>
      <c r="J1219" s="5">
        <v>43970.333333333336</v>
      </c>
    </row>
    <row r="1220" spans="1:10" x14ac:dyDescent="0.2">
      <c r="A1220">
        <v>7118458</v>
      </c>
      <c r="B1220">
        <v>3692993</v>
      </c>
      <c r="C1220">
        <v>3693071</v>
      </c>
      <c r="D1220">
        <v>21883</v>
      </c>
      <c r="E1220">
        <v>21883</v>
      </c>
      <c r="F1220" t="s">
        <v>441</v>
      </c>
      <c r="G1220">
        <v>0</v>
      </c>
      <c r="I1220" s="5">
        <v>44044</v>
      </c>
      <c r="J1220" s="5">
        <v>43970.333333333336</v>
      </c>
    </row>
    <row r="1221" spans="1:10" x14ac:dyDescent="0.2">
      <c r="A1221">
        <v>7118459</v>
      </c>
      <c r="B1221">
        <v>3693116</v>
      </c>
      <c r="C1221">
        <v>3693085</v>
      </c>
      <c r="D1221">
        <v>21883</v>
      </c>
      <c r="E1221">
        <v>21883</v>
      </c>
      <c r="F1221" t="s">
        <v>441</v>
      </c>
      <c r="G1221">
        <v>0</v>
      </c>
      <c r="I1221" s="5">
        <v>44044</v>
      </c>
      <c r="J1221" s="5">
        <v>44273.666666666664</v>
      </c>
    </row>
    <row r="1222" spans="1:10" x14ac:dyDescent="0.2">
      <c r="A1222">
        <v>7118460</v>
      </c>
      <c r="B1222">
        <v>3693160</v>
      </c>
      <c r="C1222">
        <v>3693159</v>
      </c>
      <c r="D1222">
        <v>21883</v>
      </c>
      <c r="E1222">
        <v>21883</v>
      </c>
      <c r="F1222" t="s">
        <v>441</v>
      </c>
      <c r="G1222">
        <v>0</v>
      </c>
      <c r="I1222" s="5">
        <v>44044</v>
      </c>
      <c r="J1222" s="5">
        <v>43970.333333333336</v>
      </c>
    </row>
    <row r="1223" spans="1:10" x14ac:dyDescent="0.2">
      <c r="A1223">
        <v>7118461</v>
      </c>
      <c r="B1223">
        <v>3693161</v>
      </c>
      <c r="C1223">
        <v>3693160</v>
      </c>
      <c r="D1223">
        <v>21883</v>
      </c>
      <c r="E1223">
        <v>21883</v>
      </c>
      <c r="F1223" t="s">
        <v>441</v>
      </c>
      <c r="G1223">
        <v>0</v>
      </c>
      <c r="I1223" s="5">
        <v>44044</v>
      </c>
      <c r="J1223" s="5">
        <v>43970.333333333336</v>
      </c>
    </row>
    <row r="1224" spans="1:10" x14ac:dyDescent="0.2">
      <c r="A1224">
        <v>7118462</v>
      </c>
      <c r="B1224">
        <v>3693163</v>
      </c>
      <c r="C1224">
        <v>3693162</v>
      </c>
      <c r="D1224">
        <v>21883</v>
      </c>
      <c r="E1224">
        <v>21883</v>
      </c>
      <c r="F1224" t="s">
        <v>441</v>
      </c>
      <c r="G1224">
        <v>0</v>
      </c>
      <c r="I1224" s="5">
        <v>44044</v>
      </c>
      <c r="J1224" s="5">
        <v>43970.333333333336</v>
      </c>
    </row>
    <row r="1225" spans="1:10" x14ac:dyDescent="0.2">
      <c r="A1225">
        <v>7118463</v>
      </c>
      <c r="B1225">
        <v>3693164</v>
      </c>
      <c r="C1225">
        <v>3693163</v>
      </c>
      <c r="D1225">
        <v>21883</v>
      </c>
      <c r="E1225">
        <v>21883</v>
      </c>
      <c r="F1225" t="s">
        <v>441</v>
      </c>
      <c r="G1225">
        <v>0</v>
      </c>
      <c r="I1225" s="5">
        <v>44044</v>
      </c>
      <c r="J1225" s="5">
        <v>43970.333333333336</v>
      </c>
    </row>
    <row r="1226" spans="1:10" x14ac:dyDescent="0.2">
      <c r="A1226">
        <v>7118464</v>
      </c>
      <c r="B1226">
        <v>3693162</v>
      </c>
      <c r="C1226">
        <v>3693161</v>
      </c>
      <c r="D1226">
        <v>21883</v>
      </c>
      <c r="E1226">
        <v>21883</v>
      </c>
      <c r="F1226" t="s">
        <v>441</v>
      </c>
      <c r="G1226">
        <v>0</v>
      </c>
      <c r="I1226" s="5">
        <v>44044</v>
      </c>
      <c r="J1226" s="5">
        <v>43970.333333333336</v>
      </c>
    </row>
    <row r="1227" spans="1:10" x14ac:dyDescent="0.2">
      <c r="A1227">
        <v>7118465</v>
      </c>
      <c r="B1227">
        <v>3693159</v>
      </c>
      <c r="C1227">
        <v>3693130</v>
      </c>
      <c r="D1227">
        <v>21883</v>
      </c>
      <c r="E1227">
        <v>21883</v>
      </c>
      <c r="F1227" t="s">
        <v>441</v>
      </c>
      <c r="G1227">
        <v>0</v>
      </c>
      <c r="I1227" s="5">
        <v>44044</v>
      </c>
      <c r="J1227" s="5">
        <v>43970.333333333336</v>
      </c>
    </row>
    <row r="1228" spans="1:10" x14ac:dyDescent="0.2">
      <c r="A1228">
        <v>7118466</v>
      </c>
      <c r="B1228">
        <v>3693165</v>
      </c>
      <c r="C1228">
        <v>3693160</v>
      </c>
      <c r="D1228">
        <v>21883</v>
      </c>
      <c r="E1228">
        <v>21883</v>
      </c>
      <c r="F1228" t="s">
        <v>441</v>
      </c>
      <c r="G1228">
        <v>0</v>
      </c>
      <c r="I1228" s="5">
        <v>44044</v>
      </c>
      <c r="J1228" s="5">
        <v>43970.333333333336</v>
      </c>
    </row>
    <row r="1229" spans="1:10" x14ac:dyDescent="0.2">
      <c r="A1229">
        <v>7118467</v>
      </c>
      <c r="B1229">
        <v>3693161</v>
      </c>
      <c r="C1229">
        <v>3693165</v>
      </c>
      <c r="D1229">
        <v>21883</v>
      </c>
      <c r="E1229">
        <v>21883</v>
      </c>
      <c r="F1229" t="s">
        <v>441</v>
      </c>
      <c r="G1229">
        <v>0</v>
      </c>
      <c r="I1229" s="5">
        <v>44044</v>
      </c>
      <c r="J1229" s="5">
        <v>43970.333333333336</v>
      </c>
    </row>
    <row r="1230" spans="1:10" x14ac:dyDescent="0.2">
      <c r="A1230">
        <v>7118468</v>
      </c>
      <c r="B1230">
        <v>3693166</v>
      </c>
      <c r="C1230">
        <v>3693162</v>
      </c>
      <c r="D1230">
        <v>21883</v>
      </c>
      <c r="E1230">
        <v>21883</v>
      </c>
      <c r="F1230" t="s">
        <v>441</v>
      </c>
      <c r="G1230">
        <v>0</v>
      </c>
      <c r="I1230" s="5">
        <v>44044</v>
      </c>
      <c r="J1230" s="5">
        <v>43970.333333333336</v>
      </c>
    </row>
    <row r="1231" spans="1:10" x14ac:dyDescent="0.2">
      <c r="A1231">
        <v>7118469</v>
      </c>
      <c r="B1231">
        <v>3693163</v>
      </c>
      <c r="C1231">
        <v>3693166</v>
      </c>
      <c r="D1231">
        <v>21883</v>
      </c>
      <c r="E1231">
        <v>21883</v>
      </c>
      <c r="F1231" t="s">
        <v>441</v>
      </c>
      <c r="G1231">
        <v>0</v>
      </c>
      <c r="I1231" s="5">
        <v>44044</v>
      </c>
      <c r="J1231" s="5">
        <v>43970.333333333336</v>
      </c>
    </row>
    <row r="1232" spans="1:10" x14ac:dyDescent="0.2">
      <c r="A1232">
        <v>7118470</v>
      </c>
      <c r="B1232">
        <v>3693167</v>
      </c>
      <c r="C1232">
        <v>3693164</v>
      </c>
      <c r="D1232">
        <v>21883</v>
      </c>
      <c r="E1232">
        <v>21883</v>
      </c>
      <c r="F1232" t="s">
        <v>441</v>
      </c>
      <c r="G1232">
        <v>0</v>
      </c>
      <c r="I1232" s="5">
        <v>44044</v>
      </c>
      <c r="J1232" s="5">
        <v>43970.333333333336</v>
      </c>
    </row>
    <row r="1233" spans="1:10" x14ac:dyDescent="0.2">
      <c r="A1233">
        <v>7118471</v>
      </c>
      <c r="B1233">
        <v>3693168</v>
      </c>
      <c r="C1233">
        <v>3693169</v>
      </c>
      <c r="D1233">
        <v>21883</v>
      </c>
      <c r="E1233">
        <v>21883</v>
      </c>
      <c r="F1233" t="s">
        <v>442</v>
      </c>
      <c r="G1233">
        <v>16</v>
      </c>
      <c r="I1233" s="5">
        <v>44044</v>
      </c>
      <c r="J1233" s="5">
        <v>43970.333333333336</v>
      </c>
    </row>
    <row r="1234" spans="1:10" x14ac:dyDescent="0.2">
      <c r="A1234">
        <v>7118472</v>
      </c>
      <c r="B1234">
        <v>3693170</v>
      </c>
      <c r="C1234">
        <v>3693168</v>
      </c>
      <c r="D1234">
        <v>21883</v>
      </c>
      <c r="E1234">
        <v>21883</v>
      </c>
      <c r="F1234" t="s">
        <v>440</v>
      </c>
      <c r="G1234">
        <v>0</v>
      </c>
      <c r="I1234" s="5">
        <v>44044</v>
      </c>
      <c r="J1234" s="5">
        <v>43970.333333333336</v>
      </c>
    </row>
    <row r="1235" spans="1:10" x14ac:dyDescent="0.2">
      <c r="A1235">
        <v>7118473</v>
      </c>
      <c r="B1235">
        <v>3693171</v>
      </c>
      <c r="C1235">
        <v>3693172</v>
      </c>
      <c r="D1235">
        <v>21883</v>
      </c>
      <c r="E1235">
        <v>21883</v>
      </c>
      <c r="F1235" t="s">
        <v>442</v>
      </c>
      <c r="G1235">
        <v>8</v>
      </c>
      <c r="I1235" s="5">
        <v>44044</v>
      </c>
      <c r="J1235" s="5">
        <v>43983.333333333336</v>
      </c>
    </row>
    <row r="1236" spans="1:10" x14ac:dyDescent="0.2">
      <c r="A1236">
        <v>7118474</v>
      </c>
      <c r="B1236">
        <v>3693173</v>
      </c>
      <c r="C1236">
        <v>3693171</v>
      </c>
      <c r="D1236">
        <v>21883</v>
      </c>
      <c r="E1236">
        <v>21883</v>
      </c>
      <c r="F1236" t="s">
        <v>440</v>
      </c>
      <c r="G1236">
        <v>0</v>
      </c>
      <c r="I1236" s="5">
        <v>44044</v>
      </c>
      <c r="J1236" s="5">
        <v>43983.333333333336</v>
      </c>
    </row>
    <row r="1237" spans="1:10" x14ac:dyDescent="0.2">
      <c r="A1237">
        <v>7118475</v>
      </c>
      <c r="B1237">
        <v>3693174</v>
      </c>
      <c r="C1237">
        <v>3693175</v>
      </c>
      <c r="D1237">
        <v>21883</v>
      </c>
      <c r="E1237">
        <v>21883</v>
      </c>
      <c r="F1237" t="s">
        <v>442</v>
      </c>
      <c r="G1237">
        <v>0</v>
      </c>
      <c r="I1237" s="5">
        <v>44044</v>
      </c>
      <c r="J1237" s="5">
        <v>43970.333333333336</v>
      </c>
    </row>
    <row r="1238" spans="1:10" x14ac:dyDescent="0.2">
      <c r="A1238">
        <v>7118476</v>
      </c>
      <c r="B1238">
        <v>3693176</v>
      </c>
      <c r="C1238">
        <v>3693174</v>
      </c>
      <c r="D1238">
        <v>21883</v>
      </c>
      <c r="E1238">
        <v>21883</v>
      </c>
      <c r="F1238" t="s">
        <v>440</v>
      </c>
      <c r="G1238">
        <v>0</v>
      </c>
      <c r="I1238" s="5">
        <v>44044</v>
      </c>
      <c r="J1238" s="5">
        <v>43970.333333333336</v>
      </c>
    </row>
    <row r="1239" spans="1:10" x14ac:dyDescent="0.2">
      <c r="A1239">
        <v>7118477</v>
      </c>
      <c r="B1239">
        <v>3693190</v>
      </c>
      <c r="C1239">
        <v>3693189</v>
      </c>
      <c r="D1239">
        <v>21883</v>
      </c>
      <c r="E1239">
        <v>21883</v>
      </c>
      <c r="F1239" t="s">
        <v>442</v>
      </c>
      <c r="G1239">
        <v>80</v>
      </c>
      <c r="I1239" s="5">
        <v>44044</v>
      </c>
      <c r="J1239" s="5">
        <v>43970.333333333336</v>
      </c>
    </row>
    <row r="1240" spans="1:10" x14ac:dyDescent="0.2">
      <c r="A1240">
        <v>7118478</v>
      </c>
      <c r="B1240">
        <v>3693191</v>
      </c>
      <c r="C1240">
        <v>3693190</v>
      </c>
      <c r="D1240">
        <v>21883</v>
      </c>
      <c r="E1240">
        <v>21883</v>
      </c>
      <c r="F1240" t="s">
        <v>441</v>
      </c>
      <c r="G1240">
        <v>0</v>
      </c>
      <c r="I1240" s="5">
        <v>44044</v>
      </c>
      <c r="J1240" s="5">
        <v>43970.333333333336</v>
      </c>
    </row>
    <row r="1241" spans="1:10" x14ac:dyDescent="0.2">
      <c r="A1241">
        <v>7118479</v>
      </c>
      <c r="B1241">
        <v>3693192</v>
      </c>
      <c r="C1241">
        <v>3693191</v>
      </c>
      <c r="D1241">
        <v>21883</v>
      </c>
      <c r="E1241">
        <v>21883</v>
      </c>
      <c r="F1241" t="s">
        <v>441</v>
      </c>
      <c r="G1241">
        <v>0</v>
      </c>
      <c r="I1241" s="5">
        <v>44044</v>
      </c>
      <c r="J1241" s="5">
        <v>43970.333333333336</v>
      </c>
    </row>
    <row r="1242" spans="1:10" x14ac:dyDescent="0.2">
      <c r="A1242">
        <v>7118480</v>
      </c>
      <c r="B1242">
        <v>3693193</v>
      </c>
      <c r="C1242">
        <v>3693192</v>
      </c>
      <c r="D1242">
        <v>21883</v>
      </c>
      <c r="E1242">
        <v>21883</v>
      </c>
      <c r="F1242" t="s">
        <v>441</v>
      </c>
      <c r="G1242">
        <v>0</v>
      </c>
      <c r="I1242" s="5">
        <v>44044</v>
      </c>
      <c r="J1242" s="5">
        <v>43970.333333333336</v>
      </c>
    </row>
    <row r="1243" spans="1:10" x14ac:dyDescent="0.2">
      <c r="A1243">
        <v>7118481</v>
      </c>
      <c r="B1243">
        <v>3693195</v>
      </c>
      <c r="C1243">
        <v>3693194</v>
      </c>
      <c r="D1243">
        <v>21883</v>
      </c>
      <c r="E1243">
        <v>21883</v>
      </c>
      <c r="F1243" t="s">
        <v>441</v>
      </c>
      <c r="G1243">
        <v>0</v>
      </c>
      <c r="I1243" s="5">
        <v>44044</v>
      </c>
      <c r="J1243" s="5">
        <v>43970.333333333336</v>
      </c>
    </row>
    <row r="1244" spans="1:10" x14ac:dyDescent="0.2">
      <c r="A1244">
        <v>7118482</v>
      </c>
      <c r="B1244">
        <v>3693197</v>
      </c>
      <c r="C1244">
        <v>3693196</v>
      </c>
      <c r="D1244">
        <v>21883</v>
      </c>
      <c r="E1244">
        <v>21883</v>
      </c>
      <c r="F1244" t="s">
        <v>441</v>
      </c>
      <c r="G1244">
        <v>0</v>
      </c>
      <c r="I1244" s="5">
        <v>44044</v>
      </c>
      <c r="J1244" s="5">
        <v>43970.333333333336</v>
      </c>
    </row>
    <row r="1245" spans="1:10" x14ac:dyDescent="0.2">
      <c r="A1245">
        <v>7118483</v>
      </c>
      <c r="B1245">
        <v>3693198</v>
      </c>
      <c r="C1245">
        <v>3693197</v>
      </c>
      <c r="D1245">
        <v>21883</v>
      </c>
      <c r="E1245">
        <v>21883</v>
      </c>
      <c r="F1245" t="s">
        <v>441</v>
      </c>
      <c r="G1245">
        <v>0</v>
      </c>
      <c r="I1245" s="5">
        <v>44044</v>
      </c>
      <c r="J1245" s="5">
        <v>43970.333333333336</v>
      </c>
    </row>
    <row r="1246" spans="1:10" x14ac:dyDescent="0.2">
      <c r="A1246">
        <v>7118484</v>
      </c>
      <c r="B1246">
        <v>3693199</v>
      </c>
      <c r="C1246">
        <v>3693198</v>
      </c>
      <c r="D1246">
        <v>21883</v>
      </c>
      <c r="E1246">
        <v>21883</v>
      </c>
      <c r="F1246" t="s">
        <v>441</v>
      </c>
      <c r="G1246">
        <v>0</v>
      </c>
      <c r="I1246" s="5">
        <v>44044</v>
      </c>
      <c r="J1246" s="5">
        <v>43970.333333333336</v>
      </c>
    </row>
    <row r="1247" spans="1:10" x14ac:dyDescent="0.2">
      <c r="A1247">
        <v>7118485</v>
      </c>
      <c r="B1247">
        <v>3693200</v>
      </c>
      <c r="C1247">
        <v>3693199</v>
      </c>
      <c r="D1247">
        <v>21883</v>
      </c>
      <c r="E1247">
        <v>21883</v>
      </c>
      <c r="F1247" t="s">
        <v>441</v>
      </c>
      <c r="G1247">
        <v>0</v>
      </c>
      <c r="I1247" s="5">
        <v>44044</v>
      </c>
      <c r="J1247" s="5">
        <v>43970.333333333336</v>
      </c>
    </row>
    <row r="1248" spans="1:10" x14ac:dyDescent="0.2">
      <c r="A1248">
        <v>7118486</v>
      </c>
      <c r="B1248">
        <v>3693201</v>
      </c>
      <c r="C1248">
        <v>3693200</v>
      </c>
      <c r="D1248">
        <v>21883</v>
      </c>
      <c r="E1248">
        <v>21883</v>
      </c>
      <c r="F1248" t="s">
        <v>441</v>
      </c>
      <c r="G1248">
        <v>0</v>
      </c>
      <c r="I1248" s="5">
        <v>44044</v>
      </c>
      <c r="J1248" s="5">
        <v>43970.333333333336</v>
      </c>
    </row>
    <row r="1249" spans="1:10" x14ac:dyDescent="0.2">
      <c r="A1249">
        <v>7118487</v>
      </c>
      <c r="B1249">
        <v>3693203</v>
      </c>
      <c r="C1249">
        <v>3693202</v>
      </c>
      <c r="D1249">
        <v>21883</v>
      </c>
      <c r="E1249">
        <v>21883</v>
      </c>
      <c r="F1249" t="s">
        <v>442</v>
      </c>
      <c r="G1249">
        <v>104</v>
      </c>
      <c r="I1249" s="5">
        <v>44044</v>
      </c>
      <c r="J1249" s="5">
        <v>43986.333333333336</v>
      </c>
    </row>
    <row r="1250" spans="1:10" x14ac:dyDescent="0.2">
      <c r="A1250">
        <v>7118488</v>
      </c>
      <c r="B1250">
        <v>3693209</v>
      </c>
      <c r="C1250">
        <v>3693208</v>
      </c>
      <c r="D1250">
        <v>21883</v>
      </c>
      <c r="E1250">
        <v>21883</v>
      </c>
      <c r="F1250" t="s">
        <v>441</v>
      </c>
      <c r="G1250">
        <v>0</v>
      </c>
      <c r="I1250" s="5">
        <v>44044</v>
      </c>
      <c r="J1250" s="5">
        <v>44008.666666666664</v>
      </c>
    </row>
    <row r="1251" spans="1:10" x14ac:dyDescent="0.2">
      <c r="A1251">
        <v>7118489</v>
      </c>
      <c r="B1251">
        <v>3693186</v>
      </c>
      <c r="C1251">
        <v>3693170</v>
      </c>
      <c r="D1251">
        <v>21883</v>
      </c>
      <c r="E1251">
        <v>21883</v>
      </c>
      <c r="F1251" t="s">
        <v>442</v>
      </c>
      <c r="G1251">
        <v>16</v>
      </c>
      <c r="I1251" s="5">
        <v>44044</v>
      </c>
      <c r="J1251" s="5">
        <v>43970.333333333336</v>
      </c>
    </row>
    <row r="1252" spans="1:10" x14ac:dyDescent="0.2">
      <c r="A1252">
        <v>7118490</v>
      </c>
      <c r="B1252">
        <v>3693189</v>
      </c>
      <c r="C1252">
        <v>3693188</v>
      </c>
      <c r="D1252">
        <v>21883</v>
      </c>
      <c r="E1252">
        <v>21883</v>
      </c>
      <c r="F1252" t="s">
        <v>440</v>
      </c>
      <c r="G1252">
        <v>0</v>
      </c>
      <c r="I1252" s="5">
        <v>44044</v>
      </c>
      <c r="J1252" s="5">
        <v>43970.333333333336</v>
      </c>
    </row>
    <row r="1253" spans="1:10" x14ac:dyDescent="0.2">
      <c r="A1253">
        <v>7118491</v>
      </c>
      <c r="B1253">
        <v>3693210</v>
      </c>
      <c r="C1253">
        <v>3693087</v>
      </c>
      <c r="D1253">
        <v>21883</v>
      </c>
      <c r="E1253">
        <v>21883</v>
      </c>
      <c r="F1253" t="s">
        <v>441</v>
      </c>
      <c r="G1253">
        <v>0</v>
      </c>
      <c r="I1253" s="5">
        <v>44044</v>
      </c>
      <c r="J1253" s="5">
        <v>43970.333333333336</v>
      </c>
    </row>
    <row r="1254" spans="1:10" x14ac:dyDescent="0.2">
      <c r="A1254">
        <v>7118492</v>
      </c>
      <c r="B1254">
        <v>3693211</v>
      </c>
      <c r="C1254">
        <v>3693087</v>
      </c>
      <c r="D1254">
        <v>21883</v>
      </c>
      <c r="E1254">
        <v>21883</v>
      </c>
      <c r="F1254" t="s">
        <v>441</v>
      </c>
      <c r="G1254">
        <v>0</v>
      </c>
      <c r="I1254" s="5">
        <v>44044</v>
      </c>
      <c r="J1254" s="5">
        <v>43970.333333333336</v>
      </c>
    </row>
    <row r="1255" spans="1:10" x14ac:dyDescent="0.2">
      <c r="A1255">
        <v>7118493</v>
      </c>
      <c r="B1255">
        <v>3693212</v>
      </c>
      <c r="C1255">
        <v>3693087</v>
      </c>
      <c r="D1255">
        <v>21883</v>
      </c>
      <c r="E1255">
        <v>21883</v>
      </c>
      <c r="F1255" t="s">
        <v>441</v>
      </c>
      <c r="G1255">
        <v>0</v>
      </c>
      <c r="I1255" s="5">
        <v>44044</v>
      </c>
      <c r="J1255" s="5">
        <v>43970.333333333336</v>
      </c>
    </row>
    <row r="1256" spans="1:10" x14ac:dyDescent="0.2">
      <c r="A1256">
        <v>7118494</v>
      </c>
      <c r="B1256">
        <v>3693213</v>
      </c>
      <c r="C1256">
        <v>3693087</v>
      </c>
      <c r="D1256">
        <v>21883</v>
      </c>
      <c r="E1256">
        <v>21883</v>
      </c>
      <c r="F1256" t="s">
        <v>441</v>
      </c>
      <c r="G1256">
        <v>0</v>
      </c>
      <c r="I1256" s="5">
        <v>44044</v>
      </c>
      <c r="J1256" s="5">
        <v>43970.333333333336</v>
      </c>
    </row>
    <row r="1257" spans="1:10" x14ac:dyDescent="0.2">
      <c r="A1257">
        <v>7118495</v>
      </c>
      <c r="B1257">
        <v>3693214</v>
      </c>
      <c r="C1257">
        <v>3693087</v>
      </c>
      <c r="D1257">
        <v>21883</v>
      </c>
      <c r="E1257">
        <v>21883</v>
      </c>
      <c r="F1257" t="s">
        <v>441</v>
      </c>
      <c r="G1257">
        <v>0</v>
      </c>
      <c r="I1257" s="5">
        <v>44044</v>
      </c>
      <c r="J1257" s="5">
        <v>43970.333333333336</v>
      </c>
    </row>
    <row r="1258" spans="1:10" x14ac:dyDescent="0.2">
      <c r="A1258">
        <v>7118496</v>
      </c>
      <c r="B1258">
        <v>3692937</v>
      </c>
      <c r="C1258">
        <v>3693211</v>
      </c>
      <c r="D1258">
        <v>21883</v>
      </c>
      <c r="E1258">
        <v>21883</v>
      </c>
      <c r="F1258" t="s">
        <v>441</v>
      </c>
      <c r="G1258">
        <v>0</v>
      </c>
      <c r="I1258" s="5">
        <v>44044</v>
      </c>
      <c r="J1258" s="5">
        <v>43970.333333333336</v>
      </c>
    </row>
    <row r="1259" spans="1:10" x14ac:dyDescent="0.2">
      <c r="A1259">
        <v>7118497</v>
      </c>
      <c r="B1259">
        <v>3692905</v>
      </c>
      <c r="C1259">
        <v>3693211</v>
      </c>
      <c r="D1259">
        <v>21883</v>
      </c>
      <c r="E1259">
        <v>21883</v>
      </c>
      <c r="F1259" t="s">
        <v>441</v>
      </c>
      <c r="G1259">
        <v>0</v>
      </c>
      <c r="I1259" s="5">
        <v>44044</v>
      </c>
      <c r="J1259" s="5">
        <v>43970.333333333336</v>
      </c>
    </row>
    <row r="1260" spans="1:10" x14ac:dyDescent="0.2">
      <c r="A1260">
        <v>7118498</v>
      </c>
      <c r="B1260">
        <v>3692941</v>
      </c>
      <c r="C1260">
        <v>3693213</v>
      </c>
      <c r="D1260">
        <v>21883</v>
      </c>
      <c r="E1260">
        <v>21883</v>
      </c>
      <c r="F1260" t="s">
        <v>441</v>
      </c>
      <c r="G1260">
        <v>0</v>
      </c>
      <c r="I1260" s="5">
        <v>44044</v>
      </c>
      <c r="J1260" s="5">
        <v>43970.333333333336</v>
      </c>
    </row>
    <row r="1261" spans="1:10" x14ac:dyDescent="0.2">
      <c r="A1261">
        <v>7118499</v>
      </c>
      <c r="B1261">
        <v>3693131</v>
      </c>
      <c r="C1261">
        <v>3693214</v>
      </c>
      <c r="D1261">
        <v>21883</v>
      </c>
      <c r="E1261">
        <v>21883</v>
      </c>
      <c r="F1261" t="s">
        <v>441</v>
      </c>
      <c r="G1261">
        <v>0</v>
      </c>
      <c r="I1261" s="5">
        <v>44044</v>
      </c>
      <c r="J1261" s="5">
        <v>43970.333333333336</v>
      </c>
    </row>
    <row r="1262" spans="1:10" x14ac:dyDescent="0.2">
      <c r="A1262">
        <v>7118500</v>
      </c>
      <c r="B1262">
        <v>3693175</v>
      </c>
      <c r="C1262">
        <v>3693169</v>
      </c>
      <c r="D1262">
        <v>21883</v>
      </c>
      <c r="E1262">
        <v>21883</v>
      </c>
      <c r="F1262" t="s">
        <v>442</v>
      </c>
      <c r="G1262">
        <v>0</v>
      </c>
      <c r="I1262" s="5">
        <v>44044</v>
      </c>
      <c r="J1262" s="5">
        <v>43970.333333333336</v>
      </c>
    </row>
    <row r="1263" spans="1:10" x14ac:dyDescent="0.2">
      <c r="A1263">
        <v>7118501</v>
      </c>
      <c r="B1263">
        <v>3693172</v>
      </c>
      <c r="C1263">
        <v>3693175</v>
      </c>
      <c r="D1263">
        <v>21883</v>
      </c>
      <c r="E1263">
        <v>21883</v>
      </c>
      <c r="F1263" t="s">
        <v>441</v>
      </c>
      <c r="G1263">
        <v>0</v>
      </c>
      <c r="I1263" s="5">
        <v>44044</v>
      </c>
      <c r="J1263" s="5">
        <v>43983.333333333336</v>
      </c>
    </row>
    <row r="1264" spans="1:10" x14ac:dyDescent="0.2">
      <c r="A1264">
        <v>7118502</v>
      </c>
      <c r="B1264">
        <v>3693171</v>
      </c>
      <c r="C1264">
        <v>3693174</v>
      </c>
      <c r="D1264">
        <v>21883</v>
      </c>
      <c r="E1264">
        <v>21883</v>
      </c>
      <c r="F1264" t="s">
        <v>441</v>
      </c>
      <c r="G1264">
        <v>0</v>
      </c>
      <c r="I1264" s="5">
        <v>44044</v>
      </c>
      <c r="J1264" s="5">
        <v>43983.333333333336</v>
      </c>
    </row>
    <row r="1265" spans="1:10" x14ac:dyDescent="0.2">
      <c r="A1265">
        <v>7118503</v>
      </c>
      <c r="B1265">
        <v>3693001</v>
      </c>
      <c r="C1265">
        <v>3693193</v>
      </c>
      <c r="D1265">
        <v>21883</v>
      </c>
      <c r="E1265">
        <v>21883</v>
      </c>
      <c r="F1265" t="s">
        <v>441</v>
      </c>
      <c r="G1265">
        <v>0</v>
      </c>
      <c r="I1265" s="5">
        <v>44044</v>
      </c>
      <c r="J1265" s="5">
        <v>43970.333333333336</v>
      </c>
    </row>
    <row r="1266" spans="1:10" x14ac:dyDescent="0.2">
      <c r="A1266">
        <v>7118504</v>
      </c>
      <c r="B1266">
        <v>3693001</v>
      </c>
      <c r="C1266">
        <v>3693201</v>
      </c>
      <c r="D1266">
        <v>21883</v>
      </c>
      <c r="E1266">
        <v>21883</v>
      </c>
      <c r="F1266" t="s">
        <v>441</v>
      </c>
      <c r="G1266">
        <v>0</v>
      </c>
      <c r="I1266" s="5">
        <v>44044</v>
      </c>
      <c r="J1266" s="5">
        <v>43970.333333333336</v>
      </c>
    </row>
    <row r="1267" spans="1:10" x14ac:dyDescent="0.2">
      <c r="A1267">
        <v>7118505</v>
      </c>
      <c r="B1267">
        <v>3693223</v>
      </c>
      <c r="C1267">
        <v>3693222</v>
      </c>
      <c r="D1267">
        <v>21883</v>
      </c>
      <c r="E1267">
        <v>21883</v>
      </c>
      <c r="F1267" t="s">
        <v>441</v>
      </c>
      <c r="G1267">
        <v>0</v>
      </c>
      <c r="I1267" s="5">
        <v>44071.666666666664</v>
      </c>
      <c r="J1267" s="5">
        <v>44021.333333333336</v>
      </c>
    </row>
    <row r="1268" spans="1:10" x14ac:dyDescent="0.2">
      <c r="A1268">
        <v>7118506</v>
      </c>
      <c r="B1268">
        <v>3693239</v>
      </c>
      <c r="C1268">
        <v>3693238</v>
      </c>
      <c r="D1268">
        <v>21883</v>
      </c>
      <c r="E1268">
        <v>21883</v>
      </c>
      <c r="F1268" t="s">
        <v>441</v>
      </c>
      <c r="G1268">
        <v>0</v>
      </c>
      <c r="I1268" s="5">
        <v>44139.666666666664</v>
      </c>
      <c r="J1268" s="5">
        <v>44111.333333333336</v>
      </c>
    </row>
    <row r="1269" spans="1:10" x14ac:dyDescent="0.2">
      <c r="A1269">
        <v>7118507</v>
      </c>
      <c r="B1269">
        <v>3693192</v>
      </c>
      <c r="C1269">
        <v>3693240</v>
      </c>
      <c r="D1269">
        <v>21883</v>
      </c>
      <c r="E1269">
        <v>21883</v>
      </c>
      <c r="F1269" t="s">
        <v>441</v>
      </c>
      <c r="G1269">
        <v>0</v>
      </c>
      <c r="I1269" s="5">
        <v>44044</v>
      </c>
      <c r="J1269" s="5">
        <v>43970.333333333336</v>
      </c>
    </row>
    <row r="1270" spans="1:10" x14ac:dyDescent="0.2">
      <c r="A1270">
        <v>7118508</v>
      </c>
      <c r="B1270">
        <v>3693194</v>
      </c>
      <c r="C1270">
        <v>3693176</v>
      </c>
      <c r="D1270">
        <v>21883</v>
      </c>
      <c r="E1270">
        <v>21883</v>
      </c>
      <c r="F1270" t="s">
        <v>441</v>
      </c>
      <c r="G1270">
        <v>64</v>
      </c>
      <c r="I1270" s="5">
        <v>44044</v>
      </c>
      <c r="J1270" s="5">
        <v>43970.333333333336</v>
      </c>
    </row>
    <row r="1271" spans="1:10" x14ac:dyDescent="0.2">
      <c r="A1271">
        <v>7118509</v>
      </c>
      <c r="B1271">
        <v>3693200</v>
      </c>
      <c r="C1271">
        <v>3693242</v>
      </c>
      <c r="D1271">
        <v>21883</v>
      </c>
      <c r="E1271">
        <v>21883</v>
      </c>
      <c r="F1271" t="s">
        <v>441</v>
      </c>
      <c r="G1271">
        <v>0</v>
      </c>
      <c r="I1271" s="5">
        <v>44044</v>
      </c>
      <c r="J1271" s="5">
        <v>43970.333333333336</v>
      </c>
    </row>
    <row r="1272" spans="1:10" x14ac:dyDescent="0.2">
      <c r="A1272">
        <v>7118510</v>
      </c>
      <c r="B1272">
        <v>3693240</v>
      </c>
      <c r="C1272">
        <v>3693242</v>
      </c>
      <c r="D1272">
        <v>21883</v>
      </c>
      <c r="E1272">
        <v>21883</v>
      </c>
      <c r="F1272" t="s">
        <v>441</v>
      </c>
      <c r="G1272">
        <v>0</v>
      </c>
      <c r="I1272" s="5">
        <v>44044</v>
      </c>
      <c r="J1272" s="5">
        <v>43970.333333333336</v>
      </c>
    </row>
    <row r="1273" spans="1:10" x14ac:dyDescent="0.2">
      <c r="A1273">
        <v>7118511</v>
      </c>
      <c r="B1273">
        <v>3693244</v>
      </c>
      <c r="C1273">
        <v>3693242</v>
      </c>
      <c r="D1273">
        <v>21883</v>
      </c>
      <c r="E1273">
        <v>21883</v>
      </c>
      <c r="F1273" t="s">
        <v>441</v>
      </c>
      <c r="G1273">
        <v>0</v>
      </c>
      <c r="I1273" s="5">
        <v>44044</v>
      </c>
      <c r="J1273" s="5">
        <v>43970.333333333336</v>
      </c>
    </row>
    <row r="1274" spans="1:10" x14ac:dyDescent="0.2">
      <c r="A1274">
        <v>7118512</v>
      </c>
      <c r="B1274">
        <v>3693200</v>
      </c>
      <c r="C1274">
        <v>3693244</v>
      </c>
      <c r="D1274">
        <v>21883</v>
      </c>
      <c r="E1274">
        <v>21883</v>
      </c>
      <c r="F1274" t="s">
        <v>441</v>
      </c>
      <c r="G1274">
        <v>0</v>
      </c>
      <c r="I1274" s="5">
        <v>44044</v>
      </c>
      <c r="J1274" s="5">
        <v>43970.333333333336</v>
      </c>
    </row>
    <row r="1275" spans="1:10" x14ac:dyDescent="0.2">
      <c r="A1275">
        <v>7118513</v>
      </c>
      <c r="B1275">
        <v>3693245</v>
      </c>
      <c r="C1275">
        <v>3693240</v>
      </c>
      <c r="D1275">
        <v>21883</v>
      </c>
      <c r="E1275">
        <v>21883</v>
      </c>
      <c r="F1275" t="s">
        <v>441</v>
      </c>
      <c r="G1275">
        <v>0</v>
      </c>
      <c r="I1275" s="5">
        <v>44044</v>
      </c>
      <c r="J1275" s="5">
        <v>43970.333333333336</v>
      </c>
    </row>
    <row r="1276" spans="1:10" x14ac:dyDescent="0.2">
      <c r="A1276">
        <v>7118514</v>
      </c>
      <c r="B1276">
        <v>3693192</v>
      </c>
      <c r="C1276">
        <v>3693245</v>
      </c>
      <c r="D1276">
        <v>21883</v>
      </c>
      <c r="E1276">
        <v>21883</v>
      </c>
      <c r="F1276" t="s">
        <v>441</v>
      </c>
      <c r="G1276">
        <v>0</v>
      </c>
      <c r="I1276" s="5">
        <v>44044</v>
      </c>
      <c r="J1276" s="5">
        <v>43970.333333333336</v>
      </c>
    </row>
    <row r="1277" spans="1:10" x14ac:dyDescent="0.2">
      <c r="A1277">
        <v>7118515</v>
      </c>
      <c r="B1277">
        <v>3693246</v>
      </c>
      <c r="C1277">
        <v>3693247</v>
      </c>
      <c r="D1277">
        <v>21883</v>
      </c>
      <c r="E1277">
        <v>21883</v>
      </c>
      <c r="F1277" t="s">
        <v>441</v>
      </c>
      <c r="G1277">
        <v>0</v>
      </c>
      <c r="I1277" s="5">
        <v>44044</v>
      </c>
      <c r="J1277" s="5">
        <v>44008.666666666664</v>
      </c>
    </row>
    <row r="1278" spans="1:10" x14ac:dyDescent="0.2">
      <c r="A1278">
        <v>7118516</v>
      </c>
      <c r="B1278">
        <v>3693248</v>
      </c>
      <c r="C1278">
        <v>3693246</v>
      </c>
      <c r="D1278">
        <v>21883</v>
      </c>
      <c r="E1278">
        <v>21883</v>
      </c>
      <c r="F1278" t="s">
        <v>441</v>
      </c>
      <c r="G1278">
        <v>0</v>
      </c>
      <c r="I1278" s="5">
        <v>44044</v>
      </c>
      <c r="J1278" s="5">
        <v>44008.666666666664</v>
      </c>
    </row>
    <row r="1279" spans="1:10" x14ac:dyDescent="0.2">
      <c r="A1279">
        <v>7118517</v>
      </c>
      <c r="B1279">
        <v>3693208</v>
      </c>
      <c r="C1279">
        <v>3693248</v>
      </c>
      <c r="D1279">
        <v>21883</v>
      </c>
      <c r="E1279">
        <v>21883</v>
      </c>
      <c r="F1279" t="s">
        <v>441</v>
      </c>
      <c r="G1279">
        <v>0</v>
      </c>
      <c r="I1279" s="5">
        <v>44044</v>
      </c>
      <c r="J1279" s="5">
        <v>44008.666666666664</v>
      </c>
    </row>
    <row r="1280" spans="1:10" x14ac:dyDescent="0.2">
      <c r="A1280">
        <v>7118518</v>
      </c>
      <c r="B1280">
        <v>3693249</v>
      </c>
      <c r="C1280">
        <v>3692923</v>
      </c>
      <c r="D1280">
        <v>21883</v>
      </c>
      <c r="E1280">
        <v>21883</v>
      </c>
      <c r="F1280" t="s">
        <v>442</v>
      </c>
      <c r="G1280">
        <v>16</v>
      </c>
      <c r="I1280" s="5">
        <v>44044</v>
      </c>
      <c r="J1280" s="5">
        <v>43970.333333333336</v>
      </c>
    </row>
    <row r="1281" spans="1:10" x14ac:dyDescent="0.2">
      <c r="A1281">
        <v>7118519</v>
      </c>
      <c r="B1281">
        <v>3692965</v>
      </c>
      <c r="C1281">
        <v>3693249</v>
      </c>
      <c r="D1281">
        <v>21883</v>
      </c>
      <c r="E1281">
        <v>21883</v>
      </c>
      <c r="F1281" t="s">
        <v>441</v>
      </c>
      <c r="G1281">
        <v>0</v>
      </c>
      <c r="I1281" s="5">
        <v>44044</v>
      </c>
      <c r="J1281" s="5">
        <v>43970.333333333336</v>
      </c>
    </row>
    <row r="1282" spans="1:10" x14ac:dyDescent="0.2">
      <c r="A1282">
        <v>7118520</v>
      </c>
      <c r="B1282">
        <v>3693250</v>
      </c>
      <c r="C1282">
        <v>3692928</v>
      </c>
      <c r="D1282">
        <v>21883</v>
      </c>
      <c r="E1282">
        <v>21883</v>
      </c>
      <c r="F1282" t="s">
        <v>442</v>
      </c>
      <c r="G1282">
        <v>16</v>
      </c>
      <c r="I1282" s="5">
        <v>44044</v>
      </c>
      <c r="J1282" s="5">
        <v>43970.333333333336</v>
      </c>
    </row>
    <row r="1283" spans="1:10" x14ac:dyDescent="0.2">
      <c r="A1283">
        <v>7118521</v>
      </c>
      <c r="B1283">
        <v>3692971</v>
      </c>
      <c r="C1283">
        <v>3693250</v>
      </c>
      <c r="D1283">
        <v>21883</v>
      </c>
      <c r="E1283">
        <v>21883</v>
      </c>
      <c r="F1283" t="s">
        <v>441</v>
      </c>
      <c r="G1283">
        <v>0</v>
      </c>
      <c r="I1283" s="5">
        <v>44044</v>
      </c>
      <c r="J1283" s="5">
        <v>43970.333333333336</v>
      </c>
    </row>
    <row r="1284" spans="1:10" x14ac:dyDescent="0.2">
      <c r="A1284">
        <v>7118522</v>
      </c>
      <c r="B1284">
        <v>3693251</v>
      </c>
      <c r="C1284">
        <v>3692932</v>
      </c>
      <c r="D1284">
        <v>21883</v>
      </c>
      <c r="E1284">
        <v>21883</v>
      </c>
      <c r="F1284" t="s">
        <v>442</v>
      </c>
      <c r="G1284">
        <v>40</v>
      </c>
      <c r="I1284" s="5">
        <v>44044</v>
      </c>
      <c r="J1284" s="5">
        <v>43970.333333333336</v>
      </c>
    </row>
    <row r="1285" spans="1:10" x14ac:dyDescent="0.2">
      <c r="A1285">
        <v>7118523</v>
      </c>
      <c r="B1285">
        <v>3692977</v>
      </c>
      <c r="C1285">
        <v>3693251</v>
      </c>
      <c r="D1285">
        <v>21883</v>
      </c>
      <c r="E1285">
        <v>21883</v>
      </c>
      <c r="F1285" t="s">
        <v>441</v>
      </c>
      <c r="G1285">
        <v>0</v>
      </c>
      <c r="I1285" s="5">
        <v>44044</v>
      </c>
      <c r="J1285" s="5">
        <v>43970.333333333336</v>
      </c>
    </row>
    <row r="1286" spans="1:10" x14ac:dyDescent="0.2">
      <c r="A1286">
        <v>7118524</v>
      </c>
      <c r="B1286">
        <v>3693252</v>
      </c>
      <c r="C1286">
        <v>3692919</v>
      </c>
      <c r="D1286">
        <v>21883</v>
      </c>
      <c r="E1286">
        <v>21883</v>
      </c>
      <c r="F1286" t="s">
        <v>442</v>
      </c>
      <c r="G1286">
        <v>40</v>
      </c>
      <c r="I1286" s="5">
        <v>44044</v>
      </c>
      <c r="J1286" s="5">
        <v>43970.333333333336</v>
      </c>
    </row>
    <row r="1287" spans="1:10" x14ac:dyDescent="0.2">
      <c r="A1287">
        <v>7118525</v>
      </c>
      <c r="B1287">
        <v>3692959</v>
      </c>
      <c r="C1287">
        <v>3693252</v>
      </c>
      <c r="D1287">
        <v>21883</v>
      </c>
      <c r="E1287">
        <v>21883</v>
      </c>
      <c r="F1287" t="s">
        <v>441</v>
      </c>
      <c r="G1287">
        <v>0</v>
      </c>
      <c r="I1287" s="5">
        <v>44044</v>
      </c>
      <c r="J1287" s="5">
        <v>43970.333333333336</v>
      </c>
    </row>
    <row r="1288" spans="1:10" x14ac:dyDescent="0.2">
      <c r="A1288">
        <v>7118526</v>
      </c>
      <c r="B1288">
        <v>3693253</v>
      </c>
      <c r="C1288">
        <v>3692916</v>
      </c>
      <c r="D1288">
        <v>21883</v>
      </c>
      <c r="E1288">
        <v>21883</v>
      </c>
      <c r="F1288" t="s">
        <v>442</v>
      </c>
      <c r="G1288">
        <v>16</v>
      </c>
      <c r="I1288" s="5">
        <v>44044</v>
      </c>
      <c r="J1288" s="5">
        <v>43970.333333333336</v>
      </c>
    </row>
    <row r="1289" spans="1:10" x14ac:dyDescent="0.2">
      <c r="A1289">
        <v>7118527</v>
      </c>
      <c r="B1289">
        <v>3692953</v>
      </c>
      <c r="C1289">
        <v>3693253</v>
      </c>
      <c r="D1289">
        <v>21883</v>
      </c>
      <c r="E1289">
        <v>21883</v>
      </c>
      <c r="F1289" t="s">
        <v>441</v>
      </c>
      <c r="G1289">
        <v>0</v>
      </c>
      <c r="I1289" s="5">
        <v>44044</v>
      </c>
      <c r="J1289" s="5">
        <v>43970.333333333336</v>
      </c>
    </row>
    <row r="1290" spans="1:10" x14ac:dyDescent="0.2">
      <c r="A1290">
        <v>7118528</v>
      </c>
      <c r="B1290">
        <v>3693254</v>
      </c>
      <c r="C1290">
        <v>3692910</v>
      </c>
      <c r="D1290">
        <v>21883</v>
      </c>
      <c r="E1290">
        <v>21883</v>
      </c>
      <c r="F1290" t="s">
        <v>442</v>
      </c>
      <c r="G1290">
        <v>16</v>
      </c>
      <c r="I1290" s="5">
        <v>44044</v>
      </c>
      <c r="J1290" s="5">
        <v>43970.333333333336</v>
      </c>
    </row>
    <row r="1291" spans="1:10" x14ac:dyDescent="0.2">
      <c r="A1291">
        <v>7118529</v>
      </c>
      <c r="B1291">
        <v>3692941</v>
      </c>
      <c r="C1291">
        <v>3693254</v>
      </c>
      <c r="D1291">
        <v>21883</v>
      </c>
      <c r="E1291">
        <v>21883</v>
      </c>
      <c r="F1291" t="s">
        <v>441</v>
      </c>
      <c r="G1291">
        <v>0</v>
      </c>
      <c r="I1291" s="5">
        <v>44044</v>
      </c>
      <c r="J1291" s="5">
        <v>43970.333333333336</v>
      </c>
    </row>
    <row r="1292" spans="1:10" x14ac:dyDescent="0.2">
      <c r="A1292">
        <v>7118530</v>
      </c>
      <c r="B1292">
        <v>3693255</v>
      </c>
      <c r="C1292">
        <v>3692913</v>
      </c>
      <c r="D1292">
        <v>21883</v>
      </c>
      <c r="E1292">
        <v>21883</v>
      </c>
      <c r="F1292" t="s">
        <v>442</v>
      </c>
      <c r="G1292">
        <v>16</v>
      </c>
      <c r="I1292" s="5">
        <v>44044</v>
      </c>
      <c r="J1292" s="5">
        <v>43970.333333333336</v>
      </c>
    </row>
    <row r="1293" spans="1:10" x14ac:dyDescent="0.2">
      <c r="A1293">
        <v>7118531</v>
      </c>
      <c r="B1293">
        <v>3692947</v>
      </c>
      <c r="C1293">
        <v>3693255</v>
      </c>
      <c r="D1293">
        <v>21883</v>
      </c>
      <c r="E1293">
        <v>21883</v>
      </c>
      <c r="F1293" t="s">
        <v>441</v>
      </c>
      <c r="G1293">
        <v>0</v>
      </c>
      <c r="I1293" s="5">
        <v>44044</v>
      </c>
      <c r="J1293" s="5">
        <v>43970.333333333336</v>
      </c>
    </row>
    <row r="1294" spans="1:10" x14ac:dyDescent="0.2">
      <c r="A1294">
        <v>7118532</v>
      </c>
      <c r="B1294">
        <v>3693257</v>
      </c>
      <c r="C1294">
        <v>3693256</v>
      </c>
      <c r="D1294">
        <v>21883</v>
      </c>
      <c r="E1294">
        <v>21883</v>
      </c>
      <c r="F1294" t="s">
        <v>441</v>
      </c>
      <c r="G1294">
        <v>0</v>
      </c>
      <c r="I1294" s="5">
        <v>44044</v>
      </c>
      <c r="J1294" s="5">
        <v>43970.333333333336</v>
      </c>
    </row>
    <row r="1295" spans="1:10" x14ac:dyDescent="0.2">
      <c r="A1295">
        <v>7118533</v>
      </c>
      <c r="B1295">
        <v>3693256</v>
      </c>
      <c r="C1295">
        <v>3692939</v>
      </c>
      <c r="D1295">
        <v>21883</v>
      </c>
      <c r="E1295">
        <v>21883</v>
      </c>
      <c r="F1295" t="s">
        <v>442</v>
      </c>
      <c r="G1295">
        <v>0</v>
      </c>
      <c r="I1295" s="5">
        <v>44044</v>
      </c>
      <c r="J1295" s="5">
        <v>43970.333333333336</v>
      </c>
    </row>
    <row r="1296" spans="1:10" x14ac:dyDescent="0.2">
      <c r="A1296">
        <v>7118534</v>
      </c>
      <c r="B1296">
        <v>3693260</v>
      </c>
      <c r="C1296">
        <v>3693259</v>
      </c>
      <c r="D1296">
        <v>21883</v>
      </c>
      <c r="E1296">
        <v>21883</v>
      </c>
      <c r="F1296" t="s">
        <v>441</v>
      </c>
      <c r="G1296">
        <v>0</v>
      </c>
      <c r="I1296" s="5">
        <v>44044</v>
      </c>
      <c r="J1296" s="5">
        <v>43970.333333333336</v>
      </c>
    </row>
    <row r="1297" spans="1:10" x14ac:dyDescent="0.2">
      <c r="A1297">
        <v>7118535</v>
      </c>
      <c r="B1297">
        <v>3693259</v>
      </c>
      <c r="C1297">
        <v>3692907</v>
      </c>
      <c r="D1297">
        <v>21883</v>
      </c>
      <c r="E1297">
        <v>21883</v>
      </c>
      <c r="F1297" t="s">
        <v>442</v>
      </c>
      <c r="G1297">
        <v>0</v>
      </c>
      <c r="I1297" s="5">
        <v>44044</v>
      </c>
      <c r="J1297" s="5">
        <v>43970.333333333336</v>
      </c>
    </row>
    <row r="1298" spans="1:10" x14ac:dyDescent="0.2">
      <c r="A1298">
        <v>7118536</v>
      </c>
      <c r="B1298">
        <v>3692941</v>
      </c>
      <c r="C1298">
        <v>3693261</v>
      </c>
      <c r="D1298">
        <v>21883</v>
      </c>
      <c r="E1298">
        <v>21883</v>
      </c>
      <c r="F1298" t="s">
        <v>441</v>
      </c>
      <c r="G1298">
        <v>0</v>
      </c>
      <c r="I1298" s="5">
        <v>44044</v>
      </c>
      <c r="J1298" s="5">
        <v>43970.333333333336</v>
      </c>
    </row>
    <row r="1299" spans="1:10" x14ac:dyDescent="0.2">
      <c r="A1299">
        <v>7118537</v>
      </c>
      <c r="B1299">
        <v>3692983</v>
      </c>
      <c r="C1299">
        <v>3693258</v>
      </c>
      <c r="D1299">
        <v>21883</v>
      </c>
      <c r="E1299">
        <v>21883</v>
      </c>
      <c r="F1299" t="s">
        <v>441</v>
      </c>
      <c r="G1299">
        <v>0</v>
      </c>
      <c r="I1299" s="5">
        <v>44044</v>
      </c>
      <c r="J1299" s="5">
        <v>43970.333333333336</v>
      </c>
    </row>
    <row r="1300" spans="1:10" x14ac:dyDescent="0.2">
      <c r="A1300">
        <v>7118538</v>
      </c>
      <c r="B1300">
        <v>3693258</v>
      </c>
      <c r="C1300">
        <v>3693262</v>
      </c>
      <c r="D1300">
        <v>21883</v>
      </c>
      <c r="E1300">
        <v>21883</v>
      </c>
      <c r="F1300" t="s">
        <v>441</v>
      </c>
      <c r="G1300">
        <v>0</v>
      </c>
      <c r="I1300" s="5">
        <v>44044</v>
      </c>
      <c r="J1300" s="5">
        <v>43970.333333333336</v>
      </c>
    </row>
    <row r="1301" spans="1:10" x14ac:dyDescent="0.2">
      <c r="A1301">
        <v>7118539</v>
      </c>
      <c r="B1301">
        <v>3693261</v>
      </c>
      <c r="C1301">
        <v>3693262</v>
      </c>
      <c r="D1301">
        <v>21883</v>
      </c>
      <c r="E1301">
        <v>21883</v>
      </c>
      <c r="F1301" t="s">
        <v>441</v>
      </c>
      <c r="G1301">
        <v>0</v>
      </c>
      <c r="I1301" s="5">
        <v>44044</v>
      </c>
      <c r="J1301" s="5">
        <v>43970.333333333336</v>
      </c>
    </row>
    <row r="1302" spans="1:10" x14ac:dyDescent="0.2">
      <c r="A1302">
        <v>7118540</v>
      </c>
      <c r="B1302">
        <v>3693254</v>
      </c>
      <c r="C1302">
        <v>3693262</v>
      </c>
      <c r="D1302">
        <v>21883</v>
      </c>
      <c r="E1302">
        <v>21883</v>
      </c>
      <c r="F1302" t="s">
        <v>441</v>
      </c>
      <c r="G1302">
        <v>0</v>
      </c>
      <c r="I1302" s="5">
        <v>44044</v>
      </c>
      <c r="J1302" s="5">
        <v>43970.333333333336</v>
      </c>
    </row>
    <row r="1303" spans="1:10" x14ac:dyDescent="0.2">
      <c r="A1303">
        <v>7118541</v>
      </c>
      <c r="B1303">
        <v>3693255</v>
      </c>
      <c r="C1303">
        <v>3693262</v>
      </c>
      <c r="D1303">
        <v>21883</v>
      </c>
      <c r="E1303">
        <v>21883</v>
      </c>
      <c r="F1303" t="s">
        <v>441</v>
      </c>
      <c r="G1303">
        <v>0</v>
      </c>
      <c r="I1303" s="5">
        <v>44044</v>
      </c>
      <c r="J1303" s="5">
        <v>43970.333333333336</v>
      </c>
    </row>
    <row r="1304" spans="1:10" x14ac:dyDescent="0.2">
      <c r="A1304">
        <v>7118542</v>
      </c>
      <c r="B1304">
        <v>3693253</v>
      </c>
      <c r="C1304">
        <v>3693262</v>
      </c>
      <c r="D1304">
        <v>21883</v>
      </c>
      <c r="E1304">
        <v>21883</v>
      </c>
      <c r="F1304" t="s">
        <v>441</v>
      </c>
      <c r="G1304">
        <v>0</v>
      </c>
      <c r="I1304" s="5">
        <v>44044</v>
      </c>
      <c r="J1304" s="5">
        <v>43970.333333333336</v>
      </c>
    </row>
    <row r="1305" spans="1:10" x14ac:dyDescent="0.2">
      <c r="A1305">
        <v>7118543</v>
      </c>
      <c r="B1305">
        <v>3693252</v>
      </c>
      <c r="C1305">
        <v>3693262</v>
      </c>
      <c r="D1305">
        <v>21883</v>
      </c>
      <c r="E1305">
        <v>21883</v>
      </c>
      <c r="F1305" t="s">
        <v>441</v>
      </c>
      <c r="G1305">
        <v>0</v>
      </c>
      <c r="I1305" s="5">
        <v>44044</v>
      </c>
      <c r="J1305" s="5">
        <v>43970.333333333336</v>
      </c>
    </row>
    <row r="1306" spans="1:10" x14ac:dyDescent="0.2">
      <c r="A1306">
        <v>7118544</v>
      </c>
      <c r="B1306">
        <v>3693249</v>
      </c>
      <c r="C1306">
        <v>3693262</v>
      </c>
      <c r="D1306">
        <v>21883</v>
      </c>
      <c r="E1306">
        <v>21883</v>
      </c>
      <c r="F1306" t="s">
        <v>441</v>
      </c>
      <c r="G1306">
        <v>0</v>
      </c>
      <c r="I1306" s="5">
        <v>44044</v>
      </c>
      <c r="J1306" s="5">
        <v>43970.333333333336</v>
      </c>
    </row>
    <row r="1307" spans="1:10" x14ac:dyDescent="0.2">
      <c r="A1307">
        <v>7118545</v>
      </c>
      <c r="B1307">
        <v>3693250</v>
      </c>
      <c r="C1307">
        <v>3693262</v>
      </c>
      <c r="D1307">
        <v>21883</v>
      </c>
      <c r="E1307">
        <v>21883</v>
      </c>
      <c r="F1307" t="s">
        <v>441</v>
      </c>
      <c r="G1307">
        <v>0</v>
      </c>
      <c r="I1307" s="5">
        <v>44044</v>
      </c>
      <c r="J1307" s="5">
        <v>43970.333333333336</v>
      </c>
    </row>
    <row r="1308" spans="1:10" x14ac:dyDescent="0.2">
      <c r="A1308">
        <v>7118546</v>
      </c>
      <c r="B1308">
        <v>3693251</v>
      </c>
      <c r="C1308">
        <v>3693262</v>
      </c>
      <c r="D1308">
        <v>21883</v>
      </c>
      <c r="E1308">
        <v>21883</v>
      </c>
      <c r="F1308" t="s">
        <v>441</v>
      </c>
      <c r="G1308">
        <v>0</v>
      </c>
      <c r="I1308" s="5">
        <v>44044</v>
      </c>
      <c r="J1308" s="5">
        <v>43970.333333333336</v>
      </c>
    </row>
    <row r="1309" spans="1:10" x14ac:dyDescent="0.2">
      <c r="A1309">
        <v>7118547</v>
      </c>
      <c r="B1309">
        <v>3693262</v>
      </c>
      <c r="C1309">
        <v>3693087</v>
      </c>
      <c r="D1309">
        <v>21883</v>
      </c>
      <c r="E1309">
        <v>21883</v>
      </c>
      <c r="F1309" t="s">
        <v>441</v>
      </c>
      <c r="G1309">
        <v>0</v>
      </c>
      <c r="I1309" s="5">
        <v>44044</v>
      </c>
      <c r="J1309" s="5">
        <v>43970.333333333336</v>
      </c>
    </row>
    <row r="1310" spans="1:10" x14ac:dyDescent="0.2">
      <c r="A1310">
        <v>7118548</v>
      </c>
      <c r="B1310">
        <v>3693263</v>
      </c>
      <c r="C1310">
        <v>3693087</v>
      </c>
      <c r="D1310">
        <v>21883</v>
      </c>
      <c r="E1310">
        <v>21883</v>
      </c>
      <c r="F1310" t="s">
        <v>441</v>
      </c>
      <c r="G1310">
        <v>0</v>
      </c>
      <c r="I1310" s="5">
        <v>44044</v>
      </c>
      <c r="J1310" s="5">
        <v>43970.333333333336</v>
      </c>
    </row>
    <row r="1311" spans="1:10" x14ac:dyDescent="0.2">
      <c r="A1311">
        <v>7118549</v>
      </c>
      <c r="B1311">
        <v>3693264</v>
      </c>
      <c r="C1311">
        <v>3693087</v>
      </c>
      <c r="D1311">
        <v>21883</v>
      </c>
      <c r="E1311">
        <v>21883</v>
      </c>
      <c r="F1311" t="s">
        <v>441</v>
      </c>
      <c r="G1311">
        <v>0</v>
      </c>
      <c r="I1311" s="5">
        <v>44044</v>
      </c>
      <c r="J1311" s="5">
        <v>43970.333333333336</v>
      </c>
    </row>
    <row r="1312" spans="1:10" x14ac:dyDescent="0.2">
      <c r="A1312">
        <v>7118550</v>
      </c>
      <c r="B1312">
        <v>3693265</v>
      </c>
      <c r="C1312">
        <v>3693210</v>
      </c>
      <c r="D1312">
        <v>21883</v>
      </c>
      <c r="E1312">
        <v>21883</v>
      </c>
      <c r="F1312" t="s">
        <v>441</v>
      </c>
      <c r="G1312">
        <v>0</v>
      </c>
      <c r="I1312" s="5">
        <v>44044</v>
      </c>
      <c r="J1312" s="5">
        <v>43970.333333333336</v>
      </c>
    </row>
    <row r="1313" spans="1:10" x14ac:dyDescent="0.2">
      <c r="A1313">
        <v>7118551</v>
      </c>
      <c r="B1313">
        <v>3693273</v>
      </c>
      <c r="C1313">
        <v>3693265</v>
      </c>
      <c r="D1313">
        <v>21883</v>
      </c>
      <c r="E1313">
        <v>21883</v>
      </c>
      <c r="F1313" t="s">
        <v>441</v>
      </c>
      <c r="G1313">
        <v>0</v>
      </c>
      <c r="I1313" s="5">
        <v>44044</v>
      </c>
      <c r="J1313" s="5">
        <v>43970.333333333336</v>
      </c>
    </row>
    <row r="1314" spans="1:10" x14ac:dyDescent="0.2">
      <c r="A1314">
        <v>7118552</v>
      </c>
      <c r="B1314">
        <v>3693266</v>
      </c>
      <c r="C1314">
        <v>3693211</v>
      </c>
      <c r="D1314">
        <v>21883</v>
      </c>
      <c r="E1314">
        <v>21883</v>
      </c>
      <c r="F1314" t="s">
        <v>441</v>
      </c>
      <c r="G1314">
        <v>0</v>
      </c>
      <c r="I1314" s="5">
        <v>44044</v>
      </c>
      <c r="J1314" s="5">
        <v>43970.333333333336</v>
      </c>
    </row>
    <row r="1315" spans="1:10" x14ac:dyDescent="0.2">
      <c r="A1315">
        <v>7118553</v>
      </c>
      <c r="B1315">
        <v>3693274</v>
      </c>
      <c r="C1315">
        <v>3693266</v>
      </c>
      <c r="D1315">
        <v>21883</v>
      </c>
      <c r="E1315">
        <v>21883</v>
      </c>
      <c r="F1315" t="s">
        <v>441</v>
      </c>
      <c r="G1315">
        <v>0</v>
      </c>
      <c r="I1315" s="5">
        <v>44044</v>
      </c>
      <c r="J1315" s="5">
        <v>43970.333333333336</v>
      </c>
    </row>
    <row r="1316" spans="1:10" x14ac:dyDescent="0.2">
      <c r="A1316">
        <v>7118554</v>
      </c>
      <c r="B1316">
        <v>3693267</v>
      </c>
      <c r="C1316">
        <v>3693212</v>
      </c>
      <c r="D1316">
        <v>21883</v>
      </c>
      <c r="E1316">
        <v>21883</v>
      </c>
      <c r="F1316" t="s">
        <v>441</v>
      </c>
      <c r="G1316">
        <v>0</v>
      </c>
      <c r="I1316" s="5">
        <v>44044</v>
      </c>
      <c r="J1316" s="5">
        <v>43970.333333333336</v>
      </c>
    </row>
    <row r="1317" spans="1:10" x14ac:dyDescent="0.2">
      <c r="A1317">
        <v>7118555</v>
      </c>
      <c r="B1317">
        <v>3693275</v>
      </c>
      <c r="C1317">
        <v>3693267</v>
      </c>
      <c r="D1317">
        <v>21883</v>
      </c>
      <c r="E1317">
        <v>21883</v>
      </c>
      <c r="F1317" t="s">
        <v>441</v>
      </c>
      <c r="G1317">
        <v>0</v>
      </c>
      <c r="I1317" s="5">
        <v>44044</v>
      </c>
      <c r="J1317" s="5">
        <v>43970.333333333336</v>
      </c>
    </row>
    <row r="1318" spans="1:10" x14ac:dyDescent="0.2">
      <c r="A1318">
        <v>7118556</v>
      </c>
      <c r="B1318">
        <v>3693268</v>
      </c>
      <c r="C1318">
        <v>3693213</v>
      </c>
      <c r="D1318">
        <v>21883</v>
      </c>
      <c r="E1318">
        <v>21883</v>
      </c>
      <c r="F1318" t="s">
        <v>441</v>
      </c>
      <c r="G1318">
        <v>0</v>
      </c>
      <c r="I1318" s="5">
        <v>44044</v>
      </c>
      <c r="J1318" s="5">
        <v>43970.333333333336</v>
      </c>
    </row>
    <row r="1319" spans="1:10" x14ac:dyDescent="0.2">
      <c r="A1319">
        <v>7118557</v>
      </c>
      <c r="B1319">
        <v>3693276</v>
      </c>
      <c r="C1319">
        <v>3693268</v>
      </c>
      <c r="D1319">
        <v>21883</v>
      </c>
      <c r="E1319">
        <v>21883</v>
      </c>
      <c r="F1319" t="s">
        <v>441</v>
      </c>
      <c r="G1319">
        <v>0</v>
      </c>
      <c r="I1319" s="5">
        <v>44044</v>
      </c>
      <c r="J1319" s="5">
        <v>43970.333333333336</v>
      </c>
    </row>
    <row r="1320" spans="1:10" x14ac:dyDescent="0.2">
      <c r="A1320">
        <v>7118558</v>
      </c>
      <c r="B1320">
        <v>3693270</v>
      </c>
      <c r="C1320">
        <v>3693262</v>
      </c>
      <c r="D1320">
        <v>21883</v>
      </c>
      <c r="E1320">
        <v>21883</v>
      </c>
      <c r="F1320" t="s">
        <v>441</v>
      </c>
      <c r="G1320">
        <v>0</v>
      </c>
      <c r="I1320" s="5">
        <v>44044</v>
      </c>
      <c r="J1320" s="5">
        <v>43970.333333333336</v>
      </c>
    </row>
    <row r="1321" spans="1:10" x14ac:dyDescent="0.2">
      <c r="A1321">
        <v>7118559</v>
      </c>
      <c r="B1321">
        <v>3693278</v>
      </c>
      <c r="C1321">
        <v>3693270</v>
      </c>
      <c r="D1321">
        <v>21883</v>
      </c>
      <c r="E1321">
        <v>21883</v>
      </c>
      <c r="F1321" t="s">
        <v>441</v>
      </c>
      <c r="G1321">
        <v>0</v>
      </c>
      <c r="I1321" s="5">
        <v>44044</v>
      </c>
      <c r="J1321" s="5">
        <v>43970.333333333336</v>
      </c>
    </row>
    <row r="1322" spans="1:10" x14ac:dyDescent="0.2">
      <c r="A1322">
        <v>7118560</v>
      </c>
      <c r="B1322">
        <v>3693271</v>
      </c>
      <c r="C1322">
        <v>3693263</v>
      </c>
      <c r="D1322">
        <v>21883</v>
      </c>
      <c r="E1322">
        <v>21883</v>
      </c>
      <c r="F1322" t="s">
        <v>441</v>
      </c>
      <c r="G1322">
        <v>0</v>
      </c>
      <c r="I1322" s="5">
        <v>44044</v>
      </c>
      <c r="J1322" s="5">
        <v>43970.333333333336</v>
      </c>
    </row>
    <row r="1323" spans="1:10" x14ac:dyDescent="0.2">
      <c r="A1323">
        <v>7118561</v>
      </c>
      <c r="B1323">
        <v>3693279</v>
      </c>
      <c r="C1323">
        <v>3693271</v>
      </c>
      <c r="D1323">
        <v>21883</v>
      </c>
      <c r="E1323">
        <v>21883</v>
      </c>
      <c r="F1323" t="s">
        <v>441</v>
      </c>
      <c r="G1323">
        <v>0</v>
      </c>
      <c r="I1323" s="5">
        <v>44044</v>
      </c>
      <c r="J1323" s="5">
        <v>43970.333333333336</v>
      </c>
    </row>
    <row r="1324" spans="1:10" x14ac:dyDescent="0.2">
      <c r="A1324">
        <v>7118562</v>
      </c>
      <c r="B1324">
        <v>3693272</v>
      </c>
      <c r="C1324">
        <v>3693264</v>
      </c>
      <c r="D1324">
        <v>21883</v>
      </c>
      <c r="E1324">
        <v>21883</v>
      </c>
      <c r="F1324" t="s">
        <v>441</v>
      </c>
      <c r="G1324">
        <v>0</v>
      </c>
      <c r="I1324" s="5">
        <v>44044</v>
      </c>
      <c r="J1324" s="5">
        <v>43970.333333333336</v>
      </c>
    </row>
    <row r="1325" spans="1:10" x14ac:dyDescent="0.2">
      <c r="A1325">
        <v>7118563</v>
      </c>
      <c r="B1325">
        <v>3693280</v>
      </c>
      <c r="C1325">
        <v>3693272</v>
      </c>
      <c r="D1325">
        <v>21883</v>
      </c>
      <c r="E1325">
        <v>21883</v>
      </c>
      <c r="F1325" t="s">
        <v>441</v>
      </c>
      <c r="G1325">
        <v>0</v>
      </c>
      <c r="I1325" s="5">
        <v>44044</v>
      </c>
      <c r="J1325" s="5">
        <v>43970.333333333336</v>
      </c>
    </row>
    <row r="1326" spans="1:10" x14ac:dyDescent="0.2">
      <c r="A1326">
        <v>7118564</v>
      </c>
      <c r="B1326">
        <v>3693283</v>
      </c>
      <c r="C1326">
        <v>3693276</v>
      </c>
      <c r="D1326">
        <v>21883</v>
      </c>
      <c r="E1326">
        <v>21883</v>
      </c>
      <c r="F1326" t="s">
        <v>441</v>
      </c>
      <c r="G1326">
        <v>0</v>
      </c>
      <c r="I1326" s="5">
        <v>44044</v>
      </c>
      <c r="J1326" s="5">
        <v>43970.333333333336</v>
      </c>
    </row>
    <row r="1327" spans="1:10" x14ac:dyDescent="0.2">
      <c r="A1327">
        <v>7118565</v>
      </c>
      <c r="B1327">
        <v>3693284</v>
      </c>
      <c r="C1327">
        <v>3693278</v>
      </c>
      <c r="D1327">
        <v>21883</v>
      </c>
      <c r="E1327">
        <v>21883</v>
      </c>
      <c r="F1327" t="s">
        <v>441</v>
      </c>
      <c r="G1327">
        <v>0</v>
      </c>
      <c r="I1327" s="5">
        <v>44044</v>
      </c>
      <c r="J1327" s="5">
        <v>43970.333333333336</v>
      </c>
    </row>
    <row r="1328" spans="1:10" x14ac:dyDescent="0.2">
      <c r="A1328">
        <v>7118566</v>
      </c>
      <c r="B1328">
        <v>3693285</v>
      </c>
      <c r="C1328">
        <v>3693279</v>
      </c>
      <c r="D1328">
        <v>21883</v>
      </c>
      <c r="E1328">
        <v>21883</v>
      </c>
      <c r="F1328" t="s">
        <v>441</v>
      </c>
      <c r="G1328">
        <v>0</v>
      </c>
      <c r="I1328" s="5">
        <v>44044</v>
      </c>
      <c r="J1328" s="5">
        <v>43970.333333333336</v>
      </c>
    </row>
    <row r="1329" spans="1:10" x14ac:dyDescent="0.2">
      <c r="A1329">
        <v>7118567</v>
      </c>
      <c r="B1329">
        <v>3693286</v>
      </c>
      <c r="C1329">
        <v>3693280</v>
      </c>
      <c r="D1329">
        <v>21883</v>
      </c>
      <c r="E1329">
        <v>21883</v>
      </c>
      <c r="F1329" t="s">
        <v>441</v>
      </c>
      <c r="G1329">
        <v>0</v>
      </c>
      <c r="I1329" s="5">
        <v>44044</v>
      </c>
      <c r="J1329" s="5">
        <v>43970.333333333336</v>
      </c>
    </row>
    <row r="1330" spans="1:10" x14ac:dyDescent="0.2">
      <c r="A1330">
        <v>7118568</v>
      </c>
      <c r="B1330">
        <v>3692941</v>
      </c>
      <c r="C1330">
        <v>3693283</v>
      </c>
      <c r="D1330">
        <v>21883</v>
      </c>
      <c r="E1330">
        <v>21883</v>
      </c>
      <c r="F1330" t="s">
        <v>441</v>
      </c>
      <c r="G1330">
        <v>0</v>
      </c>
      <c r="I1330" s="5">
        <v>44044</v>
      </c>
      <c r="J1330" s="5">
        <v>43970.333333333336</v>
      </c>
    </row>
    <row r="1331" spans="1:10" x14ac:dyDescent="0.2">
      <c r="A1331">
        <v>7118569</v>
      </c>
      <c r="B1331">
        <v>3692947</v>
      </c>
      <c r="C1331">
        <v>3693283</v>
      </c>
      <c r="D1331">
        <v>21883</v>
      </c>
      <c r="E1331">
        <v>21883</v>
      </c>
      <c r="F1331" t="s">
        <v>441</v>
      </c>
      <c r="G1331">
        <v>0</v>
      </c>
      <c r="I1331" s="5">
        <v>44044</v>
      </c>
      <c r="J1331" s="5">
        <v>43970.333333333336</v>
      </c>
    </row>
    <row r="1332" spans="1:10" x14ac:dyDescent="0.2">
      <c r="A1332">
        <v>7118570</v>
      </c>
      <c r="B1332">
        <v>3692953</v>
      </c>
      <c r="C1332">
        <v>3693283</v>
      </c>
      <c r="D1332">
        <v>21883</v>
      </c>
      <c r="E1332">
        <v>21883</v>
      </c>
      <c r="F1332" t="s">
        <v>441</v>
      </c>
      <c r="G1332">
        <v>0</v>
      </c>
      <c r="I1332" s="5">
        <v>44044</v>
      </c>
      <c r="J1332" s="5">
        <v>43970.333333333336</v>
      </c>
    </row>
    <row r="1333" spans="1:10" x14ac:dyDescent="0.2">
      <c r="A1333">
        <v>7118571</v>
      </c>
      <c r="B1333">
        <v>3692959</v>
      </c>
      <c r="C1333">
        <v>3693283</v>
      </c>
      <c r="D1333">
        <v>21883</v>
      </c>
      <c r="E1333">
        <v>21883</v>
      </c>
      <c r="F1333" t="s">
        <v>441</v>
      </c>
      <c r="G1333">
        <v>0</v>
      </c>
      <c r="I1333" s="5">
        <v>44044</v>
      </c>
      <c r="J1333" s="5">
        <v>43970.333333333336</v>
      </c>
    </row>
    <row r="1334" spans="1:10" x14ac:dyDescent="0.2">
      <c r="A1334">
        <v>7118572</v>
      </c>
      <c r="B1334">
        <v>3692965</v>
      </c>
      <c r="C1334">
        <v>3693283</v>
      </c>
      <c r="D1334">
        <v>21883</v>
      </c>
      <c r="E1334">
        <v>21883</v>
      </c>
      <c r="F1334" t="s">
        <v>441</v>
      </c>
      <c r="G1334">
        <v>0</v>
      </c>
      <c r="I1334" s="5">
        <v>44044</v>
      </c>
      <c r="J1334" s="5">
        <v>43970.333333333336</v>
      </c>
    </row>
    <row r="1335" spans="1:10" x14ac:dyDescent="0.2">
      <c r="A1335">
        <v>7118573</v>
      </c>
      <c r="B1335">
        <v>3692971</v>
      </c>
      <c r="C1335">
        <v>3693283</v>
      </c>
      <c r="D1335">
        <v>21883</v>
      </c>
      <c r="E1335">
        <v>21883</v>
      </c>
      <c r="F1335" t="s">
        <v>441</v>
      </c>
      <c r="G1335">
        <v>0</v>
      </c>
      <c r="I1335" s="5">
        <v>44044</v>
      </c>
      <c r="J1335" s="5">
        <v>43970.333333333336</v>
      </c>
    </row>
    <row r="1336" spans="1:10" x14ac:dyDescent="0.2">
      <c r="A1336">
        <v>7118574</v>
      </c>
      <c r="B1336">
        <v>3692977</v>
      </c>
      <c r="C1336">
        <v>3693283</v>
      </c>
      <c r="D1336">
        <v>21883</v>
      </c>
      <c r="E1336">
        <v>21883</v>
      </c>
      <c r="F1336" t="s">
        <v>441</v>
      </c>
      <c r="G1336">
        <v>0</v>
      </c>
      <c r="I1336" s="5">
        <v>44044</v>
      </c>
      <c r="J1336" s="5">
        <v>43970.333333333336</v>
      </c>
    </row>
    <row r="1337" spans="1:10" x14ac:dyDescent="0.2">
      <c r="A1337">
        <v>7118575</v>
      </c>
      <c r="B1337">
        <v>3692983</v>
      </c>
      <c r="C1337">
        <v>3693283</v>
      </c>
      <c r="D1337">
        <v>21883</v>
      </c>
      <c r="E1337">
        <v>21883</v>
      </c>
      <c r="F1337" t="s">
        <v>441</v>
      </c>
      <c r="G1337">
        <v>0</v>
      </c>
      <c r="I1337" s="5">
        <v>44044</v>
      </c>
      <c r="J1337" s="5">
        <v>43970.333333333336</v>
      </c>
    </row>
    <row r="1338" spans="1:10" x14ac:dyDescent="0.2">
      <c r="A1338">
        <v>7118576</v>
      </c>
      <c r="B1338">
        <v>3692905</v>
      </c>
      <c r="C1338">
        <v>3693282</v>
      </c>
      <c r="D1338">
        <v>21883</v>
      </c>
      <c r="E1338">
        <v>21883</v>
      </c>
      <c r="F1338" t="s">
        <v>441</v>
      </c>
      <c r="G1338">
        <v>0</v>
      </c>
      <c r="I1338" s="5">
        <v>44044</v>
      </c>
      <c r="J1338" s="5">
        <v>43970.333333333336</v>
      </c>
    </row>
    <row r="1339" spans="1:10" x14ac:dyDescent="0.2">
      <c r="A1339">
        <v>7118577</v>
      </c>
      <c r="B1339">
        <v>3693261</v>
      </c>
      <c r="C1339">
        <v>3693284</v>
      </c>
      <c r="D1339">
        <v>21883</v>
      </c>
      <c r="E1339">
        <v>21883</v>
      </c>
      <c r="F1339" t="s">
        <v>441</v>
      </c>
      <c r="G1339">
        <v>0</v>
      </c>
      <c r="I1339" s="5">
        <v>44044</v>
      </c>
      <c r="J1339" s="5">
        <v>43970.333333333336</v>
      </c>
    </row>
    <row r="1340" spans="1:10" x14ac:dyDescent="0.2">
      <c r="A1340">
        <v>7118578</v>
      </c>
      <c r="B1340">
        <v>3693258</v>
      </c>
      <c r="C1340">
        <v>3693284</v>
      </c>
      <c r="D1340">
        <v>21883</v>
      </c>
      <c r="E1340">
        <v>21883</v>
      </c>
      <c r="F1340" t="s">
        <v>441</v>
      </c>
      <c r="G1340">
        <v>0</v>
      </c>
      <c r="I1340" s="5">
        <v>44044</v>
      </c>
      <c r="J1340" s="5">
        <v>43970.333333333336</v>
      </c>
    </row>
    <row r="1341" spans="1:10" x14ac:dyDescent="0.2">
      <c r="A1341">
        <v>7118579</v>
      </c>
      <c r="B1341">
        <v>3693254</v>
      </c>
      <c r="C1341">
        <v>3693284</v>
      </c>
      <c r="D1341">
        <v>21883</v>
      </c>
      <c r="E1341">
        <v>21883</v>
      </c>
      <c r="F1341" t="s">
        <v>441</v>
      </c>
      <c r="G1341">
        <v>0</v>
      </c>
      <c r="I1341" s="5">
        <v>44044</v>
      </c>
      <c r="J1341" s="5">
        <v>43970.333333333336</v>
      </c>
    </row>
    <row r="1342" spans="1:10" x14ac:dyDescent="0.2">
      <c r="A1342">
        <v>7118580</v>
      </c>
      <c r="B1342">
        <v>3693255</v>
      </c>
      <c r="C1342">
        <v>3693284</v>
      </c>
      <c r="D1342">
        <v>21883</v>
      </c>
      <c r="E1342">
        <v>21883</v>
      </c>
      <c r="F1342" t="s">
        <v>441</v>
      </c>
      <c r="G1342">
        <v>0</v>
      </c>
      <c r="I1342" s="5">
        <v>44044</v>
      </c>
      <c r="J1342" s="5">
        <v>43970.333333333336</v>
      </c>
    </row>
    <row r="1343" spans="1:10" x14ac:dyDescent="0.2">
      <c r="A1343">
        <v>7118581</v>
      </c>
      <c r="B1343">
        <v>3693253</v>
      </c>
      <c r="C1343">
        <v>3693284</v>
      </c>
      <c r="D1343">
        <v>21883</v>
      </c>
      <c r="E1343">
        <v>21883</v>
      </c>
      <c r="F1343" t="s">
        <v>441</v>
      </c>
      <c r="G1343">
        <v>0</v>
      </c>
      <c r="I1343" s="5">
        <v>44044</v>
      </c>
      <c r="J1343" s="5">
        <v>43970.333333333336</v>
      </c>
    </row>
    <row r="1344" spans="1:10" x14ac:dyDescent="0.2">
      <c r="A1344">
        <v>7118582</v>
      </c>
      <c r="B1344">
        <v>3693252</v>
      </c>
      <c r="C1344">
        <v>3693284</v>
      </c>
      <c r="D1344">
        <v>21883</v>
      </c>
      <c r="E1344">
        <v>21883</v>
      </c>
      <c r="F1344" t="s">
        <v>441</v>
      </c>
      <c r="G1344">
        <v>0</v>
      </c>
      <c r="I1344" s="5">
        <v>44044</v>
      </c>
      <c r="J1344" s="5">
        <v>43970.333333333336</v>
      </c>
    </row>
    <row r="1345" spans="1:10" x14ac:dyDescent="0.2">
      <c r="A1345">
        <v>7118583</v>
      </c>
      <c r="B1345">
        <v>3693249</v>
      </c>
      <c r="C1345">
        <v>3693284</v>
      </c>
      <c r="D1345">
        <v>21883</v>
      </c>
      <c r="E1345">
        <v>21883</v>
      </c>
      <c r="F1345" t="s">
        <v>441</v>
      </c>
      <c r="G1345">
        <v>0</v>
      </c>
      <c r="I1345" s="5">
        <v>44044</v>
      </c>
      <c r="J1345" s="5">
        <v>43970.333333333336</v>
      </c>
    </row>
    <row r="1346" spans="1:10" x14ac:dyDescent="0.2">
      <c r="A1346">
        <v>7118584</v>
      </c>
      <c r="B1346">
        <v>3693250</v>
      </c>
      <c r="C1346">
        <v>3693284</v>
      </c>
      <c r="D1346">
        <v>21883</v>
      </c>
      <c r="E1346">
        <v>21883</v>
      </c>
      <c r="F1346" t="s">
        <v>441</v>
      </c>
      <c r="G1346">
        <v>0</v>
      </c>
      <c r="I1346" s="5">
        <v>44044</v>
      </c>
      <c r="J1346" s="5">
        <v>43970.333333333336</v>
      </c>
    </row>
    <row r="1347" spans="1:10" x14ac:dyDescent="0.2">
      <c r="A1347">
        <v>7118585</v>
      </c>
      <c r="B1347">
        <v>3693251</v>
      </c>
      <c r="C1347">
        <v>3693284</v>
      </c>
      <c r="D1347">
        <v>21883</v>
      </c>
      <c r="E1347">
        <v>21883</v>
      </c>
      <c r="F1347" t="s">
        <v>441</v>
      </c>
      <c r="G1347">
        <v>0</v>
      </c>
      <c r="I1347" s="5">
        <v>44044</v>
      </c>
      <c r="J1347" s="5">
        <v>43970.333333333336</v>
      </c>
    </row>
    <row r="1348" spans="1:10" x14ac:dyDescent="0.2">
      <c r="A1348">
        <v>7118586</v>
      </c>
      <c r="B1348">
        <v>3692943</v>
      </c>
      <c r="C1348">
        <v>3693286</v>
      </c>
      <c r="D1348">
        <v>21883</v>
      </c>
      <c r="E1348">
        <v>21883</v>
      </c>
      <c r="F1348" t="s">
        <v>441</v>
      </c>
      <c r="G1348">
        <v>0</v>
      </c>
      <c r="I1348" s="5">
        <v>44044</v>
      </c>
      <c r="J1348" s="5">
        <v>43970.333333333336</v>
      </c>
    </row>
    <row r="1349" spans="1:10" x14ac:dyDescent="0.2">
      <c r="A1349">
        <v>7118587</v>
      </c>
      <c r="B1349">
        <v>3692949</v>
      </c>
      <c r="C1349">
        <v>3693286</v>
      </c>
      <c r="D1349">
        <v>21883</v>
      </c>
      <c r="E1349">
        <v>21883</v>
      </c>
      <c r="F1349" t="s">
        <v>441</v>
      </c>
      <c r="G1349">
        <v>0</v>
      </c>
      <c r="I1349" s="5">
        <v>44044</v>
      </c>
      <c r="J1349" s="5">
        <v>43970.333333333336</v>
      </c>
    </row>
    <row r="1350" spans="1:10" x14ac:dyDescent="0.2">
      <c r="A1350">
        <v>7118588</v>
      </c>
      <c r="B1350">
        <v>3692955</v>
      </c>
      <c r="C1350">
        <v>3693286</v>
      </c>
      <c r="D1350">
        <v>21883</v>
      </c>
      <c r="E1350">
        <v>21883</v>
      </c>
      <c r="F1350" t="s">
        <v>441</v>
      </c>
      <c r="G1350">
        <v>0</v>
      </c>
      <c r="I1350" s="5">
        <v>44044</v>
      </c>
      <c r="J1350" s="5">
        <v>43970.333333333336</v>
      </c>
    </row>
    <row r="1351" spans="1:10" x14ac:dyDescent="0.2">
      <c r="A1351">
        <v>7118589</v>
      </c>
      <c r="B1351">
        <v>3692961</v>
      </c>
      <c r="C1351">
        <v>3693286</v>
      </c>
      <c r="D1351">
        <v>21883</v>
      </c>
      <c r="E1351">
        <v>21883</v>
      </c>
      <c r="F1351" t="s">
        <v>441</v>
      </c>
      <c r="G1351">
        <v>0</v>
      </c>
      <c r="I1351" s="5">
        <v>44044</v>
      </c>
      <c r="J1351" s="5">
        <v>43970.333333333336</v>
      </c>
    </row>
    <row r="1352" spans="1:10" x14ac:dyDescent="0.2">
      <c r="A1352">
        <v>7118590</v>
      </c>
      <c r="B1352">
        <v>3692967</v>
      </c>
      <c r="C1352">
        <v>3693286</v>
      </c>
      <c r="D1352">
        <v>21883</v>
      </c>
      <c r="E1352">
        <v>21883</v>
      </c>
      <c r="F1352" t="s">
        <v>441</v>
      </c>
      <c r="G1352">
        <v>0</v>
      </c>
      <c r="I1352" s="5">
        <v>44044</v>
      </c>
      <c r="J1352" s="5">
        <v>43970.333333333336</v>
      </c>
    </row>
    <row r="1353" spans="1:10" x14ac:dyDescent="0.2">
      <c r="A1353">
        <v>7118591</v>
      </c>
      <c r="B1353">
        <v>3692973</v>
      </c>
      <c r="C1353">
        <v>3693286</v>
      </c>
      <c r="D1353">
        <v>21883</v>
      </c>
      <c r="E1353">
        <v>21883</v>
      </c>
      <c r="F1353" t="s">
        <v>441</v>
      </c>
      <c r="G1353">
        <v>0</v>
      </c>
      <c r="I1353" s="5">
        <v>44044</v>
      </c>
      <c r="J1353" s="5">
        <v>43970.333333333336</v>
      </c>
    </row>
    <row r="1354" spans="1:10" x14ac:dyDescent="0.2">
      <c r="A1354">
        <v>7118592</v>
      </c>
      <c r="B1354">
        <v>3692979</v>
      </c>
      <c r="C1354">
        <v>3693286</v>
      </c>
      <c r="D1354">
        <v>21883</v>
      </c>
      <c r="E1354">
        <v>21883</v>
      </c>
      <c r="F1354" t="s">
        <v>441</v>
      </c>
      <c r="G1354">
        <v>0</v>
      </c>
      <c r="I1354" s="5">
        <v>44044</v>
      </c>
      <c r="J1354" s="5">
        <v>43970.333333333336</v>
      </c>
    </row>
    <row r="1355" spans="1:10" x14ac:dyDescent="0.2">
      <c r="A1355">
        <v>7118593</v>
      </c>
      <c r="B1355">
        <v>3692985</v>
      </c>
      <c r="C1355">
        <v>3693286</v>
      </c>
      <c r="D1355">
        <v>21883</v>
      </c>
      <c r="E1355">
        <v>21883</v>
      </c>
      <c r="F1355" t="s">
        <v>441</v>
      </c>
      <c r="G1355">
        <v>0</v>
      </c>
      <c r="I1355" s="5">
        <v>44044</v>
      </c>
      <c r="J1355" s="5">
        <v>43970.333333333336</v>
      </c>
    </row>
    <row r="1356" spans="1:10" x14ac:dyDescent="0.2">
      <c r="A1356">
        <v>7118594</v>
      </c>
      <c r="B1356">
        <v>3692909</v>
      </c>
      <c r="C1356">
        <v>3693281</v>
      </c>
      <c r="D1356">
        <v>21883</v>
      </c>
      <c r="E1356">
        <v>21883</v>
      </c>
      <c r="F1356" t="s">
        <v>441</v>
      </c>
      <c r="G1356">
        <v>0</v>
      </c>
      <c r="I1356" s="5">
        <v>44044</v>
      </c>
      <c r="J1356" s="5">
        <v>43970.333333333336</v>
      </c>
    </row>
    <row r="1357" spans="1:10" x14ac:dyDescent="0.2">
      <c r="A1357">
        <v>7118595</v>
      </c>
      <c r="B1357">
        <v>3692918</v>
      </c>
      <c r="C1357">
        <v>3693281</v>
      </c>
      <c r="D1357">
        <v>21883</v>
      </c>
      <c r="E1357">
        <v>21883</v>
      </c>
      <c r="F1357" t="s">
        <v>441</v>
      </c>
      <c r="G1357">
        <v>0</v>
      </c>
      <c r="I1357" s="5">
        <v>44044</v>
      </c>
      <c r="J1357" s="5">
        <v>43970.333333333336</v>
      </c>
    </row>
    <row r="1358" spans="1:10" x14ac:dyDescent="0.2">
      <c r="A1358">
        <v>7118596</v>
      </c>
      <c r="B1358">
        <v>3692915</v>
      </c>
      <c r="C1358">
        <v>3693281</v>
      </c>
      <c r="D1358">
        <v>21883</v>
      </c>
      <c r="E1358">
        <v>21883</v>
      </c>
      <c r="F1358" t="s">
        <v>441</v>
      </c>
      <c r="G1358">
        <v>0</v>
      </c>
      <c r="I1358" s="5">
        <v>44044</v>
      </c>
      <c r="J1358" s="5">
        <v>43970.333333333336</v>
      </c>
    </row>
    <row r="1359" spans="1:10" x14ac:dyDescent="0.2">
      <c r="A1359">
        <v>7118597</v>
      </c>
      <c r="B1359">
        <v>3692912</v>
      </c>
      <c r="C1359">
        <v>3693281</v>
      </c>
      <c r="D1359">
        <v>21883</v>
      </c>
      <c r="E1359">
        <v>21883</v>
      </c>
      <c r="F1359" t="s">
        <v>441</v>
      </c>
      <c r="G1359">
        <v>0</v>
      </c>
      <c r="I1359" s="5">
        <v>44044</v>
      </c>
      <c r="J1359" s="5">
        <v>43970.333333333336</v>
      </c>
    </row>
    <row r="1360" spans="1:10" x14ac:dyDescent="0.2">
      <c r="A1360">
        <v>7118598</v>
      </c>
      <c r="B1360">
        <v>3693288</v>
      </c>
      <c r="C1360">
        <v>3693287</v>
      </c>
      <c r="D1360">
        <v>21883</v>
      </c>
      <c r="E1360">
        <v>21883</v>
      </c>
      <c r="F1360" t="s">
        <v>441</v>
      </c>
      <c r="G1360">
        <v>0</v>
      </c>
      <c r="I1360" s="5">
        <v>44044</v>
      </c>
      <c r="J1360" s="5">
        <v>43970.333333333336</v>
      </c>
    </row>
    <row r="1361" spans="1:10" x14ac:dyDescent="0.2">
      <c r="A1361">
        <v>7118599</v>
      </c>
      <c r="B1361">
        <v>3693289</v>
      </c>
      <c r="C1361">
        <v>3693288</v>
      </c>
      <c r="D1361">
        <v>21883</v>
      </c>
      <c r="E1361">
        <v>21883</v>
      </c>
      <c r="F1361" t="s">
        <v>441</v>
      </c>
      <c r="G1361">
        <v>0</v>
      </c>
      <c r="I1361" s="5">
        <v>44044</v>
      </c>
      <c r="J1361" s="5">
        <v>43970.333333333336</v>
      </c>
    </row>
    <row r="1362" spans="1:10" x14ac:dyDescent="0.2">
      <c r="A1362">
        <v>7118600</v>
      </c>
      <c r="B1362">
        <v>3693290</v>
      </c>
      <c r="C1362">
        <v>3693289</v>
      </c>
      <c r="D1362">
        <v>21883</v>
      </c>
      <c r="E1362">
        <v>21883</v>
      </c>
      <c r="F1362" t="s">
        <v>441</v>
      </c>
      <c r="G1362">
        <v>0</v>
      </c>
      <c r="I1362" s="5">
        <v>44044</v>
      </c>
      <c r="J1362" s="5">
        <v>43970.333333333336</v>
      </c>
    </row>
    <row r="1363" spans="1:10" x14ac:dyDescent="0.2">
      <c r="A1363">
        <v>7118601</v>
      </c>
      <c r="B1363">
        <v>3693291</v>
      </c>
      <c r="C1363">
        <v>3693290</v>
      </c>
      <c r="D1363">
        <v>21883</v>
      </c>
      <c r="E1363">
        <v>21883</v>
      </c>
      <c r="F1363" t="s">
        <v>441</v>
      </c>
      <c r="G1363">
        <v>0</v>
      </c>
      <c r="I1363" s="5">
        <v>44044</v>
      </c>
      <c r="J1363" s="5">
        <v>43970.333333333336</v>
      </c>
    </row>
    <row r="1364" spans="1:10" x14ac:dyDescent="0.2">
      <c r="A1364">
        <v>7118602</v>
      </c>
      <c r="B1364">
        <v>3693293</v>
      </c>
      <c r="C1364">
        <v>3693292</v>
      </c>
      <c r="D1364">
        <v>21883</v>
      </c>
      <c r="E1364">
        <v>21883</v>
      </c>
      <c r="F1364" t="s">
        <v>441</v>
      </c>
      <c r="G1364">
        <v>0</v>
      </c>
      <c r="I1364" s="5">
        <v>44044</v>
      </c>
      <c r="J1364" s="5">
        <v>43970.333333333336</v>
      </c>
    </row>
    <row r="1365" spans="1:10" x14ac:dyDescent="0.2">
      <c r="A1365">
        <v>7118603</v>
      </c>
      <c r="B1365">
        <v>3693294</v>
      </c>
      <c r="C1365">
        <v>3693293</v>
      </c>
      <c r="D1365">
        <v>21883</v>
      </c>
      <c r="E1365">
        <v>21883</v>
      </c>
      <c r="F1365" t="s">
        <v>441</v>
      </c>
      <c r="G1365">
        <v>0</v>
      </c>
      <c r="I1365" s="5">
        <v>44044</v>
      </c>
      <c r="J1365" s="5">
        <v>43970.333333333336</v>
      </c>
    </row>
    <row r="1366" spans="1:10" x14ac:dyDescent="0.2">
      <c r="A1366">
        <v>7118604</v>
      </c>
      <c r="B1366">
        <v>3693295</v>
      </c>
      <c r="C1366">
        <v>3693294</v>
      </c>
      <c r="D1366">
        <v>21883</v>
      </c>
      <c r="E1366">
        <v>21883</v>
      </c>
      <c r="F1366" t="s">
        <v>441</v>
      </c>
      <c r="G1366">
        <v>0</v>
      </c>
      <c r="I1366" s="5">
        <v>44044</v>
      </c>
      <c r="J1366" s="5">
        <v>43970.333333333336</v>
      </c>
    </row>
    <row r="1367" spans="1:10" x14ac:dyDescent="0.2">
      <c r="A1367">
        <v>7118605</v>
      </c>
      <c r="B1367">
        <v>3693296</v>
      </c>
      <c r="C1367">
        <v>3693295</v>
      </c>
      <c r="D1367">
        <v>21883</v>
      </c>
      <c r="E1367">
        <v>21883</v>
      </c>
      <c r="F1367" t="s">
        <v>441</v>
      </c>
      <c r="G1367">
        <v>0</v>
      </c>
      <c r="I1367" s="5">
        <v>44044</v>
      </c>
      <c r="J1367" s="5">
        <v>43970.333333333336</v>
      </c>
    </row>
    <row r="1368" spans="1:10" x14ac:dyDescent="0.2">
      <c r="A1368">
        <v>7118606</v>
      </c>
      <c r="B1368">
        <v>3693292</v>
      </c>
      <c r="C1368">
        <v>3692988</v>
      </c>
      <c r="D1368">
        <v>21883</v>
      </c>
      <c r="E1368">
        <v>21883</v>
      </c>
      <c r="F1368" t="s">
        <v>441</v>
      </c>
      <c r="G1368">
        <v>0</v>
      </c>
      <c r="I1368" s="5">
        <v>44044</v>
      </c>
      <c r="J1368" s="5">
        <v>43970.333333333336</v>
      </c>
    </row>
    <row r="1369" spans="1:10" x14ac:dyDescent="0.2">
      <c r="A1369">
        <v>7118607</v>
      </c>
      <c r="B1369">
        <v>3692989</v>
      </c>
      <c r="C1369">
        <v>3693296</v>
      </c>
      <c r="D1369">
        <v>21883</v>
      </c>
      <c r="E1369">
        <v>21883</v>
      </c>
      <c r="F1369" t="s">
        <v>441</v>
      </c>
      <c r="G1369">
        <v>0</v>
      </c>
      <c r="I1369" s="5">
        <v>44044</v>
      </c>
      <c r="J1369" s="5">
        <v>43970.333333333336</v>
      </c>
    </row>
    <row r="1370" spans="1:10" x14ac:dyDescent="0.2">
      <c r="A1370">
        <v>7118608</v>
      </c>
      <c r="B1370">
        <v>3692989</v>
      </c>
      <c r="C1370">
        <v>3693291</v>
      </c>
      <c r="D1370">
        <v>21883</v>
      </c>
      <c r="E1370">
        <v>21883</v>
      </c>
      <c r="F1370" t="s">
        <v>441</v>
      </c>
      <c r="G1370">
        <v>0</v>
      </c>
      <c r="I1370" s="5">
        <v>44044</v>
      </c>
      <c r="J1370" s="5">
        <v>43970.333333333336</v>
      </c>
    </row>
    <row r="1371" spans="1:10" x14ac:dyDescent="0.2">
      <c r="A1371">
        <v>7118609</v>
      </c>
      <c r="B1371">
        <v>3692991</v>
      </c>
      <c r="C1371">
        <v>3692990</v>
      </c>
      <c r="D1371">
        <v>21883</v>
      </c>
      <c r="E1371">
        <v>21883</v>
      </c>
      <c r="F1371" t="s">
        <v>441</v>
      </c>
      <c r="G1371">
        <v>0</v>
      </c>
      <c r="I1371" s="5">
        <v>44044</v>
      </c>
      <c r="J1371" s="5">
        <v>43970.333333333336</v>
      </c>
    </row>
    <row r="1372" spans="1:10" x14ac:dyDescent="0.2">
      <c r="A1372">
        <v>7118610</v>
      </c>
      <c r="B1372">
        <v>3692991</v>
      </c>
      <c r="C1372">
        <v>3692992</v>
      </c>
      <c r="D1372">
        <v>21883</v>
      </c>
      <c r="E1372">
        <v>21883</v>
      </c>
      <c r="F1372" t="s">
        <v>441</v>
      </c>
      <c r="G1372">
        <v>0</v>
      </c>
      <c r="I1372" s="5">
        <v>44044</v>
      </c>
      <c r="J1372" s="5">
        <v>43970.333333333336</v>
      </c>
    </row>
    <row r="1373" spans="1:10" x14ac:dyDescent="0.2">
      <c r="A1373">
        <v>7118611</v>
      </c>
      <c r="B1373">
        <v>3693299</v>
      </c>
      <c r="C1373">
        <v>3693298</v>
      </c>
      <c r="D1373">
        <v>21883</v>
      </c>
      <c r="E1373">
        <v>21883</v>
      </c>
      <c r="F1373" t="s">
        <v>441</v>
      </c>
      <c r="G1373">
        <v>0</v>
      </c>
      <c r="I1373" s="5">
        <v>44044</v>
      </c>
      <c r="J1373" s="5">
        <v>43970.333333333336</v>
      </c>
    </row>
    <row r="1374" spans="1:10" x14ac:dyDescent="0.2">
      <c r="A1374">
        <v>7118612</v>
      </c>
      <c r="B1374">
        <v>3693297</v>
      </c>
      <c r="C1374">
        <v>3693300</v>
      </c>
      <c r="D1374">
        <v>21883</v>
      </c>
      <c r="E1374">
        <v>21883</v>
      </c>
      <c r="F1374" t="s">
        <v>441</v>
      </c>
      <c r="G1374">
        <v>0</v>
      </c>
      <c r="I1374" s="5">
        <v>44044</v>
      </c>
      <c r="J1374" s="5">
        <v>43970.333333333336</v>
      </c>
    </row>
    <row r="1375" spans="1:10" x14ac:dyDescent="0.2">
      <c r="A1375">
        <v>7118613</v>
      </c>
      <c r="B1375">
        <v>3693306</v>
      </c>
      <c r="C1375">
        <v>3693304</v>
      </c>
      <c r="D1375">
        <v>21883</v>
      </c>
      <c r="E1375">
        <v>21883</v>
      </c>
      <c r="F1375" t="s">
        <v>441</v>
      </c>
      <c r="G1375">
        <v>0</v>
      </c>
      <c r="I1375" s="5">
        <v>44044</v>
      </c>
      <c r="J1375" s="5">
        <v>43970.333333333336</v>
      </c>
    </row>
    <row r="1376" spans="1:10" x14ac:dyDescent="0.2">
      <c r="A1376">
        <v>7118614</v>
      </c>
      <c r="B1376">
        <v>3693307</v>
      </c>
      <c r="C1376">
        <v>3693305</v>
      </c>
      <c r="D1376">
        <v>21883</v>
      </c>
      <c r="E1376">
        <v>21883</v>
      </c>
      <c r="F1376" t="s">
        <v>441</v>
      </c>
      <c r="G1376">
        <v>0</v>
      </c>
      <c r="I1376" s="5">
        <v>44044</v>
      </c>
      <c r="J1376" s="5">
        <v>43970.333333333336</v>
      </c>
    </row>
    <row r="1377" spans="1:10" x14ac:dyDescent="0.2">
      <c r="A1377">
        <v>7118615</v>
      </c>
      <c r="B1377">
        <v>3693313</v>
      </c>
      <c r="C1377">
        <v>3693308</v>
      </c>
      <c r="D1377">
        <v>21883</v>
      </c>
      <c r="E1377">
        <v>21883</v>
      </c>
      <c r="F1377" t="s">
        <v>441</v>
      </c>
      <c r="G1377">
        <v>0</v>
      </c>
      <c r="I1377" s="5">
        <v>44044</v>
      </c>
      <c r="J1377" s="5">
        <v>44082.333333333336</v>
      </c>
    </row>
    <row r="1378" spans="1:10" x14ac:dyDescent="0.2">
      <c r="A1378">
        <v>7118616</v>
      </c>
      <c r="B1378">
        <v>3693312</v>
      </c>
      <c r="C1378">
        <v>3693309</v>
      </c>
      <c r="D1378">
        <v>21883</v>
      </c>
      <c r="E1378">
        <v>21883</v>
      </c>
      <c r="F1378" t="s">
        <v>441</v>
      </c>
      <c r="G1378">
        <v>0</v>
      </c>
      <c r="I1378" s="5">
        <v>44044</v>
      </c>
      <c r="J1378" s="5">
        <v>44113.333333333336</v>
      </c>
    </row>
    <row r="1379" spans="1:10" x14ac:dyDescent="0.2">
      <c r="A1379">
        <v>7118617</v>
      </c>
      <c r="B1379">
        <v>3693315</v>
      </c>
      <c r="C1379">
        <v>3693310</v>
      </c>
      <c r="D1379">
        <v>21883</v>
      </c>
      <c r="E1379">
        <v>21883</v>
      </c>
      <c r="F1379" t="s">
        <v>441</v>
      </c>
      <c r="G1379">
        <v>0</v>
      </c>
      <c r="I1379" s="5">
        <v>44044</v>
      </c>
      <c r="J1379" s="5">
        <v>44032.333333333336</v>
      </c>
    </row>
    <row r="1380" spans="1:10" x14ac:dyDescent="0.2">
      <c r="A1380">
        <v>7118618</v>
      </c>
      <c r="B1380">
        <v>3693159</v>
      </c>
      <c r="C1380">
        <v>3693301</v>
      </c>
      <c r="D1380">
        <v>21883</v>
      </c>
      <c r="E1380">
        <v>21883</v>
      </c>
      <c r="F1380" t="s">
        <v>441</v>
      </c>
      <c r="G1380">
        <v>0</v>
      </c>
      <c r="I1380" s="5">
        <v>44044</v>
      </c>
      <c r="J1380" s="5">
        <v>43970.333333333336</v>
      </c>
    </row>
    <row r="1381" spans="1:10" x14ac:dyDescent="0.2">
      <c r="A1381">
        <v>7118619</v>
      </c>
      <c r="B1381">
        <v>3693159</v>
      </c>
      <c r="C1381">
        <v>3693302</v>
      </c>
      <c r="D1381">
        <v>21883</v>
      </c>
      <c r="E1381">
        <v>21883</v>
      </c>
      <c r="F1381" t="s">
        <v>441</v>
      </c>
      <c r="G1381">
        <v>0</v>
      </c>
      <c r="I1381" s="5">
        <v>44044</v>
      </c>
      <c r="J1381" s="5">
        <v>43970.333333333336</v>
      </c>
    </row>
    <row r="1382" spans="1:10" x14ac:dyDescent="0.2">
      <c r="A1382">
        <v>7118620</v>
      </c>
      <c r="B1382">
        <v>3693159</v>
      </c>
      <c r="C1382">
        <v>3693303</v>
      </c>
      <c r="D1382">
        <v>21883</v>
      </c>
      <c r="E1382">
        <v>21883</v>
      </c>
      <c r="F1382" t="s">
        <v>441</v>
      </c>
      <c r="G1382">
        <v>0</v>
      </c>
      <c r="I1382" s="5">
        <v>44044</v>
      </c>
      <c r="J1382" s="5">
        <v>43970.333333333336</v>
      </c>
    </row>
    <row r="1383" spans="1:10" x14ac:dyDescent="0.2">
      <c r="A1383">
        <v>7118621</v>
      </c>
      <c r="B1383">
        <v>3693202</v>
      </c>
      <c r="C1383">
        <v>3693173</v>
      </c>
      <c r="D1383">
        <v>21883</v>
      </c>
      <c r="E1383">
        <v>21883</v>
      </c>
      <c r="F1383" t="s">
        <v>442</v>
      </c>
      <c r="G1383">
        <v>40</v>
      </c>
      <c r="I1383" s="5">
        <v>44044</v>
      </c>
      <c r="J1383" s="5">
        <v>43983.333333333336</v>
      </c>
    </row>
    <row r="1384" spans="1:10" x14ac:dyDescent="0.2">
      <c r="A1384">
        <v>7118622</v>
      </c>
      <c r="B1384">
        <v>3693169</v>
      </c>
      <c r="C1384">
        <v>3693160</v>
      </c>
      <c r="D1384">
        <v>21883</v>
      </c>
      <c r="E1384">
        <v>21883</v>
      </c>
      <c r="F1384" t="s">
        <v>441</v>
      </c>
      <c r="G1384">
        <v>0</v>
      </c>
      <c r="I1384" s="5">
        <v>44044</v>
      </c>
      <c r="J1384" s="5">
        <v>43970.333333333336</v>
      </c>
    </row>
    <row r="1385" spans="1:10" x14ac:dyDescent="0.2">
      <c r="A1385">
        <v>7118623</v>
      </c>
      <c r="B1385">
        <v>3693169</v>
      </c>
      <c r="C1385">
        <v>3692993</v>
      </c>
      <c r="D1385">
        <v>21883</v>
      </c>
      <c r="E1385">
        <v>21883</v>
      </c>
      <c r="F1385" t="s">
        <v>441</v>
      </c>
      <c r="G1385">
        <v>0</v>
      </c>
      <c r="I1385" s="5">
        <v>44044</v>
      </c>
      <c r="J1385" s="5">
        <v>43970.333333333336</v>
      </c>
    </row>
    <row r="1386" spans="1:10" x14ac:dyDescent="0.2">
      <c r="A1386">
        <v>7118624</v>
      </c>
      <c r="B1386">
        <v>3693196</v>
      </c>
      <c r="C1386">
        <v>3693194</v>
      </c>
      <c r="D1386">
        <v>21883</v>
      </c>
      <c r="E1386">
        <v>21883</v>
      </c>
      <c r="F1386" t="s">
        <v>442</v>
      </c>
      <c r="G1386">
        <v>0</v>
      </c>
      <c r="I1386" s="5">
        <v>44044</v>
      </c>
      <c r="J1386" s="5">
        <v>43970.333333333336</v>
      </c>
    </row>
    <row r="1387" spans="1:10" x14ac:dyDescent="0.2">
      <c r="A1387">
        <v>7118625</v>
      </c>
      <c r="B1387">
        <v>3692903</v>
      </c>
      <c r="C1387">
        <v>3693071</v>
      </c>
      <c r="D1387">
        <v>21883</v>
      </c>
      <c r="E1387">
        <v>21883</v>
      </c>
      <c r="F1387" t="s">
        <v>441</v>
      </c>
      <c r="G1387">
        <v>0</v>
      </c>
      <c r="I1387" s="5">
        <v>44044</v>
      </c>
      <c r="J1387" s="5">
        <v>43970.333333333336</v>
      </c>
    </row>
    <row r="1388" spans="1:10" x14ac:dyDescent="0.2">
      <c r="A1388">
        <v>7118626</v>
      </c>
      <c r="B1388">
        <v>3692931</v>
      </c>
      <c r="C1388">
        <v>3692903</v>
      </c>
      <c r="D1388">
        <v>21883</v>
      </c>
      <c r="E1388">
        <v>21883</v>
      </c>
      <c r="F1388" t="s">
        <v>441</v>
      </c>
      <c r="G1388">
        <v>0</v>
      </c>
      <c r="I1388" s="5">
        <v>44044</v>
      </c>
      <c r="J1388" s="5">
        <v>43970.333333333336</v>
      </c>
    </row>
    <row r="1389" spans="1:10" x14ac:dyDescent="0.2">
      <c r="A1389">
        <v>7118627</v>
      </c>
      <c r="B1389">
        <v>3692926</v>
      </c>
      <c r="C1389">
        <v>3692903</v>
      </c>
      <c r="D1389">
        <v>21883</v>
      </c>
      <c r="E1389">
        <v>21883</v>
      </c>
      <c r="F1389" t="s">
        <v>441</v>
      </c>
      <c r="G1389">
        <v>0</v>
      </c>
      <c r="I1389" s="5">
        <v>44044</v>
      </c>
      <c r="J1389" s="5">
        <v>43970.333333333336</v>
      </c>
    </row>
    <row r="1390" spans="1:10" x14ac:dyDescent="0.2">
      <c r="A1390">
        <v>7118628</v>
      </c>
      <c r="B1390">
        <v>3693018</v>
      </c>
      <c r="C1390">
        <v>3692902</v>
      </c>
      <c r="D1390">
        <v>21883</v>
      </c>
      <c r="E1390">
        <v>21883</v>
      </c>
      <c r="F1390" t="s">
        <v>441</v>
      </c>
      <c r="G1390">
        <v>0</v>
      </c>
      <c r="I1390" s="5">
        <v>44044</v>
      </c>
      <c r="J1390" s="5">
        <v>43970.333333333336</v>
      </c>
    </row>
    <row r="1391" spans="1:10" x14ac:dyDescent="0.2">
      <c r="A1391">
        <v>7118629</v>
      </c>
      <c r="B1391">
        <v>3693070</v>
      </c>
      <c r="C1391">
        <v>3693071</v>
      </c>
      <c r="D1391">
        <v>21883</v>
      </c>
      <c r="E1391">
        <v>21883</v>
      </c>
      <c r="F1391" t="s">
        <v>440</v>
      </c>
      <c r="G1391">
        <v>0</v>
      </c>
      <c r="I1391" s="5">
        <v>44044</v>
      </c>
      <c r="J1391" s="5">
        <v>43970.333333333336</v>
      </c>
    </row>
    <row r="1392" spans="1:10" x14ac:dyDescent="0.2">
      <c r="A1392">
        <v>7118630</v>
      </c>
      <c r="B1392">
        <v>3693336</v>
      </c>
      <c r="C1392">
        <v>3693337</v>
      </c>
      <c r="D1392">
        <v>21883</v>
      </c>
      <c r="E1392">
        <v>21883</v>
      </c>
      <c r="F1392" t="s">
        <v>441</v>
      </c>
      <c r="G1392">
        <v>0</v>
      </c>
      <c r="I1392" s="5">
        <v>44057.666666666664</v>
      </c>
      <c r="J1392" s="5">
        <v>44006.333333333336</v>
      </c>
    </row>
    <row r="1393" spans="1:10" x14ac:dyDescent="0.2">
      <c r="A1393">
        <v>7118631</v>
      </c>
      <c r="B1393">
        <v>3693338</v>
      </c>
      <c r="C1393">
        <v>3693336</v>
      </c>
      <c r="D1393">
        <v>21883</v>
      </c>
      <c r="E1393">
        <v>21883</v>
      </c>
      <c r="F1393" t="s">
        <v>441</v>
      </c>
      <c r="G1393">
        <v>0</v>
      </c>
      <c r="I1393" s="5">
        <v>44057.666666666664</v>
      </c>
      <c r="J1393" s="5">
        <v>44006.333333333336</v>
      </c>
    </row>
    <row r="1394" spans="1:10" x14ac:dyDescent="0.2">
      <c r="A1394">
        <v>7118632</v>
      </c>
      <c r="B1394">
        <v>3693342</v>
      </c>
      <c r="C1394">
        <v>3693343</v>
      </c>
      <c r="D1394">
        <v>21883</v>
      </c>
      <c r="E1394">
        <v>21883</v>
      </c>
      <c r="F1394" t="s">
        <v>441</v>
      </c>
      <c r="G1394">
        <v>0</v>
      </c>
      <c r="I1394" s="5">
        <v>44044</v>
      </c>
      <c r="J1394" s="5">
        <v>44082.333333333336</v>
      </c>
    </row>
    <row r="1395" spans="1:10" x14ac:dyDescent="0.2">
      <c r="A1395">
        <v>7118633</v>
      </c>
      <c r="B1395">
        <v>3693344</v>
      </c>
      <c r="C1395">
        <v>3693342</v>
      </c>
      <c r="D1395">
        <v>21883</v>
      </c>
      <c r="E1395">
        <v>21883</v>
      </c>
      <c r="F1395" t="s">
        <v>441</v>
      </c>
      <c r="G1395">
        <v>0</v>
      </c>
      <c r="I1395" s="5">
        <v>44111.666666666664</v>
      </c>
      <c r="J1395" s="5">
        <v>44084.333333333336</v>
      </c>
    </row>
    <row r="1396" spans="1:10" x14ac:dyDescent="0.2">
      <c r="A1396">
        <v>7118634</v>
      </c>
      <c r="B1396">
        <v>3693238</v>
      </c>
      <c r="C1396">
        <v>3693344</v>
      </c>
      <c r="D1396">
        <v>21883</v>
      </c>
      <c r="E1396">
        <v>21883</v>
      </c>
      <c r="F1396" t="s">
        <v>441</v>
      </c>
      <c r="G1396">
        <v>0</v>
      </c>
      <c r="I1396" s="5">
        <v>44112.666666666664</v>
      </c>
      <c r="J1396" s="5">
        <v>44088.333333333336</v>
      </c>
    </row>
    <row r="1397" spans="1:10" x14ac:dyDescent="0.2">
      <c r="A1397">
        <v>7118635</v>
      </c>
      <c r="B1397">
        <v>3693222</v>
      </c>
      <c r="C1397">
        <v>3693338</v>
      </c>
      <c r="D1397">
        <v>21883</v>
      </c>
      <c r="E1397">
        <v>21883</v>
      </c>
      <c r="F1397" t="s">
        <v>441</v>
      </c>
      <c r="G1397">
        <v>0</v>
      </c>
      <c r="I1397" s="5">
        <v>44057.666666666664</v>
      </c>
      <c r="J1397" s="5">
        <v>44006.333333333336</v>
      </c>
    </row>
    <row r="1398" spans="1:10" x14ac:dyDescent="0.2">
      <c r="A1398">
        <v>7118636</v>
      </c>
      <c r="B1398">
        <v>3693322</v>
      </c>
      <c r="C1398">
        <v>3692901</v>
      </c>
      <c r="D1398">
        <v>21883</v>
      </c>
      <c r="E1398">
        <v>21883</v>
      </c>
      <c r="F1398" t="s">
        <v>442</v>
      </c>
      <c r="G1398">
        <v>0</v>
      </c>
      <c r="I1398" s="5">
        <v>44044</v>
      </c>
      <c r="J1398" s="5">
        <v>43970.333333333336</v>
      </c>
    </row>
    <row r="1399" spans="1:10" x14ac:dyDescent="0.2">
      <c r="A1399">
        <v>7118637</v>
      </c>
      <c r="B1399">
        <v>3693323</v>
      </c>
      <c r="C1399">
        <v>3692991</v>
      </c>
      <c r="D1399">
        <v>21883</v>
      </c>
      <c r="E1399">
        <v>21883</v>
      </c>
      <c r="F1399" t="s">
        <v>440</v>
      </c>
      <c r="G1399">
        <v>0</v>
      </c>
      <c r="I1399" s="5">
        <v>44044</v>
      </c>
      <c r="J1399" s="5">
        <v>43970.333333333336</v>
      </c>
    </row>
    <row r="1400" spans="1:10" x14ac:dyDescent="0.2">
      <c r="A1400">
        <v>7118638</v>
      </c>
      <c r="B1400">
        <v>3693334</v>
      </c>
      <c r="C1400">
        <v>3693233</v>
      </c>
      <c r="D1400">
        <v>21883</v>
      </c>
      <c r="E1400">
        <v>21883</v>
      </c>
      <c r="F1400" t="s">
        <v>440</v>
      </c>
      <c r="G1400">
        <v>0</v>
      </c>
      <c r="I1400" s="5">
        <v>43994.333333333336</v>
      </c>
      <c r="J1400" s="5">
        <v>44064.666666666664</v>
      </c>
    </row>
    <row r="1401" spans="1:10" x14ac:dyDescent="0.2">
      <c r="A1401">
        <v>7118639</v>
      </c>
      <c r="B1401">
        <v>3693004</v>
      </c>
      <c r="C1401">
        <v>3693233</v>
      </c>
      <c r="D1401">
        <v>21883</v>
      </c>
      <c r="E1401">
        <v>21883</v>
      </c>
      <c r="F1401" t="s">
        <v>441</v>
      </c>
      <c r="G1401">
        <v>0</v>
      </c>
      <c r="I1401" s="5">
        <v>44071.666666666664</v>
      </c>
      <c r="J1401" s="5">
        <v>44070.333333333336</v>
      </c>
    </row>
    <row r="1402" spans="1:10" x14ac:dyDescent="0.2">
      <c r="A1402">
        <v>7118640</v>
      </c>
      <c r="B1402">
        <v>3693005</v>
      </c>
      <c r="C1402">
        <v>3693233</v>
      </c>
      <c r="D1402">
        <v>21883</v>
      </c>
      <c r="E1402">
        <v>21883</v>
      </c>
      <c r="F1402" t="s">
        <v>441</v>
      </c>
      <c r="G1402">
        <v>0</v>
      </c>
      <c r="I1402" s="5">
        <v>44071.666666666664</v>
      </c>
      <c r="J1402" s="5">
        <v>44107.333333333336</v>
      </c>
    </row>
    <row r="1403" spans="1:10" x14ac:dyDescent="0.2">
      <c r="A1403">
        <v>7118641</v>
      </c>
      <c r="B1403">
        <v>3693324</v>
      </c>
      <c r="C1403">
        <v>3693015</v>
      </c>
      <c r="D1403">
        <v>21883</v>
      </c>
      <c r="E1403">
        <v>21883</v>
      </c>
      <c r="F1403" t="s">
        <v>441</v>
      </c>
      <c r="G1403">
        <v>0</v>
      </c>
      <c r="I1403" s="5">
        <v>44044</v>
      </c>
      <c r="J1403" s="5">
        <v>43970.333333333336</v>
      </c>
    </row>
    <row r="1404" spans="1:10" x14ac:dyDescent="0.2">
      <c r="A1404">
        <v>7118642</v>
      </c>
      <c r="B1404">
        <v>3693325</v>
      </c>
      <c r="C1404">
        <v>3693016</v>
      </c>
      <c r="D1404">
        <v>21883</v>
      </c>
      <c r="E1404">
        <v>21883</v>
      </c>
      <c r="F1404" t="s">
        <v>440</v>
      </c>
      <c r="G1404">
        <v>0</v>
      </c>
      <c r="I1404" s="5">
        <v>44044</v>
      </c>
      <c r="J1404" s="5">
        <v>43970.333333333336</v>
      </c>
    </row>
    <row r="1405" spans="1:10" x14ac:dyDescent="0.2">
      <c r="A1405">
        <v>7118643</v>
      </c>
      <c r="B1405">
        <v>3692880</v>
      </c>
      <c r="C1405">
        <v>3693032</v>
      </c>
      <c r="D1405">
        <v>21883</v>
      </c>
      <c r="E1405">
        <v>21883</v>
      </c>
      <c r="F1405" t="s">
        <v>440</v>
      </c>
      <c r="G1405">
        <v>0</v>
      </c>
      <c r="I1405" s="5">
        <v>44044</v>
      </c>
      <c r="J1405" s="5">
        <v>43970.333333333336</v>
      </c>
    </row>
    <row r="1406" spans="1:10" x14ac:dyDescent="0.2">
      <c r="A1406">
        <v>7118644</v>
      </c>
      <c r="B1406">
        <v>3693326</v>
      </c>
      <c r="C1406">
        <v>3693038</v>
      </c>
      <c r="D1406">
        <v>21883</v>
      </c>
      <c r="E1406">
        <v>21883</v>
      </c>
      <c r="F1406" t="s">
        <v>442</v>
      </c>
      <c r="G1406">
        <v>0</v>
      </c>
      <c r="I1406" s="5">
        <v>44044</v>
      </c>
      <c r="J1406" s="5">
        <v>44273.666666666664</v>
      </c>
    </row>
    <row r="1407" spans="1:10" x14ac:dyDescent="0.2">
      <c r="A1407">
        <v>7118645</v>
      </c>
      <c r="B1407">
        <v>3692877</v>
      </c>
      <c r="C1407">
        <v>3693169</v>
      </c>
      <c r="D1407">
        <v>21883</v>
      </c>
      <c r="E1407">
        <v>21883</v>
      </c>
      <c r="F1407" t="s">
        <v>442</v>
      </c>
      <c r="G1407">
        <v>0</v>
      </c>
      <c r="I1407" s="5">
        <v>44044</v>
      </c>
      <c r="J1407" s="5">
        <v>43970.333333333336</v>
      </c>
    </row>
    <row r="1408" spans="1:10" x14ac:dyDescent="0.2">
      <c r="A1408">
        <v>7118646</v>
      </c>
      <c r="B1408">
        <v>3692876</v>
      </c>
      <c r="C1408">
        <v>3693161</v>
      </c>
      <c r="D1408">
        <v>21883</v>
      </c>
      <c r="E1408">
        <v>21883</v>
      </c>
      <c r="F1408" t="s">
        <v>440</v>
      </c>
      <c r="G1408">
        <v>0</v>
      </c>
      <c r="I1408" s="5">
        <v>44044</v>
      </c>
      <c r="J1408" s="5">
        <v>43970.333333333336</v>
      </c>
    </row>
    <row r="1409" spans="1:10" x14ac:dyDescent="0.2">
      <c r="A1409">
        <v>7118647</v>
      </c>
      <c r="B1409">
        <v>3693328</v>
      </c>
      <c r="C1409">
        <v>3693162</v>
      </c>
      <c r="D1409">
        <v>21883</v>
      </c>
      <c r="E1409">
        <v>21883</v>
      </c>
      <c r="F1409" t="s">
        <v>442</v>
      </c>
      <c r="G1409">
        <v>0</v>
      </c>
      <c r="I1409" s="5">
        <v>44044</v>
      </c>
      <c r="J1409" s="5">
        <v>43970.333333333336</v>
      </c>
    </row>
    <row r="1410" spans="1:10" x14ac:dyDescent="0.2">
      <c r="A1410">
        <v>7118648</v>
      </c>
      <c r="B1410">
        <v>3693329</v>
      </c>
      <c r="C1410">
        <v>3693167</v>
      </c>
      <c r="D1410">
        <v>21883</v>
      </c>
      <c r="E1410">
        <v>21883</v>
      </c>
      <c r="F1410" t="s">
        <v>440</v>
      </c>
      <c r="G1410">
        <v>0</v>
      </c>
      <c r="I1410" s="5">
        <v>44044</v>
      </c>
      <c r="J1410" s="5">
        <v>44273.666666666664</v>
      </c>
    </row>
    <row r="1411" spans="1:10" x14ac:dyDescent="0.2">
      <c r="A1411">
        <v>7118649</v>
      </c>
      <c r="B1411">
        <v>3693329</v>
      </c>
      <c r="C1411">
        <v>3693328</v>
      </c>
      <c r="D1411">
        <v>21883</v>
      </c>
      <c r="E1411">
        <v>21883</v>
      </c>
      <c r="F1411" t="s">
        <v>441</v>
      </c>
      <c r="G1411">
        <v>0</v>
      </c>
      <c r="I1411" s="5">
        <v>44044</v>
      </c>
      <c r="J1411" s="5">
        <v>44273.666666666664</v>
      </c>
    </row>
    <row r="1412" spans="1:10" x14ac:dyDescent="0.2">
      <c r="A1412">
        <v>7118650</v>
      </c>
      <c r="B1412">
        <v>3693323</v>
      </c>
      <c r="C1412">
        <v>3693322</v>
      </c>
      <c r="D1412">
        <v>21883</v>
      </c>
      <c r="E1412">
        <v>21883</v>
      </c>
      <c r="F1412" t="s">
        <v>441</v>
      </c>
      <c r="G1412">
        <v>0</v>
      </c>
      <c r="I1412" s="5">
        <v>44044</v>
      </c>
      <c r="J1412" s="5">
        <v>43970.333333333336</v>
      </c>
    </row>
    <row r="1413" spans="1:10" x14ac:dyDescent="0.2">
      <c r="A1413">
        <v>7118651</v>
      </c>
      <c r="B1413">
        <v>3693331</v>
      </c>
      <c r="C1413">
        <v>3693330</v>
      </c>
      <c r="D1413">
        <v>21883</v>
      </c>
      <c r="E1413">
        <v>21883</v>
      </c>
      <c r="F1413" t="s">
        <v>441</v>
      </c>
      <c r="G1413">
        <v>0</v>
      </c>
      <c r="I1413" s="5">
        <v>44044</v>
      </c>
      <c r="J1413" s="5">
        <v>44273.666666666664</v>
      </c>
    </row>
    <row r="1414" spans="1:10" x14ac:dyDescent="0.2">
      <c r="A1414">
        <v>7118652</v>
      </c>
      <c r="B1414">
        <v>3692879</v>
      </c>
      <c r="C1414">
        <v>3693323</v>
      </c>
      <c r="D1414">
        <v>21883</v>
      </c>
      <c r="E1414">
        <v>21883</v>
      </c>
      <c r="F1414" t="s">
        <v>441</v>
      </c>
      <c r="G1414">
        <v>0</v>
      </c>
      <c r="I1414" s="5">
        <v>44044</v>
      </c>
      <c r="J1414" s="5">
        <v>43970.333333333336</v>
      </c>
    </row>
    <row r="1415" spans="1:10" x14ac:dyDescent="0.2">
      <c r="A1415">
        <v>7118653</v>
      </c>
      <c r="B1415">
        <v>3693325</v>
      </c>
      <c r="C1415">
        <v>3693324</v>
      </c>
      <c r="D1415">
        <v>21883</v>
      </c>
      <c r="E1415">
        <v>21883</v>
      </c>
      <c r="F1415" t="s">
        <v>441</v>
      </c>
      <c r="G1415">
        <v>0</v>
      </c>
      <c r="I1415" s="5">
        <v>44044</v>
      </c>
      <c r="J1415" s="5">
        <v>43970.333333333336</v>
      </c>
    </row>
    <row r="1416" spans="1:10" x14ac:dyDescent="0.2">
      <c r="A1416">
        <v>7118654</v>
      </c>
      <c r="B1416">
        <v>3693327</v>
      </c>
      <c r="C1416">
        <v>3693326</v>
      </c>
      <c r="D1416">
        <v>21883</v>
      </c>
      <c r="E1416">
        <v>21883</v>
      </c>
      <c r="F1416" t="s">
        <v>441</v>
      </c>
      <c r="G1416">
        <v>0</v>
      </c>
      <c r="I1416" s="5">
        <v>44044</v>
      </c>
      <c r="J1416" s="5">
        <v>44273.666666666664</v>
      </c>
    </row>
    <row r="1417" spans="1:10" x14ac:dyDescent="0.2">
      <c r="A1417">
        <v>7118655</v>
      </c>
      <c r="B1417">
        <v>3692883</v>
      </c>
      <c r="C1417">
        <v>3693327</v>
      </c>
      <c r="D1417">
        <v>21883</v>
      </c>
      <c r="E1417">
        <v>21883</v>
      </c>
      <c r="F1417" t="s">
        <v>441</v>
      </c>
      <c r="G1417">
        <v>0</v>
      </c>
      <c r="I1417" s="5">
        <v>44176.666666666664</v>
      </c>
      <c r="J1417" s="5">
        <v>44273.666666666664</v>
      </c>
    </row>
    <row r="1418" spans="1:10" x14ac:dyDescent="0.2">
      <c r="A1418">
        <v>7118656</v>
      </c>
      <c r="B1418">
        <v>3693159</v>
      </c>
      <c r="C1418">
        <v>3692875</v>
      </c>
      <c r="D1418">
        <v>21883</v>
      </c>
      <c r="E1418">
        <v>21883</v>
      </c>
      <c r="F1418" t="s">
        <v>442</v>
      </c>
      <c r="G1418">
        <v>0</v>
      </c>
      <c r="I1418" s="5">
        <v>44044</v>
      </c>
      <c r="J1418" s="5">
        <v>43970.333333333336</v>
      </c>
    </row>
    <row r="1419" spans="1:10" x14ac:dyDescent="0.2">
      <c r="A1419">
        <v>7118657</v>
      </c>
      <c r="B1419">
        <v>3693168</v>
      </c>
      <c r="C1419">
        <v>3692877</v>
      </c>
      <c r="D1419">
        <v>21883</v>
      </c>
      <c r="E1419">
        <v>21883</v>
      </c>
      <c r="F1419" t="s">
        <v>442</v>
      </c>
      <c r="G1419">
        <v>0</v>
      </c>
      <c r="I1419" s="5">
        <v>44044</v>
      </c>
      <c r="J1419" s="5">
        <v>43970.333333333336</v>
      </c>
    </row>
    <row r="1420" spans="1:10" x14ac:dyDescent="0.2">
      <c r="A1420">
        <v>7118658</v>
      </c>
      <c r="B1420">
        <v>3693163</v>
      </c>
      <c r="C1420">
        <v>3693328</v>
      </c>
      <c r="D1420">
        <v>21883</v>
      </c>
      <c r="E1420">
        <v>21883</v>
      </c>
      <c r="F1420" t="s">
        <v>442</v>
      </c>
      <c r="G1420">
        <v>0</v>
      </c>
      <c r="I1420" s="5">
        <v>44044</v>
      </c>
      <c r="J1420" s="5">
        <v>43970.333333333336</v>
      </c>
    </row>
    <row r="1421" spans="1:10" x14ac:dyDescent="0.2">
      <c r="A1421">
        <v>7118659</v>
      </c>
      <c r="B1421">
        <v>3692904</v>
      </c>
      <c r="C1421">
        <v>3693322</v>
      </c>
      <c r="D1421">
        <v>21883</v>
      </c>
      <c r="E1421">
        <v>21883</v>
      </c>
      <c r="F1421" t="s">
        <v>442</v>
      </c>
      <c r="G1421">
        <v>0</v>
      </c>
      <c r="I1421" s="5">
        <v>44044</v>
      </c>
      <c r="J1421" s="5">
        <v>43970.333333333336</v>
      </c>
    </row>
    <row r="1422" spans="1:10" x14ac:dyDescent="0.2">
      <c r="A1422">
        <v>7118660</v>
      </c>
      <c r="B1422">
        <v>3693349</v>
      </c>
      <c r="C1422">
        <v>3692936</v>
      </c>
      <c r="D1422">
        <v>21883</v>
      </c>
      <c r="E1422">
        <v>21883</v>
      </c>
      <c r="F1422" t="s">
        <v>441</v>
      </c>
      <c r="G1422">
        <v>0</v>
      </c>
      <c r="I1422" s="5">
        <v>44044</v>
      </c>
      <c r="J1422" s="5">
        <v>43970.333333333336</v>
      </c>
    </row>
    <row r="1423" spans="1:10" x14ac:dyDescent="0.2">
      <c r="A1423">
        <v>7118661</v>
      </c>
      <c r="B1423">
        <v>3693348</v>
      </c>
      <c r="C1423">
        <v>3693349</v>
      </c>
      <c r="D1423">
        <v>21883</v>
      </c>
      <c r="E1423">
        <v>21883</v>
      </c>
      <c r="F1423" t="s">
        <v>441</v>
      </c>
      <c r="G1423">
        <v>0</v>
      </c>
      <c r="I1423" s="5">
        <v>44044</v>
      </c>
      <c r="J1423" s="5">
        <v>43970.333333333336</v>
      </c>
    </row>
    <row r="1424" spans="1:10" x14ac:dyDescent="0.2">
      <c r="A1424">
        <v>7118662</v>
      </c>
      <c r="B1424">
        <v>3692937</v>
      </c>
      <c r="C1424">
        <v>3693348</v>
      </c>
      <c r="D1424">
        <v>21883</v>
      </c>
      <c r="E1424">
        <v>21883</v>
      </c>
      <c r="F1424" t="s">
        <v>441</v>
      </c>
      <c r="G1424">
        <v>0</v>
      </c>
      <c r="I1424" s="5">
        <v>44044</v>
      </c>
      <c r="J1424" s="5">
        <v>43970.333333333336</v>
      </c>
    </row>
    <row r="1425" spans="1:10" x14ac:dyDescent="0.2">
      <c r="A1425">
        <v>7118663</v>
      </c>
      <c r="B1425">
        <v>3693350</v>
      </c>
      <c r="C1425">
        <v>3693348</v>
      </c>
      <c r="D1425">
        <v>21883</v>
      </c>
      <c r="E1425">
        <v>21883</v>
      </c>
      <c r="F1425" t="s">
        <v>441</v>
      </c>
      <c r="G1425">
        <v>0</v>
      </c>
      <c r="I1425" s="5">
        <v>44044</v>
      </c>
      <c r="J1425" s="5">
        <v>43970.333333333336</v>
      </c>
    </row>
    <row r="1426" spans="1:10" x14ac:dyDescent="0.2">
      <c r="A1426">
        <v>7118664</v>
      </c>
      <c r="B1426">
        <v>3692937</v>
      </c>
      <c r="C1426">
        <v>3693350</v>
      </c>
      <c r="D1426">
        <v>21883</v>
      </c>
      <c r="E1426">
        <v>21883</v>
      </c>
      <c r="F1426" t="s">
        <v>441</v>
      </c>
      <c r="G1426">
        <v>0</v>
      </c>
      <c r="I1426" s="5">
        <v>44044</v>
      </c>
      <c r="J1426" s="5">
        <v>43970.333333333336</v>
      </c>
    </row>
    <row r="1427" spans="1:10" x14ac:dyDescent="0.2">
      <c r="A1427">
        <v>7118665</v>
      </c>
      <c r="B1427">
        <v>3693351</v>
      </c>
      <c r="C1427">
        <v>3692937</v>
      </c>
      <c r="D1427">
        <v>21883</v>
      </c>
      <c r="E1427">
        <v>21883</v>
      </c>
      <c r="F1427" t="s">
        <v>441</v>
      </c>
      <c r="G1427">
        <v>0</v>
      </c>
      <c r="I1427" s="5">
        <v>44044</v>
      </c>
      <c r="J1427" s="5">
        <v>43970.333333333336</v>
      </c>
    </row>
    <row r="1428" spans="1:10" x14ac:dyDescent="0.2">
      <c r="A1428">
        <v>7118666</v>
      </c>
      <c r="B1428">
        <v>3692938</v>
      </c>
      <c r="C1428">
        <v>3693351</v>
      </c>
      <c r="D1428">
        <v>21883</v>
      </c>
      <c r="E1428">
        <v>21883</v>
      </c>
      <c r="F1428" t="s">
        <v>441</v>
      </c>
      <c r="G1428">
        <v>0</v>
      </c>
      <c r="I1428" s="5">
        <v>44044</v>
      </c>
      <c r="J1428" s="5">
        <v>43970.333333333336</v>
      </c>
    </row>
    <row r="1429" spans="1:10" x14ac:dyDescent="0.2">
      <c r="A1429">
        <v>7118667</v>
      </c>
      <c r="B1429">
        <v>3693352</v>
      </c>
      <c r="C1429">
        <v>3693131</v>
      </c>
      <c r="D1429">
        <v>21883</v>
      </c>
      <c r="E1429">
        <v>21883</v>
      </c>
      <c r="F1429" t="s">
        <v>441</v>
      </c>
      <c r="G1429">
        <v>0</v>
      </c>
      <c r="I1429" s="5">
        <v>44044</v>
      </c>
      <c r="J1429" s="5">
        <v>43970.333333333336</v>
      </c>
    </row>
    <row r="1430" spans="1:10" x14ac:dyDescent="0.2">
      <c r="A1430">
        <v>7118668</v>
      </c>
      <c r="B1430">
        <v>3693132</v>
      </c>
      <c r="C1430">
        <v>3693352</v>
      </c>
      <c r="D1430">
        <v>21883</v>
      </c>
      <c r="E1430">
        <v>21883</v>
      </c>
      <c r="F1430" t="s">
        <v>441</v>
      </c>
      <c r="G1430">
        <v>0</v>
      </c>
      <c r="I1430" s="5">
        <v>44044</v>
      </c>
      <c r="J1430" s="5">
        <v>43970.333333333336</v>
      </c>
    </row>
    <row r="1431" spans="1:10" x14ac:dyDescent="0.2">
      <c r="A1431">
        <v>7118669</v>
      </c>
      <c r="B1431">
        <v>3693133</v>
      </c>
      <c r="C1431">
        <v>3693132</v>
      </c>
      <c r="D1431">
        <v>21883</v>
      </c>
      <c r="E1431">
        <v>21883</v>
      </c>
      <c r="F1431" t="s">
        <v>440</v>
      </c>
      <c r="G1431">
        <v>0</v>
      </c>
      <c r="I1431" s="5">
        <v>44044</v>
      </c>
      <c r="J1431" s="5">
        <v>43970.333333333336</v>
      </c>
    </row>
    <row r="1432" spans="1:10" x14ac:dyDescent="0.2">
      <c r="A1432">
        <v>7118670</v>
      </c>
      <c r="B1432">
        <v>3693134</v>
      </c>
      <c r="C1432">
        <v>3692940</v>
      </c>
      <c r="D1432">
        <v>21883</v>
      </c>
      <c r="E1432">
        <v>21883</v>
      </c>
      <c r="F1432" t="s">
        <v>441</v>
      </c>
      <c r="G1432">
        <v>0</v>
      </c>
      <c r="I1432" s="5">
        <v>44044</v>
      </c>
      <c r="J1432" s="5">
        <v>43970.333333333336</v>
      </c>
    </row>
    <row r="1433" spans="1:10" x14ac:dyDescent="0.2">
      <c r="A1433">
        <v>7118671</v>
      </c>
      <c r="B1433">
        <v>3693297</v>
      </c>
      <c r="C1433">
        <v>3693257</v>
      </c>
      <c r="D1433">
        <v>21883</v>
      </c>
      <c r="E1433">
        <v>21883</v>
      </c>
      <c r="F1433" t="s">
        <v>441</v>
      </c>
      <c r="G1433">
        <v>0</v>
      </c>
      <c r="I1433" s="5">
        <v>44044</v>
      </c>
      <c r="J1433" s="5">
        <v>43970.333333333336</v>
      </c>
    </row>
    <row r="1434" spans="1:10" x14ac:dyDescent="0.2">
      <c r="A1434">
        <v>7118672</v>
      </c>
      <c r="B1434">
        <v>3693300</v>
      </c>
      <c r="C1434">
        <v>3693257</v>
      </c>
      <c r="D1434">
        <v>21883</v>
      </c>
      <c r="E1434">
        <v>21883</v>
      </c>
      <c r="F1434" t="s">
        <v>441</v>
      </c>
      <c r="G1434">
        <v>0</v>
      </c>
      <c r="I1434" s="5">
        <v>44044</v>
      </c>
      <c r="J1434" s="5">
        <v>43970.333333333336</v>
      </c>
    </row>
    <row r="1435" spans="1:10" x14ac:dyDescent="0.2">
      <c r="A1435">
        <v>7118673</v>
      </c>
      <c r="B1435">
        <v>3693258</v>
      </c>
      <c r="C1435">
        <v>3693257</v>
      </c>
      <c r="D1435">
        <v>21883</v>
      </c>
      <c r="E1435">
        <v>21883</v>
      </c>
      <c r="F1435" t="s">
        <v>441</v>
      </c>
      <c r="G1435">
        <v>0</v>
      </c>
      <c r="I1435" s="5">
        <v>44044</v>
      </c>
      <c r="J1435" s="5">
        <v>43970.333333333336</v>
      </c>
    </row>
    <row r="1436" spans="1:10" x14ac:dyDescent="0.2">
      <c r="A1436">
        <v>7118674</v>
      </c>
      <c r="B1436">
        <v>3693353</v>
      </c>
      <c r="C1436">
        <v>3692904</v>
      </c>
      <c r="D1436">
        <v>21883</v>
      </c>
      <c r="E1436">
        <v>21883</v>
      </c>
      <c r="F1436" t="s">
        <v>441</v>
      </c>
      <c r="G1436">
        <v>0</v>
      </c>
      <c r="I1436" s="5">
        <v>44044</v>
      </c>
      <c r="J1436" s="5">
        <v>43970.333333333336</v>
      </c>
    </row>
    <row r="1437" spans="1:10" x14ac:dyDescent="0.2">
      <c r="A1437">
        <v>7118675</v>
      </c>
      <c r="B1437">
        <v>3693354</v>
      </c>
      <c r="C1437">
        <v>3693353</v>
      </c>
      <c r="D1437">
        <v>21883</v>
      </c>
      <c r="E1437">
        <v>21883</v>
      </c>
      <c r="F1437" t="s">
        <v>441</v>
      </c>
      <c r="G1437">
        <v>0</v>
      </c>
      <c r="I1437" s="5">
        <v>44044</v>
      </c>
      <c r="J1437" s="5">
        <v>43970.333333333336</v>
      </c>
    </row>
    <row r="1438" spans="1:10" x14ac:dyDescent="0.2">
      <c r="A1438">
        <v>7118676</v>
      </c>
      <c r="B1438">
        <v>3693355</v>
      </c>
      <c r="C1438">
        <v>3693354</v>
      </c>
      <c r="D1438">
        <v>21883</v>
      </c>
      <c r="E1438">
        <v>21883</v>
      </c>
      <c r="F1438" t="s">
        <v>441</v>
      </c>
      <c r="G1438">
        <v>0</v>
      </c>
      <c r="I1438" s="5">
        <v>44044</v>
      </c>
      <c r="J1438" s="5">
        <v>43970.333333333336</v>
      </c>
    </row>
    <row r="1439" spans="1:10" x14ac:dyDescent="0.2">
      <c r="A1439">
        <v>7118677</v>
      </c>
      <c r="B1439">
        <v>3693159</v>
      </c>
      <c r="C1439">
        <v>3692900</v>
      </c>
      <c r="D1439">
        <v>21883</v>
      </c>
      <c r="E1439">
        <v>21883</v>
      </c>
      <c r="F1439" t="s">
        <v>441</v>
      </c>
      <c r="G1439">
        <v>0</v>
      </c>
      <c r="I1439" s="5">
        <v>44044</v>
      </c>
      <c r="J1439" s="5">
        <v>43970.333333333336</v>
      </c>
    </row>
    <row r="1440" spans="1:10" x14ac:dyDescent="0.2">
      <c r="A1440">
        <v>7118678</v>
      </c>
      <c r="B1440">
        <v>3692900</v>
      </c>
      <c r="C1440">
        <v>3692896</v>
      </c>
      <c r="D1440">
        <v>21883</v>
      </c>
      <c r="E1440">
        <v>21883</v>
      </c>
      <c r="F1440" t="s">
        <v>441</v>
      </c>
      <c r="G1440">
        <v>80</v>
      </c>
      <c r="I1440" s="5">
        <v>44044</v>
      </c>
      <c r="J1440" s="5">
        <v>43970.333333333336</v>
      </c>
    </row>
    <row r="1441" spans="1:10" x14ac:dyDescent="0.2">
      <c r="A1441">
        <v>7118679</v>
      </c>
      <c r="B1441">
        <v>3692905</v>
      </c>
      <c r="C1441">
        <v>3693355</v>
      </c>
      <c r="D1441">
        <v>21883</v>
      </c>
      <c r="E1441">
        <v>21883</v>
      </c>
      <c r="F1441" t="s">
        <v>441</v>
      </c>
      <c r="G1441">
        <v>0</v>
      </c>
      <c r="I1441" s="5">
        <v>44044</v>
      </c>
      <c r="J1441" s="5">
        <v>43970.333333333336</v>
      </c>
    </row>
    <row r="1442" spans="1:10" x14ac:dyDescent="0.2">
      <c r="A1442">
        <v>7118680</v>
      </c>
      <c r="B1442">
        <v>3692921</v>
      </c>
      <c r="C1442">
        <v>3693356</v>
      </c>
      <c r="D1442">
        <v>21883</v>
      </c>
      <c r="E1442">
        <v>21883</v>
      </c>
      <c r="F1442" t="s">
        <v>441</v>
      </c>
      <c r="G1442">
        <v>0</v>
      </c>
      <c r="I1442" s="5">
        <v>44044</v>
      </c>
      <c r="J1442" s="5">
        <v>43970.333333333336</v>
      </c>
    </row>
    <row r="1443" spans="1:10" x14ac:dyDescent="0.2">
      <c r="A1443">
        <v>7118681</v>
      </c>
      <c r="B1443">
        <v>3693357</v>
      </c>
      <c r="C1443">
        <v>3692903</v>
      </c>
      <c r="D1443">
        <v>21883</v>
      </c>
      <c r="E1443">
        <v>21883</v>
      </c>
      <c r="F1443" t="s">
        <v>441</v>
      </c>
      <c r="G1443">
        <v>0</v>
      </c>
      <c r="I1443" s="5">
        <v>44044</v>
      </c>
      <c r="J1443" s="5">
        <v>43970.333333333336</v>
      </c>
    </row>
    <row r="1444" spans="1:10" x14ac:dyDescent="0.2">
      <c r="A1444">
        <v>7118682</v>
      </c>
      <c r="B1444">
        <v>3693018</v>
      </c>
      <c r="C1444">
        <v>3693357</v>
      </c>
      <c r="D1444">
        <v>21883</v>
      </c>
      <c r="E1444">
        <v>21883</v>
      </c>
      <c r="F1444" t="s">
        <v>441</v>
      </c>
      <c r="G1444">
        <v>0</v>
      </c>
      <c r="I1444" s="5">
        <v>44044</v>
      </c>
      <c r="J1444" s="5">
        <v>43970.333333333336</v>
      </c>
    </row>
    <row r="1445" spans="1:10" x14ac:dyDescent="0.2">
      <c r="A1445">
        <v>7118683</v>
      </c>
      <c r="B1445">
        <v>3692991</v>
      </c>
      <c r="C1445">
        <v>3693297</v>
      </c>
      <c r="D1445">
        <v>21883</v>
      </c>
      <c r="E1445">
        <v>21883</v>
      </c>
      <c r="F1445" t="s">
        <v>441</v>
      </c>
      <c r="G1445">
        <v>0</v>
      </c>
      <c r="I1445" s="5">
        <v>44044</v>
      </c>
      <c r="J1445" s="5">
        <v>43970.333333333336</v>
      </c>
    </row>
    <row r="1446" spans="1:10" x14ac:dyDescent="0.2">
      <c r="A1446">
        <v>7118684</v>
      </c>
      <c r="B1446">
        <v>3693358</v>
      </c>
      <c r="C1446">
        <v>3692905</v>
      </c>
      <c r="D1446">
        <v>21883</v>
      </c>
      <c r="E1446">
        <v>21883</v>
      </c>
      <c r="F1446" t="s">
        <v>441</v>
      </c>
      <c r="G1446">
        <v>0</v>
      </c>
      <c r="I1446" s="5">
        <v>44044</v>
      </c>
      <c r="J1446" s="5">
        <v>43970.333333333336</v>
      </c>
    </row>
    <row r="1447" spans="1:10" x14ac:dyDescent="0.2">
      <c r="A1447">
        <v>7118685</v>
      </c>
      <c r="B1447">
        <v>3692906</v>
      </c>
      <c r="C1447">
        <v>3693358</v>
      </c>
      <c r="D1447">
        <v>21883</v>
      </c>
      <c r="E1447">
        <v>21883</v>
      </c>
      <c r="F1447" t="s">
        <v>441</v>
      </c>
      <c r="G1447">
        <v>0</v>
      </c>
      <c r="I1447" s="5">
        <v>44044</v>
      </c>
      <c r="J1447" s="5">
        <v>43970.333333333336</v>
      </c>
    </row>
    <row r="1448" spans="1:10" x14ac:dyDescent="0.2">
      <c r="A1448">
        <v>7118686</v>
      </c>
      <c r="B1448">
        <v>3693359</v>
      </c>
      <c r="C1448">
        <v>3693135</v>
      </c>
      <c r="D1448">
        <v>21883</v>
      </c>
      <c r="E1448">
        <v>21883</v>
      </c>
      <c r="F1448" t="s">
        <v>441</v>
      </c>
      <c r="G1448">
        <v>0</v>
      </c>
      <c r="I1448" s="5">
        <v>44044</v>
      </c>
      <c r="J1448" s="5">
        <v>43970.333333333336</v>
      </c>
    </row>
    <row r="1449" spans="1:10" x14ac:dyDescent="0.2">
      <c r="A1449">
        <v>7118687</v>
      </c>
      <c r="B1449">
        <v>3693136</v>
      </c>
      <c r="C1449">
        <v>3693359</v>
      </c>
      <c r="D1449">
        <v>21883</v>
      </c>
      <c r="E1449">
        <v>21883</v>
      </c>
      <c r="F1449" t="s">
        <v>441</v>
      </c>
      <c r="G1449">
        <v>0</v>
      </c>
      <c r="I1449" s="5">
        <v>44044</v>
      </c>
      <c r="J1449" s="5">
        <v>43970.333333333336</v>
      </c>
    </row>
    <row r="1450" spans="1:10" x14ac:dyDescent="0.2">
      <c r="A1450">
        <v>7118688</v>
      </c>
      <c r="B1450">
        <v>3692907</v>
      </c>
      <c r="C1450">
        <v>3693138</v>
      </c>
      <c r="D1450">
        <v>21883</v>
      </c>
      <c r="E1450">
        <v>21883</v>
      </c>
      <c r="F1450" t="s">
        <v>441</v>
      </c>
      <c r="G1450">
        <v>0</v>
      </c>
      <c r="I1450" s="5">
        <v>44044</v>
      </c>
      <c r="J1450" s="5">
        <v>43970.333333333336</v>
      </c>
    </row>
    <row r="1451" spans="1:10" x14ac:dyDescent="0.2">
      <c r="A1451">
        <v>7118689</v>
      </c>
      <c r="B1451">
        <v>3693298</v>
      </c>
      <c r="C1451">
        <v>3693260</v>
      </c>
      <c r="D1451">
        <v>21883</v>
      </c>
      <c r="E1451">
        <v>21883</v>
      </c>
      <c r="F1451" t="s">
        <v>441</v>
      </c>
      <c r="G1451">
        <v>0</v>
      </c>
      <c r="I1451" s="5">
        <v>44044</v>
      </c>
      <c r="J1451" s="5">
        <v>43970.333333333336</v>
      </c>
    </row>
    <row r="1452" spans="1:10" x14ac:dyDescent="0.2">
      <c r="A1452">
        <v>7118690</v>
      </c>
      <c r="B1452">
        <v>3693261</v>
      </c>
      <c r="C1452">
        <v>3693260</v>
      </c>
      <c r="D1452">
        <v>21883</v>
      </c>
      <c r="E1452">
        <v>21883</v>
      </c>
      <c r="F1452" t="s">
        <v>441</v>
      </c>
      <c r="G1452">
        <v>0</v>
      </c>
      <c r="I1452" s="5">
        <v>44044</v>
      </c>
      <c r="J1452" s="5">
        <v>43970.333333333336</v>
      </c>
    </row>
    <row r="1453" spans="1:10" x14ac:dyDescent="0.2">
      <c r="A1453">
        <v>7118691</v>
      </c>
      <c r="B1453">
        <v>3692991</v>
      </c>
      <c r="C1453">
        <v>3693299</v>
      </c>
      <c r="D1453">
        <v>21883</v>
      </c>
      <c r="E1453">
        <v>21883</v>
      </c>
      <c r="F1453" t="s">
        <v>441</v>
      </c>
      <c r="G1453">
        <v>0</v>
      </c>
      <c r="I1453" s="5">
        <v>44044</v>
      </c>
      <c r="J1453" s="5">
        <v>43970.333333333336</v>
      </c>
    </row>
    <row r="1454" spans="1:10" x14ac:dyDescent="0.2">
      <c r="A1454">
        <v>7118692</v>
      </c>
      <c r="B1454">
        <v>3693362</v>
      </c>
      <c r="C1454">
        <v>3692909</v>
      </c>
      <c r="D1454">
        <v>21883</v>
      </c>
      <c r="E1454">
        <v>21883</v>
      </c>
      <c r="F1454" t="s">
        <v>441</v>
      </c>
      <c r="G1454">
        <v>0</v>
      </c>
      <c r="I1454" s="5">
        <v>44044</v>
      </c>
      <c r="J1454" s="5">
        <v>43970.333333333336</v>
      </c>
    </row>
    <row r="1455" spans="1:10" x14ac:dyDescent="0.2">
      <c r="A1455">
        <v>7118693</v>
      </c>
      <c r="B1455">
        <v>3692911</v>
      </c>
      <c r="C1455">
        <v>3693362</v>
      </c>
      <c r="D1455">
        <v>21883</v>
      </c>
      <c r="E1455">
        <v>21883</v>
      </c>
      <c r="F1455" t="s">
        <v>441</v>
      </c>
      <c r="G1455">
        <v>0</v>
      </c>
      <c r="I1455" s="5">
        <v>44044</v>
      </c>
      <c r="J1455" s="5">
        <v>43970.333333333336</v>
      </c>
    </row>
    <row r="1456" spans="1:10" x14ac:dyDescent="0.2">
      <c r="A1456">
        <v>7118694</v>
      </c>
      <c r="B1456">
        <v>3693363</v>
      </c>
      <c r="C1456">
        <v>3693362</v>
      </c>
      <c r="D1456">
        <v>21883</v>
      </c>
      <c r="E1456">
        <v>21883</v>
      </c>
      <c r="F1456" t="s">
        <v>441</v>
      </c>
      <c r="G1456">
        <v>0</v>
      </c>
      <c r="I1456" s="5">
        <v>44044</v>
      </c>
      <c r="J1456" s="5">
        <v>43970.333333333336</v>
      </c>
    </row>
    <row r="1457" spans="1:10" x14ac:dyDescent="0.2">
      <c r="A1457">
        <v>7118695</v>
      </c>
      <c r="B1457">
        <v>3692911</v>
      </c>
      <c r="C1457">
        <v>3693363</v>
      </c>
      <c r="D1457">
        <v>21883</v>
      </c>
      <c r="E1457">
        <v>21883</v>
      </c>
      <c r="F1457" t="s">
        <v>441</v>
      </c>
      <c r="G1457">
        <v>0</v>
      </c>
      <c r="I1457" s="5">
        <v>44044</v>
      </c>
      <c r="J1457" s="5">
        <v>43970.333333333336</v>
      </c>
    </row>
    <row r="1458" spans="1:10" x14ac:dyDescent="0.2">
      <c r="A1458">
        <v>7118696</v>
      </c>
      <c r="B1458">
        <v>3693364</v>
      </c>
      <c r="C1458">
        <v>3693139</v>
      </c>
      <c r="D1458">
        <v>21883</v>
      </c>
      <c r="E1458">
        <v>21883</v>
      </c>
      <c r="F1458" t="s">
        <v>441</v>
      </c>
      <c r="G1458">
        <v>0</v>
      </c>
      <c r="I1458" s="5">
        <v>44044</v>
      </c>
      <c r="J1458" s="5">
        <v>43970.333333333336</v>
      </c>
    </row>
    <row r="1459" spans="1:10" x14ac:dyDescent="0.2">
      <c r="A1459">
        <v>7118697</v>
      </c>
      <c r="B1459">
        <v>3693140</v>
      </c>
      <c r="C1459">
        <v>3693364</v>
      </c>
      <c r="D1459">
        <v>21883</v>
      </c>
      <c r="E1459">
        <v>21883</v>
      </c>
      <c r="F1459" t="s">
        <v>441</v>
      </c>
      <c r="G1459">
        <v>0</v>
      </c>
      <c r="I1459" s="5">
        <v>44044</v>
      </c>
      <c r="J1459" s="5">
        <v>43970.333333333336</v>
      </c>
    </row>
    <row r="1460" spans="1:10" x14ac:dyDescent="0.2">
      <c r="A1460">
        <v>7118698</v>
      </c>
      <c r="B1460">
        <v>3693365</v>
      </c>
      <c r="C1460">
        <v>3692910</v>
      </c>
      <c r="D1460">
        <v>21883</v>
      </c>
      <c r="E1460">
        <v>21883</v>
      </c>
      <c r="F1460" t="s">
        <v>441</v>
      </c>
      <c r="G1460">
        <v>0</v>
      </c>
      <c r="I1460" s="5">
        <v>44044</v>
      </c>
      <c r="J1460" s="5">
        <v>43970.333333333336</v>
      </c>
    </row>
    <row r="1461" spans="1:10" x14ac:dyDescent="0.2">
      <c r="A1461">
        <v>7118699</v>
      </c>
      <c r="B1461">
        <v>3693366</v>
      </c>
      <c r="C1461">
        <v>3692910</v>
      </c>
      <c r="D1461">
        <v>21883</v>
      </c>
      <c r="E1461">
        <v>21883</v>
      </c>
      <c r="F1461" t="s">
        <v>441</v>
      </c>
      <c r="G1461">
        <v>0</v>
      </c>
      <c r="I1461" s="5">
        <v>44044</v>
      </c>
      <c r="J1461" s="5">
        <v>43970.333333333336</v>
      </c>
    </row>
    <row r="1462" spans="1:10" x14ac:dyDescent="0.2">
      <c r="A1462">
        <v>7118700</v>
      </c>
      <c r="B1462">
        <v>3693254</v>
      </c>
      <c r="C1462">
        <v>3693366</v>
      </c>
      <c r="D1462">
        <v>21883</v>
      </c>
      <c r="E1462">
        <v>21883</v>
      </c>
      <c r="F1462" t="s">
        <v>441</v>
      </c>
      <c r="G1462">
        <v>0</v>
      </c>
      <c r="I1462" s="5">
        <v>44044</v>
      </c>
      <c r="J1462" s="5">
        <v>43970.333333333336</v>
      </c>
    </row>
    <row r="1463" spans="1:10" x14ac:dyDescent="0.2">
      <c r="A1463">
        <v>7118701</v>
      </c>
      <c r="B1463">
        <v>3692991</v>
      </c>
      <c r="C1463">
        <v>3693365</v>
      </c>
      <c r="D1463">
        <v>21883</v>
      </c>
      <c r="E1463">
        <v>21883</v>
      </c>
      <c r="F1463" t="s">
        <v>441</v>
      </c>
      <c r="G1463">
        <v>0</v>
      </c>
      <c r="I1463" s="5">
        <v>44044</v>
      </c>
      <c r="J1463" s="5">
        <v>43970.333333333336</v>
      </c>
    </row>
    <row r="1464" spans="1:10" x14ac:dyDescent="0.2">
      <c r="A1464">
        <v>7118702</v>
      </c>
      <c r="B1464">
        <v>3693361</v>
      </c>
      <c r="C1464">
        <v>3693360</v>
      </c>
      <c r="D1464">
        <v>21883</v>
      </c>
      <c r="E1464">
        <v>21883</v>
      </c>
      <c r="F1464" t="s">
        <v>441</v>
      </c>
      <c r="G1464">
        <v>0</v>
      </c>
      <c r="I1464" s="5">
        <v>44044</v>
      </c>
      <c r="J1464" s="5">
        <v>43970.333333333336</v>
      </c>
    </row>
    <row r="1465" spans="1:10" x14ac:dyDescent="0.2">
      <c r="A1465">
        <v>7118703</v>
      </c>
      <c r="B1465">
        <v>3692909</v>
      </c>
      <c r="C1465">
        <v>3693361</v>
      </c>
      <c r="D1465">
        <v>21883</v>
      </c>
      <c r="E1465">
        <v>21883</v>
      </c>
      <c r="F1465" t="s">
        <v>441</v>
      </c>
      <c r="G1465">
        <v>0</v>
      </c>
      <c r="I1465" s="5">
        <v>44044</v>
      </c>
      <c r="J1465" s="5">
        <v>43970.333333333336</v>
      </c>
    </row>
    <row r="1466" spans="1:10" x14ac:dyDescent="0.2">
      <c r="A1466">
        <v>7118704</v>
      </c>
      <c r="B1466">
        <v>3693368</v>
      </c>
      <c r="C1466">
        <v>3693367</v>
      </c>
      <c r="D1466">
        <v>21883</v>
      </c>
      <c r="E1466">
        <v>21883</v>
      </c>
      <c r="F1466" t="s">
        <v>441</v>
      </c>
      <c r="G1466">
        <v>0</v>
      </c>
      <c r="I1466" s="5">
        <v>44044</v>
      </c>
      <c r="J1466" s="5">
        <v>43970.333333333336</v>
      </c>
    </row>
    <row r="1467" spans="1:10" x14ac:dyDescent="0.2">
      <c r="A1467">
        <v>7118705</v>
      </c>
      <c r="B1467">
        <v>3692912</v>
      </c>
      <c r="C1467">
        <v>3693368</v>
      </c>
      <c r="D1467">
        <v>21883</v>
      </c>
      <c r="E1467">
        <v>21883</v>
      </c>
      <c r="F1467" t="s">
        <v>441</v>
      </c>
      <c r="G1467">
        <v>0</v>
      </c>
      <c r="I1467" s="5">
        <v>44044</v>
      </c>
      <c r="J1467" s="5">
        <v>43970.333333333336</v>
      </c>
    </row>
    <row r="1468" spans="1:10" x14ac:dyDescent="0.2">
      <c r="A1468">
        <v>7118706</v>
      </c>
      <c r="B1468">
        <v>3693369</v>
      </c>
      <c r="C1468">
        <v>3692912</v>
      </c>
      <c r="D1468">
        <v>21883</v>
      </c>
      <c r="E1468">
        <v>21883</v>
      </c>
      <c r="F1468" t="s">
        <v>441</v>
      </c>
      <c r="G1468">
        <v>0</v>
      </c>
      <c r="I1468" s="5">
        <v>44044</v>
      </c>
      <c r="J1468" s="5">
        <v>43970.333333333336</v>
      </c>
    </row>
    <row r="1469" spans="1:10" x14ac:dyDescent="0.2">
      <c r="A1469">
        <v>7118707</v>
      </c>
      <c r="B1469">
        <v>3692914</v>
      </c>
      <c r="C1469">
        <v>3693369</v>
      </c>
      <c r="D1469">
        <v>21883</v>
      </c>
      <c r="E1469">
        <v>21883</v>
      </c>
      <c r="F1469" t="s">
        <v>441</v>
      </c>
      <c r="G1469">
        <v>0</v>
      </c>
      <c r="I1469" s="5">
        <v>44044</v>
      </c>
      <c r="J1469" s="5">
        <v>43970.333333333336</v>
      </c>
    </row>
    <row r="1470" spans="1:10" x14ac:dyDescent="0.2">
      <c r="A1470">
        <v>7118708</v>
      </c>
      <c r="B1470">
        <v>3693370</v>
      </c>
      <c r="C1470">
        <v>3693369</v>
      </c>
      <c r="D1470">
        <v>21883</v>
      </c>
      <c r="E1470">
        <v>21883</v>
      </c>
      <c r="F1470" t="s">
        <v>441</v>
      </c>
      <c r="G1470">
        <v>0</v>
      </c>
      <c r="I1470" s="5">
        <v>44044</v>
      </c>
      <c r="J1470" s="5">
        <v>43970.333333333336</v>
      </c>
    </row>
    <row r="1471" spans="1:10" x14ac:dyDescent="0.2">
      <c r="A1471">
        <v>7118709</v>
      </c>
      <c r="B1471">
        <v>3692914</v>
      </c>
      <c r="C1471">
        <v>3693370</v>
      </c>
      <c r="D1471">
        <v>21883</v>
      </c>
      <c r="E1471">
        <v>21883</v>
      </c>
      <c r="F1471" t="s">
        <v>441</v>
      </c>
      <c r="G1471">
        <v>0</v>
      </c>
      <c r="I1471" s="5">
        <v>44044</v>
      </c>
      <c r="J1471" s="5">
        <v>43970.333333333336</v>
      </c>
    </row>
    <row r="1472" spans="1:10" x14ac:dyDescent="0.2">
      <c r="A1472">
        <v>7118710</v>
      </c>
      <c r="B1472">
        <v>3693365</v>
      </c>
      <c r="C1472">
        <v>3693366</v>
      </c>
      <c r="D1472">
        <v>21883</v>
      </c>
      <c r="E1472">
        <v>21883</v>
      </c>
      <c r="F1472" t="s">
        <v>441</v>
      </c>
      <c r="G1472">
        <v>0</v>
      </c>
      <c r="I1472" s="5">
        <v>44044</v>
      </c>
      <c r="J1472" s="5">
        <v>43970.333333333336</v>
      </c>
    </row>
    <row r="1473" spans="1:10" x14ac:dyDescent="0.2">
      <c r="A1473">
        <v>7118711</v>
      </c>
      <c r="B1473">
        <v>3693372</v>
      </c>
      <c r="C1473">
        <v>3692913</v>
      </c>
      <c r="D1473">
        <v>21883</v>
      </c>
      <c r="E1473">
        <v>21883</v>
      </c>
      <c r="F1473" t="s">
        <v>441</v>
      </c>
      <c r="G1473">
        <v>0</v>
      </c>
      <c r="I1473" s="5">
        <v>44044</v>
      </c>
      <c r="J1473" s="5">
        <v>43970.333333333336</v>
      </c>
    </row>
    <row r="1474" spans="1:10" x14ac:dyDescent="0.2">
      <c r="A1474">
        <v>7118712</v>
      </c>
      <c r="B1474">
        <v>3693255</v>
      </c>
      <c r="C1474">
        <v>3693372</v>
      </c>
      <c r="D1474">
        <v>21883</v>
      </c>
      <c r="E1474">
        <v>21883</v>
      </c>
      <c r="F1474" t="s">
        <v>441</v>
      </c>
      <c r="G1474">
        <v>0</v>
      </c>
      <c r="I1474" s="5">
        <v>44044</v>
      </c>
      <c r="J1474" s="5">
        <v>43970.333333333336</v>
      </c>
    </row>
    <row r="1475" spans="1:10" x14ac:dyDescent="0.2">
      <c r="A1475">
        <v>7118713</v>
      </c>
      <c r="B1475">
        <v>3693371</v>
      </c>
      <c r="C1475">
        <v>3693372</v>
      </c>
      <c r="D1475">
        <v>21883</v>
      </c>
      <c r="E1475">
        <v>21883</v>
      </c>
      <c r="F1475" t="s">
        <v>441</v>
      </c>
      <c r="G1475">
        <v>0</v>
      </c>
      <c r="I1475" s="5">
        <v>44044</v>
      </c>
      <c r="J1475" s="5">
        <v>43970.333333333336</v>
      </c>
    </row>
    <row r="1476" spans="1:10" x14ac:dyDescent="0.2">
      <c r="A1476">
        <v>7118714</v>
      </c>
      <c r="B1476">
        <v>3692991</v>
      </c>
      <c r="C1476">
        <v>3693371</v>
      </c>
      <c r="D1476">
        <v>21883</v>
      </c>
      <c r="E1476">
        <v>21883</v>
      </c>
      <c r="F1476" t="s">
        <v>441</v>
      </c>
      <c r="G1476">
        <v>0</v>
      </c>
      <c r="I1476" s="5">
        <v>44044</v>
      </c>
      <c r="J1476" s="5">
        <v>43970.333333333336</v>
      </c>
    </row>
    <row r="1477" spans="1:10" x14ac:dyDescent="0.2">
      <c r="A1477">
        <v>7118715</v>
      </c>
      <c r="B1477">
        <v>3693373</v>
      </c>
      <c r="C1477">
        <v>3693369</v>
      </c>
      <c r="D1477">
        <v>21883</v>
      </c>
      <c r="E1477">
        <v>21883</v>
      </c>
      <c r="F1477" t="s">
        <v>441</v>
      </c>
      <c r="G1477">
        <v>0</v>
      </c>
      <c r="I1477" s="5">
        <v>44044</v>
      </c>
      <c r="J1477" s="5">
        <v>43970.333333333336</v>
      </c>
    </row>
    <row r="1478" spans="1:10" x14ac:dyDescent="0.2">
      <c r="A1478">
        <v>7118716</v>
      </c>
      <c r="B1478">
        <v>3693374</v>
      </c>
      <c r="C1478">
        <v>3693373</v>
      </c>
      <c r="D1478">
        <v>21883</v>
      </c>
      <c r="E1478">
        <v>21883</v>
      </c>
      <c r="F1478" t="s">
        <v>441</v>
      </c>
      <c r="G1478">
        <v>0</v>
      </c>
      <c r="I1478" s="5">
        <v>44044</v>
      </c>
      <c r="J1478" s="5">
        <v>43970.333333333336</v>
      </c>
    </row>
    <row r="1479" spans="1:10" x14ac:dyDescent="0.2">
      <c r="A1479">
        <v>7118717</v>
      </c>
      <c r="B1479">
        <v>3692915</v>
      </c>
      <c r="C1479">
        <v>3693374</v>
      </c>
      <c r="D1479">
        <v>21883</v>
      </c>
      <c r="E1479">
        <v>21883</v>
      </c>
      <c r="F1479" t="s">
        <v>441</v>
      </c>
      <c r="G1479">
        <v>0</v>
      </c>
      <c r="I1479" s="5">
        <v>44044</v>
      </c>
      <c r="J1479" s="5">
        <v>43970.333333333336</v>
      </c>
    </row>
    <row r="1480" spans="1:10" x14ac:dyDescent="0.2">
      <c r="A1480">
        <v>7118718</v>
      </c>
      <c r="B1480">
        <v>3693375</v>
      </c>
      <c r="C1480">
        <v>3692915</v>
      </c>
      <c r="D1480">
        <v>21883</v>
      </c>
      <c r="E1480">
        <v>21883</v>
      </c>
      <c r="F1480" t="s">
        <v>441</v>
      </c>
      <c r="G1480">
        <v>0</v>
      </c>
      <c r="I1480" s="5">
        <v>44044</v>
      </c>
      <c r="J1480" s="5">
        <v>43970.333333333336</v>
      </c>
    </row>
    <row r="1481" spans="1:10" x14ac:dyDescent="0.2">
      <c r="A1481">
        <v>7118719</v>
      </c>
      <c r="B1481">
        <v>3693376</v>
      </c>
      <c r="C1481">
        <v>3693375</v>
      </c>
      <c r="D1481">
        <v>21883</v>
      </c>
      <c r="E1481">
        <v>21883</v>
      </c>
      <c r="F1481" t="s">
        <v>441</v>
      </c>
      <c r="G1481">
        <v>0</v>
      </c>
      <c r="I1481" s="5">
        <v>44044</v>
      </c>
      <c r="J1481" s="5">
        <v>43970.333333333336</v>
      </c>
    </row>
    <row r="1482" spans="1:10" x14ac:dyDescent="0.2">
      <c r="A1482">
        <v>7118720</v>
      </c>
      <c r="B1482">
        <v>3692917</v>
      </c>
      <c r="C1482">
        <v>3693376</v>
      </c>
      <c r="D1482">
        <v>21883</v>
      </c>
      <c r="E1482">
        <v>21883</v>
      </c>
      <c r="F1482" t="s">
        <v>441</v>
      </c>
      <c r="G1482">
        <v>0</v>
      </c>
      <c r="I1482" s="5">
        <v>44044</v>
      </c>
      <c r="J1482" s="5">
        <v>43970.333333333336</v>
      </c>
    </row>
    <row r="1483" spans="1:10" x14ac:dyDescent="0.2">
      <c r="A1483">
        <v>7118721</v>
      </c>
      <c r="B1483">
        <v>3693377</v>
      </c>
      <c r="C1483">
        <v>3693378</v>
      </c>
      <c r="D1483">
        <v>21883</v>
      </c>
      <c r="E1483">
        <v>21883</v>
      </c>
      <c r="F1483" t="s">
        <v>441</v>
      </c>
      <c r="G1483">
        <v>0</v>
      </c>
      <c r="I1483" s="5">
        <v>44044</v>
      </c>
      <c r="J1483" s="5">
        <v>43970.333333333336</v>
      </c>
    </row>
    <row r="1484" spans="1:10" x14ac:dyDescent="0.2">
      <c r="A1484">
        <v>7118722</v>
      </c>
      <c r="B1484">
        <v>3693378</v>
      </c>
      <c r="C1484">
        <v>3692916</v>
      </c>
      <c r="D1484">
        <v>21883</v>
      </c>
      <c r="E1484">
        <v>21883</v>
      </c>
      <c r="F1484" t="s">
        <v>441</v>
      </c>
      <c r="G1484">
        <v>0</v>
      </c>
      <c r="I1484" s="5">
        <v>44044</v>
      </c>
      <c r="J1484" s="5">
        <v>43970.333333333336</v>
      </c>
    </row>
    <row r="1485" spans="1:10" x14ac:dyDescent="0.2">
      <c r="A1485">
        <v>7118723</v>
      </c>
      <c r="B1485">
        <v>3693253</v>
      </c>
      <c r="C1485">
        <v>3693378</v>
      </c>
      <c r="D1485">
        <v>21883</v>
      </c>
      <c r="E1485">
        <v>21883</v>
      </c>
      <c r="F1485" t="s">
        <v>441</v>
      </c>
      <c r="G1485">
        <v>0</v>
      </c>
      <c r="I1485" s="5">
        <v>44044</v>
      </c>
      <c r="J1485" s="5">
        <v>43970.333333333336</v>
      </c>
    </row>
    <row r="1486" spans="1:10" x14ac:dyDescent="0.2">
      <c r="A1486">
        <v>7118724</v>
      </c>
      <c r="B1486">
        <v>3692991</v>
      </c>
      <c r="C1486">
        <v>3693377</v>
      </c>
      <c r="D1486">
        <v>21883</v>
      </c>
      <c r="E1486">
        <v>21883</v>
      </c>
      <c r="F1486" t="s">
        <v>441</v>
      </c>
      <c r="G1486">
        <v>0</v>
      </c>
      <c r="I1486" s="5">
        <v>44044</v>
      </c>
      <c r="J1486" s="5">
        <v>43970.333333333336</v>
      </c>
    </row>
    <row r="1487" spans="1:10" x14ac:dyDescent="0.2">
      <c r="A1487">
        <v>7118725</v>
      </c>
      <c r="B1487">
        <v>3693380</v>
      </c>
      <c r="C1487">
        <v>3693379</v>
      </c>
      <c r="D1487">
        <v>21883</v>
      </c>
      <c r="E1487">
        <v>21883</v>
      </c>
      <c r="F1487" t="s">
        <v>441</v>
      </c>
      <c r="G1487">
        <v>0</v>
      </c>
      <c r="I1487" s="5">
        <v>44044</v>
      </c>
      <c r="J1487" s="5">
        <v>43970.333333333336</v>
      </c>
    </row>
    <row r="1488" spans="1:10" x14ac:dyDescent="0.2">
      <c r="A1488">
        <v>7118726</v>
      </c>
      <c r="B1488">
        <v>3692918</v>
      </c>
      <c r="C1488">
        <v>3693380</v>
      </c>
      <c r="D1488">
        <v>21883</v>
      </c>
      <c r="E1488">
        <v>21883</v>
      </c>
      <c r="F1488" t="s">
        <v>441</v>
      </c>
      <c r="G1488">
        <v>0</v>
      </c>
      <c r="I1488" s="5">
        <v>44044</v>
      </c>
      <c r="J1488" s="5">
        <v>43970.333333333336</v>
      </c>
    </row>
    <row r="1489" spans="1:10" x14ac:dyDescent="0.2">
      <c r="A1489">
        <v>7118727</v>
      </c>
      <c r="B1489">
        <v>3693381</v>
      </c>
      <c r="C1489">
        <v>3692918</v>
      </c>
      <c r="D1489">
        <v>21883</v>
      </c>
      <c r="E1489">
        <v>21883</v>
      </c>
      <c r="F1489" t="s">
        <v>441</v>
      </c>
      <c r="G1489">
        <v>0</v>
      </c>
      <c r="I1489" s="5">
        <v>44044</v>
      </c>
      <c r="J1489" s="5">
        <v>43970.333333333336</v>
      </c>
    </row>
    <row r="1490" spans="1:10" x14ac:dyDescent="0.2">
      <c r="A1490">
        <v>7118728</v>
      </c>
      <c r="B1490">
        <v>3693382</v>
      </c>
      <c r="C1490">
        <v>3693381</v>
      </c>
      <c r="D1490">
        <v>21883</v>
      </c>
      <c r="E1490">
        <v>21883</v>
      </c>
      <c r="F1490" t="s">
        <v>441</v>
      </c>
      <c r="G1490">
        <v>0</v>
      </c>
      <c r="I1490" s="5">
        <v>44044</v>
      </c>
      <c r="J1490" s="5">
        <v>43970.333333333336</v>
      </c>
    </row>
    <row r="1491" spans="1:10" x14ac:dyDescent="0.2">
      <c r="A1491">
        <v>7118729</v>
      </c>
      <c r="B1491">
        <v>3692920</v>
      </c>
      <c r="C1491">
        <v>3693382</v>
      </c>
      <c r="D1491">
        <v>21883</v>
      </c>
      <c r="E1491">
        <v>21883</v>
      </c>
      <c r="F1491" t="s">
        <v>441</v>
      </c>
      <c r="G1491">
        <v>0</v>
      </c>
      <c r="I1491" s="5">
        <v>44044</v>
      </c>
      <c r="J1491" s="5">
        <v>43970.333333333336</v>
      </c>
    </row>
    <row r="1492" spans="1:10" x14ac:dyDescent="0.2">
      <c r="A1492">
        <v>7118730</v>
      </c>
      <c r="B1492">
        <v>3693383</v>
      </c>
      <c r="C1492">
        <v>3692919</v>
      </c>
      <c r="D1492">
        <v>21883</v>
      </c>
      <c r="E1492">
        <v>21883</v>
      </c>
      <c r="F1492" t="s">
        <v>441</v>
      </c>
      <c r="G1492">
        <v>0</v>
      </c>
      <c r="I1492" s="5">
        <v>44044</v>
      </c>
      <c r="J1492" s="5">
        <v>43970.333333333336</v>
      </c>
    </row>
    <row r="1493" spans="1:10" x14ac:dyDescent="0.2">
      <c r="A1493">
        <v>7118731</v>
      </c>
      <c r="B1493">
        <v>3693252</v>
      </c>
      <c r="C1493">
        <v>3693383</v>
      </c>
      <c r="D1493">
        <v>21883</v>
      </c>
      <c r="E1493">
        <v>21883</v>
      </c>
      <c r="F1493" t="s">
        <v>441</v>
      </c>
      <c r="G1493">
        <v>0</v>
      </c>
      <c r="I1493" s="5">
        <v>44044</v>
      </c>
      <c r="J1493" s="5">
        <v>43970.333333333336</v>
      </c>
    </row>
    <row r="1494" spans="1:10" x14ac:dyDescent="0.2">
      <c r="A1494">
        <v>7118732</v>
      </c>
      <c r="B1494">
        <v>3693384</v>
      </c>
      <c r="C1494">
        <v>3693252</v>
      </c>
      <c r="D1494">
        <v>21883</v>
      </c>
      <c r="E1494">
        <v>21883</v>
      </c>
      <c r="F1494" t="s">
        <v>441</v>
      </c>
      <c r="G1494">
        <v>0</v>
      </c>
      <c r="I1494" s="5">
        <v>44044</v>
      </c>
      <c r="J1494" s="5">
        <v>43970.333333333336</v>
      </c>
    </row>
    <row r="1495" spans="1:10" x14ac:dyDescent="0.2">
      <c r="A1495">
        <v>7118733</v>
      </c>
      <c r="B1495">
        <v>3692991</v>
      </c>
      <c r="C1495">
        <v>3693384</v>
      </c>
      <c r="D1495">
        <v>21883</v>
      </c>
      <c r="E1495">
        <v>21883</v>
      </c>
      <c r="F1495" t="s">
        <v>441</v>
      </c>
      <c r="G1495">
        <v>0</v>
      </c>
      <c r="I1495" s="5">
        <v>44044</v>
      </c>
      <c r="J1495" s="5">
        <v>43970.333333333336</v>
      </c>
    </row>
    <row r="1496" spans="1:10" x14ac:dyDescent="0.2">
      <c r="A1496">
        <v>7118734</v>
      </c>
      <c r="B1496">
        <v>3693382</v>
      </c>
      <c r="C1496">
        <v>3693372</v>
      </c>
      <c r="D1496">
        <v>21883</v>
      </c>
      <c r="E1496">
        <v>21883</v>
      </c>
      <c r="F1496" t="s">
        <v>441</v>
      </c>
      <c r="G1496">
        <v>0</v>
      </c>
      <c r="I1496" s="5">
        <v>44044</v>
      </c>
      <c r="J1496" s="5">
        <v>43970.333333333336</v>
      </c>
    </row>
    <row r="1497" spans="1:10" x14ac:dyDescent="0.2">
      <c r="A1497">
        <v>7118735</v>
      </c>
      <c r="B1497">
        <v>3692947</v>
      </c>
      <c r="C1497">
        <v>3693385</v>
      </c>
      <c r="D1497">
        <v>21883</v>
      </c>
      <c r="E1497">
        <v>21883</v>
      </c>
      <c r="F1497" t="s">
        <v>441</v>
      </c>
      <c r="G1497">
        <v>0</v>
      </c>
      <c r="I1497" s="5">
        <v>44044</v>
      </c>
      <c r="J1497" s="5">
        <v>43970.333333333336</v>
      </c>
    </row>
    <row r="1498" spans="1:10" x14ac:dyDescent="0.2">
      <c r="A1498">
        <v>7118736</v>
      </c>
      <c r="B1498">
        <v>3693386</v>
      </c>
      <c r="C1498">
        <v>3693372</v>
      </c>
      <c r="D1498">
        <v>21883</v>
      </c>
      <c r="E1498">
        <v>21883</v>
      </c>
      <c r="F1498" t="s">
        <v>441</v>
      </c>
      <c r="G1498">
        <v>0</v>
      </c>
      <c r="I1498" s="5">
        <v>44044</v>
      </c>
      <c r="J1498" s="5">
        <v>43970.333333333336</v>
      </c>
    </row>
    <row r="1499" spans="1:10" x14ac:dyDescent="0.2">
      <c r="A1499">
        <v>7118737</v>
      </c>
      <c r="B1499">
        <v>3692953</v>
      </c>
      <c r="C1499">
        <v>3693386</v>
      </c>
      <c r="D1499">
        <v>21883</v>
      </c>
      <c r="E1499">
        <v>21883</v>
      </c>
      <c r="F1499" t="s">
        <v>441</v>
      </c>
      <c r="G1499">
        <v>0</v>
      </c>
      <c r="I1499" s="5">
        <v>44044</v>
      </c>
      <c r="J1499" s="5">
        <v>43970.333333333336</v>
      </c>
    </row>
    <row r="1500" spans="1:10" x14ac:dyDescent="0.2">
      <c r="A1500">
        <v>7118738</v>
      </c>
      <c r="B1500">
        <v>3693385</v>
      </c>
      <c r="C1500">
        <v>3693366</v>
      </c>
      <c r="D1500">
        <v>21883</v>
      </c>
      <c r="E1500">
        <v>21883</v>
      </c>
      <c r="F1500" t="s">
        <v>441</v>
      </c>
      <c r="G1500">
        <v>0</v>
      </c>
      <c r="I1500" s="5">
        <v>44044</v>
      </c>
      <c r="J1500" s="5">
        <v>43970.333333333336</v>
      </c>
    </row>
    <row r="1501" spans="1:10" x14ac:dyDescent="0.2">
      <c r="A1501">
        <v>7118739</v>
      </c>
      <c r="B1501">
        <v>3693387</v>
      </c>
      <c r="C1501">
        <v>3693376</v>
      </c>
      <c r="D1501">
        <v>21883</v>
      </c>
      <c r="E1501">
        <v>21883</v>
      </c>
      <c r="F1501" t="s">
        <v>441</v>
      </c>
      <c r="G1501">
        <v>0</v>
      </c>
      <c r="I1501" s="5">
        <v>44044</v>
      </c>
      <c r="J1501" s="5">
        <v>43970.333333333336</v>
      </c>
    </row>
    <row r="1502" spans="1:10" x14ac:dyDescent="0.2">
      <c r="A1502">
        <v>7118740</v>
      </c>
      <c r="B1502">
        <v>3692959</v>
      </c>
      <c r="C1502">
        <v>3693387</v>
      </c>
      <c r="D1502">
        <v>21883</v>
      </c>
      <c r="E1502">
        <v>21883</v>
      </c>
      <c r="F1502" t="s">
        <v>441</v>
      </c>
      <c r="G1502">
        <v>0</v>
      </c>
      <c r="I1502" s="5">
        <v>44044</v>
      </c>
      <c r="J1502" s="5">
        <v>43970.333333333336</v>
      </c>
    </row>
    <row r="1503" spans="1:10" x14ac:dyDescent="0.2">
      <c r="A1503">
        <v>7118741</v>
      </c>
      <c r="B1503">
        <v>3693388</v>
      </c>
      <c r="C1503">
        <v>3693383</v>
      </c>
      <c r="D1503">
        <v>21883</v>
      </c>
      <c r="E1503">
        <v>21883</v>
      </c>
      <c r="F1503" t="s">
        <v>441</v>
      </c>
      <c r="G1503">
        <v>0</v>
      </c>
      <c r="I1503" s="5">
        <v>44044</v>
      </c>
      <c r="J1503" s="5">
        <v>43970.333333333336</v>
      </c>
    </row>
    <row r="1504" spans="1:10" x14ac:dyDescent="0.2">
      <c r="A1504">
        <v>7118742</v>
      </c>
      <c r="B1504">
        <v>3693389</v>
      </c>
      <c r="C1504">
        <v>3693356</v>
      </c>
      <c r="D1504">
        <v>21883</v>
      </c>
      <c r="E1504">
        <v>21883</v>
      </c>
      <c r="F1504" t="s">
        <v>441</v>
      </c>
      <c r="G1504">
        <v>0</v>
      </c>
      <c r="I1504" s="5">
        <v>44044</v>
      </c>
      <c r="J1504" s="5">
        <v>43970.333333333336</v>
      </c>
    </row>
    <row r="1505" spans="1:10" x14ac:dyDescent="0.2">
      <c r="A1505">
        <v>7118743</v>
      </c>
      <c r="B1505">
        <v>3692921</v>
      </c>
      <c r="C1505">
        <v>3693389</v>
      </c>
      <c r="D1505">
        <v>21883</v>
      </c>
      <c r="E1505">
        <v>21883</v>
      </c>
      <c r="F1505" t="s">
        <v>441</v>
      </c>
      <c r="G1505">
        <v>0</v>
      </c>
      <c r="I1505" s="5">
        <v>44044</v>
      </c>
      <c r="J1505" s="5">
        <v>43970.333333333336</v>
      </c>
    </row>
    <row r="1506" spans="1:10" x14ac:dyDescent="0.2">
      <c r="A1506">
        <v>7118744</v>
      </c>
      <c r="B1506">
        <v>3693390</v>
      </c>
      <c r="C1506">
        <v>3692925</v>
      </c>
      <c r="D1506">
        <v>21883</v>
      </c>
      <c r="E1506">
        <v>21883</v>
      </c>
      <c r="F1506" t="s">
        <v>441</v>
      </c>
      <c r="G1506">
        <v>0</v>
      </c>
      <c r="I1506" s="5">
        <v>44044</v>
      </c>
      <c r="J1506" s="5">
        <v>43970.333333333336</v>
      </c>
    </row>
    <row r="1507" spans="1:10" x14ac:dyDescent="0.2">
      <c r="A1507">
        <v>7118745</v>
      </c>
      <c r="B1507">
        <v>3693157</v>
      </c>
      <c r="C1507">
        <v>3693390</v>
      </c>
      <c r="D1507">
        <v>21883</v>
      </c>
      <c r="E1507">
        <v>21883</v>
      </c>
      <c r="F1507" t="s">
        <v>441</v>
      </c>
      <c r="G1507">
        <v>0</v>
      </c>
      <c r="I1507" s="5">
        <v>44044</v>
      </c>
      <c r="J1507" s="5">
        <v>43970.333333333336</v>
      </c>
    </row>
    <row r="1508" spans="1:10" x14ac:dyDescent="0.2">
      <c r="A1508">
        <v>7118746</v>
      </c>
      <c r="B1508">
        <v>3692924</v>
      </c>
      <c r="C1508">
        <v>3693157</v>
      </c>
      <c r="D1508">
        <v>21883</v>
      </c>
      <c r="E1508">
        <v>21883</v>
      </c>
      <c r="F1508" t="s">
        <v>442</v>
      </c>
      <c r="G1508">
        <v>0</v>
      </c>
      <c r="I1508" s="5">
        <v>44044</v>
      </c>
      <c r="J1508" s="5">
        <v>43970.333333333336</v>
      </c>
    </row>
    <row r="1509" spans="1:10" x14ac:dyDescent="0.2">
      <c r="A1509">
        <v>7118747</v>
      </c>
      <c r="B1509">
        <v>3693158</v>
      </c>
      <c r="C1509">
        <v>3692924</v>
      </c>
      <c r="D1509">
        <v>21883</v>
      </c>
      <c r="E1509">
        <v>21883</v>
      </c>
      <c r="F1509" t="s">
        <v>441</v>
      </c>
      <c r="G1509">
        <v>0</v>
      </c>
      <c r="I1509" s="5">
        <v>44044</v>
      </c>
      <c r="J1509" s="5">
        <v>43970.333333333336</v>
      </c>
    </row>
    <row r="1510" spans="1:10" x14ac:dyDescent="0.2">
      <c r="A1510">
        <v>7118748</v>
      </c>
      <c r="B1510">
        <v>3693391</v>
      </c>
      <c r="C1510">
        <v>3692921</v>
      </c>
      <c r="D1510">
        <v>21883</v>
      </c>
      <c r="E1510">
        <v>21883</v>
      </c>
      <c r="F1510" t="s">
        <v>441</v>
      </c>
      <c r="G1510">
        <v>0</v>
      </c>
      <c r="I1510" s="5">
        <v>44044</v>
      </c>
      <c r="J1510" s="5">
        <v>43970.333333333336</v>
      </c>
    </row>
    <row r="1511" spans="1:10" x14ac:dyDescent="0.2">
      <c r="A1511">
        <v>7118749</v>
      </c>
      <c r="B1511">
        <v>3693392</v>
      </c>
      <c r="C1511">
        <v>3692923</v>
      </c>
      <c r="D1511">
        <v>21883</v>
      </c>
      <c r="E1511">
        <v>21883</v>
      </c>
      <c r="F1511" t="s">
        <v>441</v>
      </c>
      <c r="G1511">
        <v>0</v>
      </c>
      <c r="I1511" s="5">
        <v>44044</v>
      </c>
      <c r="J1511" s="5">
        <v>43970.333333333336</v>
      </c>
    </row>
    <row r="1512" spans="1:10" x14ac:dyDescent="0.2">
      <c r="A1512">
        <v>7118750</v>
      </c>
      <c r="B1512">
        <v>3693249</v>
      </c>
      <c r="C1512">
        <v>3693392</v>
      </c>
      <c r="D1512">
        <v>21883</v>
      </c>
      <c r="E1512">
        <v>21883</v>
      </c>
      <c r="F1512" t="s">
        <v>441</v>
      </c>
      <c r="G1512">
        <v>0</v>
      </c>
      <c r="I1512" s="5">
        <v>44044</v>
      </c>
      <c r="J1512" s="5">
        <v>43970.333333333336</v>
      </c>
    </row>
    <row r="1513" spans="1:10" x14ac:dyDescent="0.2">
      <c r="A1513">
        <v>7118751</v>
      </c>
      <c r="B1513">
        <v>3693393</v>
      </c>
      <c r="C1513">
        <v>3692925</v>
      </c>
      <c r="D1513">
        <v>21883</v>
      </c>
      <c r="E1513">
        <v>21883</v>
      </c>
      <c r="F1513" t="s">
        <v>441</v>
      </c>
      <c r="G1513">
        <v>0</v>
      </c>
      <c r="I1513" s="5">
        <v>44044</v>
      </c>
      <c r="J1513" s="5">
        <v>43970.333333333336</v>
      </c>
    </row>
    <row r="1514" spans="1:10" x14ac:dyDescent="0.2">
      <c r="A1514">
        <v>7118752</v>
      </c>
      <c r="B1514">
        <v>3693390</v>
      </c>
      <c r="C1514">
        <v>3693393</v>
      </c>
      <c r="D1514">
        <v>21883</v>
      </c>
      <c r="E1514">
        <v>21883</v>
      </c>
      <c r="F1514" t="s">
        <v>441</v>
      </c>
      <c r="G1514">
        <v>0</v>
      </c>
      <c r="I1514" s="5">
        <v>44044</v>
      </c>
      <c r="J1514" s="5">
        <v>43970.333333333336</v>
      </c>
    </row>
    <row r="1515" spans="1:10" x14ac:dyDescent="0.2">
      <c r="A1515">
        <v>7118753</v>
      </c>
      <c r="B1515">
        <v>3692927</v>
      </c>
      <c r="C1515">
        <v>3693393</v>
      </c>
      <c r="D1515">
        <v>21883</v>
      </c>
      <c r="E1515">
        <v>21883</v>
      </c>
      <c r="F1515" t="s">
        <v>441</v>
      </c>
      <c r="G1515">
        <v>0</v>
      </c>
      <c r="I1515" s="5">
        <v>44044</v>
      </c>
      <c r="J1515" s="5">
        <v>43970.333333333336</v>
      </c>
    </row>
    <row r="1516" spans="1:10" x14ac:dyDescent="0.2">
      <c r="A1516">
        <v>7118754</v>
      </c>
      <c r="B1516">
        <v>3692926</v>
      </c>
      <c r="C1516">
        <v>3693394</v>
      </c>
      <c r="D1516">
        <v>21883</v>
      </c>
      <c r="E1516">
        <v>21883</v>
      </c>
      <c r="F1516" t="s">
        <v>441</v>
      </c>
      <c r="G1516">
        <v>0</v>
      </c>
      <c r="I1516" s="5">
        <v>44044</v>
      </c>
      <c r="J1516" s="5">
        <v>43970.333333333336</v>
      </c>
    </row>
    <row r="1517" spans="1:10" x14ac:dyDescent="0.2">
      <c r="A1517">
        <v>7118755</v>
      </c>
      <c r="B1517">
        <v>3693395</v>
      </c>
      <c r="C1517">
        <v>3692926</v>
      </c>
      <c r="D1517">
        <v>21883</v>
      </c>
      <c r="E1517">
        <v>21883</v>
      </c>
      <c r="F1517" t="s">
        <v>441</v>
      </c>
      <c r="G1517">
        <v>0</v>
      </c>
      <c r="I1517" s="5">
        <v>44044</v>
      </c>
      <c r="J1517" s="5">
        <v>43970.333333333336</v>
      </c>
    </row>
    <row r="1518" spans="1:10" x14ac:dyDescent="0.2">
      <c r="A1518">
        <v>7118756</v>
      </c>
      <c r="B1518">
        <v>3692927</v>
      </c>
      <c r="C1518">
        <v>3693395</v>
      </c>
      <c r="D1518">
        <v>21883</v>
      </c>
      <c r="E1518">
        <v>21883</v>
      </c>
      <c r="F1518" t="s">
        <v>441</v>
      </c>
      <c r="G1518">
        <v>0</v>
      </c>
      <c r="I1518" s="5">
        <v>44044</v>
      </c>
      <c r="J1518" s="5">
        <v>43970.333333333336</v>
      </c>
    </row>
    <row r="1519" spans="1:10" x14ac:dyDescent="0.2">
      <c r="A1519">
        <v>7118757</v>
      </c>
      <c r="B1519">
        <v>3693396</v>
      </c>
      <c r="C1519">
        <v>3692930</v>
      </c>
      <c r="D1519">
        <v>21883</v>
      </c>
      <c r="E1519">
        <v>21883</v>
      </c>
      <c r="F1519" t="s">
        <v>441</v>
      </c>
      <c r="G1519">
        <v>0</v>
      </c>
      <c r="I1519" s="5">
        <v>44044</v>
      </c>
      <c r="J1519" s="5">
        <v>43970.333333333336</v>
      </c>
    </row>
    <row r="1520" spans="1:10" x14ac:dyDescent="0.2">
      <c r="A1520">
        <v>7118758</v>
      </c>
      <c r="B1520">
        <v>3693153</v>
      </c>
      <c r="C1520">
        <v>3693397</v>
      </c>
      <c r="D1520">
        <v>21883</v>
      </c>
      <c r="E1520">
        <v>21883</v>
      </c>
      <c r="F1520" t="s">
        <v>441</v>
      </c>
      <c r="G1520">
        <v>0</v>
      </c>
      <c r="I1520" s="5">
        <v>44044</v>
      </c>
      <c r="J1520" s="5">
        <v>43970.333333333336</v>
      </c>
    </row>
    <row r="1521" spans="1:10" x14ac:dyDescent="0.2">
      <c r="A1521">
        <v>7118759</v>
      </c>
      <c r="B1521">
        <v>3692929</v>
      </c>
      <c r="C1521">
        <v>3693153</v>
      </c>
      <c r="D1521">
        <v>21883</v>
      </c>
      <c r="E1521">
        <v>21883</v>
      </c>
      <c r="F1521" t="s">
        <v>441</v>
      </c>
      <c r="G1521">
        <v>0</v>
      </c>
      <c r="I1521" s="5">
        <v>44044</v>
      </c>
      <c r="J1521" s="5">
        <v>43970.333333333336</v>
      </c>
    </row>
    <row r="1522" spans="1:10" x14ac:dyDescent="0.2">
      <c r="A1522">
        <v>7118760</v>
      </c>
      <c r="B1522">
        <v>3693154</v>
      </c>
      <c r="C1522">
        <v>3692929</v>
      </c>
      <c r="D1522">
        <v>21883</v>
      </c>
      <c r="E1522">
        <v>21883</v>
      </c>
      <c r="F1522" t="s">
        <v>441</v>
      </c>
      <c r="G1522">
        <v>0</v>
      </c>
      <c r="I1522" s="5">
        <v>44044</v>
      </c>
      <c r="J1522" s="5">
        <v>43970.333333333336</v>
      </c>
    </row>
    <row r="1523" spans="1:10" x14ac:dyDescent="0.2">
      <c r="A1523">
        <v>7118761</v>
      </c>
      <c r="B1523">
        <v>3693398</v>
      </c>
      <c r="C1523">
        <v>3692928</v>
      </c>
      <c r="D1523">
        <v>21883</v>
      </c>
      <c r="E1523">
        <v>21883</v>
      </c>
      <c r="F1523" t="s">
        <v>441</v>
      </c>
      <c r="G1523">
        <v>0</v>
      </c>
      <c r="I1523" s="5">
        <v>44044</v>
      </c>
      <c r="J1523" s="5">
        <v>43970.333333333336</v>
      </c>
    </row>
    <row r="1524" spans="1:10" x14ac:dyDescent="0.2">
      <c r="A1524">
        <v>7118762</v>
      </c>
      <c r="B1524">
        <v>3693250</v>
      </c>
      <c r="C1524">
        <v>3693398</v>
      </c>
      <c r="D1524">
        <v>21883</v>
      </c>
      <c r="E1524">
        <v>21883</v>
      </c>
      <c r="F1524" t="s">
        <v>441</v>
      </c>
      <c r="G1524">
        <v>0</v>
      </c>
      <c r="I1524" s="5">
        <v>44044</v>
      </c>
      <c r="J1524" s="5">
        <v>43970.333333333336</v>
      </c>
    </row>
    <row r="1525" spans="1:10" x14ac:dyDescent="0.2">
      <c r="A1525">
        <v>7118763</v>
      </c>
      <c r="B1525">
        <v>3693400</v>
      </c>
      <c r="C1525">
        <v>3692931</v>
      </c>
      <c r="D1525">
        <v>21883</v>
      </c>
      <c r="E1525">
        <v>21883</v>
      </c>
      <c r="F1525" t="s">
        <v>441</v>
      </c>
      <c r="G1525">
        <v>0</v>
      </c>
      <c r="I1525" s="5">
        <v>44044</v>
      </c>
      <c r="J1525" s="5">
        <v>43970.333333333336</v>
      </c>
    </row>
    <row r="1526" spans="1:10" x14ac:dyDescent="0.2">
      <c r="A1526">
        <v>7118764</v>
      </c>
      <c r="B1526">
        <v>3692933</v>
      </c>
      <c r="C1526">
        <v>3693400</v>
      </c>
      <c r="D1526">
        <v>21883</v>
      </c>
      <c r="E1526">
        <v>21883</v>
      </c>
      <c r="F1526" t="s">
        <v>441</v>
      </c>
      <c r="G1526">
        <v>0</v>
      </c>
      <c r="I1526" s="5">
        <v>44044</v>
      </c>
      <c r="J1526" s="5">
        <v>43970.333333333336</v>
      </c>
    </row>
    <row r="1527" spans="1:10" x14ac:dyDescent="0.2">
      <c r="A1527">
        <v>7118765</v>
      </c>
      <c r="B1527">
        <v>3692931</v>
      </c>
      <c r="C1527">
        <v>3693399</v>
      </c>
      <c r="D1527">
        <v>21883</v>
      </c>
      <c r="E1527">
        <v>21883</v>
      </c>
      <c r="F1527" t="s">
        <v>441</v>
      </c>
      <c r="G1527">
        <v>0</v>
      </c>
      <c r="I1527" s="5">
        <v>44044</v>
      </c>
      <c r="J1527" s="5">
        <v>43970.333333333336</v>
      </c>
    </row>
    <row r="1528" spans="1:10" x14ac:dyDescent="0.2">
      <c r="A1528">
        <v>7118766</v>
      </c>
      <c r="B1528">
        <v>3693401</v>
      </c>
      <c r="C1528">
        <v>3692935</v>
      </c>
      <c r="D1528">
        <v>21883</v>
      </c>
      <c r="E1528">
        <v>21883</v>
      </c>
      <c r="F1528" t="s">
        <v>441</v>
      </c>
      <c r="G1528">
        <v>0</v>
      </c>
      <c r="I1528" s="5">
        <v>44044</v>
      </c>
      <c r="J1528" s="5">
        <v>43970.333333333336</v>
      </c>
    </row>
    <row r="1529" spans="1:10" x14ac:dyDescent="0.2">
      <c r="A1529">
        <v>7118767</v>
      </c>
      <c r="B1529">
        <v>3693402</v>
      </c>
      <c r="C1529">
        <v>3693401</v>
      </c>
      <c r="D1529">
        <v>21883</v>
      </c>
      <c r="E1529">
        <v>21883</v>
      </c>
      <c r="F1529" t="s">
        <v>441</v>
      </c>
      <c r="G1529">
        <v>0</v>
      </c>
      <c r="I1529" s="5">
        <v>44044</v>
      </c>
      <c r="J1529" s="5">
        <v>43970.333333333336</v>
      </c>
    </row>
    <row r="1530" spans="1:10" x14ac:dyDescent="0.2">
      <c r="A1530">
        <v>7118768</v>
      </c>
      <c r="B1530">
        <v>3693149</v>
      </c>
      <c r="C1530">
        <v>3693402</v>
      </c>
      <c r="D1530">
        <v>21883</v>
      </c>
      <c r="E1530">
        <v>21883</v>
      </c>
      <c r="F1530" t="s">
        <v>441</v>
      </c>
      <c r="G1530">
        <v>0</v>
      </c>
      <c r="I1530" s="5">
        <v>44044</v>
      </c>
      <c r="J1530" s="5">
        <v>43970.333333333336</v>
      </c>
    </row>
    <row r="1531" spans="1:10" x14ac:dyDescent="0.2">
      <c r="A1531">
        <v>7118769</v>
      </c>
      <c r="B1531">
        <v>3692934</v>
      </c>
      <c r="C1531">
        <v>3693149</v>
      </c>
      <c r="D1531">
        <v>21883</v>
      </c>
      <c r="E1531">
        <v>21883</v>
      </c>
      <c r="F1531" t="s">
        <v>441</v>
      </c>
      <c r="G1531">
        <v>0</v>
      </c>
      <c r="I1531" s="5">
        <v>44044</v>
      </c>
      <c r="J1531" s="5">
        <v>43970.333333333336</v>
      </c>
    </row>
    <row r="1532" spans="1:10" x14ac:dyDescent="0.2">
      <c r="A1532">
        <v>7118770</v>
      </c>
      <c r="B1532">
        <v>3693150</v>
      </c>
      <c r="C1532">
        <v>3692934</v>
      </c>
      <c r="D1532">
        <v>21883</v>
      </c>
      <c r="E1532">
        <v>21883</v>
      </c>
      <c r="F1532" t="s">
        <v>441</v>
      </c>
      <c r="G1532">
        <v>0</v>
      </c>
      <c r="I1532" s="5">
        <v>44044</v>
      </c>
      <c r="J1532" s="5">
        <v>43970.333333333336</v>
      </c>
    </row>
    <row r="1533" spans="1:10" x14ac:dyDescent="0.2">
      <c r="A1533">
        <v>7118771</v>
      </c>
      <c r="B1533">
        <v>3693403</v>
      </c>
      <c r="C1533">
        <v>3692932</v>
      </c>
      <c r="D1533">
        <v>21883</v>
      </c>
      <c r="E1533">
        <v>21883</v>
      </c>
      <c r="F1533" t="s">
        <v>441</v>
      </c>
      <c r="G1533">
        <v>0</v>
      </c>
      <c r="I1533" s="5">
        <v>44044</v>
      </c>
      <c r="J1533" s="5">
        <v>43970.333333333336</v>
      </c>
    </row>
    <row r="1534" spans="1:10" x14ac:dyDescent="0.2">
      <c r="A1534">
        <v>7118772</v>
      </c>
      <c r="B1534">
        <v>3693251</v>
      </c>
      <c r="C1534">
        <v>3693403</v>
      </c>
      <c r="D1534">
        <v>21883</v>
      </c>
      <c r="E1534">
        <v>21883</v>
      </c>
      <c r="F1534" t="s">
        <v>441</v>
      </c>
      <c r="G1534">
        <v>0</v>
      </c>
      <c r="I1534" s="5">
        <v>44044</v>
      </c>
      <c r="J1534" s="5">
        <v>43970.333333333336</v>
      </c>
    </row>
    <row r="1535" spans="1:10" x14ac:dyDescent="0.2">
      <c r="A1535">
        <v>7118773</v>
      </c>
      <c r="B1535">
        <v>3693389</v>
      </c>
      <c r="C1535">
        <v>3693275</v>
      </c>
      <c r="D1535">
        <v>21883</v>
      </c>
      <c r="E1535">
        <v>21883</v>
      </c>
      <c r="F1535" t="s">
        <v>441</v>
      </c>
      <c r="G1535">
        <v>0</v>
      </c>
      <c r="I1535" s="5">
        <v>44044</v>
      </c>
      <c r="J1535" s="5">
        <v>43970.333333333336</v>
      </c>
    </row>
    <row r="1536" spans="1:10" x14ac:dyDescent="0.2">
      <c r="A1536">
        <v>7118774</v>
      </c>
      <c r="B1536">
        <v>3693394</v>
      </c>
      <c r="C1536">
        <v>3693275</v>
      </c>
      <c r="D1536">
        <v>21883</v>
      </c>
      <c r="E1536">
        <v>21883</v>
      </c>
      <c r="F1536" t="s">
        <v>441</v>
      </c>
      <c r="G1536">
        <v>0</v>
      </c>
      <c r="I1536" s="5">
        <v>44044</v>
      </c>
      <c r="J1536" s="5">
        <v>43970.333333333336</v>
      </c>
    </row>
    <row r="1537" spans="1:10" x14ac:dyDescent="0.2">
      <c r="A1537">
        <v>7118775</v>
      </c>
      <c r="B1537">
        <v>3693399</v>
      </c>
      <c r="C1537">
        <v>3693275</v>
      </c>
      <c r="D1537">
        <v>21883</v>
      </c>
      <c r="E1537">
        <v>21883</v>
      </c>
      <c r="F1537" t="s">
        <v>441</v>
      </c>
      <c r="G1537">
        <v>0</v>
      </c>
      <c r="I1537" s="5">
        <v>44044</v>
      </c>
      <c r="J1537" s="5">
        <v>43970.333333333336</v>
      </c>
    </row>
    <row r="1538" spans="1:10" x14ac:dyDescent="0.2">
      <c r="A1538">
        <v>7118776</v>
      </c>
      <c r="B1538">
        <v>3692931</v>
      </c>
      <c r="C1538">
        <v>3693275</v>
      </c>
      <c r="D1538">
        <v>21883</v>
      </c>
      <c r="E1538">
        <v>21883</v>
      </c>
      <c r="F1538" t="s">
        <v>441</v>
      </c>
      <c r="G1538">
        <v>0</v>
      </c>
      <c r="I1538" s="5">
        <v>44044</v>
      </c>
      <c r="J1538" s="5">
        <v>43970.333333333336</v>
      </c>
    </row>
    <row r="1539" spans="1:10" x14ac:dyDescent="0.2">
      <c r="A1539">
        <v>7118777</v>
      </c>
      <c r="B1539">
        <v>3692926</v>
      </c>
      <c r="C1539">
        <v>3693275</v>
      </c>
      <c r="D1539">
        <v>21883</v>
      </c>
      <c r="E1539">
        <v>21883</v>
      </c>
      <c r="F1539" t="s">
        <v>441</v>
      </c>
      <c r="G1539">
        <v>0</v>
      </c>
      <c r="I1539" s="5">
        <v>44044</v>
      </c>
      <c r="J1539" s="5">
        <v>43970.333333333336</v>
      </c>
    </row>
    <row r="1540" spans="1:10" x14ac:dyDescent="0.2">
      <c r="A1540">
        <v>7118778</v>
      </c>
      <c r="B1540">
        <v>3692921</v>
      </c>
      <c r="C1540">
        <v>3693275</v>
      </c>
      <c r="D1540">
        <v>21883</v>
      </c>
      <c r="E1540">
        <v>21883</v>
      </c>
      <c r="F1540" t="s">
        <v>441</v>
      </c>
      <c r="G1540">
        <v>0</v>
      </c>
      <c r="I1540" s="5">
        <v>44044</v>
      </c>
      <c r="J1540" s="5">
        <v>43970.333333333336</v>
      </c>
    </row>
    <row r="1541" spans="1:10" x14ac:dyDescent="0.2">
      <c r="A1541">
        <v>7118779</v>
      </c>
      <c r="B1541">
        <v>3692971</v>
      </c>
      <c r="C1541">
        <v>3693404</v>
      </c>
      <c r="D1541">
        <v>21883</v>
      </c>
      <c r="E1541">
        <v>21883</v>
      </c>
      <c r="F1541" t="s">
        <v>441</v>
      </c>
      <c r="G1541">
        <v>0</v>
      </c>
      <c r="I1541" s="5">
        <v>44044</v>
      </c>
      <c r="J1541" s="5">
        <v>43970.333333333336</v>
      </c>
    </row>
    <row r="1542" spans="1:10" x14ac:dyDescent="0.2">
      <c r="A1542">
        <v>7118780</v>
      </c>
      <c r="B1542">
        <v>3693404</v>
      </c>
      <c r="C1542">
        <v>3693392</v>
      </c>
      <c r="D1542">
        <v>21883</v>
      </c>
      <c r="E1542">
        <v>21883</v>
      </c>
      <c r="F1542" t="s">
        <v>441</v>
      </c>
      <c r="G1542">
        <v>0</v>
      </c>
      <c r="I1542" s="5">
        <v>44044</v>
      </c>
      <c r="J1542" s="5">
        <v>43970.333333333336</v>
      </c>
    </row>
    <row r="1543" spans="1:10" x14ac:dyDescent="0.2">
      <c r="A1543">
        <v>7118781</v>
      </c>
      <c r="B1543">
        <v>3692929</v>
      </c>
      <c r="C1543">
        <v>3692924</v>
      </c>
      <c r="D1543">
        <v>21883</v>
      </c>
      <c r="E1543">
        <v>21883</v>
      </c>
      <c r="F1543" t="s">
        <v>441</v>
      </c>
      <c r="G1543">
        <v>0</v>
      </c>
      <c r="I1543" s="5">
        <v>44044</v>
      </c>
      <c r="J1543" s="5">
        <v>43970.333333333336</v>
      </c>
    </row>
    <row r="1544" spans="1:10" x14ac:dyDescent="0.2">
      <c r="A1544">
        <v>7118782</v>
      </c>
      <c r="B1544">
        <v>3692934</v>
      </c>
      <c r="C1544">
        <v>3692929</v>
      </c>
      <c r="D1544">
        <v>21883</v>
      </c>
      <c r="E1544">
        <v>21883</v>
      </c>
      <c r="F1544" t="s">
        <v>441</v>
      </c>
      <c r="G1544">
        <v>0</v>
      </c>
      <c r="I1544" s="5">
        <v>44044</v>
      </c>
      <c r="J1544" s="5">
        <v>43970.333333333336</v>
      </c>
    </row>
    <row r="1545" spans="1:10" x14ac:dyDescent="0.2">
      <c r="A1545">
        <v>7118783</v>
      </c>
      <c r="B1545">
        <v>3693402</v>
      </c>
      <c r="C1545">
        <v>3693392</v>
      </c>
      <c r="D1545">
        <v>21883</v>
      </c>
      <c r="E1545">
        <v>21883</v>
      </c>
      <c r="F1545" t="s">
        <v>441</v>
      </c>
      <c r="G1545">
        <v>0</v>
      </c>
      <c r="I1545" s="5">
        <v>44044</v>
      </c>
      <c r="J1545" s="5">
        <v>43970.333333333336</v>
      </c>
    </row>
    <row r="1546" spans="1:10" x14ac:dyDescent="0.2">
      <c r="A1546">
        <v>7118784</v>
      </c>
      <c r="B1546">
        <v>3693405</v>
      </c>
      <c r="C1546">
        <v>3693398</v>
      </c>
      <c r="D1546">
        <v>21883</v>
      </c>
      <c r="E1546">
        <v>21883</v>
      </c>
      <c r="F1546" t="s">
        <v>441</v>
      </c>
      <c r="G1546">
        <v>0</v>
      </c>
      <c r="I1546" s="5">
        <v>44044</v>
      </c>
      <c r="J1546" s="5">
        <v>43970.333333333336</v>
      </c>
    </row>
    <row r="1547" spans="1:10" x14ac:dyDescent="0.2">
      <c r="A1547">
        <v>7118785</v>
      </c>
      <c r="B1547">
        <v>3692977</v>
      </c>
      <c r="C1547">
        <v>3693405</v>
      </c>
      <c r="D1547">
        <v>21883</v>
      </c>
      <c r="E1547">
        <v>21883</v>
      </c>
      <c r="F1547" t="s">
        <v>441</v>
      </c>
      <c r="G1547">
        <v>0</v>
      </c>
      <c r="I1547" s="5">
        <v>44044</v>
      </c>
      <c r="J1547" s="5">
        <v>43970.333333333336</v>
      </c>
    </row>
    <row r="1548" spans="1:10" x14ac:dyDescent="0.2">
      <c r="A1548">
        <v>7118786</v>
      </c>
      <c r="B1548">
        <v>3692965</v>
      </c>
      <c r="C1548">
        <v>3693388</v>
      </c>
      <c r="D1548">
        <v>21883</v>
      </c>
      <c r="E1548">
        <v>21883</v>
      </c>
      <c r="F1548" t="s">
        <v>441</v>
      </c>
      <c r="G1548">
        <v>0</v>
      </c>
      <c r="I1548" s="5">
        <v>44044</v>
      </c>
      <c r="J1548" s="5">
        <v>43970.333333333336</v>
      </c>
    </row>
    <row r="1549" spans="1:10" x14ac:dyDescent="0.2">
      <c r="A1549">
        <v>7118787</v>
      </c>
      <c r="B1549">
        <v>3693406</v>
      </c>
      <c r="C1549">
        <v>3693403</v>
      </c>
      <c r="D1549">
        <v>21883</v>
      </c>
      <c r="E1549">
        <v>21883</v>
      </c>
      <c r="F1549" t="s">
        <v>441</v>
      </c>
      <c r="G1549">
        <v>0</v>
      </c>
      <c r="I1549" s="5">
        <v>44044</v>
      </c>
      <c r="J1549" s="5">
        <v>43970.333333333336</v>
      </c>
    </row>
    <row r="1550" spans="1:10" x14ac:dyDescent="0.2">
      <c r="A1550">
        <v>7118788</v>
      </c>
      <c r="B1550">
        <v>3692983</v>
      </c>
      <c r="C1550">
        <v>3693406</v>
      </c>
      <c r="D1550">
        <v>21883</v>
      </c>
      <c r="E1550">
        <v>21883</v>
      </c>
      <c r="F1550" t="s">
        <v>441</v>
      </c>
      <c r="G1550">
        <v>0</v>
      </c>
      <c r="I1550" s="5">
        <v>44044</v>
      </c>
      <c r="J1550" s="5">
        <v>43970.333333333336</v>
      </c>
    </row>
    <row r="1551" spans="1:10" x14ac:dyDescent="0.2">
      <c r="A1551">
        <v>7118789</v>
      </c>
      <c r="B1551">
        <v>3692909</v>
      </c>
      <c r="C1551">
        <v>3693273</v>
      </c>
      <c r="D1551">
        <v>21883</v>
      </c>
      <c r="E1551">
        <v>21883</v>
      </c>
      <c r="F1551" t="s">
        <v>441</v>
      </c>
      <c r="G1551">
        <v>0</v>
      </c>
      <c r="I1551" s="5">
        <v>44044</v>
      </c>
      <c r="J1551" s="5">
        <v>43970.333333333336</v>
      </c>
    </row>
    <row r="1552" spans="1:10" x14ac:dyDescent="0.2">
      <c r="A1552">
        <v>7118790</v>
      </c>
      <c r="B1552">
        <v>3693281</v>
      </c>
      <c r="C1552">
        <v>3693210</v>
      </c>
      <c r="D1552">
        <v>21883</v>
      </c>
      <c r="E1552">
        <v>21883</v>
      </c>
      <c r="F1552" t="s">
        <v>441</v>
      </c>
      <c r="G1552">
        <v>0</v>
      </c>
      <c r="I1552" s="5">
        <v>44044</v>
      </c>
      <c r="J1552" s="5">
        <v>43970.333333333336</v>
      </c>
    </row>
    <row r="1553" spans="1:10" x14ac:dyDescent="0.2">
      <c r="A1553">
        <v>7118791</v>
      </c>
      <c r="B1553">
        <v>3693282</v>
      </c>
      <c r="C1553">
        <v>3693211</v>
      </c>
      <c r="D1553">
        <v>21883</v>
      </c>
      <c r="E1553">
        <v>21883</v>
      </c>
      <c r="F1553" t="s">
        <v>441</v>
      </c>
      <c r="G1553">
        <v>0</v>
      </c>
      <c r="I1553" s="5">
        <v>44044</v>
      </c>
      <c r="J1553" s="5">
        <v>43970.333333333336</v>
      </c>
    </row>
    <row r="1554" spans="1:10" x14ac:dyDescent="0.2">
      <c r="A1554">
        <v>7118792</v>
      </c>
      <c r="B1554">
        <v>3693355</v>
      </c>
      <c r="C1554">
        <v>3693274</v>
      </c>
      <c r="D1554">
        <v>21883</v>
      </c>
      <c r="E1554">
        <v>21883</v>
      </c>
      <c r="F1554" t="s">
        <v>441</v>
      </c>
      <c r="G1554">
        <v>0</v>
      </c>
      <c r="I1554" s="5">
        <v>44044</v>
      </c>
      <c r="J1554" s="5">
        <v>43970.333333333336</v>
      </c>
    </row>
    <row r="1555" spans="1:10" x14ac:dyDescent="0.2">
      <c r="A1555">
        <v>7118793</v>
      </c>
      <c r="B1555">
        <v>3693408</v>
      </c>
      <c r="C1555">
        <v>3693407</v>
      </c>
      <c r="D1555">
        <v>21883</v>
      </c>
      <c r="E1555">
        <v>21883</v>
      </c>
      <c r="F1555" t="s">
        <v>441</v>
      </c>
      <c r="G1555">
        <v>0</v>
      </c>
      <c r="I1555" s="5">
        <v>44044</v>
      </c>
      <c r="J1555" s="5">
        <v>43970.333333333336</v>
      </c>
    </row>
    <row r="1556" spans="1:10" x14ac:dyDescent="0.2">
      <c r="A1556">
        <v>7118794</v>
      </c>
      <c r="B1556">
        <v>3693409</v>
      </c>
      <c r="C1556">
        <v>3693408</v>
      </c>
      <c r="D1556">
        <v>21883</v>
      </c>
      <c r="E1556">
        <v>21883</v>
      </c>
      <c r="F1556" t="s">
        <v>441</v>
      </c>
      <c r="G1556">
        <v>0</v>
      </c>
      <c r="I1556" s="5">
        <v>44044</v>
      </c>
      <c r="J1556" s="5">
        <v>43970.333333333336</v>
      </c>
    </row>
    <row r="1557" spans="1:10" x14ac:dyDescent="0.2">
      <c r="A1557">
        <v>7118795</v>
      </c>
      <c r="B1557">
        <v>3693407</v>
      </c>
      <c r="C1557">
        <v>3692942</v>
      </c>
      <c r="D1557">
        <v>21883</v>
      </c>
      <c r="E1557">
        <v>21883</v>
      </c>
      <c r="F1557" t="s">
        <v>441</v>
      </c>
      <c r="G1557">
        <v>0</v>
      </c>
      <c r="I1557" s="5">
        <v>44044</v>
      </c>
      <c r="J1557" s="5">
        <v>43970.333333333336</v>
      </c>
    </row>
    <row r="1558" spans="1:10" x14ac:dyDescent="0.2">
      <c r="A1558">
        <v>7118796</v>
      </c>
      <c r="B1558">
        <v>3692942</v>
      </c>
      <c r="C1558">
        <v>3692943</v>
      </c>
      <c r="D1558">
        <v>21883</v>
      </c>
      <c r="E1558">
        <v>21883</v>
      </c>
      <c r="F1558" t="s">
        <v>441</v>
      </c>
      <c r="G1558">
        <v>0</v>
      </c>
      <c r="I1558" s="5">
        <v>44044</v>
      </c>
      <c r="J1558" s="5">
        <v>43970.333333333336</v>
      </c>
    </row>
    <row r="1559" spans="1:10" x14ac:dyDescent="0.2">
      <c r="A1559">
        <v>7118797</v>
      </c>
      <c r="B1559">
        <v>3692943</v>
      </c>
      <c r="C1559">
        <v>3692941</v>
      </c>
      <c r="D1559">
        <v>21883</v>
      </c>
      <c r="E1559">
        <v>21883</v>
      </c>
      <c r="F1559" t="s">
        <v>441</v>
      </c>
      <c r="G1559">
        <v>0</v>
      </c>
      <c r="I1559" s="5">
        <v>44044</v>
      </c>
      <c r="J1559" s="5">
        <v>43970.333333333336</v>
      </c>
    </row>
    <row r="1560" spans="1:10" x14ac:dyDescent="0.2">
      <c r="A1560">
        <v>7118798</v>
      </c>
      <c r="B1560">
        <v>3692944</v>
      </c>
      <c r="C1560">
        <v>3693408</v>
      </c>
      <c r="D1560">
        <v>21883</v>
      </c>
      <c r="E1560">
        <v>21883</v>
      </c>
      <c r="F1560" t="s">
        <v>441</v>
      </c>
      <c r="G1560">
        <v>0</v>
      </c>
      <c r="I1560" s="5">
        <v>44044</v>
      </c>
      <c r="J1560" s="5">
        <v>43970.333333333336</v>
      </c>
    </row>
    <row r="1561" spans="1:10" x14ac:dyDescent="0.2">
      <c r="A1561">
        <v>7118799</v>
      </c>
      <c r="B1561">
        <v>3693410</v>
      </c>
      <c r="C1561">
        <v>3692944</v>
      </c>
      <c r="D1561">
        <v>21883</v>
      </c>
      <c r="E1561">
        <v>21883</v>
      </c>
      <c r="F1561" t="s">
        <v>441</v>
      </c>
      <c r="G1561">
        <v>0</v>
      </c>
      <c r="I1561" s="5">
        <v>44044</v>
      </c>
      <c r="J1561" s="5">
        <v>43970.333333333336</v>
      </c>
    </row>
    <row r="1562" spans="1:10" x14ac:dyDescent="0.2">
      <c r="A1562">
        <v>7118800</v>
      </c>
      <c r="B1562">
        <v>3693411</v>
      </c>
      <c r="C1562">
        <v>3693410</v>
      </c>
      <c r="D1562">
        <v>21883</v>
      </c>
      <c r="E1562">
        <v>21883</v>
      </c>
      <c r="F1562" t="s">
        <v>441</v>
      </c>
      <c r="G1562">
        <v>0</v>
      </c>
      <c r="I1562" s="5">
        <v>44044</v>
      </c>
      <c r="J1562" s="5">
        <v>43970.333333333336</v>
      </c>
    </row>
    <row r="1563" spans="1:10" x14ac:dyDescent="0.2">
      <c r="A1563">
        <v>7118801</v>
      </c>
      <c r="B1563">
        <v>3692945</v>
      </c>
      <c r="C1563">
        <v>3693411</v>
      </c>
      <c r="D1563">
        <v>21883</v>
      </c>
      <c r="E1563">
        <v>21883</v>
      </c>
      <c r="F1563" t="s">
        <v>441</v>
      </c>
      <c r="G1563">
        <v>0</v>
      </c>
      <c r="I1563" s="5">
        <v>44044</v>
      </c>
      <c r="J1563" s="5">
        <v>43970.333333333336</v>
      </c>
    </row>
    <row r="1564" spans="1:10" x14ac:dyDescent="0.2">
      <c r="A1564">
        <v>7118802</v>
      </c>
      <c r="B1564">
        <v>3693412</v>
      </c>
      <c r="C1564">
        <v>3692946</v>
      </c>
      <c r="D1564">
        <v>21883</v>
      </c>
      <c r="E1564">
        <v>21883</v>
      </c>
      <c r="F1564" t="s">
        <v>441</v>
      </c>
      <c r="G1564">
        <v>0</v>
      </c>
      <c r="I1564" s="5">
        <v>44044</v>
      </c>
      <c r="J1564" s="5">
        <v>43970.333333333336</v>
      </c>
    </row>
    <row r="1565" spans="1:10" x14ac:dyDescent="0.2">
      <c r="A1565">
        <v>7118803</v>
      </c>
      <c r="B1565">
        <v>3692991</v>
      </c>
      <c r="C1565">
        <v>3693413</v>
      </c>
      <c r="D1565">
        <v>21883</v>
      </c>
      <c r="E1565">
        <v>21883</v>
      </c>
      <c r="F1565" t="s">
        <v>441</v>
      </c>
      <c r="G1565">
        <v>0</v>
      </c>
      <c r="I1565" s="5">
        <v>44044</v>
      </c>
      <c r="J1565" s="5">
        <v>43970.333333333336</v>
      </c>
    </row>
    <row r="1566" spans="1:10" x14ac:dyDescent="0.2">
      <c r="A1566">
        <v>7118804</v>
      </c>
      <c r="B1566">
        <v>3692945</v>
      </c>
      <c r="C1566">
        <v>3692944</v>
      </c>
      <c r="D1566">
        <v>21883</v>
      </c>
      <c r="E1566">
        <v>21883</v>
      </c>
      <c r="F1566" t="s">
        <v>441</v>
      </c>
      <c r="G1566">
        <v>0</v>
      </c>
      <c r="I1566" s="5">
        <v>44044</v>
      </c>
      <c r="J1566" s="5">
        <v>43970.333333333336</v>
      </c>
    </row>
    <row r="1567" spans="1:10" x14ac:dyDescent="0.2">
      <c r="A1567">
        <v>7118805</v>
      </c>
      <c r="B1567">
        <v>3692949</v>
      </c>
      <c r="C1567">
        <v>3692947</v>
      </c>
      <c r="D1567">
        <v>21883</v>
      </c>
      <c r="E1567">
        <v>21883</v>
      </c>
      <c r="F1567" t="s">
        <v>441</v>
      </c>
      <c r="G1567">
        <v>0</v>
      </c>
      <c r="I1567" s="5">
        <v>44044</v>
      </c>
      <c r="J1567" s="5">
        <v>43970.333333333336</v>
      </c>
    </row>
    <row r="1568" spans="1:10" x14ac:dyDescent="0.2">
      <c r="A1568">
        <v>7118806</v>
      </c>
      <c r="B1568">
        <v>3692948</v>
      </c>
      <c r="C1568">
        <v>3692949</v>
      </c>
      <c r="D1568">
        <v>21883</v>
      </c>
      <c r="E1568">
        <v>21883</v>
      </c>
      <c r="F1568" t="s">
        <v>441</v>
      </c>
      <c r="G1568">
        <v>0</v>
      </c>
      <c r="I1568" s="5">
        <v>44044</v>
      </c>
      <c r="J1568" s="5">
        <v>43970.333333333336</v>
      </c>
    </row>
    <row r="1569" spans="1:10" x14ac:dyDescent="0.2">
      <c r="A1569">
        <v>7118807</v>
      </c>
      <c r="B1569">
        <v>3693415</v>
      </c>
      <c r="C1569">
        <v>3693414</v>
      </c>
      <c r="D1569">
        <v>21883</v>
      </c>
      <c r="E1569">
        <v>21883</v>
      </c>
      <c r="F1569" t="s">
        <v>441</v>
      </c>
      <c r="G1569">
        <v>0</v>
      </c>
      <c r="I1569" s="5">
        <v>44044</v>
      </c>
      <c r="J1569" s="5">
        <v>43970.333333333336</v>
      </c>
    </row>
    <row r="1570" spans="1:10" x14ac:dyDescent="0.2">
      <c r="A1570">
        <v>7118808</v>
      </c>
      <c r="B1570">
        <v>3693414</v>
      </c>
      <c r="C1570">
        <v>3692948</v>
      </c>
      <c r="D1570">
        <v>21883</v>
      </c>
      <c r="E1570">
        <v>21883</v>
      </c>
      <c r="F1570" t="s">
        <v>441</v>
      </c>
      <c r="G1570">
        <v>0</v>
      </c>
      <c r="I1570" s="5">
        <v>44044</v>
      </c>
      <c r="J1570" s="5">
        <v>43970.333333333336</v>
      </c>
    </row>
    <row r="1571" spans="1:10" x14ac:dyDescent="0.2">
      <c r="A1571">
        <v>7118809</v>
      </c>
      <c r="B1571">
        <v>3693416</v>
      </c>
      <c r="C1571">
        <v>3693415</v>
      </c>
      <c r="D1571">
        <v>21883</v>
      </c>
      <c r="E1571">
        <v>21883</v>
      </c>
      <c r="F1571" t="s">
        <v>441</v>
      </c>
      <c r="G1571">
        <v>0</v>
      </c>
      <c r="I1571" s="5">
        <v>44044</v>
      </c>
      <c r="J1571" s="5">
        <v>43970.333333333336</v>
      </c>
    </row>
    <row r="1572" spans="1:10" x14ac:dyDescent="0.2">
      <c r="A1572">
        <v>7118810</v>
      </c>
      <c r="B1572">
        <v>3693417</v>
      </c>
      <c r="C1572">
        <v>3692950</v>
      </c>
      <c r="D1572">
        <v>21883</v>
      </c>
      <c r="E1572">
        <v>21883</v>
      </c>
      <c r="F1572" t="s">
        <v>441</v>
      </c>
      <c r="G1572">
        <v>0</v>
      </c>
      <c r="I1572" s="5">
        <v>44044</v>
      </c>
      <c r="J1572" s="5">
        <v>43970.333333333336</v>
      </c>
    </row>
    <row r="1573" spans="1:10" x14ac:dyDescent="0.2">
      <c r="A1573">
        <v>7118811</v>
      </c>
      <c r="B1573">
        <v>3693418</v>
      </c>
      <c r="C1573">
        <v>3693417</v>
      </c>
      <c r="D1573">
        <v>21883</v>
      </c>
      <c r="E1573">
        <v>21883</v>
      </c>
      <c r="F1573" t="s">
        <v>441</v>
      </c>
      <c r="G1573">
        <v>0</v>
      </c>
      <c r="I1573" s="5">
        <v>44044</v>
      </c>
      <c r="J1573" s="5">
        <v>43970.333333333336</v>
      </c>
    </row>
    <row r="1574" spans="1:10" x14ac:dyDescent="0.2">
      <c r="A1574">
        <v>7118812</v>
      </c>
      <c r="B1574">
        <v>3692951</v>
      </c>
      <c r="C1574">
        <v>3693418</v>
      </c>
      <c r="D1574">
        <v>21883</v>
      </c>
      <c r="E1574">
        <v>21883</v>
      </c>
      <c r="F1574" t="s">
        <v>441</v>
      </c>
      <c r="G1574">
        <v>0</v>
      </c>
      <c r="I1574" s="5">
        <v>44044</v>
      </c>
      <c r="J1574" s="5">
        <v>43970.333333333336</v>
      </c>
    </row>
    <row r="1575" spans="1:10" x14ac:dyDescent="0.2">
      <c r="A1575">
        <v>7118813</v>
      </c>
      <c r="B1575">
        <v>3693419</v>
      </c>
      <c r="C1575">
        <v>3692952</v>
      </c>
      <c r="D1575">
        <v>21883</v>
      </c>
      <c r="E1575">
        <v>21883</v>
      </c>
      <c r="F1575" t="s">
        <v>441</v>
      </c>
      <c r="G1575">
        <v>0</v>
      </c>
      <c r="I1575" s="5">
        <v>44044</v>
      </c>
      <c r="J1575" s="5">
        <v>43970.333333333336</v>
      </c>
    </row>
    <row r="1576" spans="1:10" x14ac:dyDescent="0.2">
      <c r="A1576">
        <v>7118814</v>
      </c>
      <c r="B1576">
        <v>3693420</v>
      </c>
      <c r="C1576">
        <v>3693419</v>
      </c>
      <c r="D1576">
        <v>21883</v>
      </c>
      <c r="E1576">
        <v>21883</v>
      </c>
      <c r="F1576" t="s">
        <v>441</v>
      </c>
      <c r="G1576">
        <v>0</v>
      </c>
      <c r="I1576" s="5">
        <v>44044</v>
      </c>
      <c r="J1576" s="5">
        <v>43970.333333333336</v>
      </c>
    </row>
    <row r="1577" spans="1:10" x14ac:dyDescent="0.2">
      <c r="A1577">
        <v>7118815</v>
      </c>
      <c r="B1577">
        <v>3692991</v>
      </c>
      <c r="C1577">
        <v>3693420</v>
      </c>
      <c r="D1577">
        <v>21883</v>
      </c>
      <c r="E1577">
        <v>21883</v>
      </c>
      <c r="F1577" t="s">
        <v>441</v>
      </c>
      <c r="G1577">
        <v>0</v>
      </c>
      <c r="I1577" s="5">
        <v>44044</v>
      </c>
      <c r="J1577" s="5">
        <v>43970.333333333336</v>
      </c>
    </row>
    <row r="1578" spans="1:10" x14ac:dyDescent="0.2">
      <c r="A1578">
        <v>7118816</v>
      </c>
      <c r="B1578">
        <v>3692955</v>
      </c>
      <c r="C1578">
        <v>3692953</v>
      </c>
      <c r="D1578">
        <v>21883</v>
      </c>
      <c r="E1578">
        <v>21883</v>
      </c>
      <c r="F1578" t="s">
        <v>441</v>
      </c>
      <c r="G1578">
        <v>0</v>
      </c>
      <c r="I1578" s="5">
        <v>44044</v>
      </c>
      <c r="J1578" s="5">
        <v>43970.333333333336</v>
      </c>
    </row>
    <row r="1579" spans="1:10" x14ac:dyDescent="0.2">
      <c r="A1579">
        <v>7118817</v>
      </c>
      <c r="B1579">
        <v>3692954</v>
      </c>
      <c r="C1579">
        <v>3692955</v>
      </c>
      <c r="D1579">
        <v>21883</v>
      </c>
      <c r="E1579">
        <v>21883</v>
      </c>
      <c r="F1579" t="s">
        <v>441</v>
      </c>
      <c r="G1579">
        <v>0</v>
      </c>
      <c r="I1579" s="5">
        <v>44044</v>
      </c>
      <c r="J1579" s="5">
        <v>43970.333333333336</v>
      </c>
    </row>
    <row r="1580" spans="1:10" x14ac:dyDescent="0.2">
      <c r="A1580">
        <v>7118818</v>
      </c>
      <c r="B1580">
        <v>3693422</v>
      </c>
      <c r="C1580">
        <v>3693421</v>
      </c>
      <c r="D1580">
        <v>21883</v>
      </c>
      <c r="E1580">
        <v>21883</v>
      </c>
      <c r="F1580" t="s">
        <v>441</v>
      </c>
      <c r="G1580">
        <v>0</v>
      </c>
      <c r="I1580" s="5">
        <v>44044</v>
      </c>
      <c r="J1580" s="5">
        <v>43970.333333333336</v>
      </c>
    </row>
    <row r="1581" spans="1:10" x14ac:dyDescent="0.2">
      <c r="A1581">
        <v>7118819</v>
      </c>
      <c r="B1581">
        <v>3693423</v>
      </c>
      <c r="C1581">
        <v>3693422</v>
      </c>
      <c r="D1581">
        <v>21883</v>
      </c>
      <c r="E1581">
        <v>21883</v>
      </c>
      <c r="F1581" t="s">
        <v>441</v>
      </c>
      <c r="G1581">
        <v>0</v>
      </c>
      <c r="I1581" s="5">
        <v>44044</v>
      </c>
      <c r="J1581" s="5">
        <v>43970.333333333336</v>
      </c>
    </row>
    <row r="1582" spans="1:10" x14ac:dyDescent="0.2">
      <c r="A1582">
        <v>7118820</v>
      </c>
      <c r="B1582">
        <v>3693421</v>
      </c>
      <c r="C1582">
        <v>3692954</v>
      </c>
      <c r="D1582">
        <v>21883</v>
      </c>
      <c r="E1582">
        <v>21883</v>
      </c>
      <c r="F1582" t="s">
        <v>441</v>
      </c>
      <c r="G1582">
        <v>0</v>
      </c>
      <c r="I1582" s="5">
        <v>44044</v>
      </c>
      <c r="J1582" s="5">
        <v>43970.333333333336</v>
      </c>
    </row>
    <row r="1583" spans="1:10" x14ac:dyDescent="0.2">
      <c r="A1583">
        <v>7118821</v>
      </c>
      <c r="B1583">
        <v>3693424</v>
      </c>
      <c r="C1583">
        <v>3692956</v>
      </c>
      <c r="D1583">
        <v>21883</v>
      </c>
      <c r="E1583">
        <v>21883</v>
      </c>
      <c r="F1583" t="s">
        <v>441</v>
      </c>
      <c r="G1583">
        <v>0</v>
      </c>
      <c r="I1583" s="5">
        <v>44044</v>
      </c>
      <c r="J1583" s="5">
        <v>43970.333333333336</v>
      </c>
    </row>
    <row r="1584" spans="1:10" x14ac:dyDescent="0.2">
      <c r="A1584">
        <v>7118822</v>
      </c>
      <c r="B1584">
        <v>3693425</v>
      </c>
      <c r="C1584">
        <v>3693424</v>
      </c>
      <c r="D1584">
        <v>21883</v>
      </c>
      <c r="E1584">
        <v>21883</v>
      </c>
      <c r="F1584" t="s">
        <v>441</v>
      </c>
      <c r="G1584">
        <v>0</v>
      </c>
      <c r="I1584" s="5">
        <v>44044</v>
      </c>
      <c r="J1584" s="5">
        <v>43970.333333333336</v>
      </c>
    </row>
    <row r="1585" spans="1:10" x14ac:dyDescent="0.2">
      <c r="A1585">
        <v>7118823</v>
      </c>
      <c r="B1585">
        <v>3692957</v>
      </c>
      <c r="C1585">
        <v>3693425</v>
      </c>
      <c r="D1585">
        <v>21883</v>
      </c>
      <c r="E1585">
        <v>21883</v>
      </c>
      <c r="F1585" t="s">
        <v>441</v>
      </c>
      <c r="G1585">
        <v>0</v>
      </c>
      <c r="I1585" s="5">
        <v>44044</v>
      </c>
      <c r="J1585" s="5">
        <v>43970.333333333336</v>
      </c>
    </row>
    <row r="1586" spans="1:10" x14ac:dyDescent="0.2">
      <c r="A1586">
        <v>7118824</v>
      </c>
      <c r="B1586">
        <v>3693427</v>
      </c>
      <c r="C1586">
        <v>3693426</v>
      </c>
      <c r="D1586">
        <v>21883</v>
      </c>
      <c r="E1586">
        <v>21883</v>
      </c>
      <c r="F1586" t="s">
        <v>441</v>
      </c>
      <c r="G1586">
        <v>0</v>
      </c>
      <c r="I1586" s="5">
        <v>44044</v>
      </c>
      <c r="J1586" s="5">
        <v>43970.333333333336</v>
      </c>
    </row>
    <row r="1587" spans="1:10" x14ac:dyDescent="0.2">
      <c r="A1587">
        <v>7118825</v>
      </c>
      <c r="B1587">
        <v>3693426</v>
      </c>
      <c r="C1587">
        <v>3692958</v>
      </c>
      <c r="D1587">
        <v>21883</v>
      </c>
      <c r="E1587">
        <v>21883</v>
      </c>
      <c r="F1587" t="s">
        <v>441</v>
      </c>
      <c r="G1587">
        <v>0</v>
      </c>
      <c r="I1587" s="5">
        <v>44044</v>
      </c>
      <c r="J1587" s="5">
        <v>43970.333333333336</v>
      </c>
    </row>
    <row r="1588" spans="1:10" x14ac:dyDescent="0.2">
      <c r="A1588">
        <v>7118826</v>
      </c>
      <c r="B1588">
        <v>3692961</v>
      </c>
      <c r="C1588">
        <v>3692959</v>
      </c>
      <c r="D1588">
        <v>21883</v>
      </c>
      <c r="E1588">
        <v>21883</v>
      </c>
      <c r="F1588" t="s">
        <v>441</v>
      </c>
      <c r="G1588">
        <v>0</v>
      </c>
      <c r="I1588" s="5">
        <v>44044</v>
      </c>
      <c r="J1588" s="5">
        <v>43970.333333333336</v>
      </c>
    </row>
    <row r="1589" spans="1:10" x14ac:dyDescent="0.2">
      <c r="A1589">
        <v>7118827</v>
      </c>
      <c r="B1589">
        <v>3692960</v>
      </c>
      <c r="C1589">
        <v>3692961</v>
      </c>
      <c r="D1589">
        <v>21883</v>
      </c>
      <c r="E1589">
        <v>21883</v>
      </c>
      <c r="F1589" t="s">
        <v>441</v>
      </c>
      <c r="G1589">
        <v>0</v>
      </c>
      <c r="I1589" s="5">
        <v>44044</v>
      </c>
      <c r="J1589" s="5">
        <v>43970.333333333336</v>
      </c>
    </row>
    <row r="1590" spans="1:10" x14ac:dyDescent="0.2">
      <c r="A1590">
        <v>7118828</v>
      </c>
      <c r="B1590">
        <v>3693429</v>
      </c>
      <c r="C1590">
        <v>3693428</v>
      </c>
      <c r="D1590">
        <v>21883</v>
      </c>
      <c r="E1590">
        <v>21883</v>
      </c>
      <c r="F1590" t="s">
        <v>441</v>
      </c>
      <c r="G1590">
        <v>0</v>
      </c>
      <c r="I1590" s="5">
        <v>44044</v>
      </c>
      <c r="J1590" s="5">
        <v>43970.333333333336</v>
      </c>
    </row>
    <row r="1591" spans="1:10" x14ac:dyDescent="0.2">
      <c r="A1591">
        <v>7118829</v>
      </c>
      <c r="B1591">
        <v>3693430</v>
      </c>
      <c r="C1591">
        <v>3693429</v>
      </c>
      <c r="D1591">
        <v>21883</v>
      </c>
      <c r="E1591">
        <v>21883</v>
      </c>
      <c r="F1591" t="s">
        <v>441</v>
      </c>
      <c r="G1591">
        <v>0</v>
      </c>
      <c r="I1591" s="5">
        <v>44044</v>
      </c>
      <c r="J1591" s="5">
        <v>43970.333333333336</v>
      </c>
    </row>
    <row r="1592" spans="1:10" x14ac:dyDescent="0.2">
      <c r="A1592">
        <v>7118830</v>
      </c>
      <c r="B1592">
        <v>3693428</v>
      </c>
      <c r="C1592">
        <v>3692960</v>
      </c>
      <c r="D1592">
        <v>21883</v>
      </c>
      <c r="E1592">
        <v>21883</v>
      </c>
      <c r="F1592" t="s">
        <v>441</v>
      </c>
      <c r="G1592">
        <v>0</v>
      </c>
      <c r="I1592" s="5">
        <v>44044</v>
      </c>
      <c r="J1592" s="5">
        <v>43970.333333333336</v>
      </c>
    </row>
    <row r="1593" spans="1:10" x14ac:dyDescent="0.2">
      <c r="A1593">
        <v>7118831</v>
      </c>
      <c r="B1593">
        <v>3693432</v>
      </c>
      <c r="C1593">
        <v>3693431</v>
      </c>
      <c r="D1593">
        <v>21883</v>
      </c>
      <c r="E1593">
        <v>21883</v>
      </c>
      <c r="F1593" t="s">
        <v>441</v>
      </c>
      <c r="G1593">
        <v>0</v>
      </c>
      <c r="I1593" s="5">
        <v>44044</v>
      </c>
      <c r="J1593" s="5">
        <v>43970.333333333336</v>
      </c>
    </row>
    <row r="1594" spans="1:10" x14ac:dyDescent="0.2">
      <c r="A1594">
        <v>7118832</v>
      </c>
      <c r="B1594">
        <v>3693431</v>
      </c>
      <c r="C1594">
        <v>3692962</v>
      </c>
      <c r="D1594">
        <v>21883</v>
      </c>
      <c r="E1594">
        <v>21883</v>
      </c>
      <c r="F1594" t="s">
        <v>441</v>
      </c>
      <c r="G1594">
        <v>0</v>
      </c>
      <c r="I1594" s="5">
        <v>44044</v>
      </c>
      <c r="J1594" s="5">
        <v>43970.333333333336</v>
      </c>
    </row>
    <row r="1595" spans="1:10" x14ac:dyDescent="0.2">
      <c r="A1595">
        <v>7118833</v>
      </c>
      <c r="B1595">
        <v>3692963</v>
      </c>
      <c r="C1595">
        <v>3693432</v>
      </c>
      <c r="D1595">
        <v>21883</v>
      </c>
      <c r="E1595">
        <v>21883</v>
      </c>
      <c r="F1595" t="s">
        <v>441</v>
      </c>
      <c r="G1595">
        <v>0</v>
      </c>
      <c r="I1595" s="5">
        <v>44044</v>
      </c>
      <c r="J1595" s="5">
        <v>43970.333333333336</v>
      </c>
    </row>
    <row r="1596" spans="1:10" x14ac:dyDescent="0.2">
      <c r="A1596">
        <v>7118834</v>
      </c>
      <c r="B1596">
        <v>3693434</v>
      </c>
      <c r="C1596">
        <v>3693433</v>
      </c>
      <c r="D1596">
        <v>21883</v>
      </c>
      <c r="E1596">
        <v>21883</v>
      </c>
      <c r="F1596" t="s">
        <v>441</v>
      </c>
      <c r="G1596">
        <v>0</v>
      </c>
      <c r="I1596" s="5">
        <v>44044</v>
      </c>
      <c r="J1596" s="5">
        <v>43970.333333333336</v>
      </c>
    </row>
    <row r="1597" spans="1:10" x14ac:dyDescent="0.2">
      <c r="A1597">
        <v>7118835</v>
      </c>
      <c r="B1597">
        <v>3693433</v>
      </c>
      <c r="C1597">
        <v>3692964</v>
      </c>
      <c r="D1597">
        <v>21883</v>
      </c>
      <c r="E1597">
        <v>21883</v>
      </c>
      <c r="F1597" t="s">
        <v>441</v>
      </c>
      <c r="G1597">
        <v>0</v>
      </c>
      <c r="I1597" s="5">
        <v>44044</v>
      </c>
      <c r="J1597" s="5">
        <v>43970.333333333336</v>
      </c>
    </row>
    <row r="1598" spans="1:10" x14ac:dyDescent="0.2">
      <c r="A1598">
        <v>7118836</v>
      </c>
      <c r="B1598">
        <v>3692991</v>
      </c>
      <c r="C1598">
        <v>3693434</v>
      </c>
      <c r="D1598">
        <v>21883</v>
      </c>
      <c r="E1598">
        <v>21883</v>
      </c>
      <c r="F1598" t="s">
        <v>441</v>
      </c>
      <c r="G1598">
        <v>0</v>
      </c>
      <c r="I1598" s="5">
        <v>44044</v>
      </c>
      <c r="J1598" s="5">
        <v>43970.333333333336</v>
      </c>
    </row>
    <row r="1599" spans="1:10" x14ac:dyDescent="0.2">
      <c r="A1599">
        <v>7118837</v>
      </c>
      <c r="B1599">
        <v>3692967</v>
      </c>
      <c r="C1599">
        <v>3692965</v>
      </c>
      <c r="D1599">
        <v>21883</v>
      </c>
      <c r="E1599">
        <v>21883</v>
      </c>
      <c r="F1599" t="s">
        <v>441</v>
      </c>
      <c r="G1599">
        <v>0</v>
      </c>
      <c r="I1599" s="5">
        <v>44044</v>
      </c>
      <c r="J1599" s="5">
        <v>43970.333333333336</v>
      </c>
    </row>
    <row r="1600" spans="1:10" x14ac:dyDescent="0.2">
      <c r="A1600">
        <v>7118838</v>
      </c>
      <c r="B1600">
        <v>3692966</v>
      </c>
      <c r="C1600">
        <v>3692967</v>
      </c>
      <c r="D1600">
        <v>21883</v>
      </c>
      <c r="E1600">
        <v>21883</v>
      </c>
      <c r="F1600" t="s">
        <v>441</v>
      </c>
      <c r="G1600">
        <v>0</v>
      </c>
      <c r="I1600" s="5">
        <v>44044</v>
      </c>
      <c r="J1600" s="5">
        <v>43970.333333333336</v>
      </c>
    </row>
    <row r="1601" spans="1:10" x14ac:dyDescent="0.2">
      <c r="A1601">
        <v>7118839</v>
      </c>
      <c r="B1601">
        <v>3693436</v>
      </c>
      <c r="C1601">
        <v>3693435</v>
      </c>
      <c r="D1601">
        <v>21883</v>
      </c>
      <c r="E1601">
        <v>21883</v>
      </c>
      <c r="F1601" t="s">
        <v>441</v>
      </c>
      <c r="G1601">
        <v>0</v>
      </c>
      <c r="I1601" s="5">
        <v>44044</v>
      </c>
      <c r="J1601" s="5">
        <v>43970.333333333336</v>
      </c>
    </row>
    <row r="1602" spans="1:10" x14ac:dyDescent="0.2">
      <c r="A1602">
        <v>7118840</v>
      </c>
      <c r="B1602">
        <v>3693437</v>
      </c>
      <c r="C1602">
        <v>3693436</v>
      </c>
      <c r="D1602">
        <v>21883</v>
      </c>
      <c r="E1602">
        <v>21883</v>
      </c>
      <c r="F1602" t="s">
        <v>441</v>
      </c>
      <c r="G1602">
        <v>0</v>
      </c>
      <c r="I1602" s="5">
        <v>44044</v>
      </c>
      <c r="J1602" s="5">
        <v>43970.333333333336</v>
      </c>
    </row>
    <row r="1603" spans="1:10" x14ac:dyDescent="0.2">
      <c r="A1603">
        <v>7118841</v>
      </c>
      <c r="B1603">
        <v>3693439</v>
      </c>
      <c r="C1603">
        <v>3693438</v>
      </c>
      <c r="D1603">
        <v>21883</v>
      </c>
      <c r="E1603">
        <v>21883</v>
      </c>
      <c r="F1603" t="s">
        <v>441</v>
      </c>
      <c r="G1603">
        <v>0</v>
      </c>
      <c r="I1603" s="5">
        <v>44044</v>
      </c>
      <c r="J1603" s="5">
        <v>43970.333333333336</v>
      </c>
    </row>
    <row r="1604" spans="1:10" x14ac:dyDescent="0.2">
      <c r="A1604">
        <v>7118842</v>
      </c>
      <c r="B1604">
        <v>3693438</v>
      </c>
      <c r="C1604">
        <v>3692968</v>
      </c>
      <c r="D1604">
        <v>21883</v>
      </c>
      <c r="E1604">
        <v>21883</v>
      </c>
      <c r="F1604" t="s">
        <v>441</v>
      </c>
      <c r="G1604">
        <v>0</v>
      </c>
      <c r="I1604" s="5">
        <v>44044</v>
      </c>
      <c r="J1604" s="5">
        <v>43970.333333333336</v>
      </c>
    </row>
    <row r="1605" spans="1:10" x14ac:dyDescent="0.2">
      <c r="A1605">
        <v>7118843</v>
      </c>
      <c r="B1605">
        <v>3692969</v>
      </c>
      <c r="C1605">
        <v>3693439</v>
      </c>
      <c r="D1605">
        <v>21883</v>
      </c>
      <c r="E1605">
        <v>21883</v>
      </c>
      <c r="F1605" t="s">
        <v>442</v>
      </c>
      <c r="G1605">
        <v>0</v>
      </c>
      <c r="I1605" s="5">
        <v>44044</v>
      </c>
      <c r="J1605" s="5">
        <v>43970.333333333336</v>
      </c>
    </row>
    <row r="1606" spans="1:10" x14ac:dyDescent="0.2">
      <c r="A1606">
        <v>7118844</v>
      </c>
      <c r="B1606">
        <v>3693440</v>
      </c>
      <c r="C1606">
        <v>3692970</v>
      </c>
      <c r="D1606">
        <v>21883</v>
      </c>
      <c r="E1606">
        <v>21883</v>
      </c>
      <c r="F1606" t="s">
        <v>441</v>
      </c>
      <c r="G1606">
        <v>0</v>
      </c>
      <c r="I1606" s="5">
        <v>44044</v>
      </c>
      <c r="J1606" s="5">
        <v>43970.333333333336</v>
      </c>
    </row>
    <row r="1607" spans="1:10" x14ac:dyDescent="0.2">
      <c r="A1607">
        <v>7118845</v>
      </c>
      <c r="B1607">
        <v>3693435</v>
      </c>
      <c r="C1607">
        <v>3692966</v>
      </c>
      <c r="D1607">
        <v>21883</v>
      </c>
      <c r="E1607">
        <v>21883</v>
      </c>
      <c r="F1607" t="s">
        <v>441</v>
      </c>
      <c r="G1607">
        <v>0</v>
      </c>
      <c r="I1607" s="5">
        <v>44044</v>
      </c>
      <c r="J1607" s="5">
        <v>43970.333333333336</v>
      </c>
    </row>
    <row r="1608" spans="1:10" x14ac:dyDescent="0.2">
      <c r="A1608">
        <v>7118846</v>
      </c>
      <c r="B1608">
        <v>3693442</v>
      </c>
      <c r="C1608">
        <v>3692976</v>
      </c>
      <c r="D1608">
        <v>21883</v>
      </c>
      <c r="E1608">
        <v>21883</v>
      </c>
      <c r="F1608" t="s">
        <v>441</v>
      </c>
      <c r="G1608">
        <v>0</v>
      </c>
      <c r="I1608" s="5">
        <v>44044</v>
      </c>
      <c r="J1608" s="5">
        <v>43970.333333333336</v>
      </c>
    </row>
    <row r="1609" spans="1:10" x14ac:dyDescent="0.2">
      <c r="A1609">
        <v>7118847</v>
      </c>
      <c r="B1609">
        <v>3693445</v>
      </c>
      <c r="C1609">
        <v>3693444</v>
      </c>
      <c r="D1609">
        <v>21883</v>
      </c>
      <c r="E1609">
        <v>21883</v>
      </c>
      <c r="F1609" t="s">
        <v>441</v>
      </c>
      <c r="G1609">
        <v>0</v>
      </c>
      <c r="I1609" s="5">
        <v>44044</v>
      </c>
      <c r="J1609" s="5">
        <v>43970.333333333336</v>
      </c>
    </row>
    <row r="1610" spans="1:10" x14ac:dyDescent="0.2">
      <c r="A1610">
        <v>7118848</v>
      </c>
      <c r="B1610">
        <v>3693446</v>
      </c>
      <c r="C1610">
        <v>3693445</v>
      </c>
      <c r="D1610">
        <v>21883</v>
      </c>
      <c r="E1610">
        <v>21883</v>
      </c>
      <c r="F1610" t="s">
        <v>441</v>
      </c>
      <c r="G1610">
        <v>0</v>
      </c>
      <c r="I1610" s="5">
        <v>44044</v>
      </c>
      <c r="J1610" s="5">
        <v>43970.333333333336</v>
      </c>
    </row>
    <row r="1611" spans="1:10" x14ac:dyDescent="0.2">
      <c r="A1611">
        <v>7118849</v>
      </c>
      <c r="B1611">
        <v>3692972</v>
      </c>
      <c r="C1611">
        <v>3692973</v>
      </c>
      <c r="D1611">
        <v>21883</v>
      </c>
      <c r="E1611">
        <v>21883</v>
      </c>
      <c r="F1611" t="s">
        <v>441</v>
      </c>
      <c r="G1611">
        <v>0</v>
      </c>
      <c r="I1611" s="5">
        <v>44044</v>
      </c>
      <c r="J1611" s="5">
        <v>43970.333333333336</v>
      </c>
    </row>
    <row r="1612" spans="1:10" x14ac:dyDescent="0.2">
      <c r="A1612">
        <v>7118850</v>
      </c>
      <c r="B1612">
        <v>3693444</v>
      </c>
      <c r="C1612">
        <v>3692972</v>
      </c>
      <c r="D1612">
        <v>21883</v>
      </c>
      <c r="E1612">
        <v>21883</v>
      </c>
      <c r="F1612" t="s">
        <v>441</v>
      </c>
      <c r="G1612">
        <v>0</v>
      </c>
      <c r="I1612" s="5">
        <v>44044</v>
      </c>
      <c r="J1612" s="5">
        <v>43970.333333333336</v>
      </c>
    </row>
    <row r="1613" spans="1:10" x14ac:dyDescent="0.2">
      <c r="A1613">
        <v>7118851</v>
      </c>
      <c r="B1613">
        <v>3693448</v>
      </c>
      <c r="C1613">
        <v>3693447</v>
      </c>
      <c r="D1613">
        <v>21883</v>
      </c>
      <c r="E1613">
        <v>21883</v>
      </c>
      <c r="F1613" t="s">
        <v>441</v>
      </c>
      <c r="G1613">
        <v>0</v>
      </c>
      <c r="I1613" s="5">
        <v>44044</v>
      </c>
      <c r="J1613" s="5">
        <v>43970.333333333336</v>
      </c>
    </row>
    <row r="1614" spans="1:10" x14ac:dyDescent="0.2">
      <c r="A1614">
        <v>7118852</v>
      </c>
      <c r="B1614">
        <v>3693447</v>
      </c>
      <c r="C1614">
        <v>3692974</v>
      </c>
      <c r="D1614">
        <v>21883</v>
      </c>
      <c r="E1614">
        <v>21883</v>
      </c>
      <c r="F1614" t="s">
        <v>441</v>
      </c>
      <c r="G1614">
        <v>0</v>
      </c>
      <c r="I1614" s="5">
        <v>44044</v>
      </c>
      <c r="J1614" s="5">
        <v>43970.333333333336</v>
      </c>
    </row>
    <row r="1615" spans="1:10" x14ac:dyDescent="0.2">
      <c r="A1615">
        <v>7118853</v>
      </c>
      <c r="B1615">
        <v>3692975</v>
      </c>
      <c r="C1615">
        <v>3693448</v>
      </c>
      <c r="D1615">
        <v>21883</v>
      </c>
      <c r="E1615">
        <v>21883</v>
      </c>
      <c r="F1615" t="s">
        <v>441</v>
      </c>
      <c r="G1615">
        <v>0</v>
      </c>
      <c r="I1615" s="5">
        <v>44044</v>
      </c>
      <c r="J1615" s="5">
        <v>43970.333333333336</v>
      </c>
    </row>
    <row r="1616" spans="1:10" x14ac:dyDescent="0.2">
      <c r="A1616">
        <v>7118854</v>
      </c>
      <c r="B1616">
        <v>3692991</v>
      </c>
      <c r="C1616">
        <v>3693443</v>
      </c>
      <c r="D1616">
        <v>21883</v>
      </c>
      <c r="E1616">
        <v>21883</v>
      </c>
      <c r="F1616" t="s">
        <v>441</v>
      </c>
      <c r="G1616">
        <v>0</v>
      </c>
      <c r="I1616" s="5">
        <v>44044</v>
      </c>
      <c r="J1616" s="5">
        <v>43970.333333333336</v>
      </c>
    </row>
    <row r="1617" spans="1:10" x14ac:dyDescent="0.2">
      <c r="A1617">
        <v>7118855</v>
      </c>
      <c r="B1617">
        <v>3692991</v>
      </c>
      <c r="C1617">
        <v>3693441</v>
      </c>
      <c r="D1617">
        <v>21883</v>
      </c>
      <c r="E1617">
        <v>21883</v>
      </c>
      <c r="F1617" t="s">
        <v>441</v>
      </c>
      <c r="G1617">
        <v>0</v>
      </c>
      <c r="I1617" s="5">
        <v>44044</v>
      </c>
      <c r="J1617" s="5">
        <v>43970.333333333336</v>
      </c>
    </row>
    <row r="1618" spans="1:10" x14ac:dyDescent="0.2">
      <c r="A1618">
        <v>7118856</v>
      </c>
      <c r="B1618">
        <v>3692973</v>
      </c>
      <c r="C1618">
        <v>3692971</v>
      </c>
      <c r="D1618">
        <v>21883</v>
      </c>
      <c r="E1618">
        <v>21883</v>
      </c>
      <c r="F1618" t="s">
        <v>441</v>
      </c>
      <c r="G1618">
        <v>0</v>
      </c>
      <c r="I1618" s="5">
        <v>44044</v>
      </c>
      <c r="J1618" s="5">
        <v>43970.333333333336</v>
      </c>
    </row>
    <row r="1619" spans="1:10" x14ac:dyDescent="0.2">
      <c r="A1619">
        <v>7118857</v>
      </c>
      <c r="B1619">
        <v>3692991</v>
      </c>
      <c r="C1619">
        <v>3693450</v>
      </c>
      <c r="D1619">
        <v>21883</v>
      </c>
      <c r="E1619">
        <v>21883</v>
      </c>
      <c r="F1619" t="s">
        <v>441</v>
      </c>
      <c r="G1619">
        <v>0</v>
      </c>
      <c r="I1619" s="5">
        <v>44044</v>
      </c>
      <c r="J1619" s="5">
        <v>43970.333333333336</v>
      </c>
    </row>
    <row r="1620" spans="1:10" x14ac:dyDescent="0.2">
      <c r="A1620">
        <v>7118858</v>
      </c>
      <c r="B1620">
        <v>3693449</v>
      </c>
      <c r="C1620">
        <v>3692982</v>
      </c>
      <c r="D1620">
        <v>21883</v>
      </c>
      <c r="E1620">
        <v>21883</v>
      </c>
      <c r="F1620" t="s">
        <v>441</v>
      </c>
      <c r="G1620">
        <v>0</v>
      </c>
      <c r="I1620" s="5">
        <v>44044</v>
      </c>
      <c r="J1620" s="5">
        <v>43970.333333333336</v>
      </c>
    </row>
    <row r="1621" spans="1:10" x14ac:dyDescent="0.2">
      <c r="A1621">
        <v>7118859</v>
      </c>
      <c r="B1621">
        <v>3693452</v>
      </c>
      <c r="C1621">
        <v>3693451</v>
      </c>
      <c r="D1621">
        <v>21883</v>
      </c>
      <c r="E1621">
        <v>21883</v>
      </c>
      <c r="F1621" t="s">
        <v>441</v>
      </c>
      <c r="G1621">
        <v>0</v>
      </c>
      <c r="I1621" s="5">
        <v>44044</v>
      </c>
      <c r="J1621" s="5">
        <v>43970.333333333336</v>
      </c>
    </row>
    <row r="1622" spans="1:10" x14ac:dyDescent="0.2">
      <c r="A1622">
        <v>7118860</v>
      </c>
      <c r="B1622">
        <v>3692981</v>
      </c>
      <c r="C1622">
        <v>3693452</v>
      </c>
      <c r="D1622">
        <v>21883</v>
      </c>
      <c r="E1622">
        <v>21883</v>
      </c>
      <c r="F1622" t="s">
        <v>441</v>
      </c>
      <c r="G1622">
        <v>0</v>
      </c>
      <c r="I1622" s="5">
        <v>44044</v>
      </c>
      <c r="J1622" s="5">
        <v>43970.333333333336</v>
      </c>
    </row>
    <row r="1623" spans="1:10" x14ac:dyDescent="0.2">
      <c r="A1623">
        <v>7118861</v>
      </c>
      <c r="B1623">
        <v>3693451</v>
      </c>
      <c r="C1623">
        <v>3692980</v>
      </c>
      <c r="D1623">
        <v>21883</v>
      </c>
      <c r="E1623">
        <v>21883</v>
      </c>
      <c r="F1623" t="s">
        <v>441</v>
      </c>
      <c r="G1623">
        <v>0</v>
      </c>
      <c r="I1623" s="5">
        <v>44044</v>
      </c>
      <c r="J1623" s="5">
        <v>43970.333333333336</v>
      </c>
    </row>
    <row r="1624" spans="1:10" x14ac:dyDescent="0.2">
      <c r="A1624">
        <v>7118862</v>
      </c>
      <c r="B1624">
        <v>3692979</v>
      </c>
      <c r="C1624">
        <v>3692977</v>
      </c>
      <c r="D1624">
        <v>21883</v>
      </c>
      <c r="E1624">
        <v>21883</v>
      </c>
      <c r="F1624" t="s">
        <v>441</v>
      </c>
      <c r="G1624">
        <v>0</v>
      </c>
      <c r="I1624" s="5">
        <v>44044</v>
      </c>
      <c r="J1624" s="5">
        <v>43970.333333333336</v>
      </c>
    </row>
    <row r="1625" spans="1:10" x14ac:dyDescent="0.2">
      <c r="A1625">
        <v>7118863</v>
      </c>
      <c r="B1625">
        <v>3692978</v>
      </c>
      <c r="C1625">
        <v>3692979</v>
      </c>
      <c r="D1625">
        <v>21883</v>
      </c>
      <c r="E1625">
        <v>21883</v>
      </c>
      <c r="F1625" t="s">
        <v>441</v>
      </c>
      <c r="G1625">
        <v>0</v>
      </c>
      <c r="I1625" s="5">
        <v>44044</v>
      </c>
      <c r="J1625" s="5">
        <v>43970.333333333336</v>
      </c>
    </row>
    <row r="1626" spans="1:10" x14ac:dyDescent="0.2">
      <c r="A1626">
        <v>7118864</v>
      </c>
      <c r="B1626">
        <v>3693454</v>
      </c>
      <c r="C1626">
        <v>3693453</v>
      </c>
      <c r="D1626">
        <v>21883</v>
      </c>
      <c r="E1626">
        <v>21883</v>
      </c>
      <c r="F1626" t="s">
        <v>441</v>
      </c>
      <c r="G1626">
        <v>0</v>
      </c>
      <c r="I1626" s="5">
        <v>44044</v>
      </c>
      <c r="J1626" s="5">
        <v>43970.333333333336</v>
      </c>
    </row>
    <row r="1627" spans="1:10" x14ac:dyDescent="0.2">
      <c r="A1627">
        <v>7118865</v>
      </c>
      <c r="B1627">
        <v>3693455</v>
      </c>
      <c r="C1627">
        <v>3693454</v>
      </c>
      <c r="D1627">
        <v>21883</v>
      </c>
      <c r="E1627">
        <v>21883</v>
      </c>
      <c r="F1627" t="s">
        <v>442</v>
      </c>
      <c r="G1627">
        <v>0</v>
      </c>
      <c r="I1627" s="5">
        <v>44044</v>
      </c>
      <c r="J1627" s="5">
        <v>43970.333333333336</v>
      </c>
    </row>
    <row r="1628" spans="1:10" x14ac:dyDescent="0.2">
      <c r="A1628">
        <v>7118866</v>
      </c>
      <c r="B1628">
        <v>3692980</v>
      </c>
      <c r="C1628">
        <v>3693455</v>
      </c>
      <c r="D1628">
        <v>21883</v>
      </c>
      <c r="E1628">
        <v>21883</v>
      </c>
      <c r="F1628" t="s">
        <v>442</v>
      </c>
      <c r="G1628">
        <v>0</v>
      </c>
      <c r="I1628" s="5">
        <v>44044</v>
      </c>
      <c r="J1628" s="5">
        <v>43970.333333333336</v>
      </c>
    </row>
    <row r="1629" spans="1:10" x14ac:dyDescent="0.2">
      <c r="A1629">
        <v>7118867</v>
      </c>
      <c r="B1629">
        <v>3693453</v>
      </c>
      <c r="C1629">
        <v>3692978</v>
      </c>
      <c r="D1629">
        <v>21883</v>
      </c>
      <c r="E1629">
        <v>21883</v>
      </c>
      <c r="F1629" t="s">
        <v>441</v>
      </c>
      <c r="G1629">
        <v>0</v>
      </c>
      <c r="I1629" s="5">
        <v>44044</v>
      </c>
      <c r="J1629" s="5">
        <v>43970.333333333336</v>
      </c>
    </row>
    <row r="1630" spans="1:10" x14ac:dyDescent="0.2">
      <c r="A1630">
        <v>7118868</v>
      </c>
      <c r="B1630">
        <v>3693456</v>
      </c>
      <c r="C1630">
        <v>3692988</v>
      </c>
      <c r="D1630">
        <v>21883</v>
      </c>
      <c r="E1630">
        <v>21883</v>
      </c>
      <c r="F1630" t="s">
        <v>441</v>
      </c>
      <c r="G1630">
        <v>0</v>
      </c>
      <c r="I1630" s="5">
        <v>44044</v>
      </c>
      <c r="J1630" s="5">
        <v>43970.333333333336</v>
      </c>
    </row>
    <row r="1631" spans="1:10" x14ac:dyDescent="0.2">
      <c r="A1631">
        <v>7118869</v>
      </c>
      <c r="B1631">
        <v>3692984</v>
      </c>
      <c r="C1631">
        <v>3692985</v>
      </c>
      <c r="D1631">
        <v>21883</v>
      </c>
      <c r="E1631">
        <v>21883</v>
      </c>
      <c r="F1631" t="s">
        <v>441</v>
      </c>
      <c r="G1631">
        <v>0</v>
      </c>
      <c r="I1631" s="5">
        <v>44044</v>
      </c>
      <c r="J1631" s="5">
        <v>43970.333333333336</v>
      </c>
    </row>
    <row r="1632" spans="1:10" x14ac:dyDescent="0.2">
      <c r="A1632">
        <v>7118870</v>
      </c>
      <c r="B1632">
        <v>3693459</v>
      </c>
      <c r="C1632">
        <v>3693458</v>
      </c>
      <c r="D1632">
        <v>21883</v>
      </c>
      <c r="E1632">
        <v>21883</v>
      </c>
      <c r="F1632" t="s">
        <v>441</v>
      </c>
      <c r="G1632">
        <v>0</v>
      </c>
      <c r="I1632" s="5">
        <v>44044</v>
      </c>
      <c r="J1632" s="5">
        <v>43970.333333333336</v>
      </c>
    </row>
    <row r="1633" spans="1:10" x14ac:dyDescent="0.2">
      <c r="A1633">
        <v>7118871</v>
      </c>
      <c r="B1633">
        <v>3693460</v>
      </c>
      <c r="C1633">
        <v>3693459</v>
      </c>
      <c r="D1633">
        <v>21883</v>
      </c>
      <c r="E1633">
        <v>21883</v>
      </c>
      <c r="F1633" t="s">
        <v>442</v>
      </c>
      <c r="G1633">
        <v>0</v>
      </c>
      <c r="I1633" s="5">
        <v>44044</v>
      </c>
      <c r="J1633" s="5">
        <v>43970.333333333336</v>
      </c>
    </row>
    <row r="1634" spans="1:10" x14ac:dyDescent="0.2">
      <c r="A1634">
        <v>7118872</v>
      </c>
      <c r="B1634">
        <v>3693458</v>
      </c>
      <c r="C1634">
        <v>3692984</v>
      </c>
      <c r="D1634">
        <v>21883</v>
      </c>
      <c r="E1634">
        <v>21883</v>
      </c>
      <c r="F1634" t="s">
        <v>441</v>
      </c>
      <c r="G1634">
        <v>0</v>
      </c>
      <c r="I1634" s="5">
        <v>44044</v>
      </c>
      <c r="J1634" s="5">
        <v>43970.333333333336</v>
      </c>
    </row>
    <row r="1635" spans="1:10" x14ac:dyDescent="0.2">
      <c r="A1635">
        <v>7118873</v>
      </c>
      <c r="B1635">
        <v>3692986</v>
      </c>
      <c r="C1635">
        <v>3693460</v>
      </c>
      <c r="D1635">
        <v>21883</v>
      </c>
      <c r="E1635">
        <v>21883</v>
      </c>
      <c r="F1635" t="s">
        <v>442</v>
      </c>
      <c r="G1635">
        <v>0</v>
      </c>
      <c r="I1635" s="5">
        <v>44044</v>
      </c>
      <c r="J1635" s="5">
        <v>43970.333333333336</v>
      </c>
    </row>
    <row r="1636" spans="1:10" x14ac:dyDescent="0.2">
      <c r="A1636">
        <v>7118874</v>
      </c>
      <c r="B1636">
        <v>3693462</v>
      </c>
      <c r="C1636">
        <v>3693461</v>
      </c>
      <c r="D1636">
        <v>21883</v>
      </c>
      <c r="E1636">
        <v>21883</v>
      </c>
      <c r="F1636" t="s">
        <v>441</v>
      </c>
      <c r="G1636">
        <v>0</v>
      </c>
      <c r="I1636" s="5">
        <v>44044</v>
      </c>
      <c r="J1636" s="5">
        <v>43970.333333333336</v>
      </c>
    </row>
    <row r="1637" spans="1:10" x14ac:dyDescent="0.2">
      <c r="A1637">
        <v>7118875</v>
      </c>
      <c r="B1637">
        <v>3692987</v>
      </c>
      <c r="C1637">
        <v>3693462</v>
      </c>
      <c r="D1637">
        <v>21883</v>
      </c>
      <c r="E1637">
        <v>21883</v>
      </c>
      <c r="F1637" t="s">
        <v>441</v>
      </c>
      <c r="G1637">
        <v>0</v>
      </c>
      <c r="I1637" s="5">
        <v>44044</v>
      </c>
      <c r="J1637" s="5">
        <v>43970.333333333336</v>
      </c>
    </row>
    <row r="1638" spans="1:10" x14ac:dyDescent="0.2">
      <c r="A1638">
        <v>7118876</v>
      </c>
      <c r="B1638">
        <v>3693461</v>
      </c>
      <c r="C1638">
        <v>3692986</v>
      </c>
      <c r="D1638">
        <v>21883</v>
      </c>
      <c r="E1638">
        <v>21883</v>
      </c>
      <c r="F1638" t="s">
        <v>441</v>
      </c>
      <c r="G1638">
        <v>0</v>
      </c>
      <c r="I1638" s="5">
        <v>44044</v>
      </c>
      <c r="J1638" s="5">
        <v>43970.333333333336</v>
      </c>
    </row>
    <row r="1639" spans="1:10" x14ac:dyDescent="0.2">
      <c r="A1639">
        <v>7118877</v>
      </c>
      <c r="B1639">
        <v>3692985</v>
      </c>
      <c r="C1639">
        <v>3692983</v>
      </c>
      <c r="D1639">
        <v>21883</v>
      </c>
      <c r="E1639">
        <v>21883</v>
      </c>
      <c r="F1639" t="s">
        <v>441</v>
      </c>
      <c r="G1639">
        <v>0</v>
      </c>
      <c r="I1639" s="5">
        <v>44044</v>
      </c>
      <c r="J1639" s="5">
        <v>43970.333333333336</v>
      </c>
    </row>
    <row r="1640" spans="1:10" x14ac:dyDescent="0.2">
      <c r="A1640">
        <v>7118878</v>
      </c>
      <c r="B1640">
        <v>3692991</v>
      </c>
      <c r="C1640">
        <v>3693457</v>
      </c>
      <c r="D1640">
        <v>21883</v>
      </c>
      <c r="E1640">
        <v>21883</v>
      </c>
      <c r="F1640" t="s">
        <v>441</v>
      </c>
      <c r="G1640">
        <v>0</v>
      </c>
      <c r="I1640" s="5">
        <v>44044</v>
      </c>
      <c r="J1640" s="5">
        <v>43970.333333333336</v>
      </c>
    </row>
    <row r="1641" spans="1:10" x14ac:dyDescent="0.2">
      <c r="A1641">
        <v>7118879</v>
      </c>
      <c r="B1641">
        <v>3692991</v>
      </c>
      <c r="C1641">
        <v>3693427</v>
      </c>
      <c r="D1641">
        <v>21883</v>
      </c>
      <c r="E1641">
        <v>21883</v>
      </c>
      <c r="F1641" t="s">
        <v>441</v>
      </c>
      <c r="G1641">
        <v>0</v>
      </c>
      <c r="I1641" s="5">
        <v>44044</v>
      </c>
      <c r="J1641" s="5">
        <v>43970.333333333336</v>
      </c>
    </row>
    <row r="1642" spans="1:10" x14ac:dyDescent="0.2">
      <c r="A1642">
        <v>7118880</v>
      </c>
      <c r="B1642">
        <v>3692992</v>
      </c>
      <c r="C1642">
        <v>3693463</v>
      </c>
      <c r="D1642">
        <v>21883</v>
      </c>
      <c r="E1642">
        <v>21883</v>
      </c>
      <c r="F1642" t="s">
        <v>442</v>
      </c>
      <c r="G1642">
        <v>0</v>
      </c>
      <c r="I1642" s="5">
        <v>44044</v>
      </c>
      <c r="J1642" s="5">
        <v>43970.333333333336</v>
      </c>
    </row>
    <row r="1643" spans="1:10" x14ac:dyDescent="0.2">
      <c r="A1643">
        <v>7118881</v>
      </c>
      <c r="B1643">
        <v>3693468</v>
      </c>
      <c r="C1643">
        <v>3693467</v>
      </c>
      <c r="D1643">
        <v>21883</v>
      </c>
      <c r="E1643">
        <v>21883</v>
      </c>
      <c r="F1643" t="s">
        <v>441</v>
      </c>
      <c r="G1643">
        <v>0</v>
      </c>
      <c r="I1643" s="5">
        <v>44044</v>
      </c>
      <c r="J1643" s="5">
        <v>43970.333333333336</v>
      </c>
    </row>
    <row r="1644" spans="1:10" x14ac:dyDescent="0.2">
      <c r="A1644">
        <v>7118882</v>
      </c>
      <c r="B1644">
        <v>3693469</v>
      </c>
      <c r="C1644">
        <v>3693468</v>
      </c>
      <c r="D1644">
        <v>21883</v>
      </c>
      <c r="E1644">
        <v>21883</v>
      </c>
      <c r="F1644" t="s">
        <v>441</v>
      </c>
      <c r="G1644">
        <v>0</v>
      </c>
      <c r="I1644" s="5">
        <v>44044</v>
      </c>
      <c r="J1644" s="5">
        <v>43970.333333333336</v>
      </c>
    </row>
    <row r="1645" spans="1:10" x14ac:dyDescent="0.2">
      <c r="A1645">
        <v>7118883</v>
      </c>
      <c r="B1645">
        <v>3693471</v>
      </c>
      <c r="C1645">
        <v>3693469</v>
      </c>
      <c r="D1645">
        <v>21883</v>
      </c>
      <c r="E1645">
        <v>21883</v>
      </c>
      <c r="F1645" t="s">
        <v>441</v>
      </c>
      <c r="G1645">
        <v>0</v>
      </c>
      <c r="I1645" s="5">
        <v>44044</v>
      </c>
      <c r="J1645" s="5">
        <v>43970.333333333336</v>
      </c>
    </row>
    <row r="1646" spans="1:10" x14ac:dyDescent="0.2">
      <c r="A1646">
        <v>7118884</v>
      </c>
      <c r="B1646">
        <v>3693472</v>
      </c>
      <c r="C1646">
        <v>3693469</v>
      </c>
      <c r="D1646">
        <v>21883</v>
      </c>
      <c r="E1646">
        <v>21883</v>
      </c>
      <c r="F1646" t="s">
        <v>441</v>
      </c>
      <c r="G1646">
        <v>0</v>
      </c>
      <c r="I1646" s="5">
        <v>44044</v>
      </c>
      <c r="J1646" s="5">
        <v>43970.333333333336</v>
      </c>
    </row>
    <row r="1647" spans="1:10" x14ac:dyDescent="0.2">
      <c r="A1647">
        <v>7118885</v>
      </c>
      <c r="B1647">
        <v>3693473</v>
      </c>
      <c r="C1647">
        <v>3693472</v>
      </c>
      <c r="D1647">
        <v>21883</v>
      </c>
      <c r="E1647">
        <v>21883</v>
      </c>
      <c r="F1647" t="s">
        <v>441</v>
      </c>
      <c r="G1647">
        <v>0</v>
      </c>
      <c r="I1647" s="5">
        <v>44044</v>
      </c>
      <c r="J1647" s="5">
        <v>43970.333333333336</v>
      </c>
    </row>
    <row r="1648" spans="1:10" x14ac:dyDescent="0.2">
      <c r="A1648">
        <v>7118886</v>
      </c>
      <c r="B1648">
        <v>3693474</v>
      </c>
      <c r="C1648">
        <v>3693473</v>
      </c>
      <c r="D1648">
        <v>21883</v>
      </c>
      <c r="E1648">
        <v>21883</v>
      </c>
      <c r="F1648" t="s">
        <v>441</v>
      </c>
      <c r="G1648">
        <v>0</v>
      </c>
      <c r="I1648" s="5">
        <v>44044</v>
      </c>
      <c r="J1648" s="5">
        <v>43970.333333333336</v>
      </c>
    </row>
    <row r="1649" spans="1:10" x14ac:dyDescent="0.2">
      <c r="A1649">
        <v>7118887</v>
      </c>
      <c r="B1649">
        <v>3693471</v>
      </c>
      <c r="C1649">
        <v>3693474</v>
      </c>
      <c r="D1649">
        <v>21883</v>
      </c>
      <c r="E1649">
        <v>21883</v>
      </c>
      <c r="F1649" t="s">
        <v>441</v>
      </c>
      <c r="G1649">
        <v>0</v>
      </c>
      <c r="I1649" s="5">
        <v>44044</v>
      </c>
      <c r="J1649" s="5">
        <v>43970.333333333336</v>
      </c>
    </row>
    <row r="1650" spans="1:10" x14ac:dyDescent="0.2">
      <c r="A1650">
        <v>7118888</v>
      </c>
      <c r="B1650">
        <v>3693470</v>
      </c>
      <c r="C1650">
        <v>3693475</v>
      </c>
      <c r="D1650">
        <v>21883</v>
      </c>
      <c r="E1650">
        <v>21883</v>
      </c>
      <c r="F1650" t="s">
        <v>441</v>
      </c>
      <c r="G1650">
        <v>0</v>
      </c>
      <c r="I1650" s="5">
        <v>44044</v>
      </c>
      <c r="J1650" s="5">
        <v>43970.333333333336</v>
      </c>
    </row>
    <row r="1651" spans="1:10" x14ac:dyDescent="0.2">
      <c r="A1651">
        <v>7118889</v>
      </c>
      <c r="B1651">
        <v>3693477</v>
      </c>
      <c r="C1651">
        <v>3693476</v>
      </c>
      <c r="D1651">
        <v>21883</v>
      </c>
      <c r="E1651">
        <v>21883</v>
      </c>
      <c r="F1651" t="s">
        <v>441</v>
      </c>
      <c r="G1651">
        <v>0</v>
      </c>
      <c r="I1651" s="5">
        <v>44044</v>
      </c>
      <c r="J1651" s="5">
        <v>43970.333333333336</v>
      </c>
    </row>
    <row r="1652" spans="1:10" x14ac:dyDescent="0.2">
      <c r="A1652">
        <v>7118890</v>
      </c>
      <c r="B1652">
        <v>3693476</v>
      </c>
      <c r="C1652">
        <v>3693470</v>
      </c>
      <c r="D1652">
        <v>21883</v>
      </c>
      <c r="E1652">
        <v>21883</v>
      </c>
      <c r="F1652" t="s">
        <v>441</v>
      </c>
      <c r="G1652">
        <v>0</v>
      </c>
      <c r="I1652" s="5">
        <v>44044</v>
      </c>
      <c r="J1652" s="5">
        <v>43970.333333333336</v>
      </c>
    </row>
    <row r="1653" spans="1:10" x14ac:dyDescent="0.2">
      <c r="A1653">
        <v>7118891</v>
      </c>
      <c r="B1653">
        <v>3693481</v>
      </c>
      <c r="C1653">
        <v>3693467</v>
      </c>
      <c r="D1653">
        <v>21883</v>
      </c>
      <c r="E1653">
        <v>21883</v>
      </c>
      <c r="F1653" t="s">
        <v>441</v>
      </c>
      <c r="G1653">
        <v>0</v>
      </c>
      <c r="I1653" s="5">
        <v>44044</v>
      </c>
      <c r="J1653" s="5">
        <v>43970.333333333336</v>
      </c>
    </row>
    <row r="1654" spans="1:10" x14ac:dyDescent="0.2">
      <c r="A1654">
        <v>7118892</v>
      </c>
      <c r="B1654">
        <v>3693480</v>
      </c>
      <c r="C1654">
        <v>3693481</v>
      </c>
      <c r="D1654">
        <v>21883</v>
      </c>
      <c r="E1654">
        <v>21883</v>
      </c>
      <c r="F1654" t="s">
        <v>441</v>
      </c>
      <c r="G1654">
        <v>0</v>
      </c>
      <c r="I1654" s="5">
        <v>44044</v>
      </c>
      <c r="J1654" s="5">
        <v>43970.333333333336</v>
      </c>
    </row>
    <row r="1655" spans="1:10" x14ac:dyDescent="0.2">
      <c r="A1655">
        <v>7118893</v>
      </c>
      <c r="B1655">
        <v>3693468</v>
      </c>
      <c r="C1655">
        <v>3693480</v>
      </c>
      <c r="D1655">
        <v>21883</v>
      </c>
      <c r="E1655">
        <v>21883</v>
      </c>
      <c r="F1655" t="s">
        <v>441</v>
      </c>
      <c r="G1655">
        <v>0</v>
      </c>
      <c r="I1655" s="5">
        <v>44044</v>
      </c>
      <c r="J1655" s="5">
        <v>43970.333333333336</v>
      </c>
    </row>
    <row r="1656" spans="1:10" x14ac:dyDescent="0.2">
      <c r="A1656">
        <v>7118894</v>
      </c>
      <c r="B1656">
        <v>3693482</v>
      </c>
      <c r="C1656">
        <v>3693480</v>
      </c>
      <c r="D1656">
        <v>21883</v>
      </c>
      <c r="E1656">
        <v>21883</v>
      </c>
      <c r="F1656" t="s">
        <v>441</v>
      </c>
      <c r="G1656">
        <v>0</v>
      </c>
      <c r="I1656" s="5">
        <v>44044</v>
      </c>
      <c r="J1656" s="5">
        <v>43970.333333333336</v>
      </c>
    </row>
    <row r="1657" spans="1:10" x14ac:dyDescent="0.2">
      <c r="A1657">
        <v>7118895</v>
      </c>
      <c r="B1657">
        <v>3693468</v>
      </c>
      <c r="C1657">
        <v>3693482</v>
      </c>
      <c r="D1657">
        <v>21883</v>
      </c>
      <c r="E1657">
        <v>21883</v>
      </c>
      <c r="F1657" t="s">
        <v>441</v>
      </c>
      <c r="G1657">
        <v>0</v>
      </c>
      <c r="I1657" s="5">
        <v>44044</v>
      </c>
      <c r="J1657" s="5">
        <v>43970.333333333336</v>
      </c>
    </row>
    <row r="1658" spans="1:10" x14ac:dyDescent="0.2">
      <c r="A1658">
        <v>7118896</v>
      </c>
      <c r="B1658">
        <v>3693483</v>
      </c>
      <c r="C1658">
        <v>3693468</v>
      </c>
      <c r="D1658">
        <v>21883</v>
      </c>
      <c r="E1658">
        <v>21883</v>
      </c>
      <c r="F1658" t="s">
        <v>441</v>
      </c>
      <c r="G1658">
        <v>0</v>
      </c>
      <c r="I1658" s="5">
        <v>44044</v>
      </c>
      <c r="J1658" s="5">
        <v>43970.333333333336</v>
      </c>
    </row>
    <row r="1659" spans="1:10" x14ac:dyDescent="0.2">
      <c r="A1659">
        <v>7118897</v>
      </c>
      <c r="B1659">
        <v>3693469</v>
      </c>
      <c r="C1659">
        <v>3693483</v>
      </c>
      <c r="D1659">
        <v>21883</v>
      </c>
      <c r="E1659">
        <v>21883</v>
      </c>
      <c r="F1659" t="s">
        <v>441</v>
      </c>
      <c r="G1659">
        <v>0</v>
      </c>
      <c r="I1659" s="5">
        <v>44044</v>
      </c>
      <c r="J1659" s="5">
        <v>43970.333333333336</v>
      </c>
    </row>
    <row r="1660" spans="1:10" x14ac:dyDescent="0.2">
      <c r="A1660">
        <v>7118898</v>
      </c>
      <c r="B1660">
        <v>3693484</v>
      </c>
      <c r="C1660">
        <v>3693472</v>
      </c>
      <c r="D1660">
        <v>21883</v>
      </c>
      <c r="E1660">
        <v>21883</v>
      </c>
      <c r="F1660" t="s">
        <v>441</v>
      </c>
      <c r="G1660">
        <v>0</v>
      </c>
      <c r="I1660" s="5">
        <v>44044</v>
      </c>
      <c r="J1660" s="5">
        <v>43970.333333333336</v>
      </c>
    </row>
    <row r="1661" spans="1:10" x14ac:dyDescent="0.2">
      <c r="A1661">
        <v>7118899</v>
      </c>
      <c r="B1661">
        <v>3693473</v>
      </c>
      <c r="C1661">
        <v>3693484</v>
      </c>
      <c r="D1661">
        <v>21883</v>
      </c>
      <c r="E1661">
        <v>21883</v>
      </c>
      <c r="F1661" t="s">
        <v>441</v>
      </c>
      <c r="G1661">
        <v>0</v>
      </c>
      <c r="I1661" s="5">
        <v>44044</v>
      </c>
      <c r="J1661" s="5">
        <v>43970.333333333336</v>
      </c>
    </row>
    <row r="1662" spans="1:10" x14ac:dyDescent="0.2">
      <c r="A1662">
        <v>7118900</v>
      </c>
      <c r="B1662">
        <v>3693474</v>
      </c>
      <c r="C1662">
        <v>3693473</v>
      </c>
      <c r="D1662">
        <v>21883</v>
      </c>
      <c r="E1662">
        <v>21883</v>
      </c>
      <c r="F1662" t="s">
        <v>440</v>
      </c>
      <c r="G1662">
        <v>0</v>
      </c>
      <c r="I1662" s="5">
        <v>44044</v>
      </c>
      <c r="J1662" s="5">
        <v>43970.333333333336</v>
      </c>
    </row>
    <row r="1663" spans="1:10" x14ac:dyDescent="0.2">
      <c r="A1663">
        <v>7118901</v>
      </c>
      <c r="B1663">
        <v>3693475</v>
      </c>
      <c r="C1663">
        <v>3693471</v>
      </c>
      <c r="D1663">
        <v>21883</v>
      </c>
      <c r="E1663">
        <v>21883</v>
      </c>
      <c r="F1663" t="s">
        <v>441</v>
      </c>
      <c r="G1663">
        <v>0</v>
      </c>
      <c r="I1663" s="5">
        <v>44044</v>
      </c>
      <c r="J1663" s="5">
        <v>43970.333333333336</v>
      </c>
    </row>
    <row r="1664" spans="1:10" x14ac:dyDescent="0.2">
      <c r="A1664">
        <v>7118902</v>
      </c>
      <c r="B1664">
        <v>3693479</v>
      </c>
      <c r="C1664">
        <v>3693477</v>
      </c>
      <c r="D1664">
        <v>21883</v>
      </c>
      <c r="E1664">
        <v>21883</v>
      </c>
      <c r="F1664" t="s">
        <v>441</v>
      </c>
      <c r="G1664">
        <v>0</v>
      </c>
      <c r="I1664" s="5">
        <v>44044</v>
      </c>
      <c r="J1664" s="5">
        <v>43970.333333333336</v>
      </c>
    </row>
    <row r="1665" spans="1:10" x14ac:dyDescent="0.2">
      <c r="A1665">
        <v>7118903</v>
      </c>
      <c r="B1665">
        <v>3693486</v>
      </c>
      <c r="C1665">
        <v>3693485</v>
      </c>
      <c r="D1665">
        <v>21883</v>
      </c>
      <c r="E1665">
        <v>21883</v>
      </c>
      <c r="F1665" t="s">
        <v>441</v>
      </c>
      <c r="G1665">
        <v>0</v>
      </c>
      <c r="I1665" s="5">
        <v>44044</v>
      </c>
      <c r="J1665" s="5">
        <v>43970.333333333336</v>
      </c>
    </row>
    <row r="1666" spans="1:10" x14ac:dyDescent="0.2">
      <c r="A1666">
        <v>7118904</v>
      </c>
      <c r="B1666">
        <v>3693487</v>
      </c>
      <c r="C1666">
        <v>3693486</v>
      </c>
      <c r="D1666">
        <v>21883</v>
      </c>
      <c r="E1666">
        <v>21883</v>
      </c>
      <c r="F1666" t="s">
        <v>441</v>
      </c>
      <c r="G1666">
        <v>0</v>
      </c>
      <c r="I1666" s="5">
        <v>44044</v>
      </c>
      <c r="J1666" s="5">
        <v>43970.333333333336</v>
      </c>
    </row>
    <row r="1667" spans="1:10" x14ac:dyDescent="0.2">
      <c r="A1667">
        <v>7118905</v>
      </c>
      <c r="B1667">
        <v>3693489</v>
      </c>
      <c r="C1667">
        <v>3693487</v>
      </c>
      <c r="D1667">
        <v>21883</v>
      </c>
      <c r="E1667">
        <v>21883</v>
      </c>
      <c r="F1667" t="s">
        <v>441</v>
      </c>
      <c r="G1667">
        <v>0</v>
      </c>
      <c r="I1667" s="5">
        <v>44044</v>
      </c>
      <c r="J1667" s="5">
        <v>43970.333333333336</v>
      </c>
    </row>
    <row r="1668" spans="1:10" x14ac:dyDescent="0.2">
      <c r="A1668">
        <v>7118906</v>
      </c>
      <c r="B1668">
        <v>3693488</v>
      </c>
      <c r="C1668">
        <v>3693489</v>
      </c>
      <c r="D1668">
        <v>21883</v>
      </c>
      <c r="E1668">
        <v>21883</v>
      </c>
      <c r="F1668" t="s">
        <v>441</v>
      </c>
      <c r="G1668">
        <v>0</v>
      </c>
      <c r="I1668" s="5">
        <v>44044</v>
      </c>
      <c r="J1668" s="5">
        <v>43970.333333333336</v>
      </c>
    </row>
    <row r="1669" spans="1:10" x14ac:dyDescent="0.2">
      <c r="A1669">
        <v>7118907</v>
      </c>
      <c r="B1669">
        <v>3693491</v>
      </c>
      <c r="C1669">
        <v>3693490</v>
      </c>
      <c r="D1669">
        <v>21883</v>
      </c>
      <c r="E1669">
        <v>21883</v>
      </c>
      <c r="F1669" t="s">
        <v>441</v>
      </c>
      <c r="G1669">
        <v>0</v>
      </c>
      <c r="I1669" s="5">
        <v>44044</v>
      </c>
      <c r="J1669" s="5">
        <v>43970.333333333336</v>
      </c>
    </row>
    <row r="1670" spans="1:10" x14ac:dyDescent="0.2">
      <c r="A1670">
        <v>7118908</v>
      </c>
      <c r="B1670">
        <v>3693492</v>
      </c>
      <c r="C1670">
        <v>3693491</v>
      </c>
      <c r="D1670">
        <v>21883</v>
      </c>
      <c r="E1670">
        <v>21883</v>
      </c>
      <c r="F1670" t="s">
        <v>441</v>
      </c>
      <c r="G1670">
        <v>0</v>
      </c>
      <c r="I1670" s="5">
        <v>44044</v>
      </c>
      <c r="J1670" s="5">
        <v>43970.333333333336</v>
      </c>
    </row>
    <row r="1671" spans="1:10" x14ac:dyDescent="0.2">
      <c r="A1671">
        <v>7118909</v>
      </c>
      <c r="B1671">
        <v>3693490</v>
      </c>
      <c r="C1671">
        <v>3693487</v>
      </c>
      <c r="D1671">
        <v>21883</v>
      </c>
      <c r="E1671">
        <v>21883</v>
      </c>
      <c r="F1671" t="s">
        <v>441</v>
      </c>
      <c r="G1671">
        <v>0</v>
      </c>
      <c r="I1671" s="5">
        <v>44044</v>
      </c>
      <c r="J1671" s="5">
        <v>43970.333333333336</v>
      </c>
    </row>
    <row r="1672" spans="1:10" x14ac:dyDescent="0.2">
      <c r="A1672">
        <v>7118910</v>
      </c>
      <c r="B1672">
        <v>3693489</v>
      </c>
      <c r="C1672">
        <v>3693492</v>
      </c>
      <c r="D1672">
        <v>21883</v>
      </c>
      <c r="E1672">
        <v>21883</v>
      </c>
      <c r="F1672" t="s">
        <v>441</v>
      </c>
      <c r="G1672">
        <v>0</v>
      </c>
      <c r="I1672" s="5">
        <v>44044</v>
      </c>
      <c r="J1672" s="5">
        <v>43970.333333333336</v>
      </c>
    </row>
    <row r="1673" spans="1:10" x14ac:dyDescent="0.2">
      <c r="A1673">
        <v>7118911</v>
      </c>
      <c r="B1673">
        <v>3693493</v>
      </c>
      <c r="C1673">
        <v>3693489</v>
      </c>
      <c r="D1673">
        <v>21883</v>
      </c>
      <c r="E1673">
        <v>21883</v>
      </c>
      <c r="F1673" t="s">
        <v>441</v>
      </c>
      <c r="G1673">
        <v>0</v>
      </c>
      <c r="I1673" s="5">
        <v>44044</v>
      </c>
      <c r="J1673" s="5">
        <v>43970.333333333336</v>
      </c>
    </row>
    <row r="1674" spans="1:10" x14ac:dyDescent="0.2">
      <c r="A1674">
        <v>7118912</v>
      </c>
      <c r="B1674">
        <v>3693495</v>
      </c>
      <c r="C1674">
        <v>3693494</v>
      </c>
      <c r="D1674">
        <v>21883</v>
      </c>
      <c r="E1674">
        <v>21883</v>
      </c>
      <c r="F1674" t="s">
        <v>441</v>
      </c>
      <c r="G1674">
        <v>0</v>
      </c>
      <c r="I1674" s="5">
        <v>44044</v>
      </c>
      <c r="J1674" s="5">
        <v>43970.333333333336</v>
      </c>
    </row>
    <row r="1675" spans="1:10" x14ac:dyDescent="0.2">
      <c r="A1675">
        <v>7118913</v>
      </c>
      <c r="B1675">
        <v>3693494</v>
      </c>
      <c r="C1675">
        <v>3693488</v>
      </c>
      <c r="D1675">
        <v>21883</v>
      </c>
      <c r="E1675">
        <v>21883</v>
      </c>
      <c r="F1675" t="s">
        <v>441</v>
      </c>
      <c r="G1675">
        <v>0</v>
      </c>
      <c r="I1675" s="5">
        <v>44044</v>
      </c>
      <c r="J1675" s="5">
        <v>43970.333333333336</v>
      </c>
    </row>
    <row r="1676" spans="1:10" x14ac:dyDescent="0.2">
      <c r="A1676">
        <v>7118914</v>
      </c>
      <c r="B1676">
        <v>3693500</v>
      </c>
      <c r="C1676">
        <v>3693499</v>
      </c>
      <c r="D1676">
        <v>21883</v>
      </c>
      <c r="E1676">
        <v>21883</v>
      </c>
      <c r="F1676" t="s">
        <v>441</v>
      </c>
      <c r="G1676">
        <v>0</v>
      </c>
      <c r="I1676" s="5">
        <v>44044</v>
      </c>
      <c r="J1676" s="5">
        <v>43970.333333333336</v>
      </c>
    </row>
    <row r="1677" spans="1:10" x14ac:dyDescent="0.2">
      <c r="A1677">
        <v>7118915</v>
      </c>
      <c r="B1677">
        <v>3693486</v>
      </c>
      <c r="C1677">
        <v>3693500</v>
      </c>
      <c r="D1677">
        <v>21883</v>
      </c>
      <c r="E1677">
        <v>21883</v>
      </c>
      <c r="F1677" t="s">
        <v>441</v>
      </c>
      <c r="G1677">
        <v>0</v>
      </c>
      <c r="I1677" s="5">
        <v>44044</v>
      </c>
      <c r="J1677" s="5">
        <v>43970.333333333336</v>
      </c>
    </row>
    <row r="1678" spans="1:10" x14ac:dyDescent="0.2">
      <c r="A1678">
        <v>7118916</v>
      </c>
      <c r="B1678">
        <v>3693501</v>
      </c>
      <c r="C1678">
        <v>3693486</v>
      </c>
      <c r="D1678">
        <v>21883</v>
      </c>
      <c r="E1678">
        <v>21883</v>
      </c>
      <c r="F1678" t="s">
        <v>441</v>
      </c>
      <c r="G1678">
        <v>0</v>
      </c>
      <c r="I1678" s="5">
        <v>44044</v>
      </c>
      <c r="J1678" s="5">
        <v>43970.333333333336</v>
      </c>
    </row>
    <row r="1679" spans="1:10" x14ac:dyDescent="0.2">
      <c r="A1679">
        <v>7118917</v>
      </c>
      <c r="B1679">
        <v>3693487</v>
      </c>
      <c r="C1679">
        <v>3693501</v>
      </c>
      <c r="D1679">
        <v>21883</v>
      </c>
      <c r="E1679">
        <v>21883</v>
      </c>
      <c r="F1679" t="s">
        <v>441</v>
      </c>
      <c r="G1679">
        <v>0</v>
      </c>
      <c r="I1679" s="5">
        <v>44044</v>
      </c>
      <c r="J1679" s="5">
        <v>43970.333333333336</v>
      </c>
    </row>
    <row r="1680" spans="1:10" x14ac:dyDescent="0.2">
      <c r="A1680">
        <v>7118918</v>
      </c>
      <c r="B1680">
        <v>3693502</v>
      </c>
      <c r="C1680">
        <v>3693490</v>
      </c>
      <c r="D1680">
        <v>21883</v>
      </c>
      <c r="E1680">
        <v>21883</v>
      </c>
      <c r="F1680" t="s">
        <v>441</v>
      </c>
      <c r="G1680">
        <v>0</v>
      </c>
      <c r="I1680" s="5">
        <v>44044</v>
      </c>
      <c r="J1680" s="5">
        <v>43970.333333333336</v>
      </c>
    </row>
    <row r="1681" spans="1:10" x14ac:dyDescent="0.2">
      <c r="A1681">
        <v>7118919</v>
      </c>
      <c r="B1681">
        <v>3693491</v>
      </c>
      <c r="C1681">
        <v>3693502</v>
      </c>
      <c r="D1681">
        <v>21883</v>
      </c>
      <c r="E1681">
        <v>21883</v>
      </c>
      <c r="F1681" t="s">
        <v>441</v>
      </c>
      <c r="G1681">
        <v>0</v>
      </c>
      <c r="I1681" s="5">
        <v>44044</v>
      </c>
      <c r="J1681" s="5">
        <v>43970.333333333336</v>
      </c>
    </row>
    <row r="1682" spans="1:10" x14ac:dyDescent="0.2">
      <c r="A1682">
        <v>7118920</v>
      </c>
      <c r="B1682">
        <v>3693488</v>
      </c>
      <c r="C1682">
        <v>3693493</v>
      </c>
      <c r="D1682">
        <v>21883</v>
      </c>
      <c r="E1682">
        <v>21883</v>
      </c>
      <c r="F1682" t="s">
        <v>441</v>
      </c>
      <c r="G1682">
        <v>0</v>
      </c>
      <c r="I1682" s="5">
        <v>44044</v>
      </c>
      <c r="J1682" s="5">
        <v>43970.333333333336</v>
      </c>
    </row>
    <row r="1683" spans="1:10" x14ac:dyDescent="0.2">
      <c r="A1683">
        <v>7118921</v>
      </c>
      <c r="B1683">
        <v>3693496</v>
      </c>
      <c r="C1683">
        <v>3693495</v>
      </c>
      <c r="D1683">
        <v>21883</v>
      </c>
      <c r="E1683">
        <v>21883</v>
      </c>
      <c r="F1683" t="s">
        <v>441</v>
      </c>
      <c r="G1683">
        <v>0</v>
      </c>
      <c r="I1683" s="5">
        <v>44044</v>
      </c>
      <c r="J1683" s="5">
        <v>43970.333333333336</v>
      </c>
    </row>
    <row r="1684" spans="1:10" x14ac:dyDescent="0.2">
      <c r="A1684">
        <v>7118922</v>
      </c>
      <c r="B1684">
        <v>3693505</v>
      </c>
      <c r="C1684">
        <v>3693503</v>
      </c>
      <c r="D1684">
        <v>21883</v>
      </c>
      <c r="E1684">
        <v>21883</v>
      </c>
      <c r="F1684" t="s">
        <v>441</v>
      </c>
      <c r="G1684">
        <v>0</v>
      </c>
      <c r="I1684" s="5">
        <v>44044</v>
      </c>
      <c r="J1684" s="5">
        <v>43970.333333333336</v>
      </c>
    </row>
    <row r="1685" spans="1:10" x14ac:dyDescent="0.2">
      <c r="A1685">
        <v>7118923</v>
      </c>
      <c r="B1685">
        <v>3693504</v>
      </c>
      <c r="C1685">
        <v>3693505</v>
      </c>
      <c r="D1685">
        <v>21883</v>
      </c>
      <c r="E1685">
        <v>21883</v>
      </c>
      <c r="F1685" t="s">
        <v>441</v>
      </c>
      <c r="G1685">
        <v>0</v>
      </c>
      <c r="I1685" s="5">
        <v>44044</v>
      </c>
      <c r="J1685" s="5">
        <v>43970.333333333336</v>
      </c>
    </row>
    <row r="1686" spans="1:10" x14ac:dyDescent="0.2">
      <c r="A1686">
        <v>7118924</v>
      </c>
      <c r="B1686">
        <v>3693507</v>
      </c>
      <c r="C1686">
        <v>3693506</v>
      </c>
      <c r="D1686">
        <v>21883</v>
      </c>
      <c r="E1686">
        <v>21883</v>
      </c>
      <c r="F1686" t="s">
        <v>441</v>
      </c>
      <c r="G1686">
        <v>0</v>
      </c>
      <c r="I1686" s="5">
        <v>44044</v>
      </c>
      <c r="J1686" s="5">
        <v>43970.333333333336</v>
      </c>
    </row>
    <row r="1687" spans="1:10" x14ac:dyDescent="0.2">
      <c r="A1687">
        <v>7118925</v>
      </c>
      <c r="B1687">
        <v>3693504</v>
      </c>
      <c r="C1687">
        <v>3693507</v>
      </c>
      <c r="D1687">
        <v>21883</v>
      </c>
      <c r="E1687">
        <v>21883</v>
      </c>
      <c r="F1687" t="s">
        <v>441</v>
      </c>
      <c r="G1687">
        <v>0</v>
      </c>
      <c r="I1687" s="5">
        <v>44044</v>
      </c>
      <c r="J1687" s="5">
        <v>43970.333333333336</v>
      </c>
    </row>
    <row r="1688" spans="1:10" x14ac:dyDescent="0.2">
      <c r="A1688">
        <v>7118926</v>
      </c>
      <c r="B1688">
        <v>3693506</v>
      </c>
      <c r="C1688">
        <v>3693505</v>
      </c>
      <c r="D1688">
        <v>21883</v>
      </c>
      <c r="E1688">
        <v>21883</v>
      </c>
      <c r="F1688" t="s">
        <v>441</v>
      </c>
      <c r="G1688">
        <v>0</v>
      </c>
      <c r="I1688" s="5">
        <v>44044</v>
      </c>
      <c r="J1688" s="5">
        <v>43970.333333333336</v>
      </c>
    </row>
    <row r="1689" spans="1:10" x14ac:dyDescent="0.2">
      <c r="A1689">
        <v>7118927</v>
      </c>
      <c r="B1689">
        <v>3693510</v>
      </c>
      <c r="C1689">
        <v>3693503</v>
      </c>
      <c r="D1689">
        <v>21883</v>
      </c>
      <c r="E1689">
        <v>21883</v>
      </c>
      <c r="F1689" t="s">
        <v>441</v>
      </c>
      <c r="G1689">
        <v>0</v>
      </c>
      <c r="I1689" s="5">
        <v>44044</v>
      </c>
      <c r="J1689" s="5">
        <v>43970.333333333336</v>
      </c>
    </row>
    <row r="1690" spans="1:10" x14ac:dyDescent="0.2">
      <c r="A1690">
        <v>7118928</v>
      </c>
      <c r="B1690">
        <v>3693505</v>
      </c>
      <c r="C1690">
        <v>3693510</v>
      </c>
      <c r="D1690">
        <v>21883</v>
      </c>
      <c r="E1690">
        <v>21883</v>
      </c>
      <c r="F1690" t="s">
        <v>441</v>
      </c>
      <c r="G1690">
        <v>0</v>
      </c>
      <c r="I1690" s="5">
        <v>44044</v>
      </c>
      <c r="J1690" s="5">
        <v>43970.333333333336</v>
      </c>
    </row>
    <row r="1691" spans="1:10" x14ac:dyDescent="0.2">
      <c r="A1691">
        <v>7118929</v>
      </c>
      <c r="B1691">
        <v>3693511</v>
      </c>
      <c r="C1691">
        <v>3693510</v>
      </c>
      <c r="D1691">
        <v>21883</v>
      </c>
      <c r="E1691">
        <v>21883</v>
      </c>
      <c r="F1691" t="s">
        <v>441</v>
      </c>
      <c r="G1691">
        <v>0</v>
      </c>
      <c r="I1691" s="5">
        <v>44044</v>
      </c>
      <c r="J1691" s="5">
        <v>43970.333333333336</v>
      </c>
    </row>
    <row r="1692" spans="1:10" x14ac:dyDescent="0.2">
      <c r="A1692">
        <v>7118930</v>
      </c>
      <c r="B1692">
        <v>3693505</v>
      </c>
      <c r="C1692">
        <v>3693511</v>
      </c>
      <c r="D1692">
        <v>21883</v>
      </c>
      <c r="E1692">
        <v>21883</v>
      </c>
      <c r="F1692" t="s">
        <v>441</v>
      </c>
      <c r="G1692">
        <v>0</v>
      </c>
      <c r="I1692" s="5">
        <v>44044</v>
      </c>
      <c r="J1692" s="5">
        <v>43970.333333333336</v>
      </c>
    </row>
    <row r="1693" spans="1:10" x14ac:dyDescent="0.2">
      <c r="A1693">
        <v>7118931</v>
      </c>
      <c r="B1693">
        <v>3693512</v>
      </c>
      <c r="C1693">
        <v>3693506</v>
      </c>
      <c r="D1693">
        <v>21883</v>
      </c>
      <c r="E1693">
        <v>21883</v>
      </c>
      <c r="F1693" t="s">
        <v>441</v>
      </c>
      <c r="G1693">
        <v>0</v>
      </c>
      <c r="I1693" s="5">
        <v>44044</v>
      </c>
      <c r="J1693" s="5">
        <v>43970.333333333336</v>
      </c>
    </row>
    <row r="1694" spans="1:10" x14ac:dyDescent="0.2">
      <c r="A1694">
        <v>7118932</v>
      </c>
      <c r="B1694">
        <v>3693507</v>
      </c>
      <c r="C1694">
        <v>3693512</v>
      </c>
      <c r="D1694">
        <v>21883</v>
      </c>
      <c r="E1694">
        <v>21883</v>
      </c>
      <c r="F1694" t="s">
        <v>441</v>
      </c>
      <c r="G1694">
        <v>0</v>
      </c>
      <c r="I1694" s="5">
        <v>44044</v>
      </c>
      <c r="J1694" s="5">
        <v>43970.333333333336</v>
      </c>
    </row>
    <row r="1695" spans="1:10" x14ac:dyDescent="0.2">
      <c r="A1695">
        <v>7118933</v>
      </c>
      <c r="B1695">
        <v>3693513</v>
      </c>
      <c r="C1695">
        <v>3693504</v>
      </c>
      <c r="D1695">
        <v>21883</v>
      </c>
      <c r="E1695">
        <v>21883</v>
      </c>
      <c r="F1695" t="s">
        <v>441</v>
      </c>
      <c r="G1695">
        <v>0</v>
      </c>
      <c r="I1695" s="5">
        <v>44044</v>
      </c>
      <c r="J1695" s="5">
        <v>43970.333333333336</v>
      </c>
    </row>
    <row r="1696" spans="1:10" x14ac:dyDescent="0.2">
      <c r="A1696">
        <v>7118934</v>
      </c>
      <c r="B1696">
        <v>3693514</v>
      </c>
      <c r="C1696">
        <v>3693504</v>
      </c>
      <c r="D1696">
        <v>21883</v>
      </c>
      <c r="E1696">
        <v>21883</v>
      </c>
      <c r="F1696" t="s">
        <v>441</v>
      </c>
      <c r="G1696">
        <v>0</v>
      </c>
      <c r="I1696" s="5">
        <v>44044</v>
      </c>
      <c r="J1696" s="5">
        <v>43970.333333333336</v>
      </c>
    </row>
    <row r="1697" spans="1:10" x14ac:dyDescent="0.2">
      <c r="A1697">
        <v>7118935</v>
      </c>
      <c r="B1697">
        <v>3693509</v>
      </c>
      <c r="C1697">
        <v>3693508</v>
      </c>
      <c r="D1697">
        <v>21883</v>
      </c>
      <c r="E1697">
        <v>21883</v>
      </c>
      <c r="F1697" t="s">
        <v>441</v>
      </c>
      <c r="G1697">
        <v>0</v>
      </c>
      <c r="I1697" s="5">
        <v>44044</v>
      </c>
      <c r="J1697" s="5">
        <v>43970.333333333336</v>
      </c>
    </row>
    <row r="1698" spans="1:10" x14ac:dyDescent="0.2">
      <c r="A1698">
        <v>7118936</v>
      </c>
      <c r="B1698">
        <v>3693503</v>
      </c>
      <c r="C1698">
        <v>3693509</v>
      </c>
      <c r="D1698">
        <v>21883</v>
      </c>
      <c r="E1698">
        <v>21883</v>
      </c>
      <c r="F1698" t="s">
        <v>441</v>
      </c>
      <c r="G1698">
        <v>0</v>
      </c>
      <c r="I1698" s="5">
        <v>44044</v>
      </c>
      <c r="J1698" s="5">
        <v>43970.333333333336</v>
      </c>
    </row>
    <row r="1699" spans="1:10" x14ac:dyDescent="0.2">
      <c r="A1699">
        <v>7118937</v>
      </c>
      <c r="B1699">
        <v>3693513</v>
      </c>
      <c r="C1699">
        <v>3693514</v>
      </c>
      <c r="D1699">
        <v>21883</v>
      </c>
      <c r="E1699">
        <v>21883</v>
      </c>
      <c r="F1699" t="s">
        <v>441</v>
      </c>
      <c r="G1699">
        <v>0</v>
      </c>
      <c r="I1699" s="5">
        <v>44044</v>
      </c>
      <c r="J1699" s="5">
        <v>43970.333333333336</v>
      </c>
    </row>
    <row r="1700" spans="1:10" x14ac:dyDescent="0.2">
      <c r="A1700">
        <v>7118938</v>
      </c>
      <c r="B1700">
        <v>3693517</v>
      </c>
      <c r="C1700">
        <v>3693515</v>
      </c>
      <c r="D1700">
        <v>21883</v>
      </c>
      <c r="E1700">
        <v>21883</v>
      </c>
      <c r="F1700" t="s">
        <v>441</v>
      </c>
      <c r="G1700">
        <v>0</v>
      </c>
      <c r="I1700" s="5">
        <v>44044</v>
      </c>
      <c r="J1700" s="5">
        <v>43970.333333333336</v>
      </c>
    </row>
    <row r="1701" spans="1:10" x14ac:dyDescent="0.2">
      <c r="A1701">
        <v>7118939</v>
      </c>
      <c r="B1701">
        <v>3693516</v>
      </c>
      <c r="C1701">
        <v>3693517</v>
      </c>
      <c r="D1701">
        <v>21883</v>
      </c>
      <c r="E1701">
        <v>21883</v>
      </c>
      <c r="F1701" t="s">
        <v>441</v>
      </c>
      <c r="G1701">
        <v>0</v>
      </c>
      <c r="I1701" s="5">
        <v>44044</v>
      </c>
      <c r="J1701" s="5">
        <v>43970.333333333336</v>
      </c>
    </row>
    <row r="1702" spans="1:10" x14ac:dyDescent="0.2">
      <c r="A1702">
        <v>7118940</v>
      </c>
      <c r="B1702">
        <v>3693519</v>
      </c>
      <c r="C1702">
        <v>3693518</v>
      </c>
      <c r="D1702">
        <v>21883</v>
      </c>
      <c r="E1702">
        <v>21883</v>
      </c>
      <c r="F1702" t="s">
        <v>441</v>
      </c>
      <c r="G1702">
        <v>0</v>
      </c>
      <c r="I1702" s="5">
        <v>44044</v>
      </c>
      <c r="J1702" s="5">
        <v>43970.333333333336</v>
      </c>
    </row>
    <row r="1703" spans="1:10" x14ac:dyDescent="0.2">
      <c r="A1703">
        <v>7118941</v>
      </c>
      <c r="B1703">
        <v>3693516</v>
      </c>
      <c r="C1703">
        <v>3693519</v>
      </c>
      <c r="D1703">
        <v>21883</v>
      </c>
      <c r="E1703">
        <v>21883</v>
      </c>
      <c r="F1703" t="s">
        <v>441</v>
      </c>
      <c r="G1703">
        <v>0</v>
      </c>
      <c r="I1703" s="5">
        <v>44044</v>
      </c>
      <c r="J1703" s="5">
        <v>43970.333333333336</v>
      </c>
    </row>
    <row r="1704" spans="1:10" x14ac:dyDescent="0.2">
      <c r="A1704">
        <v>7118942</v>
      </c>
      <c r="B1704">
        <v>3693518</v>
      </c>
      <c r="C1704">
        <v>3693517</v>
      </c>
      <c r="D1704">
        <v>21883</v>
      </c>
      <c r="E1704">
        <v>21883</v>
      </c>
      <c r="F1704" t="s">
        <v>441</v>
      </c>
      <c r="G1704">
        <v>0</v>
      </c>
      <c r="I1704" s="5">
        <v>44044</v>
      </c>
      <c r="J1704" s="5">
        <v>43970.333333333336</v>
      </c>
    </row>
    <row r="1705" spans="1:10" x14ac:dyDescent="0.2">
      <c r="A1705">
        <v>7118943</v>
      </c>
      <c r="B1705">
        <v>3693521</v>
      </c>
      <c r="C1705">
        <v>3693520</v>
      </c>
      <c r="D1705">
        <v>21883</v>
      </c>
      <c r="E1705">
        <v>21883</v>
      </c>
      <c r="F1705" t="s">
        <v>441</v>
      </c>
      <c r="G1705">
        <v>0</v>
      </c>
      <c r="I1705" s="5">
        <v>44044</v>
      </c>
      <c r="J1705" s="5">
        <v>43970.333333333336</v>
      </c>
    </row>
    <row r="1706" spans="1:10" x14ac:dyDescent="0.2">
      <c r="A1706">
        <v>7118944</v>
      </c>
      <c r="B1706">
        <v>3693515</v>
      </c>
      <c r="C1706">
        <v>3693521</v>
      </c>
      <c r="D1706">
        <v>21883</v>
      </c>
      <c r="E1706">
        <v>21883</v>
      </c>
      <c r="F1706" t="s">
        <v>441</v>
      </c>
      <c r="G1706">
        <v>0</v>
      </c>
      <c r="I1706" s="5">
        <v>44044</v>
      </c>
      <c r="J1706" s="5">
        <v>43970.333333333336</v>
      </c>
    </row>
    <row r="1707" spans="1:10" x14ac:dyDescent="0.2">
      <c r="A1707">
        <v>7118945</v>
      </c>
      <c r="B1707">
        <v>3693522</v>
      </c>
      <c r="C1707">
        <v>3693515</v>
      </c>
      <c r="D1707">
        <v>21883</v>
      </c>
      <c r="E1707">
        <v>21883</v>
      </c>
      <c r="F1707" t="s">
        <v>441</v>
      </c>
      <c r="G1707">
        <v>0</v>
      </c>
      <c r="I1707" s="5">
        <v>44044</v>
      </c>
      <c r="J1707" s="5">
        <v>43970.333333333336</v>
      </c>
    </row>
    <row r="1708" spans="1:10" x14ac:dyDescent="0.2">
      <c r="A1708">
        <v>7118946</v>
      </c>
      <c r="B1708">
        <v>3693517</v>
      </c>
      <c r="C1708">
        <v>3693522</v>
      </c>
      <c r="D1708">
        <v>21883</v>
      </c>
      <c r="E1708">
        <v>21883</v>
      </c>
      <c r="F1708" t="s">
        <v>441</v>
      </c>
      <c r="G1708">
        <v>0</v>
      </c>
      <c r="I1708" s="5">
        <v>44044</v>
      </c>
      <c r="J1708" s="5">
        <v>43970.333333333336</v>
      </c>
    </row>
    <row r="1709" spans="1:10" x14ac:dyDescent="0.2">
      <c r="A1709">
        <v>7118947</v>
      </c>
      <c r="B1709">
        <v>3693523</v>
      </c>
      <c r="C1709">
        <v>3693522</v>
      </c>
      <c r="D1709">
        <v>21883</v>
      </c>
      <c r="E1709">
        <v>21883</v>
      </c>
      <c r="F1709" t="s">
        <v>441</v>
      </c>
      <c r="G1709">
        <v>0</v>
      </c>
      <c r="I1709" s="5">
        <v>44044</v>
      </c>
      <c r="J1709" s="5">
        <v>43970.333333333336</v>
      </c>
    </row>
    <row r="1710" spans="1:10" x14ac:dyDescent="0.2">
      <c r="A1710">
        <v>7118948</v>
      </c>
      <c r="B1710">
        <v>3693517</v>
      </c>
      <c r="C1710">
        <v>3693523</v>
      </c>
      <c r="D1710">
        <v>21883</v>
      </c>
      <c r="E1710">
        <v>21883</v>
      </c>
      <c r="F1710" t="s">
        <v>441</v>
      </c>
      <c r="G1710">
        <v>0</v>
      </c>
      <c r="I1710" s="5">
        <v>44044</v>
      </c>
      <c r="J1710" s="5">
        <v>43970.333333333336</v>
      </c>
    </row>
    <row r="1711" spans="1:10" x14ac:dyDescent="0.2">
      <c r="A1711">
        <v>7118949</v>
      </c>
      <c r="B1711">
        <v>3693525</v>
      </c>
      <c r="C1711">
        <v>3693516</v>
      </c>
      <c r="D1711">
        <v>21883</v>
      </c>
      <c r="E1711">
        <v>21883</v>
      </c>
      <c r="F1711" t="s">
        <v>441</v>
      </c>
      <c r="G1711">
        <v>0</v>
      </c>
      <c r="I1711" s="5">
        <v>44044</v>
      </c>
      <c r="J1711" s="5">
        <v>43970.333333333336</v>
      </c>
    </row>
    <row r="1712" spans="1:10" x14ac:dyDescent="0.2">
      <c r="A1712">
        <v>7118950</v>
      </c>
      <c r="B1712">
        <v>3693524</v>
      </c>
      <c r="C1712">
        <v>3693525</v>
      </c>
      <c r="D1712">
        <v>21883</v>
      </c>
      <c r="E1712">
        <v>21883</v>
      </c>
      <c r="F1712" t="s">
        <v>441</v>
      </c>
      <c r="G1712">
        <v>0</v>
      </c>
      <c r="I1712" s="5">
        <v>44044</v>
      </c>
      <c r="J1712" s="5">
        <v>43970.333333333336</v>
      </c>
    </row>
    <row r="1713" spans="1:10" x14ac:dyDescent="0.2">
      <c r="A1713">
        <v>7118951</v>
      </c>
      <c r="B1713">
        <v>3693528</v>
      </c>
      <c r="C1713">
        <v>3693526</v>
      </c>
      <c r="D1713">
        <v>21883</v>
      </c>
      <c r="E1713">
        <v>21883</v>
      </c>
      <c r="F1713" t="s">
        <v>441</v>
      </c>
      <c r="G1713">
        <v>0</v>
      </c>
      <c r="I1713" s="5">
        <v>44044</v>
      </c>
      <c r="J1713" s="5">
        <v>43970.333333333336</v>
      </c>
    </row>
    <row r="1714" spans="1:10" x14ac:dyDescent="0.2">
      <c r="A1714">
        <v>7118952</v>
      </c>
      <c r="B1714">
        <v>3693527</v>
      </c>
      <c r="C1714">
        <v>3693528</v>
      </c>
      <c r="D1714">
        <v>21883</v>
      </c>
      <c r="E1714">
        <v>21883</v>
      </c>
      <c r="F1714" t="s">
        <v>441</v>
      </c>
      <c r="G1714">
        <v>0</v>
      </c>
      <c r="I1714" s="5">
        <v>44044</v>
      </c>
      <c r="J1714" s="5">
        <v>43970.333333333336</v>
      </c>
    </row>
    <row r="1715" spans="1:10" x14ac:dyDescent="0.2">
      <c r="A1715">
        <v>7118953</v>
      </c>
      <c r="B1715">
        <v>3693530</v>
      </c>
      <c r="C1715">
        <v>3693529</v>
      </c>
      <c r="D1715">
        <v>21883</v>
      </c>
      <c r="E1715">
        <v>21883</v>
      </c>
      <c r="F1715" t="s">
        <v>441</v>
      </c>
      <c r="G1715">
        <v>0</v>
      </c>
      <c r="I1715" s="5">
        <v>44044</v>
      </c>
      <c r="J1715" s="5">
        <v>43970.333333333336</v>
      </c>
    </row>
    <row r="1716" spans="1:10" x14ac:dyDescent="0.2">
      <c r="A1716">
        <v>7118954</v>
      </c>
      <c r="B1716">
        <v>3693527</v>
      </c>
      <c r="C1716">
        <v>3693530</v>
      </c>
      <c r="D1716">
        <v>21883</v>
      </c>
      <c r="E1716">
        <v>21883</v>
      </c>
      <c r="F1716" t="s">
        <v>441</v>
      </c>
      <c r="G1716">
        <v>0</v>
      </c>
      <c r="I1716" s="5">
        <v>44044</v>
      </c>
      <c r="J1716" s="5">
        <v>43970.333333333336</v>
      </c>
    </row>
    <row r="1717" spans="1:10" x14ac:dyDescent="0.2">
      <c r="A1717">
        <v>7118955</v>
      </c>
      <c r="B1717">
        <v>3693529</v>
      </c>
      <c r="C1717">
        <v>3693528</v>
      </c>
      <c r="D1717">
        <v>21883</v>
      </c>
      <c r="E1717">
        <v>21883</v>
      </c>
      <c r="F1717" t="s">
        <v>441</v>
      </c>
      <c r="G1717">
        <v>0</v>
      </c>
      <c r="I1717" s="5">
        <v>44044</v>
      </c>
      <c r="J1717" s="5">
        <v>43970.333333333336</v>
      </c>
    </row>
    <row r="1718" spans="1:10" x14ac:dyDescent="0.2">
      <c r="A1718">
        <v>7118956</v>
      </c>
      <c r="B1718">
        <v>3693530</v>
      </c>
      <c r="C1718">
        <v>3693529</v>
      </c>
      <c r="D1718">
        <v>21883</v>
      </c>
      <c r="E1718">
        <v>21883</v>
      </c>
      <c r="F1718" t="s">
        <v>440</v>
      </c>
      <c r="G1718">
        <v>0</v>
      </c>
      <c r="I1718" s="5">
        <v>44044</v>
      </c>
      <c r="J1718" s="5">
        <v>43970.333333333336</v>
      </c>
    </row>
    <row r="1719" spans="1:10" x14ac:dyDescent="0.2">
      <c r="A1719">
        <v>7118957</v>
      </c>
      <c r="B1719">
        <v>3693527</v>
      </c>
      <c r="C1719">
        <v>3693530</v>
      </c>
      <c r="D1719">
        <v>21883</v>
      </c>
      <c r="E1719">
        <v>21883</v>
      </c>
      <c r="F1719" t="s">
        <v>440</v>
      </c>
      <c r="G1719">
        <v>0</v>
      </c>
      <c r="I1719" s="5">
        <v>44044</v>
      </c>
      <c r="J1719" s="5">
        <v>43970.333333333336</v>
      </c>
    </row>
    <row r="1720" spans="1:10" x14ac:dyDescent="0.2">
      <c r="A1720">
        <v>7118958</v>
      </c>
      <c r="B1720">
        <v>3693526</v>
      </c>
      <c r="C1720">
        <v>3693532</v>
      </c>
      <c r="D1720">
        <v>21883</v>
      </c>
      <c r="E1720">
        <v>21883</v>
      </c>
      <c r="F1720" t="s">
        <v>441</v>
      </c>
      <c r="G1720">
        <v>0</v>
      </c>
      <c r="I1720" s="5">
        <v>44044</v>
      </c>
      <c r="J1720" s="5">
        <v>43970.333333333336</v>
      </c>
    </row>
    <row r="1721" spans="1:10" x14ac:dyDescent="0.2">
      <c r="A1721">
        <v>7118959</v>
      </c>
      <c r="B1721">
        <v>3693533</v>
      </c>
      <c r="C1721">
        <v>3693526</v>
      </c>
      <c r="D1721">
        <v>21883</v>
      </c>
      <c r="E1721">
        <v>21883</v>
      </c>
      <c r="F1721" t="s">
        <v>441</v>
      </c>
      <c r="G1721">
        <v>0</v>
      </c>
      <c r="I1721" s="5">
        <v>44044</v>
      </c>
      <c r="J1721" s="5">
        <v>43970.333333333336</v>
      </c>
    </row>
    <row r="1722" spans="1:10" x14ac:dyDescent="0.2">
      <c r="A1722">
        <v>7118960</v>
      </c>
      <c r="B1722">
        <v>3693534</v>
      </c>
      <c r="C1722">
        <v>3693533</v>
      </c>
      <c r="D1722">
        <v>21883</v>
      </c>
      <c r="E1722">
        <v>21883</v>
      </c>
      <c r="F1722" t="s">
        <v>441</v>
      </c>
      <c r="G1722">
        <v>0</v>
      </c>
      <c r="I1722" s="5">
        <v>44044</v>
      </c>
      <c r="J1722" s="5">
        <v>43970.333333333336</v>
      </c>
    </row>
    <row r="1723" spans="1:10" x14ac:dyDescent="0.2">
      <c r="A1723">
        <v>7118961</v>
      </c>
      <c r="B1723">
        <v>3693528</v>
      </c>
      <c r="C1723">
        <v>3693534</v>
      </c>
      <c r="D1723">
        <v>21883</v>
      </c>
      <c r="E1723">
        <v>21883</v>
      </c>
      <c r="F1723" t="s">
        <v>441</v>
      </c>
      <c r="G1723">
        <v>0</v>
      </c>
      <c r="I1723" s="5">
        <v>44044</v>
      </c>
      <c r="J1723" s="5">
        <v>43970.333333333336</v>
      </c>
    </row>
    <row r="1724" spans="1:10" x14ac:dyDescent="0.2">
      <c r="A1724">
        <v>7118962</v>
      </c>
      <c r="B1724">
        <v>3693535</v>
      </c>
      <c r="C1724">
        <v>3693536</v>
      </c>
      <c r="D1724">
        <v>21883</v>
      </c>
      <c r="E1724">
        <v>21883</v>
      </c>
      <c r="F1724" t="s">
        <v>441</v>
      </c>
      <c r="G1724">
        <v>0</v>
      </c>
      <c r="I1724" s="5">
        <v>44044</v>
      </c>
      <c r="J1724" s="5">
        <v>43970.333333333336</v>
      </c>
    </row>
    <row r="1725" spans="1:10" x14ac:dyDescent="0.2">
      <c r="A1725">
        <v>7118963</v>
      </c>
      <c r="B1725">
        <v>3693536</v>
      </c>
      <c r="C1725">
        <v>3693527</v>
      </c>
      <c r="D1725">
        <v>21883</v>
      </c>
      <c r="E1725">
        <v>21883</v>
      </c>
      <c r="F1725" t="s">
        <v>441</v>
      </c>
      <c r="G1725">
        <v>0</v>
      </c>
      <c r="I1725" s="5">
        <v>44044</v>
      </c>
      <c r="J1725" s="5">
        <v>43970.333333333336</v>
      </c>
    </row>
    <row r="1726" spans="1:10" x14ac:dyDescent="0.2">
      <c r="A1726">
        <v>7118964</v>
      </c>
      <c r="B1726">
        <v>3693539</v>
      </c>
      <c r="C1726">
        <v>3693537</v>
      </c>
      <c r="D1726">
        <v>21883</v>
      </c>
      <c r="E1726">
        <v>21883</v>
      </c>
      <c r="F1726" t="s">
        <v>441</v>
      </c>
      <c r="G1726">
        <v>0</v>
      </c>
      <c r="I1726" s="5">
        <v>44044</v>
      </c>
      <c r="J1726" s="5">
        <v>43970.333333333336</v>
      </c>
    </row>
    <row r="1727" spans="1:10" x14ac:dyDescent="0.2">
      <c r="A1727">
        <v>7118965</v>
      </c>
      <c r="B1727">
        <v>3693538</v>
      </c>
      <c r="C1727">
        <v>3693539</v>
      </c>
      <c r="D1727">
        <v>21883</v>
      </c>
      <c r="E1727">
        <v>21883</v>
      </c>
      <c r="F1727" t="s">
        <v>441</v>
      </c>
      <c r="G1727">
        <v>0</v>
      </c>
      <c r="I1727" s="5">
        <v>44044</v>
      </c>
      <c r="J1727" s="5">
        <v>43970.333333333336</v>
      </c>
    </row>
    <row r="1728" spans="1:10" x14ac:dyDescent="0.2">
      <c r="A1728">
        <v>7118966</v>
      </c>
      <c r="B1728">
        <v>3693540</v>
      </c>
      <c r="C1728">
        <v>3693539</v>
      </c>
      <c r="D1728">
        <v>21883</v>
      </c>
      <c r="E1728">
        <v>21883</v>
      </c>
      <c r="F1728" t="s">
        <v>441</v>
      </c>
      <c r="G1728">
        <v>0</v>
      </c>
      <c r="I1728" s="5">
        <v>44044</v>
      </c>
      <c r="J1728" s="5">
        <v>43970.333333333336</v>
      </c>
    </row>
    <row r="1729" spans="1:10" x14ac:dyDescent="0.2">
      <c r="A1729">
        <v>7118967</v>
      </c>
      <c r="B1729">
        <v>3693541</v>
      </c>
      <c r="C1729">
        <v>3693540</v>
      </c>
      <c r="D1729">
        <v>21883</v>
      </c>
      <c r="E1729">
        <v>21883</v>
      </c>
      <c r="F1729" t="s">
        <v>441</v>
      </c>
      <c r="G1729">
        <v>0</v>
      </c>
      <c r="I1729" s="5">
        <v>44044</v>
      </c>
      <c r="J1729" s="5">
        <v>43970.333333333336</v>
      </c>
    </row>
    <row r="1730" spans="1:10" x14ac:dyDescent="0.2">
      <c r="A1730">
        <v>7118968</v>
      </c>
      <c r="B1730">
        <v>3693538</v>
      </c>
      <c r="C1730">
        <v>3693541</v>
      </c>
      <c r="D1730">
        <v>21883</v>
      </c>
      <c r="E1730">
        <v>21883</v>
      </c>
      <c r="F1730" t="s">
        <v>441</v>
      </c>
      <c r="G1730">
        <v>0</v>
      </c>
      <c r="I1730" s="5">
        <v>44044</v>
      </c>
      <c r="J1730" s="5">
        <v>43970.333333333336</v>
      </c>
    </row>
    <row r="1731" spans="1:10" x14ac:dyDescent="0.2">
      <c r="A1731">
        <v>7118969</v>
      </c>
      <c r="B1731">
        <v>3693537</v>
      </c>
      <c r="C1731">
        <v>3693543</v>
      </c>
      <c r="D1731">
        <v>21883</v>
      </c>
      <c r="E1731">
        <v>21883</v>
      </c>
      <c r="F1731" t="s">
        <v>441</v>
      </c>
      <c r="G1731">
        <v>0</v>
      </c>
      <c r="I1731" s="5">
        <v>44044</v>
      </c>
      <c r="J1731" s="5">
        <v>43970.333333333336</v>
      </c>
    </row>
    <row r="1732" spans="1:10" x14ac:dyDescent="0.2">
      <c r="A1732">
        <v>7118970</v>
      </c>
      <c r="B1732">
        <v>3693544</v>
      </c>
      <c r="C1732">
        <v>3693537</v>
      </c>
      <c r="D1732">
        <v>21883</v>
      </c>
      <c r="E1732">
        <v>21883</v>
      </c>
      <c r="F1732" t="s">
        <v>441</v>
      </c>
      <c r="G1732">
        <v>0</v>
      </c>
      <c r="I1732" s="5">
        <v>44044</v>
      </c>
      <c r="J1732" s="5">
        <v>43970.333333333336</v>
      </c>
    </row>
    <row r="1733" spans="1:10" x14ac:dyDescent="0.2">
      <c r="A1733">
        <v>7118971</v>
      </c>
      <c r="B1733">
        <v>3693545</v>
      </c>
      <c r="C1733">
        <v>3693544</v>
      </c>
      <c r="D1733">
        <v>21883</v>
      </c>
      <c r="E1733">
        <v>21883</v>
      </c>
      <c r="F1733" t="s">
        <v>441</v>
      </c>
      <c r="G1733">
        <v>0</v>
      </c>
      <c r="I1733" s="5">
        <v>44044</v>
      </c>
      <c r="J1733" s="5">
        <v>43970.333333333336</v>
      </c>
    </row>
    <row r="1734" spans="1:10" x14ac:dyDescent="0.2">
      <c r="A1734">
        <v>7118972</v>
      </c>
      <c r="B1734">
        <v>3693539</v>
      </c>
      <c r="C1734">
        <v>3693545</v>
      </c>
      <c r="D1734">
        <v>21883</v>
      </c>
      <c r="E1734">
        <v>21883</v>
      </c>
      <c r="F1734" t="s">
        <v>441</v>
      </c>
      <c r="G1734">
        <v>0</v>
      </c>
      <c r="I1734" s="5">
        <v>44044</v>
      </c>
      <c r="J1734" s="5">
        <v>43970.333333333336</v>
      </c>
    </row>
    <row r="1735" spans="1:10" x14ac:dyDescent="0.2">
      <c r="A1735">
        <v>7118973</v>
      </c>
      <c r="B1735">
        <v>3693546</v>
      </c>
      <c r="C1735">
        <v>3693538</v>
      </c>
      <c r="D1735">
        <v>21883</v>
      </c>
      <c r="E1735">
        <v>21883</v>
      </c>
      <c r="F1735" t="s">
        <v>441</v>
      </c>
      <c r="G1735">
        <v>0</v>
      </c>
      <c r="I1735" s="5">
        <v>44044</v>
      </c>
      <c r="J1735" s="5">
        <v>43970.333333333336</v>
      </c>
    </row>
    <row r="1736" spans="1:10" x14ac:dyDescent="0.2">
      <c r="A1736">
        <v>7118974</v>
      </c>
      <c r="B1736">
        <v>3693551</v>
      </c>
      <c r="C1736">
        <v>3693552</v>
      </c>
      <c r="D1736">
        <v>21883</v>
      </c>
      <c r="E1736">
        <v>21883</v>
      </c>
      <c r="F1736" t="s">
        <v>441</v>
      </c>
      <c r="G1736">
        <v>0</v>
      </c>
      <c r="I1736" s="5">
        <v>44044</v>
      </c>
      <c r="J1736" s="5">
        <v>43970.333333333336</v>
      </c>
    </row>
    <row r="1737" spans="1:10" x14ac:dyDescent="0.2">
      <c r="A1737">
        <v>7118975</v>
      </c>
      <c r="B1737">
        <v>3693552</v>
      </c>
      <c r="C1737">
        <v>3693554</v>
      </c>
      <c r="D1737">
        <v>21883</v>
      </c>
      <c r="E1737">
        <v>21883</v>
      </c>
      <c r="F1737" t="s">
        <v>441</v>
      </c>
      <c r="G1737">
        <v>0</v>
      </c>
      <c r="I1737" s="5">
        <v>44044</v>
      </c>
      <c r="J1737" s="5">
        <v>43970.333333333336</v>
      </c>
    </row>
    <row r="1738" spans="1:10" x14ac:dyDescent="0.2">
      <c r="A1738">
        <v>7118976</v>
      </c>
      <c r="B1738">
        <v>3693550</v>
      </c>
      <c r="C1738">
        <v>3693556</v>
      </c>
      <c r="D1738">
        <v>21883</v>
      </c>
      <c r="E1738">
        <v>21883</v>
      </c>
      <c r="F1738" t="s">
        <v>441</v>
      </c>
      <c r="G1738">
        <v>0</v>
      </c>
      <c r="I1738" s="5">
        <v>44044</v>
      </c>
      <c r="J1738" s="5">
        <v>43970.333333333336</v>
      </c>
    </row>
    <row r="1739" spans="1:10" x14ac:dyDescent="0.2">
      <c r="A1739">
        <v>7118977</v>
      </c>
      <c r="B1739">
        <v>3693548</v>
      </c>
      <c r="C1739">
        <v>3693557</v>
      </c>
      <c r="D1739">
        <v>21883</v>
      </c>
      <c r="E1739">
        <v>21883</v>
      </c>
      <c r="F1739" t="s">
        <v>441</v>
      </c>
      <c r="G1739">
        <v>0</v>
      </c>
      <c r="I1739" s="5">
        <v>44044</v>
      </c>
      <c r="J1739" s="5">
        <v>43970.333333333336</v>
      </c>
    </row>
    <row r="1740" spans="1:10" x14ac:dyDescent="0.2">
      <c r="A1740">
        <v>7118978</v>
      </c>
      <c r="B1740">
        <v>3693558</v>
      </c>
      <c r="C1740">
        <v>3693552</v>
      </c>
      <c r="D1740">
        <v>21883</v>
      </c>
      <c r="E1740">
        <v>21883</v>
      </c>
      <c r="F1740" t="s">
        <v>441</v>
      </c>
      <c r="G1740">
        <v>0</v>
      </c>
      <c r="I1740" s="5">
        <v>44044</v>
      </c>
      <c r="J1740" s="5">
        <v>43970.333333333336</v>
      </c>
    </row>
    <row r="1741" spans="1:10" x14ac:dyDescent="0.2">
      <c r="A1741">
        <v>7118979</v>
      </c>
      <c r="B1741">
        <v>3693555</v>
      </c>
      <c r="C1741">
        <v>3693558</v>
      </c>
      <c r="D1741">
        <v>21883</v>
      </c>
      <c r="E1741">
        <v>21883</v>
      </c>
      <c r="F1741" t="s">
        <v>441</v>
      </c>
      <c r="G1741">
        <v>0</v>
      </c>
      <c r="I1741" s="5">
        <v>44044</v>
      </c>
      <c r="J1741" s="5">
        <v>43970.333333333336</v>
      </c>
    </row>
    <row r="1742" spans="1:10" x14ac:dyDescent="0.2">
      <c r="A1742">
        <v>7118980</v>
      </c>
      <c r="B1742">
        <v>3693551</v>
      </c>
      <c r="C1742">
        <v>3693555</v>
      </c>
      <c r="D1742">
        <v>21883</v>
      </c>
      <c r="E1742">
        <v>21883</v>
      </c>
      <c r="F1742" t="s">
        <v>441</v>
      </c>
      <c r="G1742">
        <v>0</v>
      </c>
      <c r="I1742" s="5">
        <v>44044</v>
      </c>
      <c r="J1742" s="5">
        <v>43970.333333333336</v>
      </c>
    </row>
    <row r="1743" spans="1:10" x14ac:dyDescent="0.2">
      <c r="A1743">
        <v>7118981</v>
      </c>
      <c r="B1743">
        <v>3693556</v>
      </c>
      <c r="C1743">
        <v>3693551</v>
      </c>
      <c r="D1743">
        <v>21883</v>
      </c>
      <c r="E1743">
        <v>21883</v>
      </c>
      <c r="F1743" t="s">
        <v>441</v>
      </c>
      <c r="G1743">
        <v>0</v>
      </c>
      <c r="I1743" s="5">
        <v>44044</v>
      </c>
      <c r="J1743" s="5">
        <v>43970.333333333336</v>
      </c>
    </row>
    <row r="1744" spans="1:10" x14ac:dyDescent="0.2">
      <c r="A1744">
        <v>7118982</v>
      </c>
      <c r="B1744">
        <v>3693559</v>
      </c>
      <c r="C1744">
        <v>3693548</v>
      </c>
      <c r="D1744">
        <v>21883</v>
      </c>
      <c r="E1744">
        <v>21883</v>
      </c>
      <c r="F1744" t="s">
        <v>442</v>
      </c>
      <c r="G1744">
        <v>40</v>
      </c>
      <c r="I1744" s="5">
        <v>44044</v>
      </c>
      <c r="J1744" s="5">
        <v>43970.333333333336</v>
      </c>
    </row>
    <row r="1745" spans="1:10" x14ac:dyDescent="0.2">
      <c r="A1745">
        <v>7118983</v>
      </c>
      <c r="B1745">
        <v>3693560</v>
      </c>
      <c r="C1745">
        <v>3693550</v>
      </c>
      <c r="D1745">
        <v>21883</v>
      </c>
      <c r="E1745">
        <v>21883</v>
      </c>
      <c r="F1745" t="s">
        <v>441</v>
      </c>
      <c r="G1745">
        <v>0</v>
      </c>
      <c r="I1745" s="5">
        <v>44044</v>
      </c>
      <c r="J1745" s="5">
        <v>43970.333333333336</v>
      </c>
    </row>
    <row r="1746" spans="1:10" x14ac:dyDescent="0.2">
      <c r="A1746">
        <v>7118984</v>
      </c>
      <c r="B1746">
        <v>3693561</v>
      </c>
      <c r="C1746">
        <v>3693552</v>
      </c>
      <c r="D1746">
        <v>21883</v>
      </c>
      <c r="E1746">
        <v>21883</v>
      </c>
      <c r="F1746" t="s">
        <v>441</v>
      </c>
      <c r="G1746">
        <v>0</v>
      </c>
      <c r="I1746" s="5">
        <v>44044</v>
      </c>
      <c r="J1746" s="5">
        <v>43970.333333333336</v>
      </c>
    </row>
    <row r="1747" spans="1:10" x14ac:dyDescent="0.2">
      <c r="A1747">
        <v>7118985</v>
      </c>
      <c r="B1747">
        <v>3693558</v>
      </c>
      <c r="C1747">
        <v>3693561</v>
      </c>
      <c r="D1747">
        <v>21883</v>
      </c>
      <c r="E1747">
        <v>21883</v>
      </c>
      <c r="F1747" t="s">
        <v>441</v>
      </c>
      <c r="G1747">
        <v>0</v>
      </c>
      <c r="I1747" s="5">
        <v>44044</v>
      </c>
      <c r="J1747" s="5">
        <v>43970.333333333336</v>
      </c>
    </row>
    <row r="1748" spans="1:10" x14ac:dyDescent="0.2">
      <c r="A1748">
        <v>7118986</v>
      </c>
      <c r="B1748">
        <v>3693570</v>
      </c>
      <c r="C1748">
        <v>3693569</v>
      </c>
      <c r="D1748">
        <v>21883</v>
      </c>
      <c r="E1748">
        <v>21883</v>
      </c>
      <c r="F1748" t="s">
        <v>441</v>
      </c>
      <c r="G1748">
        <v>0</v>
      </c>
      <c r="I1748" s="5">
        <v>44044</v>
      </c>
      <c r="J1748" s="5">
        <v>43970.333333333336</v>
      </c>
    </row>
    <row r="1749" spans="1:10" x14ac:dyDescent="0.2">
      <c r="A1749">
        <v>7118987</v>
      </c>
      <c r="B1749">
        <v>3693564</v>
      </c>
      <c r="C1749">
        <v>3693570</v>
      </c>
      <c r="D1749">
        <v>21883</v>
      </c>
      <c r="E1749">
        <v>21883</v>
      </c>
      <c r="F1749" t="s">
        <v>441</v>
      </c>
      <c r="G1749">
        <v>0</v>
      </c>
      <c r="I1749" s="5">
        <v>44044</v>
      </c>
      <c r="J1749" s="5">
        <v>43970.333333333336</v>
      </c>
    </row>
    <row r="1750" spans="1:10" x14ac:dyDescent="0.2">
      <c r="A1750">
        <v>7118988</v>
      </c>
      <c r="B1750">
        <v>3693566</v>
      </c>
      <c r="C1750">
        <v>3693568</v>
      </c>
      <c r="D1750">
        <v>21883</v>
      </c>
      <c r="E1750">
        <v>21883</v>
      </c>
      <c r="F1750" t="s">
        <v>441</v>
      </c>
      <c r="G1750">
        <v>0</v>
      </c>
      <c r="I1750" s="5">
        <v>44044</v>
      </c>
      <c r="J1750" s="5">
        <v>43970.333333333336</v>
      </c>
    </row>
    <row r="1751" spans="1:10" x14ac:dyDescent="0.2">
      <c r="A1751">
        <v>7118989</v>
      </c>
      <c r="B1751">
        <v>3693562</v>
      </c>
      <c r="C1751">
        <v>3693571</v>
      </c>
      <c r="D1751">
        <v>21883</v>
      </c>
      <c r="E1751">
        <v>21883</v>
      </c>
      <c r="F1751" t="s">
        <v>441</v>
      </c>
      <c r="G1751">
        <v>0</v>
      </c>
      <c r="I1751" s="5">
        <v>44044</v>
      </c>
      <c r="J1751" s="5">
        <v>43970.333333333336</v>
      </c>
    </row>
    <row r="1752" spans="1:10" x14ac:dyDescent="0.2">
      <c r="A1752">
        <v>7118990</v>
      </c>
      <c r="B1752">
        <v>3693572</v>
      </c>
      <c r="C1752">
        <v>3693562</v>
      </c>
      <c r="D1752">
        <v>21883</v>
      </c>
      <c r="E1752">
        <v>21883</v>
      </c>
      <c r="F1752" t="s">
        <v>442</v>
      </c>
      <c r="G1752">
        <v>40</v>
      </c>
      <c r="I1752" s="5">
        <v>44044</v>
      </c>
      <c r="J1752" s="5">
        <v>43970.333333333336</v>
      </c>
    </row>
    <row r="1753" spans="1:10" x14ac:dyDescent="0.2">
      <c r="A1753">
        <v>7118991</v>
      </c>
      <c r="B1753">
        <v>3693573</v>
      </c>
      <c r="C1753">
        <v>3693566</v>
      </c>
      <c r="D1753">
        <v>21883</v>
      </c>
      <c r="E1753">
        <v>21883</v>
      </c>
      <c r="F1753" t="s">
        <v>441</v>
      </c>
      <c r="G1753">
        <v>0</v>
      </c>
      <c r="I1753" s="5">
        <v>44044</v>
      </c>
      <c r="J1753" s="5">
        <v>43970.333333333336</v>
      </c>
    </row>
    <row r="1754" spans="1:10" x14ac:dyDescent="0.2">
      <c r="A1754">
        <v>7118992</v>
      </c>
      <c r="B1754">
        <v>3693574</v>
      </c>
      <c r="C1754">
        <v>3693573</v>
      </c>
      <c r="D1754">
        <v>21883</v>
      </c>
      <c r="E1754">
        <v>21883</v>
      </c>
      <c r="F1754" t="s">
        <v>441</v>
      </c>
      <c r="G1754">
        <v>0</v>
      </c>
      <c r="I1754" s="5">
        <v>44044</v>
      </c>
      <c r="J1754" s="5">
        <v>43970.333333333336</v>
      </c>
    </row>
    <row r="1755" spans="1:10" x14ac:dyDescent="0.2">
      <c r="A1755">
        <v>7118993</v>
      </c>
      <c r="B1755">
        <v>3693569</v>
      </c>
      <c r="C1755">
        <v>3693574</v>
      </c>
      <c r="D1755">
        <v>21883</v>
      </c>
      <c r="E1755">
        <v>21883</v>
      </c>
      <c r="F1755" t="s">
        <v>441</v>
      </c>
      <c r="G1755">
        <v>0</v>
      </c>
      <c r="I1755" s="5">
        <v>44044</v>
      </c>
      <c r="J1755" s="5">
        <v>43970.333333333336</v>
      </c>
    </row>
    <row r="1756" spans="1:10" x14ac:dyDescent="0.2">
      <c r="A1756">
        <v>7118994</v>
      </c>
      <c r="B1756">
        <v>3693565</v>
      </c>
      <c r="C1756">
        <v>3693569</v>
      </c>
      <c r="D1756">
        <v>21883</v>
      </c>
      <c r="E1756">
        <v>21883</v>
      </c>
      <c r="F1756" t="s">
        <v>441</v>
      </c>
      <c r="G1756">
        <v>0</v>
      </c>
      <c r="I1756" s="5">
        <v>44044</v>
      </c>
      <c r="J1756" s="5">
        <v>43970.333333333336</v>
      </c>
    </row>
    <row r="1757" spans="1:10" x14ac:dyDescent="0.2">
      <c r="A1757">
        <v>7118995</v>
      </c>
      <c r="B1757">
        <v>3693570</v>
      </c>
      <c r="C1757">
        <v>3693565</v>
      </c>
      <c r="D1757">
        <v>21883</v>
      </c>
      <c r="E1757">
        <v>21883</v>
      </c>
      <c r="F1757" t="s">
        <v>441</v>
      </c>
      <c r="G1757">
        <v>0</v>
      </c>
      <c r="I1757" s="5">
        <v>44044</v>
      </c>
      <c r="J1757" s="5">
        <v>43970.333333333336</v>
      </c>
    </row>
    <row r="1758" spans="1:10" x14ac:dyDescent="0.2">
      <c r="A1758">
        <v>7118996</v>
      </c>
      <c r="B1758">
        <v>3693575</v>
      </c>
      <c r="C1758">
        <v>3693564</v>
      </c>
      <c r="D1758">
        <v>21883</v>
      </c>
      <c r="E1758">
        <v>21883</v>
      </c>
      <c r="F1758" t="s">
        <v>441</v>
      </c>
      <c r="G1758">
        <v>0</v>
      </c>
      <c r="I1758" s="5">
        <v>44044</v>
      </c>
      <c r="J1758" s="5">
        <v>43970.333333333336</v>
      </c>
    </row>
    <row r="1759" spans="1:10" x14ac:dyDescent="0.2">
      <c r="A1759">
        <v>7118997</v>
      </c>
      <c r="B1759">
        <v>3693578</v>
      </c>
      <c r="C1759">
        <v>3693576</v>
      </c>
      <c r="D1759">
        <v>21883</v>
      </c>
      <c r="E1759">
        <v>21883</v>
      </c>
      <c r="F1759" t="s">
        <v>441</v>
      </c>
      <c r="G1759">
        <v>0</v>
      </c>
      <c r="I1759" s="5">
        <v>44044</v>
      </c>
      <c r="J1759" s="5">
        <v>43970.333333333336</v>
      </c>
    </row>
    <row r="1760" spans="1:10" x14ac:dyDescent="0.2">
      <c r="A1760">
        <v>7118998</v>
      </c>
      <c r="B1760">
        <v>3693580</v>
      </c>
      <c r="C1760">
        <v>3693578</v>
      </c>
      <c r="D1760">
        <v>21883</v>
      </c>
      <c r="E1760">
        <v>21883</v>
      </c>
      <c r="F1760" t="s">
        <v>441</v>
      </c>
      <c r="G1760">
        <v>0</v>
      </c>
      <c r="I1760" s="5">
        <v>44044</v>
      </c>
      <c r="J1760" s="5">
        <v>43970.333333333336</v>
      </c>
    </row>
    <row r="1761" spans="1:10" x14ac:dyDescent="0.2">
      <c r="A1761">
        <v>7118999</v>
      </c>
      <c r="B1761">
        <v>3693579</v>
      </c>
      <c r="C1761">
        <v>3693580</v>
      </c>
      <c r="D1761">
        <v>21883</v>
      </c>
      <c r="E1761">
        <v>21883</v>
      </c>
      <c r="F1761" t="s">
        <v>441</v>
      </c>
      <c r="G1761">
        <v>0</v>
      </c>
      <c r="I1761" s="5">
        <v>44044</v>
      </c>
      <c r="J1761" s="5">
        <v>43970.333333333336</v>
      </c>
    </row>
    <row r="1762" spans="1:10" x14ac:dyDescent="0.2">
      <c r="A1762">
        <v>7119000</v>
      </c>
      <c r="B1762">
        <v>3693582</v>
      </c>
      <c r="C1762">
        <v>3693581</v>
      </c>
      <c r="D1762">
        <v>21883</v>
      </c>
      <c r="E1762">
        <v>21883</v>
      </c>
      <c r="F1762" t="s">
        <v>441</v>
      </c>
      <c r="G1762">
        <v>0</v>
      </c>
      <c r="I1762" s="5">
        <v>44044</v>
      </c>
      <c r="J1762" s="5">
        <v>43970.333333333336</v>
      </c>
    </row>
    <row r="1763" spans="1:10" x14ac:dyDescent="0.2">
      <c r="A1763">
        <v>7119001</v>
      </c>
      <c r="B1763">
        <v>3693580</v>
      </c>
      <c r="C1763">
        <v>3693582</v>
      </c>
      <c r="D1763">
        <v>21883</v>
      </c>
      <c r="E1763">
        <v>21883</v>
      </c>
      <c r="F1763" t="s">
        <v>441</v>
      </c>
      <c r="G1763">
        <v>0</v>
      </c>
      <c r="I1763" s="5">
        <v>44044</v>
      </c>
      <c r="J1763" s="5">
        <v>43970.333333333336</v>
      </c>
    </row>
    <row r="1764" spans="1:10" x14ac:dyDescent="0.2">
      <c r="A1764">
        <v>7119002</v>
      </c>
      <c r="B1764">
        <v>3693584</v>
      </c>
      <c r="C1764">
        <v>3693583</v>
      </c>
      <c r="D1764">
        <v>21883</v>
      </c>
      <c r="E1764">
        <v>21883</v>
      </c>
      <c r="F1764" t="s">
        <v>441</v>
      </c>
      <c r="G1764">
        <v>0</v>
      </c>
      <c r="I1764" s="5">
        <v>44044</v>
      </c>
      <c r="J1764" s="5">
        <v>43970.333333333336</v>
      </c>
    </row>
    <row r="1765" spans="1:10" x14ac:dyDescent="0.2">
      <c r="A1765">
        <v>7119003</v>
      </c>
      <c r="B1765">
        <v>3693577</v>
      </c>
      <c r="C1765">
        <v>3693584</v>
      </c>
      <c r="D1765">
        <v>21883</v>
      </c>
      <c r="E1765">
        <v>21883</v>
      </c>
      <c r="F1765" t="s">
        <v>441</v>
      </c>
      <c r="G1765">
        <v>0</v>
      </c>
      <c r="I1765" s="5">
        <v>44044</v>
      </c>
      <c r="J1765" s="5">
        <v>43970.333333333336</v>
      </c>
    </row>
    <row r="1766" spans="1:10" x14ac:dyDescent="0.2">
      <c r="A1766">
        <v>7119004</v>
      </c>
      <c r="B1766">
        <v>3693581</v>
      </c>
      <c r="C1766">
        <v>3693578</v>
      </c>
      <c r="D1766">
        <v>21883</v>
      </c>
      <c r="E1766">
        <v>21883</v>
      </c>
      <c r="F1766" t="s">
        <v>441</v>
      </c>
      <c r="G1766">
        <v>0</v>
      </c>
      <c r="I1766" s="5">
        <v>44044</v>
      </c>
      <c r="J1766" s="5">
        <v>43970.333333333336</v>
      </c>
    </row>
    <row r="1767" spans="1:10" x14ac:dyDescent="0.2">
      <c r="A1767">
        <v>7119005</v>
      </c>
      <c r="B1767">
        <v>3693586</v>
      </c>
      <c r="C1767">
        <v>3693576</v>
      </c>
      <c r="D1767">
        <v>21883</v>
      </c>
      <c r="E1767">
        <v>21883</v>
      </c>
      <c r="F1767" t="s">
        <v>442</v>
      </c>
      <c r="G1767">
        <v>40</v>
      </c>
      <c r="I1767" s="5">
        <v>44044</v>
      </c>
      <c r="J1767" s="5">
        <v>43970.333333333336</v>
      </c>
    </row>
    <row r="1768" spans="1:10" x14ac:dyDescent="0.2">
      <c r="A1768">
        <v>7119006</v>
      </c>
      <c r="B1768">
        <v>3693578</v>
      </c>
      <c r="C1768">
        <v>3693586</v>
      </c>
      <c r="D1768">
        <v>21883</v>
      </c>
      <c r="E1768">
        <v>21883</v>
      </c>
      <c r="F1768" t="s">
        <v>441</v>
      </c>
      <c r="G1768">
        <v>0</v>
      </c>
      <c r="I1768" s="5">
        <v>44044</v>
      </c>
      <c r="J1768" s="5">
        <v>43970.333333333336</v>
      </c>
    </row>
    <row r="1769" spans="1:10" x14ac:dyDescent="0.2">
      <c r="A1769">
        <v>7119007</v>
      </c>
      <c r="B1769">
        <v>3693576</v>
      </c>
      <c r="C1769">
        <v>3693585</v>
      </c>
      <c r="D1769">
        <v>21883</v>
      </c>
      <c r="E1769">
        <v>21883</v>
      </c>
      <c r="F1769" t="s">
        <v>441</v>
      </c>
      <c r="G1769">
        <v>0</v>
      </c>
      <c r="I1769" s="5">
        <v>44044</v>
      </c>
      <c r="J1769" s="5">
        <v>43970.333333333336</v>
      </c>
    </row>
    <row r="1770" spans="1:10" x14ac:dyDescent="0.2">
      <c r="A1770">
        <v>7119008</v>
      </c>
      <c r="B1770">
        <v>3693587</v>
      </c>
      <c r="C1770">
        <v>3693580</v>
      </c>
      <c r="D1770">
        <v>21883</v>
      </c>
      <c r="E1770">
        <v>21883</v>
      </c>
      <c r="F1770" t="s">
        <v>441</v>
      </c>
      <c r="G1770">
        <v>0</v>
      </c>
      <c r="I1770" s="5">
        <v>44044</v>
      </c>
      <c r="J1770" s="5">
        <v>43970.333333333336</v>
      </c>
    </row>
    <row r="1771" spans="1:10" x14ac:dyDescent="0.2">
      <c r="A1771">
        <v>7119009</v>
      </c>
      <c r="B1771">
        <v>3693588</v>
      </c>
      <c r="C1771">
        <v>3693587</v>
      </c>
      <c r="D1771">
        <v>21883</v>
      </c>
      <c r="E1771">
        <v>21883</v>
      </c>
      <c r="F1771" t="s">
        <v>441</v>
      </c>
      <c r="G1771">
        <v>0</v>
      </c>
      <c r="I1771" s="5">
        <v>44044</v>
      </c>
      <c r="J1771" s="5">
        <v>43970.333333333336</v>
      </c>
    </row>
    <row r="1772" spans="1:10" x14ac:dyDescent="0.2">
      <c r="A1772">
        <v>7119010</v>
      </c>
      <c r="B1772">
        <v>3693583</v>
      </c>
      <c r="C1772">
        <v>3693588</v>
      </c>
      <c r="D1772">
        <v>21883</v>
      </c>
      <c r="E1772">
        <v>21883</v>
      </c>
      <c r="F1772" t="s">
        <v>441</v>
      </c>
      <c r="G1772">
        <v>0</v>
      </c>
      <c r="I1772" s="5">
        <v>44044</v>
      </c>
      <c r="J1772" s="5">
        <v>43970.333333333336</v>
      </c>
    </row>
    <row r="1773" spans="1:10" x14ac:dyDescent="0.2">
      <c r="A1773">
        <v>7119011</v>
      </c>
      <c r="B1773">
        <v>3693579</v>
      </c>
      <c r="C1773">
        <v>3693583</v>
      </c>
      <c r="D1773">
        <v>21883</v>
      </c>
      <c r="E1773">
        <v>21883</v>
      </c>
      <c r="F1773" t="s">
        <v>441</v>
      </c>
      <c r="G1773">
        <v>0</v>
      </c>
      <c r="I1773" s="5">
        <v>44044</v>
      </c>
      <c r="J1773" s="5">
        <v>43970.333333333336</v>
      </c>
    </row>
    <row r="1774" spans="1:10" x14ac:dyDescent="0.2">
      <c r="A1774">
        <v>7119012</v>
      </c>
      <c r="B1774">
        <v>3693584</v>
      </c>
      <c r="C1774">
        <v>3693579</v>
      </c>
      <c r="D1774">
        <v>21883</v>
      </c>
      <c r="E1774">
        <v>21883</v>
      </c>
      <c r="F1774" t="s">
        <v>441</v>
      </c>
      <c r="G1774">
        <v>0</v>
      </c>
      <c r="I1774" s="5">
        <v>44044</v>
      </c>
      <c r="J1774" s="5">
        <v>43970.333333333336</v>
      </c>
    </row>
    <row r="1775" spans="1:10" x14ac:dyDescent="0.2">
      <c r="A1775">
        <v>7119013</v>
      </c>
      <c r="B1775">
        <v>3693589</v>
      </c>
      <c r="C1775">
        <v>3693577</v>
      </c>
      <c r="D1775">
        <v>21883</v>
      </c>
      <c r="E1775">
        <v>21883</v>
      </c>
      <c r="F1775" t="s">
        <v>441</v>
      </c>
      <c r="G1775">
        <v>0</v>
      </c>
      <c r="I1775" s="5">
        <v>44044</v>
      </c>
      <c r="J1775" s="5">
        <v>43970.333333333336</v>
      </c>
    </row>
    <row r="1776" spans="1:10" x14ac:dyDescent="0.2">
      <c r="A1776">
        <v>7119014</v>
      </c>
      <c r="B1776">
        <v>3693593</v>
      </c>
      <c r="C1776">
        <v>3693592</v>
      </c>
      <c r="D1776">
        <v>21883</v>
      </c>
      <c r="E1776">
        <v>21883</v>
      </c>
      <c r="F1776" t="s">
        <v>442</v>
      </c>
      <c r="G1776">
        <v>16</v>
      </c>
      <c r="I1776" s="5">
        <v>44044</v>
      </c>
      <c r="J1776" s="5">
        <v>43970.333333333336</v>
      </c>
    </row>
    <row r="1777" spans="1:10" x14ac:dyDescent="0.2">
      <c r="A1777">
        <v>7119015</v>
      </c>
      <c r="B1777">
        <v>3693591</v>
      </c>
      <c r="C1777">
        <v>3693590</v>
      </c>
      <c r="D1777">
        <v>21883</v>
      </c>
      <c r="E1777">
        <v>21883</v>
      </c>
      <c r="F1777" t="s">
        <v>441</v>
      </c>
      <c r="G1777">
        <v>0</v>
      </c>
      <c r="I1777" s="5">
        <v>44044</v>
      </c>
      <c r="J1777" s="5">
        <v>43970.333333333336</v>
      </c>
    </row>
    <row r="1778" spans="1:10" x14ac:dyDescent="0.2">
      <c r="A1778">
        <v>7119016</v>
      </c>
      <c r="B1778">
        <v>3693595</v>
      </c>
      <c r="C1778">
        <v>3693594</v>
      </c>
      <c r="D1778">
        <v>21883</v>
      </c>
      <c r="E1778">
        <v>21883</v>
      </c>
      <c r="F1778" t="s">
        <v>441</v>
      </c>
      <c r="G1778">
        <v>0</v>
      </c>
      <c r="I1778" s="5">
        <v>44044</v>
      </c>
      <c r="J1778" s="5">
        <v>43970.333333333336</v>
      </c>
    </row>
    <row r="1779" spans="1:10" x14ac:dyDescent="0.2">
      <c r="A1779">
        <v>7119017</v>
      </c>
      <c r="B1779">
        <v>3693590</v>
      </c>
      <c r="C1779">
        <v>3693596</v>
      </c>
      <c r="D1779">
        <v>21883</v>
      </c>
      <c r="E1779">
        <v>21883</v>
      </c>
      <c r="F1779" t="s">
        <v>441</v>
      </c>
      <c r="G1779">
        <v>0</v>
      </c>
      <c r="I1779" s="5">
        <v>44044</v>
      </c>
      <c r="J1779" s="5">
        <v>43970.333333333336</v>
      </c>
    </row>
    <row r="1780" spans="1:10" x14ac:dyDescent="0.2">
      <c r="A1780">
        <v>7119018</v>
      </c>
      <c r="B1780">
        <v>3693590</v>
      </c>
      <c r="C1780">
        <v>3693597</v>
      </c>
      <c r="D1780">
        <v>21883</v>
      </c>
      <c r="E1780">
        <v>21883</v>
      </c>
      <c r="F1780" t="s">
        <v>441</v>
      </c>
      <c r="G1780">
        <v>0</v>
      </c>
      <c r="I1780" s="5">
        <v>44044</v>
      </c>
      <c r="J1780" s="5">
        <v>43970.333333333336</v>
      </c>
    </row>
    <row r="1781" spans="1:10" x14ac:dyDescent="0.2">
      <c r="A1781">
        <v>7119019</v>
      </c>
      <c r="B1781">
        <v>3693599</v>
      </c>
      <c r="C1781">
        <v>3693598</v>
      </c>
      <c r="D1781">
        <v>21883</v>
      </c>
      <c r="E1781">
        <v>21883</v>
      </c>
      <c r="F1781" t="s">
        <v>441</v>
      </c>
      <c r="G1781">
        <v>0</v>
      </c>
      <c r="I1781" s="5">
        <v>44044</v>
      </c>
      <c r="J1781" s="5">
        <v>43970.333333333336</v>
      </c>
    </row>
    <row r="1782" spans="1:10" x14ac:dyDescent="0.2">
      <c r="A1782">
        <v>7119020</v>
      </c>
      <c r="B1782">
        <v>3693600</v>
      </c>
      <c r="C1782">
        <v>3693599</v>
      </c>
      <c r="D1782">
        <v>21883</v>
      </c>
      <c r="E1782">
        <v>21883</v>
      </c>
      <c r="F1782" t="s">
        <v>441</v>
      </c>
      <c r="G1782">
        <v>0</v>
      </c>
      <c r="I1782" s="5">
        <v>44044</v>
      </c>
      <c r="J1782" s="5">
        <v>43970.333333333336</v>
      </c>
    </row>
    <row r="1783" spans="1:10" x14ac:dyDescent="0.2">
      <c r="A1783">
        <v>7119021</v>
      </c>
      <c r="B1783">
        <v>3693598</v>
      </c>
      <c r="C1783">
        <v>3693591</v>
      </c>
      <c r="D1783">
        <v>21883</v>
      </c>
      <c r="E1783">
        <v>21883</v>
      </c>
      <c r="F1783" t="s">
        <v>441</v>
      </c>
      <c r="G1783">
        <v>0</v>
      </c>
      <c r="I1783" s="5">
        <v>44044</v>
      </c>
      <c r="J1783" s="5">
        <v>43970.333333333336</v>
      </c>
    </row>
    <row r="1784" spans="1:10" x14ac:dyDescent="0.2">
      <c r="A1784">
        <v>7119022</v>
      </c>
      <c r="B1784">
        <v>3693591</v>
      </c>
      <c r="C1784">
        <v>3693592</v>
      </c>
      <c r="D1784">
        <v>21883</v>
      </c>
      <c r="E1784">
        <v>21883</v>
      </c>
      <c r="F1784" t="s">
        <v>441</v>
      </c>
      <c r="G1784">
        <v>0</v>
      </c>
      <c r="I1784" s="5">
        <v>44044</v>
      </c>
      <c r="J1784" s="5">
        <v>43970.333333333336</v>
      </c>
    </row>
    <row r="1785" spans="1:10" x14ac:dyDescent="0.2">
      <c r="A1785">
        <v>7119023</v>
      </c>
      <c r="B1785">
        <v>3693592</v>
      </c>
      <c r="C1785">
        <v>3693590</v>
      </c>
      <c r="D1785">
        <v>21883</v>
      </c>
      <c r="E1785">
        <v>21883</v>
      </c>
      <c r="F1785" t="s">
        <v>441</v>
      </c>
      <c r="G1785">
        <v>0</v>
      </c>
      <c r="I1785" s="5">
        <v>44044</v>
      </c>
      <c r="J1785" s="5">
        <v>43970.333333333336</v>
      </c>
    </row>
    <row r="1786" spans="1:10" x14ac:dyDescent="0.2">
      <c r="A1786">
        <v>7119024</v>
      </c>
      <c r="B1786">
        <v>3693593</v>
      </c>
      <c r="C1786">
        <v>3693599</v>
      </c>
      <c r="D1786">
        <v>21883</v>
      </c>
      <c r="E1786">
        <v>21883</v>
      </c>
      <c r="F1786" t="s">
        <v>441</v>
      </c>
      <c r="G1786">
        <v>0</v>
      </c>
      <c r="I1786" s="5">
        <v>44044</v>
      </c>
      <c r="J1786" s="5">
        <v>43970.333333333336</v>
      </c>
    </row>
    <row r="1787" spans="1:10" x14ac:dyDescent="0.2">
      <c r="A1787">
        <v>7119025</v>
      </c>
      <c r="B1787">
        <v>3693601</v>
      </c>
      <c r="C1787">
        <v>3693593</v>
      </c>
      <c r="D1787">
        <v>21883</v>
      </c>
      <c r="E1787">
        <v>21883</v>
      </c>
      <c r="F1787" t="s">
        <v>441</v>
      </c>
      <c r="G1787">
        <v>0</v>
      </c>
      <c r="I1787" s="5">
        <v>44044</v>
      </c>
      <c r="J1787" s="5">
        <v>43970.333333333336</v>
      </c>
    </row>
    <row r="1788" spans="1:10" x14ac:dyDescent="0.2">
      <c r="A1788">
        <v>7119026</v>
      </c>
      <c r="B1788">
        <v>3693602</v>
      </c>
      <c r="C1788">
        <v>3693601</v>
      </c>
      <c r="D1788">
        <v>21883</v>
      </c>
      <c r="E1788">
        <v>21883</v>
      </c>
      <c r="F1788" t="s">
        <v>441</v>
      </c>
      <c r="G1788">
        <v>0</v>
      </c>
      <c r="I1788" s="5">
        <v>44044</v>
      </c>
      <c r="J1788" s="5">
        <v>43970.333333333336</v>
      </c>
    </row>
    <row r="1789" spans="1:10" x14ac:dyDescent="0.2">
      <c r="A1789">
        <v>7119027</v>
      </c>
      <c r="B1789">
        <v>3693594</v>
      </c>
      <c r="C1789">
        <v>3693602</v>
      </c>
      <c r="D1789">
        <v>21883</v>
      </c>
      <c r="E1789">
        <v>21883</v>
      </c>
      <c r="F1789" t="s">
        <v>441</v>
      </c>
      <c r="G1789">
        <v>0</v>
      </c>
      <c r="I1789" s="5">
        <v>44044</v>
      </c>
      <c r="J1789" s="5">
        <v>43970.333333333336</v>
      </c>
    </row>
    <row r="1790" spans="1:10" x14ac:dyDescent="0.2">
      <c r="A1790">
        <v>7119028</v>
      </c>
      <c r="B1790">
        <v>3693603</v>
      </c>
      <c r="C1790">
        <v>3693595</v>
      </c>
      <c r="D1790">
        <v>21883</v>
      </c>
      <c r="E1790">
        <v>21883</v>
      </c>
      <c r="F1790" t="s">
        <v>441</v>
      </c>
      <c r="G1790">
        <v>0</v>
      </c>
      <c r="I1790" s="5">
        <v>44044</v>
      </c>
      <c r="J1790" s="5">
        <v>43970.333333333336</v>
      </c>
    </row>
    <row r="1791" spans="1:10" x14ac:dyDescent="0.2">
      <c r="A1791">
        <v>7119029</v>
      </c>
      <c r="B1791">
        <v>3693604</v>
      </c>
      <c r="C1791">
        <v>3693603</v>
      </c>
      <c r="D1791">
        <v>21883</v>
      </c>
      <c r="E1791">
        <v>21883</v>
      </c>
      <c r="F1791" t="s">
        <v>441</v>
      </c>
      <c r="G1791">
        <v>0</v>
      </c>
      <c r="I1791" s="5">
        <v>44044</v>
      </c>
      <c r="J1791" s="5">
        <v>43970.333333333336</v>
      </c>
    </row>
    <row r="1792" spans="1:10" x14ac:dyDescent="0.2">
      <c r="A1792">
        <v>7119030</v>
      </c>
      <c r="B1792">
        <v>3693593</v>
      </c>
      <c r="C1792">
        <v>3693600</v>
      </c>
      <c r="D1792">
        <v>21883</v>
      </c>
      <c r="E1792">
        <v>21883</v>
      </c>
      <c r="F1792" t="s">
        <v>441</v>
      </c>
      <c r="G1792">
        <v>0</v>
      </c>
      <c r="I1792" s="5">
        <v>44044</v>
      </c>
      <c r="J1792" s="5">
        <v>43970.333333333336</v>
      </c>
    </row>
    <row r="1793" spans="1:10" x14ac:dyDescent="0.2">
      <c r="A1793">
        <v>7119031</v>
      </c>
      <c r="B1793">
        <v>3693594</v>
      </c>
      <c r="C1793">
        <v>3693593</v>
      </c>
      <c r="D1793">
        <v>21883</v>
      </c>
      <c r="E1793">
        <v>21883</v>
      </c>
      <c r="F1793" t="s">
        <v>441</v>
      </c>
      <c r="G1793">
        <v>0</v>
      </c>
      <c r="I1793" s="5">
        <v>44044</v>
      </c>
      <c r="J1793" s="5">
        <v>43970.333333333336</v>
      </c>
    </row>
    <row r="1794" spans="1:10" x14ac:dyDescent="0.2">
      <c r="A1794">
        <v>7119032</v>
      </c>
      <c r="B1794">
        <v>3693606</v>
      </c>
      <c r="C1794">
        <v>3693605</v>
      </c>
      <c r="D1794">
        <v>21883</v>
      </c>
      <c r="E1794">
        <v>21883</v>
      </c>
      <c r="F1794" t="s">
        <v>441</v>
      </c>
      <c r="G1794">
        <v>0</v>
      </c>
      <c r="I1794" s="5">
        <v>44044</v>
      </c>
      <c r="J1794" s="5">
        <v>43970.333333333336</v>
      </c>
    </row>
    <row r="1795" spans="1:10" x14ac:dyDescent="0.2">
      <c r="A1795">
        <v>7119033</v>
      </c>
      <c r="B1795">
        <v>3693610</v>
      </c>
      <c r="C1795">
        <v>3693609</v>
      </c>
      <c r="D1795">
        <v>21883</v>
      </c>
      <c r="E1795">
        <v>21883</v>
      </c>
      <c r="F1795" t="s">
        <v>441</v>
      </c>
      <c r="G1795">
        <v>0</v>
      </c>
      <c r="I1795" s="5">
        <v>44044</v>
      </c>
      <c r="J1795" s="5">
        <v>43970.333333333336</v>
      </c>
    </row>
    <row r="1796" spans="1:10" x14ac:dyDescent="0.2">
      <c r="A1796">
        <v>7119034</v>
      </c>
      <c r="B1796">
        <v>3693605</v>
      </c>
      <c r="C1796">
        <v>3693611</v>
      </c>
      <c r="D1796">
        <v>21883</v>
      </c>
      <c r="E1796">
        <v>21883</v>
      </c>
      <c r="F1796" t="s">
        <v>441</v>
      </c>
      <c r="G1796">
        <v>0</v>
      </c>
      <c r="I1796" s="5">
        <v>44044</v>
      </c>
      <c r="J1796" s="5">
        <v>43970.333333333336</v>
      </c>
    </row>
    <row r="1797" spans="1:10" x14ac:dyDescent="0.2">
      <c r="A1797">
        <v>7119035</v>
      </c>
      <c r="B1797">
        <v>3693605</v>
      </c>
      <c r="C1797">
        <v>3693612</v>
      </c>
      <c r="D1797">
        <v>21883</v>
      </c>
      <c r="E1797">
        <v>21883</v>
      </c>
      <c r="F1797" t="s">
        <v>441</v>
      </c>
      <c r="G1797">
        <v>0</v>
      </c>
      <c r="I1797" s="5">
        <v>44044</v>
      </c>
      <c r="J1797" s="5">
        <v>43970.333333333336</v>
      </c>
    </row>
    <row r="1798" spans="1:10" x14ac:dyDescent="0.2">
      <c r="A1798">
        <v>7119036</v>
      </c>
      <c r="B1798">
        <v>3693607</v>
      </c>
      <c r="C1798">
        <v>3693605</v>
      </c>
      <c r="D1798">
        <v>21883</v>
      </c>
      <c r="E1798">
        <v>21883</v>
      </c>
      <c r="F1798" t="s">
        <v>441</v>
      </c>
      <c r="G1798">
        <v>0</v>
      </c>
      <c r="I1798" s="5">
        <v>44044</v>
      </c>
      <c r="J1798" s="5">
        <v>43970.333333333336</v>
      </c>
    </row>
    <row r="1799" spans="1:10" x14ac:dyDescent="0.2">
      <c r="A1799">
        <v>7119037</v>
      </c>
      <c r="B1799">
        <v>3693606</v>
      </c>
      <c r="C1799">
        <v>3693607</v>
      </c>
      <c r="D1799">
        <v>21883</v>
      </c>
      <c r="E1799">
        <v>21883</v>
      </c>
      <c r="F1799" t="s">
        <v>441</v>
      </c>
      <c r="G1799">
        <v>0</v>
      </c>
      <c r="I1799" s="5">
        <v>44044</v>
      </c>
      <c r="J1799" s="5">
        <v>43970.333333333336</v>
      </c>
    </row>
    <row r="1800" spans="1:10" x14ac:dyDescent="0.2">
      <c r="A1800">
        <v>7119038</v>
      </c>
      <c r="B1800">
        <v>3693614</v>
      </c>
      <c r="C1800">
        <v>3693613</v>
      </c>
      <c r="D1800">
        <v>21883</v>
      </c>
      <c r="E1800">
        <v>21883</v>
      </c>
      <c r="F1800" t="s">
        <v>441</v>
      </c>
      <c r="G1800">
        <v>0</v>
      </c>
      <c r="I1800" s="5">
        <v>44044</v>
      </c>
      <c r="J1800" s="5">
        <v>43970.333333333336</v>
      </c>
    </row>
    <row r="1801" spans="1:10" x14ac:dyDescent="0.2">
      <c r="A1801">
        <v>7119039</v>
      </c>
      <c r="B1801">
        <v>3693613</v>
      </c>
      <c r="C1801">
        <v>3693606</v>
      </c>
      <c r="D1801">
        <v>21883</v>
      </c>
      <c r="E1801">
        <v>21883</v>
      </c>
      <c r="F1801" t="s">
        <v>441</v>
      </c>
      <c r="G1801">
        <v>0</v>
      </c>
      <c r="I1801" s="5">
        <v>44044</v>
      </c>
      <c r="J1801" s="5">
        <v>43970.333333333336</v>
      </c>
    </row>
    <row r="1802" spans="1:10" x14ac:dyDescent="0.2">
      <c r="A1802">
        <v>7119040</v>
      </c>
      <c r="B1802">
        <v>3693615</v>
      </c>
      <c r="C1802">
        <v>3693614</v>
      </c>
      <c r="D1802">
        <v>21883</v>
      </c>
      <c r="E1802">
        <v>21883</v>
      </c>
      <c r="F1802" t="s">
        <v>441</v>
      </c>
      <c r="G1802">
        <v>0</v>
      </c>
      <c r="I1802" s="5">
        <v>44044</v>
      </c>
      <c r="J1802" s="5">
        <v>43970.333333333336</v>
      </c>
    </row>
    <row r="1803" spans="1:10" x14ac:dyDescent="0.2">
      <c r="A1803">
        <v>7119041</v>
      </c>
      <c r="B1803">
        <v>3693608</v>
      </c>
      <c r="C1803">
        <v>3693615</v>
      </c>
      <c r="D1803">
        <v>21883</v>
      </c>
      <c r="E1803">
        <v>21883</v>
      </c>
      <c r="F1803" t="s">
        <v>441</v>
      </c>
      <c r="G1803">
        <v>0</v>
      </c>
      <c r="I1803" s="5">
        <v>44044</v>
      </c>
      <c r="J1803" s="5">
        <v>43970.333333333336</v>
      </c>
    </row>
    <row r="1804" spans="1:10" x14ac:dyDescent="0.2">
      <c r="A1804">
        <v>7119042</v>
      </c>
      <c r="B1804">
        <v>3693616</v>
      </c>
      <c r="C1804">
        <v>3693608</v>
      </c>
      <c r="D1804">
        <v>21883</v>
      </c>
      <c r="E1804">
        <v>21883</v>
      </c>
      <c r="F1804" t="s">
        <v>441</v>
      </c>
      <c r="G1804">
        <v>0</v>
      </c>
      <c r="I1804" s="5">
        <v>44044</v>
      </c>
      <c r="J1804" s="5">
        <v>43970.333333333336</v>
      </c>
    </row>
    <row r="1805" spans="1:10" x14ac:dyDescent="0.2">
      <c r="A1805">
        <v>7119043</v>
      </c>
      <c r="B1805">
        <v>3693617</v>
      </c>
      <c r="C1805">
        <v>3693616</v>
      </c>
      <c r="D1805">
        <v>21883</v>
      </c>
      <c r="E1805">
        <v>21883</v>
      </c>
      <c r="F1805" t="s">
        <v>441</v>
      </c>
      <c r="G1805">
        <v>0</v>
      </c>
      <c r="I1805" s="5">
        <v>44044</v>
      </c>
      <c r="J1805" s="5">
        <v>43970.333333333336</v>
      </c>
    </row>
    <row r="1806" spans="1:10" x14ac:dyDescent="0.2">
      <c r="A1806">
        <v>7119044</v>
      </c>
      <c r="B1806">
        <v>3693609</v>
      </c>
      <c r="C1806">
        <v>3693617</v>
      </c>
      <c r="D1806">
        <v>21883</v>
      </c>
      <c r="E1806">
        <v>21883</v>
      </c>
      <c r="F1806" t="s">
        <v>441</v>
      </c>
      <c r="G1806">
        <v>0</v>
      </c>
      <c r="I1806" s="5">
        <v>44044</v>
      </c>
      <c r="J1806" s="5">
        <v>43970.333333333336</v>
      </c>
    </row>
    <row r="1807" spans="1:10" x14ac:dyDescent="0.2">
      <c r="A1807">
        <v>7119045</v>
      </c>
      <c r="B1807">
        <v>3693618</v>
      </c>
      <c r="C1807">
        <v>3693610</v>
      </c>
      <c r="D1807">
        <v>21883</v>
      </c>
      <c r="E1807">
        <v>21883</v>
      </c>
      <c r="F1807" t="s">
        <v>441</v>
      </c>
      <c r="G1807">
        <v>0</v>
      </c>
      <c r="I1807" s="5">
        <v>44044</v>
      </c>
      <c r="J1807" s="5">
        <v>43970.333333333336</v>
      </c>
    </row>
    <row r="1808" spans="1:10" x14ac:dyDescent="0.2">
      <c r="A1808">
        <v>7119046</v>
      </c>
      <c r="B1808">
        <v>3693619</v>
      </c>
      <c r="C1808">
        <v>3693618</v>
      </c>
      <c r="D1808">
        <v>21883</v>
      </c>
      <c r="E1808">
        <v>21883</v>
      </c>
      <c r="F1808" t="s">
        <v>441</v>
      </c>
      <c r="G1808">
        <v>0</v>
      </c>
      <c r="I1808" s="5">
        <v>44044</v>
      </c>
      <c r="J1808" s="5">
        <v>43970.333333333336</v>
      </c>
    </row>
    <row r="1809" spans="1:10" x14ac:dyDescent="0.2">
      <c r="A1809">
        <v>7119047</v>
      </c>
      <c r="B1809">
        <v>3693625</v>
      </c>
      <c r="C1809">
        <v>3693624</v>
      </c>
      <c r="D1809">
        <v>21883</v>
      </c>
      <c r="E1809">
        <v>21883</v>
      </c>
      <c r="F1809" t="s">
        <v>441</v>
      </c>
      <c r="G1809">
        <v>0</v>
      </c>
      <c r="I1809" s="5">
        <v>44044</v>
      </c>
      <c r="J1809" s="5">
        <v>43970.333333333336</v>
      </c>
    </row>
    <row r="1810" spans="1:10" x14ac:dyDescent="0.2">
      <c r="A1810">
        <v>7119048</v>
      </c>
      <c r="B1810">
        <v>3693620</v>
      </c>
      <c r="C1810">
        <v>3693626</v>
      </c>
      <c r="D1810">
        <v>21883</v>
      </c>
      <c r="E1810">
        <v>21883</v>
      </c>
      <c r="F1810" t="s">
        <v>441</v>
      </c>
      <c r="G1810">
        <v>0</v>
      </c>
      <c r="I1810" s="5">
        <v>44044</v>
      </c>
      <c r="J1810" s="5">
        <v>43970.333333333336</v>
      </c>
    </row>
    <row r="1811" spans="1:10" x14ac:dyDescent="0.2">
      <c r="A1811">
        <v>7119049</v>
      </c>
      <c r="B1811">
        <v>3693620</v>
      </c>
      <c r="C1811">
        <v>3693627</v>
      </c>
      <c r="D1811">
        <v>21883</v>
      </c>
      <c r="E1811">
        <v>21883</v>
      </c>
      <c r="F1811" t="s">
        <v>441</v>
      </c>
      <c r="G1811">
        <v>0</v>
      </c>
      <c r="I1811" s="5">
        <v>44044</v>
      </c>
      <c r="J1811" s="5">
        <v>43970.333333333336</v>
      </c>
    </row>
    <row r="1812" spans="1:10" x14ac:dyDescent="0.2">
      <c r="A1812">
        <v>7119050</v>
      </c>
      <c r="B1812">
        <v>3693622</v>
      </c>
      <c r="C1812">
        <v>3693620</v>
      </c>
      <c r="D1812">
        <v>21883</v>
      </c>
      <c r="E1812">
        <v>21883</v>
      </c>
      <c r="F1812" t="s">
        <v>441</v>
      </c>
      <c r="G1812">
        <v>0</v>
      </c>
      <c r="I1812" s="5">
        <v>44044</v>
      </c>
      <c r="J1812" s="5">
        <v>43970.333333333336</v>
      </c>
    </row>
    <row r="1813" spans="1:10" x14ac:dyDescent="0.2">
      <c r="A1813">
        <v>7119051</v>
      </c>
      <c r="B1813">
        <v>3693629</v>
      </c>
      <c r="C1813">
        <v>3693628</v>
      </c>
      <c r="D1813">
        <v>21883</v>
      </c>
      <c r="E1813">
        <v>21883</v>
      </c>
      <c r="F1813" t="s">
        <v>441</v>
      </c>
      <c r="G1813">
        <v>0</v>
      </c>
      <c r="I1813" s="5">
        <v>44044</v>
      </c>
      <c r="J1813" s="5">
        <v>43970.333333333336</v>
      </c>
    </row>
    <row r="1814" spans="1:10" x14ac:dyDescent="0.2">
      <c r="A1814">
        <v>7119052</v>
      </c>
      <c r="B1814">
        <v>3693630</v>
      </c>
      <c r="C1814">
        <v>3693629</v>
      </c>
      <c r="D1814">
        <v>21883</v>
      </c>
      <c r="E1814">
        <v>21883</v>
      </c>
      <c r="F1814" t="s">
        <v>441</v>
      </c>
      <c r="G1814">
        <v>0</v>
      </c>
      <c r="I1814" s="5">
        <v>44044</v>
      </c>
      <c r="J1814" s="5">
        <v>43970.333333333336</v>
      </c>
    </row>
    <row r="1815" spans="1:10" x14ac:dyDescent="0.2">
      <c r="A1815">
        <v>7119053</v>
      </c>
      <c r="B1815">
        <v>3693623</v>
      </c>
      <c r="C1815">
        <v>3693630</v>
      </c>
      <c r="D1815">
        <v>21883</v>
      </c>
      <c r="E1815">
        <v>21883</v>
      </c>
      <c r="F1815" t="s">
        <v>441</v>
      </c>
      <c r="G1815">
        <v>0</v>
      </c>
      <c r="I1815" s="5">
        <v>44044</v>
      </c>
      <c r="J1815" s="5">
        <v>43970.333333333336</v>
      </c>
    </row>
    <row r="1816" spans="1:10" x14ac:dyDescent="0.2">
      <c r="A1816">
        <v>7119054</v>
      </c>
      <c r="B1816">
        <v>3693631</v>
      </c>
      <c r="C1816">
        <v>3693623</v>
      </c>
      <c r="D1816">
        <v>21883</v>
      </c>
      <c r="E1816">
        <v>21883</v>
      </c>
      <c r="F1816" t="s">
        <v>441</v>
      </c>
      <c r="G1816">
        <v>0</v>
      </c>
      <c r="I1816" s="5">
        <v>44044</v>
      </c>
      <c r="J1816" s="5">
        <v>43970.333333333336</v>
      </c>
    </row>
    <row r="1817" spans="1:10" x14ac:dyDescent="0.2">
      <c r="A1817">
        <v>7119055</v>
      </c>
      <c r="B1817">
        <v>3693632</v>
      </c>
      <c r="C1817">
        <v>3693631</v>
      </c>
      <c r="D1817">
        <v>21883</v>
      </c>
      <c r="E1817">
        <v>21883</v>
      </c>
      <c r="F1817" t="s">
        <v>441</v>
      </c>
      <c r="G1817">
        <v>0</v>
      </c>
      <c r="I1817" s="5">
        <v>44044</v>
      </c>
      <c r="J1817" s="5">
        <v>43970.333333333336</v>
      </c>
    </row>
    <row r="1818" spans="1:10" x14ac:dyDescent="0.2">
      <c r="A1818">
        <v>7119056</v>
      </c>
      <c r="B1818">
        <v>3693624</v>
      </c>
      <c r="C1818">
        <v>3693632</v>
      </c>
      <c r="D1818">
        <v>21883</v>
      </c>
      <c r="E1818">
        <v>21883</v>
      </c>
      <c r="F1818" t="s">
        <v>441</v>
      </c>
      <c r="G1818">
        <v>0</v>
      </c>
      <c r="I1818" s="5">
        <v>44044</v>
      </c>
      <c r="J1818" s="5">
        <v>43970.333333333336</v>
      </c>
    </row>
    <row r="1819" spans="1:10" x14ac:dyDescent="0.2">
      <c r="A1819">
        <v>7119057</v>
      </c>
      <c r="B1819">
        <v>3693634</v>
      </c>
      <c r="C1819">
        <v>3693633</v>
      </c>
      <c r="D1819">
        <v>21883</v>
      </c>
      <c r="E1819">
        <v>21883</v>
      </c>
      <c r="F1819" t="s">
        <v>441</v>
      </c>
      <c r="G1819">
        <v>0</v>
      </c>
      <c r="I1819" s="5">
        <v>44044</v>
      </c>
      <c r="J1819" s="5">
        <v>43970.333333333336</v>
      </c>
    </row>
    <row r="1820" spans="1:10" x14ac:dyDescent="0.2">
      <c r="A1820">
        <v>7119058</v>
      </c>
      <c r="B1820">
        <v>3693633</v>
      </c>
      <c r="C1820">
        <v>3693625</v>
      </c>
      <c r="D1820">
        <v>21883</v>
      </c>
      <c r="E1820">
        <v>21883</v>
      </c>
      <c r="F1820" t="s">
        <v>441</v>
      </c>
      <c r="G1820">
        <v>0</v>
      </c>
      <c r="I1820" s="5">
        <v>44044</v>
      </c>
      <c r="J1820" s="5">
        <v>43970.333333333336</v>
      </c>
    </row>
    <row r="1821" spans="1:10" x14ac:dyDescent="0.2">
      <c r="A1821">
        <v>7119059</v>
      </c>
      <c r="B1821">
        <v>3693636</v>
      </c>
      <c r="C1821">
        <v>3693635</v>
      </c>
      <c r="D1821">
        <v>21883</v>
      </c>
      <c r="E1821">
        <v>21883</v>
      </c>
      <c r="F1821" t="s">
        <v>441</v>
      </c>
      <c r="G1821">
        <v>0</v>
      </c>
      <c r="I1821" s="5">
        <v>44044</v>
      </c>
      <c r="J1821" s="5">
        <v>43970.333333333336</v>
      </c>
    </row>
    <row r="1822" spans="1:10" x14ac:dyDescent="0.2">
      <c r="A1822">
        <v>7119060</v>
      </c>
      <c r="B1822">
        <v>3693640</v>
      </c>
      <c r="C1822">
        <v>3693639</v>
      </c>
      <c r="D1822">
        <v>21883</v>
      </c>
      <c r="E1822">
        <v>21883</v>
      </c>
      <c r="F1822" t="s">
        <v>441</v>
      </c>
      <c r="G1822">
        <v>0</v>
      </c>
      <c r="I1822" s="5">
        <v>44044</v>
      </c>
      <c r="J1822" s="5">
        <v>43970.333333333336</v>
      </c>
    </row>
    <row r="1823" spans="1:10" x14ac:dyDescent="0.2">
      <c r="A1823">
        <v>7119061</v>
      </c>
      <c r="B1823">
        <v>3693635</v>
      </c>
      <c r="C1823">
        <v>3693641</v>
      </c>
      <c r="D1823">
        <v>21883</v>
      </c>
      <c r="E1823">
        <v>21883</v>
      </c>
      <c r="F1823" t="s">
        <v>441</v>
      </c>
      <c r="G1823">
        <v>0</v>
      </c>
      <c r="I1823" s="5">
        <v>44044</v>
      </c>
      <c r="J1823" s="5">
        <v>43970.333333333336</v>
      </c>
    </row>
    <row r="1824" spans="1:10" x14ac:dyDescent="0.2">
      <c r="A1824">
        <v>7119062</v>
      </c>
      <c r="B1824">
        <v>3693635</v>
      </c>
      <c r="C1824">
        <v>3693642</v>
      </c>
      <c r="D1824">
        <v>21883</v>
      </c>
      <c r="E1824">
        <v>21883</v>
      </c>
      <c r="F1824" t="s">
        <v>441</v>
      </c>
      <c r="G1824">
        <v>0</v>
      </c>
      <c r="I1824" s="5">
        <v>44044</v>
      </c>
      <c r="J1824" s="5">
        <v>43970.333333333336</v>
      </c>
    </row>
    <row r="1825" spans="1:10" x14ac:dyDescent="0.2">
      <c r="A1825">
        <v>7119063</v>
      </c>
      <c r="B1825">
        <v>3693637</v>
      </c>
      <c r="C1825">
        <v>3693635</v>
      </c>
      <c r="D1825">
        <v>21883</v>
      </c>
      <c r="E1825">
        <v>21883</v>
      </c>
      <c r="F1825" t="s">
        <v>441</v>
      </c>
      <c r="G1825">
        <v>0</v>
      </c>
      <c r="I1825" s="5">
        <v>44044</v>
      </c>
      <c r="J1825" s="5">
        <v>43970.333333333336</v>
      </c>
    </row>
    <row r="1826" spans="1:10" x14ac:dyDescent="0.2">
      <c r="A1826">
        <v>7119064</v>
      </c>
      <c r="B1826">
        <v>3693636</v>
      </c>
      <c r="C1826">
        <v>3693637</v>
      </c>
      <c r="D1826">
        <v>21883</v>
      </c>
      <c r="E1826">
        <v>21883</v>
      </c>
      <c r="F1826" t="s">
        <v>441</v>
      </c>
      <c r="G1826">
        <v>0</v>
      </c>
      <c r="I1826" s="5">
        <v>44044</v>
      </c>
      <c r="J1826" s="5">
        <v>43970.333333333336</v>
      </c>
    </row>
    <row r="1827" spans="1:10" x14ac:dyDescent="0.2">
      <c r="A1827">
        <v>7119065</v>
      </c>
      <c r="B1827">
        <v>3693644</v>
      </c>
      <c r="C1827">
        <v>3693643</v>
      </c>
      <c r="D1827">
        <v>21883</v>
      </c>
      <c r="E1827">
        <v>21883</v>
      </c>
      <c r="F1827" t="s">
        <v>441</v>
      </c>
      <c r="G1827">
        <v>0</v>
      </c>
      <c r="I1827" s="5">
        <v>44044</v>
      </c>
      <c r="J1827" s="5">
        <v>43970.333333333336</v>
      </c>
    </row>
    <row r="1828" spans="1:10" x14ac:dyDescent="0.2">
      <c r="A1828">
        <v>7119066</v>
      </c>
      <c r="B1828">
        <v>3693645</v>
      </c>
      <c r="C1828">
        <v>3693644</v>
      </c>
      <c r="D1828">
        <v>21883</v>
      </c>
      <c r="E1828">
        <v>21883</v>
      </c>
      <c r="F1828" t="s">
        <v>441</v>
      </c>
      <c r="G1828">
        <v>0</v>
      </c>
      <c r="I1828" s="5">
        <v>44044</v>
      </c>
      <c r="J1828" s="5">
        <v>43970.333333333336</v>
      </c>
    </row>
    <row r="1829" spans="1:10" x14ac:dyDescent="0.2">
      <c r="A1829">
        <v>7119067</v>
      </c>
      <c r="B1829">
        <v>3693643</v>
      </c>
      <c r="C1829">
        <v>3693636</v>
      </c>
      <c r="D1829">
        <v>21883</v>
      </c>
      <c r="E1829">
        <v>21883</v>
      </c>
      <c r="F1829" t="s">
        <v>441</v>
      </c>
      <c r="G1829">
        <v>0</v>
      </c>
      <c r="I1829" s="5">
        <v>44044</v>
      </c>
      <c r="J1829" s="5">
        <v>43970.333333333336</v>
      </c>
    </row>
    <row r="1830" spans="1:10" x14ac:dyDescent="0.2">
      <c r="A1830">
        <v>7119068</v>
      </c>
      <c r="B1830">
        <v>3693638</v>
      </c>
      <c r="C1830">
        <v>3693645</v>
      </c>
      <c r="D1830">
        <v>21883</v>
      </c>
      <c r="E1830">
        <v>21883</v>
      </c>
      <c r="F1830" t="s">
        <v>441</v>
      </c>
      <c r="G1830">
        <v>0</v>
      </c>
      <c r="I1830" s="5">
        <v>44044</v>
      </c>
      <c r="J1830" s="5">
        <v>43970.333333333336</v>
      </c>
    </row>
    <row r="1831" spans="1:10" x14ac:dyDescent="0.2">
      <c r="A1831">
        <v>7119069</v>
      </c>
      <c r="B1831">
        <v>3693647</v>
      </c>
      <c r="C1831">
        <v>3693646</v>
      </c>
      <c r="D1831">
        <v>21883</v>
      </c>
      <c r="E1831">
        <v>21883</v>
      </c>
      <c r="F1831" t="s">
        <v>441</v>
      </c>
      <c r="G1831">
        <v>0</v>
      </c>
      <c r="I1831" s="5">
        <v>44044</v>
      </c>
      <c r="J1831" s="5">
        <v>43970.333333333336</v>
      </c>
    </row>
    <row r="1832" spans="1:10" x14ac:dyDescent="0.2">
      <c r="A1832">
        <v>7119070</v>
      </c>
      <c r="B1832">
        <v>3693646</v>
      </c>
      <c r="C1832">
        <v>3693638</v>
      </c>
      <c r="D1832">
        <v>21883</v>
      </c>
      <c r="E1832">
        <v>21883</v>
      </c>
      <c r="F1832" t="s">
        <v>441</v>
      </c>
      <c r="G1832">
        <v>0</v>
      </c>
      <c r="I1832" s="5">
        <v>44044</v>
      </c>
      <c r="J1832" s="5">
        <v>43970.333333333336</v>
      </c>
    </row>
    <row r="1833" spans="1:10" x14ac:dyDescent="0.2">
      <c r="A1833">
        <v>7119071</v>
      </c>
      <c r="B1833">
        <v>3693639</v>
      </c>
      <c r="C1833">
        <v>3693647</v>
      </c>
      <c r="D1833">
        <v>21883</v>
      </c>
      <c r="E1833">
        <v>21883</v>
      </c>
      <c r="F1833" t="s">
        <v>441</v>
      </c>
      <c r="G1833">
        <v>0</v>
      </c>
      <c r="I1833" s="5">
        <v>44044</v>
      </c>
      <c r="J1833" s="5">
        <v>43970.333333333336</v>
      </c>
    </row>
    <row r="1834" spans="1:10" x14ac:dyDescent="0.2">
      <c r="A1834">
        <v>7119072</v>
      </c>
      <c r="B1834">
        <v>3693649</v>
      </c>
      <c r="C1834">
        <v>3693648</v>
      </c>
      <c r="D1834">
        <v>21883</v>
      </c>
      <c r="E1834">
        <v>21883</v>
      </c>
      <c r="F1834" t="s">
        <v>441</v>
      </c>
      <c r="G1834">
        <v>0</v>
      </c>
      <c r="I1834" s="5">
        <v>44044</v>
      </c>
      <c r="J1834" s="5">
        <v>43970.333333333336</v>
      </c>
    </row>
    <row r="1835" spans="1:10" x14ac:dyDescent="0.2">
      <c r="A1835">
        <v>7119073</v>
      </c>
      <c r="B1835">
        <v>3693648</v>
      </c>
      <c r="C1835">
        <v>3693640</v>
      </c>
      <c r="D1835">
        <v>21883</v>
      </c>
      <c r="E1835">
        <v>21883</v>
      </c>
      <c r="F1835" t="s">
        <v>441</v>
      </c>
      <c r="G1835">
        <v>0</v>
      </c>
      <c r="I1835" s="5">
        <v>44044</v>
      </c>
      <c r="J1835" s="5">
        <v>43970.333333333336</v>
      </c>
    </row>
    <row r="1836" spans="1:10" x14ac:dyDescent="0.2">
      <c r="A1836">
        <v>7119074</v>
      </c>
      <c r="B1836">
        <v>3693653</v>
      </c>
      <c r="C1836">
        <v>3693652</v>
      </c>
      <c r="D1836">
        <v>21883</v>
      </c>
      <c r="E1836">
        <v>21883</v>
      </c>
      <c r="F1836" t="s">
        <v>442</v>
      </c>
      <c r="G1836">
        <v>16</v>
      </c>
      <c r="I1836" s="5">
        <v>44044</v>
      </c>
      <c r="J1836" s="5">
        <v>43970.333333333336</v>
      </c>
    </row>
    <row r="1837" spans="1:10" x14ac:dyDescent="0.2">
      <c r="A1837">
        <v>7119075</v>
      </c>
      <c r="B1837">
        <v>3693655</v>
      </c>
      <c r="C1837">
        <v>3693654</v>
      </c>
      <c r="D1837">
        <v>21883</v>
      </c>
      <c r="E1837">
        <v>21883</v>
      </c>
      <c r="F1837" t="s">
        <v>441</v>
      </c>
      <c r="G1837">
        <v>0</v>
      </c>
      <c r="I1837" s="5">
        <v>44044</v>
      </c>
      <c r="J1837" s="5">
        <v>43970.333333333336</v>
      </c>
    </row>
    <row r="1838" spans="1:10" x14ac:dyDescent="0.2">
      <c r="A1838">
        <v>7119076</v>
      </c>
      <c r="B1838">
        <v>3693650</v>
      </c>
      <c r="C1838">
        <v>3693656</v>
      </c>
      <c r="D1838">
        <v>21883</v>
      </c>
      <c r="E1838">
        <v>21883</v>
      </c>
      <c r="F1838" t="s">
        <v>441</v>
      </c>
      <c r="G1838">
        <v>0</v>
      </c>
      <c r="I1838" s="5">
        <v>44044</v>
      </c>
      <c r="J1838" s="5">
        <v>43970.333333333336</v>
      </c>
    </row>
    <row r="1839" spans="1:10" x14ac:dyDescent="0.2">
      <c r="A1839">
        <v>7119077</v>
      </c>
      <c r="B1839">
        <v>3693650</v>
      </c>
      <c r="C1839">
        <v>3693657</v>
      </c>
      <c r="D1839">
        <v>21883</v>
      </c>
      <c r="E1839">
        <v>21883</v>
      </c>
      <c r="F1839" t="s">
        <v>441</v>
      </c>
      <c r="G1839">
        <v>0</v>
      </c>
      <c r="I1839" s="5">
        <v>44044</v>
      </c>
      <c r="J1839" s="5">
        <v>43970.333333333336</v>
      </c>
    </row>
    <row r="1840" spans="1:10" x14ac:dyDescent="0.2">
      <c r="A1840">
        <v>7119078</v>
      </c>
      <c r="B1840">
        <v>3693652</v>
      </c>
      <c r="C1840">
        <v>3693650</v>
      </c>
      <c r="D1840">
        <v>21883</v>
      </c>
      <c r="E1840">
        <v>21883</v>
      </c>
      <c r="F1840" t="s">
        <v>441</v>
      </c>
      <c r="G1840">
        <v>0</v>
      </c>
      <c r="I1840" s="5">
        <v>44044</v>
      </c>
      <c r="J1840" s="5">
        <v>43970.333333333336</v>
      </c>
    </row>
    <row r="1841" spans="1:10" x14ac:dyDescent="0.2">
      <c r="A1841">
        <v>7119079</v>
      </c>
      <c r="B1841">
        <v>3693651</v>
      </c>
      <c r="C1841">
        <v>3693652</v>
      </c>
      <c r="D1841">
        <v>21883</v>
      </c>
      <c r="E1841">
        <v>21883</v>
      </c>
      <c r="F1841" t="s">
        <v>441</v>
      </c>
      <c r="G1841">
        <v>0</v>
      </c>
      <c r="I1841" s="5">
        <v>44044</v>
      </c>
      <c r="J1841" s="5">
        <v>43970.333333333336</v>
      </c>
    </row>
    <row r="1842" spans="1:10" x14ac:dyDescent="0.2">
      <c r="A1842">
        <v>7119080</v>
      </c>
      <c r="B1842">
        <v>3693659</v>
      </c>
      <c r="C1842">
        <v>3693658</v>
      </c>
      <c r="D1842">
        <v>21883</v>
      </c>
      <c r="E1842">
        <v>21883</v>
      </c>
      <c r="F1842" t="s">
        <v>441</v>
      </c>
      <c r="G1842">
        <v>0</v>
      </c>
      <c r="I1842" s="5">
        <v>44044</v>
      </c>
      <c r="J1842" s="5">
        <v>43970.333333333336</v>
      </c>
    </row>
    <row r="1843" spans="1:10" x14ac:dyDescent="0.2">
      <c r="A1843">
        <v>7119081</v>
      </c>
      <c r="B1843">
        <v>3693660</v>
      </c>
      <c r="C1843">
        <v>3693659</v>
      </c>
      <c r="D1843">
        <v>21883</v>
      </c>
      <c r="E1843">
        <v>21883</v>
      </c>
      <c r="F1843" t="s">
        <v>441</v>
      </c>
      <c r="G1843">
        <v>0</v>
      </c>
      <c r="I1843" s="5">
        <v>44044</v>
      </c>
      <c r="J1843" s="5">
        <v>43970.333333333336</v>
      </c>
    </row>
    <row r="1844" spans="1:10" x14ac:dyDescent="0.2">
      <c r="A1844">
        <v>7119082</v>
      </c>
      <c r="B1844">
        <v>3693653</v>
      </c>
      <c r="C1844">
        <v>3693660</v>
      </c>
      <c r="D1844">
        <v>21883</v>
      </c>
      <c r="E1844">
        <v>21883</v>
      </c>
      <c r="F1844" t="s">
        <v>441</v>
      </c>
      <c r="G1844">
        <v>0</v>
      </c>
      <c r="I1844" s="5">
        <v>44044</v>
      </c>
      <c r="J1844" s="5">
        <v>43970.333333333336</v>
      </c>
    </row>
    <row r="1845" spans="1:10" x14ac:dyDescent="0.2">
      <c r="A1845">
        <v>7119083</v>
      </c>
      <c r="B1845">
        <v>3693662</v>
      </c>
      <c r="C1845">
        <v>3693661</v>
      </c>
      <c r="D1845">
        <v>21883</v>
      </c>
      <c r="E1845">
        <v>21883</v>
      </c>
      <c r="F1845" t="s">
        <v>441</v>
      </c>
      <c r="G1845">
        <v>0</v>
      </c>
      <c r="I1845" s="5">
        <v>44044</v>
      </c>
      <c r="J1845" s="5">
        <v>43970.333333333336</v>
      </c>
    </row>
    <row r="1846" spans="1:10" x14ac:dyDescent="0.2">
      <c r="A1846">
        <v>7119084</v>
      </c>
      <c r="B1846">
        <v>3693661</v>
      </c>
      <c r="C1846">
        <v>3693653</v>
      </c>
      <c r="D1846">
        <v>21883</v>
      </c>
      <c r="E1846">
        <v>21883</v>
      </c>
      <c r="F1846" t="s">
        <v>441</v>
      </c>
      <c r="G1846">
        <v>0</v>
      </c>
      <c r="I1846" s="5">
        <v>44044</v>
      </c>
      <c r="J1846" s="5">
        <v>43970.333333333336</v>
      </c>
    </row>
    <row r="1847" spans="1:10" x14ac:dyDescent="0.2">
      <c r="A1847">
        <v>7119085</v>
      </c>
      <c r="B1847">
        <v>3693654</v>
      </c>
      <c r="C1847">
        <v>3693662</v>
      </c>
      <c r="D1847">
        <v>21883</v>
      </c>
      <c r="E1847">
        <v>21883</v>
      </c>
      <c r="F1847" t="s">
        <v>441</v>
      </c>
      <c r="G1847">
        <v>0</v>
      </c>
      <c r="I1847" s="5">
        <v>44044</v>
      </c>
      <c r="J1847" s="5">
        <v>43970.333333333336</v>
      </c>
    </row>
    <row r="1848" spans="1:10" x14ac:dyDescent="0.2">
      <c r="A1848">
        <v>7119086</v>
      </c>
      <c r="B1848">
        <v>3693664</v>
      </c>
      <c r="C1848">
        <v>3693663</v>
      </c>
      <c r="D1848">
        <v>21883</v>
      </c>
      <c r="E1848">
        <v>21883</v>
      </c>
      <c r="F1848" t="s">
        <v>441</v>
      </c>
      <c r="G1848">
        <v>0</v>
      </c>
      <c r="I1848" s="5">
        <v>44044</v>
      </c>
      <c r="J1848" s="5">
        <v>43970.333333333336</v>
      </c>
    </row>
    <row r="1849" spans="1:10" x14ac:dyDescent="0.2">
      <c r="A1849">
        <v>7119087</v>
      </c>
      <c r="B1849">
        <v>3693663</v>
      </c>
      <c r="C1849">
        <v>3693655</v>
      </c>
      <c r="D1849">
        <v>21883</v>
      </c>
      <c r="E1849">
        <v>21883</v>
      </c>
      <c r="F1849" t="s">
        <v>441</v>
      </c>
      <c r="G1849">
        <v>0</v>
      </c>
      <c r="I1849" s="5">
        <v>44044</v>
      </c>
      <c r="J1849" s="5">
        <v>43970.333333333336</v>
      </c>
    </row>
    <row r="1850" spans="1:10" x14ac:dyDescent="0.2">
      <c r="A1850">
        <v>7119088</v>
      </c>
      <c r="B1850">
        <v>3693658</v>
      </c>
      <c r="C1850">
        <v>3693651</v>
      </c>
      <c r="D1850">
        <v>21883</v>
      </c>
      <c r="E1850">
        <v>21883</v>
      </c>
      <c r="F1850" t="s">
        <v>441</v>
      </c>
      <c r="G1850">
        <v>0</v>
      </c>
      <c r="I1850" s="5">
        <v>44044</v>
      </c>
      <c r="J1850" s="5">
        <v>43970.333333333336</v>
      </c>
    </row>
    <row r="1851" spans="1:10" x14ac:dyDescent="0.2">
      <c r="A1851">
        <v>7119089</v>
      </c>
      <c r="B1851">
        <v>3693670</v>
      </c>
      <c r="C1851">
        <v>3693669</v>
      </c>
      <c r="D1851">
        <v>21883</v>
      </c>
      <c r="E1851">
        <v>21883</v>
      </c>
      <c r="F1851" t="s">
        <v>441</v>
      </c>
      <c r="G1851">
        <v>0</v>
      </c>
      <c r="I1851" s="5">
        <v>44044</v>
      </c>
      <c r="J1851" s="5">
        <v>43970.333333333336</v>
      </c>
    </row>
    <row r="1852" spans="1:10" x14ac:dyDescent="0.2">
      <c r="A1852">
        <v>7119090</v>
      </c>
      <c r="B1852">
        <v>3693665</v>
      </c>
      <c r="C1852">
        <v>3693671</v>
      </c>
      <c r="D1852">
        <v>21883</v>
      </c>
      <c r="E1852">
        <v>21883</v>
      </c>
      <c r="F1852" t="s">
        <v>441</v>
      </c>
      <c r="G1852">
        <v>0</v>
      </c>
      <c r="I1852" s="5">
        <v>44044</v>
      </c>
      <c r="J1852" s="5">
        <v>43970.333333333336</v>
      </c>
    </row>
    <row r="1853" spans="1:10" x14ac:dyDescent="0.2">
      <c r="A1853">
        <v>7119091</v>
      </c>
      <c r="B1853">
        <v>3693665</v>
      </c>
      <c r="C1853">
        <v>3693672</v>
      </c>
      <c r="D1853">
        <v>21883</v>
      </c>
      <c r="E1853">
        <v>21883</v>
      </c>
      <c r="F1853" t="s">
        <v>441</v>
      </c>
      <c r="G1853">
        <v>0</v>
      </c>
      <c r="I1853" s="5">
        <v>44044</v>
      </c>
      <c r="J1853" s="5">
        <v>43970.333333333336</v>
      </c>
    </row>
    <row r="1854" spans="1:10" x14ac:dyDescent="0.2">
      <c r="A1854">
        <v>7119092</v>
      </c>
      <c r="B1854">
        <v>3693674</v>
      </c>
      <c r="C1854">
        <v>3693673</v>
      </c>
      <c r="D1854">
        <v>21883</v>
      </c>
      <c r="E1854">
        <v>21883</v>
      </c>
      <c r="F1854" t="s">
        <v>441</v>
      </c>
      <c r="G1854">
        <v>0</v>
      </c>
      <c r="I1854" s="5">
        <v>44044</v>
      </c>
      <c r="J1854" s="5">
        <v>43970.333333333336</v>
      </c>
    </row>
    <row r="1855" spans="1:10" x14ac:dyDescent="0.2">
      <c r="A1855">
        <v>7119093</v>
      </c>
      <c r="B1855">
        <v>3693673</v>
      </c>
      <c r="C1855">
        <v>3693670</v>
      </c>
      <c r="D1855">
        <v>21883</v>
      </c>
      <c r="E1855">
        <v>21883</v>
      </c>
      <c r="F1855" t="s">
        <v>441</v>
      </c>
      <c r="G1855">
        <v>0</v>
      </c>
      <c r="I1855" s="5">
        <v>44044</v>
      </c>
      <c r="J1855" s="5">
        <v>43970.333333333336</v>
      </c>
    </row>
    <row r="1856" spans="1:10" x14ac:dyDescent="0.2">
      <c r="A1856">
        <v>7119094</v>
      </c>
      <c r="B1856">
        <v>3693676</v>
      </c>
      <c r="C1856">
        <v>3693675</v>
      </c>
      <c r="D1856">
        <v>21883</v>
      </c>
      <c r="E1856">
        <v>21883</v>
      </c>
      <c r="F1856" t="s">
        <v>441</v>
      </c>
      <c r="G1856">
        <v>0</v>
      </c>
      <c r="I1856" s="5">
        <v>44044</v>
      </c>
      <c r="J1856" s="5">
        <v>43970.333333333336</v>
      </c>
    </row>
    <row r="1857" spans="1:10" x14ac:dyDescent="0.2">
      <c r="A1857">
        <v>7119095</v>
      </c>
      <c r="B1857">
        <v>3693677</v>
      </c>
      <c r="C1857">
        <v>3693676</v>
      </c>
      <c r="D1857">
        <v>21883</v>
      </c>
      <c r="E1857">
        <v>21883</v>
      </c>
      <c r="F1857" t="s">
        <v>441</v>
      </c>
      <c r="G1857">
        <v>0</v>
      </c>
      <c r="I1857" s="5">
        <v>44044</v>
      </c>
      <c r="J1857" s="5">
        <v>43970.333333333336</v>
      </c>
    </row>
    <row r="1858" spans="1:10" x14ac:dyDescent="0.2">
      <c r="A1858">
        <v>7119096</v>
      </c>
      <c r="B1858">
        <v>3693666</v>
      </c>
      <c r="C1858">
        <v>3693667</v>
      </c>
      <c r="D1858">
        <v>21883</v>
      </c>
      <c r="E1858">
        <v>21883</v>
      </c>
      <c r="F1858" t="s">
        <v>441</v>
      </c>
      <c r="G1858">
        <v>0</v>
      </c>
      <c r="I1858" s="5">
        <v>44044</v>
      </c>
      <c r="J1858" s="5">
        <v>43970.333333333336</v>
      </c>
    </row>
    <row r="1859" spans="1:10" x14ac:dyDescent="0.2">
      <c r="A1859">
        <v>7119097</v>
      </c>
      <c r="B1859">
        <v>3693675</v>
      </c>
      <c r="C1859">
        <v>3693666</v>
      </c>
      <c r="D1859">
        <v>21883</v>
      </c>
      <c r="E1859">
        <v>21883</v>
      </c>
      <c r="F1859" t="s">
        <v>441</v>
      </c>
      <c r="G1859">
        <v>0</v>
      </c>
      <c r="I1859" s="5">
        <v>44044</v>
      </c>
      <c r="J1859" s="5">
        <v>43970.333333333336</v>
      </c>
    </row>
    <row r="1860" spans="1:10" x14ac:dyDescent="0.2">
      <c r="A1860">
        <v>7119098</v>
      </c>
      <c r="B1860">
        <v>3693668</v>
      </c>
      <c r="C1860">
        <v>3693677</v>
      </c>
      <c r="D1860">
        <v>21883</v>
      </c>
      <c r="E1860">
        <v>21883</v>
      </c>
      <c r="F1860" t="s">
        <v>441</v>
      </c>
      <c r="G1860">
        <v>0</v>
      </c>
      <c r="I1860" s="5">
        <v>44044</v>
      </c>
      <c r="J1860" s="5">
        <v>43970.333333333336</v>
      </c>
    </row>
    <row r="1861" spans="1:10" x14ac:dyDescent="0.2">
      <c r="A1861">
        <v>7119099</v>
      </c>
      <c r="B1861">
        <v>3693679</v>
      </c>
      <c r="C1861">
        <v>3693678</v>
      </c>
      <c r="D1861">
        <v>21883</v>
      </c>
      <c r="E1861">
        <v>21883</v>
      </c>
      <c r="F1861" t="s">
        <v>441</v>
      </c>
      <c r="G1861">
        <v>0</v>
      </c>
      <c r="I1861" s="5">
        <v>44044</v>
      </c>
      <c r="J1861" s="5">
        <v>43970.333333333336</v>
      </c>
    </row>
    <row r="1862" spans="1:10" x14ac:dyDescent="0.2">
      <c r="A1862">
        <v>7119100</v>
      </c>
      <c r="B1862">
        <v>3693678</v>
      </c>
      <c r="C1862">
        <v>3693668</v>
      </c>
      <c r="D1862">
        <v>21883</v>
      </c>
      <c r="E1862">
        <v>21883</v>
      </c>
      <c r="F1862" t="s">
        <v>441</v>
      </c>
      <c r="G1862">
        <v>0</v>
      </c>
      <c r="I1862" s="5">
        <v>44044</v>
      </c>
      <c r="J1862" s="5">
        <v>43970.333333333336</v>
      </c>
    </row>
    <row r="1863" spans="1:10" x14ac:dyDescent="0.2">
      <c r="A1863">
        <v>7119101</v>
      </c>
      <c r="B1863">
        <v>3693669</v>
      </c>
      <c r="C1863">
        <v>3693679</v>
      </c>
      <c r="D1863">
        <v>21883</v>
      </c>
      <c r="E1863">
        <v>21883</v>
      </c>
      <c r="F1863" t="s">
        <v>441</v>
      </c>
      <c r="G1863">
        <v>0</v>
      </c>
      <c r="I1863" s="5">
        <v>44044</v>
      </c>
      <c r="J1863" s="5">
        <v>43970.333333333336</v>
      </c>
    </row>
    <row r="1864" spans="1:10" x14ac:dyDescent="0.2">
      <c r="A1864">
        <v>7119102</v>
      </c>
      <c r="B1864">
        <v>3693667</v>
      </c>
      <c r="C1864">
        <v>3693665</v>
      </c>
      <c r="D1864">
        <v>21883</v>
      </c>
      <c r="E1864">
        <v>21883</v>
      </c>
      <c r="F1864" t="s">
        <v>441</v>
      </c>
      <c r="G1864">
        <v>0</v>
      </c>
      <c r="I1864" s="5">
        <v>44044</v>
      </c>
      <c r="J1864" s="5">
        <v>43970.333333333336</v>
      </c>
    </row>
    <row r="1865" spans="1:10" x14ac:dyDescent="0.2">
      <c r="A1865">
        <v>7119103</v>
      </c>
      <c r="B1865">
        <v>3693683</v>
      </c>
      <c r="C1865">
        <v>3693682</v>
      </c>
      <c r="D1865">
        <v>21883</v>
      </c>
      <c r="E1865">
        <v>21883</v>
      </c>
      <c r="F1865" t="s">
        <v>442</v>
      </c>
      <c r="G1865">
        <v>16</v>
      </c>
      <c r="I1865" s="5">
        <v>44044</v>
      </c>
      <c r="J1865" s="5">
        <v>43970.333333333336</v>
      </c>
    </row>
    <row r="1866" spans="1:10" x14ac:dyDescent="0.2">
      <c r="A1866">
        <v>7119104</v>
      </c>
      <c r="B1866">
        <v>3693681</v>
      </c>
      <c r="C1866">
        <v>3693680</v>
      </c>
      <c r="D1866">
        <v>21883</v>
      </c>
      <c r="E1866">
        <v>21883</v>
      </c>
      <c r="F1866" t="s">
        <v>441</v>
      </c>
      <c r="G1866">
        <v>0</v>
      </c>
      <c r="I1866" s="5">
        <v>44044</v>
      </c>
      <c r="J1866" s="5">
        <v>43970.333333333336</v>
      </c>
    </row>
    <row r="1867" spans="1:10" x14ac:dyDescent="0.2">
      <c r="A1867">
        <v>7119105</v>
      </c>
      <c r="B1867">
        <v>3693685</v>
      </c>
      <c r="C1867">
        <v>3693684</v>
      </c>
      <c r="D1867">
        <v>21883</v>
      </c>
      <c r="E1867">
        <v>21883</v>
      </c>
      <c r="F1867" t="s">
        <v>441</v>
      </c>
      <c r="G1867">
        <v>0</v>
      </c>
      <c r="I1867" s="5">
        <v>44044</v>
      </c>
      <c r="J1867" s="5">
        <v>43970.333333333336</v>
      </c>
    </row>
    <row r="1868" spans="1:10" x14ac:dyDescent="0.2">
      <c r="A1868">
        <v>7119106</v>
      </c>
      <c r="B1868">
        <v>3693680</v>
      </c>
      <c r="C1868">
        <v>3693686</v>
      </c>
      <c r="D1868">
        <v>21883</v>
      </c>
      <c r="E1868">
        <v>21883</v>
      </c>
      <c r="F1868" t="s">
        <v>441</v>
      </c>
      <c r="G1868">
        <v>0</v>
      </c>
      <c r="I1868" s="5">
        <v>44044</v>
      </c>
      <c r="J1868" s="5">
        <v>43970.333333333336</v>
      </c>
    </row>
    <row r="1869" spans="1:10" x14ac:dyDescent="0.2">
      <c r="A1869">
        <v>7119107</v>
      </c>
      <c r="B1869">
        <v>3693680</v>
      </c>
      <c r="C1869">
        <v>3693687</v>
      </c>
      <c r="D1869">
        <v>21883</v>
      </c>
      <c r="E1869">
        <v>21883</v>
      </c>
      <c r="F1869" t="s">
        <v>441</v>
      </c>
      <c r="G1869">
        <v>0</v>
      </c>
      <c r="I1869" s="5">
        <v>44044</v>
      </c>
      <c r="J1869" s="5">
        <v>43970.333333333336</v>
      </c>
    </row>
    <row r="1870" spans="1:10" x14ac:dyDescent="0.2">
      <c r="A1870">
        <v>7119108</v>
      </c>
      <c r="B1870">
        <v>3693689</v>
      </c>
      <c r="C1870">
        <v>3693688</v>
      </c>
      <c r="D1870">
        <v>21883</v>
      </c>
      <c r="E1870">
        <v>21883</v>
      </c>
      <c r="F1870" t="s">
        <v>441</v>
      </c>
      <c r="G1870">
        <v>0</v>
      </c>
      <c r="I1870" s="5">
        <v>44044</v>
      </c>
      <c r="J1870" s="5">
        <v>43970.333333333336</v>
      </c>
    </row>
    <row r="1871" spans="1:10" x14ac:dyDescent="0.2">
      <c r="A1871">
        <v>7119109</v>
      </c>
      <c r="B1871">
        <v>3693688</v>
      </c>
      <c r="C1871">
        <v>3693685</v>
      </c>
      <c r="D1871">
        <v>21883</v>
      </c>
      <c r="E1871">
        <v>21883</v>
      </c>
      <c r="F1871" t="s">
        <v>441</v>
      </c>
      <c r="G1871">
        <v>0</v>
      </c>
      <c r="I1871" s="5">
        <v>44044</v>
      </c>
      <c r="J1871" s="5">
        <v>43970.333333333336</v>
      </c>
    </row>
    <row r="1872" spans="1:10" x14ac:dyDescent="0.2">
      <c r="A1872">
        <v>7119110</v>
      </c>
      <c r="B1872">
        <v>3693691</v>
      </c>
      <c r="C1872">
        <v>3693690</v>
      </c>
      <c r="D1872">
        <v>21883</v>
      </c>
      <c r="E1872">
        <v>21883</v>
      </c>
      <c r="F1872" t="s">
        <v>441</v>
      </c>
      <c r="G1872">
        <v>0</v>
      </c>
      <c r="I1872" s="5">
        <v>44044</v>
      </c>
      <c r="J1872" s="5">
        <v>43970.333333333336</v>
      </c>
    </row>
    <row r="1873" spans="1:10" x14ac:dyDescent="0.2">
      <c r="A1873">
        <v>7119111</v>
      </c>
      <c r="B1873">
        <v>3693684</v>
      </c>
      <c r="C1873">
        <v>3693691</v>
      </c>
      <c r="D1873">
        <v>21883</v>
      </c>
      <c r="E1873">
        <v>21883</v>
      </c>
      <c r="F1873" t="s">
        <v>441</v>
      </c>
      <c r="G1873">
        <v>0</v>
      </c>
      <c r="I1873" s="5">
        <v>44044</v>
      </c>
      <c r="J1873" s="5">
        <v>43970.333333333336</v>
      </c>
    </row>
    <row r="1874" spans="1:10" x14ac:dyDescent="0.2">
      <c r="A1874">
        <v>7119112</v>
      </c>
      <c r="B1874">
        <v>3693690</v>
      </c>
      <c r="C1874">
        <v>3693683</v>
      </c>
      <c r="D1874">
        <v>21883</v>
      </c>
      <c r="E1874">
        <v>21883</v>
      </c>
      <c r="F1874" t="s">
        <v>441</v>
      </c>
      <c r="G1874">
        <v>0</v>
      </c>
      <c r="I1874" s="5">
        <v>44044</v>
      </c>
      <c r="J1874" s="5">
        <v>43970.333333333336</v>
      </c>
    </row>
    <row r="1875" spans="1:10" x14ac:dyDescent="0.2">
      <c r="A1875">
        <v>7119113</v>
      </c>
      <c r="B1875">
        <v>3693682</v>
      </c>
      <c r="C1875">
        <v>3693680</v>
      </c>
      <c r="D1875">
        <v>21883</v>
      </c>
      <c r="E1875">
        <v>21883</v>
      </c>
      <c r="F1875" t="s">
        <v>441</v>
      </c>
      <c r="G1875">
        <v>0</v>
      </c>
      <c r="I1875" s="5">
        <v>44044</v>
      </c>
      <c r="J1875" s="5">
        <v>43970.333333333336</v>
      </c>
    </row>
    <row r="1876" spans="1:10" x14ac:dyDescent="0.2">
      <c r="A1876">
        <v>7119114</v>
      </c>
      <c r="B1876">
        <v>3693681</v>
      </c>
      <c r="C1876">
        <v>3693682</v>
      </c>
      <c r="D1876">
        <v>21883</v>
      </c>
      <c r="E1876">
        <v>21883</v>
      </c>
      <c r="F1876" t="s">
        <v>441</v>
      </c>
      <c r="G1876">
        <v>0</v>
      </c>
      <c r="I1876" s="5">
        <v>44044</v>
      </c>
      <c r="J1876" s="5">
        <v>43970.333333333336</v>
      </c>
    </row>
    <row r="1877" spans="1:10" x14ac:dyDescent="0.2">
      <c r="A1877">
        <v>7119115</v>
      </c>
      <c r="B1877">
        <v>3693693</v>
      </c>
      <c r="C1877">
        <v>3693692</v>
      </c>
      <c r="D1877">
        <v>21883</v>
      </c>
      <c r="E1877">
        <v>21883</v>
      </c>
      <c r="F1877" t="s">
        <v>441</v>
      </c>
      <c r="G1877">
        <v>0</v>
      </c>
      <c r="I1877" s="5">
        <v>44044</v>
      </c>
      <c r="J1877" s="5">
        <v>43970.333333333336</v>
      </c>
    </row>
    <row r="1878" spans="1:10" x14ac:dyDescent="0.2">
      <c r="A1878">
        <v>7119116</v>
      </c>
      <c r="B1878">
        <v>3693694</v>
      </c>
      <c r="C1878">
        <v>3693693</v>
      </c>
      <c r="D1878">
        <v>21883</v>
      </c>
      <c r="E1878">
        <v>21883</v>
      </c>
      <c r="F1878" t="s">
        <v>441</v>
      </c>
      <c r="G1878">
        <v>0</v>
      </c>
      <c r="I1878" s="5">
        <v>44044</v>
      </c>
      <c r="J1878" s="5">
        <v>43970.333333333336</v>
      </c>
    </row>
    <row r="1879" spans="1:10" x14ac:dyDescent="0.2">
      <c r="A1879">
        <v>7119117</v>
      </c>
      <c r="B1879">
        <v>3693683</v>
      </c>
      <c r="C1879">
        <v>3693694</v>
      </c>
      <c r="D1879">
        <v>21883</v>
      </c>
      <c r="E1879">
        <v>21883</v>
      </c>
      <c r="F1879" t="s">
        <v>441</v>
      </c>
      <c r="G1879">
        <v>0</v>
      </c>
      <c r="I1879" s="5">
        <v>44044</v>
      </c>
      <c r="J1879" s="5">
        <v>43970.333333333336</v>
      </c>
    </row>
    <row r="1880" spans="1:10" x14ac:dyDescent="0.2">
      <c r="A1880">
        <v>7119118</v>
      </c>
      <c r="B1880">
        <v>3693692</v>
      </c>
      <c r="C1880">
        <v>3693681</v>
      </c>
      <c r="D1880">
        <v>21883</v>
      </c>
      <c r="E1880">
        <v>21883</v>
      </c>
      <c r="F1880" t="s">
        <v>441</v>
      </c>
      <c r="G1880">
        <v>0</v>
      </c>
      <c r="I1880" s="5">
        <v>44044</v>
      </c>
      <c r="J1880" s="5">
        <v>43970.333333333336</v>
      </c>
    </row>
    <row r="1881" spans="1:10" x14ac:dyDescent="0.2">
      <c r="A1881">
        <v>7119119</v>
      </c>
      <c r="B1881">
        <v>3693700</v>
      </c>
      <c r="C1881">
        <v>3693699</v>
      </c>
      <c r="D1881">
        <v>21883</v>
      </c>
      <c r="E1881">
        <v>21883</v>
      </c>
      <c r="F1881" t="s">
        <v>441</v>
      </c>
      <c r="G1881">
        <v>0</v>
      </c>
      <c r="I1881" s="5">
        <v>44044</v>
      </c>
      <c r="J1881" s="5">
        <v>43970.333333333336</v>
      </c>
    </row>
    <row r="1882" spans="1:10" x14ac:dyDescent="0.2">
      <c r="A1882">
        <v>7119120</v>
      </c>
      <c r="B1882">
        <v>3693695</v>
      </c>
      <c r="C1882">
        <v>3693701</v>
      </c>
      <c r="D1882">
        <v>21883</v>
      </c>
      <c r="E1882">
        <v>21883</v>
      </c>
      <c r="F1882" t="s">
        <v>441</v>
      </c>
      <c r="G1882">
        <v>0</v>
      </c>
      <c r="I1882" s="5">
        <v>44044</v>
      </c>
      <c r="J1882" s="5">
        <v>43970.333333333336</v>
      </c>
    </row>
    <row r="1883" spans="1:10" x14ac:dyDescent="0.2">
      <c r="A1883">
        <v>7119121</v>
      </c>
      <c r="B1883">
        <v>3693695</v>
      </c>
      <c r="C1883">
        <v>3693702</v>
      </c>
      <c r="D1883">
        <v>21883</v>
      </c>
      <c r="E1883">
        <v>21883</v>
      </c>
      <c r="F1883" t="s">
        <v>441</v>
      </c>
      <c r="G1883">
        <v>0</v>
      </c>
      <c r="I1883" s="5">
        <v>44044</v>
      </c>
      <c r="J1883" s="5">
        <v>43970.333333333336</v>
      </c>
    </row>
    <row r="1884" spans="1:10" x14ac:dyDescent="0.2">
      <c r="A1884">
        <v>7119122</v>
      </c>
      <c r="B1884">
        <v>3693704</v>
      </c>
      <c r="C1884">
        <v>3693703</v>
      </c>
      <c r="D1884">
        <v>21883</v>
      </c>
      <c r="E1884">
        <v>21883</v>
      </c>
      <c r="F1884" t="s">
        <v>441</v>
      </c>
      <c r="G1884">
        <v>0</v>
      </c>
      <c r="I1884" s="5">
        <v>44044</v>
      </c>
      <c r="J1884" s="5">
        <v>43970.333333333336</v>
      </c>
    </row>
    <row r="1885" spans="1:10" x14ac:dyDescent="0.2">
      <c r="A1885">
        <v>7119123</v>
      </c>
      <c r="B1885">
        <v>3693703</v>
      </c>
      <c r="C1885">
        <v>3693700</v>
      </c>
      <c r="D1885">
        <v>21883</v>
      </c>
      <c r="E1885">
        <v>21883</v>
      </c>
      <c r="F1885" t="s">
        <v>441</v>
      </c>
      <c r="G1885">
        <v>0</v>
      </c>
      <c r="I1885" s="5">
        <v>44044</v>
      </c>
      <c r="J1885" s="5">
        <v>43970.333333333336</v>
      </c>
    </row>
    <row r="1886" spans="1:10" x14ac:dyDescent="0.2">
      <c r="A1886">
        <v>7119124</v>
      </c>
      <c r="B1886">
        <v>3693696</v>
      </c>
      <c r="C1886">
        <v>3693697</v>
      </c>
      <c r="D1886">
        <v>21883</v>
      </c>
      <c r="E1886">
        <v>21883</v>
      </c>
      <c r="F1886" t="s">
        <v>441</v>
      </c>
      <c r="G1886">
        <v>0</v>
      </c>
      <c r="I1886" s="5">
        <v>44044</v>
      </c>
      <c r="J1886" s="5">
        <v>43970.333333333336</v>
      </c>
    </row>
    <row r="1887" spans="1:10" x14ac:dyDescent="0.2">
      <c r="A1887">
        <v>7119125</v>
      </c>
      <c r="B1887">
        <v>3693706</v>
      </c>
      <c r="C1887">
        <v>3693705</v>
      </c>
      <c r="D1887">
        <v>21883</v>
      </c>
      <c r="E1887">
        <v>21883</v>
      </c>
      <c r="F1887" t="s">
        <v>441</v>
      </c>
      <c r="G1887">
        <v>0</v>
      </c>
      <c r="I1887" s="5">
        <v>44044</v>
      </c>
      <c r="J1887" s="5">
        <v>43970.333333333336</v>
      </c>
    </row>
    <row r="1888" spans="1:10" x14ac:dyDescent="0.2">
      <c r="A1888">
        <v>7119126</v>
      </c>
      <c r="B1888">
        <v>3693707</v>
      </c>
      <c r="C1888">
        <v>3693706</v>
      </c>
      <c r="D1888">
        <v>21883</v>
      </c>
      <c r="E1888">
        <v>21883</v>
      </c>
      <c r="F1888" t="s">
        <v>441</v>
      </c>
      <c r="G1888">
        <v>0</v>
      </c>
      <c r="I1888" s="5">
        <v>44044</v>
      </c>
      <c r="J1888" s="5">
        <v>43970.333333333336</v>
      </c>
    </row>
    <row r="1889" spans="1:10" x14ac:dyDescent="0.2">
      <c r="A1889">
        <v>7119127</v>
      </c>
      <c r="B1889">
        <v>3693705</v>
      </c>
      <c r="C1889">
        <v>3693696</v>
      </c>
      <c r="D1889">
        <v>21883</v>
      </c>
      <c r="E1889">
        <v>21883</v>
      </c>
      <c r="F1889" t="s">
        <v>441</v>
      </c>
      <c r="G1889">
        <v>0</v>
      </c>
      <c r="I1889" s="5">
        <v>44044</v>
      </c>
      <c r="J1889" s="5">
        <v>43970.333333333336</v>
      </c>
    </row>
    <row r="1890" spans="1:10" x14ac:dyDescent="0.2">
      <c r="A1890">
        <v>7119128</v>
      </c>
      <c r="B1890">
        <v>3693698</v>
      </c>
      <c r="C1890">
        <v>3693707</v>
      </c>
      <c r="D1890">
        <v>21883</v>
      </c>
      <c r="E1890">
        <v>21883</v>
      </c>
      <c r="F1890" t="s">
        <v>441</v>
      </c>
      <c r="G1890">
        <v>0</v>
      </c>
      <c r="I1890" s="5">
        <v>44044</v>
      </c>
      <c r="J1890" s="5">
        <v>43970.333333333336</v>
      </c>
    </row>
    <row r="1891" spans="1:10" x14ac:dyDescent="0.2">
      <c r="A1891">
        <v>7119129</v>
      </c>
      <c r="B1891">
        <v>3693709</v>
      </c>
      <c r="C1891">
        <v>3693708</v>
      </c>
      <c r="D1891">
        <v>21883</v>
      </c>
      <c r="E1891">
        <v>21883</v>
      </c>
      <c r="F1891" t="s">
        <v>441</v>
      </c>
      <c r="G1891">
        <v>0</v>
      </c>
      <c r="I1891" s="5">
        <v>44044</v>
      </c>
      <c r="J1891" s="5">
        <v>43970.333333333336</v>
      </c>
    </row>
    <row r="1892" spans="1:10" x14ac:dyDescent="0.2">
      <c r="A1892">
        <v>7119130</v>
      </c>
      <c r="B1892">
        <v>3693699</v>
      </c>
      <c r="C1892">
        <v>3693709</v>
      </c>
      <c r="D1892">
        <v>21883</v>
      </c>
      <c r="E1892">
        <v>21883</v>
      </c>
      <c r="F1892" t="s">
        <v>441</v>
      </c>
      <c r="G1892">
        <v>0</v>
      </c>
      <c r="I1892" s="5">
        <v>44044</v>
      </c>
      <c r="J1892" s="5">
        <v>43970.333333333336</v>
      </c>
    </row>
    <row r="1893" spans="1:10" x14ac:dyDescent="0.2">
      <c r="A1893">
        <v>7119131</v>
      </c>
      <c r="B1893">
        <v>3693708</v>
      </c>
      <c r="C1893">
        <v>3693698</v>
      </c>
      <c r="D1893">
        <v>21883</v>
      </c>
      <c r="E1893">
        <v>21883</v>
      </c>
      <c r="F1893" t="s">
        <v>441</v>
      </c>
      <c r="G1893">
        <v>0</v>
      </c>
      <c r="I1893" s="5">
        <v>44044</v>
      </c>
      <c r="J1893" s="5">
        <v>43970.333333333336</v>
      </c>
    </row>
    <row r="1894" spans="1:10" x14ac:dyDescent="0.2">
      <c r="A1894">
        <v>7119132</v>
      </c>
      <c r="B1894">
        <v>3693697</v>
      </c>
      <c r="C1894">
        <v>3693695</v>
      </c>
      <c r="D1894">
        <v>21883</v>
      </c>
      <c r="E1894">
        <v>21883</v>
      </c>
      <c r="F1894" t="s">
        <v>441</v>
      </c>
      <c r="G1894">
        <v>0</v>
      </c>
      <c r="I1894" s="5">
        <v>44044</v>
      </c>
      <c r="J1894" s="5">
        <v>43970.333333333336</v>
      </c>
    </row>
    <row r="1895" spans="1:10" x14ac:dyDescent="0.2">
      <c r="A1895">
        <v>7119133</v>
      </c>
      <c r="B1895">
        <v>3693701</v>
      </c>
      <c r="C1895">
        <v>3693476</v>
      </c>
      <c r="D1895">
        <v>21883</v>
      </c>
      <c r="E1895">
        <v>21883</v>
      </c>
      <c r="F1895" t="s">
        <v>441</v>
      </c>
      <c r="G1895">
        <v>0</v>
      </c>
      <c r="I1895" s="5">
        <v>44044</v>
      </c>
      <c r="J1895" s="5">
        <v>43970.333333333336</v>
      </c>
    </row>
    <row r="1896" spans="1:10" x14ac:dyDescent="0.2">
      <c r="A1896">
        <v>7119134</v>
      </c>
      <c r="B1896">
        <v>3693702</v>
      </c>
      <c r="C1896">
        <v>3693589</v>
      </c>
      <c r="D1896">
        <v>21883</v>
      </c>
      <c r="E1896">
        <v>21883</v>
      </c>
      <c r="F1896" t="s">
        <v>441</v>
      </c>
      <c r="G1896">
        <v>0</v>
      </c>
      <c r="I1896" s="5">
        <v>44044</v>
      </c>
      <c r="J1896" s="5">
        <v>43970.333333333336</v>
      </c>
    </row>
    <row r="1897" spans="1:10" x14ac:dyDescent="0.2">
      <c r="A1897">
        <v>7119135</v>
      </c>
      <c r="B1897">
        <v>3693686</v>
      </c>
      <c r="C1897">
        <v>3693589</v>
      </c>
      <c r="D1897">
        <v>21883</v>
      </c>
      <c r="E1897">
        <v>21883</v>
      </c>
      <c r="F1897" t="s">
        <v>441</v>
      </c>
      <c r="G1897">
        <v>0</v>
      </c>
      <c r="I1897" s="5">
        <v>44044</v>
      </c>
      <c r="J1897" s="5">
        <v>43970.333333333336</v>
      </c>
    </row>
    <row r="1898" spans="1:10" x14ac:dyDescent="0.2">
      <c r="A1898">
        <v>7119136</v>
      </c>
      <c r="B1898">
        <v>3693687</v>
      </c>
      <c r="C1898">
        <v>3693575</v>
      </c>
      <c r="D1898">
        <v>21883</v>
      </c>
      <c r="E1898">
        <v>21883</v>
      </c>
      <c r="F1898" t="s">
        <v>441</v>
      </c>
      <c r="G1898">
        <v>0</v>
      </c>
      <c r="I1898" s="5">
        <v>44044</v>
      </c>
      <c r="J1898" s="5">
        <v>43970.333333333336</v>
      </c>
    </row>
    <row r="1899" spans="1:10" x14ac:dyDescent="0.2">
      <c r="A1899">
        <v>7119137</v>
      </c>
      <c r="B1899">
        <v>3693671</v>
      </c>
      <c r="C1899">
        <v>3693575</v>
      </c>
      <c r="D1899">
        <v>21883</v>
      </c>
      <c r="E1899">
        <v>21883</v>
      </c>
      <c r="F1899" t="s">
        <v>441</v>
      </c>
      <c r="G1899">
        <v>0</v>
      </c>
      <c r="I1899" s="5">
        <v>44044</v>
      </c>
      <c r="J1899" s="5">
        <v>43970.333333333336</v>
      </c>
    </row>
    <row r="1900" spans="1:10" x14ac:dyDescent="0.2">
      <c r="A1900">
        <v>7119138</v>
      </c>
      <c r="B1900">
        <v>3693672</v>
      </c>
      <c r="C1900">
        <v>3693560</v>
      </c>
      <c r="D1900">
        <v>21883</v>
      </c>
      <c r="E1900">
        <v>21883</v>
      </c>
      <c r="F1900" t="s">
        <v>441</v>
      </c>
      <c r="G1900">
        <v>0</v>
      </c>
      <c r="I1900" s="5">
        <v>44044</v>
      </c>
      <c r="J1900" s="5">
        <v>43970.333333333336</v>
      </c>
    </row>
    <row r="1901" spans="1:10" x14ac:dyDescent="0.2">
      <c r="A1901">
        <v>7119139</v>
      </c>
      <c r="B1901">
        <v>3693656</v>
      </c>
      <c r="C1901">
        <v>3693560</v>
      </c>
      <c r="D1901">
        <v>21883</v>
      </c>
      <c r="E1901">
        <v>21883</v>
      </c>
      <c r="F1901" t="s">
        <v>441</v>
      </c>
      <c r="G1901">
        <v>0</v>
      </c>
      <c r="I1901" s="5">
        <v>44044</v>
      </c>
      <c r="J1901" s="5">
        <v>43970.333333333336</v>
      </c>
    </row>
    <row r="1902" spans="1:10" x14ac:dyDescent="0.2">
      <c r="A1902">
        <v>7119140</v>
      </c>
      <c r="B1902">
        <v>3693657</v>
      </c>
      <c r="C1902">
        <v>3693546</v>
      </c>
      <c r="D1902">
        <v>21883</v>
      </c>
      <c r="E1902">
        <v>21883</v>
      </c>
      <c r="F1902" t="s">
        <v>441</v>
      </c>
      <c r="G1902">
        <v>0</v>
      </c>
      <c r="I1902" s="5">
        <v>44044</v>
      </c>
      <c r="J1902" s="5">
        <v>43970.333333333336</v>
      </c>
    </row>
    <row r="1903" spans="1:10" x14ac:dyDescent="0.2">
      <c r="A1903">
        <v>7119141</v>
      </c>
      <c r="B1903">
        <v>3693641</v>
      </c>
      <c r="C1903">
        <v>3693546</v>
      </c>
      <c r="D1903">
        <v>21883</v>
      </c>
      <c r="E1903">
        <v>21883</v>
      </c>
      <c r="F1903" t="s">
        <v>441</v>
      </c>
      <c r="G1903">
        <v>0</v>
      </c>
      <c r="I1903" s="5">
        <v>44044</v>
      </c>
      <c r="J1903" s="5">
        <v>43970.333333333336</v>
      </c>
    </row>
    <row r="1904" spans="1:10" x14ac:dyDescent="0.2">
      <c r="A1904">
        <v>7119142</v>
      </c>
      <c r="B1904">
        <v>3693642</v>
      </c>
      <c r="C1904">
        <v>3693536</v>
      </c>
      <c r="D1904">
        <v>21883</v>
      </c>
      <c r="E1904">
        <v>21883</v>
      </c>
      <c r="F1904" t="s">
        <v>441</v>
      </c>
      <c r="G1904">
        <v>0</v>
      </c>
      <c r="I1904" s="5">
        <v>44044</v>
      </c>
      <c r="J1904" s="5">
        <v>43970.333333333336</v>
      </c>
    </row>
    <row r="1905" spans="1:10" x14ac:dyDescent="0.2">
      <c r="A1905">
        <v>7119143</v>
      </c>
      <c r="B1905">
        <v>3693626</v>
      </c>
      <c r="C1905">
        <v>3693536</v>
      </c>
      <c r="D1905">
        <v>21883</v>
      </c>
      <c r="E1905">
        <v>21883</v>
      </c>
      <c r="F1905" t="s">
        <v>441</v>
      </c>
      <c r="G1905">
        <v>0</v>
      </c>
      <c r="I1905" s="5">
        <v>44044</v>
      </c>
      <c r="J1905" s="5">
        <v>43970.333333333336</v>
      </c>
    </row>
    <row r="1906" spans="1:10" x14ac:dyDescent="0.2">
      <c r="A1906">
        <v>7119144</v>
      </c>
      <c r="B1906">
        <v>3693627</v>
      </c>
      <c r="C1906">
        <v>3693525</v>
      </c>
      <c r="D1906">
        <v>21883</v>
      </c>
      <c r="E1906">
        <v>21883</v>
      </c>
      <c r="F1906" t="s">
        <v>441</v>
      </c>
      <c r="G1906">
        <v>0</v>
      </c>
      <c r="I1906" s="5">
        <v>44044</v>
      </c>
      <c r="J1906" s="5">
        <v>43970.333333333336</v>
      </c>
    </row>
    <row r="1907" spans="1:10" x14ac:dyDescent="0.2">
      <c r="A1907">
        <v>7119145</v>
      </c>
      <c r="B1907">
        <v>3693611</v>
      </c>
      <c r="C1907">
        <v>3693525</v>
      </c>
      <c r="D1907">
        <v>21883</v>
      </c>
      <c r="E1907">
        <v>21883</v>
      </c>
      <c r="F1907" t="s">
        <v>441</v>
      </c>
      <c r="G1907">
        <v>0</v>
      </c>
      <c r="I1907" s="5">
        <v>44044</v>
      </c>
      <c r="J1907" s="5">
        <v>43970.333333333336</v>
      </c>
    </row>
    <row r="1908" spans="1:10" x14ac:dyDescent="0.2">
      <c r="A1908">
        <v>7119146</v>
      </c>
      <c r="B1908">
        <v>3693612</v>
      </c>
      <c r="C1908">
        <v>3693514</v>
      </c>
      <c r="D1908">
        <v>21883</v>
      </c>
      <c r="E1908">
        <v>21883</v>
      </c>
      <c r="F1908" t="s">
        <v>441</v>
      </c>
      <c r="G1908">
        <v>0</v>
      </c>
      <c r="I1908" s="5">
        <v>44044</v>
      </c>
      <c r="J1908" s="5">
        <v>43970.333333333336</v>
      </c>
    </row>
    <row r="1909" spans="1:10" x14ac:dyDescent="0.2">
      <c r="A1909">
        <v>7119147</v>
      </c>
      <c r="B1909">
        <v>3693596</v>
      </c>
      <c r="C1909">
        <v>3693514</v>
      </c>
      <c r="D1909">
        <v>21883</v>
      </c>
      <c r="E1909">
        <v>21883</v>
      </c>
      <c r="F1909" t="s">
        <v>441</v>
      </c>
      <c r="G1909">
        <v>0</v>
      </c>
      <c r="I1909" s="5">
        <v>44044</v>
      </c>
      <c r="J1909" s="5">
        <v>43970.333333333336</v>
      </c>
    </row>
    <row r="1910" spans="1:10" x14ac:dyDescent="0.2">
      <c r="A1910">
        <v>7119148</v>
      </c>
      <c r="B1910">
        <v>3693597</v>
      </c>
      <c r="C1910">
        <v>3693494</v>
      </c>
      <c r="D1910">
        <v>21883</v>
      </c>
      <c r="E1910">
        <v>21883</v>
      </c>
      <c r="F1910" t="s">
        <v>441</v>
      </c>
      <c r="G1910">
        <v>0</v>
      </c>
      <c r="I1910" s="5">
        <v>44044</v>
      </c>
      <c r="J1910" s="5">
        <v>43970.333333333336</v>
      </c>
    </row>
    <row r="1911" spans="1:10" x14ac:dyDescent="0.2">
      <c r="A1911">
        <v>7119149</v>
      </c>
      <c r="B1911">
        <v>3693032</v>
      </c>
      <c r="C1911">
        <v>3693604</v>
      </c>
      <c r="D1911">
        <v>21883</v>
      </c>
      <c r="E1911">
        <v>21883</v>
      </c>
      <c r="F1911" t="s">
        <v>441</v>
      </c>
      <c r="G1911">
        <v>0</v>
      </c>
      <c r="I1911" s="5">
        <v>44044</v>
      </c>
      <c r="J1911" s="5">
        <v>43970.333333333336</v>
      </c>
    </row>
    <row r="1912" spans="1:10" x14ac:dyDescent="0.2">
      <c r="A1912">
        <v>7119150</v>
      </c>
      <c r="B1912">
        <v>3693032</v>
      </c>
      <c r="C1912">
        <v>3693619</v>
      </c>
      <c r="D1912">
        <v>21883</v>
      </c>
      <c r="E1912">
        <v>21883</v>
      </c>
      <c r="F1912" t="s">
        <v>441</v>
      </c>
      <c r="G1912">
        <v>0</v>
      </c>
      <c r="I1912" s="5">
        <v>44044</v>
      </c>
      <c r="J1912" s="5">
        <v>43970.333333333336</v>
      </c>
    </row>
    <row r="1913" spans="1:10" x14ac:dyDescent="0.2">
      <c r="A1913">
        <v>7119151</v>
      </c>
      <c r="B1913">
        <v>3693032</v>
      </c>
      <c r="C1913">
        <v>3693634</v>
      </c>
      <c r="D1913">
        <v>21883</v>
      </c>
      <c r="E1913">
        <v>21883</v>
      </c>
      <c r="F1913" t="s">
        <v>441</v>
      </c>
      <c r="G1913">
        <v>0</v>
      </c>
      <c r="I1913" s="5">
        <v>44044</v>
      </c>
      <c r="J1913" s="5">
        <v>43970.333333333336</v>
      </c>
    </row>
    <row r="1914" spans="1:10" x14ac:dyDescent="0.2">
      <c r="A1914">
        <v>7119152</v>
      </c>
      <c r="B1914">
        <v>3693032</v>
      </c>
      <c r="C1914">
        <v>3693649</v>
      </c>
      <c r="D1914">
        <v>21883</v>
      </c>
      <c r="E1914">
        <v>21883</v>
      </c>
      <c r="F1914" t="s">
        <v>441</v>
      </c>
      <c r="G1914">
        <v>0</v>
      </c>
      <c r="I1914" s="5">
        <v>44044</v>
      </c>
      <c r="J1914" s="5">
        <v>43970.333333333336</v>
      </c>
    </row>
    <row r="1915" spans="1:10" x14ac:dyDescent="0.2">
      <c r="A1915">
        <v>7119153</v>
      </c>
      <c r="B1915">
        <v>3693032</v>
      </c>
      <c r="C1915">
        <v>3693664</v>
      </c>
      <c r="D1915">
        <v>21883</v>
      </c>
      <c r="E1915">
        <v>21883</v>
      </c>
      <c r="F1915" t="s">
        <v>441</v>
      </c>
      <c r="G1915">
        <v>0</v>
      </c>
      <c r="I1915" s="5">
        <v>44044</v>
      </c>
      <c r="J1915" s="5">
        <v>43970.333333333336</v>
      </c>
    </row>
    <row r="1916" spans="1:10" x14ac:dyDescent="0.2">
      <c r="A1916">
        <v>7119154</v>
      </c>
      <c r="B1916">
        <v>3693032</v>
      </c>
      <c r="C1916">
        <v>3693674</v>
      </c>
      <c r="D1916">
        <v>21883</v>
      </c>
      <c r="E1916">
        <v>21883</v>
      </c>
      <c r="F1916" t="s">
        <v>441</v>
      </c>
      <c r="G1916">
        <v>0</v>
      </c>
      <c r="I1916" s="5">
        <v>44044</v>
      </c>
      <c r="J1916" s="5">
        <v>43970.333333333336</v>
      </c>
    </row>
    <row r="1917" spans="1:10" x14ac:dyDescent="0.2">
      <c r="A1917">
        <v>7119155</v>
      </c>
      <c r="B1917">
        <v>3693032</v>
      </c>
      <c r="C1917">
        <v>3693689</v>
      </c>
      <c r="D1917">
        <v>21883</v>
      </c>
      <c r="E1917">
        <v>21883</v>
      </c>
      <c r="F1917" t="s">
        <v>441</v>
      </c>
      <c r="G1917">
        <v>0</v>
      </c>
      <c r="I1917" s="5">
        <v>44044</v>
      </c>
      <c r="J1917" s="5">
        <v>43970.333333333336</v>
      </c>
    </row>
    <row r="1918" spans="1:10" x14ac:dyDescent="0.2">
      <c r="A1918">
        <v>7119156</v>
      </c>
      <c r="B1918">
        <v>3693032</v>
      </c>
      <c r="C1918">
        <v>3693704</v>
      </c>
      <c r="D1918">
        <v>21883</v>
      </c>
      <c r="E1918">
        <v>21883</v>
      </c>
      <c r="F1918" t="s">
        <v>441</v>
      </c>
      <c r="G1918">
        <v>0</v>
      </c>
      <c r="I1918" s="5">
        <v>44044</v>
      </c>
      <c r="J1918" s="5">
        <v>43970.333333333336</v>
      </c>
    </row>
    <row r="1919" spans="1:10" x14ac:dyDescent="0.2">
      <c r="A1919">
        <v>7119157</v>
      </c>
      <c r="B1919">
        <v>3693547</v>
      </c>
      <c r="C1919">
        <v>3693546</v>
      </c>
      <c r="D1919">
        <v>21883</v>
      </c>
      <c r="E1919">
        <v>21883</v>
      </c>
      <c r="F1919" t="s">
        <v>441</v>
      </c>
      <c r="G1919">
        <v>0</v>
      </c>
      <c r="I1919" s="5">
        <v>44044</v>
      </c>
      <c r="J1919" s="5">
        <v>43970.333333333336</v>
      </c>
    </row>
    <row r="1920" spans="1:10" x14ac:dyDescent="0.2">
      <c r="A1920">
        <v>7119158</v>
      </c>
      <c r="B1920">
        <v>3693032</v>
      </c>
      <c r="C1920">
        <v>3693513</v>
      </c>
      <c r="D1920">
        <v>21883</v>
      </c>
      <c r="E1920">
        <v>21883</v>
      </c>
      <c r="F1920" t="s">
        <v>441</v>
      </c>
      <c r="G1920">
        <v>0</v>
      </c>
      <c r="I1920" s="5">
        <v>44044</v>
      </c>
      <c r="J1920" s="5">
        <v>43970.333333333336</v>
      </c>
    </row>
    <row r="1921" spans="1:10" x14ac:dyDescent="0.2">
      <c r="A1921">
        <v>7119159</v>
      </c>
      <c r="B1921">
        <v>3693032</v>
      </c>
      <c r="C1921">
        <v>3693524</v>
      </c>
      <c r="D1921">
        <v>21883</v>
      </c>
      <c r="E1921">
        <v>21883</v>
      </c>
      <c r="F1921" t="s">
        <v>441</v>
      </c>
      <c r="G1921">
        <v>0</v>
      </c>
      <c r="I1921" s="5">
        <v>44044</v>
      </c>
      <c r="J1921" s="5">
        <v>43970.333333333336</v>
      </c>
    </row>
    <row r="1922" spans="1:10" x14ac:dyDescent="0.2">
      <c r="A1922">
        <v>7119160</v>
      </c>
      <c r="B1922">
        <v>3693032</v>
      </c>
      <c r="C1922">
        <v>3693535</v>
      </c>
      <c r="D1922">
        <v>21883</v>
      </c>
      <c r="E1922">
        <v>21883</v>
      </c>
      <c r="F1922" t="s">
        <v>441</v>
      </c>
      <c r="G1922">
        <v>0</v>
      </c>
      <c r="I1922" s="5">
        <v>44044</v>
      </c>
      <c r="J1922" s="5">
        <v>43970.333333333336</v>
      </c>
    </row>
    <row r="1923" spans="1:10" x14ac:dyDescent="0.2">
      <c r="A1923">
        <v>7119161</v>
      </c>
      <c r="B1923">
        <v>3693032</v>
      </c>
      <c r="C1923">
        <v>3693547</v>
      </c>
      <c r="D1923">
        <v>21883</v>
      </c>
      <c r="E1923">
        <v>21883</v>
      </c>
      <c r="F1923" t="s">
        <v>441</v>
      </c>
      <c r="G1923">
        <v>0</v>
      </c>
      <c r="I1923" s="5">
        <v>44044</v>
      </c>
      <c r="J1923" s="5">
        <v>43970.333333333336</v>
      </c>
    </row>
    <row r="1924" spans="1:10" x14ac:dyDescent="0.2">
      <c r="A1924">
        <v>7119162</v>
      </c>
      <c r="B1924">
        <v>3693003</v>
      </c>
      <c r="C1924">
        <v>3693217</v>
      </c>
      <c r="D1924">
        <v>21883</v>
      </c>
      <c r="E1924">
        <v>21883</v>
      </c>
      <c r="F1924" t="s">
        <v>441</v>
      </c>
      <c r="G1924">
        <v>0</v>
      </c>
      <c r="I1924" s="5">
        <v>44044</v>
      </c>
      <c r="J1924" s="5">
        <v>44114.333333333336</v>
      </c>
    </row>
    <row r="1925" spans="1:10" x14ac:dyDescent="0.2">
      <c r="A1925">
        <v>7119163</v>
      </c>
      <c r="B1925">
        <v>3693050</v>
      </c>
      <c r="C1925">
        <v>3693006</v>
      </c>
      <c r="D1925">
        <v>21883</v>
      </c>
      <c r="E1925">
        <v>21883</v>
      </c>
      <c r="F1925" t="s">
        <v>441</v>
      </c>
      <c r="G1925">
        <v>0</v>
      </c>
      <c r="I1925" s="5">
        <v>44087.666666666664</v>
      </c>
      <c r="J1925" s="5">
        <v>44117.333333333336</v>
      </c>
    </row>
    <row r="1926" spans="1:10" x14ac:dyDescent="0.2">
      <c r="A1926">
        <v>7119164</v>
      </c>
      <c r="B1926">
        <v>3693050</v>
      </c>
      <c r="C1926">
        <v>3693003</v>
      </c>
      <c r="D1926">
        <v>21883</v>
      </c>
      <c r="E1926">
        <v>21883</v>
      </c>
      <c r="F1926" t="s">
        <v>441</v>
      </c>
      <c r="G1926">
        <v>0</v>
      </c>
      <c r="I1926" s="5">
        <v>44045.666666666664</v>
      </c>
      <c r="J1926" s="5">
        <v>44117.333333333336</v>
      </c>
    </row>
    <row r="1927" spans="1:10" x14ac:dyDescent="0.2">
      <c r="A1927">
        <v>7119165</v>
      </c>
      <c r="B1927">
        <v>3693711</v>
      </c>
      <c r="C1927">
        <v>3693710</v>
      </c>
      <c r="D1927">
        <v>21883</v>
      </c>
      <c r="E1927">
        <v>21883</v>
      </c>
      <c r="F1927" t="s">
        <v>441</v>
      </c>
      <c r="G1927">
        <v>16</v>
      </c>
      <c r="I1927" s="5">
        <v>44044</v>
      </c>
      <c r="J1927" s="5">
        <v>44054.333333333336</v>
      </c>
    </row>
    <row r="1928" spans="1:10" x14ac:dyDescent="0.2">
      <c r="A1928">
        <v>7119166</v>
      </c>
      <c r="B1928">
        <v>3693715</v>
      </c>
      <c r="C1928">
        <v>3693714</v>
      </c>
      <c r="D1928">
        <v>21883</v>
      </c>
      <c r="E1928">
        <v>21883</v>
      </c>
      <c r="F1928" t="s">
        <v>441</v>
      </c>
      <c r="G1928">
        <v>0</v>
      </c>
      <c r="I1928" s="5">
        <v>44044</v>
      </c>
      <c r="J1928" s="5">
        <v>44060.333333333336</v>
      </c>
    </row>
    <row r="1929" spans="1:10" x14ac:dyDescent="0.2">
      <c r="A1929">
        <v>7119167</v>
      </c>
      <c r="B1929">
        <v>3693716</v>
      </c>
      <c r="C1929">
        <v>3693715</v>
      </c>
      <c r="D1929">
        <v>21883</v>
      </c>
      <c r="E1929">
        <v>21883</v>
      </c>
      <c r="F1929" t="s">
        <v>442</v>
      </c>
      <c r="G1929">
        <v>24</v>
      </c>
      <c r="I1929" s="5">
        <v>44056.666666666664</v>
      </c>
      <c r="J1929" s="5">
        <v>44048.333333333336</v>
      </c>
    </row>
    <row r="1930" spans="1:10" x14ac:dyDescent="0.2">
      <c r="A1930">
        <v>7119168</v>
      </c>
      <c r="B1930">
        <v>3693717</v>
      </c>
      <c r="C1930">
        <v>3693716</v>
      </c>
      <c r="D1930">
        <v>21883</v>
      </c>
      <c r="E1930">
        <v>21883</v>
      </c>
      <c r="F1930" t="s">
        <v>441</v>
      </c>
      <c r="G1930">
        <v>0</v>
      </c>
      <c r="I1930" s="5">
        <v>44067.666666666664</v>
      </c>
      <c r="J1930" s="5">
        <v>44075.333333333336</v>
      </c>
    </row>
    <row r="1931" spans="1:10" x14ac:dyDescent="0.2">
      <c r="A1931">
        <v>7119169</v>
      </c>
      <c r="B1931">
        <v>3693718</v>
      </c>
      <c r="C1931">
        <v>3693717</v>
      </c>
      <c r="D1931">
        <v>21883</v>
      </c>
      <c r="E1931">
        <v>21883</v>
      </c>
      <c r="F1931" t="s">
        <v>441</v>
      </c>
      <c r="G1931">
        <v>0</v>
      </c>
      <c r="I1931" s="5">
        <v>44071.666666666664</v>
      </c>
      <c r="J1931" s="5">
        <v>44078.333333333336</v>
      </c>
    </row>
    <row r="1932" spans="1:10" x14ac:dyDescent="0.2">
      <c r="A1932">
        <v>7119170</v>
      </c>
      <c r="B1932">
        <v>3693719</v>
      </c>
      <c r="C1932">
        <v>3693718</v>
      </c>
      <c r="D1932">
        <v>21883</v>
      </c>
      <c r="E1932">
        <v>21883</v>
      </c>
      <c r="F1932" t="s">
        <v>441</v>
      </c>
      <c r="G1932">
        <v>0</v>
      </c>
      <c r="I1932" s="5">
        <v>44089.666666666664</v>
      </c>
      <c r="J1932" s="5">
        <v>44099.333333333336</v>
      </c>
    </row>
    <row r="1933" spans="1:10" x14ac:dyDescent="0.2">
      <c r="A1933">
        <v>7119171</v>
      </c>
      <c r="B1933">
        <v>3693720</v>
      </c>
      <c r="C1933">
        <v>3693719</v>
      </c>
      <c r="D1933">
        <v>21883</v>
      </c>
      <c r="E1933">
        <v>21883</v>
      </c>
      <c r="F1933" t="s">
        <v>441</v>
      </c>
      <c r="G1933">
        <v>0</v>
      </c>
      <c r="I1933" s="5">
        <v>44096.666666666664</v>
      </c>
      <c r="J1933" s="5">
        <v>44106.333333333336</v>
      </c>
    </row>
    <row r="1934" spans="1:10" x14ac:dyDescent="0.2">
      <c r="A1934">
        <v>7119172</v>
      </c>
      <c r="B1934">
        <v>3693721</v>
      </c>
      <c r="C1934">
        <v>3693720</v>
      </c>
      <c r="D1934">
        <v>21883</v>
      </c>
      <c r="E1934">
        <v>21883</v>
      </c>
      <c r="F1934" t="s">
        <v>441</v>
      </c>
      <c r="G1934">
        <v>0</v>
      </c>
      <c r="I1934" s="5">
        <v>44099.666666666664</v>
      </c>
      <c r="J1934" s="5">
        <v>44110.333333333336</v>
      </c>
    </row>
    <row r="1935" spans="1:10" x14ac:dyDescent="0.2">
      <c r="A1935">
        <v>7119173</v>
      </c>
      <c r="B1935">
        <v>3693739</v>
      </c>
      <c r="C1935">
        <v>3693738</v>
      </c>
      <c r="D1935">
        <v>21883</v>
      </c>
      <c r="E1935">
        <v>21883</v>
      </c>
      <c r="F1935" t="s">
        <v>441</v>
      </c>
      <c r="G1935">
        <v>0</v>
      </c>
      <c r="I1935" s="5">
        <v>44118.666666666664</v>
      </c>
      <c r="J1935" s="5">
        <v>44074.333333333336</v>
      </c>
    </row>
    <row r="1936" spans="1:10" x14ac:dyDescent="0.2">
      <c r="A1936">
        <v>7119174</v>
      </c>
      <c r="B1936">
        <v>3693740</v>
      </c>
      <c r="C1936">
        <v>3693739</v>
      </c>
      <c r="D1936">
        <v>21883</v>
      </c>
      <c r="E1936">
        <v>21883</v>
      </c>
      <c r="F1936" t="s">
        <v>442</v>
      </c>
      <c r="G1936">
        <v>64</v>
      </c>
      <c r="I1936" s="5">
        <v>44140.666666666664</v>
      </c>
      <c r="J1936" s="5">
        <v>44050.333333333336</v>
      </c>
    </row>
    <row r="1937" spans="1:10" x14ac:dyDescent="0.2">
      <c r="A1937">
        <v>7119175</v>
      </c>
      <c r="B1937">
        <v>3693741</v>
      </c>
      <c r="C1937">
        <v>3693740</v>
      </c>
      <c r="D1937">
        <v>21883</v>
      </c>
      <c r="E1937">
        <v>21883</v>
      </c>
      <c r="F1937" t="s">
        <v>442</v>
      </c>
      <c r="G1937">
        <v>32</v>
      </c>
      <c r="I1937" s="5">
        <v>44155.666666666664</v>
      </c>
      <c r="J1937" s="5">
        <v>44076.333333333336</v>
      </c>
    </row>
    <row r="1938" spans="1:10" x14ac:dyDescent="0.2">
      <c r="A1938">
        <v>7119176</v>
      </c>
      <c r="B1938">
        <v>3693720</v>
      </c>
      <c r="C1938">
        <v>3693719</v>
      </c>
      <c r="D1938">
        <v>21883</v>
      </c>
      <c r="E1938">
        <v>21883</v>
      </c>
      <c r="F1938" t="s">
        <v>440</v>
      </c>
      <c r="G1938">
        <v>0</v>
      </c>
      <c r="I1938" s="5">
        <v>44092.333333333336</v>
      </c>
      <c r="J1938" s="5">
        <v>44109.666666666664</v>
      </c>
    </row>
    <row r="1939" spans="1:10" x14ac:dyDescent="0.2">
      <c r="A1939">
        <v>7119177</v>
      </c>
      <c r="B1939">
        <v>3693748</v>
      </c>
      <c r="C1939">
        <v>3693747</v>
      </c>
      <c r="D1939">
        <v>21883</v>
      </c>
      <c r="E1939">
        <v>21883</v>
      </c>
      <c r="F1939" t="s">
        <v>441</v>
      </c>
      <c r="G1939">
        <v>0</v>
      </c>
      <c r="I1939" s="5">
        <v>44153.666666666664</v>
      </c>
      <c r="J1939" s="5">
        <v>44096.333333333336</v>
      </c>
    </row>
    <row r="1940" spans="1:10" x14ac:dyDescent="0.2">
      <c r="A1940">
        <v>7119178</v>
      </c>
      <c r="B1940">
        <v>3693749</v>
      </c>
      <c r="C1940">
        <v>3693748</v>
      </c>
      <c r="D1940">
        <v>21883</v>
      </c>
      <c r="E1940">
        <v>21883</v>
      </c>
      <c r="F1940" t="s">
        <v>441</v>
      </c>
      <c r="G1940">
        <v>0</v>
      </c>
      <c r="I1940" s="5">
        <v>44172.666666666664</v>
      </c>
      <c r="J1940" s="5">
        <v>44103.333333333336</v>
      </c>
    </row>
    <row r="1941" spans="1:10" x14ac:dyDescent="0.2">
      <c r="A1941">
        <v>7119179</v>
      </c>
      <c r="B1941">
        <v>3693750</v>
      </c>
      <c r="C1941">
        <v>3693749</v>
      </c>
      <c r="D1941">
        <v>21883</v>
      </c>
      <c r="E1941">
        <v>21883</v>
      </c>
      <c r="F1941" t="s">
        <v>441</v>
      </c>
      <c r="G1941">
        <v>0</v>
      </c>
      <c r="I1941" s="5">
        <v>44176.666666666664</v>
      </c>
      <c r="J1941" s="5">
        <v>44109.666666666664</v>
      </c>
    </row>
    <row r="1942" spans="1:10" x14ac:dyDescent="0.2">
      <c r="A1942">
        <v>7119180</v>
      </c>
      <c r="B1942">
        <v>3693754</v>
      </c>
      <c r="C1942">
        <v>3693753</v>
      </c>
      <c r="D1942">
        <v>21883</v>
      </c>
      <c r="E1942">
        <v>21883</v>
      </c>
      <c r="F1942" t="s">
        <v>441</v>
      </c>
      <c r="G1942">
        <v>0</v>
      </c>
      <c r="I1942" s="5">
        <v>44044</v>
      </c>
      <c r="J1942" s="5">
        <v>44012.333333333336</v>
      </c>
    </row>
    <row r="1943" spans="1:10" x14ac:dyDescent="0.2">
      <c r="A1943">
        <v>7119181</v>
      </c>
      <c r="B1943">
        <v>3693756</v>
      </c>
      <c r="C1943">
        <v>3693754</v>
      </c>
      <c r="D1943">
        <v>21883</v>
      </c>
      <c r="E1943">
        <v>21883</v>
      </c>
      <c r="F1943" t="s">
        <v>441</v>
      </c>
      <c r="G1943">
        <v>0</v>
      </c>
      <c r="I1943" s="5">
        <v>44044</v>
      </c>
      <c r="J1943" s="5">
        <v>44012.333333333336</v>
      </c>
    </row>
    <row r="1944" spans="1:10" x14ac:dyDescent="0.2">
      <c r="A1944">
        <v>7119182</v>
      </c>
      <c r="B1944">
        <v>3693757</v>
      </c>
      <c r="C1944">
        <v>3693754</v>
      </c>
      <c r="D1944">
        <v>21883</v>
      </c>
      <c r="E1944">
        <v>21883</v>
      </c>
      <c r="F1944" t="s">
        <v>441</v>
      </c>
      <c r="G1944">
        <v>0</v>
      </c>
      <c r="I1944" s="5">
        <v>44044</v>
      </c>
      <c r="J1944" s="5">
        <v>44012.333333333336</v>
      </c>
    </row>
    <row r="1945" spans="1:10" x14ac:dyDescent="0.2">
      <c r="A1945">
        <v>7119183</v>
      </c>
      <c r="B1945">
        <v>3693758</v>
      </c>
      <c r="C1945">
        <v>3693757</v>
      </c>
      <c r="D1945">
        <v>21883</v>
      </c>
      <c r="E1945">
        <v>21883</v>
      </c>
      <c r="F1945" t="s">
        <v>441</v>
      </c>
      <c r="G1945">
        <v>0</v>
      </c>
      <c r="I1945" s="5">
        <v>44044</v>
      </c>
      <c r="J1945" s="5">
        <v>44012.333333333336</v>
      </c>
    </row>
    <row r="1946" spans="1:10" x14ac:dyDescent="0.2">
      <c r="A1946">
        <v>7119184</v>
      </c>
      <c r="B1946">
        <v>3693759</v>
      </c>
      <c r="C1946">
        <v>3693758</v>
      </c>
      <c r="D1946">
        <v>21883</v>
      </c>
      <c r="E1946">
        <v>21883</v>
      </c>
      <c r="F1946" t="s">
        <v>441</v>
      </c>
      <c r="G1946">
        <v>0</v>
      </c>
      <c r="I1946" s="5">
        <v>44044</v>
      </c>
      <c r="J1946" s="5">
        <v>44012.333333333336</v>
      </c>
    </row>
    <row r="1947" spans="1:10" x14ac:dyDescent="0.2">
      <c r="A1947">
        <v>7119185</v>
      </c>
      <c r="B1947">
        <v>3693756</v>
      </c>
      <c r="C1947">
        <v>3693759</v>
      </c>
      <c r="D1947">
        <v>21883</v>
      </c>
      <c r="E1947">
        <v>21883</v>
      </c>
      <c r="F1947" t="s">
        <v>441</v>
      </c>
      <c r="G1947">
        <v>0</v>
      </c>
      <c r="I1947" s="5">
        <v>44044</v>
      </c>
      <c r="J1947" s="5">
        <v>44012.333333333336</v>
      </c>
    </row>
    <row r="1948" spans="1:10" x14ac:dyDescent="0.2">
      <c r="A1948">
        <v>7119186</v>
      </c>
      <c r="B1948">
        <v>3693755</v>
      </c>
      <c r="C1948">
        <v>3693760</v>
      </c>
      <c r="D1948">
        <v>21883</v>
      </c>
      <c r="E1948">
        <v>21883</v>
      </c>
      <c r="F1948" t="s">
        <v>441</v>
      </c>
      <c r="G1948">
        <v>0</v>
      </c>
      <c r="I1948" s="5">
        <v>44044</v>
      </c>
      <c r="J1948" s="5">
        <v>44012.333333333336</v>
      </c>
    </row>
    <row r="1949" spans="1:10" x14ac:dyDescent="0.2">
      <c r="A1949">
        <v>7119187</v>
      </c>
      <c r="B1949">
        <v>3693762</v>
      </c>
      <c r="C1949">
        <v>3693761</v>
      </c>
      <c r="D1949">
        <v>21883</v>
      </c>
      <c r="E1949">
        <v>21883</v>
      </c>
      <c r="F1949" t="s">
        <v>441</v>
      </c>
      <c r="G1949">
        <v>0</v>
      </c>
      <c r="I1949" s="5">
        <v>44044</v>
      </c>
      <c r="J1949" s="5">
        <v>44012.333333333336</v>
      </c>
    </row>
    <row r="1950" spans="1:10" x14ac:dyDescent="0.2">
      <c r="A1950">
        <v>7119188</v>
      </c>
      <c r="B1950">
        <v>3693761</v>
      </c>
      <c r="C1950">
        <v>3693755</v>
      </c>
      <c r="D1950">
        <v>21883</v>
      </c>
      <c r="E1950">
        <v>21883</v>
      </c>
      <c r="F1950" t="s">
        <v>441</v>
      </c>
      <c r="G1950">
        <v>0</v>
      </c>
      <c r="I1950" s="5">
        <v>44044</v>
      </c>
      <c r="J1950" s="5">
        <v>44012.333333333336</v>
      </c>
    </row>
    <row r="1951" spans="1:10" x14ac:dyDescent="0.2">
      <c r="A1951">
        <v>7119189</v>
      </c>
      <c r="B1951">
        <v>3693753</v>
      </c>
      <c r="C1951">
        <v>3693765</v>
      </c>
      <c r="D1951">
        <v>21883</v>
      </c>
      <c r="E1951">
        <v>21883</v>
      </c>
      <c r="F1951" t="s">
        <v>441</v>
      </c>
      <c r="G1951">
        <v>0</v>
      </c>
      <c r="I1951" s="5">
        <v>44044</v>
      </c>
      <c r="J1951" s="5">
        <v>44012.333333333336</v>
      </c>
    </row>
    <row r="1952" spans="1:10" x14ac:dyDescent="0.2">
      <c r="A1952">
        <v>7119190</v>
      </c>
      <c r="B1952">
        <v>3693767</v>
      </c>
      <c r="C1952">
        <v>3693765</v>
      </c>
      <c r="D1952">
        <v>21883</v>
      </c>
      <c r="E1952">
        <v>21883</v>
      </c>
      <c r="F1952" t="s">
        <v>441</v>
      </c>
      <c r="G1952">
        <v>0</v>
      </c>
      <c r="I1952" s="5">
        <v>44044</v>
      </c>
      <c r="J1952" s="5">
        <v>44012.333333333336</v>
      </c>
    </row>
    <row r="1953" spans="1:10" x14ac:dyDescent="0.2">
      <c r="A1953">
        <v>7119191</v>
      </c>
      <c r="B1953">
        <v>3693753</v>
      </c>
      <c r="C1953">
        <v>3693767</v>
      </c>
      <c r="D1953">
        <v>21883</v>
      </c>
      <c r="E1953">
        <v>21883</v>
      </c>
      <c r="F1953" t="s">
        <v>441</v>
      </c>
      <c r="G1953">
        <v>0</v>
      </c>
      <c r="I1953" s="5">
        <v>44044</v>
      </c>
      <c r="J1953" s="5">
        <v>44012.333333333336</v>
      </c>
    </row>
    <row r="1954" spans="1:10" x14ac:dyDescent="0.2">
      <c r="A1954">
        <v>7119192</v>
      </c>
      <c r="B1954">
        <v>3693768</v>
      </c>
      <c r="C1954">
        <v>3693753</v>
      </c>
      <c r="D1954">
        <v>21883</v>
      </c>
      <c r="E1954">
        <v>21883</v>
      </c>
      <c r="F1954" t="s">
        <v>441</v>
      </c>
      <c r="G1954">
        <v>0</v>
      </c>
      <c r="I1954" s="5">
        <v>44044</v>
      </c>
      <c r="J1954" s="5">
        <v>44012.333333333336</v>
      </c>
    </row>
    <row r="1955" spans="1:10" x14ac:dyDescent="0.2">
      <c r="A1955">
        <v>7119193</v>
      </c>
      <c r="B1955">
        <v>3693754</v>
      </c>
      <c r="C1955">
        <v>3693768</v>
      </c>
      <c r="D1955">
        <v>21883</v>
      </c>
      <c r="E1955">
        <v>21883</v>
      </c>
      <c r="F1955" t="s">
        <v>441</v>
      </c>
      <c r="G1955">
        <v>0</v>
      </c>
      <c r="I1955" s="5">
        <v>44044</v>
      </c>
      <c r="J1955" s="5">
        <v>44012.333333333336</v>
      </c>
    </row>
    <row r="1956" spans="1:10" x14ac:dyDescent="0.2">
      <c r="A1956">
        <v>7119194</v>
      </c>
      <c r="B1956">
        <v>3693769</v>
      </c>
      <c r="C1956">
        <v>3693757</v>
      </c>
      <c r="D1956">
        <v>21883</v>
      </c>
      <c r="E1956">
        <v>21883</v>
      </c>
      <c r="F1956" t="s">
        <v>441</v>
      </c>
      <c r="G1956">
        <v>0</v>
      </c>
      <c r="I1956" s="5">
        <v>44044</v>
      </c>
      <c r="J1956" s="5">
        <v>44012.333333333336</v>
      </c>
    </row>
    <row r="1957" spans="1:10" x14ac:dyDescent="0.2">
      <c r="A1957">
        <v>7119195</v>
      </c>
      <c r="B1957">
        <v>3693758</v>
      </c>
      <c r="C1957">
        <v>3693769</v>
      </c>
      <c r="D1957">
        <v>21883</v>
      </c>
      <c r="E1957">
        <v>21883</v>
      </c>
      <c r="F1957" t="s">
        <v>441</v>
      </c>
      <c r="G1957">
        <v>0</v>
      </c>
      <c r="I1957" s="5">
        <v>44044</v>
      </c>
      <c r="J1957" s="5">
        <v>44012.333333333336</v>
      </c>
    </row>
    <row r="1958" spans="1:10" x14ac:dyDescent="0.2">
      <c r="A1958">
        <v>7119196</v>
      </c>
      <c r="B1958">
        <v>3693759</v>
      </c>
      <c r="C1958">
        <v>3693758</v>
      </c>
      <c r="D1958">
        <v>21883</v>
      </c>
      <c r="E1958">
        <v>21883</v>
      </c>
      <c r="F1958" t="s">
        <v>440</v>
      </c>
      <c r="G1958">
        <v>0</v>
      </c>
      <c r="I1958" s="5">
        <v>44044</v>
      </c>
      <c r="J1958" s="5">
        <v>44012.333333333336</v>
      </c>
    </row>
    <row r="1959" spans="1:10" x14ac:dyDescent="0.2">
      <c r="A1959">
        <v>7119197</v>
      </c>
      <c r="B1959">
        <v>3693760</v>
      </c>
      <c r="C1959">
        <v>3693756</v>
      </c>
      <c r="D1959">
        <v>21883</v>
      </c>
      <c r="E1959">
        <v>21883</v>
      </c>
      <c r="F1959" t="s">
        <v>441</v>
      </c>
      <c r="G1959">
        <v>0</v>
      </c>
      <c r="I1959" s="5">
        <v>44044</v>
      </c>
      <c r="J1959" s="5">
        <v>44012.333333333336</v>
      </c>
    </row>
    <row r="1960" spans="1:10" x14ac:dyDescent="0.2">
      <c r="A1960">
        <v>7119198</v>
      </c>
      <c r="B1960">
        <v>3693777</v>
      </c>
      <c r="C1960">
        <v>3693776</v>
      </c>
      <c r="D1960">
        <v>21883</v>
      </c>
      <c r="E1960">
        <v>21883</v>
      </c>
      <c r="F1960" t="s">
        <v>441</v>
      </c>
      <c r="G1960">
        <v>0</v>
      </c>
      <c r="I1960" s="5">
        <v>44044</v>
      </c>
      <c r="J1960" s="5">
        <v>44005.333333333336</v>
      </c>
    </row>
    <row r="1961" spans="1:10" x14ac:dyDescent="0.2">
      <c r="A1961">
        <v>7119199</v>
      </c>
      <c r="B1961">
        <v>3693775</v>
      </c>
      <c r="C1961">
        <v>3693772</v>
      </c>
      <c r="D1961">
        <v>21883</v>
      </c>
      <c r="E1961">
        <v>21883</v>
      </c>
      <c r="F1961" t="s">
        <v>441</v>
      </c>
      <c r="G1961">
        <v>0</v>
      </c>
      <c r="I1961" s="5">
        <v>44044</v>
      </c>
      <c r="J1961" s="5">
        <v>44005.333333333336</v>
      </c>
    </row>
    <row r="1962" spans="1:10" x14ac:dyDescent="0.2">
      <c r="A1962">
        <v>7119200</v>
      </c>
      <c r="B1962">
        <v>3693774</v>
      </c>
      <c r="C1962">
        <v>3693777</v>
      </c>
      <c r="D1962">
        <v>21883</v>
      </c>
      <c r="E1962">
        <v>21883</v>
      </c>
      <c r="F1962" t="s">
        <v>441</v>
      </c>
      <c r="G1962">
        <v>0</v>
      </c>
      <c r="I1962" s="5">
        <v>44044</v>
      </c>
      <c r="J1962" s="5">
        <v>44005.333333333336</v>
      </c>
    </row>
    <row r="1963" spans="1:10" x14ac:dyDescent="0.2">
      <c r="A1963">
        <v>7119201</v>
      </c>
      <c r="B1963">
        <v>3693778</v>
      </c>
      <c r="C1963">
        <v>3693774</v>
      </c>
      <c r="D1963">
        <v>21883</v>
      </c>
      <c r="E1963">
        <v>21883</v>
      </c>
      <c r="F1963" t="s">
        <v>441</v>
      </c>
      <c r="G1963">
        <v>0</v>
      </c>
      <c r="I1963" s="5">
        <v>44044</v>
      </c>
      <c r="J1963" s="5">
        <v>44005.333333333336</v>
      </c>
    </row>
    <row r="1964" spans="1:10" x14ac:dyDescent="0.2">
      <c r="A1964">
        <v>7119202</v>
      </c>
      <c r="B1964">
        <v>3693780</v>
      </c>
      <c r="C1964">
        <v>3693779</v>
      </c>
      <c r="D1964">
        <v>21883</v>
      </c>
      <c r="E1964">
        <v>21883</v>
      </c>
      <c r="F1964" t="s">
        <v>441</v>
      </c>
      <c r="G1964">
        <v>0</v>
      </c>
      <c r="I1964" s="5">
        <v>44044</v>
      </c>
      <c r="J1964" s="5">
        <v>44005.333333333336</v>
      </c>
    </row>
    <row r="1965" spans="1:10" x14ac:dyDescent="0.2">
      <c r="A1965">
        <v>7119203</v>
      </c>
      <c r="B1965">
        <v>3693779</v>
      </c>
      <c r="C1965">
        <v>3693773</v>
      </c>
      <c r="D1965">
        <v>21883</v>
      </c>
      <c r="E1965">
        <v>21883</v>
      </c>
      <c r="F1965" t="s">
        <v>441</v>
      </c>
      <c r="G1965">
        <v>0</v>
      </c>
      <c r="I1965" s="5">
        <v>44044</v>
      </c>
      <c r="J1965" s="5">
        <v>44005.333333333336</v>
      </c>
    </row>
    <row r="1966" spans="1:10" x14ac:dyDescent="0.2">
      <c r="A1966">
        <v>7119204</v>
      </c>
      <c r="B1966">
        <v>3693785</v>
      </c>
      <c r="C1966">
        <v>3693784</v>
      </c>
      <c r="D1966">
        <v>21883</v>
      </c>
      <c r="E1966">
        <v>21883</v>
      </c>
      <c r="F1966" t="s">
        <v>441</v>
      </c>
      <c r="G1966">
        <v>0</v>
      </c>
      <c r="I1966" s="5">
        <v>44044</v>
      </c>
      <c r="J1966" s="5">
        <v>44005.333333333336</v>
      </c>
    </row>
    <row r="1967" spans="1:10" x14ac:dyDescent="0.2">
      <c r="A1967">
        <v>7119205</v>
      </c>
      <c r="B1967">
        <v>3693771</v>
      </c>
      <c r="C1967">
        <v>3693785</v>
      </c>
      <c r="D1967">
        <v>21883</v>
      </c>
      <c r="E1967">
        <v>21883</v>
      </c>
      <c r="F1967" t="s">
        <v>441</v>
      </c>
      <c r="G1967">
        <v>0</v>
      </c>
      <c r="I1967" s="5">
        <v>44044</v>
      </c>
      <c r="J1967" s="5">
        <v>44005.333333333336</v>
      </c>
    </row>
    <row r="1968" spans="1:10" x14ac:dyDescent="0.2">
      <c r="A1968">
        <v>7119206</v>
      </c>
      <c r="B1968">
        <v>3693786</v>
      </c>
      <c r="C1968">
        <v>3693771</v>
      </c>
      <c r="D1968">
        <v>21883</v>
      </c>
      <c r="E1968">
        <v>21883</v>
      </c>
      <c r="F1968" t="s">
        <v>441</v>
      </c>
      <c r="G1968">
        <v>0</v>
      </c>
      <c r="I1968" s="5">
        <v>44044</v>
      </c>
      <c r="J1968" s="5">
        <v>44005.333333333336</v>
      </c>
    </row>
    <row r="1969" spans="1:10" x14ac:dyDescent="0.2">
      <c r="A1969">
        <v>7119207</v>
      </c>
      <c r="B1969">
        <v>3693772</v>
      </c>
      <c r="C1969">
        <v>3693786</v>
      </c>
      <c r="D1969">
        <v>21883</v>
      </c>
      <c r="E1969">
        <v>21883</v>
      </c>
      <c r="F1969" t="s">
        <v>441</v>
      </c>
      <c r="G1969">
        <v>0</v>
      </c>
      <c r="I1969" s="5">
        <v>44044</v>
      </c>
      <c r="J1969" s="5">
        <v>44005.333333333336</v>
      </c>
    </row>
    <row r="1970" spans="1:10" x14ac:dyDescent="0.2">
      <c r="A1970">
        <v>7119208</v>
      </c>
      <c r="B1970">
        <v>3693787</v>
      </c>
      <c r="C1970">
        <v>3693775</v>
      </c>
      <c r="D1970">
        <v>21883</v>
      </c>
      <c r="E1970">
        <v>21883</v>
      </c>
      <c r="F1970" t="s">
        <v>441</v>
      </c>
      <c r="G1970">
        <v>0</v>
      </c>
      <c r="I1970" s="5">
        <v>44044</v>
      </c>
      <c r="J1970" s="5">
        <v>44005.333333333336</v>
      </c>
    </row>
    <row r="1971" spans="1:10" x14ac:dyDescent="0.2">
      <c r="A1971">
        <v>7119209</v>
      </c>
      <c r="B1971">
        <v>3693776</v>
      </c>
      <c r="C1971">
        <v>3693787</v>
      </c>
      <c r="D1971">
        <v>21883</v>
      </c>
      <c r="E1971">
        <v>21883</v>
      </c>
      <c r="F1971" t="s">
        <v>441</v>
      </c>
      <c r="G1971">
        <v>0</v>
      </c>
      <c r="I1971" s="5">
        <v>44044</v>
      </c>
      <c r="J1971" s="5">
        <v>44005.333333333336</v>
      </c>
    </row>
    <row r="1972" spans="1:10" x14ac:dyDescent="0.2">
      <c r="A1972">
        <v>7119210</v>
      </c>
      <c r="B1972">
        <v>3693773</v>
      </c>
      <c r="C1972">
        <v>3693778</v>
      </c>
      <c r="D1972">
        <v>21883</v>
      </c>
      <c r="E1972">
        <v>21883</v>
      </c>
      <c r="F1972" t="s">
        <v>441</v>
      </c>
      <c r="G1972">
        <v>0</v>
      </c>
      <c r="I1972" s="5">
        <v>44044</v>
      </c>
      <c r="J1972" s="5">
        <v>44005.333333333336</v>
      </c>
    </row>
    <row r="1973" spans="1:10" x14ac:dyDescent="0.2">
      <c r="A1973">
        <v>7119211</v>
      </c>
      <c r="B1973">
        <v>3693790</v>
      </c>
      <c r="C1973">
        <v>3693788</v>
      </c>
      <c r="D1973">
        <v>21883</v>
      </c>
      <c r="E1973">
        <v>21883</v>
      </c>
      <c r="F1973" t="s">
        <v>441</v>
      </c>
      <c r="G1973">
        <v>0</v>
      </c>
      <c r="I1973" s="5">
        <v>44044</v>
      </c>
      <c r="J1973" s="5">
        <v>44005.333333333336</v>
      </c>
    </row>
    <row r="1974" spans="1:10" x14ac:dyDescent="0.2">
      <c r="A1974">
        <v>7119212</v>
      </c>
      <c r="B1974">
        <v>3693789</v>
      </c>
      <c r="C1974">
        <v>3693790</v>
      </c>
      <c r="D1974">
        <v>21883</v>
      </c>
      <c r="E1974">
        <v>21883</v>
      </c>
      <c r="F1974" t="s">
        <v>441</v>
      </c>
      <c r="G1974">
        <v>0</v>
      </c>
      <c r="I1974" s="5">
        <v>44044</v>
      </c>
      <c r="J1974" s="5">
        <v>44005.333333333336</v>
      </c>
    </row>
    <row r="1975" spans="1:10" x14ac:dyDescent="0.2">
      <c r="A1975">
        <v>7119213</v>
      </c>
      <c r="B1975">
        <v>3693792</v>
      </c>
      <c r="C1975">
        <v>3693791</v>
      </c>
      <c r="D1975">
        <v>21883</v>
      </c>
      <c r="E1975">
        <v>21883</v>
      </c>
      <c r="F1975" t="s">
        <v>441</v>
      </c>
      <c r="G1975">
        <v>0</v>
      </c>
      <c r="I1975" s="5">
        <v>44044</v>
      </c>
      <c r="J1975" s="5">
        <v>44005.333333333336</v>
      </c>
    </row>
    <row r="1976" spans="1:10" x14ac:dyDescent="0.2">
      <c r="A1976">
        <v>7119214</v>
      </c>
      <c r="B1976">
        <v>3693789</v>
      </c>
      <c r="C1976">
        <v>3693792</v>
      </c>
      <c r="D1976">
        <v>21883</v>
      </c>
      <c r="E1976">
        <v>21883</v>
      </c>
      <c r="F1976" t="s">
        <v>441</v>
      </c>
      <c r="G1976">
        <v>0</v>
      </c>
      <c r="I1976" s="5">
        <v>44044</v>
      </c>
      <c r="J1976" s="5">
        <v>44005.333333333336</v>
      </c>
    </row>
    <row r="1977" spans="1:10" x14ac:dyDescent="0.2">
      <c r="A1977">
        <v>7119215</v>
      </c>
      <c r="B1977">
        <v>3693791</v>
      </c>
      <c r="C1977">
        <v>3693790</v>
      </c>
      <c r="D1977">
        <v>21883</v>
      </c>
      <c r="E1977">
        <v>21883</v>
      </c>
      <c r="F1977" t="s">
        <v>441</v>
      </c>
      <c r="G1977">
        <v>0</v>
      </c>
      <c r="I1977" s="5">
        <v>44044</v>
      </c>
      <c r="J1977" s="5">
        <v>44005.333333333336</v>
      </c>
    </row>
    <row r="1978" spans="1:10" x14ac:dyDescent="0.2">
      <c r="A1978">
        <v>7119216</v>
      </c>
      <c r="B1978">
        <v>3693795</v>
      </c>
      <c r="C1978">
        <v>3693788</v>
      </c>
      <c r="D1978">
        <v>21883</v>
      </c>
      <c r="E1978">
        <v>21883</v>
      </c>
      <c r="F1978" t="s">
        <v>441</v>
      </c>
      <c r="G1978">
        <v>0</v>
      </c>
      <c r="I1978" s="5">
        <v>44044</v>
      </c>
      <c r="J1978" s="5">
        <v>44005.333333333336</v>
      </c>
    </row>
    <row r="1979" spans="1:10" x14ac:dyDescent="0.2">
      <c r="A1979">
        <v>7119217</v>
      </c>
      <c r="B1979">
        <v>3693790</v>
      </c>
      <c r="C1979">
        <v>3693795</v>
      </c>
      <c r="D1979">
        <v>21883</v>
      </c>
      <c r="E1979">
        <v>21883</v>
      </c>
      <c r="F1979" t="s">
        <v>441</v>
      </c>
      <c r="G1979">
        <v>0</v>
      </c>
      <c r="I1979" s="5">
        <v>44044</v>
      </c>
      <c r="J1979" s="5">
        <v>44005.333333333336</v>
      </c>
    </row>
    <row r="1980" spans="1:10" x14ac:dyDescent="0.2">
      <c r="A1980">
        <v>7119218</v>
      </c>
      <c r="B1980">
        <v>3693796</v>
      </c>
      <c r="C1980">
        <v>3693795</v>
      </c>
      <c r="D1980">
        <v>21883</v>
      </c>
      <c r="E1980">
        <v>21883</v>
      </c>
      <c r="F1980" t="s">
        <v>441</v>
      </c>
      <c r="G1980">
        <v>0</v>
      </c>
      <c r="I1980" s="5">
        <v>44044</v>
      </c>
      <c r="J1980" s="5">
        <v>44005.333333333336</v>
      </c>
    </row>
    <row r="1981" spans="1:10" x14ac:dyDescent="0.2">
      <c r="A1981">
        <v>7119219</v>
      </c>
      <c r="B1981">
        <v>3693790</v>
      </c>
      <c r="C1981">
        <v>3693796</v>
      </c>
      <c r="D1981">
        <v>21883</v>
      </c>
      <c r="E1981">
        <v>21883</v>
      </c>
      <c r="F1981" t="s">
        <v>441</v>
      </c>
      <c r="G1981">
        <v>0</v>
      </c>
      <c r="I1981" s="5">
        <v>44044</v>
      </c>
      <c r="J1981" s="5">
        <v>44005.333333333336</v>
      </c>
    </row>
    <row r="1982" spans="1:10" x14ac:dyDescent="0.2">
      <c r="A1982">
        <v>7119220</v>
      </c>
      <c r="B1982">
        <v>3693797</v>
      </c>
      <c r="C1982">
        <v>3693791</v>
      </c>
      <c r="D1982">
        <v>21883</v>
      </c>
      <c r="E1982">
        <v>21883</v>
      </c>
      <c r="F1982" t="s">
        <v>441</v>
      </c>
      <c r="G1982">
        <v>0</v>
      </c>
      <c r="I1982" s="5">
        <v>44044</v>
      </c>
      <c r="J1982" s="5">
        <v>44005.333333333336</v>
      </c>
    </row>
    <row r="1983" spans="1:10" x14ac:dyDescent="0.2">
      <c r="A1983">
        <v>7119221</v>
      </c>
      <c r="B1983">
        <v>3693792</v>
      </c>
      <c r="C1983">
        <v>3693797</v>
      </c>
      <c r="D1983">
        <v>21883</v>
      </c>
      <c r="E1983">
        <v>21883</v>
      </c>
      <c r="F1983" t="s">
        <v>441</v>
      </c>
      <c r="G1983">
        <v>0</v>
      </c>
      <c r="I1983" s="5">
        <v>44044</v>
      </c>
      <c r="J1983" s="5">
        <v>44005.333333333336</v>
      </c>
    </row>
    <row r="1984" spans="1:10" x14ac:dyDescent="0.2">
      <c r="A1984">
        <v>7119222</v>
      </c>
      <c r="B1984">
        <v>3693798</v>
      </c>
      <c r="C1984">
        <v>3693789</v>
      </c>
      <c r="D1984">
        <v>21883</v>
      </c>
      <c r="E1984">
        <v>21883</v>
      </c>
      <c r="F1984" t="s">
        <v>441</v>
      </c>
      <c r="G1984">
        <v>0</v>
      </c>
      <c r="I1984" s="5">
        <v>44044</v>
      </c>
      <c r="J1984" s="5">
        <v>44109.666666666664</v>
      </c>
    </row>
    <row r="1985" spans="1:10" x14ac:dyDescent="0.2">
      <c r="A1985">
        <v>7119223</v>
      </c>
      <c r="B1985">
        <v>3693799</v>
      </c>
      <c r="C1985">
        <v>3693789</v>
      </c>
      <c r="D1985">
        <v>21883</v>
      </c>
      <c r="E1985">
        <v>21883</v>
      </c>
      <c r="F1985" t="s">
        <v>441</v>
      </c>
      <c r="G1985">
        <v>0</v>
      </c>
      <c r="I1985" s="5">
        <v>44044</v>
      </c>
      <c r="J1985" s="5">
        <v>44005.333333333336</v>
      </c>
    </row>
    <row r="1986" spans="1:10" x14ac:dyDescent="0.2">
      <c r="A1986">
        <v>7119224</v>
      </c>
      <c r="B1986">
        <v>3693794</v>
      </c>
      <c r="C1986">
        <v>3693793</v>
      </c>
      <c r="D1986">
        <v>21883</v>
      </c>
      <c r="E1986">
        <v>21883</v>
      </c>
      <c r="F1986" t="s">
        <v>441</v>
      </c>
      <c r="G1986">
        <v>0</v>
      </c>
      <c r="I1986" s="5">
        <v>44044</v>
      </c>
      <c r="J1986" s="5">
        <v>44005.333333333336</v>
      </c>
    </row>
    <row r="1987" spans="1:10" x14ac:dyDescent="0.2">
      <c r="A1987">
        <v>7119225</v>
      </c>
      <c r="B1987">
        <v>3693788</v>
      </c>
      <c r="C1987">
        <v>3693794</v>
      </c>
      <c r="D1987">
        <v>21883</v>
      </c>
      <c r="E1987">
        <v>21883</v>
      </c>
      <c r="F1987" t="s">
        <v>441</v>
      </c>
      <c r="G1987">
        <v>0</v>
      </c>
      <c r="I1987" s="5">
        <v>44044</v>
      </c>
      <c r="J1987" s="5">
        <v>44005.333333333336</v>
      </c>
    </row>
    <row r="1988" spans="1:10" x14ac:dyDescent="0.2">
      <c r="A1988">
        <v>7119226</v>
      </c>
      <c r="B1988">
        <v>3693798</v>
      </c>
      <c r="C1988">
        <v>3693799</v>
      </c>
      <c r="D1988">
        <v>21883</v>
      </c>
      <c r="E1988">
        <v>21883</v>
      </c>
      <c r="F1988" t="s">
        <v>441</v>
      </c>
      <c r="G1988">
        <v>0</v>
      </c>
      <c r="I1988" s="5">
        <v>44044</v>
      </c>
      <c r="J1988" s="5">
        <v>44109.666666666664</v>
      </c>
    </row>
    <row r="1989" spans="1:10" x14ac:dyDescent="0.2">
      <c r="A1989">
        <v>7119227</v>
      </c>
      <c r="B1989">
        <v>3693802</v>
      </c>
      <c r="C1989">
        <v>3693800</v>
      </c>
      <c r="D1989">
        <v>21883</v>
      </c>
      <c r="E1989">
        <v>21883</v>
      </c>
      <c r="F1989" t="s">
        <v>441</v>
      </c>
      <c r="G1989">
        <v>0</v>
      </c>
      <c r="I1989" s="5">
        <v>44044</v>
      </c>
      <c r="J1989" s="5">
        <v>44005.333333333336</v>
      </c>
    </row>
    <row r="1990" spans="1:10" x14ac:dyDescent="0.2">
      <c r="A1990">
        <v>7119228</v>
      </c>
      <c r="B1990">
        <v>3693801</v>
      </c>
      <c r="C1990">
        <v>3693802</v>
      </c>
      <c r="D1990">
        <v>21883</v>
      </c>
      <c r="E1990">
        <v>21883</v>
      </c>
      <c r="F1990" t="s">
        <v>441</v>
      </c>
      <c r="G1990">
        <v>0</v>
      </c>
      <c r="I1990" s="5">
        <v>44044</v>
      </c>
      <c r="J1990" s="5">
        <v>44005.333333333336</v>
      </c>
    </row>
    <row r="1991" spans="1:10" x14ac:dyDescent="0.2">
      <c r="A1991">
        <v>7119229</v>
      </c>
      <c r="B1991">
        <v>3693804</v>
      </c>
      <c r="C1991">
        <v>3693803</v>
      </c>
      <c r="D1991">
        <v>21883</v>
      </c>
      <c r="E1991">
        <v>21883</v>
      </c>
      <c r="F1991" t="s">
        <v>441</v>
      </c>
      <c r="G1991">
        <v>0</v>
      </c>
      <c r="I1991" s="5">
        <v>44044</v>
      </c>
      <c r="J1991" s="5">
        <v>44005.333333333336</v>
      </c>
    </row>
    <row r="1992" spans="1:10" x14ac:dyDescent="0.2">
      <c r="A1992">
        <v>7119230</v>
      </c>
      <c r="B1992">
        <v>3693801</v>
      </c>
      <c r="C1992">
        <v>3693804</v>
      </c>
      <c r="D1992">
        <v>21883</v>
      </c>
      <c r="E1992">
        <v>21883</v>
      </c>
      <c r="F1992" t="s">
        <v>441</v>
      </c>
      <c r="G1992">
        <v>0</v>
      </c>
      <c r="I1992" s="5">
        <v>44044</v>
      </c>
      <c r="J1992" s="5">
        <v>44005.333333333336</v>
      </c>
    </row>
    <row r="1993" spans="1:10" x14ac:dyDescent="0.2">
      <c r="A1993">
        <v>7119231</v>
      </c>
      <c r="B1993">
        <v>3693803</v>
      </c>
      <c r="C1993">
        <v>3693802</v>
      </c>
      <c r="D1993">
        <v>21883</v>
      </c>
      <c r="E1993">
        <v>21883</v>
      </c>
      <c r="F1993" t="s">
        <v>441</v>
      </c>
      <c r="G1993">
        <v>0</v>
      </c>
      <c r="I1993" s="5">
        <v>44044</v>
      </c>
      <c r="J1993" s="5">
        <v>44005.333333333336</v>
      </c>
    </row>
    <row r="1994" spans="1:10" x14ac:dyDescent="0.2">
      <c r="A1994">
        <v>7119232</v>
      </c>
      <c r="B1994">
        <v>3693806</v>
      </c>
      <c r="C1994">
        <v>3693805</v>
      </c>
      <c r="D1994">
        <v>21883</v>
      </c>
      <c r="E1994">
        <v>21883</v>
      </c>
      <c r="F1994" t="s">
        <v>441</v>
      </c>
      <c r="G1994">
        <v>0</v>
      </c>
      <c r="I1994" s="5">
        <v>44044</v>
      </c>
      <c r="J1994" s="5">
        <v>44005.333333333336</v>
      </c>
    </row>
    <row r="1995" spans="1:10" x14ac:dyDescent="0.2">
      <c r="A1995">
        <v>7119233</v>
      </c>
      <c r="B1995">
        <v>3693800</v>
      </c>
      <c r="C1995">
        <v>3693806</v>
      </c>
      <c r="D1995">
        <v>21883</v>
      </c>
      <c r="E1995">
        <v>21883</v>
      </c>
      <c r="F1995" t="s">
        <v>441</v>
      </c>
      <c r="G1995">
        <v>0</v>
      </c>
      <c r="I1995" s="5">
        <v>44044</v>
      </c>
      <c r="J1995" s="5">
        <v>44005.333333333336</v>
      </c>
    </row>
    <row r="1996" spans="1:10" x14ac:dyDescent="0.2">
      <c r="A1996">
        <v>7119234</v>
      </c>
      <c r="B1996">
        <v>3693807</v>
      </c>
      <c r="C1996">
        <v>3693800</v>
      </c>
      <c r="D1996">
        <v>21883</v>
      </c>
      <c r="E1996">
        <v>21883</v>
      </c>
      <c r="F1996" t="s">
        <v>441</v>
      </c>
      <c r="G1996">
        <v>0</v>
      </c>
      <c r="I1996" s="5">
        <v>44044</v>
      </c>
      <c r="J1996" s="5">
        <v>44005.333333333336</v>
      </c>
    </row>
    <row r="1997" spans="1:10" x14ac:dyDescent="0.2">
      <c r="A1997">
        <v>7119235</v>
      </c>
      <c r="B1997">
        <v>3693802</v>
      </c>
      <c r="C1997">
        <v>3693807</v>
      </c>
      <c r="D1997">
        <v>21883</v>
      </c>
      <c r="E1997">
        <v>21883</v>
      </c>
      <c r="F1997" t="s">
        <v>441</v>
      </c>
      <c r="G1997">
        <v>0</v>
      </c>
      <c r="I1997" s="5">
        <v>44044</v>
      </c>
      <c r="J1997" s="5">
        <v>44005.333333333336</v>
      </c>
    </row>
    <row r="1998" spans="1:10" x14ac:dyDescent="0.2">
      <c r="A1998">
        <v>7119236</v>
      </c>
      <c r="B1998">
        <v>3693808</v>
      </c>
      <c r="C1998">
        <v>3693807</v>
      </c>
      <c r="D1998">
        <v>21883</v>
      </c>
      <c r="E1998">
        <v>21883</v>
      </c>
      <c r="F1998" t="s">
        <v>441</v>
      </c>
      <c r="G1998">
        <v>0</v>
      </c>
      <c r="I1998" s="5">
        <v>44044</v>
      </c>
      <c r="J1998" s="5">
        <v>44005.333333333336</v>
      </c>
    </row>
    <row r="1999" spans="1:10" x14ac:dyDescent="0.2">
      <c r="A1999">
        <v>7119237</v>
      </c>
      <c r="B1999">
        <v>3693802</v>
      </c>
      <c r="C1999">
        <v>3693808</v>
      </c>
      <c r="D1999">
        <v>21883</v>
      </c>
      <c r="E1999">
        <v>21883</v>
      </c>
      <c r="F1999" t="s">
        <v>441</v>
      </c>
      <c r="G1999">
        <v>0</v>
      </c>
      <c r="I1999" s="5">
        <v>44044</v>
      </c>
      <c r="J1999" s="5">
        <v>44005.333333333336</v>
      </c>
    </row>
    <row r="2000" spans="1:10" x14ac:dyDescent="0.2">
      <c r="A2000">
        <v>7119238</v>
      </c>
      <c r="B2000">
        <v>3693810</v>
      </c>
      <c r="C2000">
        <v>3693801</v>
      </c>
      <c r="D2000">
        <v>21883</v>
      </c>
      <c r="E2000">
        <v>21883</v>
      </c>
      <c r="F2000" t="s">
        <v>441</v>
      </c>
      <c r="G2000">
        <v>0</v>
      </c>
      <c r="I2000" s="5">
        <v>44044</v>
      </c>
      <c r="J2000" s="5">
        <v>44005.333333333336</v>
      </c>
    </row>
    <row r="2001" spans="1:10" x14ac:dyDescent="0.2">
      <c r="A2001">
        <v>7119239</v>
      </c>
      <c r="B2001">
        <v>3693809</v>
      </c>
      <c r="C2001">
        <v>3693810</v>
      </c>
      <c r="D2001">
        <v>21883</v>
      </c>
      <c r="E2001">
        <v>21883</v>
      </c>
      <c r="F2001" t="s">
        <v>441</v>
      </c>
      <c r="G2001">
        <v>0</v>
      </c>
      <c r="I2001" s="5">
        <v>44044</v>
      </c>
      <c r="J2001" s="5">
        <v>44109.666666666664</v>
      </c>
    </row>
    <row r="2002" spans="1:10" x14ac:dyDescent="0.2">
      <c r="A2002">
        <v>7119240</v>
      </c>
      <c r="B2002">
        <v>3693813</v>
      </c>
      <c r="C2002">
        <v>3693811</v>
      </c>
      <c r="D2002">
        <v>21883</v>
      </c>
      <c r="E2002">
        <v>21883</v>
      </c>
      <c r="F2002" t="s">
        <v>441</v>
      </c>
      <c r="G2002">
        <v>0</v>
      </c>
      <c r="I2002" s="5">
        <v>44044</v>
      </c>
      <c r="J2002" s="5">
        <v>44005.333333333336</v>
      </c>
    </row>
    <row r="2003" spans="1:10" x14ac:dyDescent="0.2">
      <c r="A2003">
        <v>7119241</v>
      </c>
      <c r="B2003">
        <v>3693812</v>
      </c>
      <c r="C2003">
        <v>3693813</v>
      </c>
      <c r="D2003">
        <v>21883</v>
      </c>
      <c r="E2003">
        <v>21883</v>
      </c>
      <c r="F2003" t="s">
        <v>441</v>
      </c>
      <c r="G2003">
        <v>0</v>
      </c>
      <c r="I2003" s="5">
        <v>44044</v>
      </c>
      <c r="J2003" s="5">
        <v>44005.333333333336</v>
      </c>
    </row>
    <row r="2004" spans="1:10" x14ac:dyDescent="0.2">
      <c r="A2004">
        <v>7119242</v>
      </c>
      <c r="B2004">
        <v>3693815</v>
      </c>
      <c r="C2004">
        <v>3693814</v>
      </c>
      <c r="D2004">
        <v>21883</v>
      </c>
      <c r="E2004">
        <v>21883</v>
      </c>
      <c r="F2004" t="s">
        <v>441</v>
      </c>
      <c r="G2004">
        <v>0</v>
      </c>
      <c r="I2004" s="5">
        <v>44044</v>
      </c>
      <c r="J2004" s="5">
        <v>44005.333333333336</v>
      </c>
    </row>
    <row r="2005" spans="1:10" x14ac:dyDescent="0.2">
      <c r="A2005">
        <v>7119243</v>
      </c>
      <c r="B2005">
        <v>3693812</v>
      </c>
      <c r="C2005">
        <v>3693815</v>
      </c>
      <c r="D2005">
        <v>21883</v>
      </c>
      <c r="E2005">
        <v>21883</v>
      </c>
      <c r="F2005" t="s">
        <v>441</v>
      </c>
      <c r="G2005">
        <v>0</v>
      </c>
      <c r="I2005" s="5">
        <v>44044</v>
      </c>
      <c r="J2005" s="5">
        <v>44005.333333333336</v>
      </c>
    </row>
    <row r="2006" spans="1:10" x14ac:dyDescent="0.2">
      <c r="A2006">
        <v>7119244</v>
      </c>
      <c r="B2006">
        <v>3693814</v>
      </c>
      <c r="C2006">
        <v>3693813</v>
      </c>
      <c r="D2006">
        <v>21883</v>
      </c>
      <c r="E2006">
        <v>21883</v>
      </c>
      <c r="F2006" t="s">
        <v>441</v>
      </c>
      <c r="G2006">
        <v>0</v>
      </c>
      <c r="I2006" s="5">
        <v>44044</v>
      </c>
      <c r="J2006" s="5">
        <v>44005.333333333336</v>
      </c>
    </row>
    <row r="2007" spans="1:10" x14ac:dyDescent="0.2">
      <c r="A2007">
        <v>7119245</v>
      </c>
      <c r="B2007">
        <v>3693815</v>
      </c>
      <c r="C2007">
        <v>3693814</v>
      </c>
      <c r="D2007">
        <v>21883</v>
      </c>
      <c r="E2007">
        <v>21883</v>
      </c>
      <c r="F2007" t="s">
        <v>440</v>
      </c>
      <c r="G2007">
        <v>0</v>
      </c>
      <c r="I2007" s="5">
        <v>44044</v>
      </c>
      <c r="J2007" s="5">
        <v>44005.333333333336</v>
      </c>
    </row>
    <row r="2008" spans="1:10" x14ac:dyDescent="0.2">
      <c r="A2008">
        <v>7119246</v>
      </c>
      <c r="B2008">
        <v>3693812</v>
      </c>
      <c r="C2008">
        <v>3693815</v>
      </c>
      <c r="D2008">
        <v>21883</v>
      </c>
      <c r="E2008">
        <v>21883</v>
      </c>
      <c r="F2008" t="s">
        <v>440</v>
      </c>
      <c r="G2008">
        <v>0</v>
      </c>
      <c r="I2008" s="5">
        <v>44044</v>
      </c>
      <c r="J2008" s="5">
        <v>44005.333333333336</v>
      </c>
    </row>
    <row r="2009" spans="1:10" x14ac:dyDescent="0.2">
      <c r="A2009">
        <v>7119247</v>
      </c>
      <c r="B2009">
        <v>3693817</v>
      </c>
      <c r="C2009">
        <v>3693816</v>
      </c>
      <c r="D2009">
        <v>21883</v>
      </c>
      <c r="E2009">
        <v>21883</v>
      </c>
      <c r="F2009" t="s">
        <v>441</v>
      </c>
      <c r="G2009">
        <v>0</v>
      </c>
      <c r="I2009" s="5">
        <v>44044</v>
      </c>
      <c r="J2009" s="5">
        <v>44005.333333333336</v>
      </c>
    </row>
    <row r="2010" spans="1:10" x14ac:dyDescent="0.2">
      <c r="A2010">
        <v>7119248</v>
      </c>
      <c r="B2010">
        <v>3693811</v>
      </c>
      <c r="C2010">
        <v>3693817</v>
      </c>
      <c r="D2010">
        <v>21883</v>
      </c>
      <c r="E2010">
        <v>21883</v>
      </c>
      <c r="F2010" t="s">
        <v>441</v>
      </c>
      <c r="G2010">
        <v>0</v>
      </c>
      <c r="I2010" s="5">
        <v>44044</v>
      </c>
      <c r="J2010" s="5">
        <v>44005.333333333336</v>
      </c>
    </row>
    <row r="2011" spans="1:10" x14ac:dyDescent="0.2">
      <c r="A2011">
        <v>7119249</v>
      </c>
      <c r="B2011">
        <v>3693818</v>
      </c>
      <c r="C2011">
        <v>3693811</v>
      </c>
      <c r="D2011">
        <v>21883</v>
      </c>
      <c r="E2011">
        <v>21883</v>
      </c>
      <c r="F2011" t="s">
        <v>441</v>
      </c>
      <c r="G2011">
        <v>0</v>
      </c>
      <c r="I2011" s="5">
        <v>44044</v>
      </c>
      <c r="J2011" s="5">
        <v>44005.333333333336</v>
      </c>
    </row>
    <row r="2012" spans="1:10" x14ac:dyDescent="0.2">
      <c r="A2012">
        <v>7119250</v>
      </c>
      <c r="B2012">
        <v>3693819</v>
      </c>
      <c r="C2012">
        <v>3693818</v>
      </c>
      <c r="D2012">
        <v>21883</v>
      </c>
      <c r="E2012">
        <v>21883</v>
      </c>
      <c r="F2012" t="s">
        <v>441</v>
      </c>
      <c r="G2012">
        <v>0</v>
      </c>
      <c r="I2012" s="5">
        <v>44044</v>
      </c>
      <c r="J2012" s="5">
        <v>44005.333333333336</v>
      </c>
    </row>
    <row r="2013" spans="1:10" x14ac:dyDescent="0.2">
      <c r="A2013">
        <v>7119251</v>
      </c>
      <c r="B2013">
        <v>3693813</v>
      </c>
      <c r="C2013">
        <v>3693819</v>
      </c>
      <c r="D2013">
        <v>21883</v>
      </c>
      <c r="E2013">
        <v>21883</v>
      </c>
      <c r="F2013" t="s">
        <v>441</v>
      </c>
      <c r="G2013">
        <v>0</v>
      </c>
      <c r="I2013" s="5">
        <v>44044</v>
      </c>
      <c r="J2013" s="5">
        <v>44005.333333333336</v>
      </c>
    </row>
    <row r="2014" spans="1:10" x14ac:dyDescent="0.2">
      <c r="A2014">
        <v>7119252</v>
      </c>
      <c r="B2014">
        <v>3693820</v>
      </c>
      <c r="C2014">
        <v>3693821</v>
      </c>
      <c r="D2014">
        <v>21883</v>
      </c>
      <c r="E2014">
        <v>21883</v>
      </c>
      <c r="F2014" t="s">
        <v>441</v>
      </c>
      <c r="G2014">
        <v>0</v>
      </c>
      <c r="I2014" s="5">
        <v>44044</v>
      </c>
      <c r="J2014" s="5">
        <v>44109.666666666664</v>
      </c>
    </row>
    <row r="2015" spans="1:10" x14ac:dyDescent="0.2">
      <c r="A2015">
        <v>7119253</v>
      </c>
      <c r="B2015">
        <v>3693821</v>
      </c>
      <c r="C2015">
        <v>3693812</v>
      </c>
      <c r="D2015">
        <v>21883</v>
      </c>
      <c r="E2015">
        <v>21883</v>
      </c>
      <c r="F2015" t="s">
        <v>441</v>
      </c>
      <c r="G2015">
        <v>0</v>
      </c>
      <c r="I2015" s="5">
        <v>44044</v>
      </c>
      <c r="J2015" s="5">
        <v>44005.333333333336</v>
      </c>
    </row>
    <row r="2016" spans="1:10" x14ac:dyDescent="0.2">
      <c r="A2016">
        <v>7119254</v>
      </c>
      <c r="B2016">
        <v>3693824</v>
      </c>
      <c r="C2016">
        <v>3693822</v>
      </c>
      <c r="D2016">
        <v>21883</v>
      </c>
      <c r="E2016">
        <v>21883</v>
      </c>
      <c r="F2016" t="s">
        <v>441</v>
      </c>
      <c r="G2016">
        <v>0</v>
      </c>
      <c r="I2016" s="5">
        <v>44044</v>
      </c>
      <c r="J2016" s="5">
        <v>44018.333333333336</v>
      </c>
    </row>
    <row r="2017" spans="1:10" x14ac:dyDescent="0.2">
      <c r="A2017">
        <v>7119255</v>
      </c>
      <c r="B2017">
        <v>3693823</v>
      </c>
      <c r="C2017">
        <v>3693824</v>
      </c>
      <c r="D2017">
        <v>21883</v>
      </c>
      <c r="E2017">
        <v>21883</v>
      </c>
      <c r="F2017" t="s">
        <v>441</v>
      </c>
      <c r="G2017">
        <v>0</v>
      </c>
      <c r="I2017" s="5">
        <v>44044</v>
      </c>
      <c r="J2017" s="5">
        <v>44018.333333333336</v>
      </c>
    </row>
    <row r="2018" spans="1:10" x14ac:dyDescent="0.2">
      <c r="A2018">
        <v>7119256</v>
      </c>
      <c r="B2018">
        <v>3693825</v>
      </c>
      <c r="C2018">
        <v>3693824</v>
      </c>
      <c r="D2018">
        <v>21883</v>
      </c>
      <c r="E2018">
        <v>21883</v>
      </c>
      <c r="F2018" t="s">
        <v>441</v>
      </c>
      <c r="G2018">
        <v>0</v>
      </c>
      <c r="I2018" s="5">
        <v>44044</v>
      </c>
      <c r="J2018" s="5">
        <v>44018.333333333336</v>
      </c>
    </row>
    <row r="2019" spans="1:10" x14ac:dyDescent="0.2">
      <c r="A2019">
        <v>7119257</v>
      </c>
      <c r="B2019">
        <v>3693826</v>
      </c>
      <c r="C2019">
        <v>3693825</v>
      </c>
      <c r="D2019">
        <v>21883</v>
      </c>
      <c r="E2019">
        <v>21883</v>
      </c>
      <c r="F2019" t="s">
        <v>441</v>
      </c>
      <c r="G2019">
        <v>0</v>
      </c>
      <c r="I2019" s="5">
        <v>44044</v>
      </c>
      <c r="J2019" s="5">
        <v>44018.333333333336</v>
      </c>
    </row>
    <row r="2020" spans="1:10" x14ac:dyDescent="0.2">
      <c r="A2020">
        <v>7119258</v>
      </c>
      <c r="B2020">
        <v>3693823</v>
      </c>
      <c r="C2020">
        <v>3693826</v>
      </c>
      <c r="D2020">
        <v>21883</v>
      </c>
      <c r="E2020">
        <v>21883</v>
      </c>
      <c r="F2020" t="s">
        <v>441</v>
      </c>
      <c r="G2020">
        <v>0</v>
      </c>
      <c r="I2020" s="5">
        <v>44044</v>
      </c>
      <c r="J2020" s="5">
        <v>44018.333333333336</v>
      </c>
    </row>
    <row r="2021" spans="1:10" x14ac:dyDescent="0.2">
      <c r="A2021">
        <v>7119259</v>
      </c>
      <c r="B2021">
        <v>3693828</v>
      </c>
      <c r="C2021">
        <v>3693827</v>
      </c>
      <c r="D2021">
        <v>21883</v>
      </c>
      <c r="E2021">
        <v>21883</v>
      </c>
      <c r="F2021" t="s">
        <v>441</v>
      </c>
      <c r="G2021">
        <v>0</v>
      </c>
      <c r="I2021" s="5">
        <v>44044</v>
      </c>
      <c r="J2021" s="5">
        <v>44018.333333333336</v>
      </c>
    </row>
    <row r="2022" spans="1:10" x14ac:dyDescent="0.2">
      <c r="A2022">
        <v>7119260</v>
      </c>
      <c r="B2022">
        <v>3693822</v>
      </c>
      <c r="C2022">
        <v>3693828</v>
      </c>
      <c r="D2022">
        <v>21883</v>
      </c>
      <c r="E2022">
        <v>21883</v>
      </c>
      <c r="F2022" t="s">
        <v>441</v>
      </c>
      <c r="G2022">
        <v>0</v>
      </c>
      <c r="I2022" s="5">
        <v>44044</v>
      </c>
      <c r="J2022" s="5">
        <v>44018.333333333336</v>
      </c>
    </row>
    <row r="2023" spans="1:10" x14ac:dyDescent="0.2">
      <c r="A2023">
        <v>7119261</v>
      </c>
      <c r="B2023">
        <v>3693829</v>
      </c>
      <c r="C2023">
        <v>3693822</v>
      </c>
      <c r="D2023">
        <v>21883</v>
      </c>
      <c r="E2023">
        <v>21883</v>
      </c>
      <c r="F2023" t="s">
        <v>441</v>
      </c>
      <c r="G2023">
        <v>0</v>
      </c>
      <c r="I2023" s="5">
        <v>44044</v>
      </c>
      <c r="J2023" s="5">
        <v>44018.333333333336</v>
      </c>
    </row>
    <row r="2024" spans="1:10" x14ac:dyDescent="0.2">
      <c r="A2024">
        <v>7119262</v>
      </c>
      <c r="B2024">
        <v>3693830</v>
      </c>
      <c r="C2024">
        <v>3693829</v>
      </c>
      <c r="D2024">
        <v>21883</v>
      </c>
      <c r="E2024">
        <v>21883</v>
      </c>
      <c r="F2024" t="s">
        <v>441</v>
      </c>
      <c r="G2024">
        <v>0</v>
      </c>
      <c r="I2024" s="5">
        <v>44044</v>
      </c>
      <c r="J2024" s="5">
        <v>44018.333333333336</v>
      </c>
    </row>
    <row r="2025" spans="1:10" x14ac:dyDescent="0.2">
      <c r="A2025">
        <v>7119263</v>
      </c>
      <c r="B2025">
        <v>3693824</v>
      </c>
      <c r="C2025">
        <v>3693830</v>
      </c>
      <c r="D2025">
        <v>21883</v>
      </c>
      <c r="E2025">
        <v>21883</v>
      </c>
      <c r="F2025" t="s">
        <v>441</v>
      </c>
      <c r="G2025">
        <v>0</v>
      </c>
      <c r="I2025" s="5">
        <v>44044</v>
      </c>
      <c r="J2025" s="5">
        <v>44018.333333333336</v>
      </c>
    </row>
    <row r="2026" spans="1:10" x14ac:dyDescent="0.2">
      <c r="A2026">
        <v>7119264</v>
      </c>
      <c r="B2026">
        <v>3693831</v>
      </c>
      <c r="C2026">
        <v>3693823</v>
      </c>
      <c r="D2026">
        <v>21883</v>
      </c>
      <c r="E2026">
        <v>21883</v>
      </c>
      <c r="F2026" t="s">
        <v>441</v>
      </c>
      <c r="G2026">
        <v>0</v>
      </c>
      <c r="I2026" s="5">
        <v>44044</v>
      </c>
      <c r="J2026" s="5">
        <v>44018.333333333336</v>
      </c>
    </row>
    <row r="2027" spans="1:10" x14ac:dyDescent="0.2">
      <c r="A2027">
        <v>7119265</v>
      </c>
      <c r="B2027">
        <v>3693834</v>
      </c>
      <c r="C2027">
        <v>3693833</v>
      </c>
      <c r="D2027">
        <v>21883</v>
      </c>
      <c r="E2027">
        <v>21883</v>
      </c>
      <c r="F2027" t="s">
        <v>441</v>
      </c>
      <c r="G2027">
        <v>0</v>
      </c>
      <c r="I2027" s="5">
        <v>44044</v>
      </c>
      <c r="J2027" s="5">
        <v>44005.333333333336</v>
      </c>
    </row>
    <row r="2028" spans="1:10" x14ac:dyDescent="0.2">
      <c r="A2028">
        <v>7119266</v>
      </c>
      <c r="B2028">
        <v>3693837</v>
      </c>
      <c r="C2028">
        <v>3693834</v>
      </c>
      <c r="D2028">
        <v>21883</v>
      </c>
      <c r="E2028">
        <v>21883</v>
      </c>
      <c r="F2028" t="s">
        <v>441</v>
      </c>
      <c r="G2028">
        <v>0</v>
      </c>
      <c r="I2028" s="5">
        <v>44044</v>
      </c>
      <c r="J2028" s="5">
        <v>44005.333333333336</v>
      </c>
    </row>
    <row r="2029" spans="1:10" x14ac:dyDescent="0.2">
      <c r="A2029">
        <v>7119267</v>
      </c>
      <c r="B2029">
        <v>3693836</v>
      </c>
      <c r="C2029">
        <v>3693837</v>
      </c>
      <c r="D2029">
        <v>21883</v>
      </c>
      <c r="E2029">
        <v>21883</v>
      </c>
      <c r="F2029" t="s">
        <v>441</v>
      </c>
      <c r="G2029">
        <v>0</v>
      </c>
      <c r="I2029" s="5">
        <v>44044</v>
      </c>
      <c r="J2029" s="5">
        <v>44005.333333333336</v>
      </c>
    </row>
    <row r="2030" spans="1:10" x14ac:dyDescent="0.2">
      <c r="A2030">
        <v>7119268</v>
      </c>
      <c r="B2030">
        <v>3693839</v>
      </c>
      <c r="C2030">
        <v>3693838</v>
      </c>
      <c r="D2030">
        <v>21883</v>
      </c>
      <c r="E2030">
        <v>21883</v>
      </c>
      <c r="F2030" t="s">
        <v>441</v>
      </c>
      <c r="G2030">
        <v>0</v>
      </c>
      <c r="I2030" s="5">
        <v>44044</v>
      </c>
      <c r="J2030" s="5">
        <v>44005.333333333336</v>
      </c>
    </row>
    <row r="2031" spans="1:10" x14ac:dyDescent="0.2">
      <c r="A2031">
        <v>7119269</v>
      </c>
      <c r="B2031">
        <v>3693837</v>
      </c>
      <c r="C2031">
        <v>3693839</v>
      </c>
      <c r="D2031">
        <v>21883</v>
      </c>
      <c r="E2031">
        <v>21883</v>
      </c>
      <c r="F2031" t="s">
        <v>441</v>
      </c>
      <c r="G2031">
        <v>0</v>
      </c>
      <c r="I2031" s="5">
        <v>44044</v>
      </c>
      <c r="J2031" s="5">
        <v>44005.333333333336</v>
      </c>
    </row>
    <row r="2032" spans="1:10" x14ac:dyDescent="0.2">
      <c r="A2032">
        <v>7119270</v>
      </c>
      <c r="B2032">
        <v>3693835</v>
      </c>
      <c r="C2032">
        <v>3693841</v>
      </c>
      <c r="D2032">
        <v>21883</v>
      </c>
      <c r="E2032">
        <v>21883</v>
      </c>
      <c r="F2032" t="s">
        <v>441</v>
      </c>
      <c r="G2032">
        <v>0</v>
      </c>
      <c r="I2032" s="5">
        <v>44044</v>
      </c>
      <c r="J2032" s="5">
        <v>44005.333333333336</v>
      </c>
    </row>
    <row r="2033" spans="1:10" x14ac:dyDescent="0.2">
      <c r="A2033">
        <v>7119271</v>
      </c>
      <c r="B2033">
        <v>3693833</v>
      </c>
      <c r="C2033">
        <v>3693842</v>
      </c>
      <c r="D2033">
        <v>21883</v>
      </c>
      <c r="E2033">
        <v>21883</v>
      </c>
      <c r="F2033" t="s">
        <v>441</v>
      </c>
      <c r="G2033">
        <v>0</v>
      </c>
      <c r="I2033" s="5">
        <v>44044</v>
      </c>
      <c r="J2033" s="5">
        <v>43970.333333333336</v>
      </c>
    </row>
    <row r="2034" spans="1:10" x14ac:dyDescent="0.2">
      <c r="A2034">
        <v>7119272</v>
      </c>
      <c r="B2034">
        <v>3693843</v>
      </c>
      <c r="C2034">
        <v>3693837</v>
      </c>
      <c r="D2034">
        <v>21883</v>
      </c>
      <c r="E2034">
        <v>21883</v>
      </c>
      <c r="F2034" t="s">
        <v>441</v>
      </c>
      <c r="G2034">
        <v>0</v>
      </c>
      <c r="I2034" s="5">
        <v>44044</v>
      </c>
      <c r="J2034" s="5">
        <v>44005.333333333336</v>
      </c>
    </row>
    <row r="2035" spans="1:10" x14ac:dyDescent="0.2">
      <c r="A2035">
        <v>7119273</v>
      </c>
      <c r="B2035">
        <v>3693840</v>
      </c>
      <c r="C2035">
        <v>3693843</v>
      </c>
      <c r="D2035">
        <v>21883</v>
      </c>
      <c r="E2035">
        <v>21883</v>
      </c>
      <c r="F2035" t="s">
        <v>441</v>
      </c>
      <c r="G2035">
        <v>0</v>
      </c>
      <c r="I2035" s="5">
        <v>44044</v>
      </c>
      <c r="J2035" s="5">
        <v>44005.333333333336</v>
      </c>
    </row>
    <row r="2036" spans="1:10" x14ac:dyDescent="0.2">
      <c r="A2036">
        <v>7119274</v>
      </c>
      <c r="B2036">
        <v>3693836</v>
      </c>
      <c r="C2036">
        <v>3693840</v>
      </c>
      <c r="D2036">
        <v>21883</v>
      </c>
      <c r="E2036">
        <v>21883</v>
      </c>
      <c r="F2036" t="s">
        <v>441</v>
      </c>
      <c r="G2036">
        <v>0</v>
      </c>
      <c r="I2036" s="5">
        <v>44044</v>
      </c>
      <c r="J2036" s="5">
        <v>44005.333333333336</v>
      </c>
    </row>
    <row r="2037" spans="1:10" x14ac:dyDescent="0.2">
      <c r="A2037">
        <v>7119275</v>
      </c>
      <c r="B2037">
        <v>3693841</v>
      </c>
      <c r="C2037">
        <v>3693836</v>
      </c>
      <c r="D2037">
        <v>21883</v>
      </c>
      <c r="E2037">
        <v>21883</v>
      </c>
      <c r="F2037" t="s">
        <v>441</v>
      </c>
      <c r="G2037">
        <v>0</v>
      </c>
      <c r="I2037" s="5">
        <v>44044</v>
      </c>
      <c r="J2037" s="5">
        <v>44005.333333333336</v>
      </c>
    </row>
    <row r="2038" spans="1:10" x14ac:dyDescent="0.2">
      <c r="A2038">
        <v>7119276</v>
      </c>
      <c r="B2038">
        <v>3693844</v>
      </c>
      <c r="C2038">
        <v>3693833</v>
      </c>
      <c r="D2038">
        <v>21883</v>
      </c>
      <c r="E2038">
        <v>21883</v>
      </c>
      <c r="F2038" t="s">
        <v>442</v>
      </c>
      <c r="G2038">
        <v>40</v>
      </c>
      <c r="I2038" s="5">
        <v>44044</v>
      </c>
      <c r="J2038" s="5">
        <v>44005.333333333336</v>
      </c>
    </row>
    <row r="2039" spans="1:10" x14ac:dyDescent="0.2">
      <c r="A2039">
        <v>7119277</v>
      </c>
      <c r="B2039">
        <v>3693845</v>
      </c>
      <c r="C2039">
        <v>3693835</v>
      </c>
      <c r="D2039">
        <v>21883</v>
      </c>
      <c r="E2039">
        <v>21883</v>
      </c>
      <c r="F2039" t="s">
        <v>441</v>
      </c>
      <c r="G2039">
        <v>0</v>
      </c>
      <c r="I2039" s="5">
        <v>44044</v>
      </c>
      <c r="J2039" s="5">
        <v>44005.333333333336</v>
      </c>
    </row>
    <row r="2040" spans="1:10" x14ac:dyDescent="0.2">
      <c r="A2040">
        <v>7119278</v>
      </c>
      <c r="B2040">
        <v>3693846</v>
      </c>
      <c r="C2040">
        <v>3693837</v>
      </c>
      <c r="D2040">
        <v>21883</v>
      </c>
      <c r="E2040">
        <v>21883</v>
      </c>
      <c r="F2040" t="s">
        <v>441</v>
      </c>
      <c r="G2040">
        <v>0</v>
      </c>
      <c r="I2040" s="5">
        <v>44044</v>
      </c>
      <c r="J2040" s="5">
        <v>44005.333333333336</v>
      </c>
    </row>
    <row r="2041" spans="1:10" x14ac:dyDescent="0.2">
      <c r="A2041">
        <v>7119279</v>
      </c>
      <c r="B2041">
        <v>3693843</v>
      </c>
      <c r="C2041">
        <v>3693846</v>
      </c>
      <c r="D2041">
        <v>21883</v>
      </c>
      <c r="E2041">
        <v>21883</v>
      </c>
      <c r="F2041" t="s">
        <v>441</v>
      </c>
      <c r="G2041">
        <v>0</v>
      </c>
      <c r="I2041" s="5">
        <v>44044</v>
      </c>
      <c r="J2041" s="5">
        <v>44005.333333333336</v>
      </c>
    </row>
    <row r="2042" spans="1:10" x14ac:dyDescent="0.2">
      <c r="A2042">
        <v>7119280</v>
      </c>
      <c r="B2042">
        <v>3693848</v>
      </c>
      <c r="C2042">
        <v>3693847</v>
      </c>
      <c r="D2042">
        <v>21883</v>
      </c>
      <c r="E2042">
        <v>21883</v>
      </c>
      <c r="F2042" t="s">
        <v>441</v>
      </c>
      <c r="G2042">
        <v>0</v>
      </c>
      <c r="I2042" s="5">
        <v>44044</v>
      </c>
      <c r="J2042" s="5">
        <v>43983.333333333336</v>
      </c>
    </row>
    <row r="2043" spans="1:10" x14ac:dyDescent="0.2">
      <c r="A2043">
        <v>7119281</v>
      </c>
      <c r="B2043">
        <v>3693851</v>
      </c>
      <c r="C2043">
        <v>3693848</v>
      </c>
      <c r="D2043">
        <v>21883</v>
      </c>
      <c r="E2043">
        <v>21883</v>
      </c>
      <c r="F2043" t="s">
        <v>441</v>
      </c>
      <c r="G2043">
        <v>0</v>
      </c>
      <c r="I2043" s="5">
        <v>44044</v>
      </c>
      <c r="J2043" s="5">
        <v>43983.333333333336</v>
      </c>
    </row>
    <row r="2044" spans="1:10" x14ac:dyDescent="0.2">
      <c r="A2044">
        <v>7119282</v>
      </c>
      <c r="B2044">
        <v>3693853</v>
      </c>
      <c r="C2044">
        <v>3693852</v>
      </c>
      <c r="D2044">
        <v>21883</v>
      </c>
      <c r="E2044">
        <v>21883</v>
      </c>
      <c r="F2044" t="s">
        <v>441</v>
      </c>
      <c r="G2044">
        <v>0</v>
      </c>
      <c r="I2044" s="5">
        <v>44044</v>
      </c>
      <c r="J2044" s="5">
        <v>43983.333333333336</v>
      </c>
    </row>
    <row r="2045" spans="1:10" x14ac:dyDescent="0.2">
      <c r="A2045">
        <v>7119283</v>
      </c>
      <c r="B2045">
        <v>3693855</v>
      </c>
      <c r="C2045">
        <v>3693854</v>
      </c>
      <c r="D2045">
        <v>21883</v>
      </c>
      <c r="E2045">
        <v>21883</v>
      </c>
      <c r="F2045" t="s">
        <v>441</v>
      </c>
      <c r="G2045">
        <v>0</v>
      </c>
      <c r="I2045" s="5">
        <v>44048.666666666664</v>
      </c>
      <c r="J2045" s="5">
        <v>43994.333333333336</v>
      </c>
    </row>
    <row r="2046" spans="1:10" x14ac:dyDescent="0.2">
      <c r="A2046">
        <v>7119284</v>
      </c>
      <c r="B2046">
        <v>3693849</v>
      </c>
      <c r="C2046">
        <v>3693855</v>
      </c>
      <c r="D2046">
        <v>21883</v>
      </c>
      <c r="E2046">
        <v>21883</v>
      </c>
      <c r="F2046" t="s">
        <v>441</v>
      </c>
      <c r="G2046">
        <v>0</v>
      </c>
      <c r="I2046" s="5">
        <v>44055.666666666664</v>
      </c>
      <c r="J2046" s="5">
        <v>43995.333333333336</v>
      </c>
    </row>
    <row r="2047" spans="1:10" x14ac:dyDescent="0.2">
      <c r="A2047">
        <v>7119285</v>
      </c>
      <c r="B2047">
        <v>3693851</v>
      </c>
      <c r="C2047">
        <v>3693853</v>
      </c>
      <c r="D2047">
        <v>21883</v>
      </c>
      <c r="E2047">
        <v>21883</v>
      </c>
      <c r="F2047" t="s">
        <v>441</v>
      </c>
      <c r="G2047">
        <v>0</v>
      </c>
      <c r="I2047" s="5">
        <v>44044</v>
      </c>
      <c r="J2047" s="5">
        <v>43983.333333333336</v>
      </c>
    </row>
    <row r="2048" spans="1:10" x14ac:dyDescent="0.2">
      <c r="A2048">
        <v>7119286</v>
      </c>
      <c r="B2048">
        <v>3693847</v>
      </c>
      <c r="C2048">
        <v>3693856</v>
      </c>
      <c r="D2048">
        <v>21883</v>
      </c>
      <c r="E2048">
        <v>21883</v>
      </c>
      <c r="F2048" t="s">
        <v>441</v>
      </c>
      <c r="G2048">
        <v>0</v>
      </c>
      <c r="I2048" s="5">
        <v>44044</v>
      </c>
      <c r="J2048" s="5">
        <v>43970.333333333336</v>
      </c>
    </row>
    <row r="2049" spans="1:10" x14ac:dyDescent="0.2">
      <c r="A2049">
        <v>7119287</v>
      </c>
      <c r="B2049">
        <v>3693857</v>
      </c>
      <c r="C2049">
        <v>3693847</v>
      </c>
      <c r="D2049">
        <v>21883</v>
      </c>
      <c r="E2049">
        <v>21883</v>
      </c>
      <c r="F2049" t="s">
        <v>442</v>
      </c>
      <c r="G2049">
        <v>64</v>
      </c>
      <c r="I2049" s="5">
        <v>44044</v>
      </c>
      <c r="J2049" s="5">
        <v>43983.333333333336</v>
      </c>
    </row>
    <row r="2050" spans="1:10" x14ac:dyDescent="0.2">
      <c r="A2050">
        <v>7119288</v>
      </c>
      <c r="B2050">
        <v>3693858</v>
      </c>
      <c r="C2050">
        <v>3693851</v>
      </c>
      <c r="D2050">
        <v>21883</v>
      </c>
      <c r="E2050">
        <v>21883</v>
      </c>
      <c r="F2050" t="s">
        <v>441</v>
      </c>
      <c r="G2050">
        <v>0</v>
      </c>
      <c r="I2050" s="5">
        <v>44044</v>
      </c>
      <c r="J2050" s="5">
        <v>43983.333333333336</v>
      </c>
    </row>
    <row r="2051" spans="1:10" x14ac:dyDescent="0.2">
      <c r="A2051">
        <v>7119289</v>
      </c>
      <c r="B2051">
        <v>3693859</v>
      </c>
      <c r="C2051">
        <v>3693858</v>
      </c>
      <c r="D2051">
        <v>21883</v>
      </c>
      <c r="E2051">
        <v>21883</v>
      </c>
      <c r="F2051" t="s">
        <v>441</v>
      </c>
      <c r="G2051">
        <v>0</v>
      </c>
      <c r="I2051" s="5">
        <v>44044</v>
      </c>
      <c r="J2051" s="5">
        <v>43983.333333333336</v>
      </c>
    </row>
    <row r="2052" spans="1:10" x14ac:dyDescent="0.2">
      <c r="A2052">
        <v>7119290</v>
      </c>
      <c r="B2052">
        <v>3693854</v>
      </c>
      <c r="C2052">
        <v>3693859</v>
      </c>
      <c r="D2052">
        <v>21883</v>
      </c>
      <c r="E2052">
        <v>21883</v>
      </c>
      <c r="F2052" t="s">
        <v>441</v>
      </c>
      <c r="G2052">
        <v>0</v>
      </c>
      <c r="I2052" s="5">
        <v>44044</v>
      </c>
      <c r="J2052" s="5">
        <v>43983.333333333336</v>
      </c>
    </row>
    <row r="2053" spans="1:10" x14ac:dyDescent="0.2">
      <c r="A2053">
        <v>7119291</v>
      </c>
      <c r="B2053">
        <v>3693850</v>
      </c>
      <c r="C2053">
        <v>3693854</v>
      </c>
      <c r="D2053">
        <v>21883</v>
      </c>
      <c r="E2053">
        <v>21883</v>
      </c>
      <c r="F2053" t="s">
        <v>441</v>
      </c>
      <c r="G2053">
        <v>0</v>
      </c>
      <c r="I2053" s="5">
        <v>44048.666666666664</v>
      </c>
      <c r="J2053" s="5">
        <v>43987.333333333336</v>
      </c>
    </row>
    <row r="2054" spans="1:10" x14ac:dyDescent="0.2">
      <c r="A2054">
        <v>7119292</v>
      </c>
      <c r="B2054">
        <v>3693855</v>
      </c>
      <c r="C2054">
        <v>3693850</v>
      </c>
      <c r="D2054">
        <v>21883</v>
      </c>
      <c r="E2054">
        <v>21883</v>
      </c>
      <c r="F2054" t="s">
        <v>441</v>
      </c>
      <c r="G2054">
        <v>0</v>
      </c>
      <c r="I2054" s="5">
        <v>44054.666666666664</v>
      </c>
      <c r="J2054" s="5">
        <v>43994.333333333336</v>
      </c>
    </row>
    <row r="2055" spans="1:10" x14ac:dyDescent="0.2">
      <c r="A2055">
        <v>7119293</v>
      </c>
      <c r="B2055">
        <v>3693860</v>
      </c>
      <c r="C2055">
        <v>3693849</v>
      </c>
      <c r="D2055">
        <v>21883</v>
      </c>
      <c r="E2055">
        <v>21883</v>
      </c>
      <c r="F2055" t="s">
        <v>441</v>
      </c>
      <c r="G2055">
        <v>0</v>
      </c>
      <c r="I2055" s="5">
        <v>44058.666666666664</v>
      </c>
      <c r="J2055" s="5">
        <v>44005.333333333336</v>
      </c>
    </row>
    <row r="2056" spans="1:10" x14ac:dyDescent="0.2">
      <c r="A2056">
        <v>7119294</v>
      </c>
      <c r="B2056">
        <v>3693865</v>
      </c>
      <c r="C2056">
        <v>3693863</v>
      </c>
      <c r="D2056">
        <v>21883</v>
      </c>
      <c r="E2056">
        <v>21883</v>
      </c>
      <c r="F2056" t="s">
        <v>441</v>
      </c>
      <c r="G2056">
        <v>0</v>
      </c>
      <c r="I2056" s="5">
        <v>44044</v>
      </c>
      <c r="J2056" s="5">
        <v>43970.333333333336</v>
      </c>
    </row>
    <row r="2057" spans="1:10" x14ac:dyDescent="0.2">
      <c r="A2057">
        <v>7119295</v>
      </c>
      <c r="B2057">
        <v>3693864</v>
      </c>
      <c r="C2057">
        <v>3693865</v>
      </c>
      <c r="D2057">
        <v>21883</v>
      </c>
      <c r="E2057">
        <v>21883</v>
      </c>
      <c r="F2057" t="s">
        <v>441</v>
      </c>
      <c r="G2057">
        <v>0</v>
      </c>
      <c r="I2057" s="5">
        <v>44046.666666666664</v>
      </c>
      <c r="J2057" s="5">
        <v>43990.333333333336</v>
      </c>
    </row>
    <row r="2058" spans="1:10" x14ac:dyDescent="0.2">
      <c r="A2058">
        <v>7119296</v>
      </c>
      <c r="B2058">
        <v>3693867</v>
      </c>
      <c r="C2058">
        <v>3693866</v>
      </c>
      <c r="D2058">
        <v>21883</v>
      </c>
      <c r="E2058">
        <v>21883</v>
      </c>
      <c r="F2058" t="s">
        <v>441</v>
      </c>
      <c r="G2058">
        <v>0</v>
      </c>
      <c r="I2058" s="5">
        <v>44044</v>
      </c>
      <c r="J2058" s="5">
        <v>43970.333333333336</v>
      </c>
    </row>
    <row r="2059" spans="1:10" x14ac:dyDescent="0.2">
      <c r="A2059">
        <v>7119297</v>
      </c>
      <c r="B2059">
        <v>3693865</v>
      </c>
      <c r="C2059">
        <v>3693867</v>
      </c>
      <c r="D2059">
        <v>21883</v>
      </c>
      <c r="E2059">
        <v>21883</v>
      </c>
      <c r="F2059" t="s">
        <v>441</v>
      </c>
      <c r="G2059">
        <v>0</v>
      </c>
      <c r="I2059" s="5">
        <v>44044</v>
      </c>
      <c r="J2059" s="5">
        <v>43970.333333333336</v>
      </c>
    </row>
    <row r="2060" spans="1:10" x14ac:dyDescent="0.2">
      <c r="A2060">
        <v>7119298</v>
      </c>
      <c r="B2060">
        <v>3693869</v>
      </c>
      <c r="C2060">
        <v>3693868</v>
      </c>
      <c r="D2060">
        <v>21883</v>
      </c>
      <c r="E2060">
        <v>21883</v>
      </c>
      <c r="F2060" t="s">
        <v>441</v>
      </c>
      <c r="G2060">
        <v>0</v>
      </c>
      <c r="I2060" s="5">
        <v>44060.666666666664</v>
      </c>
      <c r="J2060" s="5">
        <v>43997.333333333336</v>
      </c>
    </row>
    <row r="2061" spans="1:10" x14ac:dyDescent="0.2">
      <c r="A2061">
        <v>7119299</v>
      </c>
      <c r="B2061">
        <v>3693862</v>
      </c>
      <c r="C2061">
        <v>3693869</v>
      </c>
      <c r="D2061">
        <v>21883</v>
      </c>
      <c r="E2061">
        <v>21883</v>
      </c>
      <c r="F2061" t="s">
        <v>441</v>
      </c>
      <c r="G2061">
        <v>0</v>
      </c>
      <c r="I2061" s="5">
        <v>44070.666666666664</v>
      </c>
      <c r="J2061" s="5">
        <v>43998.333333333336</v>
      </c>
    </row>
    <row r="2062" spans="1:10" x14ac:dyDescent="0.2">
      <c r="A2062">
        <v>7119300</v>
      </c>
      <c r="B2062">
        <v>3693863</v>
      </c>
      <c r="C2062">
        <v>3693871</v>
      </c>
      <c r="D2062">
        <v>21883</v>
      </c>
      <c r="E2062">
        <v>21883</v>
      </c>
      <c r="F2062" t="s">
        <v>441</v>
      </c>
      <c r="G2062">
        <v>0</v>
      </c>
      <c r="I2062" s="5">
        <v>44044</v>
      </c>
      <c r="J2062" s="5">
        <v>43970.333333333336</v>
      </c>
    </row>
    <row r="2063" spans="1:10" x14ac:dyDescent="0.2">
      <c r="A2063">
        <v>7119301</v>
      </c>
      <c r="B2063">
        <v>3693872</v>
      </c>
      <c r="C2063">
        <v>3693865</v>
      </c>
      <c r="D2063">
        <v>21883</v>
      </c>
      <c r="E2063">
        <v>21883</v>
      </c>
      <c r="F2063" t="s">
        <v>441</v>
      </c>
      <c r="G2063">
        <v>0</v>
      </c>
      <c r="I2063" s="5">
        <v>44046.666666666664</v>
      </c>
      <c r="J2063" s="5">
        <v>43973.333333333336</v>
      </c>
    </row>
    <row r="2064" spans="1:10" x14ac:dyDescent="0.2">
      <c r="A2064">
        <v>7119302</v>
      </c>
      <c r="B2064">
        <v>3693873</v>
      </c>
      <c r="C2064">
        <v>3693872</v>
      </c>
      <c r="D2064">
        <v>21883</v>
      </c>
      <c r="E2064">
        <v>21883</v>
      </c>
      <c r="F2064" t="s">
        <v>441</v>
      </c>
      <c r="G2064">
        <v>0</v>
      </c>
      <c r="I2064" s="5">
        <v>44048.666666666664</v>
      </c>
      <c r="J2064" s="5">
        <v>43978.333333333336</v>
      </c>
    </row>
    <row r="2065" spans="1:10" x14ac:dyDescent="0.2">
      <c r="A2065">
        <v>7119303</v>
      </c>
      <c r="B2065">
        <v>3693868</v>
      </c>
      <c r="C2065">
        <v>3693873</v>
      </c>
      <c r="D2065">
        <v>21883</v>
      </c>
      <c r="E2065">
        <v>21883</v>
      </c>
      <c r="F2065" t="s">
        <v>441</v>
      </c>
      <c r="G2065">
        <v>0</v>
      </c>
      <c r="I2065" s="5">
        <v>44054.666666666664</v>
      </c>
      <c r="J2065" s="5">
        <v>43984.333333333336</v>
      </c>
    </row>
    <row r="2066" spans="1:10" x14ac:dyDescent="0.2">
      <c r="A2066">
        <v>7119304</v>
      </c>
      <c r="B2066">
        <v>3693864</v>
      </c>
      <c r="C2066">
        <v>3693868</v>
      </c>
      <c r="D2066">
        <v>21883</v>
      </c>
      <c r="E2066">
        <v>21883</v>
      </c>
      <c r="F2066" t="s">
        <v>441</v>
      </c>
      <c r="G2066">
        <v>0</v>
      </c>
      <c r="I2066" s="5">
        <v>44060.666666666664</v>
      </c>
      <c r="J2066" s="5">
        <v>43990.333333333336</v>
      </c>
    </row>
    <row r="2067" spans="1:10" x14ac:dyDescent="0.2">
      <c r="A2067">
        <v>7119305</v>
      </c>
      <c r="B2067">
        <v>3693869</v>
      </c>
      <c r="C2067">
        <v>3693864</v>
      </c>
      <c r="D2067">
        <v>21883</v>
      </c>
      <c r="E2067">
        <v>21883</v>
      </c>
      <c r="F2067" t="s">
        <v>441</v>
      </c>
      <c r="G2067">
        <v>0</v>
      </c>
      <c r="I2067" s="5">
        <v>44069.666666666664</v>
      </c>
      <c r="J2067" s="5">
        <v>43997.333333333336</v>
      </c>
    </row>
    <row r="2068" spans="1:10" x14ac:dyDescent="0.2">
      <c r="A2068">
        <v>7119306</v>
      </c>
      <c r="B2068">
        <v>3693874</v>
      </c>
      <c r="C2068">
        <v>3693862</v>
      </c>
      <c r="D2068">
        <v>21883</v>
      </c>
      <c r="E2068">
        <v>21883</v>
      </c>
      <c r="F2068" t="s">
        <v>441</v>
      </c>
      <c r="G2068">
        <v>0</v>
      </c>
      <c r="I2068" s="5">
        <v>44073.666666666664</v>
      </c>
      <c r="J2068" s="5">
        <v>44007.333333333336</v>
      </c>
    </row>
    <row r="2069" spans="1:10" x14ac:dyDescent="0.2">
      <c r="A2069">
        <v>7119307</v>
      </c>
      <c r="B2069">
        <v>3693878</v>
      </c>
      <c r="C2069">
        <v>3693877</v>
      </c>
      <c r="D2069">
        <v>21883</v>
      </c>
      <c r="E2069">
        <v>21883</v>
      </c>
      <c r="F2069" t="s">
        <v>442</v>
      </c>
      <c r="G2069">
        <v>16</v>
      </c>
      <c r="I2069" s="5">
        <v>44047.666666666664</v>
      </c>
      <c r="J2069" s="5">
        <v>44008.333333333336</v>
      </c>
    </row>
    <row r="2070" spans="1:10" x14ac:dyDescent="0.2">
      <c r="A2070">
        <v>7119308</v>
      </c>
      <c r="B2070">
        <v>3693880</v>
      </c>
      <c r="C2070">
        <v>3693879</v>
      </c>
      <c r="D2070">
        <v>21883</v>
      </c>
      <c r="E2070">
        <v>21883</v>
      </c>
      <c r="F2070" t="s">
        <v>441</v>
      </c>
      <c r="G2070">
        <v>0</v>
      </c>
      <c r="I2070" s="5">
        <v>44084.666666666664</v>
      </c>
      <c r="J2070" s="5">
        <v>44042.333333333336</v>
      </c>
    </row>
    <row r="2071" spans="1:10" x14ac:dyDescent="0.2">
      <c r="A2071">
        <v>7119309</v>
      </c>
      <c r="B2071">
        <v>3693875</v>
      </c>
      <c r="C2071">
        <v>3693881</v>
      </c>
      <c r="D2071">
        <v>21883</v>
      </c>
      <c r="E2071">
        <v>21883</v>
      </c>
      <c r="F2071" t="s">
        <v>441</v>
      </c>
      <c r="G2071">
        <v>0</v>
      </c>
      <c r="I2071" s="5">
        <v>44044</v>
      </c>
      <c r="J2071" s="5">
        <v>44005.333333333336</v>
      </c>
    </row>
    <row r="2072" spans="1:10" x14ac:dyDescent="0.2">
      <c r="A2072">
        <v>7119310</v>
      </c>
      <c r="B2072">
        <v>3693875</v>
      </c>
      <c r="C2072">
        <v>3693882</v>
      </c>
      <c r="D2072">
        <v>21883</v>
      </c>
      <c r="E2072">
        <v>21883</v>
      </c>
      <c r="F2072" t="s">
        <v>441</v>
      </c>
      <c r="G2072">
        <v>0</v>
      </c>
      <c r="I2072" s="5">
        <v>44044</v>
      </c>
      <c r="J2072" s="5">
        <v>44005.333333333336</v>
      </c>
    </row>
    <row r="2073" spans="1:10" x14ac:dyDescent="0.2">
      <c r="A2073">
        <v>7119311</v>
      </c>
      <c r="B2073">
        <v>3693884</v>
      </c>
      <c r="C2073">
        <v>3693883</v>
      </c>
      <c r="D2073">
        <v>21883</v>
      </c>
      <c r="E2073">
        <v>21883</v>
      </c>
      <c r="F2073" t="s">
        <v>441</v>
      </c>
      <c r="G2073">
        <v>0</v>
      </c>
      <c r="I2073" s="5">
        <v>44049.666666666664</v>
      </c>
      <c r="J2073" s="5">
        <v>44011.333333333336</v>
      </c>
    </row>
    <row r="2074" spans="1:10" x14ac:dyDescent="0.2">
      <c r="A2074">
        <v>7119312</v>
      </c>
      <c r="B2074">
        <v>3693885</v>
      </c>
      <c r="C2074">
        <v>3693884</v>
      </c>
      <c r="D2074">
        <v>21883</v>
      </c>
      <c r="E2074">
        <v>21883</v>
      </c>
      <c r="F2074" t="s">
        <v>441</v>
      </c>
      <c r="G2074">
        <v>0</v>
      </c>
      <c r="I2074" s="5">
        <v>44055.666666666664</v>
      </c>
      <c r="J2074" s="5">
        <v>44018.333333333336</v>
      </c>
    </row>
    <row r="2075" spans="1:10" x14ac:dyDescent="0.2">
      <c r="A2075">
        <v>7119313</v>
      </c>
      <c r="B2075">
        <v>3693877</v>
      </c>
      <c r="C2075">
        <v>3693875</v>
      </c>
      <c r="D2075">
        <v>21883</v>
      </c>
      <c r="E2075">
        <v>21883</v>
      </c>
      <c r="F2075" t="s">
        <v>441</v>
      </c>
      <c r="G2075">
        <v>0</v>
      </c>
      <c r="I2075" s="5">
        <v>44044</v>
      </c>
      <c r="J2075" s="5">
        <v>44019.333333333336</v>
      </c>
    </row>
    <row r="2076" spans="1:10" x14ac:dyDescent="0.2">
      <c r="A2076">
        <v>7119314</v>
      </c>
      <c r="B2076">
        <v>3693878</v>
      </c>
      <c r="C2076">
        <v>3693884</v>
      </c>
      <c r="D2076">
        <v>21883</v>
      </c>
      <c r="E2076">
        <v>21883</v>
      </c>
      <c r="F2076" t="s">
        <v>441</v>
      </c>
      <c r="G2076">
        <v>0</v>
      </c>
      <c r="I2076" s="5">
        <v>44055.666666666664</v>
      </c>
      <c r="J2076" s="5">
        <v>44021.333333333336</v>
      </c>
    </row>
    <row r="2077" spans="1:10" x14ac:dyDescent="0.2">
      <c r="A2077">
        <v>7119315</v>
      </c>
      <c r="B2077">
        <v>3693886</v>
      </c>
      <c r="C2077">
        <v>3693878</v>
      </c>
      <c r="D2077">
        <v>21883</v>
      </c>
      <c r="E2077">
        <v>21883</v>
      </c>
      <c r="F2077" t="s">
        <v>441</v>
      </c>
      <c r="G2077">
        <v>0</v>
      </c>
      <c r="I2077" s="5">
        <v>44070.666666666664</v>
      </c>
      <c r="J2077" s="5">
        <v>44027.333333333336</v>
      </c>
    </row>
    <row r="2078" spans="1:10" x14ac:dyDescent="0.2">
      <c r="A2078">
        <v>7119316</v>
      </c>
      <c r="B2078">
        <v>3693887</v>
      </c>
      <c r="C2078">
        <v>3693886</v>
      </c>
      <c r="D2078">
        <v>21883</v>
      </c>
      <c r="E2078">
        <v>21883</v>
      </c>
      <c r="F2078" t="s">
        <v>441</v>
      </c>
      <c r="G2078">
        <v>0</v>
      </c>
      <c r="I2078" s="5">
        <v>44076.666666666664</v>
      </c>
      <c r="J2078" s="5">
        <v>44034.333333333336</v>
      </c>
    </row>
    <row r="2079" spans="1:10" x14ac:dyDescent="0.2">
      <c r="A2079">
        <v>7119317</v>
      </c>
      <c r="B2079">
        <v>3693879</v>
      </c>
      <c r="C2079">
        <v>3693887</v>
      </c>
      <c r="D2079">
        <v>21883</v>
      </c>
      <c r="E2079">
        <v>21883</v>
      </c>
      <c r="F2079" t="s">
        <v>441</v>
      </c>
      <c r="G2079">
        <v>0</v>
      </c>
      <c r="I2079" s="5">
        <v>44083.666666666664</v>
      </c>
      <c r="J2079" s="5">
        <v>44041.333333333336</v>
      </c>
    </row>
    <row r="2080" spans="1:10" x14ac:dyDescent="0.2">
      <c r="A2080">
        <v>7119318</v>
      </c>
      <c r="B2080">
        <v>3693888</v>
      </c>
      <c r="C2080">
        <v>3693880</v>
      </c>
      <c r="D2080">
        <v>21883</v>
      </c>
      <c r="E2080">
        <v>21883</v>
      </c>
      <c r="F2080" t="s">
        <v>441</v>
      </c>
      <c r="G2080">
        <v>0</v>
      </c>
      <c r="I2080" s="5">
        <v>44091.666666666664</v>
      </c>
      <c r="J2080" s="5">
        <v>44105.333333333336</v>
      </c>
    </row>
    <row r="2081" spans="1:10" x14ac:dyDescent="0.2">
      <c r="A2081">
        <v>7119319</v>
      </c>
      <c r="B2081">
        <v>3693878</v>
      </c>
      <c r="C2081">
        <v>3693885</v>
      </c>
      <c r="D2081">
        <v>21883</v>
      </c>
      <c r="E2081">
        <v>21883</v>
      </c>
      <c r="F2081" t="s">
        <v>441</v>
      </c>
      <c r="G2081">
        <v>0</v>
      </c>
      <c r="I2081" s="5">
        <v>44061.666666666664</v>
      </c>
      <c r="J2081" s="5">
        <v>44021.333333333336</v>
      </c>
    </row>
    <row r="2082" spans="1:10" x14ac:dyDescent="0.2">
      <c r="A2082">
        <v>7119320</v>
      </c>
      <c r="B2082">
        <v>3693895</v>
      </c>
      <c r="C2082">
        <v>3693894</v>
      </c>
      <c r="D2082">
        <v>21883</v>
      </c>
      <c r="E2082">
        <v>21883</v>
      </c>
      <c r="F2082" t="s">
        <v>441</v>
      </c>
      <c r="G2082">
        <v>0</v>
      </c>
      <c r="I2082" s="5">
        <v>44085.666666666664</v>
      </c>
      <c r="J2082" s="5">
        <v>44071.333333333336</v>
      </c>
    </row>
    <row r="2083" spans="1:10" x14ac:dyDescent="0.2">
      <c r="A2083">
        <v>7119321</v>
      </c>
      <c r="B2083">
        <v>3693890</v>
      </c>
      <c r="C2083">
        <v>3693896</v>
      </c>
      <c r="D2083">
        <v>21883</v>
      </c>
      <c r="E2083">
        <v>21883</v>
      </c>
      <c r="F2083" t="s">
        <v>441</v>
      </c>
      <c r="G2083">
        <v>0</v>
      </c>
      <c r="I2083" s="5">
        <v>44044</v>
      </c>
      <c r="J2083" s="5">
        <v>44006.333333333336</v>
      </c>
    </row>
    <row r="2084" spans="1:10" x14ac:dyDescent="0.2">
      <c r="A2084">
        <v>7119322</v>
      </c>
      <c r="B2084">
        <v>3693890</v>
      </c>
      <c r="C2084">
        <v>3693897</v>
      </c>
      <c r="D2084">
        <v>21883</v>
      </c>
      <c r="E2084">
        <v>21883</v>
      </c>
      <c r="F2084" t="s">
        <v>441</v>
      </c>
      <c r="G2084">
        <v>0</v>
      </c>
      <c r="I2084" s="5">
        <v>44044</v>
      </c>
      <c r="J2084" s="5">
        <v>44006.333333333336</v>
      </c>
    </row>
    <row r="2085" spans="1:10" x14ac:dyDescent="0.2">
      <c r="A2085">
        <v>7119323</v>
      </c>
      <c r="B2085">
        <v>3693892</v>
      </c>
      <c r="C2085">
        <v>3693890</v>
      </c>
      <c r="D2085">
        <v>21883</v>
      </c>
      <c r="E2085">
        <v>21883</v>
      </c>
      <c r="F2085" t="s">
        <v>441</v>
      </c>
      <c r="G2085">
        <v>0</v>
      </c>
      <c r="I2085" s="5">
        <v>44044</v>
      </c>
      <c r="J2085" s="5">
        <v>44020.333333333336</v>
      </c>
    </row>
    <row r="2086" spans="1:10" x14ac:dyDescent="0.2">
      <c r="A2086">
        <v>7119324</v>
      </c>
      <c r="B2086">
        <v>3693899</v>
      </c>
      <c r="C2086">
        <v>3693898</v>
      </c>
      <c r="D2086">
        <v>21883</v>
      </c>
      <c r="E2086">
        <v>21883</v>
      </c>
      <c r="F2086" t="s">
        <v>441</v>
      </c>
      <c r="G2086">
        <v>0</v>
      </c>
      <c r="I2086" s="5">
        <v>44049.666666666664</v>
      </c>
      <c r="J2086" s="5">
        <v>44019.333333333336</v>
      </c>
    </row>
    <row r="2087" spans="1:10" x14ac:dyDescent="0.2">
      <c r="A2087">
        <v>7119325</v>
      </c>
      <c r="B2087">
        <v>3693900</v>
      </c>
      <c r="C2087">
        <v>3693899</v>
      </c>
      <c r="D2087">
        <v>21883</v>
      </c>
      <c r="E2087">
        <v>21883</v>
      </c>
      <c r="F2087" t="s">
        <v>441</v>
      </c>
      <c r="G2087">
        <v>0</v>
      </c>
      <c r="I2087" s="5">
        <v>44055.666666666664</v>
      </c>
      <c r="J2087" s="5">
        <v>44025.333333333336</v>
      </c>
    </row>
    <row r="2088" spans="1:10" x14ac:dyDescent="0.2">
      <c r="A2088">
        <v>7119326</v>
      </c>
      <c r="B2088">
        <v>3693893</v>
      </c>
      <c r="C2088">
        <v>3693900</v>
      </c>
      <c r="D2088">
        <v>21883</v>
      </c>
      <c r="E2088">
        <v>21883</v>
      </c>
      <c r="F2088" t="s">
        <v>441</v>
      </c>
      <c r="G2088">
        <v>0</v>
      </c>
      <c r="I2088" s="5">
        <v>44061.666666666664</v>
      </c>
      <c r="J2088" s="5">
        <v>44028.333333333336</v>
      </c>
    </row>
    <row r="2089" spans="1:10" x14ac:dyDescent="0.2">
      <c r="A2089">
        <v>7119327</v>
      </c>
      <c r="B2089">
        <v>3693901</v>
      </c>
      <c r="C2089">
        <v>3693893</v>
      </c>
      <c r="D2089">
        <v>21883</v>
      </c>
      <c r="E2089">
        <v>21883</v>
      </c>
      <c r="F2089" t="s">
        <v>441</v>
      </c>
      <c r="G2089">
        <v>0</v>
      </c>
      <c r="I2089" s="5">
        <v>44070.666666666664</v>
      </c>
      <c r="J2089" s="5">
        <v>44035.333333333336</v>
      </c>
    </row>
    <row r="2090" spans="1:10" x14ac:dyDescent="0.2">
      <c r="A2090">
        <v>7119328</v>
      </c>
      <c r="B2090">
        <v>3693902</v>
      </c>
      <c r="C2090">
        <v>3693901</v>
      </c>
      <c r="D2090">
        <v>21883</v>
      </c>
      <c r="E2090">
        <v>21883</v>
      </c>
      <c r="F2090" t="s">
        <v>441</v>
      </c>
      <c r="G2090">
        <v>0</v>
      </c>
      <c r="I2090" s="5">
        <v>44076.666666666664</v>
      </c>
      <c r="J2090" s="5">
        <v>44042.333333333336</v>
      </c>
    </row>
    <row r="2091" spans="1:10" x14ac:dyDescent="0.2">
      <c r="A2091">
        <v>7119329</v>
      </c>
      <c r="B2091">
        <v>3693894</v>
      </c>
      <c r="C2091">
        <v>3693902</v>
      </c>
      <c r="D2091">
        <v>21883</v>
      </c>
      <c r="E2091">
        <v>21883</v>
      </c>
      <c r="F2091" t="s">
        <v>441</v>
      </c>
      <c r="G2091">
        <v>0</v>
      </c>
      <c r="I2091" s="5">
        <v>44083.666666666664</v>
      </c>
      <c r="J2091" s="5">
        <v>44048.333333333336</v>
      </c>
    </row>
    <row r="2092" spans="1:10" x14ac:dyDescent="0.2">
      <c r="A2092">
        <v>7119330</v>
      </c>
      <c r="B2092">
        <v>3693903</v>
      </c>
      <c r="C2092">
        <v>3693895</v>
      </c>
      <c r="D2092">
        <v>21883</v>
      </c>
      <c r="E2092">
        <v>21883</v>
      </c>
      <c r="F2092" t="s">
        <v>441</v>
      </c>
      <c r="G2092">
        <v>0</v>
      </c>
      <c r="I2092" s="5">
        <v>44092.666666666664</v>
      </c>
      <c r="J2092" s="5">
        <v>44105.333333333336</v>
      </c>
    </row>
    <row r="2093" spans="1:10" x14ac:dyDescent="0.2">
      <c r="A2093">
        <v>7119331</v>
      </c>
      <c r="B2093">
        <v>3693910</v>
      </c>
      <c r="C2093">
        <v>3693909</v>
      </c>
      <c r="D2093">
        <v>21883</v>
      </c>
      <c r="E2093">
        <v>21883</v>
      </c>
      <c r="F2093" t="s">
        <v>441</v>
      </c>
      <c r="G2093">
        <v>0</v>
      </c>
      <c r="I2093" s="5">
        <v>44103.666666666664</v>
      </c>
      <c r="J2093" s="5">
        <v>44071.333333333336</v>
      </c>
    </row>
    <row r="2094" spans="1:10" x14ac:dyDescent="0.2">
      <c r="A2094">
        <v>7119332</v>
      </c>
      <c r="B2094">
        <v>3693905</v>
      </c>
      <c r="C2094">
        <v>3693911</v>
      </c>
      <c r="D2094">
        <v>21883</v>
      </c>
      <c r="E2094">
        <v>21883</v>
      </c>
      <c r="F2094" t="s">
        <v>441</v>
      </c>
      <c r="G2094">
        <v>0</v>
      </c>
      <c r="I2094" s="5">
        <v>44046.666666666664</v>
      </c>
      <c r="J2094" s="5">
        <v>44006.333333333336</v>
      </c>
    </row>
    <row r="2095" spans="1:10" x14ac:dyDescent="0.2">
      <c r="A2095">
        <v>7119333</v>
      </c>
      <c r="B2095">
        <v>3693905</v>
      </c>
      <c r="C2095">
        <v>3693912</v>
      </c>
      <c r="D2095">
        <v>21883</v>
      </c>
      <c r="E2095">
        <v>21883</v>
      </c>
      <c r="F2095" t="s">
        <v>441</v>
      </c>
      <c r="G2095">
        <v>0</v>
      </c>
      <c r="I2095" s="5">
        <v>44046.666666666664</v>
      </c>
      <c r="J2095" s="5">
        <v>44006.333333333336</v>
      </c>
    </row>
    <row r="2096" spans="1:10" x14ac:dyDescent="0.2">
      <c r="A2096">
        <v>7119334</v>
      </c>
      <c r="B2096">
        <v>3693907</v>
      </c>
      <c r="C2096">
        <v>3693905</v>
      </c>
      <c r="D2096">
        <v>21883</v>
      </c>
      <c r="E2096">
        <v>21883</v>
      </c>
      <c r="F2096" t="s">
        <v>441</v>
      </c>
      <c r="G2096">
        <v>0</v>
      </c>
      <c r="I2096" s="5">
        <v>44054.666666666664</v>
      </c>
      <c r="J2096" s="5">
        <v>44022.333333333336</v>
      </c>
    </row>
    <row r="2097" spans="1:10" x14ac:dyDescent="0.2">
      <c r="A2097">
        <v>7119335</v>
      </c>
      <c r="B2097">
        <v>3693914</v>
      </c>
      <c r="C2097">
        <v>3693913</v>
      </c>
      <c r="D2097">
        <v>21883</v>
      </c>
      <c r="E2097">
        <v>21883</v>
      </c>
      <c r="F2097" t="s">
        <v>441</v>
      </c>
      <c r="G2097">
        <v>0</v>
      </c>
      <c r="I2097" s="5">
        <v>44061.666666666664</v>
      </c>
      <c r="J2097" s="5">
        <v>44025.333333333336</v>
      </c>
    </row>
    <row r="2098" spans="1:10" x14ac:dyDescent="0.2">
      <c r="A2098">
        <v>7119336</v>
      </c>
      <c r="B2098">
        <v>3693915</v>
      </c>
      <c r="C2098">
        <v>3693914</v>
      </c>
      <c r="D2098">
        <v>21883</v>
      </c>
      <c r="E2098">
        <v>21883</v>
      </c>
      <c r="F2098" t="s">
        <v>441</v>
      </c>
      <c r="G2098">
        <v>0</v>
      </c>
      <c r="I2098" s="5">
        <v>44070.666666666664</v>
      </c>
      <c r="J2098" s="5">
        <v>44029.333333333336</v>
      </c>
    </row>
    <row r="2099" spans="1:10" x14ac:dyDescent="0.2">
      <c r="A2099">
        <v>7119337</v>
      </c>
      <c r="B2099">
        <v>3693908</v>
      </c>
      <c r="C2099">
        <v>3693915</v>
      </c>
      <c r="D2099">
        <v>21883</v>
      </c>
      <c r="E2099">
        <v>21883</v>
      </c>
      <c r="F2099" t="s">
        <v>441</v>
      </c>
      <c r="G2099">
        <v>0</v>
      </c>
      <c r="I2099" s="5">
        <v>44071.666666666664</v>
      </c>
      <c r="J2099" s="5">
        <v>44032.333333333336</v>
      </c>
    </row>
    <row r="2100" spans="1:10" x14ac:dyDescent="0.2">
      <c r="A2100">
        <v>7119338</v>
      </c>
      <c r="B2100">
        <v>3693916</v>
      </c>
      <c r="C2100">
        <v>3693908</v>
      </c>
      <c r="D2100">
        <v>21883</v>
      </c>
      <c r="E2100">
        <v>21883</v>
      </c>
      <c r="F2100" t="s">
        <v>441</v>
      </c>
      <c r="G2100">
        <v>0</v>
      </c>
      <c r="I2100" s="5">
        <v>44077.666666666664</v>
      </c>
      <c r="J2100" s="5">
        <v>44040.333333333336</v>
      </c>
    </row>
    <row r="2101" spans="1:10" x14ac:dyDescent="0.2">
      <c r="A2101">
        <v>7119339</v>
      </c>
      <c r="B2101">
        <v>3693917</v>
      </c>
      <c r="C2101">
        <v>3693916</v>
      </c>
      <c r="D2101">
        <v>21883</v>
      </c>
      <c r="E2101">
        <v>21883</v>
      </c>
      <c r="F2101" t="s">
        <v>441</v>
      </c>
      <c r="G2101">
        <v>0</v>
      </c>
      <c r="I2101" s="5">
        <v>44084.666666666664</v>
      </c>
      <c r="J2101" s="5">
        <v>44046.333333333336</v>
      </c>
    </row>
    <row r="2102" spans="1:10" x14ac:dyDescent="0.2">
      <c r="A2102">
        <v>7119340</v>
      </c>
      <c r="B2102">
        <v>3693909</v>
      </c>
      <c r="C2102">
        <v>3693917</v>
      </c>
      <c r="D2102">
        <v>21883</v>
      </c>
      <c r="E2102">
        <v>21883</v>
      </c>
      <c r="F2102" t="s">
        <v>441</v>
      </c>
      <c r="G2102">
        <v>0</v>
      </c>
      <c r="I2102" s="5">
        <v>44090.666666666664</v>
      </c>
      <c r="J2102" s="5">
        <v>44050.333333333336</v>
      </c>
    </row>
    <row r="2103" spans="1:10" x14ac:dyDescent="0.2">
      <c r="A2103">
        <v>7119341</v>
      </c>
      <c r="B2103">
        <v>3693918</v>
      </c>
      <c r="C2103">
        <v>3693910</v>
      </c>
      <c r="D2103">
        <v>21883</v>
      </c>
      <c r="E2103">
        <v>21883</v>
      </c>
      <c r="F2103" t="s">
        <v>441</v>
      </c>
      <c r="G2103">
        <v>0</v>
      </c>
      <c r="I2103" s="5">
        <v>44110.666666666664</v>
      </c>
      <c r="J2103" s="5">
        <v>44105.333333333336</v>
      </c>
    </row>
    <row r="2104" spans="1:10" x14ac:dyDescent="0.2">
      <c r="A2104">
        <v>7119342</v>
      </c>
      <c r="B2104">
        <v>3693925</v>
      </c>
      <c r="C2104">
        <v>3693924</v>
      </c>
      <c r="D2104">
        <v>21883</v>
      </c>
      <c r="E2104">
        <v>21883</v>
      </c>
      <c r="F2104" t="s">
        <v>441</v>
      </c>
      <c r="G2104">
        <v>0</v>
      </c>
      <c r="I2104" s="5">
        <v>44139.666666666664</v>
      </c>
      <c r="J2104" s="5">
        <v>44071.333333333336</v>
      </c>
    </row>
    <row r="2105" spans="1:10" x14ac:dyDescent="0.2">
      <c r="A2105">
        <v>7119343</v>
      </c>
      <c r="B2105">
        <v>3693920</v>
      </c>
      <c r="C2105">
        <v>3693926</v>
      </c>
      <c r="D2105">
        <v>21883</v>
      </c>
      <c r="E2105">
        <v>21883</v>
      </c>
      <c r="F2105" t="s">
        <v>441</v>
      </c>
      <c r="G2105">
        <v>0</v>
      </c>
      <c r="I2105" s="5">
        <v>44046.666666666664</v>
      </c>
      <c r="J2105" s="5">
        <v>44027.333333333336</v>
      </c>
    </row>
    <row r="2106" spans="1:10" x14ac:dyDescent="0.2">
      <c r="A2106">
        <v>7119344</v>
      </c>
      <c r="B2106">
        <v>3693920</v>
      </c>
      <c r="C2106">
        <v>3693927</v>
      </c>
      <c r="D2106">
        <v>21883</v>
      </c>
      <c r="E2106">
        <v>21883</v>
      </c>
      <c r="F2106" t="s">
        <v>441</v>
      </c>
      <c r="G2106">
        <v>0</v>
      </c>
      <c r="I2106" s="5">
        <v>44046.666666666664</v>
      </c>
      <c r="J2106" s="5">
        <v>44027.333333333336</v>
      </c>
    </row>
    <row r="2107" spans="1:10" x14ac:dyDescent="0.2">
      <c r="A2107">
        <v>7119345</v>
      </c>
      <c r="B2107">
        <v>3693922</v>
      </c>
      <c r="C2107">
        <v>3693920</v>
      </c>
      <c r="D2107">
        <v>21883</v>
      </c>
      <c r="E2107">
        <v>21883</v>
      </c>
      <c r="F2107" t="s">
        <v>441</v>
      </c>
      <c r="G2107">
        <v>0</v>
      </c>
      <c r="I2107" s="5">
        <v>44095.666666666664</v>
      </c>
      <c r="J2107" s="5">
        <v>44040.333333333336</v>
      </c>
    </row>
    <row r="2108" spans="1:10" x14ac:dyDescent="0.2">
      <c r="A2108">
        <v>7119346</v>
      </c>
      <c r="B2108">
        <v>3693929</v>
      </c>
      <c r="C2108">
        <v>3693928</v>
      </c>
      <c r="D2108">
        <v>21883</v>
      </c>
      <c r="E2108">
        <v>21883</v>
      </c>
      <c r="F2108" t="s">
        <v>441</v>
      </c>
      <c r="G2108">
        <v>0</v>
      </c>
      <c r="I2108" s="5">
        <v>44102.666666666664</v>
      </c>
      <c r="J2108" s="5">
        <v>44036.333333333336</v>
      </c>
    </row>
    <row r="2109" spans="1:10" x14ac:dyDescent="0.2">
      <c r="A2109">
        <v>7119347</v>
      </c>
      <c r="B2109">
        <v>3693930</v>
      </c>
      <c r="C2109">
        <v>3693929</v>
      </c>
      <c r="D2109">
        <v>21883</v>
      </c>
      <c r="E2109">
        <v>21883</v>
      </c>
      <c r="F2109" t="s">
        <v>441</v>
      </c>
      <c r="G2109">
        <v>0</v>
      </c>
      <c r="I2109" s="5">
        <v>44110.666666666664</v>
      </c>
      <c r="J2109" s="5">
        <v>44043.333333333336</v>
      </c>
    </row>
    <row r="2110" spans="1:10" x14ac:dyDescent="0.2">
      <c r="A2110">
        <v>7119348</v>
      </c>
      <c r="B2110">
        <v>3693923</v>
      </c>
      <c r="C2110">
        <v>3693930</v>
      </c>
      <c r="D2110">
        <v>21883</v>
      </c>
      <c r="E2110">
        <v>21883</v>
      </c>
      <c r="F2110" t="s">
        <v>441</v>
      </c>
      <c r="G2110">
        <v>0</v>
      </c>
      <c r="I2110" s="5">
        <v>44116.666666666664</v>
      </c>
      <c r="J2110" s="5">
        <v>44048.333333333336</v>
      </c>
    </row>
    <row r="2111" spans="1:10" x14ac:dyDescent="0.2">
      <c r="A2111">
        <v>7119349</v>
      </c>
      <c r="B2111">
        <v>3693932</v>
      </c>
      <c r="C2111">
        <v>3693931</v>
      </c>
      <c r="D2111">
        <v>21883</v>
      </c>
      <c r="E2111">
        <v>21883</v>
      </c>
      <c r="F2111" t="s">
        <v>441</v>
      </c>
      <c r="G2111">
        <v>0</v>
      </c>
      <c r="I2111" s="5">
        <v>44126.666666666664</v>
      </c>
      <c r="J2111" s="5">
        <v>44061.333333333336</v>
      </c>
    </row>
    <row r="2112" spans="1:10" x14ac:dyDescent="0.2">
      <c r="A2112">
        <v>7119350</v>
      </c>
      <c r="B2112">
        <v>3693931</v>
      </c>
      <c r="C2112">
        <v>3693923</v>
      </c>
      <c r="D2112">
        <v>21883</v>
      </c>
      <c r="E2112">
        <v>21883</v>
      </c>
      <c r="F2112" t="s">
        <v>441</v>
      </c>
      <c r="G2112">
        <v>0</v>
      </c>
      <c r="I2112" s="5">
        <v>44120.666666666664</v>
      </c>
      <c r="J2112" s="5">
        <v>44054.333333333336</v>
      </c>
    </row>
    <row r="2113" spans="1:10" x14ac:dyDescent="0.2">
      <c r="A2113">
        <v>7119351</v>
      </c>
      <c r="B2113">
        <v>3693924</v>
      </c>
      <c r="C2113">
        <v>3693932</v>
      </c>
      <c r="D2113">
        <v>21883</v>
      </c>
      <c r="E2113">
        <v>21883</v>
      </c>
      <c r="F2113" t="s">
        <v>441</v>
      </c>
      <c r="G2113">
        <v>0</v>
      </c>
      <c r="I2113" s="5">
        <v>44132.666666666664</v>
      </c>
      <c r="J2113" s="5">
        <v>44070.333333333336</v>
      </c>
    </row>
    <row r="2114" spans="1:10" x14ac:dyDescent="0.2">
      <c r="A2114">
        <v>7119352</v>
      </c>
      <c r="B2114">
        <v>3693933</v>
      </c>
      <c r="C2114">
        <v>3693925</v>
      </c>
      <c r="D2114">
        <v>21883</v>
      </c>
      <c r="E2114">
        <v>21883</v>
      </c>
      <c r="F2114" t="s">
        <v>441</v>
      </c>
      <c r="G2114">
        <v>0</v>
      </c>
      <c r="I2114" s="5">
        <v>44146.666666666664</v>
      </c>
      <c r="J2114" s="5">
        <v>44105.333333333336</v>
      </c>
    </row>
    <row r="2115" spans="1:10" x14ac:dyDescent="0.2">
      <c r="A2115">
        <v>7119353</v>
      </c>
      <c r="B2115">
        <v>3693938</v>
      </c>
      <c r="C2115">
        <v>3693937</v>
      </c>
      <c r="D2115">
        <v>21883</v>
      </c>
      <c r="E2115">
        <v>21883</v>
      </c>
      <c r="F2115" t="s">
        <v>442</v>
      </c>
      <c r="G2115">
        <v>16</v>
      </c>
      <c r="I2115" s="5">
        <v>44095.666666666664</v>
      </c>
      <c r="J2115" s="5">
        <v>44026.333333333336</v>
      </c>
    </row>
    <row r="2116" spans="1:10" x14ac:dyDescent="0.2">
      <c r="A2116">
        <v>7119354</v>
      </c>
      <c r="B2116">
        <v>3693940</v>
      </c>
      <c r="C2116">
        <v>3693939</v>
      </c>
      <c r="D2116">
        <v>21883</v>
      </c>
      <c r="E2116">
        <v>21883</v>
      </c>
      <c r="F2116" t="s">
        <v>441</v>
      </c>
      <c r="G2116">
        <v>0</v>
      </c>
      <c r="I2116" s="5">
        <v>44127.666666666664</v>
      </c>
      <c r="J2116" s="5">
        <v>44071.333333333336</v>
      </c>
    </row>
    <row r="2117" spans="1:10" x14ac:dyDescent="0.2">
      <c r="A2117">
        <v>7119355</v>
      </c>
      <c r="B2117">
        <v>3693935</v>
      </c>
      <c r="C2117">
        <v>3693941</v>
      </c>
      <c r="D2117">
        <v>21883</v>
      </c>
      <c r="E2117">
        <v>21883</v>
      </c>
      <c r="F2117" t="s">
        <v>441</v>
      </c>
      <c r="G2117">
        <v>0</v>
      </c>
      <c r="I2117" s="5">
        <v>44048.666666666664</v>
      </c>
      <c r="J2117" s="5">
        <v>44019.333333333336</v>
      </c>
    </row>
    <row r="2118" spans="1:10" x14ac:dyDescent="0.2">
      <c r="A2118">
        <v>7119356</v>
      </c>
      <c r="B2118">
        <v>3693935</v>
      </c>
      <c r="C2118">
        <v>3693942</v>
      </c>
      <c r="D2118">
        <v>21883</v>
      </c>
      <c r="E2118">
        <v>21883</v>
      </c>
      <c r="F2118" t="s">
        <v>441</v>
      </c>
      <c r="G2118">
        <v>0</v>
      </c>
      <c r="I2118" s="5">
        <v>44046.666666666664</v>
      </c>
      <c r="J2118" s="5">
        <v>44019.333333333336</v>
      </c>
    </row>
    <row r="2119" spans="1:10" x14ac:dyDescent="0.2">
      <c r="A2119">
        <v>7119357</v>
      </c>
      <c r="B2119">
        <v>3693937</v>
      </c>
      <c r="C2119">
        <v>3693935</v>
      </c>
      <c r="D2119">
        <v>21883</v>
      </c>
      <c r="E2119">
        <v>21883</v>
      </c>
      <c r="F2119" t="s">
        <v>441</v>
      </c>
      <c r="G2119">
        <v>0</v>
      </c>
      <c r="I2119" s="5">
        <v>44091.666666666664</v>
      </c>
      <c r="J2119" s="5">
        <v>44035.333333333336</v>
      </c>
    </row>
    <row r="2120" spans="1:10" x14ac:dyDescent="0.2">
      <c r="A2120">
        <v>7119358</v>
      </c>
      <c r="B2120">
        <v>3693944</v>
      </c>
      <c r="C2120">
        <v>3693943</v>
      </c>
      <c r="D2120">
        <v>21883</v>
      </c>
      <c r="E2120">
        <v>21883</v>
      </c>
      <c r="F2120" t="s">
        <v>441</v>
      </c>
      <c r="G2120">
        <v>0</v>
      </c>
      <c r="I2120" s="5">
        <v>44098.666666666664</v>
      </c>
      <c r="J2120" s="5">
        <v>44027.333333333336</v>
      </c>
    </row>
    <row r="2121" spans="1:10" x14ac:dyDescent="0.2">
      <c r="A2121">
        <v>7119359</v>
      </c>
      <c r="B2121">
        <v>3693945</v>
      </c>
      <c r="C2121">
        <v>3693944</v>
      </c>
      <c r="D2121">
        <v>21883</v>
      </c>
      <c r="E2121">
        <v>21883</v>
      </c>
      <c r="F2121" t="s">
        <v>441</v>
      </c>
      <c r="G2121">
        <v>0</v>
      </c>
      <c r="I2121" s="5">
        <v>44105.666666666664</v>
      </c>
      <c r="J2121" s="5">
        <v>44034.333333333336</v>
      </c>
    </row>
    <row r="2122" spans="1:10" x14ac:dyDescent="0.2">
      <c r="A2122">
        <v>7119360</v>
      </c>
      <c r="B2122">
        <v>3693938</v>
      </c>
      <c r="C2122">
        <v>3693945</v>
      </c>
      <c r="D2122">
        <v>21883</v>
      </c>
      <c r="E2122">
        <v>21883</v>
      </c>
      <c r="F2122" t="s">
        <v>441</v>
      </c>
      <c r="G2122">
        <v>0</v>
      </c>
      <c r="I2122" s="5">
        <v>44111.666666666664</v>
      </c>
      <c r="J2122" s="5">
        <v>44040.333333333336</v>
      </c>
    </row>
    <row r="2123" spans="1:10" x14ac:dyDescent="0.2">
      <c r="A2123">
        <v>7119361</v>
      </c>
      <c r="B2123">
        <v>3693947</v>
      </c>
      <c r="C2123">
        <v>3693946</v>
      </c>
      <c r="D2123">
        <v>21883</v>
      </c>
      <c r="E2123">
        <v>21883</v>
      </c>
      <c r="F2123" t="s">
        <v>441</v>
      </c>
      <c r="G2123">
        <v>0</v>
      </c>
      <c r="I2123" s="5">
        <v>44120.666666666664</v>
      </c>
      <c r="J2123" s="5">
        <v>44048.333333333336</v>
      </c>
    </row>
    <row r="2124" spans="1:10" x14ac:dyDescent="0.2">
      <c r="A2124">
        <v>7119362</v>
      </c>
      <c r="B2124">
        <v>3693946</v>
      </c>
      <c r="C2124">
        <v>3693938</v>
      </c>
      <c r="D2124">
        <v>21883</v>
      </c>
      <c r="E2124">
        <v>21883</v>
      </c>
      <c r="F2124" t="s">
        <v>441</v>
      </c>
      <c r="G2124">
        <v>0</v>
      </c>
      <c r="I2124" s="5">
        <v>44118.666666666664</v>
      </c>
      <c r="J2124" s="5">
        <v>44046.333333333336</v>
      </c>
    </row>
    <row r="2125" spans="1:10" x14ac:dyDescent="0.2">
      <c r="A2125">
        <v>7119363</v>
      </c>
      <c r="B2125">
        <v>3693939</v>
      </c>
      <c r="C2125">
        <v>3693947</v>
      </c>
      <c r="D2125">
        <v>21883</v>
      </c>
      <c r="E2125">
        <v>21883</v>
      </c>
      <c r="F2125" t="s">
        <v>441</v>
      </c>
      <c r="G2125">
        <v>0</v>
      </c>
      <c r="I2125" s="5">
        <v>44125.666666666664</v>
      </c>
      <c r="J2125" s="5">
        <v>44053.333333333336</v>
      </c>
    </row>
    <row r="2126" spans="1:10" x14ac:dyDescent="0.2">
      <c r="A2126">
        <v>7119364</v>
      </c>
      <c r="B2126">
        <v>3693948</v>
      </c>
      <c r="C2126">
        <v>3693940</v>
      </c>
      <c r="D2126">
        <v>21883</v>
      </c>
      <c r="E2126">
        <v>21883</v>
      </c>
      <c r="F2126" t="s">
        <v>441</v>
      </c>
      <c r="G2126">
        <v>0</v>
      </c>
      <c r="I2126" s="5">
        <v>44134.666666666664</v>
      </c>
      <c r="J2126" s="5">
        <v>44105.333333333336</v>
      </c>
    </row>
    <row r="2127" spans="1:10" x14ac:dyDescent="0.2">
      <c r="A2127">
        <v>7119365</v>
      </c>
      <c r="B2127">
        <v>3693955</v>
      </c>
      <c r="C2127">
        <v>3693954</v>
      </c>
      <c r="D2127">
        <v>21883</v>
      </c>
      <c r="E2127">
        <v>21883</v>
      </c>
      <c r="F2127" t="s">
        <v>441</v>
      </c>
      <c r="G2127">
        <v>0</v>
      </c>
      <c r="I2127" s="5">
        <v>44131.666666666664</v>
      </c>
      <c r="J2127" s="5">
        <v>44071.333333333336</v>
      </c>
    </row>
    <row r="2128" spans="1:10" x14ac:dyDescent="0.2">
      <c r="A2128">
        <v>7119366</v>
      </c>
      <c r="B2128">
        <v>3693950</v>
      </c>
      <c r="C2128">
        <v>3693956</v>
      </c>
      <c r="D2128">
        <v>21883</v>
      </c>
      <c r="E2128">
        <v>21883</v>
      </c>
      <c r="F2128" t="s">
        <v>441</v>
      </c>
      <c r="G2128">
        <v>0</v>
      </c>
      <c r="I2128" s="5">
        <v>44071.666666666664</v>
      </c>
      <c r="J2128" s="5">
        <v>44008.333333333336</v>
      </c>
    </row>
    <row r="2129" spans="1:10" x14ac:dyDescent="0.2">
      <c r="A2129">
        <v>7119367</v>
      </c>
      <c r="B2129">
        <v>3693950</v>
      </c>
      <c r="C2129">
        <v>3693957</v>
      </c>
      <c r="D2129">
        <v>21883</v>
      </c>
      <c r="E2129">
        <v>21883</v>
      </c>
      <c r="F2129" t="s">
        <v>441</v>
      </c>
      <c r="G2129">
        <v>0</v>
      </c>
      <c r="I2129" s="5">
        <v>44048.666666666664</v>
      </c>
      <c r="J2129" s="5">
        <v>44008.333333333336</v>
      </c>
    </row>
    <row r="2130" spans="1:10" x14ac:dyDescent="0.2">
      <c r="A2130">
        <v>7119368</v>
      </c>
      <c r="B2130">
        <v>3693958</v>
      </c>
      <c r="C2130">
        <v>3693955</v>
      </c>
      <c r="D2130">
        <v>21883</v>
      </c>
      <c r="E2130">
        <v>21883</v>
      </c>
      <c r="F2130" t="s">
        <v>441</v>
      </c>
      <c r="G2130">
        <v>0</v>
      </c>
      <c r="I2130" s="5">
        <v>44138.666666666664</v>
      </c>
      <c r="J2130" s="5">
        <v>44105.333333333336</v>
      </c>
    </row>
    <row r="2131" spans="1:10" x14ac:dyDescent="0.2">
      <c r="A2131">
        <v>7119369</v>
      </c>
      <c r="B2131">
        <v>3693961</v>
      </c>
      <c r="C2131">
        <v>3693960</v>
      </c>
      <c r="D2131">
        <v>21883</v>
      </c>
      <c r="E2131">
        <v>21883</v>
      </c>
      <c r="F2131" t="s">
        <v>441</v>
      </c>
      <c r="G2131">
        <v>0</v>
      </c>
      <c r="I2131" s="5">
        <v>44082.666666666664</v>
      </c>
      <c r="J2131" s="5">
        <v>44026.333333333336</v>
      </c>
    </row>
    <row r="2132" spans="1:10" x14ac:dyDescent="0.2">
      <c r="A2132">
        <v>7119370</v>
      </c>
      <c r="B2132">
        <v>3693962</v>
      </c>
      <c r="C2132">
        <v>3693961</v>
      </c>
      <c r="D2132">
        <v>21883</v>
      </c>
      <c r="E2132">
        <v>21883</v>
      </c>
      <c r="F2132" t="s">
        <v>441</v>
      </c>
      <c r="G2132">
        <v>0</v>
      </c>
      <c r="I2132" s="5">
        <v>44088.666666666664</v>
      </c>
      <c r="J2132" s="5">
        <v>44032.333333333336</v>
      </c>
    </row>
    <row r="2133" spans="1:10" x14ac:dyDescent="0.2">
      <c r="A2133">
        <v>7119371</v>
      </c>
      <c r="B2133">
        <v>3693953</v>
      </c>
      <c r="C2133">
        <v>3693962</v>
      </c>
      <c r="D2133">
        <v>21883</v>
      </c>
      <c r="E2133">
        <v>21883</v>
      </c>
      <c r="F2133" t="s">
        <v>441</v>
      </c>
      <c r="G2133">
        <v>0</v>
      </c>
      <c r="I2133" s="5">
        <v>44091.666666666664</v>
      </c>
      <c r="J2133" s="5">
        <v>44036.333333333336</v>
      </c>
    </row>
    <row r="2134" spans="1:10" x14ac:dyDescent="0.2">
      <c r="A2134">
        <v>7119372</v>
      </c>
      <c r="B2134">
        <v>3693964</v>
      </c>
      <c r="C2134">
        <v>3693963</v>
      </c>
      <c r="D2134">
        <v>21883</v>
      </c>
      <c r="E2134">
        <v>21883</v>
      </c>
      <c r="F2134" t="s">
        <v>441</v>
      </c>
      <c r="G2134">
        <v>0</v>
      </c>
      <c r="I2134" s="5">
        <v>44105.666666666664</v>
      </c>
      <c r="J2134" s="5">
        <v>44049.333333333336</v>
      </c>
    </row>
    <row r="2135" spans="1:10" x14ac:dyDescent="0.2">
      <c r="A2135">
        <v>7119373</v>
      </c>
      <c r="B2135">
        <v>3693963</v>
      </c>
      <c r="C2135">
        <v>3693953</v>
      </c>
      <c r="D2135">
        <v>21883</v>
      </c>
      <c r="E2135">
        <v>21883</v>
      </c>
      <c r="F2135" t="s">
        <v>441</v>
      </c>
      <c r="G2135">
        <v>0</v>
      </c>
      <c r="I2135" s="5">
        <v>44098.666666666664</v>
      </c>
      <c r="J2135" s="5">
        <v>44043.333333333336</v>
      </c>
    </row>
    <row r="2136" spans="1:10" x14ac:dyDescent="0.2">
      <c r="A2136">
        <v>7119374</v>
      </c>
      <c r="B2136">
        <v>3693954</v>
      </c>
      <c r="C2136">
        <v>3693964</v>
      </c>
      <c r="D2136">
        <v>21883</v>
      </c>
      <c r="E2136">
        <v>21883</v>
      </c>
      <c r="F2136" t="s">
        <v>441</v>
      </c>
      <c r="G2136">
        <v>0</v>
      </c>
      <c r="I2136" s="5">
        <v>44113.666666666664</v>
      </c>
      <c r="J2136" s="5">
        <v>44055.333333333336</v>
      </c>
    </row>
    <row r="2137" spans="1:10" x14ac:dyDescent="0.2">
      <c r="A2137">
        <v>7119375</v>
      </c>
      <c r="B2137">
        <v>3693952</v>
      </c>
      <c r="C2137">
        <v>3693950</v>
      </c>
      <c r="D2137">
        <v>21883</v>
      </c>
      <c r="E2137">
        <v>21883</v>
      </c>
      <c r="F2137" t="s">
        <v>441</v>
      </c>
      <c r="G2137">
        <v>0</v>
      </c>
      <c r="I2137" s="5">
        <v>44075.666666666664</v>
      </c>
      <c r="J2137" s="5">
        <v>44027.333333333336</v>
      </c>
    </row>
    <row r="2138" spans="1:10" x14ac:dyDescent="0.2">
      <c r="A2138">
        <v>7119376</v>
      </c>
      <c r="B2138">
        <v>3693968</v>
      </c>
      <c r="C2138">
        <v>3693967</v>
      </c>
      <c r="D2138">
        <v>21883</v>
      </c>
      <c r="E2138">
        <v>21883</v>
      </c>
      <c r="F2138" t="s">
        <v>442</v>
      </c>
      <c r="G2138">
        <v>16</v>
      </c>
      <c r="I2138" s="5">
        <v>44089.666666666664</v>
      </c>
      <c r="J2138" s="5">
        <v>44028.333333333336</v>
      </c>
    </row>
    <row r="2139" spans="1:10" x14ac:dyDescent="0.2">
      <c r="A2139">
        <v>7119377</v>
      </c>
      <c r="B2139">
        <v>3693970</v>
      </c>
      <c r="C2139">
        <v>3693969</v>
      </c>
      <c r="D2139">
        <v>21883</v>
      </c>
      <c r="E2139">
        <v>21883</v>
      </c>
      <c r="F2139" t="s">
        <v>441</v>
      </c>
      <c r="G2139">
        <v>0</v>
      </c>
      <c r="I2139" s="5">
        <v>44133.666666666664</v>
      </c>
      <c r="J2139" s="5">
        <v>44071.333333333336</v>
      </c>
    </row>
    <row r="2140" spans="1:10" x14ac:dyDescent="0.2">
      <c r="A2140">
        <v>7119378</v>
      </c>
      <c r="B2140">
        <v>3693965</v>
      </c>
      <c r="C2140">
        <v>3693971</v>
      </c>
      <c r="D2140">
        <v>21883</v>
      </c>
      <c r="E2140">
        <v>21883</v>
      </c>
      <c r="F2140" t="s">
        <v>441</v>
      </c>
      <c r="G2140">
        <v>0</v>
      </c>
      <c r="I2140" s="5">
        <v>44083.666666666664</v>
      </c>
      <c r="J2140" s="5">
        <v>44012.333333333336</v>
      </c>
    </row>
    <row r="2141" spans="1:10" x14ac:dyDescent="0.2">
      <c r="A2141">
        <v>7119379</v>
      </c>
      <c r="B2141">
        <v>3693965</v>
      </c>
      <c r="C2141">
        <v>3693972</v>
      </c>
      <c r="D2141">
        <v>21883</v>
      </c>
      <c r="E2141">
        <v>21883</v>
      </c>
      <c r="F2141" t="s">
        <v>441</v>
      </c>
      <c r="G2141">
        <v>0</v>
      </c>
      <c r="I2141" s="5">
        <v>44071.666666666664</v>
      </c>
      <c r="J2141" s="5">
        <v>44012.333333333336</v>
      </c>
    </row>
    <row r="2142" spans="1:10" x14ac:dyDescent="0.2">
      <c r="A2142">
        <v>7119380</v>
      </c>
      <c r="B2142">
        <v>3693973</v>
      </c>
      <c r="C2142">
        <v>3693970</v>
      </c>
      <c r="D2142">
        <v>21883</v>
      </c>
      <c r="E2142">
        <v>21883</v>
      </c>
      <c r="F2142" t="s">
        <v>441</v>
      </c>
      <c r="G2142">
        <v>0</v>
      </c>
      <c r="I2142" s="5">
        <v>44140.666666666664</v>
      </c>
      <c r="J2142" s="5">
        <v>44105.333333333336</v>
      </c>
    </row>
    <row r="2143" spans="1:10" x14ac:dyDescent="0.2">
      <c r="A2143">
        <v>7119381</v>
      </c>
      <c r="B2143">
        <v>3693976</v>
      </c>
      <c r="C2143">
        <v>3693975</v>
      </c>
      <c r="D2143">
        <v>21883</v>
      </c>
      <c r="E2143">
        <v>21883</v>
      </c>
      <c r="F2143" t="s">
        <v>441</v>
      </c>
      <c r="G2143">
        <v>0</v>
      </c>
      <c r="I2143" s="5">
        <v>44116.666666666664</v>
      </c>
      <c r="J2143" s="5">
        <v>44053.333333333336</v>
      </c>
    </row>
    <row r="2144" spans="1:10" x14ac:dyDescent="0.2">
      <c r="A2144">
        <v>7119382</v>
      </c>
      <c r="B2144">
        <v>3693969</v>
      </c>
      <c r="C2144">
        <v>3693976</v>
      </c>
      <c r="D2144">
        <v>21883</v>
      </c>
      <c r="E2144">
        <v>21883</v>
      </c>
      <c r="F2144" t="s">
        <v>441</v>
      </c>
      <c r="G2144">
        <v>0</v>
      </c>
      <c r="I2144" s="5">
        <v>44120.666666666664</v>
      </c>
      <c r="J2144" s="5">
        <v>44060.333333333336</v>
      </c>
    </row>
    <row r="2145" spans="1:10" x14ac:dyDescent="0.2">
      <c r="A2145">
        <v>7119383</v>
      </c>
      <c r="B2145">
        <v>3693975</v>
      </c>
      <c r="C2145">
        <v>3693968</v>
      </c>
      <c r="D2145">
        <v>21883</v>
      </c>
      <c r="E2145">
        <v>21883</v>
      </c>
      <c r="F2145" t="s">
        <v>441</v>
      </c>
      <c r="G2145">
        <v>0</v>
      </c>
      <c r="I2145" s="5">
        <v>44109.666666666664</v>
      </c>
      <c r="J2145" s="5">
        <v>44047.333333333336</v>
      </c>
    </row>
    <row r="2146" spans="1:10" x14ac:dyDescent="0.2">
      <c r="A2146">
        <v>7119384</v>
      </c>
      <c r="B2146">
        <v>3693967</v>
      </c>
      <c r="C2146">
        <v>3693965</v>
      </c>
      <c r="D2146">
        <v>21883</v>
      </c>
      <c r="E2146">
        <v>21883</v>
      </c>
      <c r="F2146" t="s">
        <v>441</v>
      </c>
      <c r="G2146">
        <v>0</v>
      </c>
      <c r="I2146" s="5">
        <v>44085.666666666664</v>
      </c>
      <c r="J2146" s="5">
        <v>44040.333333333336</v>
      </c>
    </row>
    <row r="2147" spans="1:10" x14ac:dyDescent="0.2">
      <c r="A2147">
        <v>7119385</v>
      </c>
      <c r="B2147">
        <v>3693978</v>
      </c>
      <c r="C2147">
        <v>3693977</v>
      </c>
      <c r="D2147">
        <v>21883</v>
      </c>
      <c r="E2147">
        <v>21883</v>
      </c>
      <c r="F2147" t="s">
        <v>441</v>
      </c>
      <c r="G2147">
        <v>0</v>
      </c>
      <c r="I2147" s="5">
        <v>44090.666666666664</v>
      </c>
      <c r="J2147" s="5">
        <v>44029.333333333336</v>
      </c>
    </row>
    <row r="2148" spans="1:10" x14ac:dyDescent="0.2">
      <c r="A2148">
        <v>7119386</v>
      </c>
      <c r="B2148">
        <v>3693979</v>
      </c>
      <c r="C2148">
        <v>3693978</v>
      </c>
      <c r="D2148">
        <v>21883</v>
      </c>
      <c r="E2148">
        <v>21883</v>
      </c>
      <c r="F2148" t="s">
        <v>441</v>
      </c>
      <c r="G2148">
        <v>0</v>
      </c>
      <c r="I2148" s="5">
        <v>44096.666666666664</v>
      </c>
      <c r="J2148" s="5">
        <v>44036.333333333336</v>
      </c>
    </row>
    <row r="2149" spans="1:10" x14ac:dyDescent="0.2">
      <c r="A2149">
        <v>7119387</v>
      </c>
      <c r="B2149">
        <v>3693968</v>
      </c>
      <c r="C2149">
        <v>3693979</v>
      </c>
      <c r="D2149">
        <v>21883</v>
      </c>
      <c r="E2149">
        <v>21883</v>
      </c>
      <c r="F2149" t="s">
        <v>441</v>
      </c>
      <c r="G2149">
        <v>0</v>
      </c>
      <c r="I2149" s="5">
        <v>44102.666666666664</v>
      </c>
      <c r="J2149" s="5">
        <v>44042.333333333336</v>
      </c>
    </row>
    <row r="2150" spans="1:10" x14ac:dyDescent="0.2">
      <c r="A2150">
        <v>7119388</v>
      </c>
      <c r="B2150">
        <v>3693985</v>
      </c>
      <c r="C2150">
        <v>3693984</v>
      </c>
      <c r="D2150">
        <v>21883</v>
      </c>
      <c r="E2150">
        <v>21883</v>
      </c>
      <c r="F2150" t="s">
        <v>441</v>
      </c>
      <c r="G2150">
        <v>0</v>
      </c>
      <c r="I2150" s="5">
        <v>44137.666666666664</v>
      </c>
      <c r="J2150" s="5">
        <v>44071.333333333336</v>
      </c>
    </row>
    <row r="2151" spans="1:10" x14ac:dyDescent="0.2">
      <c r="A2151">
        <v>7119389</v>
      </c>
      <c r="B2151">
        <v>3693980</v>
      </c>
      <c r="C2151">
        <v>3693986</v>
      </c>
      <c r="D2151">
        <v>21883</v>
      </c>
      <c r="E2151">
        <v>21883</v>
      </c>
      <c r="F2151" t="s">
        <v>441</v>
      </c>
      <c r="G2151">
        <v>0</v>
      </c>
      <c r="I2151" s="5">
        <v>44046.666666666664</v>
      </c>
      <c r="J2151" s="5">
        <v>44014.333333333336</v>
      </c>
    </row>
    <row r="2152" spans="1:10" x14ac:dyDescent="0.2">
      <c r="A2152">
        <v>7119390</v>
      </c>
      <c r="B2152">
        <v>3693980</v>
      </c>
      <c r="C2152">
        <v>3693987</v>
      </c>
      <c r="D2152">
        <v>21883</v>
      </c>
      <c r="E2152">
        <v>21883</v>
      </c>
      <c r="F2152" t="s">
        <v>441</v>
      </c>
      <c r="G2152">
        <v>0</v>
      </c>
      <c r="I2152" s="5">
        <v>44083.666666666664</v>
      </c>
      <c r="J2152" s="5">
        <v>44014.333333333336</v>
      </c>
    </row>
    <row r="2153" spans="1:10" x14ac:dyDescent="0.2">
      <c r="A2153">
        <v>7119391</v>
      </c>
      <c r="B2153">
        <v>3693988</v>
      </c>
      <c r="C2153">
        <v>3693985</v>
      </c>
      <c r="D2153">
        <v>21883</v>
      </c>
      <c r="E2153">
        <v>21883</v>
      </c>
      <c r="F2153" t="s">
        <v>441</v>
      </c>
      <c r="G2153">
        <v>0</v>
      </c>
      <c r="I2153" s="5">
        <v>44144.666666666664</v>
      </c>
      <c r="J2153" s="5">
        <v>44105.333333333336</v>
      </c>
    </row>
    <row r="2154" spans="1:10" x14ac:dyDescent="0.2">
      <c r="A2154">
        <v>7119392</v>
      </c>
      <c r="B2154">
        <v>3693991</v>
      </c>
      <c r="C2154">
        <v>3693990</v>
      </c>
      <c r="D2154">
        <v>21883</v>
      </c>
      <c r="E2154">
        <v>21883</v>
      </c>
      <c r="F2154" t="s">
        <v>441</v>
      </c>
      <c r="G2154">
        <v>0</v>
      </c>
      <c r="I2154" s="5">
        <v>44092.666666666664</v>
      </c>
      <c r="J2154" s="5">
        <v>44034.333333333336</v>
      </c>
    </row>
    <row r="2155" spans="1:10" x14ac:dyDescent="0.2">
      <c r="A2155">
        <v>7119393</v>
      </c>
      <c r="B2155">
        <v>3693992</v>
      </c>
      <c r="C2155">
        <v>3693991</v>
      </c>
      <c r="D2155">
        <v>21883</v>
      </c>
      <c r="E2155">
        <v>21883</v>
      </c>
      <c r="F2155" t="s">
        <v>441</v>
      </c>
      <c r="G2155">
        <v>0</v>
      </c>
      <c r="I2155" s="5">
        <v>44099.666666666664</v>
      </c>
      <c r="J2155" s="5">
        <v>44041.333333333336</v>
      </c>
    </row>
    <row r="2156" spans="1:10" x14ac:dyDescent="0.2">
      <c r="A2156">
        <v>7119394</v>
      </c>
      <c r="B2156">
        <v>3693983</v>
      </c>
      <c r="C2156">
        <v>3693992</v>
      </c>
      <c r="D2156">
        <v>21883</v>
      </c>
      <c r="E2156">
        <v>21883</v>
      </c>
      <c r="F2156" t="s">
        <v>441</v>
      </c>
      <c r="G2156">
        <v>0</v>
      </c>
      <c r="I2156" s="5">
        <v>44105.666666666664</v>
      </c>
      <c r="J2156" s="5">
        <v>44046.333333333336</v>
      </c>
    </row>
    <row r="2157" spans="1:10" x14ac:dyDescent="0.2">
      <c r="A2157">
        <v>7119395</v>
      </c>
      <c r="B2157">
        <v>3693994</v>
      </c>
      <c r="C2157">
        <v>3693993</v>
      </c>
      <c r="D2157">
        <v>21883</v>
      </c>
      <c r="E2157">
        <v>21883</v>
      </c>
      <c r="F2157" t="s">
        <v>441</v>
      </c>
      <c r="G2157">
        <v>0</v>
      </c>
      <c r="I2157" s="5">
        <v>44118.666666666664</v>
      </c>
      <c r="J2157" s="5">
        <v>44055.333333333336</v>
      </c>
    </row>
    <row r="2158" spans="1:10" x14ac:dyDescent="0.2">
      <c r="A2158">
        <v>7119396</v>
      </c>
      <c r="B2158">
        <v>3693984</v>
      </c>
      <c r="C2158">
        <v>3693994</v>
      </c>
      <c r="D2158">
        <v>21883</v>
      </c>
      <c r="E2158">
        <v>21883</v>
      </c>
      <c r="F2158" t="s">
        <v>441</v>
      </c>
      <c r="G2158">
        <v>0</v>
      </c>
      <c r="I2158" s="5">
        <v>44124.666666666664</v>
      </c>
      <c r="J2158" s="5">
        <v>44063.333333333336</v>
      </c>
    </row>
    <row r="2159" spans="1:10" x14ac:dyDescent="0.2">
      <c r="A2159">
        <v>7119397</v>
      </c>
      <c r="B2159">
        <v>3693993</v>
      </c>
      <c r="C2159">
        <v>3693983</v>
      </c>
      <c r="D2159">
        <v>21883</v>
      </c>
      <c r="E2159">
        <v>21883</v>
      </c>
      <c r="F2159" t="s">
        <v>441</v>
      </c>
      <c r="G2159">
        <v>0</v>
      </c>
      <c r="I2159" s="5">
        <v>44111.666666666664</v>
      </c>
      <c r="J2159" s="5">
        <v>44049.333333333336</v>
      </c>
    </row>
    <row r="2160" spans="1:10" x14ac:dyDescent="0.2">
      <c r="A2160">
        <v>7119398</v>
      </c>
      <c r="B2160">
        <v>3693982</v>
      </c>
      <c r="C2160">
        <v>3693980</v>
      </c>
      <c r="D2160">
        <v>21883</v>
      </c>
      <c r="E2160">
        <v>21883</v>
      </c>
      <c r="F2160" t="s">
        <v>441</v>
      </c>
      <c r="G2160">
        <v>0</v>
      </c>
      <c r="I2160" s="5">
        <v>44089.666666666664</v>
      </c>
      <c r="J2160" s="5">
        <v>44035.333333333336</v>
      </c>
    </row>
    <row r="2161" spans="1:10" x14ac:dyDescent="0.2">
      <c r="A2161">
        <v>7119399</v>
      </c>
      <c r="B2161">
        <v>3693986</v>
      </c>
      <c r="C2161">
        <v>3693761</v>
      </c>
      <c r="D2161">
        <v>21883</v>
      </c>
      <c r="E2161">
        <v>21883</v>
      </c>
      <c r="F2161" t="s">
        <v>441</v>
      </c>
      <c r="G2161">
        <v>0</v>
      </c>
      <c r="I2161" s="5">
        <v>44044</v>
      </c>
      <c r="J2161" s="5">
        <v>44013.333333333336</v>
      </c>
    </row>
    <row r="2162" spans="1:10" x14ac:dyDescent="0.2">
      <c r="A2162">
        <v>7119400</v>
      </c>
      <c r="B2162">
        <v>3693987</v>
      </c>
      <c r="C2162">
        <v>3693874</v>
      </c>
      <c r="D2162">
        <v>21883</v>
      </c>
      <c r="E2162">
        <v>21883</v>
      </c>
      <c r="F2162" t="s">
        <v>441</v>
      </c>
      <c r="G2162">
        <v>0</v>
      </c>
      <c r="I2162" s="5">
        <v>44082.666666666664</v>
      </c>
      <c r="J2162" s="5">
        <v>44013.333333333336</v>
      </c>
    </row>
    <row r="2163" spans="1:10" x14ac:dyDescent="0.2">
      <c r="A2163">
        <v>7119401</v>
      </c>
      <c r="B2163">
        <v>3693971</v>
      </c>
      <c r="C2163">
        <v>3693874</v>
      </c>
      <c r="D2163">
        <v>21883</v>
      </c>
      <c r="E2163">
        <v>21883</v>
      </c>
      <c r="F2163" t="s">
        <v>441</v>
      </c>
      <c r="G2163">
        <v>0</v>
      </c>
      <c r="I2163" s="5">
        <v>44082.666666666664</v>
      </c>
      <c r="J2163" s="5">
        <v>44011.333333333336</v>
      </c>
    </row>
    <row r="2164" spans="1:10" x14ac:dyDescent="0.2">
      <c r="A2164">
        <v>7119402</v>
      </c>
      <c r="B2164">
        <v>3693972</v>
      </c>
      <c r="C2164">
        <v>3693860</v>
      </c>
      <c r="D2164">
        <v>21883</v>
      </c>
      <c r="E2164">
        <v>21883</v>
      </c>
      <c r="F2164" t="s">
        <v>441</v>
      </c>
      <c r="G2164">
        <v>0</v>
      </c>
      <c r="I2164" s="5">
        <v>44070.666666666664</v>
      </c>
      <c r="J2164" s="5">
        <v>44011.333333333336</v>
      </c>
    </row>
    <row r="2165" spans="1:10" x14ac:dyDescent="0.2">
      <c r="A2165">
        <v>7119403</v>
      </c>
      <c r="B2165">
        <v>3693956</v>
      </c>
      <c r="C2165">
        <v>3693860</v>
      </c>
      <c r="D2165">
        <v>21883</v>
      </c>
      <c r="E2165">
        <v>21883</v>
      </c>
      <c r="F2165" t="s">
        <v>441</v>
      </c>
      <c r="G2165">
        <v>0</v>
      </c>
      <c r="I2165" s="5">
        <v>44070.666666666664</v>
      </c>
      <c r="J2165" s="5">
        <v>44007.333333333336</v>
      </c>
    </row>
    <row r="2166" spans="1:10" x14ac:dyDescent="0.2">
      <c r="A2166">
        <v>7119404</v>
      </c>
      <c r="B2166">
        <v>3693957</v>
      </c>
      <c r="C2166">
        <v>3693845</v>
      </c>
      <c r="D2166">
        <v>21883</v>
      </c>
      <c r="E2166">
        <v>21883</v>
      </c>
      <c r="F2166" t="s">
        <v>441</v>
      </c>
      <c r="G2166">
        <v>0</v>
      </c>
      <c r="I2166" s="5">
        <v>44047.666666666664</v>
      </c>
      <c r="J2166" s="5">
        <v>44007.333333333336</v>
      </c>
    </row>
    <row r="2167" spans="1:10" x14ac:dyDescent="0.2">
      <c r="A2167">
        <v>7119405</v>
      </c>
      <c r="B2167">
        <v>3693941</v>
      </c>
      <c r="C2167">
        <v>3693845</v>
      </c>
      <c r="D2167">
        <v>21883</v>
      </c>
      <c r="E2167">
        <v>21883</v>
      </c>
      <c r="F2167" t="s">
        <v>441</v>
      </c>
      <c r="G2167">
        <v>0</v>
      </c>
      <c r="I2167" s="5">
        <v>44047.666666666664</v>
      </c>
      <c r="J2167" s="5">
        <v>44018.333333333336</v>
      </c>
    </row>
    <row r="2168" spans="1:10" x14ac:dyDescent="0.2">
      <c r="A2168">
        <v>7119406</v>
      </c>
      <c r="B2168">
        <v>3693942</v>
      </c>
      <c r="C2168">
        <v>3693831</v>
      </c>
      <c r="D2168">
        <v>21883</v>
      </c>
      <c r="E2168">
        <v>21883</v>
      </c>
      <c r="F2168" t="s">
        <v>441</v>
      </c>
      <c r="G2168">
        <v>0</v>
      </c>
      <c r="I2168" s="5">
        <v>44044</v>
      </c>
      <c r="J2168" s="5">
        <v>44018.333333333336</v>
      </c>
    </row>
    <row r="2169" spans="1:10" x14ac:dyDescent="0.2">
      <c r="A2169">
        <v>7119407</v>
      </c>
      <c r="B2169">
        <v>3693926</v>
      </c>
      <c r="C2169">
        <v>3693831</v>
      </c>
      <c r="D2169">
        <v>21883</v>
      </c>
      <c r="E2169">
        <v>21883</v>
      </c>
      <c r="F2169" t="s">
        <v>441</v>
      </c>
      <c r="G2169">
        <v>0</v>
      </c>
      <c r="I2169" s="5">
        <v>44044</v>
      </c>
      <c r="J2169" s="5">
        <v>44026.333333333336</v>
      </c>
    </row>
    <row r="2170" spans="1:10" x14ac:dyDescent="0.2">
      <c r="A2170">
        <v>7119408</v>
      </c>
      <c r="B2170">
        <v>3693927</v>
      </c>
      <c r="C2170">
        <v>3693821</v>
      </c>
      <c r="D2170">
        <v>21883</v>
      </c>
      <c r="E2170">
        <v>21883</v>
      </c>
      <c r="F2170" t="s">
        <v>441</v>
      </c>
      <c r="G2170">
        <v>0</v>
      </c>
      <c r="I2170" s="5">
        <v>44044</v>
      </c>
      <c r="J2170" s="5">
        <v>44026.333333333336</v>
      </c>
    </row>
    <row r="2171" spans="1:10" x14ac:dyDescent="0.2">
      <c r="A2171">
        <v>7119409</v>
      </c>
      <c r="B2171">
        <v>3693911</v>
      </c>
      <c r="C2171">
        <v>3693821</v>
      </c>
      <c r="D2171">
        <v>21883</v>
      </c>
      <c r="E2171">
        <v>21883</v>
      </c>
      <c r="F2171" t="s">
        <v>441</v>
      </c>
      <c r="G2171">
        <v>0</v>
      </c>
      <c r="I2171" s="5">
        <v>44044</v>
      </c>
      <c r="J2171" s="5">
        <v>44005.333333333336</v>
      </c>
    </row>
    <row r="2172" spans="1:10" x14ac:dyDescent="0.2">
      <c r="A2172">
        <v>7119410</v>
      </c>
      <c r="B2172">
        <v>3693912</v>
      </c>
      <c r="C2172">
        <v>3693810</v>
      </c>
      <c r="D2172">
        <v>21883</v>
      </c>
      <c r="E2172">
        <v>21883</v>
      </c>
      <c r="F2172" t="s">
        <v>441</v>
      </c>
      <c r="G2172">
        <v>0</v>
      </c>
      <c r="I2172" s="5">
        <v>44044</v>
      </c>
      <c r="J2172" s="5">
        <v>44005.333333333336</v>
      </c>
    </row>
    <row r="2173" spans="1:10" x14ac:dyDescent="0.2">
      <c r="A2173">
        <v>7119411</v>
      </c>
      <c r="B2173">
        <v>3693896</v>
      </c>
      <c r="C2173">
        <v>3693810</v>
      </c>
      <c r="D2173">
        <v>21883</v>
      </c>
      <c r="E2173">
        <v>21883</v>
      </c>
      <c r="F2173" t="s">
        <v>441</v>
      </c>
      <c r="G2173">
        <v>0</v>
      </c>
      <c r="I2173" s="5">
        <v>44044</v>
      </c>
      <c r="J2173" s="5">
        <v>44006.333333333336</v>
      </c>
    </row>
    <row r="2174" spans="1:10" x14ac:dyDescent="0.2">
      <c r="A2174">
        <v>7119412</v>
      </c>
      <c r="B2174">
        <v>3693897</v>
      </c>
      <c r="C2174">
        <v>3693799</v>
      </c>
      <c r="D2174">
        <v>21883</v>
      </c>
      <c r="E2174">
        <v>21883</v>
      </c>
      <c r="F2174" t="s">
        <v>441</v>
      </c>
      <c r="G2174">
        <v>0</v>
      </c>
      <c r="I2174" s="5">
        <v>44044</v>
      </c>
      <c r="J2174" s="5">
        <v>44006.333333333336</v>
      </c>
    </row>
    <row r="2175" spans="1:10" x14ac:dyDescent="0.2">
      <c r="A2175">
        <v>7119413</v>
      </c>
      <c r="B2175">
        <v>3693881</v>
      </c>
      <c r="C2175">
        <v>3693799</v>
      </c>
      <c r="D2175">
        <v>21883</v>
      </c>
      <c r="E2175">
        <v>21883</v>
      </c>
      <c r="F2175" t="s">
        <v>441</v>
      </c>
      <c r="G2175">
        <v>0</v>
      </c>
      <c r="I2175" s="5">
        <v>44044</v>
      </c>
      <c r="J2175" s="5">
        <v>44005.333333333336</v>
      </c>
    </row>
    <row r="2176" spans="1:10" x14ac:dyDescent="0.2">
      <c r="A2176">
        <v>7119414</v>
      </c>
      <c r="B2176">
        <v>3693882</v>
      </c>
      <c r="C2176">
        <v>3693779</v>
      </c>
      <c r="D2176">
        <v>21883</v>
      </c>
      <c r="E2176">
        <v>21883</v>
      </c>
      <c r="F2176" t="s">
        <v>441</v>
      </c>
      <c r="G2176">
        <v>0</v>
      </c>
      <c r="I2176" s="5">
        <v>44044</v>
      </c>
      <c r="J2176" s="5">
        <v>44005.333333333336</v>
      </c>
    </row>
    <row r="2177" spans="1:10" x14ac:dyDescent="0.2">
      <c r="A2177">
        <v>7119415</v>
      </c>
      <c r="B2177">
        <v>3693750</v>
      </c>
      <c r="C2177">
        <v>3693889</v>
      </c>
      <c r="D2177">
        <v>21883</v>
      </c>
      <c r="E2177">
        <v>21883</v>
      </c>
      <c r="F2177" t="s">
        <v>441</v>
      </c>
      <c r="G2177">
        <v>0</v>
      </c>
      <c r="I2177" s="5">
        <v>44103.666666666664</v>
      </c>
      <c r="J2177" s="5">
        <v>44109.666666666664</v>
      </c>
    </row>
    <row r="2178" spans="1:10" x14ac:dyDescent="0.2">
      <c r="A2178">
        <v>7119416</v>
      </c>
      <c r="B2178">
        <v>3693750</v>
      </c>
      <c r="C2178">
        <v>3693904</v>
      </c>
      <c r="D2178">
        <v>21883</v>
      </c>
      <c r="E2178">
        <v>21883</v>
      </c>
      <c r="F2178" t="s">
        <v>441</v>
      </c>
      <c r="G2178">
        <v>0</v>
      </c>
      <c r="I2178" s="5">
        <v>44103.666666666664</v>
      </c>
      <c r="J2178" s="5">
        <v>44109.666666666664</v>
      </c>
    </row>
    <row r="2179" spans="1:10" x14ac:dyDescent="0.2">
      <c r="A2179">
        <v>7119417</v>
      </c>
      <c r="B2179">
        <v>3693750</v>
      </c>
      <c r="C2179">
        <v>3693919</v>
      </c>
      <c r="D2179">
        <v>21883</v>
      </c>
      <c r="E2179">
        <v>21883</v>
      </c>
      <c r="F2179" t="s">
        <v>441</v>
      </c>
      <c r="G2179">
        <v>0</v>
      </c>
      <c r="I2179" s="5">
        <v>44123.666666666664</v>
      </c>
      <c r="J2179" s="5">
        <v>44109.666666666664</v>
      </c>
    </row>
    <row r="2180" spans="1:10" x14ac:dyDescent="0.2">
      <c r="A2180">
        <v>7119418</v>
      </c>
      <c r="B2180">
        <v>3693750</v>
      </c>
      <c r="C2180">
        <v>3693934</v>
      </c>
      <c r="D2180">
        <v>21883</v>
      </c>
      <c r="E2180">
        <v>21883</v>
      </c>
      <c r="F2180" t="s">
        <v>441</v>
      </c>
      <c r="G2180">
        <v>0</v>
      </c>
      <c r="I2180" s="5">
        <v>44155.666666666664</v>
      </c>
      <c r="J2180" s="5">
        <v>44109.666666666664</v>
      </c>
    </row>
    <row r="2181" spans="1:10" x14ac:dyDescent="0.2">
      <c r="A2181">
        <v>7119419</v>
      </c>
      <c r="B2181">
        <v>3693750</v>
      </c>
      <c r="C2181">
        <v>3693949</v>
      </c>
      <c r="D2181">
        <v>21883</v>
      </c>
      <c r="E2181">
        <v>21883</v>
      </c>
      <c r="F2181" t="s">
        <v>441</v>
      </c>
      <c r="G2181">
        <v>0</v>
      </c>
      <c r="I2181" s="5">
        <v>44145.666666666664</v>
      </c>
      <c r="J2181" s="5">
        <v>44109.666666666664</v>
      </c>
    </row>
    <row r="2182" spans="1:10" x14ac:dyDescent="0.2">
      <c r="A2182">
        <v>7119420</v>
      </c>
      <c r="B2182">
        <v>3693750</v>
      </c>
      <c r="C2182">
        <v>3693959</v>
      </c>
      <c r="D2182">
        <v>21883</v>
      </c>
      <c r="E2182">
        <v>21883</v>
      </c>
      <c r="F2182" t="s">
        <v>441</v>
      </c>
      <c r="G2182">
        <v>0</v>
      </c>
      <c r="I2182" s="5">
        <v>44148.666666666664</v>
      </c>
      <c r="J2182" s="5">
        <v>44109.666666666664</v>
      </c>
    </row>
    <row r="2183" spans="1:10" x14ac:dyDescent="0.2">
      <c r="A2183">
        <v>7119421</v>
      </c>
      <c r="B2183">
        <v>3693750</v>
      </c>
      <c r="C2183">
        <v>3693974</v>
      </c>
      <c r="D2183">
        <v>21883</v>
      </c>
      <c r="E2183">
        <v>21883</v>
      </c>
      <c r="F2183" t="s">
        <v>441</v>
      </c>
      <c r="G2183">
        <v>0</v>
      </c>
      <c r="I2183" s="5">
        <v>44152.666666666664</v>
      </c>
      <c r="J2183" s="5">
        <v>44109.666666666664</v>
      </c>
    </row>
    <row r="2184" spans="1:10" x14ac:dyDescent="0.2">
      <c r="A2184">
        <v>7119422</v>
      </c>
      <c r="B2184">
        <v>3693750</v>
      </c>
      <c r="C2184">
        <v>3693989</v>
      </c>
      <c r="D2184">
        <v>21883</v>
      </c>
      <c r="E2184">
        <v>21883</v>
      </c>
      <c r="F2184" t="s">
        <v>441</v>
      </c>
      <c r="G2184">
        <v>0</v>
      </c>
      <c r="I2184" s="5">
        <v>44153.666666666664</v>
      </c>
      <c r="J2184" s="5">
        <v>44109.666666666664</v>
      </c>
    </row>
    <row r="2185" spans="1:10" x14ac:dyDescent="0.2">
      <c r="A2185">
        <v>7119423</v>
      </c>
      <c r="B2185">
        <v>3693752</v>
      </c>
      <c r="C2185">
        <v>3693746</v>
      </c>
      <c r="D2185">
        <v>21883</v>
      </c>
      <c r="E2185">
        <v>21883</v>
      </c>
      <c r="F2185" t="s">
        <v>441</v>
      </c>
      <c r="G2185">
        <v>0</v>
      </c>
      <c r="I2185" s="5">
        <v>44044</v>
      </c>
      <c r="J2185" s="5">
        <v>44012.333333333336</v>
      </c>
    </row>
    <row r="2186" spans="1:10" x14ac:dyDescent="0.2">
      <c r="A2186">
        <v>7119424</v>
      </c>
      <c r="B2186">
        <v>3693832</v>
      </c>
      <c r="C2186">
        <v>3693831</v>
      </c>
      <c r="D2186">
        <v>21883</v>
      </c>
      <c r="E2186">
        <v>21883</v>
      </c>
      <c r="F2186" t="s">
        <v>441</v>
      </c>
      <c r="G2186">
        <v>0</v>
      </c>
      <c r="I2186" s="5">
        <v>44044</v>
      </c>
      <c r="J2186" s="5">
        <v>44109.666666666664</v>
      </c>
    </row>
    <row r="2187" spans="1:10" x14ac:dyDescent="0.2">
      <c r="A2187">
        <v>7119425</v>
      </c>
      <c r="B2187">
        <v>3693750</v>
      </c>
      <c r="C2187">
        <v>3693798</v>
      </c>
      <c r="D2187">
        <v>21883</v>
      </c>
      <c r="E2187">
        <v>21883</v>
      </c>
      <c r="F2187" t="s">
        <v>441</v>
      </c>
      <c r="G2187">
        <v>0</v>
      </c>
      <c r="I2187" s="5">
        <v>44044</v>
      </c>
      <c r="J2187" s="5">
        <v>44109.666666666664</v>
      </c>
    </row>
    <row r="2188" spans="1:10" x14ac:dyDescent="0.2">
      <c r="A2188">
        <v>7119426</v>
      </c>
      <c r="B2188">
        <v>3693750</v>
      </c>
      <c r="C2188">
        <v>3693809</v>
      </c>
      <c r="D2188">
        <v>21883</v>
      </c>
      <c r="E2188">
        <v>21883</v>
      </c>
      <c r="F2188" t="s">
        <v>441</v>
      </c>
      <c r="G2188">
        <v>0</v>
      </c>
      <c r="I2188" s="5">
        <v>44044</v>
      </c>
      <c r="J2188" s="5">
        <v>44109.666666666664</v>
      </c>
    </row>
    <row r="2189" spans="1:10" x14ac:dyDescent="0.2">
      <c r="A2189">
        <v>7119427</v>
      </c>
      <c r="B2189">
        <v>3693750</v>
      </c>
      <c r="C2189">
        <v>3693820</v>
      </c>
      <c r="D2189">
        <v>21883</v>
      </c>
      <c r="E2189">
        <v>21883</v>
      </c>
      <c r="F2189" t="s">
        <v>441</v>
      </c>
      <c r="G2189">
        <v>0</v>
      </c>
      <c r="I2189" s="5">
        <v>44044</v>
      </c>
      <c r="J2189" s="5">
        <v>44109.666666666664</v>
      </c>
    </row>
    <row r="2190" spans="1:10" x14ac:dyDescent="0.2">
      <c r="A2190">
        <v>7119428</v>
      </c>
      <c r="B2190">
        <v>3693750</v>
      </c>
      <c r="C2190">
        <v>3693832</v>
      </c>
      <c r="D2190">
        <v>21883</v>
      </c>
      <c r="E2190">
        <v>21883</v>
      </c>
      <c r="F2190" t="s">
        <v>441</v>
      </c>
      <c r="G2190">
        <v>0</v>
      </c>
      <c r="I2190" s="5">
        <v>44044</v>
      </c>
      <c r="J2190" s="5">
        <v>44109.666666666664</v>
      </c>
    </row>
    <row r="2191" spans="1:10" x14ac:dyDescent="0.2">
      <c r="A2191">
        <v>7119429</v>
      </c>
      <c r="B2191">
        <v>3693842</v>
      </c>
      <c r="C2191">
        <v>3693035</v>
      </c>
      <c r="D2191">
        <v>21883</v>
      </c>
      <c r="E2191">
        <v>21883</v>
      </c>
      <c r="F2191" t="s">
        <v>441</v>
      </c>
      <c r="G2191">
        <v>0</v>
      </c>
      <c r="I2191" s="5">
        <v>44044</v>
      </c>
      <c r="J2191" s="5">
        <v>43970.333333333336</v>
      </c>
    </row>
    <row r="2192" spans="1:10" x14ac:dyDescent="0.2">
      <c r="A2192">
        <v>7119430</v>
      </c>
      <c r="B2192">
        <v>3693856</v>
      </c>
      <c r="C2192">
        <v>3693036</v>
      </c>
      <c r="D2192">
        <v>21883</v>
      </c>
      <c r="E2192">
        <v>21883</v>
      </c>
      <c r="F2192" t="s">
        <v>441</v>
      </c>
      <c r="G2192">
        <v>0</v>
      </c>
      <c r="I2192" s="5">
        <v>44044</v>
      </c>
      <c r="J2192" s="5">
        <v>43970.333333333336</v>
      </c>
    </row>
    <row r="2193" spans="1:10" x14ac:dyDescent="0.2">
      <c r="A2193">
        <v>7119431</v>
      </c>
      <c r="B2193">
        <v>3693747</v>
      </c>
      <c r="C2193">
        <v>3693985</v>
      </c>
      <c r="D2193">
        <v>21883</v>
      </c>
      <c r="E2193">
        <v>21883</v>
      </c>
      <c r="F2193" t="s">
        <v>441</v>
      </c>
      <c r="G2193">
        <v>0</v>
      </c>
      <c r="I2193" s="5">
        <v>44144.666666666664</v>
      </c>
      <c r="J2193" s="5">
        <v>44078.333333333336</v>
      </c>
    </row>
    <row r="2194" spans="1:10" x14ac:dyDescent="0.2">
      <c r="A2194">
        <v>7119432</v>
      </c>
      <c r="B2194">
        <v>3693995</v>
      </c>
      <c r="C2194">
        <v>3693747</v>
      </c>
      <c r="D2194">
        <v>21883</v>
      </c>
      <c r="E2194">
        <v>21883</v>
      </c>
      <c r="F2194" t="s">
        <v>441</v>
      </c>
      <c r="G2194">
        <v>0</v>
      </c>
      <c r="I2194" s="5">
        <v>44153.666666666664</v>
      </c>
      <c r="J2194" s="5">
        <v>44088.333333333336</v>
      </c>
    </row>
    <row r="2195" spans="1:10" x14ac:dyDescent="0.2">
      <c r="A2195">
        <v>7119433</v>
      </c>
      <c r="B2195">
        <v>3693748</v>
      </c>
      <c r="C2195">
        <v>3693995</v>
      </c>
      <c r="D2195">
        <v>21883</v>
      </c>
      <c r="E2195">
        <v>21883</v>
      </c>
      <c r="F2195" t="s">
        <v>441</v>
      </c>
      <c r="G2195">
        <v>0</v>
      </c>
      <c r="I2195" s="5">
        <v>44160.666666666664</v>
      </c>
      <c r="J2195" s="5">
        <v>44096.333333333336</v>
      </c>
    </row>
    <row r="2196" spans="1:10" x14ac:dyDescent="0.2">
      <c r="A2196">
        <v>7119434</v>
      </c>
      <c r="B2196">
        <v>3693751</v>
      </c>
      <c r="C2196">
        <v>3693996</v>
      </c>
      <c r="D2196">
        <v>21883</v>
      </c>
      <c r="E2196">
        <v>21883</v>
      </c>
      <c r="F2196" t="s">
        <v>441</v>
      </c>
      <c r="G2196">
        <v>0</v>
      </c>
      <c r="I2196" s="5">
        <v>44181.666666666664</v>
      </c>
      <c r="J2196" s="5">
        <v>44113.666666666664</v>
      </c>
    </row>
    <row r="2197" spans="1:10" x14ac:dyDescent="0.2">
      <c r="A2197">
        <v>7119435</v>
      </c>
      <c r="B2197">
        <v>3693996</v>
      </c>
      <c r="C2197">
        <v>3693750</v>
      </c>
      <c r="D2197">
        <v>21883</v>
      </c>
      <c r="E2197">
        <v>21883</v>
      </c>
      <c r="F2197" t="s">
        <v>441</v>
      </c>
      <c r="G2197">
        <v>0</v>
      </c>
      <c r="I2197" s="5">
        <v>44176.666666666664</v>
      </c>
      <c r="J2197" s="5">
        <v>44110.333333333336</v>
      </c>
    </row>
    <row r="2198" spans="1:10" x14ac:dyDescent="0.2">
      <c r="A2198">
        <v>7119436</v>
      </c>
      <c r="B2198">
        <v>3693997</v>
      </c>
      <c r="C2198">
        <v>3693803</v>
      </c>
      <c r="D2198">
        <v>21883</v>
      </c>
      <c r="E2198">
        <v>21883</v>
      </c>
      <c r="F2198" t="s">
        <v>441</v>
      </c>
      <c r="G2198">
        <v>0</v>
      </c>
      <c r="I2198" s="5">
        <v>44044</v>
      </c>
      <c r="J2198" s="5">
        <v>44005.333333333336</v>
      </c>
    </row>
    <row r="2199" spans="1:10" x14ac:dyDescent="0.2">
      <c r="A2199">
        <v>7119437</v>
      </c>
      <c r="B2199">
        <v>3693804</v>
      </c>
      <c r="C2199">
        <v>3693997</v>
      </c>
      <c r="D2199">
        <v>21883</v>
      </c>
      <c r="E2199">
        <v>21883</v>
      </c>
      <c r="F2199" t="s">
        <v>441</v>
      </c>
      <c r="G2199">
        <v>0</v>
      </c>
      <c r="I2199" s="5">
        <v>44044</v>
      </c>
      <c r="J2199" s="5">
        <v>44005.333333333336</v>
      </c>
    </row>
    <row r="2200" spans="1:10" x14ac:dyDescent="0.2">
      <c r="A2200">
        <v>7119438</v>
      </c>
      <c r="B2200">
        <v>3693998</v>
      </c>
      <c r="C2200">
        <v>3693814</v>
      </c>
      <c r="D2200">
        <v>21883</v>
      </c>
      <c r="E2200">
        <v>21883</v>
      </c>
      <c r="F2200" t="s">
        <v>441</v>
      </c>
      <c r="G2200">
        <v>0</v>
      </c>
      <c r="I2200" s="5">
        <v>44044</v>
      </c>
      <c r="J2200" s="5">
        <v>44005.333333333336</v>
      </c>
    </row>
    <row r="2201" spans="1:10" x14ac:dyDescent="0.2">
      <c r="A2201">
        <v>7119439</v>
      </c>
      <c r="B2201">
        <v>3693815</v>
      </c>
      <c r="C2201">
        <v>3693998</v>
      </c>
      <c r="D2201">
        <v>21883</v>
      </c>
      <c r="E2201">
        <v>21883</v>
      </c>
      <c r="F2201" t="s">
        <v>441</v>
      </c>
      <c r="G2201">
        <v>0</v>
      </c>
      <c r="I2201" s="5">
        <v>44044</v>
      </c>
      <c r="J2201" s="5">
        <v>44005.333333333336</v>
      </c>
    </row>
    <row r="2202" spans="1:10" x14ac:dyDescent="0.2">
      <c r="A2202">
        <v>7119440</v>
      </c>
      <c r="B2202">
        <v>3693999</v>
      </c>
      <c r="C2202">
        <v>3693825</v>
      </c>
      <c r="D2202">
        <v>21883</v>
      </c>
      <c r="E2202">
        <v>21883</v>
      </c>
      <c r="F2202" t="s">
        <v>441</v>
      </c>
      <c r="G2202">
        <v>0</v>
      </c>
      <c r="I2202" s="5">
        <v>44044</v>
      </c>
      <c r="J2202" s="5">
        <v>44018.333333333336</v>
      </c>
    </row>
    <row r="2203" spans="1:10" x14ac:dyDescent="0.2">
      <c r="A2203">
        <v>7119441</v>
      </c>
      <c r="B2203">
        <v>3693826</v>
      </c>
      <c r="C2203">
        <v>3693999</v>
      </c>
      <c r="D2203">
        <v>21883</v>
      </c>
      <c r="E2203">
        <v>21883</v>
      </c>
      <c r="F2203" t="s">
        <v>441</v>
      </c>
      <c r="G2203">
        <v>0</v>
      </c>
      <c r="I2203" s="5">
        <v>44044</v>
      </c>
      <c r="J2203" s="5">
        <v>44018.333333333336</v>
      </c>
    </row>
    <row r="2204" spans="1:10" x14ac:dyDescent="0.2">
      <c r="A2204">
        <v>7119442</v>
      </c>
      <c r="B2204">
        <v>3694001</v>
      </c>
      <c r="C2204">
        <v>3694000</v>
      </c>
      <c r="D2204">
        <v>21883</v>
      </c>
      <c r="E2204">
        <v>21883</v>
      </c>
      <c r="F2204" t="s">
        <v>441</v>
      </c>
      <c r="G2204">
        <v>0</v>
      </c>
      <c r="I2204" s="5">
        <v>44044</v>
      </c>
      <c r="J2204" s="5">
        <v>43970.333333333336</v>
      </c>
    </row>
    <row r="2205" spans="1:10" x14ac:dyDescent="0.2">
      <c r="A2205">
        <v>7119443</v>
      </c>
      <c r="B2205">
        <v>3694002</v>
      </c>
      <c r="C2205">
        <v>3694001</v>
      </c>
      <c r="D2205">
        <v>21883</v>
      </c>
      <c r="E2205">
        <v>21883</v>
      </c>
      <c r="F2205" t="s">
        <v>441</v>
      </c>
      <c r="G2205">
        <v>0</v>
      </c>
      <c r="I2205" s="5">
        <v>44044</v>
      </c>
      <c r="J2205" s="5">
        <v>43970.333333333336</v>
      </c>
    </row>
    <row r="2206" spans="1:10" x14ac:dyDescent="0.2">
      <c r="A2206">
        <v>7119444</v>
      </c>
      <c r="B2206">
        <v>3694003</v>
      </c>
      <c r="C2206">
        <v>3694002</v>
      </c>
      <c r="D2206">
        <v>21883</v>
      </c>
      <c r="E2206">
        <v>21883</v>
      </c>
      <c r="F2206" t="s">
        <v>441</v>
      </c>
      <c r="G2206">
        <v>0</v>
      </c>
      <c r="I2206" s="5">
        <v>44044</v>
      </c>
      <c r="J2206" s="5">
        <v>43970.333333333336</v>
      </c>
    </row>
    <row r="2207" spans="1:10" x14ac:dyDescent="0.2">
      <c r="A2207">
        <v>7119445</v>
      </c>
      <c r="B2207">
        <v>3694004</v>
      </c>
      <c r="C2207">
        <v>3694003</v>
      </c>
      <c r="D2207">
        <v>21883</v>
      </c>
      <c r="E2207">
        <v>21883</v>
      </c>
      <c r="F2207" t="s">
        <v>441</v>
      </c>
      <c r="G2207">
        <v>0</v>
      </c>
      <c r="I2207" s="5">
        <v>44044</v>
      </c>
      <c r="J2207" s="5">
        <v>43970.333333333336</v>
      </c>
    </row>
    <row r="2208" spans="1:10" x14ac:dyDescent="0.2">
      <c r="A2208">
        <v>7119446</v>
      </c>
      <c r="B2208">
        <v>3694006</v>
      </c>
      <c r="C2208">
        <v>3694005</v>
      </c>
      <c r="D2208">
        <v>21883</v>
      </c>
      <c r="E2208">
        <v>21883</v>
      </c>
      <c r="F2208" t="s">
        <v>441</v>
      </c>
      <c r="G2208">
        <v>0</v>
      </c>
      <c r="I2208" s="5">
        <v>44044</v>
      </c>
      <c r="J2208" s="5">
        <v>43970.333333333336</v>
      </c>
    </row>
    <row r="2209" spans="1:10" x14ac:dyDescent="0.2">
      <c r="A2209">
        <v>7119447</v>
      </c>
      <c r="B2209">
        <v>3694007</v>
      </c>
      <c r="C2209">
        <v>3694006</v>
      </c>
      <c r="D2209">
        <v>21883</v>
      </c>
      <c r="E2209">
        <v>21883</v>
      </c>
      <c r="F2209" t="s">
        <v>441</v>
      </c>
      <c r="G2209">
        <v>0</v>
      </c>
      <c r="I2209" s="5">
        <v>44044</v>
      </c>
      <c r="J2209" s="5">
        <v>43970.333333333336</v>
      </c>
    </row>
    <row r="2210" spans="1:10" x14ac:dyDescent="0.2">
      <c r="A2210">
        <v>7119448</v>
      </c>
      <c r="B2210">
        <v>3694008</v>
      </c>
      <c r="C2210">
        <v>3694007</v>
      </c>
      <c r="D2210">
        <v>21883</v>
      </c>
      <c r="E2210">
        <v>21883</v>
      </c>
      <c r="F2210" t="s">
        <v>441</v>
      </c>
      <c r="G2210">
        <v>0</v>
      </c>
      <c r="I2210" s="5">
        <v>44044</v>
      </c>
      <c r="J2210" s="5">
        <v>43970.333333333336</v>
      </c>
    </row>
    <row r="2211" spans="1:10" x14ac:dyDescent="0.2">
      <c r="A2211">
        <v>7119449</v>
      </c>
      <c r="B2211">
        <v>3694009</v>
      </c>
      <c r="C2211">
        <v>3694008</v>
      </c>
      <c r="D2211">
        <v>21883</v>
      </c>
      <c r="E2211">
        <v>21883</v>
      </c>
      <c r="F2211" t="s">
        <v>441</v>
      </c>
      <c r="G2211">
        <v>0</v>
      </c>
      <c r="I2211" s="5">
        <v>44044</v>
      </c>
      <c r="J2211" s="5">
        <v>43970.333333333336</v>
      </c>
    </row>
    <row r="2212" spans="1:10" x14ac:dyDescent="0.2">
      <c r="A2212">
        <v>7119450</v>
      </c>
      <c r="B2212">
        <v>3694005</v>
      </c>
      <c r="C2212">
        <v>3693700</v>
      </c>
      <c r="D2212">
        <v>21883</v>
      </c>
      <c r="E2212">
        <v>21883</v>
      </c>
      <c r="F2212" t="s">
        <v>441</v>
      </c>
      <c r="G2212">
        <v>0</v>
      </c>
      <c r="I2212" s="5">
        <v>44044</v>
      </c>
      <c r="J2212" s="5">
        <v>43970.333333333336</v>
      </c>
    </row>
    <row r="2213" spans="1:10" x14ac:dyDescent="0.2">
      <c r="A2213">
        <v>7119451</v>
      </c>
      <c r="B2213">
        <v>3694000</v>
      </c>
      <c r="C2213">
        <v>3693595</v>
      </c>
      <c r="D2213">
        <v>21883</v>
      </c>
      <c r="E2213">
        <v>21883</v>
      </c>
      <c r="F2213" t="s">
        <v>441</v>
      </c>
      <c r="G2213">
        <v>0</v>
      </c>
      <c r="I2213" s="5">
        <v>44044</v>
      </c>
      <c r="J2213" s="5">
        <v>43970.333333333336</v>
      </c>
    </row>
    <row r="2214" spans="1:10" x14ac:dyDescent="0.2">
      <c r="A2214">
        <v>7119452</v>
      </c>
      <c r="B2214">
        <v>3694010</v>
      </c>
      <c r="C2214">
        <v>3694004</v>
      </c>
      <c r="D2214">
        <v>21883</v>
      </c>
      <c r="E2214">
        <v>21883</v>
      </c>
      <c r="F2214" t="s">
        <v>441</v>
      </c>
      <c r="G2214">
        <v>0</v>
      </c>
      <c r="I2214" s="5">
        <v>44044</v>
      </c>
      <c r="J2214" s="5">
        <v>43970.333333333336</v>
      </c>
    </row>
    <row r="2215" spans="1:10" x14ac:dyDescent="0.2">
      <c r="A2215">
        <v>7119453</v>
      </c>
      <c r="B2215">
        <v>3694010</v>
      </c>
      <c r="C2215">
        <v>3694009</v>
      </c>
      <c r="D2215">
        <v>21883</v>
      </c>
      <c r="E2215">
        <v>21883</v>
      </c>
      <c r="F2215" t="s">
        <v>441</v>
      </c>
      <c r="G2215">
        <v>0</v>
      </c>
      <c r="I2215" s="5">
        <v>44044</v>
      </c>
      <c r="J2215" s="5">
        <v>43970.333333333336</v>
      </c>
    </row>
    <row r="2216" spans="1:10" x14ac:dyDescent="0.2">
      <c r="A2216">
        <v>7119454</v>
      </c>
      <c r="B2216">
        <v>3693030</v>
      </c>
      <c r="C2216">
        <v>3694010</v>
      </c>
      <c r="D2216">
        <v>21883</v>
      </c>
      <c r="E2216">
        <v>21883</v>
      </c>
      <c r="F2216" t="s">
        <v>441</v>
      </c>
      <c r="G2216">
        <v>0</v>
      </c>
      <c r="I2216" s="5">
        <v>44044</v>
      </c>
      <c r="J2216" s="5">
        <v>43970.333333333336</v>
      </c>
    </row>
    <row r="2217" spans="1:10" x14ac:dyDescent="0.2">
      <c r="A2217">
        <v>7119455</v>
      </c>
      <c r="B2217">
        <v>3693029</v>
      </c>
      <c r="C2217">
        <v>3693700</v>
      </c>
      <c r="D2217">
        <v>21883</v>
      </c>
      <c r="E2217">
        <v>21883</v>
      </c>
      <c r="F2217" t="s">
        <v>441</v>
      </c>
      <c r="G2217">
        <v>0</v>
      </c>
      <c r="I2217" s="5">
        <v>44044</v>
      </c>
      <c r="J2217" s="5">
        <v>43970.333333333336</v>
      </c>
    </row>
    <row r="2218" spans="1:10" x14ac:dyDescent="0.2">
      <c r="A2218">
        <v>7119456</v>
      </c>
      <c r="B2218">
        <v>3694012</v>
      </c>
      <c r="C2218">
        <v>3694011</v>
      </c>
      <c r="D2218">
        <v>21883</v>
      </c>
      <c r="E2218">
        <v>21883</v>
      </c>
      <c r="F2218" t="s">
        <v>441</v>
      </c>
      <c r="G2218">
        <v>0</v>
      </c>
      <c r="I2218" s="5">
        <v>44057.666666666664</v>
      </c>
      <c r="J2218" s="5">
        <v>44048.333333333336</v>
      </c>
    </row>
    <row r="2219" spans="1:10" x14ac:dyDescent="0.2">
      <c r="A2219">
        <v>7119457</v>
      </c>
      <c r="B2219">
        <v>3694013</v>
      </c>
      <c r="C2219">
        <v>3694012</v>
      </c>
      <c r="D2219">
        <v>21883</v>
      </c>
      <c r="E2219">
        <v>21883</v>
      </c>
      <c r="F2219" t="s">
        <v>441</v>
      </c>
      <c r="G2219">
        <v>0</v>
      </c>
      <c r="I2219" s="5">
        <v>44060.666666666664</v>
      </c>
      <c r="J2219" s="5">
        <v>44049.333333333336</v>
      </c>
    </row>
    <row r="2220" spans="1:10" x14ac:dyDescent="0.2">
      <c r="A2220">
        <v>7119458</v>
      </c>
      <c r="B2220">
        <v>3694014</v>
      </c>
      <c r="C2220">
        <v>3694013</v>
      </c>
      <c r="D2220">
        <v>21883</v>
      </c>
      <c r="E2220">
        <v>21883</v>
      </c>
      <c r="F2220" t="s">
        <v>441</v>
      </c>
      <c r="G2220">
        <v>0</v>
      </c>
      <c r="I2220" s="5">
        <v>44092.666666666664</v>
      </c>
      <c r="J2220" s="5">
        <v>44076.333333333336</v>
      </c>
    </row>
    <row r="2221" spans="1:10" x14ac:dyDescent="0.2">
      <c r="A2221">
        <v>7119459</v>
      </c>
      <c r="B2221">
        <v>3694015</v>
      </c>
      <c r="C2221">
        <v>3694014</v>
      </c>
      <c r="D2221">
        <v>21883</v>
      </c>
      <c r="E2221">
        <v>21883</v>
      </c>
      <c r="F2221" t="s">
        <v>441</v>
      </c>
      <c r="G2221">
        <v>0</v>
      </c>
      <c r="I2221" s="5">
        <v>44094.666666666664</v>
      </c>
      <c r="J2221" s="5">
        <v>44085.333333333336</v>
      </c>
    </row>
    <row r="2222" spans="1:10" x14ac:dyDescent="0.2">
      <c r="A2222">
        <v>7119460</v>
      </c>
      <c r="B2222">
        <v>3694017</v>
      </c>
      <c r="C2222">
        <v>3694016</v>
      </c>
      <c r="D2222">
        <v>21883</v>
      </c>
      <c r="E2222">
        <v>21883</v>
      </c>
      <c r="F2222" t="s">
        <v>441</v>
      </c>
      <c r="G2222">
        <v>0</v>
      </c>
      <c r="I2222" s="5">
        <v>44125.666666666664</v>
      </c>
      <c r="J2222" s="5">
        <v>44064.333333333336</v>
      </c>
    </row>
    <row r="2223" spans="1:10" x14ac:dyDescent="0.2">
      <c r="A2223">
        <v>7119461</v>
      </c>
      <c r="B2223">
        <v>3694018</v>
      </c>
      <c r="C2223">
        <v>3694017</v>
      </c>
      <c r="D2223">
        <v>21883</v>
      </c>
      <c r="E2223">
        <v>21883</v>
      </c>
      <c r="F2223" t="s">
        <v>441</v>
      </c>
      <c r="G2223">
        <v>0</v>
      </c>
      <c r="I2223" s="5">
        <v>44126.666666666664</v>
      </c>
      <c r="J2223" s="5">
        <v>44069.333333333336</v>
      </c>
    </row>
    <row r="2224" spans="1:10" x14ac:dyDescent="0.2">
      <c r="A2224">
        <v>7119462</v>
      </c>
      <c r="B2224">
        <v>3694019</v>
      </c>
      <c r="C2224">
        <v>3694018</v>
      </c>
      <c r="D2224">
        <v>21883</v>
      </c>
      <c r="E2224">
        <v>21883</v>
      </c>
      <c r="F2224" t="s">
        <v>441</v>
      </c>
      <c r="G2224">
        <v>0</v>
      </c>
      <c r="I2224" s="5">
        <v>44138.666666666664</v>
      </c>
      <c r="J2224" s="5">
        <v>44076.333333333336</v>
      </c>
    </row>
    <row r="2225" spans="1:10" x14ac:dyDescent="0.2">
      <c r="A2225">
        <v>7119463</v>
      </c>
      <c r="B2225">
        <v>3694020</v>
      </c>
      <c r="C2225">
        <v>3694019</v>
      </c>
      <c r="D2225">
        <v>21883</v>
      </c>
      <c r="E2225">
        <v>21883</v>
      </c>
      <c r="F2225" t="s">
        <v>441</v>
      </c>
      <c r="G2225">
        <v>0</v>
      </c>
      <c r="I2225" s="5">
        <v>44140.666666666664</v>
      </c>
      <c r="J2225" s="5">
        <v>44085.333333333336</v>
      </c>
    </row>
    <row r="2226" spans="1:10" x14ac:dyDescent="0.2">
      <c r="A2226">
        <v>7119464</v>
      </c>
      <c r="B2226">
        <v>3693995</v>
      </c>
      <c r="C2226">
        <v>3694015</v>
      </c>
      <c r="D2226">
        <v>21883</v>
      </c>
      <c r="E2226">
        <v>21883</v>
      </c>
      <c r="F2226" t="s">
        <v>441</v>
      </c>
      <c r="G2226">
        <v>0</v>
      </c>
      <c r="I2226" s="5">
        <v>44095.666666666664</v>
      </c>
      <c r="J2226" s="5">
        <v>44088.333333333336</v>
      </c>
    </row>
    <row r="2227" spans="1:10" x14ac:dyDescent="0.2">
      <c r="A2227">
        <v>7119465</v>
      </c>
      <c r="B2227">
        <v>3693995</v>
      </c>
      <c r="C2227">
        <v>3694020</v>
      </c>
      <c r="D2227">
        <v>21883</v>
      </c>
      <c r="E2227">
        <v>21883</v>
      </c>
      <c r="F2227" t="s">
        <v>441</v>
      </c>
      <c r="G2227">
        <v>0</v>
      </c>
      <c r="I2227" s="5">
        <v>44141.666666666664</v>
      </c>
      <c r="J2227" s="5">
        <v>44088.333333333336</v>
      </c>
    </row>
    <row r="2228" spans="1:10" x14ac:dyDescent="0.2">
      <c r="A2228">
        <v>7119466</v>
      </c>
      <c r="B2228">
        <v>3694022</v>
      </c>
      <c r="C2228">
        <v>3694021</v>
      </c>
      <c r="D2228">
        <v>21883</v>
      </c>
      <c r="E2228">
        <v>21883</v>
      </c>
      <c r="F2228" t="s">
        <v>442</v>
      </c>
      <c r="G2228">
        <v>16</v>
      </c>
      <c r="I2228" s="5">
        <v>44187.666666666664</v>
      </c>
      <c r="J2228" s="5">
        <v>44123.333333333336</v>
      </c>
    </row>
    <row r="2229" spans="1:10" x14ac:dyDescent="0.2">
      <c r="A2229">
        <v>7119467</v>
      </c>
      <c r="B2229">
        <v>3694032</v>
      </c>
      <c r="C2229">
        <v>3694031</v>
      </c>
      <c r="D2229">
        <v>21883</v>
      </c>
      <c r="E2229">
        <v>21883</v>
      </c>
      <c r="F2229" t="s">
        <v>441</v>
      </c>
      <c r="G2229">
        <v>0</v>
      </c>
      <c r="I2229" s="5">
        <v>44256.666666666664</v>
      </c>
      <c r="J2229" s="5">
        <v>44155.333333333336</v>
      </c>
    </row>
    <row r="2230" spans="1:10" x14ac:dyDescent="0.2">
      <c r="A2230">
        <v>7119468</v>
      </c>
      <c r="B2230">
        <v>3694031</v>
      </c>
      <c r="C2230">
        <v>3694030</v>
      </c>
      <c r="D2230">
        <v>21883</v>
      </c>
      <c r="E2230">
        <v>21883</v>
      </c>
      <c r="F2230" t="s">
        <v>441</v>
      </c>
      <c r="G2230">
        <v>0</v>
      </c>
      <c r="I2230" s="5">
        <v>44200.666666666664</v>
      </c>
      <c r="J2230" s="5">
        <v>44148.333333333336</v>
      </c>
    </row>
    <row r="2231" spans="1:10" x14ac:dyDescent="0.2">
      <c r="A2231">
        <v>7119469</v>
      </c>
      <c r="B2231">
        <v>3694043</v>
      </c>
      <c r="C2231">
        <v>3694042</v>
      </c>
      <c r="D2231">
        <v>21883</v>
      </c>
      <c r="E2231">
        <v>21883</v>
      </c>
      <c r="F2231" t="s">
        <v>441</v>
      </c>
      <c r="G2231">
        <v>0</v>
      </c>
      <c r="I2231" s="5">
        <v>44200.666666666664</v>
      </c>
      <c r="J2231" s="5">
        <v>44148.333333333336</v>
      </c>
    </row>
    <row r="2232" spans="1:10" x14ac:dyDescent="0.2">
      <c r="A2232">
        <v>7119470</v>
      </c>
      <c r="B2232">
        <v>3694044</v>
      </c>
      <c r="C2232">
        <v>3694043</v>
      </c>
      <c r="D2232">
        <v>21883</v>
      </c>
      <c r="E2232">
        <v>21883</v>
      </c>
      <c r="F2232" t="s">
        <v>441</v>
      </c>
      <c r="G2232">
        <v>0</v>
      </c>
      <c r="I2232" s="5">
        <v>44256.666666666664</v>
      </c>
      <c r="J2232" s="5">
        <v>44155.333333333336</v>
      </c>
    </row>
    <row r="2233" spans="1:10" x14ac:dyDescent="0.2">
      <c r="A2233">
        <v>7119471</v>
      </c>
      <c r="B2233">
        <v>3694021</v>
      </c>
      <c r="C2233">
        <v>3693050</v>
      </c>
      <c r="D2233">
        <v>21883</v>
      </c>
      <c r="E2233">
        <v>21883</v>
      </c>
      <c r="F2233" t="s">
        <v>441</v>
      </c>
      <c r="G2233">
        <v>0</v>
      </c>
      <c r="I2233" s="5">
        <v>44186.333333333336</v>
      </c>
      <c r="J2233" s="5">
        <v>44125.333333333336</v>
      </c>
    </row>
    <row r="2234" spans="1:10" x14ac:dyDescent="0.2">
      <c r="A2234">
        <v>7119472</v>
      </c>
      <c r="B2234">
        <v>3694033</v>
      </c>
      <c r="C2234">
        <v>3693050</v>
      </c>
      <c r="D2234">
        <v>21883</v>
      </c>
      <c r="E2234">
        <v>21883</v>
      </c>
      <c r="F2234" t="s">
        <v>441</v>
      </c>
      <c r="G2234">
        <v>0</v>
      </c>
      <c r="I2234" s="5">
        <v>44186.333333333336</v>
      </c>
      <c r="J2234" s="5">
        <v>44117.333333333336</v>
      </c>
    </row>
    <row r="2235" spans="1:10" x14ac:dyDescent="0.2">
      <c r="A2235">
        <v>7119473</v>
      </c>
      <c r="B2235">
        <v>3693054</v>
      </c>
      <c r="C2235">
        <v>3694032</v>
      </c>
      <c r="D2235">
        <v>21883</v>
      </c>
      <c r="E2235">
        <v>21883</v>
      </c>
      <c r="F2235" t="s">
        <v>441</v>
      </c>
      <c r="G2235">
        <v>0</v>
      </c>
      <c r="I2235" s="5">
        <v>44258.666666666664</v>
      </c>
      <c r="J2235" s="5">
        <v>44159.666666666664</v>
      </c>
    </row>
    <row r="2236" spans="1:10" x14ac:dyDescent="0.2">
      <c r="A2236">
        <v>7119474</v>
      </c>
      <c r="B2236">
        <v>3693054</v>
      </c>
      <c r="C2236">
        <v>3694044</v>
      </c>
      <c r="D2236">
        <v>21883</v>
      </c>
      <c r="E2236">
        <v>21883</v>
      </c>
      <c r="F2236" t="s">
        <v>441</v>
      </c>
      <c r="G2236">
        <v>0</v>
      </c>
      <c r="I2236" s="5">
        <v>44258.666666666664</v>
      </c>
      <c r="J2236" s="5">
        <v>44159.666666666664</v>
      </c>
    </row>
    <row r="2237" spans="1:10" x14ac:dyDescent="0.2">
      <c r="A2237">
        <v>7119475</v>
      </c>
      <c r="B2237">
        <v>3693301</v>
      </c>
      <c r="C2237">
        <v>3693087</v>
      </c>
      <c r="D2237">
        <v>21883</v>
      </c>
      <c r="E2237">
        <v>21883</v>
      </c>
      <c r="F2237" t="s">
        <v>441</v>
      </c>
      <c r="G2237">
        <v>0</v>
      </c>
      <c r="I2237" s="5">
        <v>44044</v>
      </c>
      <c r="J2237" s="5">
        <v>43970.333333333336</v>
      </c>
    </row>
    <row r="2238" spans="1:10" x14ac:dyDescent="0.2">
      <c r="A2238">
        <v>7119476</v>
      </c>
      <c r="B2238">
        <v>3693302</v>
      </c>
      <c r="C2238">
        <v>3693087</v>
      </c>
      <c r="D2238">
        <v>21883</v>
      </c>
      <c r="E2238">
        <v>21883</v>
      </c>
      <c r="F2238" t="s">
        <v>441</v>
      </c>
      <c r="G2238">
        <v>0</v>
      </c>
      <c r="I2238" s="5">
        <v>44044</v>
      </c>
      <c r="J2238" s="5">
        <v>43970.333333333336</v>
      </c>
    </row>
    <row r="2239" spans="1:10" x14ac:dyDescent="0.2">
      <c r="A2239">
        <v>7119477</v>
      </c>
      <c r="B2239">
        <v>3693303</v>
      </c>
      <c r="C2239">
        <v>3693087</v>
      </c>
      <c r="D2239">
        <v>21883</v>
      </c>
      <c r="E2239">
        <v>21883</v>
      </c>
      <c r="F2239" t="s">
        <v>441</v>
      </c>
      <c r="G2239">
        <v>0</v>
      </c>
      <c r="I2239" s="5">
        <v>44044</v>
      </c>
      <c r="J2239" s="5">
        <v>43970.333333333336</v>
      </c>
    </row>
    <row r="2240" spans="1:10" x14ac:dyDescent="0.2">
      <c r="A2240">
        <v>7119478</v>
      </c>
      <c r="B2240">
        <v>3693305</v>
      </c>
      <c r="C2240">
        <v>3693087</v>
      </c>
      <c r="D2240">
        <v>21883</v>
      </c>
      <c r="E2240">
        <v>21883</v>
      </c>
      <c r="F2240" t="s">
        <v>441</v>
      </c>
      <c r="G2240">
        <v>0</v>
      </c>
      <c r="I2240" s="5">
        <v>44044</v>
      </c>
      <c r="J2240" s="5">
        <v>43970.333333333336</v>
      </c>
    </row>
    <row r="2241" spans="1:10" x14ac:dyDescent="0.2">
      <c r="A2241">
        <v>7119479</v>
      </c>
      <c r="B2241">
        <v>3693308</v>
      </c>
      <c r="C2241">
        <v>3693087</v>
      </c>
      <c r="D2241">
        <v>21883</v>
      </c>
      <c r="E2241">
        <v>21883</v>
      </c>
      <c r="F2241" t="s">
        <v>441</v>
      </c>
      <c r="G2241">
        <v>0</v>
      </c>
      <c r="I2241" s="5">
        <v>44044</v>
      </c>
      <c r="J2241" s="5">
        <v>44082.333333333336</v>
      </c>
    </row>
    <row r="2242" spans="1:10" x14ac:dyDescent="0.2">
      <c r="A2242">
        <v>7119480</v>
      </c>
      <c r="B2242">
        <v>3693309</v>
      </c>
      <c r="C2242">
        <v>3693087</v>
      </c>
      <c r="D2242">
        <v>21883</v>
      </c>
      <c r="E2242">
        <v>21883</v>
      </c>
      <c r="F2242" t="s">
        <v>441</v>
      </c>
      <c r="G2242">
        <v>0</v>
      </c>
      <c r="I2242" s="5">
        <v>44044</v>
      </c>
      <c r="J2242" s="5">
        <v>44113.333333333336</v>
      </c>
    </row>
    <row r="2243" spans="1:10" x14ac:dyDescent="0.2">
      <c r="A2243">
        <v>7119481</v>
      </c>
      <c r="B2243">
        <v>3693310</v>
      </c>
      <c r="C2243">
        <v>3693087</v>
      </c>
      <c r="D2243">
        <v>21883</v>
      </c>
      <c r="E2243">
        <v>21883</v>
      </c>
      <c r="F2243" t="s">
        <v>441</v>
      </c>
      <c r="G2243">
        <v>0</v>
      </c>
      <c r="I2243" s="5">
        <v>44044</v>
      </c>
      <c r="J2243" s="5">
        <v>44032.333333333336</v>
      </c>
    </row>
    <row r="2244" spans="1:10" x14ac:dyDescent="0.2">
      <c r="A2244">
        <v>7119482</v>
      </c>
      <c r="B2244">
        <v>3693311</v>
      </c>
      <c r="C2244">
        <v>3693087</v>
      </c>
      <c r="D2244">
        <v>21883</v>
      </c>
      <c r="E2244">
        <v>21883</v>
      </c>
      <c r="F2244" t="s">
        <v>441</v>
      </c>
      <c r="G2244">
        <v>0</v>
      </c>
      <c r="I2244" s="5">
        <v>44044</v>
      </c>
      <c r="J2244" s="5">
        <v>44082.333333333336</v>
      </c>
    </row>
    <row r="2245" spans="1:10" x14ac:dyDescent="0.2">
      <c r="A2245">
        <v>7119483</v>
      </c>
      <c r="B2245">
        <v>3693316</v>
      </c>
      <c r="C2245">
        <v>3693087</v>
      </c>
      <c r="D2245">
        <v>21883</v>
      </c>
      <c r="E2245">
        <v>21883</v>
      </c>
      <c r="F2245" t="s">
        <v>441</v>
      </c>
      <c r="G2245">
        <v>0</v>
      </c>
      <c r="I2245" s="5">
        <v>44044</v>
      </c>
      <c r="J2245" s="5">
        <v>43970.333333333336</v>
      </c>
    </row>
    <row r="2246" spans="1:10" x14ac:dyDescent="0.2">
      <c r="A2246">
        <v>7119484</v>
      </c>
      <c r="B2246">
        <v>3693317</v>
      </c>
      <c r="C2246">
        <v>3693087</v>
      </c>
      <c r="D2246">
        <v>21883</v>
      </c>
      <c r="E2246">
        <v>21883</v>
      </c>
      <c r="F2246" t="s">
        <v>441</v>
      </c>
      <c r="G2246">
        <v>0</v>
      </c>
      <c r="I2246" s="5">
        <v>44044</v>
      </c>
      <c r="J2246" s="5">
        <v>43970.333333333336</v>
      </c>
    </row>
    <row r="2247" spans="1:10" x14ac:dyDescent="0.2">
      <c r="A2247">
        <v>7119485</v>
      </c>
      <c r="B2247">
        <v>3693318</v>
      </c>
      <c r="C2247">
        <v>3693087</v>
      </c>
      <c r="D2247">
        <v>21883</v>
      </c>
      <c r="E2247">
        <v>21883</v>
      </c>
      <c r="F2247" t="s">
        <v>441</v>
      </c>
      <c r="G2247">
        <v>0</v>
      </c>
      <c r="I2247" s="5">
        <v>44044</v>
      </c>
      <c r="J2247" s="5">
        <v>43970.333333333336</v>
      </c>
    </row>
    <row r="2248" spans="1:10" x14ac:dyDescent="0.2">
      <c r="A2248">
        <v>7119486</v>
      </c>
      <c r="B2248">
        <v>3693189</v>
      </c>
      <c r="C2248">
        <v>3693317</v>
      </c>
      <c r="D2248">
        <v>21883</v>
      </c>
      <c r="E2248">
        <v>21883</v>
      </c>
      <c r="F2248" t="s">
        <v>441</v>
      </c>
      <c r="G2248">
        <v>0</v>
      </c>
      <c r="I2248" s="5">
        <v>44044</v>
      </c>
      <c r="J2248" s="5">
        <v>43970.333333333336</v>
      </c>
    </row>
    <row r="2249" spans="1:10" x14ac:dyDescent="0.2">
      <c r="A2249">
        <v>7119487</v>
      </c>
      <c r="B2249">
        <v>3693205</v>
      </c>
      <c r="C2249">
        <v>3693317</v>
      </c>
      <c r="D2249">
        <v>21883</v>
      </c>
      <c r="E2249">
        <v>21883</v>
      </c>
      <c r="F2249" t="s">
        <v>441</v>
      </c>
      <c r="G2249">
        <v>0</v>
      </c>
      <c r="I2249" s="5">
        <v>44044</v>
      </c>
      <c r="J2249" s="5">
        <v>44008.666666666664</v>
      </c>
    </row>
    <row r="2250" spans="1:10" x14ac:dyDescent="0.2">
      <c r="A2250">
        <v>7119488</v>
      </c>
      <c r="B2250">
        <v>3692989</v>
      </c>
      <c r="C2250">
        <v>3693318</v>
      </c>
      <c r="D2250">
        <v>21883</v>
      </c>
      <c r="E2250">
        <v>21883</v>
      </c>
      <c r="F2250" t="s">
        <v>441</v>
      </c>
      <c r="G2250">
        <v>0</v>
      </c>
      <c r="I2250" s="5">
        <v>44044</v>
      </c>
      <c r="J2250" s="5">
        <v>43970.333333333336</v>
      </c>
    </row>
    <row r="2251" spans="1:10" x14ac:dyDescent="0.2">
      <c r="A2251">
        <v>7119489</v>
      </c>
      <c r="B2251">
        <v>3693466</v>
      </c>
      <c r="C2251">
        <v>3693285</v>
      </c>
      <c r="D2251">
        <v>21883</v>
      </c>
      <c r="E2251">
        <v>21883</v>
      </c>
      <c r="F2251" t="s">
        <v>441</v>
      </c>
      <c r="G2251">
        <v>0</v>
      </c>
      <c r="I2251" s="5">
        <v>44044</v>
      </c>
      <c r="J2251" s="5">
        <v>43970.333333333336</v>
      </c>
    </row>
    <row r="2252" spans="1:10" x14ac:dyDescent="0.2">
      <c r="A2252">
        <v>7119490</v>
      </c>
      <c r="B2252">
        <v>3693314</v>
      </c>
      <c r="C2252">
        <v>3693311</v>
      </c>
      <c r="D2252">
        <v>21883</v>
      </c>
      <c r="E2252">
        <v>21883</v>
      </c>
      <c r="F2252" t="s">
        <v>441</v>
      </c>
      <c r="G2252">
        <v>0</v>
      </c>
      <c r="I2252" s="5">
        <v>44044</v>
      </c>
      <c r="J2252" s="5">
        <v>44082.333333333336</v>
      </c>
    </row>
    <row r="2253" spans="1:10" x14ac:dyDescent="0.2">
      <c r="A2253">
        <v>7119491</v>
      </c>
      <c r="B2253">
        <v>3693011</v>
      </c>
      <c r="C2253">
        <v>3693307</v>
      </c>
      <c r="D2253">
        <v>21883</v>
      </c>
      <c r="E2253">
        <v>21883</v>
      </c>
      <c r="F2253" t="s">
        <v>441</v>
      </c>
      <c r="G2253">
        <v>0</v>
      </c>
      <c r="I2253" s="5">
        <v>44044</v>
      </c>
      <c r="J2253" s="5">
        <v>44032.333333333336</v>
      </c>
    </row>
    <row r="2254" spans="1:10" x14ac:dyDescent="0.2">
      <c r="A2254">
        <v>7119492</v>
      </c>
      <c r="B2254">
        <v>3693327</v>
      </c>
      <c r="C2254">
        <v>3693750</v>
      </c>
      <c r="D2254">
        <v>21883</v>
      </c>
      <c r="E2254">
        <v>21883</v>
      </c>
      <c r="F2254" t="s">
        <v>440</v>
      </c>
      <c r="G2254">
        <v>0</v>
      </c>
      <c r="I2254" s="5">
        <v>44176.666666666664</v>
      </c>
      <c r="J2254" s="5">
        <v>44273.666666666664</v>
      </c>
    </row>
    <row r="2255" spans="1:10" x14ac:dyDescent="0.2">
      <c r="A2255">
        <v>7119493</v>
      </c>
      <c r="B2255">
        <v>3692883</v>
      </c>
      <c r="C2255">
        <v>3692891</v>
      </c>
      <c r="D2255">
        <v>21883</v>
      </c>
      <c r="E2255">
        <v>21883</v>
      </c>
      <c r="F2255" t="s">
        <v>441</v>
      </c>
      <c r="G2255">
        <v>0</v>
      </c>
      <c r="I2255" s="5">
        <v>44044</v>
      </c>
      <c r="J2255" s="5">
        <v>44273.666666666664</v>
      </c>
    </row>
    <row r="2256" spans="1:10" x14ac:dyDescent="0.2">
      <c r="A2256">
        <v>7119494</v>
      </c>
      <c r="B2256">
        <v>3693310</v>
      </c>
      <c r="C2256">
        <v>3693092</v>
      </c>
      <c r="D2256">
        <v>21883</v>
      </c>
      <c r="E2256">
        <v>21883</v>
      </c>
      <c r="F2256" t="s">
        <v>441</v>
      </c>
      <c r="G2256">
        <v>0</v>
      </c>
      <c r="I2256" s="5">
        <v>44044</v>
      </c>
      <c r="J2256" s="5">
        <v>44032.333333333336</v>
      </c>
    </row>
    <row r="2257" spans="1:10" x14ac:dyDescent="0.2">
      <c r="A2257">
        <v>7119495</v>
      </c>
      <c r="B2257">
        <v>3693048</v>
      </c>
      <c r="C2257">
        <v>3693094</v>
      </c>
      <c r="D2257">
        <v>21883</v>
      </c>
      <c r="E2257">
        <v>21883</v>
      </c>
      <c r="F2257" t="s">
        <v>441</v>
      </c>
      <c r="G2257">
        <v>0</v>
      </c>
      <c r="I2257" s="5">
        <v>44044</v>
      </c>
      <c r="J2257" s="5">
        <v>44032.333333333336</v>
      </c>
    </row>
    <row r="2258" spans="1:10" x14ac:dyDescent="0.2">
      <c r="A2258">
        <v>7119496</v>
      </c>
      <c r="B2258">
        <v>3693048</v>
      </c>
      <c r="C2258">
        <v>3693315</v>
      </c>
      <c r="D2258">
        <v>21883</v>
      </c>
      <c r="E2258">
        <v>21883</v>
      </c>
      <c r="F2258" t="s">
        <v>441</v>
      </c>
      <c r="G2258">
        <v>0</v>
      </c>
      <c r="I2258" s="5">
        <v>44044</v>
      </c>
      <c r="J2258" s="5">
        <v>44032.333333333336</v>
      </c>
    </row>
    <row r="2259" spans="1:10" x14ac:dyDescent="0.2">
      <c r="A2259">
        <v>7119497</v>
      </c>
      <c r="B2259">
        <v>3693050</v>
      </c>
      <c r="C2259">
        <v>3693049</v>
      </c>
      <c r="D2259">
        <v>21883</v>
      </c>
      <c r="E2259">
        <v>21883</v>
      </c>
      <c r="F2259" t="s">
        <v>441</v>
      </c>
      <c r="G2259">
        <v>0</v>
      </c>
      <c r="I2259" s="5">
        <v>44044</v>
      </c>
      <c r="J2259" s="5">
        <v>44117.333333333336</v>
      </c>
    </row>
    <row r="2260" spans="1:10" x14ac:dyDescent="0.2">
      <c r="A2260">
        <v>7119498</v>
      </c>
      <c r="B2260">
        <v>3693304</v>
      </c>
      <c r="C2260">
        <v>3693101</v>
      </c>
      <c r="D2260">
        <v>21883</v>
      </c>
      <c r="E2260">
        <v>21883</v>
      </c>
      <c r="F2260" t="s">
        <v>441</v>
      </c>
      <c r="G2260">
        <v>0</v>
      </c>
      <c r="I2260" s="5">
        <v>44044</v>
      </c>
      <c r="J2260" s="5">
        <v>43970.333333333336</v>
      </c>
    </row>
    <row r="2261" spans="1:10" x14ac:dyDescent="0.2">
      <c r="A2261">
        <v>7119499</v>
      </c>
      <c r="B2261">
        <v>3693394</v>
      </c>
      <c r="C2261">
        <v>3692903</v>
      </c>
      <c r="D2261">
        <v>21883</v>
      </c>
      <c r="E2261">
        <v>21883</v>
      </c>
      <c r="F2261" t="s">
        <v>441</v>
      </c>
      <c r="G2261">
        <v>0</v>
      </c>
      <c r="I2261" s="5">
        <v>44044</v>
      </c>
      <c r="J2261" s="5">
        <v>43970.333333333336</v>
      </c>
    </row>
    <row r="2262" spans="1:10" x14ac:dyDescent="0.2">
      <c r="A2262">
        <v>7119500</v>
      </c>
      <c r="B2262">
        <v>3693287</v>
      </c>
      <c r="C2262">
        <v>3693411</v>
      </c>
      <c r="D2262">
        <v>21883</v>
      </c>
      <c r="E2262">
        <v>21883</v>
      </c>
      <c r="F2262" t="s">
        <v>441</v>
      </c>
      <c r="G2262">
        <v>0</v>
      </c>
      <c r="I2262" s="5">
        <v>44044</v>
      </c>
      <c r="J2262" s="5">
        <v>43970.333333333336</v>
      </c>
    </row>
    <row r="2263" spans="1:10" x14ac:dyDescent="0.2">
      <c r="A2263">
        <v>7119501</v>
      </c>
      <c r="B2263">
        <v>3694045</v>
      </c>
      <c r="C2263">
        <v>3693141</v>
      </c>
      <c r="D2263">
        <v>21883</v>
      </c>
      <c r="E2263">
        <v>21883</v>
      </c>
      <c r="F2263" t="s">
        <v>441</v>
      </c>
      <c r="G2263">
        <v>0</v>
      </c>
      <c r="I2263" s="5">
        <v>44044</v>
      </c>
      <c r="J2263" s="5">
        <v>43970.333333333336</v>
      </c>
    </row>
    <row r="2264" spans="1:10" x14ac:dyDescent="0.2">
      <c r="A2264">
        <v>7119502</v>
      </c>
      <c r="B2264">
        <v>3693142</v>
      </c>
      <c r="C2264">
        <v>3694045</v>
      </c>
      <c r="D2264">
        <v>21883</v>
      </c>
      <c r="E2264">
        <v>21883</v>
      </c>
      <c r="F2264" t="s">
        <v>441</v>
      </c>
      <c r="G2264">
        <v>0</v>
      </c>
      <c r="I2264" s="5">
        <v>44044</v>
      </c>
      <c r="J2264" s="5">
        <v>43970.333333333336</v>
      </c>
    </row>
    <row r="2265" spans="1:10" x14ac:dyDescent="0.2">
      <c r="A2265">
        <v>7119503</v>
      </c>
      <c r="B2265">
        <v>3693144</v>
      </c>
      <c r="C2265">
        <v>3694046</v>
      </c>
      <c r="D2265">
        <v>21883</v>
      </c>
      <c r="E2265">
        <v>21883</v>
      </c>
      <c r="F2265" t="s">
        <v>441</v>
      </c>
      <c r="G2265">
        <v>0</v>
      </c>
      <c r="I2265" s="5">
        <v>44044</v>
      </c>
      <c r="J2265" s="5">
        <v>43970.333333333336</v>
      </c>
    </row>
    <row r="2266" spans="1:10" x14ac:dyDescent="0.2">
      <c r="A2266">
        <v>7119504</v>
      </c>
      <c r="B2266">
        <v>3694046</v>
      </c>
      <c r="C2266">
        <v>3693143</v>
      </c>
      <c r="D2266">
        <v>21883</v>
      </c>
      <c r="E2266">
        <v>21883</v>
      </c>
      <c r="F2266" t="s">
        <v>441</v>
      </c>
      <c r="G2266">
        <v>0</v>
      </c>
      <c r="I2266" s="5">
        <v>44044</v>
      </c>
      <c r="J2266" s="5">
        <v>43970.333333333336</v>
      </c>
    </row>
    <row r="2267" spans="1:10" x14ac:dyDescent="0.2">
      <c r="A2267">
        <v>7119505</v>
      </c>
      <c r="B2267">
        <v>3694047</v>
      </c>
      <c r="C2267">
        <v>3693145</v>
      </c>
      <c r="D2267">
        <v>21883</v>
      </c>
      <c r="E2267">
        <v>21883</v>
      </c>
      <c r="F2267" t="s">
        <v>441</v>
      </c>
      <c r="G2267">
        <v>0</v>
      </c>
      <c r="I2267" s="5">
        <v>44044</v>
      </c>
      <c r="J2267" s="5">
        <v>43970.333333333336</v>
      </c>
    </row>
    <row r="2268" spans="1:10" x14ac:dyDescent="0.2">
      <c r="A2268">
        <v>7119506</v>
      </c>
      <c r="B2268">
        <v>3693146</v>
      </c>
      <c r="C2268">
        <v>3694047</v>
      </c>
      <c r="D2268">
        <v>21883</v>
      </c>
      <c r="E2268">
        <v>21883</v>
      </c>
      <c r="F2268" t="s">
        <v>441</v>
      </c>
      <c r="G2268">
        <v>0</v>
      </c>
      <c r="I2268" s="5">
        <v>44044</v>
      </c>
      <c r="J2268" s="5">
        <v>43970.333333333336</v>
      </c>
    </row>
    <row r="2269" spans="1:10" x14ac:dyDescent="0.2">
      <c r="A2269">
        <v>7119507</v>
      </c>
      <c r="B2269">
        <v>3694048</v>
      </c>
      <c r="C2269">
        <v>3693518</v>
      </c>
      <c r="D2269">
        <v>21883</v>
      </c>
      <c r="E2269">
        <v>21883</v>
      </c>
      <c r="F2269" t="s">
        <v>441</v>
      </c>
      <c r="G2269">
        <v>0</v>
      </c>
      <c r="I2269" s="5">
        <v>44044</v>
      </c>
      <c r="J2269" s="5">
        <v>43970.333333333336</v>
      </c>
    </row>
    <row r="2270" spans="1:10" x14ac:dyDescent="0.2">
      <c r="A2270">
        <v>7119508</v>
      </c>
      <c r="B2270">
        <v>3693519</v>
      </c>
      <c r="C2270">
        <v>3694048</v>
      </c>
      <c r="D2270">
        <v>21883</v>
      </c>
      <c r="E2270">
        <v>21883</v>
      </c>
      <c r="F2270" t="s">
        <v>441</v>
      </c>
      <c r="G2270">
        <v>0</v>
      </c>
      <c r="I2270" s="5">
        <v>44044</v>
      </c>
      <c r="J2270" s="5">
        <v>43970.333333333336</v>
      </c>
    </row>
    <row r="2271" spans="1:10" x14ac:dyDescent="0.2">
      <c r="A2271">
        <v>7119509</v>
      </c>
      <c r="B2271">
        <v>3694049</v>
      </c>
      <c r="C2271">
        <v>3693529</v>
      </c>
      <c r="D2271">
        <v>21883</v>
      </c>
      <c r="E2271">
        <v>21883</v>
      </c>
      <c r="F2271" t="s">
        <v>441</v>
      </c>
      <c r="G2271">
        <v>0</v>
      </c>
      <c r="I2271" s="5">
        <v>44044</v>
      </c>
      <c r="J2271" s="5">
        <v>43970.333333333336</v>
      </c>
    </row>
    <row r="2272" spans="1:10" x14ac:dyDescent="0.2">
      <c r="A2272">
        <v>7119510</v>
      </c>
      <c r="B2272">
        <v>3693530</v>
      </c>
      <c r="C2272">
        <v>3694049</v>
      </c>
      <c r="D2272">
        <v>21883</v>
      </c>
      <c r="E2272">
        <v>21883</v>
      </c>
      <c r="F2272" t="s">
        <v>441</v>
      </c>
      <c r="G2272">
        <v>0</v>
      </c>
      <c r="I2272" s="5">
        <v>44044</v>
      </c>
      <c r="J2272" s="5">
        <v>43970.333333333336</v>
      </c>
    </row>
    <row r="2273" spans="1:10" x14ac:dyDescent="0.2">
      <c r="A2273">
        <v>7119511</v>
      </c>
      <c r="B2273">
        <v>3694050</v>
      </c>
      <c r="C2273">
        <v>3693540</v>
      </c>
      <c r="D2273">
        <v>21883</v>
      </c>
      <c r="E2273">
        <v>21883</v>
      </c>
      <c r="F2273" t="s">
        <v>441</v>
      </c>
      <c r="G2273">
        <v>0</v>
      </c>
      <c r="I2273" s="5">
        <v>44044</v>
      </c>
      <c r="J2273" s="5">
        <v>43970.333333333336</v>
      </c>
    </row>
    <row r="2274" spans="1:10" x14ac:dyDescent="0.2">
      <c r="A2274">
        <v>7119512</v>
      </c>
      <c r="B2274">
        <v>3693541</v>
      </c>
      <c r="C2274">
        <v>3694050</v>
      </c>
      <c r="D2274">
        <v>21883</v>
      </c>
      <c r="E2274">
        <v>21883</v>
      </c>
      <c r="F2274" t="s">
        <v>441</v>
      </c>
      <c r="G2274">
        <v>0</v>
      </c>
      <c r="I2274" s="5">
        <v>44044</v>
      </c>
      <c r="J2274" s="5">
        <v>43970.333333333336</v>
      </c>
    </row>
    <row r="2275" spans="1:10" x14ac:dyDescent="0.2">
      <c r="A2275">
        <v>7119513</v>
      </c>
      <c r="B2275">
        <v>3693032</v>
      </c>
      <c r="C2275">
        <v>3693030</v>
      </c>
      <c r="D2275">
        <v>21883</v>
      </c>
      <c r="E2275">
        <v>21883</v>
      </c>
      <c r="F2275" t="s">
        <v>441</v>
      </c>
      <c r="G2275">
        <v>0</v>
      </c>
      <c r="I2275" s="5">
        <v>44044</v>
      </c>
      <c r="J2275" s="5">
        <v>43970.333333333336</v>
      </c>
    </row>
    <row r="2276" spans="1:10" x14ac:dyDescent="0.2">
      <c r="A2276">
        <v>7119514</v>
      </c>
      <c r="B2276">
        <v>3694051</v>
      </c>
      <c r="C2276">
        <v>3693835</v>
      </c>
      <c r="D2276">
        <v>21883</v>
      </c>
      <c r="E2276">
        <v>21883</v>
      </c>
      <c r="F2276" t="s">
        <v>441</v>
      </c>
      <c r="G2276">
        <v>0</v>
      </c>
      <c r="I2276" s="5">
        <v>44044</v>
      </c>
      <c r="J2276" s="5">
        <v>44005.333333333336</v>
      </c>
    </row>
    <row r="2277" spans="1:10" x14ac:dyDescent="0.2">
      <c r="A2277">
        <v>7119515</v>
      </c>
      <c r="B2277">
        <v>3693845</v>
      </c>
      <c r="C2277">
        <v>3694051</v>
      </c>
      <c r="D2277">
        <v>21883</v>
      </c>
      <c r="E2277">
        <v>21883</v>
      </c>
      <c r="F2277" t="s">
        <v>441</v>
      </c>
      <c r="G2277">
        <v>0</v>
      </c>
      <c r="I2277" s="5">
        <v>44044</v>
      </c>
      <c r="J2277" s="5">
        <v>44005.333333333336</v>
      </c>
    </row>
    <row r="2278" spans="1:10" x14ac:dyDescent="0.2">
      <c r="A2278">
        <v>7119516</v>
      </c>
      <c r="B2278">
        <v>3693860</v>
      </c>
      <c r="C2278">
        <v>3694052</v>
      </c>
      <c r="D2278">
        <v>21883</v>
      </c>
      <c r="E2278">
        <v>21883</v>
      </c>
      <c r="F2278" t="s">
        <v>441</v>
      </c>
      <c r="G2278">
        <v>0</v>
      </c>
      <c r="I2278" s="5">
        <v>44064.666666666664</v>
      </c>
      <c r="J2278" s="5">
        <v>44005.333333333336</v>
      </c>
    </row>
    <row r="2279" spans="1:10" x14ac:dyDescent="0.2">
      <c r="A2279">
        <v>7119517</v>
      </c>
      <c r="B2279">
        <v>3694052</v>
      </c>
      <c r="C2279">
        <v>3693849</v>
      </c>
      <c r="D2279">
        <v>21883</v>
      </c>
      <c r="E2279">
        <v>21883</v>
      </c>
      <c r="F2279" t="s">
        <v>441</v>
      </c>
      <c r="G2279">
        <v>0</v>
      </c>
      <c r="I2279" s="5">
        <v>44058.666666666664</v>
      </c>
      <c r="J2279" s="5">
        <v>43998.333333333336</v>
      </c>
    </row>
    <row r="2280" spans="1:10" x14ac:dyDescent="0.2">
      <c r="A2280">
        <v>7119518</v>
      </c>
      <c r="B2280">
        <v>3694053</v>
      </c>
      <c r="C2280">
        <v>3693862</v>
      </c>
      <c r="D2280">
        <v>21883</v>
      </c>
      <c r="E2280">
        <v>21883</v>
      </c>
      <c r="F2280" t="s">
        <v>441</v>
      </c>
      <c r="G2280">
        <v>0</v>
      </c>
      <c r="I2280" s="5">
        <v>44073.666666666664</v>
      </c>
      <c r="J2280" s="5">
        <v>44001.333333333336</v>
      </c>
    </row>
    <row r="2281" spans="1:10" x14ac:dyDescent="0.2">
      <c r="A2281">
        <v>7119519</v>
      </c>
      <c r="B2281">
        <v>3693874</v>
      </c>
      <c r="C2281">
        <v>3694053</v>
      </c>
      <c r="D2281">
        <v>21883</v>
      </c>
      <c r="E2281">
        <v>21883</v>
      </c>
      <c r="F2281" t="s">
        <v>441</v>
      </c>
      <c r="G2281">
        <v>0</v>
      </c>
      <c r="I2281" s="5">
        <v>44077.666666666664</v>
      </c>
      <c r="J2281" s="5">
        <v>44007.333333333336</v>
      </c>
    </row>
    <row r="2282" spans="1:10" x14ac:dyDescent="0.2">
      <c r="A2282">
        <v>7119520</v>
      </c>
      <c r="B2282">
        <v>3693328</v>
      </c>
      <c r="C2282">
        <v>3692876</v>
      </c>
      <c r="D2282">
        <v>21883</v>
      </c>
      <c r="E2282">
        <v>21883</v>
      </c>
      <c r="F2282" t="s">
        <v>441</v>
      </c>
      <c r="G2282">
        <v>0</v>
      </c>
      <c r="I2282" s="5">
        <v>44044</v>
      </c>
      <c r="J2282" s="5">
        <v>43970.333333333336</v>
      </c>
    </row>
    <row r="2283" spans="1:10" x14ac:dyDescent="0.2">
      <c r="A2283">
        <v>7119521</v>
      </c>
      <c r="B2283">
        <v>3693189</v>
      </c>
      <c r="C2283">
        <v>3694055</v>
      </c>
      <c r="D2283">
        <v>21883</v>
      </c>
      <c r="E2283">
        <v>21883</v>
      </c>
      <c r="F2283" t="s">
        <v>441</v>
      </c>
      <c r="G2283">
        <v>0</v>
      </c>
      <c r="I2283" s="5">
        <v>44044</v>
      </c>
      <c r="J2283" s="5">
        <v>43970.333333333336</v>
      </c>
    </row>
    <row r="2284" spans="1:10" x14ac:dyDescent="0.2">
      <c r="A2284">
        <v>7119522</v>
      </c>
      <c r="B2284">
        <v>3694055</v>
      </c>
      <c r="C2284">
        <v>3693096</v>
      </c>
      <c r="D2284">
        <v>21883</v>
      </c>
      <c r="E2284">
        <v>21883</v>
      </c>
      <c r="F2284" t="s">
        <v>441</v>
      </c>
      <c r="G2284">
        <v>0</v>
      </c>
      <c r="I2284" s="5">
        <v>44044</v>
      </c>
      <c r="J2284" s="5">
        <v>43970.333333333336</v>
      </c>
    </row>
    <row r="2285" spans="1:10" x14ac:dyDescent="0.2">
      <c r="A2285">
        <v>7119523</v>
      </c>
      <c r="B2285">
        <v>3694057</v>
      </c>
      <c r="C2285">
        <v>3693249</v>
      </c>
      <c r="D2285">
        <v>21883</v>
      </c>
      <c r="E2285">
        <v>21883</v>
      </c>
      <c r="F2285" t="s">
        <v>441</v>
      </c>
      <c r="G2285">
        <v>0</v>
      </c>
      <c r="I2285" s="5">
        <v>44044</v>
      </c>
      <c r="J2285" s="5">
        <v>43970.333333333336</v>
      </c>
    </row>
    <row r="2286" spans="1:10" x14ac:dyDescent="0.2">
      <c r="A2286">
        <v>7119524</v>
      </c>
      <c r="B2286">
        <v>3692991</v>
      </c>
      <c r="C2286">
        <v>3694057</v>
      </c>
      <c r="D2286">
        <v>21883</v>
      </c>
      <c r="E2286">
        <v>21883</v>
      </c>
      <c r="F2286" t="s">
        <v>441</v>
      </c>
      <c r="G2286">
        <v>0</v>
      </c>
      <c r="I2286" s="5">
        <v>44044</v>
      </c>
      <c r="J2286" s="5">
        <v>43970.333333333336</v>
      </c>
    </row>
    <row r="2287" spans="1:10" x14ac:dyDescent="0.2">
      <c r="A2287">
        <v>7119525</v>
      </c>
      <c r="B2287">
        <v>3693680</v>
      </c>
      <c r="C2287">
        <v>3693665</v>
      </c>
      <c r="D2287">
        <v>21883</v>
      </c>
      <c r="E2287">
        <v>21883</v>
      </c>
      <c r="F2287" t="s">
        <v>441</v>
      </c>
      <c r="G2287">
        <v>0</v>
      </c>
      <c r="I2287" s="5">
        <v>44044</v>
      </c>
      <c r="J2287" s="5">
        <v>43970.333333333336</v>
      </c>
    </row>
    <row r="2288" spans="1:10" x14ac:dyDescent="0.2">
      <c r="A2288">
        <v>7119526</v>
      </c>
      <c r="B2288">
        <v>3693965</v>
      </c>
      <c r="C2288">
        <v>3693950</v>
      </c>
      <c r="D2288">
        <v>21883</v>
      </c>
      <c r="E2288">
        <v>21883</v>
      </c>
      <c r="F2288" t="s">
        <v>441</v>
      </c>
      <c r="G2288">
        <v>0</v>
      </c>
      <c r="I2288" s="5">
        <v>44075.666666666664</v>
      </c>
      <c r="J2288" s="5">
        <v>44012.333333333336</v>
      </c>
    </row>
    <row r="2289" spans="1:10" x14ac:dyDescent="0.2">
      <c r="A2289">
        <v>7119527</v>
      </c>
      <c r="B2289">
        <v>3693456</v>
      </c>
      <c r="C2289">
        <v>3692992</v>
      </c>
      <c r="D2289">
        <v>21883</v>
      </c>
      <c r="E2289">
        <v>21883</v>
      </c>
      <c r="F2289" t="s">
        <v>441</v>
      </c>
      <c r="G2289">
        <v>0</v>
      </c>
      <c r="I2289" s="5">
        <v>44044</v>
      </c>
      <c r="J2289" s="5">
        <v>43970.333333333336</v>
      </c>
    </row>
    <row r="2290" spans="1:10" x14ac:dyDescent="0.2">
      <c r="A2290">
        <v>7119528</v>
      </c>
      <c r="B2290">
        <v>3692905</v>
      </c>
      <c r="C2290">
        <v>3693089</v>
      </c>
      <c r="D2290">
        <v>21883</v>
      </c>
      <c r="E2290">
        <v>21883</v>
      </c>
      <c r="F2290" t="s">
        <v>441</v>
      </c>
      <c r="G2290">
        <v>0</v>
      </c>
      <c r="I2290" s="5">
        <v>44044</v>
      </c>
      <c r="J2290" s="5">
        <v>43970.333333333336</v>
      </c>
    </row>
    <row r="2291" spans="1:10" x14ac:dyDescent="0.2">
      <c r="A2291">
        <v>7119529</v>
      </c>
      <c r="B2291">
        <v>3693355</v>
      </c>
      <c r="C2291">
        <v>3693089</v>
      </c>
      <c r="D2291">
        <v>21883</v>
      </c>
      <c r="E2291">
        <v>21883</v>
      </c>
      <c r="F2291" t="s">
        <v>441</v>
      </c>
      <c r="G2291">
        <v>0</v>
      </c>
      <c r="I2291" s="5">
        <v>44044</v>
      </c>
      <c r="J2291" s="5">
        <v>43970.333333333336</v>
      </c>
    </row>
    <row r="2292" spans="1:10" x14ac:dyDescent="0.2">
      <c r="A2292">
        <v>7119530</v>
      </c>
      <c r="B2292">
        <v>3692937</v>
      </c>
      <c r="C2292">
        <v>3693089</v>
      </c>
      <c r="D2292">
        <v>21883</v>
      </c>
      <c r="E2292">
        <v>21883</v>
      </c>
      <c r="F2292" t="s">
        <v>442</v>
      </c>
      <c r="G2292">
        <v>240</v>
      </c>
      <c r="I2292" s="5">
        <v>44044</v>
      </c>
      <c r="J2292" s="5">
        <v>43970.333333333336</v>
      </c>
    </row>
    <row r="2293" spans="1:10" x14ac:dyDescent="0.2">
      <c r="A2293">
        <v>7119531</v>
      </c>
      <c r="B2293">
        <v>3693350</v>
      </c>
      <c r="C2293">
        <v>3693089</v>
      </c>
      <c r="D2293">
        <v>21883</v>
      </c>
      <c r="E2293">
        <v>21883</v>
      </c>
      <c r="F2293" t="s">
        <v>442</v>
      </c>
      <c r="G2293">
        <v>0</v>
      </c>
      <c r="I2293" s="5">
        <v>44044</v>
      </c>
      <c r="J2293" s="5">
        <v>43970.333333333336</v>
      </c>
    </row>
    <row r="2294" spans="1:10" x14ac:dyDescent="0.2">
      <c r="A2294">
        <v>7119532</v>
      </c>
      <c r="B2294">
        <v>3692921</v>
      </c>
      <c r="C2294">
        <v>3693088</v>
      </c>
      <c r="D2294">
        <v>21883</v>
      </c>
      <c r="E2294">
        <v>21883</v>
      </c>
      <c r="F2294" t="s">
        <v>442</v>
      </c>
      <c r="G2294">
        <v>720</v>
      </c>
      <c r="I2294" s="5">
        <v>44044</v>
      </c>
      <c r="J2294" s="5">
        <v>43970.333333333336</v>
      </c>
    </row>
    <row r="2295" spans="1:10" x14ac:dyDescent="0.2">
      <c r="A2295">
        <v>7119533</v>
      </c>
      <c r="B2295">
        <v>3693049</v>
      </c>
      <c r="C2295">
        <v>3693110</v>
      </c>
      <c r="D2295">
        <v>21883</v>
      </c>
      <c r="E2295">
        <v>21883</v>
      </c>
      <c r="F2295" t="s">
        <v>441</v>
      </c>
      <c r="G2295">
        <v>0</v>
      </c>
      <c r="I2295" s="5">
        <v>44044</v>
      </c>
      <c r="J2295" s="5">
        <v>44032.333333333336</v>
      </c>
    </row>
    <row r="2296" spans="1:10" x14ac:dyDescent="0.2">
      <c r="A2296">
        <v>7119534</v>
      </c>
      <c r="B2296">
        <v>3693009</v>
      </c>
      <c r="C2296">
        <v>3693307</v>
      </c>
      <c r="D2296">
        <v>21883</v>
      </c>
      <c r="E2296">
        <v>21883</v>
      </c>
      <c r="F2296" t="s">
        <v>441</v>
      </c>
      <c r="G2296">
        <v>0</v>
      </c>
      <c r="I2296" s="5">
        <v>44044</v>
      </c>
      <c r="J2296" s="5">
        <v>43970.333333333336</v>
      </c>
    </row>
    <row r="2297" spans="1:10" x14ac:dyDescent="0.2">
      <c r="A2297">
        <v>7119535</v>
      </c>
      <c r="B2297">
        <v>3694059</v>
      </c>
      <c r="C2297">
        <v>3693161</v>
      </c>
      <c r="D2297">
        <v>21883</v>
      </c>
      <c r="E2297">
        <v>21883</v>
      </c>
      <c r="F2297" t="s">
        <v>441</v>
      </c>
      <c r="G2297">
        <v>0</v>
      </c>
      <c r="I2297" s="5">
        <v>44044</v>
      </c>
      <c r="J2297" s="5">
        <v>43970.333333333336</v>
      </c>
    </row>
    <row r="2298" spans="1:10" x14ac:dyDescent="0.2">
      <c r="A2298">
        <v>7119536</v>
      </c>
      <c r="B2298">
        <v>3693162</v>
      </c>
      <c r="C2298">
        <v>3694059</v>
      </c>
      <c r="D2298">
        <v>21883</v>
      </c>
      <c r="E2298">
        <v>21883</v>
      </c>
      <c r="F2298" t="s">
        <v>441</v>
      </c>
      <c r="G2298">
        <v>0</v>
      </c>
      <c r="I2298" s="5">
        <v>44044</v>
      </c>
      <c r="J2298" s="5">
        <v>43970.333333333336</v>
      </c>
    </row>
    <row r="2299" spans="1:10" x14ac:dyDescent="0.2">
      <c r="A2299">
        <v>7119537</v>
      </c>
      <c r="B2299">
        <v>3693321</v>
      </c>
      <c r="C2299">
        <v>3693173</v>
      </c>
      <c r="D2299">
        <v>21883</v>
      </c>
      <c r="E2299">
        <v>21883</v>
      </c>
      <c r="F2299" t="s">
        <v>442</v>
      </c>
      <c r="G2299">
        <v>0</v>
      </c>
      <c r="I2299" s="5">
        <v>44044</v>
      </c>
      <c r="J2299" s="5">
        <v>44008.666666666664</v>
      </c>
    </row>
    <row r="2300" spans="1:10" x14ac:dyDescent="0.2">
      <c r="A2300">
        <v>7119538</v>
      </c>
      <c r="B2300">
        <v>3693126</v>
      </c>
      <c r="C2300">
        <v>3693101</v>
      </c>
      <c r="D2300">
        <v>21883</v>
      </c>
      <c r="E2300">
        <v>21883</v>
      </c>
      <c r="F2300" t="s">
        <v>441</v>
      </c>
      <c r="G2300">
        <v>0</v>
      </c>
      <c r="I2300" s="5">
        <v>44044</v>
      </c>
      <c r="J2300" s="5">
        <v>43970.333333333336</v>
      </c>
    </row>
    <row r="2301" spans="1:10" x14ac:dyDescent="0.2">
      <c r="A2301">
        <v>7119539</v>
      </c>
      <c r="B2301">
        <v>3692996</v>
      </c>
      <c r="C2301">
        <v>3693306</v>
      </c>
      <c r="D2301">
        <v>21883</v>
      </c>
      <c r="E2301">
        <v>21883</v>
      </c>
      <c r="F2301" t="s">
        <v>441</v>
      </c>
      <c r="G2301">
        <v>0</v>
      </c>
      <c r="I2301" s="5">
        <v>44044</v>
      </c>
      <c r="J2301" s="5">
        <v>43970.333333333336</v>
      </c>
    </row>
    <row r="2302" spans="1:10" x14ac:dyDescent="0.2">
      <c r="A2302">
        <v>7119540</v>
      </c>
      <c r="B2302">
        <v>3694054</v>
      </c>
      <c r="C2302">
        <v>3694055</v>
      </c>
      <c r="D2302">
        <v>21883</v>
      </c>
      <c r="E2302">
        <v>21883</v>
      </c>
      <c r="F2302" t="s">
        <v>441</v>
      </c>
      <c r="G2302">
        <v>0</v>
      </c>
      <c r="I2302" s="5">
        <v>44044</v>
      </c>
      <c r="J2302" s="5">
        <v>43993.333333333336</v>
      </c>
    </row>
    <row r="2303" spans="1:10" x14ac:dyDescent="0.2">
      <c r="A2303">
        <v>7119541</v>
      </c>
      <c r="B2303">
        <v>3693350</v>
      </c>
      <c r="C2303">
        <v>3693282</v>
      </c>
      <c r="D2303">
        <v>21883</v>
      </c>
      <c r="E2303">
        <v>21883</v>
      </c>
      <c r="F2303" t="s">
        <v>441</v>
      </c>
      <c r="G2303">
        <v>0</v>
      </c>
      <c r="I2303" s="5">
        <v>44044</v>
      </c>
      <c r="J2303" s="5">
        <v>43970.333333333336</v>
      </c>
    </row>
    <row r="2304" spans="1:10" x14ac:dyDescent="0.2">
      <c r="A2304">
        <v>7119542</v>
      </c>
      <c r="B2304">
        <v>3693571</v>
      </c>
      <c r="C2304">
        <v>3693548</v>
      </c>
      <c r="D2304">
        <v>21883</v>
      </c>
      <c r="E2304">
        <v>21883</v>
      </c>
      <c r="F2304" t="s">
        <v>441</v>
      </c>
      <c r="G2304">
        <v>0</v>
      </c>
      <c r="I2304" s="5">
        <v>44044</v>
      </c>
      <c r="J2304" s="5">
        <v>43970.333333333336</v>
      </c>
    </row>
    <row r="2305" spans="1:10" x14ac:dyDescent="0.2">
      <c r="A2305">
        <v>7119543</v>
      </c>
      <c r="B2305">
        <v>3693856</v>
      </c>
      <c r="C2305">
        <v>3693833</v>
      </c>
      <c r="D2305">
        <v>21883</v>
      </c>
      <c r="E2305">
        <v>21883</v>
      </c>
      <c r="F2305" t="s">
        <v>441</v>
      </c>
      <c r="G2305">
        <v>0</v>
      </c>
      <c r="I2305" s="5">
        <v>44044</v>
      </c>
      <c r="J2305" s="5">
        <v>43970.333333333336</v>
      </c>
    </row>
    <row r="2306" spans="1:10" x14ac:dyDescent="0.2">
      <c r="A2306">
        <v>7119544</v>
      </c>
      <c r="B2306">
        <v>3694064</v>
      </c>
      <c r="C2306">
        <v>3693126</v>
      </c>
      <c r="D2306">
        <v>21883</v>
      </c>
      <c r="E2306">
        <v>21883</v>
      </c>
      <c r="F2306" t="s">
        <v>441</v>
      </c>
      <c r="G2306">
        <v>0</v>
      </c>
      <c r="I2306" s="5">
        <v>44044</v>
      </c>
      <c r="J2306" s="5">
        <v>43970.333333333336</v>
      </c>
    </row>
    <row r="2307" spans="1:10" x14ac:dyDescent="0.2">
      <c r="A2307">
        <v>7119545</v>
      </c>
      <c r="B2307">
        <v>3694065</v>
      </c>
      <c r="C2307">
        <v>3694064</v>
      </c>
      <c r="D2307">
        <v>21883</v>
      </c>
      <c r="E2307">
        <v>21883</v>
      </c>
      <c r="F2307" t="s">
        <v>441</v>
      </c>
      <c r="G2307">
        <v>0</v>
      </c>
      <c r="I2307" s="5">
        <v>44044</v>
      </c>
      <c r="J2307" s="5">
        <v>43970.333333333336</v>
      </c>
    </row>
    <row r="2308" spans="1:10" x14ac:dyDescent="0.2">
      <c r="A2308">
        <v>7119546</v>
      </c>
      <c r="B2308">
        <v>3694066</v>
      </c>
      <c r="C2308">
        <v>3693306</v>
      </c>
      <c r="D2308">
        <v>21883</v>
      </c>
      <c r="E2308">
        <v>21883</v>
      </c>
      <c r="F2308" t="s">
        <v>441</v>
      </c>
      <c r="G2308">
        <v>0</v>
      </c>
      <c r="I2308" s="5">
        <v>44044</v>
      </c>
      <c r="J2308" s="5">
        <v>43970.333333333336</v>
      </c>
    </row>
    <row r="2309" spans="1:10" x14ac:dyDescent="0.2">
      <c r="A2309">
        <v>7119547</v>
      </c>
      <c r="B2309">
        <v>3692996</v>
      </c>
      <c r="C2309">
        <v>3694066</v>
      </c>
      <c r="D2309">
        <v>21883</v>
      </c>
      <c r="E2309">
        <v>21883</v>
      </c>
      <c r="F2309" t="s">
        <v>442</v>
      </c>
      <c r="G2309">
        <v>0</v>
      </c>
      <c r="I2309" s="5">
        <v>44044</v>
      </c>
      <c r="J2309" s="5">
        <v>43970.333333333336</v>
      </c>
    </row>
    <row r="2310" spans="1:10" x14ac:dyDescent="0.2">
      <c r="A2310">
        <v>7119548</v>
      </c>
      <c r="B2310">
        <v>3693306</v>
      </c>
      <c r="C2310">
        <v>3694065</v>
      </c>
      <c r="D2310">
        <v>21883</v>
      </c>
      <c r="E2310">
        <v>21883</v>
      </c>
      <c r="F2310" t="s">
        <v>441</v>
      </c>
      <c r="G2310">
        <v>0</v>
      </c>
      <c r="I2310" s="5">
        <v>44044</v>
      </c>
      <c r="J2310" s="5">
        <v>43970.333333333336</v>
      </c>
    </row>
    <row r="2311" spans="1:10" x14ac:dyDescent="0.2">
      <c r="A2311">
        <v>7119549</v>
      </c>
      <c r="B2311">
        <v>3694068</v>
      </c>
      <c r="C2311">
        <v>3694067</v>
      </c>
      <c r="D2311">
        <v>21883</v>
      </c>
      <c r="E2311">
        <v>21883</v>
      </c>
      <c r="F2311" t="s">
        <v>441</v>
      </c>
      <c r="G2311">
        <v>0</v>
      </c>
      <c r="I2311" s="5">
        <v>44044</v>
      </c>
      <c r="J2311" s="5">
        <v>44159.666666666664</v>
      </c>
    </row>
    <row r="2312" spans="1:10" x14ac:dyDescent="0.2">
      <c r="A2312">
        <v>7119550</v>
      </c>
      <c r="B2312">
        <v>3694067</v>
      </c>
      <c r="C2312">
        <v>3693191</v>
      </c>
      <c r="D2312">
        <v>21883</v>
      </c>
      <c r="E2312">
        <v>21883</v>
      </c>
      <c r="F2312" t="s">
        <v>441</v>
      </c>
      <c r="G2312">
        <v>0</v>
      </c>
      <c r="I2312" s="5">
        <v>44044</v>
      </c>
      <c r="J2312" s="5">
        <v>44159.666666666664</v>
      </c>
    </row>
    <row r="2313" spans="1:10" x14ac:dyDescent="0.2">
      <c r="A2313">
        <v>7119551</v>
      </c>
      <c r="B2313">
        <v>3694068</v>
      </c>
      <c r="C2313">
        <v>3693312</v>
      </c>
      <c r="D2313">
        <v>21883</v>
      </c>
      <c r="E2313">
        <v>21883</v>
      </c>
      <c r="F2313" t="s">
        <v>441</v>
      </c>
      <c r="G2313">
        <v>0</v>
      </c>
      <c r="I2313" s="5">
        <v>44044</v>
      </c>
      <c r="J2313" s="5">
        <v>44159.666666666664</v>
      </c>
    </row>
    <row r="2314" spans="1:10" x14ac:dyDescent="0.2">
      <c r="A2314">
        <v>7119552</v>
      </c>
      <c r="B2314">
        <v>3694070</v>
      </c>
      <c r="C2314">
        <v>3694069</v>
      </c>
      <c r="D2314">
        <v>21883</v>
      </c>
      <c r="E2314">
        <v>21883</v>
      </c>
      <c r="F2314" t="s">
        <v>441</v>
      </c>
      <c r="G2314">
        <v>0</v>
      </c>
      <c r="I2314" s="5">
        <v>44044</v>
      </c>
      <c r="J2314" s="5">
        <v>44153.333333333336</v>
      </c>
    </row>
    <row r="2315" spans="1:10" x14ac:dyDescent="0.2">
      <c r="A2315">
        <v>7119553</v>
      </c>
      <c r="B2315">
        <v>3694069</v>
      </c>
      <c r="C2315">
        <v>3693312</v>
      </c>
      <c r="D2315">
        <v>21883</v>
      </c>
      <c r="E2315">
        <v>21883</v>
      </c>
      <c r="F2315" t="s">
        <v>441</v>
      </c>
      <c r="G2315">
        <v>0</v>
      </c>
      <c r="I2315" s="5">
        <v>44044</v>
      </c>
      <c r="J2315" s="5">
        <v>44153.333333333336</v>
      </c>
    </row>
    <row r="2316" spans="1:10" x14ac:dyDescent="0.2">
      <c r="A2316">
        <v>7119554</v>
      </c>
      <c r="B2316">
        <v>3694069</v>
      </c>
      <c r="C2316">
        <v>3693207</v>
      </c>
      <c r="D2316">
        <v>21883</v>
      </c>
      <c r="E2316">
        <v>21883</v>
      </c>
      <c r="F2316" t="s">
        <v>441</v>
      </c>
      <c r="G2316">
        <v>0</v>
      </c>
      <c r="I2316" s="5">
        <v>44044</v>
      </c>
      <c r="J2316" s="5">
        <v>44153.333333333336</v>
      </c>
    </row>
    <row r="2317" spans="1:10" x14ac:dyDescent="0.2">
      <c r="A2317">
        <v>7119555</v>
      </c>
      <c r="B2317">
        <v>3694074</v>
      </c>
      <c r="C2317">
        <v>3694073</v>
      </c>
      <c r="D2317">
        <v>21883</v>
      </c>
      <c r="E2317">
        <v>21883</v>
      </c>
      <c r="F2317" t="s">
        <v>441</v>
      </c>
      <c r="G2317">
        <v>0</v>
      </c>
      <c r="I2317" s="5">
        <v>44055.666666666664</v>
      </c>
      <c r="J2317" s="5">
        <v>44113.333333333336</v>
      </c>
    </row>
    <row r="2318" spans="1:10" x14ac:dyDescent="0.2">
      <c r="A2318">
        <v>7119556</v>
      </c>
      <c r="B2318">
        <v>3694074</v>
      </c>
      <c r="C2318">
        <v>3693312</v>
      </c>
      <c r="D2318">
        <v>21883</v>
      </c>
      <c r="E2318">
        <v>21883</v>
      </c>
      <c r="F2318" t="s">
        <v>441</v>
      </c>
      <c r="G2318">
        <v>0</v>
      </c>
      <c r="I2318" s="5">
        <v>44044</v>
      </c>
      <c r="J2318" s="5">
        <v>44113.333333333336</v>
      </c>
    </row>
    <row r="2319" spans="1:10" x14ac:dyDescent="0.2">
      <c r="A2319">
        <v>7119557</v>
      </c>
      <c r="B2319">
        <v>3694076</v>
      </c>
      <c r="C2319">
        <v>3694075</v>
      </c>
      <c r="D2319">
        <v>21883</v>
      </c>
      <c r="E2319">
        <v>21883</v>
      </c>
      <c r="F2319" t="s">
        <v>441</v>
      </c>
      <c r="G2319">
        <v>0</v>
      </c>
      <c r="I2319" s="5">
        <v>44055.666666666664</v>
      </c>
      <c r="J2319" s="5">
        <v>44113.333333333336</v>
      </c>
    </row>
    <row r="2320" spans="1:10" x14ac:dyDescent="0.2">
      <c r="A2320">
        <v>7119558</v>
      </c>
      <c r="B2320">
        <v>3694076</v>
      </c>
      <c r="C2320">
        <v>3693312</v>
      </c>
      <c r="D2320">
        <v>21883</v>
      </c>
      <c r="E2320">
        <v>21883</v>
      </c>
      <c r="F2320" t="s">
        <v>441</v>
      </c>
      <c r="G2320">
        <v>0</v>
      </c>
      <c r="I2320" s="5">
        <v>44044</v>
      </c>
      <c r="J2320" s="5">
        <v>44113.333333333336</v>
      </c>
    </row>
    <row r="2321" spans="1:10" x14ac:dyDescent="0.2">
      <c r="A2321">
        <v>7119559</v>
      </c>
      <c r="B2321">
        <v>3694078</v>
      </c>
      <c r="C2321">
        <v>3694077</v>
      </c>
      <c r="D2321">
        <v>21883</v>
      </c>
      <c r="E2321">
        <v>21883</v>
      </c>
      <c r="F2321" t="s">
        <v>441</v>
      </c>
      <c r="G2321">
        <v>0</v>
      </c>
      <c r="I2321" s="5">
        <v>44074.666666666664</v>
      </c>
      <c r="J2321" s="5">
        <v>44110.333333333336</v>
      </c>
    </row>
    <row r="2322" spans="1:10" x14ac:dyDescent="0.2">
      <c r="A2322">
        <v>7119560</v>
      </c>
      <c r="B2322">
        <v>3694081</v>
      </c>
      <c r="C2322">
        <v>3694080</v>
      </c>
      <c r="D2322">
        <v>21883</v>
      </c>
      <c r="E2322">
        <v>21883</v>
      </c>
      <c r="F2322" t="s">
        <v>441</v>
      </c>
      <c r="G2322">
        <v>0</v>
      </c>
      <c r="I2322" s="5">
        <v>44054.666666666664</v>
      </c>
      <c r="J2322" s="5">
        <v>44113.333333333336</v>
      </c>
    </row>
    <row r="2323" spans="1:10" x14ac:dyDescent="0.2">
      <c r="A2323">
        <v>7119561</v>
      </c>
      <c r="B2323">
        <v>3694080</v>
      </c>
      <c r="C2323">
        <v>3694079</v>
      </c>
      <c r="D2323">
        <v>21883</v>
      </c>
      <c r="E2323">
        <v>21883</v>
      </c>
      <c r="F2323" t="s">
        <v>441</v>
      </c>
      <c r="G2323">
        <v>0</v>
      </c>
      <c r="I2323" s="5">
        <v>44044</v>
      </c>
      <c r="J2323" s="5">
        <v>44099.333333333336</v>
      </c>
    </row>
    <row r="2324" spans="1:10" x14ac:dyDescent="0.2">
      <c r="A2324">
        <v>7119562</v>
      </c>
      <c r="B2324">
        <v>3694081</v>
      </c>
      <c r="C2324">
        <v>3694080</v>
      </c>
      <c r="D2324">
        <v>21883</v>
      </c>
      <c r="E2324">
        <v>21883</v>
      </c>
      <c r="F2324" t="s">
        <v>440</v>
      </c>
      <c r="G2324">
        <v>0</v>
      </c>
      <c r="I2324" s="5">
        <v>44053.333333333336</v>
      </c>
      <c r="J2324" s="5">
        <v>44116.666666666664</v>
      </c>
    </row>
    <row r="2325" spans="1:10" x14ac:dyDescent="0.2">
      <c r="A2325">
        <v>7119563</v>
      </c>
      <c r="B2325">
        <v>3694080</v>
      </c>
      <c r="C2325">
        <v>3693221</v>
      </c>
      <c r="D2325">
        <v>21883</v>
      </c>
      <c r="E2325">
        <v>21883</v>
      </c>
      <c r="F2325" t="s">
        <v>441</v>
      </c>
      <c r="G2325">
        <v>0</v>
      </c>
      <c r="I2325" s="5">
        <v>44044</v>
      </c>
      <c r="J2325" s="5">
        <v>44099.333333333336</v>
      </c>
    </row>
    <row r="2326" spans="1:10" x14ac:dyDescent="0.2">
      <c r="A2326">
        <v>7119564</v>
      </c>
      <c r="B2326">
        <v>3694077</v>
      </c>
      <c r="C2326">
        <v>3693108</v>
      </c>
      <c r="D2326">
        <v>21883</v>
      </c>
      <c r="E2326">
        <v>21883</v>
      </c>
      <c r="F2326" t="s">
        <v>441</v>
      </c>
      <c r="G2326">
        <v>0</v>
      </c>
      <c r="I2326" s="5">
        <v>44044</v>
      </c>
      <c r="J2326" s="5">
        <v>44082.333333333336</v>
      </c>
    </row>
    <row r="2327" spans="1:10" x14ac:dyDescent="0.2">
      <c r="A2327">
        <v>7119565</v>
      </c>
      <c r="B2327">
        <v>3694077</v>
      </c>
      <c r="C2327">
        <v>3693313</v>
      </c>
      <c r="D2327">
        <v>21883</v>
      </c>
      <c r="E2327">
        <v>21883</v>
      </c>
      <c r="F2327" t="s">
        <v>441</v>
      </c>
      <c r="G2327">
        <v>0</v>
      </c>
      <c r="I2327" s="5">
        <v>44044</v>
      </c>
      <c r="J2327" s="5">
        <v>44082.333333333336</v>
      </c>
    </row>
    <row r="2328" spans="1:10" x14ac:dyDescent="0.2">
      <c r="A2328">
        <v>7119566</v>
      </c>
      <c r="B2328">
        <v>3694077</v>
      </c>
      <c r="C2328">
        <v>3693308</v>
      </c>
      <c r="D2328">
        <v>21883</v>
      </c>
      <c r="E2328">
        <v>21883</v>
      </c>
      <c r="F2328" t="s">
        <v>441</v>
      </c>
      <c r="G2328">
        <v>0</v>
      </c>
      <c r="I2328" s="5">
        <v>44044</v>
      </c>
      <c r="J2328" s="5">
        <v>44082.333333333336</v>
      </c>
    </row>
    <row r="2329" spans="1:10" x14ac:dyDescent="0.2">
      <c r="A2329">
        <v>7119567</v>
      </c>
      <c r="B2329">
        <v>3693107</v>
      </c>
      <c r="C2329">
        <v>3693106</v>
      </c>
      <c r="D2329">
        <v>21883</v>
      </c>
      <c r="E2329">
        <v>21883</v>
      </c>
      <c r="F2329" t="s">
        <v>441</v>
      </c>
      <c r="G2329">
        <v>0</v>
      </c>
      <c r="I2329" s="5">
        <v>44044</v>
      </c>
      <c r="J2329" s="5">
        <v>44082.333333333336</v>
      </c>
    </row>
    <row r="2330" spans="1:10" x14ac:dyDescent="0.2">
      <c r="A2330">
        <v>7119568</v>
      </c>
      <c r="B2330">
        <v>3693108</v>
      </c>
      <c r="C2330">
        <v>3693107</v>
      </c>
      <c r="D2330">
        <v>21883</v>
      </c>
      <c r="E2330">
        <v>21883</v>
      </c>
      <c r="F2330" t="s">
        <v>441</v>
      </c>
      <c r="G2330">
        <v>0</v>
      </c>
      <c r="I2330" s="5">
        <v>44044</v>
      </c>
      <c r="J2330" s="5">
        <v>44082.333333333336</v>
      </c>
    </row>
    <row r="2331" spans="1:10" x14ac:dyDescent="0.2">
      <c r="A2331">
        <v>7119569</v>
      </c>
      <c r="B2331">
        <v>3693110</v>
      </c>
      <c r="C2331">
        <v>3693109</v>
      </c>
      <c r="D2331">
        <v>21883</v>
      </c>
      <c r="E2331">
        <v>21883</v>
      </c>
      <c r="F2331" t="s">
        <v>441</v>
      </c>
      <c r="G2331">
        <v>0</v>
      </c>
      <c r="I2331" s="5">
        <v>44044</v>
      </c>
      <c r="J2331" s="5">
        <v>44032.333333333336</v>
      </c>
    </row>
    <row r="2332" spans="1:10" x14ac:dyDescent="0.2">
      <c r="A2332">
        <v>7119570</v>
      </c>
      <c r="B2332">
        <v>3693089</v>
      </c>
      <c r="C2332">
        <v>3693097</v>
      </c>
      <c r="D2332">
        <v>21883</v>
      </c>
      <c r="E2332">
        <v>21883</v>
      </c>
      <c r="F2332" t="s">
        <v>440</v>
      </c>
      <c r="G2332">
        <v>0</v>
      </c>
      <c r="I2332" s="5">
        <v>44044</v>
      </c>
      <c r="J2332" s="5">
        <v>43970.333333333336</v>
      </c>
    </row>
    <row r="2333" spans="1:10" x14ac:dyDescent="0.2">
      <c r="A2333">
        <v>7119571</v>
      </c>
      <c r="B2333">
        <v>3694065</v>
      </c>
      <c r="C2333">
        <v>3693101</v>
      </c>
      <c r="D2333">
        <v>21883</v>
      </c>
      <c r="E2333">
        <v>21883</v>
      </c>
      <c r="F2333" t="s">
        <v>440</v>
      </c>
      <c r="G2333">
        <v>0</v>
      </c>
      <c r="I2333" s="5">
        <v>44044</v>
      </c>
      <c r="J2333" s="5">
        <v>43970.333333333336</v>
      </c>
    </row>
    <row r="2334" spans="1:10" x14ac:dyDescent="0.2">
      <c r="A2334">
        <v>7119572</v>
      </c>
      <c r="B2334">
        <v>3694067</v>
      </c>
      <c r="C2334">
        <v>3693115</v>
      </c>
      <c r="D2334">
        <v>21883</v>
      </c>
      <c r="E2334">
        <v>21883</v>
      </c>
      <c r="F2334" t="s">
        <v>441</v>
      </c>
      <c r="G2334">
        <v>0</v>
      </c>
      <c r="I2334" s="5">
        <v>44044</v>
      </c>
      <c r="J2334" s="5">
        <v>44159.666666666664</v>
      </c>
    </row>
    <row r="2335" spans="1:10" x14ac:dyDescent="0.2">
      <c r="A2335">
        <v>7119573</v>
      </c>
      <c r="B2335">
        <v>3694082</v>
      </c>
      <c r="C2335">
        <v>3694061</v>
      </c>
      <c r="D2335">
        <v>21883</v>
      </c>
      <c r="E2335">
        <v>21883</v>
      </c>
      <c r="F2335" t="s">
        <v>442</v>
      </c>
      <c r="G2335">
        <v>0</v>
      </c>
      <c r="I2335" s="5">
        <v>44044</v>
      </c>
      <c r="J2335" s="5">
        <v>44069.333333333336</v>
      </c>
    </row>
    <row r="2336" spans="1:10" x14ac:dyDescent="0.2">
      <c r="A2336">
        <v>7119574</v>
      </c>
      <c r="B2336">
        <v>3694060</v>
      </c>
      <c r="C2336">
        <v>3692899</v>
      </c>
      <c r="D2336">
        <v>21883</v>
      </c>
      <c r="E2336">
        <v>21883</v>
      </c>
      <c r="F2336" t="s">
        <v>441</v>
      </c>
      <c r="G2336">
        <v>0</v>
      </c>
      <c r="I2336" s="5">
        <v>44044</v>
      </c>
      <c r="J2336" s="5">
        <v>44306.666666666664</v>
      </c>
    </row>
    <row r="2337" spans="1:10" x14ac:dyDescent="0.2">
      <c r="A2337">
        <v>7119575</v>
      </c>
      <c r="B2337">
        <v>3694061</v>
      </c>
      <c r="C2337">
        <v>3692899</v>
      </c>
      <c r="D2337">
        <v>21883</v>
      </c>
      <c r="E2337">
        <v>21883</v>
      </c>
      <c r="F2337" t="s">
        <v>441</v>
      </c>
      <c r="G2337">
        <v>0</v>
      </c>
      <c r="I2337" s="5">
        <v>44044</v>
      </c>
      <c r="J2337" s="5">
        <v>44069.333333333336</v>
      </c>
    </row>
    <row r="2338" spans="1:10" x14ac:dyDescent="0.2">
      <c r="A2338">
        <v>7119576</v>
      </c>
      <c r="B2338">
        <v>3693394</v>
      </c>
      <c r="C2338">
        <v>3692921</v>
      </c>
      <c r="D2338">
        <v>21883</v>
      </c>
      <c r="E2338">
        <v>21883</v>
      </c>
      <c r="F2338" t="s">
        <v>441</v>
      </c>
      <c r="G2338">
        <v>0</v>
      </c>
      <c r="I2338" s="5">
        <v>44044</v>
      </c>
      <c r="J2338" s="5">
        <v>43970.333333333336</v>
      </c>
    </row>
    <row r="2339" spans="1:10" x14ac:dyDescent="0.2">
      <c r="A2339">
        <v>7119577</v>
      </c>
      <c r="B2339">
        <v>3693399</v>
      </c>
      <c r="C2339">
        <v>3692926</v>
      </c>
      <c r="D2339">
        <v>21883</v>
      </c>
      <c r="E2339">
        <v>21883</v>
      </c>
      <c r="F2339" t="s">
        <v>441</v>
      </c>
      <c r="G2339">
        <v>0</v>
      </c>
      <c r="I2339" s="5">
        <v>44044</v>
      </c>
      <c r="J2339" s="5">
        <v>43970.333333333336</v>
      </c>
    </row>
    <row r="2340" spans="1:10" x14ac:dyDescent="0.2">
      <c r="A2340">
        <v>7119578</v>
      </c>
      <c r="B2340">
        <v>3693054</v>
      </c>
      <c r="C2340">
        <v>3694072</v>
      </c>
      <c r="D2340">
        <v>21883</v>
      </c>
      <c r="E2340">
        <v>21883</v>
      </c>
      <c r="F2340" t="s">
        <v>441</v>
      </c>
      <c r="G2340">
        <v>0</v>
      </c>
      <c r="I2340" s="5">
        <v>44049.666666666664</v>
      </c>
      <c r="J2340" s="5">
        <v>44159.666666666664</v>
      </c>
    </row>
    <row r="2341" spans="1:10" x14ac:dyDescent="0.2">
      <c r="A2341">
        <v>7119579</v>
      </c>
      <c r="B2341">
        <v>3693215</v>
      </c>
      <c r="C2341">
        <v>3693316</v>
      </c>
      <c r="D2341">
        <v>21883</v>
      </c>
      <c r="E2341">
        <v>21883</v>
      </c>
      <c r="F2341" t="s">
        <v>441</v>
      </c>
      <c r="G2341">
        <v>0</v>
      </c>
      <c r="I2341" s="5">
        <v>44044</v>
      </c>
      <c r="J2341" s="5">
        <v>44008.666666666664</v>
      </c>
    </row>
    <row r="2342" spans="1:10" x14ac:dyDescent="0.2">
      <c r="A2342">
        <v>7119580</v>
      </c>
      <c r="B2342">
        <v>3694056</v>
      </c>
      <c r="C2342">
        <v>3693306</v>
      </c>
      <c r="D2342">
        <v>21883</v>
      </c>
      <c r="E2342">
        <v>21883</v>
      </c>
      <c r="F2342" t="s">
        <v>441</v>
      </c>
      <c r="G2342">
        <v>0</v>
      </c>
      <c r="I2342" s="5">
        <v>44044</v>
      </c>
      <c r="J2342" s="5">
        <v>43970.333333333336</v>
      </c>
    </row>
    <row r="2343" spans="1:10" x14ac:dyDescent="0.2">
      <c r="A2343">
        <v>7119581</v>
      </c>
      <c r="B2343">
        <v>3693054</v>
      </c>
      <c r="C2343">
        <v>3694068</v>
      </c>
      <c r="D2343">
        <v>21883</v>
      </c>
      <c r="E2343">
        <v>21883</v>
      </c>
      <c r="F2343" t="s">
        <v>441</v>
      </c>
      <c r="G2343">
        <v>0</v>
      </c>
      <c r="I2343" s="5">
        <v>44044</v>
      </c>
      <c r="J2343" s="5">
        <v>44159.666666666664</v>
      </c>
    </row>
    <row r="2344" spans="1:10" x14ac:dyDescent="0.2">
      <c r="A2344">
        <v>7119582</v>
      </c>
      <c r="B2344">
        <v>3693054</v>
      </c>
      <c r="C2344">
        <v>3694070</v>
      </c>
      <c r="D2344">
        <v>21883</v>
      </c>
      <c r="E2344">
        <v>21883</v>
      </c>
      <c r="F2344" t="s">
        <v>441</v>
      </c>
      <c r="G2344">
        <v>0</v>
      </c>
      <c r="I2344" s="5">
        <v>44049.666666666664</v>
      </c>
      <c r="J2344" s="5">
        <v>44159.666666666664</v>
      </c>
    </row>
    <row r="2345" spans="1:10" x14ac:dyDescent="0.2">
      <c r="A2345">
        <v>7119583</v>
      </c>
      <c r="B2345">
        <v>3694089</v>
      </c>
      <c r="C2345">
        <v>3692895</v>
      </c>
      <c r="D2345">
        <v>21883</v>
      </c>
      <c r="E2345">
        <v>21883</v>
      </c>
      <c r="F2345" t="s">
        <v>441</v>
      </c>
      <c r="G2345">
        <v>0</v>
      </c>
      <c r="I2345" s="5">
        <v>44044</v>
      </c>
      <c r="J2345" s="5">
        <v>43970.333333333336</v>
      </c>
    </row>
    <row r="2346" spans="1:10" x14ac:dyDescent="0.2">
      <c r="A2346">
        <v>7119584</v>
      </c>
      <c r="B2346">
        <v>3694086</v>
      </c>
      <c r="C2346">
        <v>3694089</v>
      </c>
      <c r="D2346">
        <v>21883</v>
      </c>
      <c r="E2346">
        <v>21883</v>
      </c>
      <c r="F2346" t="s">
        <v>441</v>
      </c>
      <c r="G2346">
        <v>0</v>
      </c>
      <c r="I2346" s="5">
        <v>44044</v>
      </c>
      <c r="J2346" s="5">
        <v>43970.333333333336</v>
      </c>
    </row>
    <row r="2347" spans="1:10" x14ac:dyDescent="0.2">
      <c r="A2347">
        <v>7119585</v>
      </c>
      <c r="B2347">
        <v>3694088</v>
      </c>
      <c r="C2347">
        <v>3694089</v>
      </c>
      <c r="D2347">
        <v>21883</v>
      </c>
      <c r="E2347">
        <v>21883</v>
      </c>
      <c r="F2347" t="s">
        <v>441</v>
      </c>
      <c r="G2347">
        <v>0</v>
      </c>
      <c r="I2347" s="5">
        <v>44044</v>
      </c>
      <c r="J2347" s="5">
        <v>43970.333333333336</v>
      </c>
    </row>
    <row r="2348" spans="1:10" x14ac:dyDescent="0.2">
      <c r="A2348">
        <v>7119586</v>
      </c>
      <c r="B2348">
        <v>3693241</v>
      </c>
      <c r="C2348">
        <v>3694086</v>
      </c>
      <c r="D2348">
        <v>21883</v>
      </c>
      <c r="E2348">
        <v>21883</v>
      </c>
      <c r="F2348" t="s">
        <v>441</v>
      </c>
      <c r="G2348">
        <v>0</v>
      </c>
      <c r="I2348" s="5">
        <v>44044</v>
      </c>
      <c r="J2348" s="5">
        <v>43970.333333333336</v>
      </c>
    </row>
    <row r="2349" spans="1:10" x14ac:dyDescent="0.2">
      <c r="A2349">
        <v>7119587</v>
      </c>
      <c r="B2349">
        <v>3693196</v>
      </c>
      <c r="C2349">
        <v>3694088</v>
      </c>
      <c r="D2349">
        <v>21883</v>
      </c>
      <c r="E2349">
        <v>21883</v>
      </c>
      <c r="F2349" t="s">
        <v>441</v>
      </c>
      <c r="G2349">
        <v>0</v>
      </c>
      <c r="I2349" s="5">
        <v>44044</v>
      </c>
      <c r="J2349" s="5">
        <v>43970.333333333336</v>
      </c>
    </row>
    <row r="2350" spans="1:10" x14ac:dyDescent="0.2">
      <c r="A2350">
        <v>7119588</v>
      </c>
      <c r="B2350">
        <v>3694086</v>
      </c>
      <c r="C2350">
        <v>3693316</v>
      </c>
      <c r="D2350">
        <v>21883</v>
      </c>
      <c r="E2350">
        <v>21883</v>
      </c>
      <c r="F2350" t="s">
        <v>441</v>
      </c>
      <c r="G2350">
        <v>0</v>
      </c>
      <c r="I2350" s="5">
        <v>44044</v>
      </c>
      <c r="J2350" s="5">
        <v>43970.333333333336</v>
      </c>
    </row>
    <row r="2351" spans="1:10" x14ac:dyDescent="0.2">
      <c r="A2351">
        <v>7119589</v>
      </c>
      <c r="B2351">
        <v>3693094</v>
      </c>
      <c r="C2351">
        <v>3693100</v>
      </c>
      <c r="D2351">
        <v>21883</v>
      </c>
      <c r="E2351">
        <v>21883</v>
      </c>
      <c r="F2351" t="s">
        <v>441</v>
      </c>
      <c r="G2351">
        <v>0</v>
      </c>
      <c r="I2351" s="5">
        <v>44044</v>
      </c>
      <c r="J2351" s="5">
        <v>44032.333333333336</v>
      </c>
    </row>
    <row r="2352" spans="1:10" x14ac:dyDescent="0.2">
      <c r="A2352">
        <v>7119590</v>
      </c>
      <c r="B2352">
        <v>3693404</v>
      </c>
      <c r="C2352">
        <v>3693284</v>
      </c>
      <c r="D2352">
        <v>21883</v>
      </c>
      <c r="E2352">
        <v>21883</v>
      </c>
      <c r="F2352" t="s">
        <v>441</v>
      </c>
      <c r="G2352">
        <v>0</v>
      </c>
      <c r="I2352" s="5">
        <v>44044</v>
      </c>
      <c r="J2352" s="5">
        <v>43970.333333333336</v>
      </c>
    </row>
    <row r="2353" spans="1:10" x14ac:dyDescent="0.2">
      <c r="A2353">
        <v>7119591</v>
      </c>
      <c r="B2353">
        <v>3693385</v>
      </c>
      <c r="C2353">
        <v>3693284</v>
      </c>
      <c r="D2353">
        <v>21883</v>
      </c>
      <c r="E2353">
        <v>21883</v>
      </c>
      <c r="F2353" t="s">
        <v>441</v>
      </c>
      <c r="G2353">
        <v>0</v>
      </c>
      <c r="I2353" s="5">
        <v>44044</v>
      </c>
      <c r="J2353" s="5">
        <v>43970.333333333336</v>
      </c>
    </row>
    <row r="2354" spans="1:10" x14ac:dyDescent="0.2">
      <c r="A2354">
        <v>7119592</v>
      </c>
      <c r="B2354">
        <v>3693386</v>
      </c>
      <c r="C2354">
        <v>3693284</v>
      </c>
      <c r="D2354">
        <v>21883</v>
      </c>
      <c r="E2354">
        <v>21883</v>
      </c>
      <c r="F2354" t="s">
        <v>441</v>
      </c>
      <c r="G2354">
        <v>0</v>
      </c>
      <c r="I2354" s="5">
        <v>44044</v>
      </c>
      <c r="J2354" s="5">
        <v>43970.333333333336</v>
      </c>
    </row>
    <row r="2355" spans="1:10" x14ac:dyDescent="0.2">
      <c r="A2355">
        <v>7119593</v>
      </c>
      <c r="B2355">
        <v>3693387</v>
      </c>
      <c r="C2355">
        <v>3693284</v>
      </c>
      <c r="D2355">
        <v>21883</v>
      </c>
      <c r="E2355">
        <v>21883</v>
      </c>
      <c r="F2355" t="s">
        <v>441</v>
      </c>
      <c r="G2355">
        <v>0</v>
      </c>
      <c r="I2355" s="5">
        <v>44044</v>
      </c>
      <c r="J2355" s="5">
        <v>43970.333333333336</v>
      </c>
    </row>
    <row r="2356" spans="1:10" x14ac:dyDescent="0.2">
      <c r="A2356">
        <v>7119594</v>
      </c>
      <c r="B2356">
        <v>3693405</v>
      </c>
      <c r="C2356">
        <v>3693284</v>
      </c>
      <c r="D2356">
        <v>21883</v>
      </c>
      <c r="E2356">
        <v>21883</v>
      </c>
      <c r="F2356" t="s">
        <v>441</v>
      </c>
      <c r="G2356">
        <v>0</v>
      </c>
      <c r="I2356" s="5">
        <v>44044</v>
      </c>
      <c r="J2356" s="5">
        <v>43970.333333333336</v>
      </c>
    </row>
    <row r="2357" spans="1:10" x14ac:dyDescent="0.2">
      <c r="A2357">
        <v>7119595</v>
      </c>
      <c r="B2357">
        <v>3693406</v>
      </c>
      <c r="C2357">
        <v>3693284</v>
      </c>
      <c r="D2357">
        <v>21883</v>
      </c>
      <c r="E2357">
        <v>21883</v>
      </c>
      <c r="F2357" t="s">
        <v>441</v>
      </c>
      <c r="G2357">
        <v>0</v>
      </c>
      <c r="I2357" s="5">
        <v>44044</v>
      </c>
      <c r="J2357" s="5">
        <v>43970.333333333336</v>
      </c>
    </row>
    <row r="2358" spans="1:10" x14ac:dyDescent="0.2">
      <c r="A2358">
        <v>7119596</v>
      </c>
      <c r="B2358">
        <v>3693010</v>
      </c>
      <c r="C2358">
        <v>3693094</v>
      </c>
      <c r="D2358">
        <v>21883</v>
      </c>
      <c r="E2358">
        <v>21883</v>
      </c>
      <c r="F2358" t="s">
        <v>441</v>
      </c>
      <c r="G2358">
        <v>0</v>
      </c>
      <c r="I2358" s="5">
        <v>44044</v>
      </c>
      <c r="J2358" s="5">
        <v>44032.333333333336</v>
      </c>
    </row>
    <row r="2359" spans="1:10" x14ac:dyDescent="0.2">
      <c r="A2359">
        <v>7119597</v>
      </c>
      <c r="B2359">
        <v>3694090</v>
      </c>
      <c r="C2359">
        <v>3693165</v>
      </c>
      <c r="D2359">
        <v>21883</v>
      </c>
      <c r="E2359">
        <v>21883</v>
      </c>
      <c r="F2359" t="s">
        <v>441</v>
      </c>
      <c r="G2359">
        <v>0</v>
      </c>
      <c r="I2359" s="5">
        <v>44044</v>
      </c>
      <c r="J2359" s="5">
        <v>43970.333333333336</v>
      </c>
    </row>
    <row r="2360" spans="1:10" x14ac:dyDescent="0.2">
      <c r="A2360">
        <v>7119598</v>
      </c>
      <c r="B2360">
        <v>3693014</v>
      </c>
      <c r="C2360">
        <v>3694090</v>
      </c>
      <c r="D2360">
        <v>21883</v>
      </c>
      <c r="E2360">
        <v>21883</v>
      </c>
      <c r="F2360" t="s">
        <v>441</v>
      </c>
      <c r="G2360">
        <v>0</v>
      </c>
      <c r="I2360" s="5">
        <v>44044</v>
      </c>
      <c r="J2360" s="5">
        <v>43970.333333333336</v>
      </c>
    </row>
    <row r="2361" spans="1:10" x14ac:dyDescent="0.2">
      <c r="A2361">
        <v>7119599</v>
      </c>
      <c r="B2361">
        <v>3692903</v>
      </c>
      <c r="C2361">
        <v>3693174</v>
      </c>
      <c r="D2361">
        <v>21883</v>
      </c>
      <c r="E2361">
        <v>21883</v>
      </c>
      <c r="F2361" t="s">
        <v>441</v>
      </c>
      <c r="G2361">
        <v>0</v>
      </c>
      <c r="I2361" s="5">
        <v>44044</v>
      </c>
      <c r="J2361" s="5">
        <v>43970.333333333336</v>
      </c>
    </row>
    <row r="2362" spans="1:10" x14ac:dyDescent="0.2">
      <c r="A2362">
        <v>7119600</v>
      </c>
      <c r="B2362">
        <v>3693367</v>
      </c>
      <c r="C2362">
        <v>3693356</v>
      </c>
      <c r="D2362">
        <v>21883</v>
      </c>
      <c r="E2362">
        <v>21883</v>
      </c>
      <c r="F2362" t="s">
        <v>441</v>
      </c>
      <c r="G2362">
        <v>0</v>
      </c>
      <c r="I2362" s="5">
        <v>44044</v>
      </c>
      <c r="J2362" s="5">
        <v>43970.333333333336</v>
      </c>
    </row>
    <row r="2363" spans="1:10" x14ac:dyDescent="0.2">
      <c r="A2363">
        <v>7119601</v>
      </c>
      <c r="B2363">
        <v>3693360</v>
      </c>
      <c r="C2363">
        <v>3693375</v>
      </c>
      <c r="D2363">
        <v>21883</v>
      </c>
      <c r="E2363">
        <v>21883</v>
      </c>
      <c r="F2363" t="s">
        <v>441</v>
      </c>
      <c r="G2363">
        <v>0</v>
      </c>
      <c r="I2363" s="5">
        <v>44044</v>
      </c>
      <c r="J2363" s="5">
        <v>43970.333333333336</v>
      </c>
    </row>
    <row r="2364" spans="1:10" x14ac:dyDescent="0.2">
      <c r="A2364">
        <v>7119602</v>
      </c>
      <c r="B2364">
        <v>3692909</v>
      </c>
      <c r="C2364">
        <v>3692915</v>
      </c>
      <c r="D2364">
        <v>21883</v>
      </c>
      <c r="E2364">
        <v>21883</v>
      </c>
      <c r="F2364" t="s">
        <v>441</v>
      </c>
      <c r="G2364">
        <v>0</v>
      </c>
      <c r="I2364" s="5">
        <v>44044</v>
      </c>
      <c r="J2364" s="5">
        <v>43970.333333333336</v>
      </c>
    </row>
    <row r="2365" spans="1:10" x14ac:dyDescent="0.2">
      <c r="A2365">
        <v>7119603</v>
      </c>
      <c r="B2365">
        <v>3693379</v>
      </c>
      <c r="C2365">
        <v>3693362</v>
      </c>
      <c r="D2365">
        <v>21883</v>
      </c>
      <c r="E2365">
        <v>21883</v>
      </c>
      <c r="F2365" t="s">
        <v>441</v>
      </c>
      <c r="G2365">
        <v>0</v>
      </c>
      <c r="I2365" s="5">
        <v>44044</v>
      </c>
      <c r="J2365" s="5">
        <v>43970.333333333336</v>
      </c>
    </row>
    <row r="2366" spans="1:10" x14ac:dyDescent="0.2">
      <c r="A2366">
        <v>7119604</v>
      </c>
      <c r="B2366">
        <v>3692918</v>
      </c>
      <c r="C2366">
        <v>3692915</v>
      </c>
      <c r="D2366">
        <v>21883</v>
      </c>
      <c r="E2366">
        <v>21883</v>
      </c>
      <c r="F2366" t="s">
        <v>441</v>
      </c>
      <c r="G2366">
        <v>0</v>
      </c>
      <c r="I2366" s="5">
        <v>44044</v>
      </c>
      <c r="J2366" s="5">
        <v>43970.333333333336</v>
      </c>
    </row>
    <row r="2367" spans="1:10" x14ac:dyDescent="0.2">
      <c r="A2367">
        <v>7119605</v>
      </c>
      <c r="B2367">
        <v>3693048</v>
      </c>
      <c r="C2367">
        <v>3693033</v>
      </c>
      <c r="D2367">
        <v>21883</v>
      </c>
      <c r="E2367">
        <v>21883</v>
      </c>
      <c r="F2367" t="s">
        <v>441</v>
      </c>
      <c r="G2367">
        <v>0</v>
      </c>
      <c r="I2367" s="5">
        <v>44044</v>
      </c>
      <c r="J2367" s="5">
        <v>44032.333333333336</v>
      </c>
    </row>
    <row r="2368" spans="1:10" x14ac:dyDescent="0.2">
      <c r="A2368">
        <v>7119606</v>
      </c>
      <c r="B2368">
        <v>3693038</v>
      </c>
      <c r="C2368">
        <v>3693033</v>
      </c>
      <c r="D2368">
        <v>21883</v>
      </c>
      <c r="E2368">
        <v>21883</v>
      </c>
      <c r="F2368" t="s">
        <v>441</v>
      </c>
      <c r="G2368">
        <v>0</v>
      </c>
      <c r="I2368" s="5">
        <v>44044</v>
      </c>
      <c r="J2368" s="5">
        <v>43970.333333333336</v>
      </c>
    </row>
    <row r="2369" spans="1:10" x14ac:dyDescent="0.2">
      <c r="A2369">
        <v>7119607</v>
      </c>
      <c r="B2369">
        <v>3693332</v>
      </c>
      <c r="C2369">
        <v>3693033</v>
      </c>
      <c r="D2369">
        <v>21883</v>
      </c>
      <c r="E2369">
        <v>21883</v>
      </c>
      <c r="F2369" t="s">
        <v>442</v>
      </c>
      <c r="G2369">
        <v>0</v>
      </c>
      <c r="I2369" s="5">
        <v>44044</v>
      </c>
      <c r="J2369" s="5">
        <v>43970.333333333336</v>
      </c>
    </row>
    <row r="2370" spans="1:10" x14ac:dyDescent="0.2">
      <c r="A2370">
        <v>7119608</v>
      </c>
      <c r="B2370">
        <v>3693033</v>
      </c>
      <c r="C2370">
        <v>3692880</v>
      </c>
      <c r="D2370">
        <v>21883</v>
      </c>
      <c r="E2370">
        <v>21883</v>
      </c>
      <c r="F2370" t="s">
        <v>441</v>
      </c>
      <c r="G2370">
        <v>0</v>
      </c>
      <c r="I2370" s="5">
        <v>44044</v>
      </c>
      <c r="J2370" s="5">
        <v>43970.333333333336</v>
      </c>
    </row>
    <row r="2371" spans="1:10" x14ac:dyDescent="0.2">
      <c r="A2371">
        <v>7119609</v>
      </c>
      <c r="B2371">
        <v>3693376</v>
      </c>
      <c r="C2371">
        <v>3693372</v>
      </c>
      <c r="D2371">
        <v>21883</v>
      </c>
      <c r="E2371">
        <v>21883</v>
      </c>
      <c r="F2371" t="s">
        <v>441</v>
      </c>
      <c r="G2371">
        <v>0</v>
      </c>
      <c r="I2371" s="5">
        <v>44044</v>
      </c>
      <c r="J2371" s="5">
        <v>43970.333333333336</v>
      </c>
    </row>
    <row r="2372" spans="1:10" x14ac:dyDescent="0.2">
      <c r="A2372">
        <v>7119610</v>
      </c>
      <c r="B2372">
        <v>3693034</v>
      </c>
      <c r="C2372">
        <v>3693030</v>
      </c>
      <c r="D2372">
        <v>21883</v>
      </c>
      <c r="E2372">
        <v>21883</v>
      </c>
      <c r="F2372" t="s">
        <v>441</v>
      </c>
      <c r="G2372">
        <v>0</v>
      </c>
      <c r="I2372" s="5">
        <v>44044</v>
      </c>
      <c r="J2372" s="5">
        <v>44005.333333333336</v>
      </c>
    </row>
    <row r="2373" spans="1:10" x14ac:dyDescent="0.2">
      <c r="A2373">
        <v>7119611</v>
      </c>
      <c r="B2373">
        <v>3693532</v>
      </c>
      <c r="C2373">
        <v>3693531</v>
      </c>
      <c r="D2373">
        <v>21883</v>
      </c>
      <c r="E2373">
        <v>21883</v>
      </c>
      <c r="F2373" t="s">
        <v>441</v>
      </c>
      <c r="G2373">
        <v>0</v>
      </c>
      <c r="I2373" s="5">
        <v>44044</v>
      </c>
      <c r="J2373" s="5">
        <v>43970.333333333336</v>
      </c>
    </row>
    <row r="2374" spans="1:10" x14ac:dyDescent="0.2">
      <c r="A2374">
        <v>7119612</v>
      </c>
      <c r="B2374">
        <v>3693543</v>
      </c>
      <c r="C2374">
        <v>3693542</v>
      </c>
      <c r="D2374">
        <v>21883</v>
      </c>
      <c r="E2374">
        <v>21883</v>
      </c>
      <c r="F2374" t="s">
        <v>441</v>
      </c>
      <c r="G2374">
        <v>0</v>
      </c>
      <c r="I2374" s="5">
        <v>44044</v>
      </c>
      <c r="J2374" s="5">
        <v>43970.333333333336</v>
      </c>
    </row>
    <row r="2375" spans="1:10" x14ac:dyDescent="0.2">
      <c r="A2375">
        <v>7119613</v>
      </c>
      <c r="B2375">
        <v>3693169</v>
      </c>
      <c r="C2375">
        <v>3693081</v>
      </c>
      <c r="D2375">
        <v>21883</v>
      </c>
      <c r="E2375">
        <v>21883</v>
      </c>
      <c r="F2375" t="s">
        <v>441</v>
      </c>
      <c r="G2375">
        <v>0</v>
      </c>
      <c r="I2375" s="5">
        <v>44044</v>
      </c>
      <c r="J2375" s="5">
        <v>43970.333333333336</v>
      </c>
    </row>
    <row r="2376" spans="1:10" x14ac:dyDescent="0.2">
      <c r="A2376">
        <v>7119614</v>
      </c>
      <c r="B2376">
        <v>3693388</v>
      </c>
      <c r="C2376">
        <v>3693284</v>
      </c>
      <c r="D2376">
        <v>21883</v>
      </c>
      <c r="E2376">
        <v>21883</v>
      </c>
      <c r="F2376" t="s">
        <v>441</v>
      </c>
      <c r="G2376">
        <v>0</v>
      </c>
      <c r="I2376" s="5">
        <v>44044</v>
      </c>
      <c r="J2376" s="5">
        <v>43970.333333333336</v>
      </c>
    </row>
    <row r="2377" spans="1:10" x14ac:dyDescent="0.2">
      <c r="A2377">
        <v>7119615</v>
      </c>
      <c r="B2377">
        <v>3693247</v>
      </c>
      <c r="C2377">
        <v>3693321</v>
      </c>
      <c r="D2377">
        <v>21883</v>
      </c>
      <c r="E2377">
        <v>21883</v>
      </c>
      <c r="F2377" t="s">
        <v>441</v>
      </c>
      <c r="G2377">
        <v>0</v>
      </c>
      <c r="I2377" s="5">
        <v>44044</v>
      </c>
      <c r="J2377" s="5">
        <v>44008.666666666664</v>
      </c>
    </row>
    <row r="2378" spans="1:10" x14ac:dyDescent="0.2">
      <c r="A2378">
        <v>7119616</v>
      </c>
      <c r="B2378">
        <v>3693247</v>
      </c>
      <c r="C2378">
        <v>3693215</v>
      </c>
      <c r="D2378">
        <v>21883</v>
      </c>
      <c r="E2378">
        <v>21883</v>
      </c>
      <c r="F2378" t="s">
        <v>441</v>
      </c>
      <c r="G2378">
        <v>0</v>
      </c>
      <c r="I2378" s="5">
        <v>44044</v>
      </c>
      <c r="J2378" s="5">
        <v>44008.666666666664</v>
      </c>
    </row>
    <row r="2379" spans="1:10" x14ac:dyDescent="0.2">
      <c r="A2379">
        <v>7119617</v>
      </c>
      <c r="B2379">
        <v>3693215</v>
      </c>
      <c r="C2379">
        <v>3694088</v>
      </c>
      <c r="D2379">
        <v>21883</v>
      </c>
      <c r="E2379">
        <v>21883</v>
      </c>
      <c r="F2379" t="s">
        <v>441</v>
      </c>
      <c r="G2379">
        <v>0</v>
      </c>
      <c r="I2379" s="5">
        <v>44044</v>
      </c>
      <c r="J2379" s="5">
        <v>44008.666666666664</v>
      </c>
    </row>
    <row r="2380" spans="1:10" x14ac:dyDescent="0.2">
      <c r="A2380">
        <v>7119618</v>
      </c>
      <c r="B2380">
        <v>3693320</v>
      </c>
      <c r="C2380">
        <v>3693319</v>
      </c>
      <c r="D2380">
        <v>21883</v>
      </c>
      <c r="E2380">
        <v>21883</v>
      </c>
      <c r="F2380" t="s">
        <v>441</v>
      </c>
      <c r="G2380">
        <v>0</v>
      </c>
      <c r="I2380" s="5">
        <v>44044</v>
      </c>
      <c r="J2380" s="5">
        <v>44117.333333333336</v>
      </c>
    </row>
    <row r="2381" spans="1:10" x14ac:dyDescent="0.2">
      <c r="A2381">
        <v>7119619</v>
      </c>
      <c r="B2381">
        <v>3694085</v>
      </c>
      <c r="C2381">
        <v>3693320</v>
      </c>
      <c r="D2381">
        <v>21883</v>
      </c>
      <c r="E2381">
        <v>21883</v>
      </c>
      <c r="F2381" t="s">
        <v>441</v>
      </c>
      <c r="G2381">
        <v>0</v>
      </c>
      <c r="I2381" s="5">
        <v>44044</v>
      </c>
      <c r="J2381" s="5">
        <v>44117.333333333336</v>
      </c>
    </row>
    <row r="2382" spans="1:10" x14ac:dyDescent="0.2">
      <c r="A2382">
        <v>7119620</v>
      </c>
      <c r="B2382">
        <v>3694084</v>
      </c>
      <c r="C2382">
        <v>3694085</v>
      </c>
      <c r="D2382">
        <v>21883</v>
      </c>
      <c r="E2382">
        <v>21883</v>
      </c>
      <c r="F2382" t="s">
        <v>441</v>
      </c>
      <c r="G2382">
        <v>0</v>
      </c>
      <c r="I2382" s="5">
        <v>44044</v>
      </c>
      <c r="J2382" s="5">
        <v>44117.333333333336</v>
      </c>
    </row>
    <row r="2383" spans="1:10" x14ac:dyDescent="0.2">
      <c r="A2383">
        <v>7119621</v>
      </c>
      <c r="B2383">
        <v>3694083</v>
      </c>
      <c r="C2383">
        <v>3693321</v>
      </c>
      <c r="D2383">
        <v>21883</v>
      </c>
      <c r="E2383">
        <v>21883</v>
      </c>
      <c r="F2383" t="s">
        <v>441</v>
      </c>
      <c r="G2383">
        <v>0</v>
      </c>
      <c r="I2383" s="5">
        <v>44044</v>
      </c>
      <c r="J2383" s="5">
        <v>44114.333333333336</v>
      </c>
    </row>
    <row r="2384" spans="1:10" x14ac:dyDescent="0.2">
      <c r="A2384">
        <v>7119622</v>
      </c>
      <c r="B2384">
        <v>3694087</v>
      </c>
      <c r="C2384">
        <v>3694084</v>
      </c>
      <c r="D2384">
        <v>21883</v>
      </c>
      <c r="E2384">
        <v>21883</v>
      </c>
      <c r="F2384" t="s">
        <v>441</v>
      </c>
      <c r="G2384">
        <v>0</v>
      </c>
      <c r="I2384" s="5">
        <v>44044</v>
      </c>
      <c r="J2384" s="5">
        <v>44117.333333333336</v>
      </c>
    </row>
    <row r="2385" spans="1:10" x14ac:dyDescent="0.2">
      <c r="A2385">
        <v>7119623</v>
      </c>
      <c r="B2385">
        <v>3693321</v>
      </c>
      <c r="C2385">
        <v>3693215</v>
      </c>
      <c r="D2385">
        <v>21883</v>
      </c>
      <c r="E2385">
        <v>21883</v>
      </c>
      <c r="F2385" t="s">
        <v>441</v>
      </c>
      <c r="G2385">
        <v>0</v>
      </c>
      <c r="I2385" s="5">
        <v>44044</v>
      </c>
      <c r="J2385" s="5">
        <v>44008.666666666664</v>
      </c>
    </row>
    <row r="2386" spans="1:10" x14ac:dyDescent="0.2">
      <c r="A2386">
        <v>7119624</v>
      </c>
      <c r="B2386">
        <v>3694091</v>
      </c>
      <c r="C2386">
        <v>3693362</v>
      </c>
      <c r="D2386">
        <v>21883</v>
      </c>
      <c r="E2386">
        <v>21883</v>
      </c>
      <c r="F2386" t="s">
        <v>441</v>
      </c>
      <c r="G2386">
        <v>0</v>
      </c>
      <c r="I2386" s="5">
        <v>44044</v>
      </c>
      <c r="J2386" s="5">
        <v>43970.333333333336</v>
      </c>
    </row>
    <row r="2387" spans="1:10" x14ac:dyDescent="0.2">
      <c r="A2387">
        <v>7119625</v>
      </c>
      <c r="B2387">
        <v>3692911</v>
      </c>
      <c r="C2387">
        <v>3694091</v>
      </c>
      <c r="D2387">
        <v>21883</v>
      </c>
      <c r="E2387">
        <v>21883</v>
      </c>
      <c r="F2387" t="s">
        <v>441</v>
      </c>
      <c r="G2387">
        <v>0</v>
      </c>
      <c r="I2387" s="5">
        <v>44044</v>
      </c>
      <c r="J2387" s="5">
        <v>43970.333333333336</v>
      </c>
    </row>
    <row r="2388" spans="1:10" x14ac:dyDescent="0.2">
      <c r="A2388">
        <v>7119626</v>
      </c>
      <c r="B2388">
        <v>3693363</v>
      </c>
      <c r="C2388">
        <v>3694091</v>
      </c>
      <c r="D2388">
        <v>21883</v>
      </c>
      <c r="E2388">
        <v>21883</v>
      </c>
      <c r="F2388" t="s">
        <v>441</v>
      </c>
      <c r="G2388">
        <v>0</v>
      </c>
      <c r="I2388" s="5">
        <v>44044</v>
      </c>
      <c r="J2388" s="5">
        <v>43970.333333333336</v>
      </c>
    </row>
    <row r="2389" spans="1:10" x14ac:dyDescent="0.2">
      <c r="A2389">
        <v>7119627</v>
      </c>
      <c r="B2389">
        <v>3694092</v>
      </c>
      <c r="C2389">
        <v>3693369</v>
      </c>
      <c r="D2389">
        <v>21883</v>
      </c>
      <c r="E2389">
        <v>21883</v>
      </c>
      <c r="F2389" t="s">
        <v>441</v>
      </c>
      <c r="G2389">
        <v>0</v>
      </c>
      <c r="I2389" s="5">
        <v>44044</v>
      </c>
      <c r="J2389" s="5">
        <v>43970.333333333336</v>
      </c>
    </row>
    <row r="2390" spans="1:10" x14ac:dyDescent="0.2">
      <c r="A2390">
        <v>7119628</v>
      </c>
      <c r="B2390">
        <v>3692914</v>
      </c>
      <c r="C2390">
        <v>3694092</v>
      </c>
      <c r="D2390">
        <v>21883</v>
      </c>
      <c r="E2390">
        <v>21883</v>
      </c>
      <c r="F2390" t="s">
        <v>441</v>
      </c>
      <c r="G2390">
        <v>0</v>
      </c>
      <c r="I2390" s="5">
        <v>44044</v>
      </c>
      <c r="J2390" s="5">
        <v>43970.333333333336</v>
      </c>
    </row>
    <row r="2391" spans="1:10" x14ac:dyDescent="0.2">
      <c r="A2391">
        <v>7119629</v>
      </c>
      <c r="B2391">
        <v>3693370</v>
      </c>
      <c r="C2391">
        <v>3694092</v>
      </c>
      <c r="D2391">
        <v>21883</v>
      </c>
      <c r="E2391">
        <v>21883</v>
      </c>
      <c r="F2391" t="s">
        <v>441</v>
      </c>
      <c r="G2391">
        <v>0</v>
      </c>
      <c r="I2391" s="5">
        <v>44044</v>
      </c>
      <c r="J2391" s="5">
        <v>43970.333333333336</v>
      </c>
    </row>
    <row r="2392" spans="1:10" x14ac:dyDescent="0.2">
      <c r="A2392">
        <v>7119630</v>
      </c>
      <c r="B2392">
        <v>3694093</v>
      </c>
      <c r="C2392">
        <v>3693375</v>
      </c>
      <c r="D2392">
        <v>21883</v>
      </c>
      <c r="E2392">
        <v>21883</v>
      </c>
      <c r="F2392" t="s">
        <v>441</v>
      </c>
      <c r="G2392">
        <v>0</v>
      </c>
      <c r="I2392" s="5">
        <v>44044</v>
      </c>
      <c r="J2392" s="5">
        <v>43970.333333333336</v>
      </c>
    </row>
    <row r="2393" spans="1:10" x14ac:dyDescent="0.2">
      <c r="A2393">
        <v>7119631</v>
      </c>
      <c r="B2393">
        <v>3692917</v>
      </c>
      <c r="C2393">
        <v>3694093</v>
      </c>
      <c r="D2393">
        <v>21883</v>
      </c>
      <c r="E2393">
        <v>21883</v>
      </c>
      <c r="F2393" t="s">
        <v>441</v>
      </c>
      <c r="G2393">
        <v>0</v>
      </c>
      <c r="I2393" s="5">
        <v>44044</v>
      </c>
      <c r="J2393" s="5">
        <v>43970.333333333336</v>
      </c>
    </row>
    <row r="2394" spans="1:10" x14ac:dyDescent="0.2">
      <c r="A2394">
        <v>7119632</v>
      </c>
      <c r="B2394">
        <v>3693376</v>
      </c>
      <c r="C2394">
        <v>3694093</v>
      </c>
      <c r="D2394">
        <v>21883</v>
      </c>
      <c r="E2394">
        <v>21883</v>
      </c>
      <c r="F2394" t="s">
        <v>441</v>
      </c>
      <c r="G2394">
        <v>0</v>
      </c>
      <c r="I2394" s="5">
        <v>44044</v>
      </c>
      <c r="J2394" s="5">
        <v>43970.333333333336</v>
      </c>
    </row>
    <row r="2395" spans="1:10" x14ac:dyDescent="0.2">
      <c r="A2395">
        <v>7119633</v>
      </c>
      <c r="B2395">
        <v>3694094</v>
      </c>
      <c r="C2395">
        <v>3693381</v>
      </c>
      <c r="D2395">
        <v>21883</v>
      </c>
      <c r="E2395">
        <v>21883</v>
      </c>
      <c r="F2395" t="s">
        <v>441</v>
      </c>
      <c r="G2395">
        <v>0</v>
      </c>
      <c r="I2395" s="5">
        <v>44044</v>
      </c>
      <c r="J2395" s="5">
        <v>43970.333333333336</v>
      </c>
    </row>
    <row r="2396" spans="1:10" x14ac:dyDescent="0.2">
      <c r="A2396">
        <v>7119634</v>
      </c>
      <c r="B2396">
        <v>3692920</v>
      </c>
      <c r="C2396">
        <v>3694094</v>
      </c>
      <c r="D2396">
        <v>21883</v>
      </c>
      <c r="E2396">
        <v>21883</v>
      </c>
      <c r="F2396" t="s">
        <v>441</v>
      </c>
      <c r="G2396">
        <v>0</v>
      </c>
      <c r="I2396" s="5">
        <v>44044</v>
      </c>
      <c r="J2396" s="5">
        <v>43970.333333333336</v>
      </c>
    </row>
    <row r="2397" spans="1:10" x14ac:dyDescent="0.2">
      <c r="A2397">
        <v>7119635</v>
      </c>
      <c r="B2397">
        <v>3693382</v>
      </c>
      <c r="C2397">
        <v>3694094</v>
      </c>
      <c r="D2397">
        <v>21883</v>
      </c>
      <c r="E2397">
        <v>21883</v>
      </c>
      <c r="F2397" t="s">
        <v>441</v>
      </c>
      <c r="G2397">
        <v>0</v>
      </c>
      <c r="I2397" s="5">
        <v>44044</v>
      </c>
      <c r="J2397" s="5">
        <v>43970.333333333336</v>
      </c>
    </row>
    <row r="2398" spans="1:10" x14ac:dyDescent="0.2">
      <c r="A2398">
        <v>7119636</v>
      </c>
      <c r="B2398">
        <v>3694093</v>
      </c>
      <c r="C2398">
        <v>3694092</v>
      </c>
      <c r="D2398">
        <v>21883</v>
      </c>
      <c r="E2398">
        <v>21883</v>
      </c>
      <c r="F2398" t="s">
        <v>441</v>
      </c>
      <c r="G2398">
        <v>0</v>
      </c>
      <c r="I2398" s="5">
        <v>44044</v>
      </c>
      <c r="J2398" s="5">
        <v>43970.333333333336</v>
      </c>
    </row>
    <row r="2399" spans="1:10" x14ac:dyDescent="0.2">
      <c r="A2399">
        <v>7119637</v>
      </c>
      <c r="B2399">
        <v>3694094</v>
      </c>
      <c r="C2399">
        <v>3694093</v>
      </c>
      <c r="D2399">
        <v>21883</v>
      </c>
      <c r="E2399">
        <v>21883</v>
      </c>
      <c r="F2399" t="s">
        <v>441</v>
      </c>
      <c r="G2399">
        <v>0</v>
      </c>
      <c r="I2399" s="5">
        <v>44044</v>
      </c>
      <c r="J2399" s="5">
        <v>43970.333333333336</v>
      </c>
    </row>
    <row r="2400" spans="1:10" x14ac:dyDescent="0.2">
      <c r="A2400">
        <v>7119638</v>
      </c>
      <c r="B2400">
        <v>3694095</v>
      </c>
      <c r="C2400">
        <v>3693307</v>
      </c>
      <c r="D2400">
        <v>21883</v>
      </c>
      <c r="E2400">
        <v>21883</v>
      </c>
      <c r="F2400" t="s">
        <v>441</v>
      </c>
      <c r="G2400">
        <v>0</v>
      </c>
      <c r="I2400" s="5">
        <v>44044</v>
      </c>
      <c r="J2400" s="5">
        <v>43970.333333333336</v>
      </c>
    </row>
    <row r="2401" spans="1:10" x14ac:dyDescent="0.2">
      <c r="A2401">
        <v>7119639</v>
      </c>
      <c r="B2401">
        <v>3693009</v>
      </c>
      <c r="C2401">
        <v>3694095</v>
      </c>
      <c r="D2401">
        <v>21883</v>
      </c>
      <c r="E2401">
        <v>21883</v>
      </c>
      <c r="F2401" t="s">
        <v>441</v>
      </c>
      <c r="G2401">
        <v>0</v>
      </c>
      <c r="I2401" s="5">
        <v>44044</v>
      </c>
      <c r="J2401" s="5">
        <v>43970.333333333336</v>
      </c>
    </row>
    <row r="2402" spans="1:10" x14ac:dyDescent="0.2">
      <c r="A2402">
        <v>7119640</v>
      </c>
      <c r="B2402">
        <v>3693011</v>
      </c>
      <c r="C2402">
        <v>3694095</v>
      </c>
      <c r="D2402">
        <v>21883</v>
      </c>
      <c r="E2402">
        <v>21883</v>
      </c>
      <c r="F2402" t="s">
        <v>441</v>
      </c>
      <c r="G2402">
        <v>0</v>
      </c>
      <c r="I2402" s="5">
        <v>44044</v>
      </c>
      <c r="J2402" s="5">
        <v>44032.333333333336</v>
      </c>
    </row>
    <row r="2403" spans="1:10" x14ac:dyDescent="0.2">
      <c r="A2403">
        <v>7119641</v>
      </c>
      <c r="B2403">
        <v>3693156</v>
      </c>
      <c r="C2403">
        <v>3693391</v>
      </c>
      <c r="D2403">
        <v>21883</v>
      </c>
      <c r="E2403">
        <v>21883</v>
      </c>
      <c r="F2403" t="s">
        <v>441</v>
      </c>
      <c r="G2403">
        <v>0</v>
      </c>
      <c r="I2403" s="5">
        <v>44044</v>
      </c>
      <c r="J2403" s="5">
        <v>43970.333333333336</v>
      </c>
    </row>
    <row r="2404" spans="1:10" x14ac:dyDescent="0.2">
      <c r="A2404">
        <v>7119642</v>
      </c>
      <c r="B2404">
        <v>3692926</v>
      </c>
      <c r="C2404">
        <v>3694096</v>
      </c>
      <c r="D2404">
        <v>21883</v>
      </c>
      <c r="E2404">
        <v>21883</v>
      </c>
      <c r="F2404" t="s">
        <v>441</v>
      </c>
      <c r="G2404">
        <v>0</v>
      </c>
      <c r="I2404" s="5">
        <v>44044</v>
      </c>
      <c r="J2404" s="5">
        <v>43970.333333333336</v>
      </c>
    </row>
    <row r="2405" spans="1:10" x14ac:dyDescent="0.2">
      <c r="A2405">
        <v>7119643</v>
      </c>
      <c r="B2405">
        <v>3692927</v>
      </c>
      <c r="C2405">
        <v>3694097</v>
      </c>
      <c r="D2405">
        <v>21883</v>
      </c>
      <c r="E2405">
        <v>21883</v>
      </c>
      <c r="F2405" t="s">
        <v>441</v>
      </c>
      <c r="G2405">
        <v>0</v>
      </c>
      <c r="I2405" s="5">
        <v>44044</v>
      </c>
      <c r="J2405" s="5">
        <v>43970.333333333336</v>
      </c>
    </row>
    <row r="2406" spans="1:10" x14ac:dyDescent="0.2">
      <c r="A2406">
        <v>7119644</v>
      </c>
      <c r="B2406">
        <v>3693395</v>
      </c>
      <c r="C2406">
        <v>3694097</v>
      </c>
      <c r="D2406">
        <v>21883</v>
      </c>
      <c r="E2406">
        <v>21883</v>
      </c>
      <c r="F2406" t="s">
        <v>441</v>
      </c>
      <c r="G2406">
        <v>0</v>
      </c>
      <c r="I2406" s="5">
        <v>44044</v>
      </c>
      <c r="J2406" s="5">
        <v>43970.333333333336</v>
      </c>
    </row>
    <row r="2407" spans="1:10" x14ac:dyDescent="0.2">
      <c r="A2407">
        <v>7119645</v>
      </c>
      <c r="B2407">
        <v>3693399</v>
      </c>
      <c r="C2407">
        <v>3694097</v>
      </c>
      <c r="D2407">
        <v>21883</v>
      </c>
      <c r="E2407">
        <v>21883</v>
      </c>
      <c r="F2407" t="s">
        <v>441</v>
      </c>
      <c r="G2407">
        <v>0</v>
      </c>
      <c r="I2407" s="5">
        <v>44044</v>
      </c>
      <c r="J2407" s="5">
        <v>43970.333333333336</v>
      </c>
    </row>
    <row r="2408" spans="1:10" x14ac:dyDescent="0.2">
      <c r="A2408">
        <v>7119646</v>
      </c>
      <c r="B2408">
        <v>3694097</v>
      </c>
      <c r="C2408">
        <v>3694096</v>
      </c>
      <c r="D2408">
        <v>21883</v>
      </c>
      <c r="E2408">
        <v>21883</v>
      </c>
      <c r="F2408" t="s">
        <v>441</v>
      </c>
      <c r="G2408">
        <v>0</v>
      </c>
      <c r="I2408" s="5">
        <v>44044</v>
      </c>
      <c r="J2408" s="5">
        <v>43970.333333333336</v>
      </c>
    </row>
    <row r="2409" spans="1:10" x14ac:dyDescent="0.2">
      <c r="A2409">
        <v>7119647</v>
      </c>
      <c r="B2409">
        <v>3694096</v>
      </c>
      <c r="C2409">
        <v>3692899</v>
      </c>
      <c r="D2409">
        <v>21883</v>
      </c>
      <c r="E2409">
        <v>21883</v>
      </c>
      <c r="F2409" t="s">
        <v>441</v>
      </c>
      <c r="G2409">
        <v>0</v>
      </c>
      <c r="I2409" s="5">
        <v>44044</v>
      </c>
      <c r="J2409" s="5">
        <v>43970.333333333336</v>
      </c>
    </row>
    <row r="2410" spans="1:10" x14ac:dyDescent="0.2">
      <c r="A2410">
        <v>7119648</v>
      </c>
      <c r="B2410">
        <v>3692947</v>
      </c>
      <c r="C2410">
        <v>3692941</v>
      </c>
      <c r="D2410">
        <v>21883</v>
      </c>
      <c r="E2410">
        <v>21883</v>
      </c>
      <c r="F2410" t="s">
        <v>441</v>
      </c>
      <c r="G2410">
        <v>0</v>
      </c>
      <c r="I2410" s="5">
        <v>44044</v>
      </c>
      <c r="J2410" s="5">
        <v>43970.333333333336</v>
      </c>
    </row>
    <row r="2411" spans="1:10" x14ac:dyDescent="0.2">
      <c r="A2411">
        <v>7119649</v>
      </c>
      <c r="B2411">
        <v>3694091</v>
      </c>
      <c r="C2411">
        <v>3694092</v>
      </c>
      <c r="D2411">
        <v>21883</v>
      </c>
      <c r="E2411">
        <v>21883</v>
      </c>
      <c r="F2411" t="s">
        <v>441</v>
      </c>
      <c r="G2411">
        <v>0</v>
      </c>
      <c r="I2411" s="5">
        <v>44044</v>
      </c>
      <c r="J2411" s="5">
        <v>43970.333333333336</v>
      </c>
    </row>
    <row r="2412" spans="1:10" x14ac:dyDescent="0.2">
      <c r="A2412">
        <v>7119650</v>
      </c>
      <c r="B2412">
        <v>3693457</v>
      </c>
      <c r="C2412">
        <v>3692988</v>
      </c>
      <c r="D2412">
        <v>21883</v>
      </c>
      <c r="E2412">
        <v>21883</v>
      </c>
      <c r="F2412" t="s">
        <v>441</v>
      </c>
      <c r="G2412">
        <v>0</v>
      </c>
      <c r="I2412" s="5">
        <v>44044</v>
      </c>
      <c r="J2412" s="5">
        <v>43970.333333333336</v>
      </c>
    </row>
    <row r="2413" spans="1:10" x14ac:dyDescent="0.2">
      <c r="A2413">
        <v>7119651</v>
      </c>
      <c r="B2413">
        <v>3692949</v>
      </c>
      <c r="C2413">
        <v>3692943</v>
      </c>
      <c r="D2413">
        <v>21883</v>
      </c>
      <c r="E2413">
        <v>21883</v>
      </c>
      <c r="F2413" t="s">
        <v>441</v>
      </c>
      <c r="G2413">
        <v>0</v>
      </c>
      <c r="I2413" s="5">
        <v>44044</v>
      </c>
      <c r="J2413" s="5">
        <v>43970.333333333336</v>
      </c>
    </row>
    <row r="2414" spans="1:10" x14ac:dyDescent="0.2">
      <c r="A2414">
        <v>7119652</v>
      </c>
      <c r="B2414">
        <v>3692955</v>
      </c>
      <c r="C2414">
        <v>3692949</v>
      </c>
      <c r="D2414">
        <v>21883</v>
      </c>
      <c r="E2414">
        <v>21883</v>
      </c>
      <c r="F2414" t="s">
        <v>441</v>
      </c>
      <c r="G2414">
        <v>0</v>
      </c>
      <c r="I2414" s="5">
        <v>44044</v>
      </c>
      <c r="J2414" s="5">
        <v>43970.333333333336</v>
      </c>
    </row>
    <row r="2415" spans="1:10" x14ac:dyDescent="0.2">
      <c r="A2415">
        <v>7119653</v>
      </c>
      <c r="B2415">
        <v>3692971</v>
      </c>
      <c r="C2415">
        <v>3692947</v>
      </c>
      <c r="D2415">
        <v>21883</v>
      </c>
      <c r="E2415">
        <v>21883</v>
      </c>
      <c r="F2415" t="s">
        <v>441</v>
      </c>
      <c r="G2415">
        <v>0</v>
      </c>
      <c r="I2415" s="5">
        <v>44044</v>
      </c>
      <c r="J2415" s="5">
        <v>43970.333333333336</v>
      </c>
    </row>
    <row r="2416" spans="1:10" x14ac:dyDescent="0.2">
      <c r="A2416">
        <v>7119654</v>
      </c>
      <c r="B2416">
        <v>3692977</v>
      </c>
      <c r="C2416">
        <v>3692971</v>
      </c>
      <c r="D2416">
        <v>21883</v>
      </c>
      <c r="E2416">
        <v>21883</v>
      </c>
      <c r="F2416" t="s">
        <v>441</v>
      </c>
      <c r="G2416">
        <v>0</v>
      </c>
      <c r="I2416" s="5">
        <v>44044</v>
      </c>
      <c r="J2416" s="5">
        <v>43970.333333333336</v>
      </c>
    </row>
    <row r="2417" spans="1:10" x14ac:dyDescent="0.2">
      <c r="A2417">
        <v>7119655</v>
      </c>
      <c r="B2417">
        <v>3692983</v>
      </c>
      <c r="C2417">
        <v>3692977</v>
      </c>
      <c r="D2417">
        <v>21883</v>
      </c>
      <c r="E2417">
        <v>21883</v>
      </c>
      <c r="F2417" t="s">
        <v>441</v>
      </c>
      <c r="G2417">
        <v>0</v>
      </c>
      <c r="I2417" s="5">
        <v>44044</v>
      </c>
      <c r="J2417" s="5">
        <v>43970.333333333336</v>
      </c>
    </row>
    <row r="2418" spans="1:10" x14ac:dyDescent="0.2">
      <c r="A2418">
        <v>7119656</v>
      </c>
      <c r="B2418">
        <v>3692965</v>
      </c>
      <c r="C2418">
        <v>3692983</v>
      </c>
      <c r="D2418">
        <v>21883</v>
      </c>
      <c r="E2418">
        <v>21883</v>
      </c>
      <c r="F2418" t="s">
        <v>441</v>
      </c>
      <c r="G2418">
        <v>0</v>
      </c>
      <c r="I2418" s="5">
        <v>44044</v>
      </c>
      <c r="J2418" s="5">
        <v>43970.333333333336</v>
      </c>
    </row>
    <row r="2419" spans="1:10" x14ac:dyDescent="0.2">
      <c r="A2419">
        <v>7119657</v>
      </c>
      <c r="B2419">
        <v>3692959</v>
      </c>
      <c r="C2419">
        <v>3692965</v>
      </c>
      <c r="D2419">
        <v>21883</v>
      </c>
      <c r="E2419">
        <v>21883</v>
      </c>
      <c r="F2419" t="s">
        <v>441</v>
      </c>
      <c r="G2419">
        <v>0</v>
      </c>
      <c r="I2419" s="5">
        <v>44044</v>
      </c>
      <c r="J2419" s="5">
        <v>43970.333333333336</v>
      </c>
    </row>
    <row r="2420" spans="1:10" x14ac:dyDescent="0.2">
      <c r="A2420">
        <v>7119658</v>
      </c>
      <c r="B2420">
        <v>3692953</v>
      </c>
      <c r="C2420">
        <v>3692959</v>
      </c>
      <c r="D2420">
        <v>21883</v>
      </c>
      <c r="E2420">
        <v>21883</v>
      </c>
      <c r="F2420" t="s">
        <v>441</v>
      </c>
      <c r="G2420">
        <v>0</v>
      </c>
      <c r="I2420" s="5">
        <v>44044</v>
      </c>
      <c r="J2420" s="5">
        <v>43970.333333333336</v>
      </c>
    </row>
    <row r="2421" spans="1:10" x14ac:dyDescent="0.2">
      <c r="A2421">
        <v>7119659</v>
      </c>
      <c r="B2421">
        <v>3693466</v>
      </c>
      <c r="C2421">
        <v>3692988</v>
      </c>
      <c r="D2421">
        <v>21883</v>
      </c>
      <c r="E2421">
        <v>21883</v>
      </c>
      <c r="F2421" t="s">
        <v>441</v>
      </c>
      <c r="G2421">
        <v>0</v>
      </c>
      <c r="I2421" s="5">
        <v>44044</v>
      </c>
      <c r="J2421" s="5">
        <v>43970.333333333336</v>
      </c>
    </row>
    <row r="2422" spans="1:10" x14ac:dyDescent="0.2">
      <c r="A2422">
        <v>7119660</v>
      </c>
      <c r="B2422">
        <v>3693466</v>
      </c>
      <c r="C2422">
        <v>3693295</v>
      </c>
      <c r="D2422">
        <v>21883</v>
      </c>
      <c r="E2422">
        <v>21883</v>
      </c>
      <c r="F2422" t="s">
        <v>441</v>
      </c>
      <c r="G2422">
        <v>0</v>
      </c>
      <c r="I2422" s="5">
        <v>44044</v>
      </c>
      <c r="J2422" s="5">
        <v>43970.333333333336</v>
      </c>
    </row>
    <row r="2423" spans="1:10" x14ac:dyDescent="0.2">
      <c r="A2423">
        <v>7119661</v>
      </c>
      <c r="B2423">
        <v>3693465</v>
      </c>
      <c r="C2423">
        <v>3692976</v>
      </c>
      <c r="D2423">
        <v>21883</v>
      </c>
      <c r="E2423">
        <v>21883</v>
      </c>
      <c r="F2423" t="s">
        <v>441</v>
      </c>
      <c r="G2423">
        <v>0</v>
      </c>
      <c r="I2423" s="5">
        <v>44044</v>
      </c>
      <c r="J2423" s="5">
        <v>43970.333333333336</v>
      </c>
    </row>
    <row r="2424" spans="1:10" x14ac:dyDescent="0.2">
      <c r="A2424">
        <v>7119662</v>
      </c>
      <c r="B2424">
        <v>3693465</v>
      </c>
      <c r="C2424">
        <v>3692970</v>
      </c>
      <c r="D2424">
        <v>21883</v>
      </c>
      <c r="E2424">
        <v>21883</v>
      </c>
      <c r="F2424" t="s">
        <v>441</v>
      </c>
      <c r="G2424">
        <v>0</v>
      </c>
      <c r="I2424" s="5">
        <v>44044</v>
      </c>
      <c r="J2424" s="5">
        <v>43970.333333333336</v>
      </c>
    </row>
    <row r="2425" spans="1:10" x14ac:dyDescent="0.2">
      <c r="A2425">
        <v>7119663</v>
      </c>
      <c r="B2425">
        <v>3693463</v>
      </c>
      <c r="C2425">
        <v>3693290</v>
      </c>
      <c r="D2425">
        <v>21883</v>
      </c>
      <c r="E2425">
        <v>21883</v>
      </c>
      <c r="F2425" t="s">
        <v>441</v>
      </c>
      <c r="G2425">
        <v>0</v>
      </c>
      <c r="I2425" s="5">
        <v>44044</v>
      </c>
      <c r="J2425" s="5">
        <v>43970.333333333336</v>
      </c>
    </row>
    <row r="2426" spans="1:10" x14ac:dyDescent="0.2">
      <c r="A2426">
        <v>7119664</v>
      </c>
      <c r="B2426">
        <v>3693463</v>
      </c>
      <c r="C2426">
        <v>3692946</v>
      </c>
      <c r="D2426">
        <v>21883</v>
      </c>
      <c r="E2426">
        <v>21883</v>
      </c>
      <c r="F2426" t="s">
        <v>441</v>
      </c>
      <c r="G2426">
        <v>0</v>
      </c>
      <c r="I2426" s="5">
        <v>44044</v>
      </c>
      <c r="J2426" s="5">
        <v>43970.333333333336</v>
      </c>
    </row>
    <row r="2427" spans="1:10" x14ac:dyDescent="0.2">
      <c r="A2427">
        <v>7119665</v>
      </c>
      <c r="B2427">
        <v>3693464</v>
      </c>
      <c r="C2427">
        <v>3692952</v>
      </c>
      <c r="D2427">
        <v>21883</v>
      </c>
      <c r="E2427">
        <v>21883</v>
      </c>
      <c r="F2427" t="s">
        <v>441</v>
      </c>
      <c r="G2427">
        <v>0</v>
      </c>
      <c r="I2427" s="5">
        <v>44044</v>
      </c>
      <c r="J2427" s="5">
        <v>43970.333333333336</v>
      </c>
    </row>
    <row r="2428" spans="1:10" x14ac:dyDescent="0.2">
      <c r="A2428">
        <v>7119666</v>
      </c>
      <c r="B2428">
        <v>3693464</v>
      </c>
      <c r="C2428">
        <v>3692958</v>
      </c>
      <c r="D2428">
        <v>21883</v>
      </c>
      <c r="E2428">
        <v>21883</v>
      </c>
      <c r="F2428" t="s">
        <v>441</v>
      </c>
      <c r="G2428">
        <v>0</v>
      </c>
      <c r="I2428" s="5">
        <v>44044</v>
      </c>
      <c r="J2428" s="5">
        <v>43970.333333333336</v>
      </c>
    </row>
    <row r="2429" spans="1:10" x14ac:dyDescent="0.2">
      <c r="A2429">
        <v>7119667</v>
      </c>
      <c r="B2429">
        <v>3692991</v>
      </c>
      <c r="C2429">
        <v>3693463</v>
      </c>
      <c r="D2429">
        <v>21883</v>
      </c>
      <c r="E2429">
        <v>21883</v>
      </c>
      <c r="F2429" t="s">
        <v>441</v>
      </c>
      <c r="G2429">
        <v>0</v>
      </c>
      <c r="I2429" s="5">
        <v>44044</v>
      </c>
      <c r="J2429" s="5">
        <v>43970.333333333336</v>
      </c>
    </row>
    <row r="2430" spans="1:10" x14ac:dyDescent="0.2">
      <c r="A2430">
        <v>7119668</v>
      </c>
      <c r="B2430">
        <v>3692991</v>
      </c>
      <c r="C2430">
        <v>3693464</v>
      </c>
      <c r="D2430">
        <v>21883</v>
      </c>
      <c r="E2430">
        <v>21883</v>
      </c>
      <c r="F2430" t="s">
        <v>441</v>
      </c>
      <c r="G2430">
        <v>0</v>
      </c>
      <c r="I2430" s="5">
        <v>44044</v>
      </c>
      <c r="J2430" s="5">
        <v>43970.333333333336</v>
      </c>
    </row>
    <row r="2431" spans="1:10" x14ac:dyDescent="0.2">
      <c r="A2431">
        <v>7119669</v>
      </c>
      <c r="B2431">
        <v>3692991</v>
      </c>
      <c r="C2431">
        <v>3693465</v>
      </c>
      <c r="D2431">
        <v>21883</v>
      </c>
      <c r="E2431">
        <v>21883</v>
      </c>
      <c r="F2431" t="s">
        <v>441</v>
      </c>
      <c r="G2431">
        <v>0</v>
      </c>
      <c r="I2431" s="5">
        <v>44044</v>
      </c>
      <c r="J2431" s="5">
        <v>43970.333333333336</v>
      </c>
    </row>
    <row r="2432" spans="1:10" x14ac:dyDescent="0.2">
      <c r="A2432">
        <v>7119670</v>
      </c>
      <c r="B2432">
        <v>3692991</v>
      </c>
      <c r="C2432">
        <v>3693466</v>
      </c>
      <c r="D2432">
        <v>21883</v>
      </c>
      <c r="E2432">
        <v>21883</v>
      </c>
      <c r="F2432" t="s">
        <v>441</v>
      </c>
      <c r="G2432">
        <v>0</v>
      </c>
      <c r="I2432" s="5">
        <v>44044</v>
      </c>
      <c r="J2432" s="5">
        <v>43970.333333333336</v>
      </c>
    </row>
    <row r="2433" spans="1:10" x14ac:dyDescent="0.2">
      <c r="A2433">
        <v>7119671</v>
      </c>
      <c r="B2433">
        <v>3692991</v>
      </c>
      <c r="C2433">
        <v>3693456</v>
      </c>
      <c r="D2433">
        <v>21883</v>
      </c>
      <c r="E2433">
        <v>21883</v>
      </c>
      <c r="F2433" t="s">
        <v>441</v>
      </c>
      <c r="G2433">
        <v>0</v>
      </c>
      <c r="I2433" s="5">
        <v>44044</v>
      </c>
      <c r="J2433" s="5">
        <v>43970.333333333336</v>
      </c>
    </row>
    <row r="2434" spans="1:10" x14ac:dyDescent="0.2">
      <c r="A2434">
        <v>7119672</v>
      </c>
      <c r="B2434">
        <v>3694098</v>
      </c>
      <c r="C2434">
        <v>3694086</v>
      </c>
      <c r="D2434">
        <v>21883</v>
      </c>
      <c r="E2434">
        <v>21883</v>
      </c>
      <c r="F2434" t="s">
        <v>441</v>
      </c>
      <c r="G2434">
        <v>0</v>
      </c>
      <c r="I2434" s="5">
        <v>44044</v>
      </c>
      <c r="J2434" s="5">
        <v>44117.333333333336</v>
      </c>
    </row>
    <row r="2435" spans="1:10" x14ac:dyDescent="0.2">
      <c r="A2435">
        <v>7119673</v>
      </c>
      <c r="B2435">
        <v>3693319</v>
      </c>
      <c r="C2435">
        <v>3694098</v>
      </c>
      <c r="D2435">
        <v>21883</v>
      </c>
      <c r="E2435">
        <v>21883</v>
      </c>
      <c r="F2435" t="s">
        <v>441</v>
      </c>
      <c r="G2435">
        <v>0</v>
      </c>
      <c r="I2435" s="5">
        <v>44044</v>
      </c>
      <c r="J2435" s="5">
        <v>44117.333333333336</v>
      </c>
    </row>
    <row r="2436" spans="1:10" x14ac:dyDescent="0.2">
      <c r="A2436">
        <v>7119674</v>
      </c>
      <c r="B2436">
        <v>3692979</v>
      </c>
      <c r="C2436">
        <v>3692985</v>
      </c>
      <c r="D2436">
        <v>21883</v>
      </c>
      <c r="E2436">
        <v>21883</v>
      </c>
      <c r="F2436" t="s">
        <v>441</v>
      </c>
      <c r="G2436">
        <v>0</v>
      </c>
      <c r="I2436" s="5">
        <v>44044</v>
      </c>
      <c r="J2436" s="5">
        <v>43970.333333333336</v>
      </c>
    </row>
    <row r="2437" spans="1:10" x14ac:dyDescent="0.2">
      <c r="A2437">
        <v>7119675</v>
      </c>
      <c r="B2437">
        <v>3692973</v>
      </c>
      <c r="C2437">
        <v>3692979</v>
      </c>
      <c r="D2437">
        <v>21883</v>
      </c>
      <c r="E2437">
        <v>21883</v>
      </c>
      <c r="F2437" t="s">
        <v>441</v>
      </c>
      <c r="G2437">
        <v>0</v>
      </c>
      <c r="I2437" s="5">
        <v>44044</v>
      </c>
      <c r="J2437" s="5">
        <v>43970.333333333336</v>
      </c>
    </row>
    <row r="2438" spans="1:10" x14ac:dyDescent="0.2">
      <c r="A2438">
        <v>7119676</v>
      </c>
      <c r="B2438">
        <v>3692967</v>
      </c>
      <c r="C2438">
        <v>3692973</v>
      </c>
      <c r="D2438">
        <v>21883</v>
      </c>
      <c r="E2438">
        <v>21883</v>
      </c>
      <c r="F2438" t="s">
        <v>441</v>
      </c>
      <c r="G2438">
        <v>0</v>
      </c>
      <c r="I2438" s="5">
        <v>44044</v>
      </c>
      <c r="J2438" s="5">
        <v>43970.333333333336</v>
      </c>
    </row>
    <row r="2439" spans="1:10" x14ac:dyDescent="0.2">
      <c r="A2439">
        <v>7119677</v>
      </c>
      <c r="B2439">
        <v>3692961</v>
      </c>
      <c r="C2439">
        <v>3692967</v>
      </c>
      <c r="D2439">
        <v>21883</v>
      </c>
      <c r="E2439">
        <v>21883</v>
      </c>
      <c r="F2439" t="s">
        <v>441</v>
      </c>
      <c r="G2439">
        <v>0</v>
      </c>
      <c r="I2439" s="5">
        <v>44044</v>
      </c>
      <c r="J2439" s="5">
        <v>43970.333333333336</v>
      </c>
    </row>
    <row r="2440" spans="1:10" x14ac:dyDescent="0.2">
      <c r="A2440">
        <v>7119678</v>
      </c>
      <c r="B2440">
        <v>3692955</v>
      </c>
      <c r="C2440">
        <v>3692961</v>
      </c>
      <c r="D2440">
        <v>21883</v>
      </c>
      <c r="E2440">
        <v>21883</v>
      </c>
      <c r="F2440" t="s">
        <v>441</v>
      </c>
      <c r="G2440">
        <v>0</v>
      </c>
      <c r="I2440" s="5">
        <v>44044</v>
      </c>
      <c r="J2440" s="5">
        <v>43970.333333333336</v>
      </c>
    </row>
    <row r="2441" spans="1:10" x14ac:dyDescent="0.2">
      <c r="A2441">
        <v>7119679</v>
      </c>
      <c r="B2441">
        <v>3693187</v>
      </c>
      <c r="C2441">
        <v>3693170</v>
      </c>
      <c r="D2441">
        <v>21883</v>
      </c>
      <c r="E2441">
        <v>21883</v>
      </c>
      <c r="F2441" t="s">
        <v>442</v>
      </c>
      <c r="G2441">
        <v>8</v>
      </c>
      <c r="I2441" s="5">
        <v>44044</v>
      </c>
      <c r="J2441" s="5">
        <v>43970.333333333336</v>
      </c>
    </row>
    <row r="2442" spans="1:10" x14ac:dyDescent="0.2">
      <c r="A2442">
        <v>7119680</v>
      </c>
      <c r="B2442">
        <v>3693189</v>
      </c>
      <c r="C2442">
        <v>3693186</v>
      </c>
      <c r="D2442">
        <v>21883</v>
      </c>
      <c r="E2442">
        <v>21883</v>
      </c>
      <c r="F2442" t="s">
        <v>441</v>
      </c>
      <c r="G2442">
        <v>0</v>
      </c>
      <c r="I2442" s="5">
        <v>44044</v>
      </c>
      <c r="J2442" s="5">
        <v>43970.333333333336</v>
      </c>
    </row>
    <row r="2443" spans="1:10" x14ac:dyDescent="0.2">
      <c r="A2443">
        <v>7119681</v>
      </c>
      <c r="B2443">
        <v>3692904</v>
      </c>
      <c r="C2443">
        <v>3694099</v>
      </c>
      <c r="D2443">
        <v>21883</v>
      </c>
      <c r="E2443">
        <v>21883</v>
      </c>
      <c r="F2443" t="s">
        <v>441</v>
      </c>
      <c r="G2443">
        <v>0</v>
      </c>
      <c r="I2443" s="5">
        <v>44044</v>
      </c>
      <c r="J2443" s="5">
        <v>43970.333333333336</v>
      </c>
    </row>
    <row r="2444" spans="1:10" x14ac:dyDescent="0.2">
      <c r="A2444">
        <v>7119682</v>
      </c>
      <c r="B2444">
        <v>3694099</v>
      </c>
      <c r="C2444">
        <v>3692937</v>
      </c>
      <c r="D2444">
        <v>21883</v>
      </c>
      <c r="E2444">
        <v>21883</v>
      </c>
      <c r="F2444" t="s">
        <v>441</v>
      </c>
      <c r="G2444">
        <v>0</v>
      </c>
      <c r="I2444" s="5">
        <v>44044</v>
      </c>
      <c r="J2444" s="5">
        <v>43970.333333333336</v>
      </c>
    </row>
    <row r="2445" spans="1:10" x14ac:dyDescent="0.2">
      <c r="A2445">
        <v>7119683</v>
      </c>
      <c r="B2445">
        <v>3694102</v>
      </c>
      <c r="C2445">
        <v>3694101</v>
      </c>
      <c r="D2445">
        <v>21883</v>
      </c>
      <c r="E2445">
        <v>21883</v>
      </c>
      <c r="F2445" t="s">
        <v>441</v>
      </c>
      <c r="G2445">
        <v>0</v>
      </c>
      <c r="I2445" s="5">
        <v>44044</v>
      </c>
      <c r="J2445" s="5">
        <v>43970.333333333336</v>
      </c>
    </row>
    <row r="2446" spans="1:10" x14ac:dyDescent="0.2">
      <c r="A2446">
        <v>7119684</v>
      </c>
      <c r="B2446">
        <v>3694103</v>
      </c>
      <c r="C2446">
        <v>3694102</v>
      </c>
      <c r="D2446">
        <v>21883</v>
      </c>
      <c r="E2446">
        <v>21883</v>
      </c>
      <c r="F2446" t="s">
        <v>441</v>
      </c>
      <c r="G2446">
        <v>0</v>
      </c>
      <c r="I2446" s="5">
        <v>44044</v>
      </c>
      <c r="J2446" s="5">
        <v>43970.333333333336</v>
      </c>
    </row>
    <row r="2447" spans="1:10" x14ac:dyDescent="0.2">
      <c r="A2447">
        <v>7119685</v>
      </c>
      <c r="B2447">
        <v>3694104</v>
      </c>
      <c r="C2447">
        <v>3694103</v>
      </c>
      <c r="D2447">
        <v>21883</v>
      </c>
      <c r="E2447">
        <v>21883</v>
      </c>
      <c r="F2447" t="s">
        <v>441</v>
      </c>
      <c r="G2447">
        <v>0</v>
      </c>
      <c r="I2447" s="5">
        <v>44044</v>
      </c>
      <c r="J2447" s="5">
        <v>43970.333333333336</v>
      </c>
    </row>
    <row r="2448" spans="1:10" x14ac:dyDescent="0.2">
      <c r="A2448">
        <v>7119686</v>
      </c>
      <c r="B2448">
        <v>3694105</v>
      </c>
      <c r="C2448">
        <v>3694104</v>
      </c>
      <c r="D2448">
        <v>21883</v>
      </c>
      <c r="E2448">
        <v>21883</v>
      </c>
      <c r="F2448" t="s">
        <v>442</v>
      </c>
      <c r="G2448">
        <v>0</v>
      </c>
      <c r="I2448" s="5">
        <v>44044</v>
      </c>
      <c r="J2448" s="5">
        <v>43970.333333333336</v>
      </c>
    </row>
    <row r="2449" spans="1:10" x14ac:dyDescent="0.2">
      <c r="A2449">
        <v>7119687</v>
      </c>
      <c r="B2449">
        <v>3694100</v>
      </c>
      <c r="C2449">
        <v>3693396</v>
      </c>
      <c r="D2449">
        <v>21883</v>
      </c>
      <c r="E2449">
        <v>21883</v>
      </c>
      <c r="F2449" t="s">
        <v>441</v>
      </c>
      <c r="G2449">
        <v>0</v>
      </c>
      <c r="I2449" s="5">
        <v>44044</v>
      </c>
      <c r="J2449" s="5">
        <v>43970.333333333336</v>
      </c>
    </row>
    <row r="2450" spans="1:10" x14ac:dyDescent="0.2">
      <c r="A2450">
        <v>7119688</v>
      </c>
      <c r="B2450">
        <v>3693397</v>
      </c>
      <c r="C2450">
        <v>3694105</v>
      </c>
      <c r="D2450">
        <v>21883</v>
      </c>
      <c r="E2450">
        <v>21883</v>
      </c>
      <c r="F2450" t="s">
        <v>441</v>
      </c>
      <c r="G2450">
        <v>0</v>
      </c>
      <c r="I2450" s="5">
        <v>44044</v>
      </c>
      <c r="J2450" s="5">
        <v>43970.333333333336</v>
      </c>
    </row>
    <row r="2451" spans="1:10" x14ac:dyDescent="0.2">
      <c r="A2451">
        <v>7119689</v>
      </c>
      <c r="B2451">
        <v>3694107</v>
      </c>
      <c r="C2451">
        <v>3694106</v>
      </c>
      <c r="D2451">
        <v>21883</v>
      </c>
      <c r="E2451">
        <v>21883</v>
      </c>
      <c r="F2451" t="s">
        <v>441</v>
      </c>
      <c r="G2451">
        <v>0</v>
      </c>
      <c r="I2451" s="5">
        <v>44044</v>
      </c>
      <c r="J2451" s="5">
        <v>43970.333333333336</v>
      </c>
    </row>
    <row r="2452" spans="1:10" x14ac:dyDescent="0.2">
      <c r="A2452">
        <v>7119690</v>
      </c>
      <c r="B2452">
        <v>3694101</v>
      </c>
      <c r="C2452">
        <v>3694107</v>
      </c>
      <c r="D2452">
        <v>21883</v>
      </c>
      <c r="E2452">
        <v>21883</v>
      </c>
      <c r="F2452" t="s">
        <v>441</v>
      </c>
      <c r="G2452">
        <v>0</v>
      </c>
      <c r="I2452" s="5">
        <v>44044</v>
      </c>
      <c r="J2452" s="5">
        <v>43970.333333333336</v>
      </c>
    </row>
    <row r="2453" spans="1:10" x14ac:dyDescent="0.2">
      <c r="A2453">
        <v>7119691</v>
      </c>
      <c r="B2453">
        <v>3694106</v>
      </c>
      <c r="C2453">
        <v>3694100</v>
      </c>
      <c r="D2453">
        <v>21883</v>
      </c>
      <c r="E2453">
        <v>21883</v>
      </c>
      <c r="F2453" t="s">
        <v>441</v>
      </c>
      <c r="G2453">
        <v>0</v>
      </c>
      <c r="I2453" s="5">
        <v>44044</v>
      </c>
      <c r="J2453" s="5">
        <v>43970.333333333336</v>
      </c>
    </row>
    <row r="2454" spans="1:10" x14ac:dyDescent="0.2">
      <c r="A2454">
        <v>7119692</v>
      </c>
      <c r="B2454">
        <v>3694108</v>
      </c>
      <c r="C2454">
        <v>3694106</v>
      </c>
      <c r="D2454">
        <v>21883</v>
      </c>
      <c r="E2454">
        <v>21883</v>
      </c>
      <c r="F2454" t="s">
        <v>441</v>
      </c>
      <c r="G2454">
        <v>0</v>
      </c>
      <c r="I2454" s="5">
        <v>44044</v>
      </c>
      <c r="J2454" s="5">
        <v>43970.333333333336</v>
      </c>
    </row>
    <row r="2455" spans="1:10" x14ac:dyDescent="0.2">
      <c r="A2455">
        <v>7119693</v>
      </c>
      <c r="B2455">
        <v>3694106</v>
      </c>
      <c r="C2455">
        <v>3693195</v>
      </c>
      <c r="D2455">
        <v>21883</v>
      </c>
      <c r="E2455">
        <v>21883</v>
      </c>
      <c r="F2455" t="s">
        <v>441</v>
      </c>
      <c r="G2455">
        <v>0</v>
      </c>
      <c r="I2455" s="5">
        <v>44044</v>
      </c>
      <c r="J2455" s="5">
        <v>43970.333333333336</v>
      </c>
    </row>
    <row r="2456" spans="1:10" x14ac:dyDescent="0.2">
      <c r="A2456">
        <v>7119694</v>
      </c>
      <c r="B2456">
        <v>3692996</v>
      </c>
      <c r="C2456">
        <v>3694108</v>
      </c>
      <c r="D2456">
        <v>21883</v>
      </c>
      <c r="E2456">
        <v>21883</v>
      </c>
      <c r="F2456" t="s">
        <v>441</v>
      </c>
      <c r="G2456">
        <v>0</v>
      </c>
      <c r="I2456" s="5">
        <v>44044</v>
      </c>
      <c r="J2456" s="5">
        <v>43970.333333333336</v>
      </c>
    </row>
    <row r="2457" spans="1:10" x14ac:dyDescent="0.2">
      <c r="A2457">
        <v>7119695</v>
      </c>
      <c r="B2457">
        <v>3694056</v>
      </c>
      <c r="C2457">
        <v>3694108</v>
      </c>
      <c r="D2457">
        <v>21883</v>
      </c>
      <c r="E2457">
        <v>21883</v>
      </c>
      <c r="F2457" t="s">
        <v>441</v>
      </c>
      <c r="G2457">
        <v>0</v>
      </c>
      <c r="I2457" s="5">
        <v>44044</v>
      </c>
      <c r="J2457" s="5">
        <v>43970.333333333336</v>
      </c>
    </row>
    <row r="2458" spans="1:10" x14ac:dyDescent="0.2">
      <c r="A2458">
        <v>7119696</v>
      </c>
      <c r="B2458">
        <v>3693196</v>
      </c>
      <c r="C2458">
        <v>3694108</v>
      </c>
      <c r="D2458">
        <v>21883</v>
      </c>
      <c r="E2458">
        <v>21883</v>
      </c>
      <c r="F2458" t="s">
        <v>440</v>
      </c>
      <c r="G2458">
        <v>0</v>
      </c>
      <c r="I2458" s="5">
        <v>44044</v>
      </c>
      <c r="J2458" s="5">
        <v>43970.333333333336</v>
      </c>
    </row>
    <row r="2459" spans="1:10" x14ac:dyDescent="0.2">
      <c r="A2459">
        <v>7119697</v>
      </c>
      <c r="B2459">
        <v>3694106</v>
      </c>
      <c r="C2459">
        <v>3693187</v>
      </c>
      <c r="D2459">
        <v>21883</v>
      </c>
      <c r="E2459">
        <v>21883</v>
      </c>
      <c r="F2459" t="s">
        <v>441</v>
      </c>
      <c r="G2459">
        <v>0</v>
      </c>
      <c r="I2459" s="5">
        <v>44044</v>
      </c>
      <c r="J2459" s="5">
        <v>43970.333333333336</v>
      </c>
    </row>
    <row r="2460" spans="1:10" x14ac:dyDescent="0.2">
      <c r="A2460">
        <v>7119698</v>
      </c>
      <c r="B2460">
        <v>3694109</v>
      </c>
      <c r="C2460">
        <v>3694106</v>
      </c>
      <c r="D2460">
        <v>21883</v>
      </c>
      <c r="E2460">
        <v>21883</v>
      </c>
      <c r="F2460" t="s">
        <v>441</v>
      </c>
      <c r="G2460">
        <v>0</v>
      </c>
      <c r="I2460" s="5">
        <v>44044</v>
      </c>
      <c r="J2460" s="5">
        <v>43970.333333333336</v>
      </c>
    </row>
    <row r="2461" spans="1:10" x14ac:dyDescent="0.2">
      <c r="A2461">
        <v>7119699</v>
      </c>
      <c r="B2461">
        <v>3693186</v>
      </c>
      <c r="C2461">
        <v>3694109</v>
      </c>
      <c r="D2461">
        <v>21883</v>
      </c>
      <c r="E2461">
        <v>21883</v>
      </c>
      <c r="F2461" t="s">
        <v>440</v>
      </c>
      <c r="G2461">
        <v>0</v>
      </c>
      <c r="I2461" s="5">
        <v>44044</v>
      </c>
      <c r="J2461" s="5">
        <v>43970.333333333336</v>
      </c>
    </row>
    <row r="2462" spans="1:10" x14ac:dyDescent="0.2">
      <c r="A2462">
        <v>7119700</v>
      </c>
      <c r="B2462">
        <v>3693188</v>
      </c>
      <c r="C2462">
        <v>3694109</v>
      </c>
      <c r="D2462">
        <v>21883</v>
      </c>
      <c r="E2462">
        <v>21883</v>
      </c>
      <c r="F2462" t="s">
        <v>440</v>
      </c>
      <c r="G2462">
        <v>0</v>
      </c>
      <c r="I2462" s="5">
        <v>44044</v>
      </c>
      <c r="J2462" s="5">
        <v>43970.333333333336</v>
      </c>
    </row>
    <row r="2463" spans="1:10" x14ac:dyDescent="0.2">
      <c r="A2463">
        <v>7119701</v>
      </c>
      <c r="B2463">
        <v>3693189</v>
      </c>
      <c r="C2463">
        <v>3694109</v>
      </c>
      <c r="D2463">
        <v>21883</v>
      </c>
      <c r="E2463">
        <v>21883</v>
      </c>
      <c r="F2463" t="s">
        <v>440</v>
      </c>
      <c r="G2463">
        <v>0</v>
      </c>
      <c r="I2463" s="5">
        <v>44044</v>
      </c>
      <c r="J2463" s="5">
        <v>43970.333333333336</v>
      </c>
    </row>
    <row r="2464" spans="1:10" x14ac:dyDescent="0.2">
      <c r="A2464">
        <v>7119702</v>
      </c>
      <c r="B2464">
        <v>3694109</v>
      </c>
      <c r="C2464">
        <v>3694110</v>
      </c>
      <c r="D2464">
        <v>21883</v>
      </c>
      <c r="E2464">
        <v>21883</v>
      </c>
      <c r="F2464" t="s">
        <v>441</v>
      </c>
      <c r="G2464">
        <v>0</v>
      </c>
      <c r="I2464" s="5">
        <v>44044</v>
      </c>
      <c r="J2464" s="5">
        <v>43970.333333333336</v>
      </c>
    </row>
    <row r="2465" spans="1:10" x14ac:dyDescent="0.2">
      <c r="A2465">
        <v>7119703</v>
      </c>
      <c r="B2465">
        <v>3692953</v>
      </c>
      <c r="C2465">
        <v>3694110</v>
      </c>
      <c r="D2465">
        <v>21883</v>
      </c>
      <c r="E2465">
        <v>21883</v>
      </c>
      <c r="F2465" t="s">
        <v>441</v>
      </c>
      <c r="G2465">
        <v>0</v>
      </c>
      <c r="I2465" s="5">
        <v>44044</v>
      </c>
      <c r="J2465" s="5">
        <v>43970.333333333336</v>
      </c>
    </row>
    <row r="2466" spans="1:10" x14ac:dyDescent="0.2">
      <c r="A2466">
        <v>7119704</v>
      </c>
      <c r="B2466">
        <v>3694110</v>
      </c>
      <c r="C2466">
        <v>3692899</v>
      </c>
      <c r="D2466">
        <v>21883</v>
      </c>
      <c r="E2466">
        <v>21883</v>
      </c>
      <c r="F2466" t="s">
        <v>441</v>
      </c>
      <c r="G2466">
        <v>0</v>
      </c>
      <c r="I2466" s="5">
        <v>44044</v>
      </c>
      <c r="J2466" s="5">
        <v>43970.333333333336</v>
      </c>
    </row>
    <row r="2467" spans="1:10" x14ac:dyDescent="0.2">
      <c r="A2467">
        <v>7119705</v>
      </c>
      <c r="B2467">
        <v>3694111</v>
      </c>
      <c r="C2467">
        <v>3694109</v>
      </c>
      <c r="D2467">
        <v>21883</v>
      </c>
      <c r="E2467">
        <v>21883</v>
      </c>
      <c r="F2467" t="s">
        <v>441</v>
      </c>
      <c r="G2467">
        <v>0</v>
      </c>
      <c r="I2467" s="5">
        <v>44044</v>
      </c>
      <c r="J2467" s="5">
        <v>43970.333333333336</v>
      </c>
    </row>
    <row r="2468" spans="1:10" x14ac:dyDescent="0.2">
      <c r="A2468">
        <v>7119706</v>
      </c>
      <c r="B2468">
        <v>3694112</v>
      </c>
      <c r="C2468">
        <v>3694111</v>
      </c>
      <c r="D2468">
        <v>21883</v>
      </c>
      <c r="E2468">
        <v>21883</v>
      </c>
      <c r="F2468" t="s">
        <v>441</v>
      </c>
      <c r="G2468">
        <v>0</v>
      </c>
      <c r="I2468" s="5">
        <v>44044</v>
      </c>
      <c r="J2468" s="5">
        <v>43970.333333333336</v>
      </c>
    </row>
    <row r="2469" spans="1:10" x14ac:dyDescent="0.2">
      <c r="A2469">
        <v>7119707</v>
      </c>
      <c r="B2469">
        <v>3694113</v>
      </c>
      <c r="C2469">
        <v>3694112</v>
      </c>
      <c r="D2469">
        <v>21883</v>
      </c>
      <c r="E2469">
        <v>21883</v>
      </c>
      <c r="F2469" t="s">
        <v>441</v>
      </c>
      <c r="G2469">
        <v>0</v>
      </c>
      <c r="I2469" s="5">
        <v>44044</v>
      </c>
      <c r="J2469" s="5">
        <v>43970.333333333336</v>
      </c>
    </row>
    <row r="2470" spans="1:10" x14ac:dyDescent="0.2">
      <c r="A2470">
        <v>7119708</v>
      </c>
      <c r="B2470">
        <v>3694114</v>
      </c>
      <c r="C2470">
        <v>3694113</v>
      </c>
      <c r="D2470">
        <v>21883</v>
      </c>
      <c r="E2470">
        <v>21883</v>
      </c>
      <c r="F2470" t="s">
        <v>441</v>
      </c>
      <c r="G2470">
        <v>0</v>
      </c>
      <c r="I2470" s="5">
        <v>44044</v>
      </c>
      <c r="J2470" s="5">
        <v>43970.333333333336</v>
      </c>
    </row>
    <row r="2471" spans="1:10" x14ac:dyDescent="0.2">
      <c r="A2471">
        <v>7119709</v>
      </c>
      <c r="B2471">
        <v>3694115</v>
      </c>
      <c r="C2471">
        <v>3694114</v>
      </c>
      <c r="D2471">
        <v>21883</v>
      </c>
      <c r="E2471">
        <v>21883</v>
      </c>
      <c r="F2471" t="s">
        <v>441</v>
      </c>
      <c r="G2471">
        <v>0</v>
      </c>
      <c r="I2471" s="5">
        <v>44044</v>
      </c>
      <c r="J2471" s="5">
        <v>43970.333333333336</v>
      </c>
    </row>
    <row r="2472" spans="1:10" x14ac:dyDescent="0.2">
      <c r="A2472">
        <v>7119710</v>
      </c>
      <c r="B2472">
        <v>3694116</v>
      </c>
      <c r="C2472">
        <v>3694115</v>
      </c>
      <c r="D2472">
        <v>21883</v>
      </c>
      <c r="E2472">
        <v>21883</v>
      </c>
      <c r="F2472" t="s">
        <v>441</v>
      </c>
      <c r="G2472">
        <v>0</v>
      </c>
      <c r="I2472" s="5">
        <v>44044</v>
      </c>
      <c r="J2472" s="5">
        <v>43970.333333333336</v>
      </c>
    </row>
    <row r="2473" spans="1:10" x14ac:dyDescent="0.2">
      <c r="A2473">
        <v>7119711</v>
      </c>
      <c r="B2473">
        <v>3694120</v>
      </c>
      <c r="C2473">
        <v>3694119</v>
      </c>
      <c r="D2473">
        <v>21883</v>
      </c>
      <c r="E2473">
        <v>21883</v>
      </c>
      <c r="F2473" t="s">
        <v>441</v>
      </c>
      <c r="G2473">
        <v>0</v>
      </c>
      <c r="I2473" s="5">
        <v>44044</v>
      </c>
      <c r="J2473" s="5">
        <v>43970.333333333336</v>
      </c>
    </row>
    <row r="2474" spans="1:10" x14ac:dyDescent="0.2">
      <c r="A2474">
        <v>7119712</v>
      </c>
      <c r="B2474">
        <v>3694118</v>
      </c>
      <c r="C2474">
        <v>3694117</v>
      </c>
      <c r="D2474">
        <v>21883</v>
      </c>
      <c r="E2474">
        <v>21883</v>
      </c>
      <c r="F2474" t="s">
        <v>441</v>
      </c>
      <c r="G2474">
        <v>0</v>
      </c>
      <c r="I2474" s="5">
        <v>44044</v>
      </c>
      <c r="J2474" s="5">
        <v>43970.333333333336</v>
      </c>
    </row>
    <row r="2475" spans="1:10" x14ac:dyDescent="0.2">
      <c r="A2475">
        <v>7119713</v>
      </c>
      <c r="B2475">
        <v>3694119</v>
      </c>
      <c r="C2475">
        <v>3694117</v>
      </c>
      <c r="D2475">
        <v>21883</v>
      </c>
      <c r="E2475">
        <v>21883</v>
      </c>
      <c r="F2475" t="s">
        <v>441</v>
      </c>
      <c r="G2475">
        <v>0</v>
      </c>
      <c r="I2475" s="5">
        <v>44044</v>
      </c>
      <c r="J2475" s="5">
        <v>43970.333333333336</v>
      </c>
    </row>
    <row r="2476" spans="1:10" x14ac:dyDescent="0.2">
      <c r="A2476">
        <v>7119714</v>
      </c>
      <c r="B2476">
        <v>3694117</v>
      </c>
      <c r="C2476">
        <v>3694116</v>
      </c>
      <c r="D2476">
        <v>21883</v>
      </c>
      <c r="E2476">
        <v>21883</v>
      </c>
      <c r="F2476" t="s">
        <v>441</v>
      </c>
      <c r="G2476">
        <v>0</v>
      </c>
      <c r="I2476" s="5">
        <v>44044</v>
      </c>
      <c r="J2476" s="5">
        <v>43970.333333333336</v>
      </c>
    </row>
    <row r="2477" spans="1:10" x14ac:dyDescent="0.2">
      <c r="A2477">
        <v>7119715</v>
      </c>
      <c r="B2477">
        <v>3694120</v>
      </c>
      <c r="C2477">
        <v>3694118</v>
      </c>
      <c r="D2477">
        <v>21883</v>
      </c>
      <c r="E2477">
        <v>21883</v>
      </c>
      <c r="F2477" t="s">
        <v>441</v>
      </c>
      <c r="G2477">
        <v>0</v>
      </c>
      <c r="I2477" s="5">
        <v>44044</v>
      </c>
      <c r="J2477" s="5">
        <v>43970.333333333336</v>
      </c>
    </row>
    <row r="2478" spans="1:10" x14ac:dyDescent="0.2">
      <c r="A2478">
        <v>7119716</v>
      </c>
      <c r="B2478">
        <v>3694121</v>
      </c>
      <c r="C2478">
        <v>3694120</v>
      </c>
      <c r="D2478">
        <v>21883</v>
      </c>
      <c r="E2478">
        <v>21883</v>
      </c>
      <c r="F2478" t="s">
        <v>441</v>
      </c>
      <c r="G2478">
        <v>0</v>
      </c>
      <c r="I2478" s="5">
        <v>44044</v>
      </c>
      <c r="J2478" s="5">
        <v>43970.333333333336</v>
      </c>
    </row>
    <row r="2479" spans="1:10" x14ac:dyDescent="0.2">
      <c r="A2479">
        <v>7119717</v>
      </c>
      <c r="B2479">
        <v>3694122</v>
      </c>
      <c r="C2479">
        <v>3694121</v>
      </c>
      <c r="D2479">
        <v>21883</v>
      </c>
      <c r="E2479">
        <v>21883</v>
      </c>
      <c r="F2479" t="s">
        <v>441</v>
      </c>
      <c r="G2479">
        <v>0</v>
      </c>
      <c r="I2479" s="5">
        <v>44044</v>
      </c>
      <c r="J2479" s="5">
        <v>43970.333333333336</v>
      </c>
    </row>
    <row r="2480" spans="1:10" x14ac:dyDescent="0.2">
      <c r="A2480">
        <v>7119718</v>
      </c>
      <c r="B2480">
        <v>3692798</v>
      </c>
      <c r="C2480">
        <v>3693409</v>
      </c>
      <c r="D2480">
        <v>21883</v>
      </c>
      <c r="E2480">
        <v>21883</v>
      </c>
      <c r="F2480" t="s">
        <v>441</v>
      </c>
      <c r="G2480">
        <v>0</v>
      </c>
      <c r="I2480" s="5">
        <v>44044</v>
      </c>
      <c r="J2480" s="5">
        <v>43970.333333333336</v>
      </c>
    </row>
    <row r="2481" spans="1:10" x14ac:dyDescent="0.2">
      <c r="A2481">
        <v>7119719</v>
      </c>
      <c r="B2481">
        <v>3692797</v>
      </c>
      <c r="C2481">
        <v>3693416</v>
      </c>
      <c r="D2481">
        <v>21883</v>
      </c>
      <c r="E2481">
        <v>21883</v>
      </c>
      <c r="F2481" t="s">
        <v>441</v>
      </c>
      <c r="G2481">
        <v>0</v>
      </c>
      <c r="I2481" s="5">
        <v>44044</v>
      </c>
      <c r="J2481" s="5">
        <v>43970.333333333336</v>
      </c>
    </row>
    <row r="2482" spans="1:10" x14ac:dyDescent="0.2">
      <c r="A2482">
        <v>7119720</v>
      </c>
      <c r="B2482">
        <v>3693420</v>
      </c>
      <c r="C2482">
        <v>3692797</v>
      </c>
      <c r="D2482">
        <v>21883</v>
      </c>
      <c r="E2482">
        <v>21883</v>
      </c>
      <c r="F2482" t="s">
        <v>440</v>
      </c>
      <c r="G2482">
        <v>0</v>
      </c>
      <c r="I2482" s="5">
        <v>44044</v>
      </c>
      <c r="J2482" s="5">
        <v>43970.333333333336</v>
      </c>
    </row>
    <row r="2483" spans="1:10" x14ac:dyDescent="0.2">
      <c r="A2483">
        <v>7119721</v>
      </c>
      <c r="B2483">
        <v>3692950</v>
      </c>
      <c r="C2483">
        <v>3692949</v>
      </c>
      <c r="D2483">
        <v>21883</v>
      </c>
      <c r="E2483">
        <v>21883</v>
      </c>
      <c r="F2483" t="s">
        <v>441</v>
      </c>
      <c r="G2483">
        <v>0</v>
      </c>
      <c r="I2483" s="5">
        <v>44044</v>
      </c>
      <c r="J2483" s="5">
        <v>43970.333333333336</v>
      </c>
    </row>
    <row r="2484" spans="1:10" x14ac:dyDescent="0.2">
      <c r="A2484">
        <v>7119722</v>
      </c>
      <c r="B2484">
        <v>3692956</v>
      </c>
      <c r="C2484">
        <v>3692955</v>
      </c>
      <c r="D2484">
        <v>21883</v>
      </c>
      <c r="E2484">
        <v>21883</v>
      </c>
      <c r="F2484" t="s">
        <v>441</v>
      </c>
      <c r="G2484">
        <v>0</v>
      </c>
      <c r="I2484" s="5">
        <v>44044</v>
      </c>
      <c r="J2484" s="5">
        <v>43970.333333333336</v>
      </c>
    </row>
    <row r="2485" spans="1:10" x14ac:dyDescent="0.2">
      <c r="A2485">
        <v>7119723</v>
      </c>
      <c r="B2485">
        <v>3692796</v>
      </c>
      <c r="C2485">
        <v>3693423</v>
      </c>
      <c r="D2485">
        <v>21883</v>
      </c>
      <c r="E2485">
        <v>21883</v>
      </c>
      <c r="F2485" t="s">
        <v>441</v>
      </c>
      <c r="G2485">
        <v>0</v>
      </c>
      <c r="I2485" s="5">
        <v>44044</v>
      </c>
      <c r="J2485" s="5">
        <v>43970.333333333336</v>
      </c>
    </row>
    <row r="2486" spans="1:10" x14ac:dyDescent="0.2">
      <c r="A2486">
        <v>7119724</v>
      </c>
      <c r="B2486">
        <v>3693427</v>
      </c>
      <c r="C2486">
        <v>3692796</v>
      </c>
      <c r="D2486">
        <v>21883</v>
      </c>
      <c r="E2486">
        <v>21883</v>
      </c>
      <c r="F2486" t="s">
        <v>440</v>
      </c>
      <c r="G2486">
        <v>0</v>
      </c>
      <c r="I2486" s="5">
        <v>44044</v>
      </c>
      <c r="J2486" s="5">
        <v>43970.333333333336</v>
      </c>
    </row>
    <row r="2487" spans="1:10" x14ac:dyDescent="0.2">
      <c r="A2487">
        <v>7119725</v>
      </c>
      <c r="B2487">
        <v>3692962</v>
      </c>
      <c r="C2487">
        <v>3692961</v>
      </c>
      <c r="D2487">
        <v>21883</v>
      </c>
      <c r="E2487">
        <v>21883</v>
      </c>
      <c r="F2487" t="s">
        <v>441</v>
      </c>
      <c r="G2487">
        <v>0</v>
      </c>
      <c r="I2487" s="5">
        <v>44044</v>
      </c>
      <c r="J2487" s="5">
        <v>43970.333333333336</v>
      </c>
    </row>
    <row r="2488" spans="1:10" x14ac:dyDescent="0.2">
      <c r="A2488">
        <v>7119726</v>
      </c>
      <c r="B2488">
        <v>3692795</v>
      </c>
      <c r="C2488">
        <v>3693430</v>
      </c>
      <c r="D2488">
        <v>21883</v>
      </c>
      <c r="E2488">
        <v>21883</v>
      </c>
      <c r="F2488" t="s">
        <v>441</v>
      </c>
      <c r="G2488">
        <v>0</v>
      </c>
      <c r="I2488" s="5">
        <v>44044</v>
      </c>
      <c r="J2488" s="5">
        <v>43970.333333333336</v>
      </c>
    </row>
    <row r="2489" spans="1:10" x14ac:dyDescent="0.2">
      <c r="A2489">
        <v>7119727</v>
      </c>
      <c r="B2489">
        <v>3693434</v>
      </c>
      <c r="C2489">
        <v>3692795</v>
      </c>
      <c r="D2489">
        <v>21883</v>
      </c>
      <c r="E2489">
        <v>21883</v>
      </c>
      <c r="F2489" t="s">
        <v>440</v>
      </c>
      <c r="G2489">
        <v>0</v>
      </c>
      <c r="I2489" s="5">
        <v>44044</v>
      </c>
      <c r="J2489" s="5">
        <v>43970.333333333336</v>
      </c>
    </row>
    <row r="2490" spans="1:10" x14ac:dyDescent="0.2">
      <c r="A2490">
        <v>7119728</v>
      </c>
      <c r="B2490">
        <v>3692794</v>
      </c>
      <c r="C2490">
        <v>3693437</v>
      </c>
      <c r="D2490">
        <v>21883</v>
      </c>
      <c r="E2490">
        <v>21883</v>
      </c>
      <c r="F2490" t="s">
        <v>441</v>
      </c>
      <c r="G2490">
        <v>0</v>
      </c>
      <c r="I2490" s="5">
        <v>44044</v>
      </c>
      <c r="J2490" s="5">
        <v>43970.333333333336</v>
      </c>
    </row>
    <row r="2491" spans="1:10" x14ac:dyDescent="0.2">
      <c r="A2491">
        <v>7119729</v>
      </c>
      <c r="B2491">
        <v>3692793</v>
      </c>
      <c r="C2491">
        <v>3693446</v>
      </c>
      <c r="D2491">
        <v>21883</v>
      </c>
      <c r="E2491">
        <v>21883</v>
      </c>
      <c r="F2491" t="s">
        <v>441</v>
      </c>
      <c r="G2491">
        <v>0</v>
      </c>
      <c r="I2491" s="5">
        <v>44044</v>
      </c>
      <c r="J2491" s="5">
        <v>43970.333333333336</v>
      </c>
    </row>
    <row r="2492" spans="1:10" x14ac:dyDescent="0.2">
      <c r="A2492">
        <v>7119730</v>
      </c>
      <c r="B2492">
        <v>3692974</v>
      </c>
      <c r="C2492">
        <v>3692973</v>
      </c>
      <c r="D2492">
        <v>21883</v>
      </c>
      <c r="E2492">
        <v>21883</v>
      </c>
      <c r="F2492" t="s">
        <v>441</v>
      </c>
      <c r="G2492">
        <v>0</v>
      </c>
      <c r="I2492" s="5">
        <v>44044</v>
      </c>
      <c r="J2492" s="5">
        <v>43970.333333333336</v>
      </c>
    </row>
    <row r="2493" spans="1:10" x14ac:dyDescent="0.2">
      <c r="A2493">
        <v>7119731</v>
      </c>
      <c r="B2493">
        <v>3694078</v>
      </c>
      <c r="C2493">
        <v>3693314</v>
      </c>
      <c r="D2493">
        <v>21883</v>
      </c>
      <c r="E2493">
        <v>21883</v>
      </c>
      <c r="F2493" t="s">
        <v>441</v>
      </c>
      <c r="G2493">
        <v>0</v>
      </c>
      <c r="I2493" s="5">
        <v>44044</v>
      </c>
      <c r="J2493" s="5">
        <v>44110.333333333336</v>
      </c>
    </row>
    <row r="2494" spans="1:10" x14ac:dyDescent="0.2">
      <c r="A2494">
        <v>7119732</v>
      </c>
      <c r="B2494">
        <v>3694077</v>
      </c>
      <c r="C2494">
        <v>3693314</v>
      </c>
      <c r="D2494">
        <v>21883</v>
      </c>
      <c r="E2494">
        <v>21883</v>
      </c>
      <c r="F2494" t="s">
        <v>441</v>
      </c>
      <c r="G2494">
        <v>0</v>
      </c>
      <c r="I2494" s="5">
        <v>44044</v>
      </c>
      <c r="J2494" s="5">
        <v>44082.333333333336</v>
      </c>
    </row>
    <row r="2495" spans="1:10" x14ac:dyDescent="0.2">
      <c r="A2495">
        <v>7119733</v>
      </c>
      <c r="B2495">
        <v>3694081</v>
      </c>
      <c r="C2495">
        <v>3693314</v>
      </c>
      <c r="D2495">
        <v>21883</v>
      </c>
      <c r="E2495">
        <v>21883</v>
      </c>
      <c r="F2495" t="s">
        <v>441</v>
      </c>
      <c r="G2495">
        <v>0</v>
      </c>
      <c r="I2495" s="5">
        <v>44044</v>
      </c>
      <c r="J2495" s="5">
        <v>44113.333333333336</v>
      </c>
    </row>
    <row r="2496" spans="1:10" x14ac:dyDescent="0.2">
      <c r="A2496">
        <v>7119734</v>
      </c>
      <c r="B2496">
        <v>3694080</v>
      </c>
      <c r="C2496">
        <v>3693314</v>
      </c>
      <c r="D2496">
        <v>21883</v>
      </c>
      <c r="E2496">
        <v>21883</v>
      </c>
      <c r="F2496" t="s">
        <v>441</v>
      </c>
      <c r="G2496">
        <v>0</v>
      </c>
      <c r="I2496" s="5">
        <v>44044</v>
      </c>
      <c r="J2496" s="5">
        <v>44099.333333333336</v>
      </c>
    </row>
    <row r="2497" spans="1:10" x14ac:dyDescent="0.2">
      <c r="A2497">
        <v>7119735</v>
      </c>
      <c r="B2497">
        <v>3692875</v>
      </c>
      <c r="C2497">
        <v>3692899</v>
      </c>
      <c r="D2497">
        <v>21883</v>
      </c>
      <c r="E2497">
        <v>21883</v>
      </c>
      <c r="F2497" t="s">
        <v>441</v>
      </c>
      <c r="G2497">
        <v>0</v>
      </c>
      <c r="I2497" s="5">
        <v>44044</v>
      </c>
      <c r="J2497" s="5">
        <v>43970.333333333336</v>
      </c>
    </row>
    <row r="2498" spans="1:10" x14ac:dyDescent="0.2">
      <c r="A2498">
        <v>7119736</v>
      </c>
      <c r="B2498">
        <v>3693203</v>
      </c>
      <c r="C2498">
        <v>3694111</v>
      </c>
      <c r="D2498">
        <v>21883</v>
      </c>
      <c r="E2498">
        <v>21883</v>
      </c>
      <c r="F2498" t="s">
        <v>441</v>
      </c>
      <c r="G2498">
        <v>0</v>
      </c>
      <c r="I2498" s="5">
        <v>44044</v>
      </c>
      <c r="J2498" s="5">
        <v>43986.333333333336</v>
      </c>
    </row>
    <row r="2499" spans="1:10" x14ac:dyDescent="0.2">
      <c r="A2499">
        <v>7119737</v>
      </c>
      <c r="B2499">
        <v>3693001</v>
      </c>
      <c r="C2499">
        <v>3694121</v>
      </c>
      <c r="D2499">
        <v>21883</v>
      </c>
      <c r="E2499">
        <v>21883</v>
      </c>
      <c r="F2499" t="s">
        <v>441</v>
      </c>
      <c r="G2499">
        <v>0</v>
      </c>
      <c r="I2499" s="5">
        <v>44044</v>
      </c>
      <c r="J2499" s="5">
        <v>43970.333333333336</v>
      </c>
    </row>
    <row r="2500" spans="1:10" x14ac:dyDescent="0.2">
      <c r="A2500">
        <v>7119738</v>
      </c>
      <c r="B2500">
        <v>3694079</v>
      </c>
      <c r="C2500">
        <v>3693180</v>
      </c>
      <c r="D2500">
        <v>21883</v>
      </c>
      <c r="E2500">
        <v>21883</v>
      </c>
      <c r="F2500" t="s">
        <v>442</v>
      </c>
      <c r="G2500">
        <v>0</v>
      </c>
      <c r="I2500" s="5">
        <v>44044</v>
      </c>
      <c r="J2500" s="5">
        <v>44099.333333333336</v>
      </c>
    </row>
    <row r="2501" spans="1:10" x14ac:dyDescent="0.2">
      <c r="A2501">
        <v>7119739</v>
      </c>
      <c r="B2501">
        <v>3692991</v>
      </c>
      <c r="C2501">
        <v>3693412</v>
      </c>
      <c r="D2501">
        <v>21883</v>
      </c>
      <c r="E2501">
        <v>21883</v>
      </c>
      <c r="F2501" t="s">
        <v>441</v>
      </c>
      <c r="G2501">
        <v>0</v>
      </c>
      <c r="I2501" s="5">
        <v>44044</v>
      </c>
      <c r="J2501" s="5">
        <v>43970.333333333336</v>
      </c>
    </row>
    <row r="2502" spans="1:10" x14ac:dyDescent="0.2">
      <c r="A2502">
        <v>7119740</v>
      </c>
      <c r="B2502">
        <v>3692991</v>
      </c>
      <c r="C2502">
        <v>3693440</v>
      </c>
      <c r="D2502">
        <v>21883</v>
      </c>
      <c r="E2502">
        <v>21883</v>
      </c>
      <c r="F2502" t="s">
        <v>441</v>
      </c>
      <c r="G2502">
        <v>0</v>
      </c>
      <c r="I2502" s="5">
        <v>44044</v>
      </c>
      <c r="J2502" s="5">
        <v>43970.333333333336</v>
      </c>
    </row>
    <row r="2503" spans="1:10" x14ac:dyDescent="0.2">
      <c r="A2503">
        <v>7119741</v>
      </c>
      <c r="B2503">
        <v>3692991</v>
      </c>
      <c r="C2503">
        <v>3693442</v>
      </c>
      <c r="D2503">
        <v>21883</v>
      </c>
      <c r="E2503">
        <v>21883</v>
      </c>
      <c r="F2503" t="s">
        <v>441</v>
      </c>
      <c r="G2503">
        <v>0</v>
      </c>
      <c r="I2503" s="5">
        <v>44044</v>
      </c>
      <c r="J2503" s="5">
        <v>43970.333333333336</v>
      </c>
    </row>
    <row r="2504" spans="1:10" x14ac:dyDescent="0.2">
      <c r="A2504">
        <v>7119742</v>
      </c>
      <c r="B2504">
        <v>3692991</v>
      </c>
      <c r="C2504">
        <v>3693449</v>
      </c>
      <c r="D2504">
        <v>21883</v>
      </c>
      <c r="E2504">
        <v>21883</v>
      </c>
      <c r="F2504" t="s">
        <v>441</v>
      </c>
      <c r="G2504">
        <v>0</v>
      </c>
      <c r="I2504" s="5">
        <v>44044</v>
      </c>
      <c r="J2504" s="5">
        <v>43970.333333333336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FA01D-9156-4F01-8597-4A3900A659A5}">
  <sheetPr codeName="Sheet18"/>
  <dimension ref="A1:AV10"/>
  <sheetViews>
    <sheetView workbookViewId="0"/>
  </sheetViews>
  <sheetFormatPr defaultRowHeight="14.25" x14ac:dyDescent="0.2"/>
  <sheetData>
    <row r="1" spans="1:48" x14ac:dyDescent="0.2">
      <c r="A1" t="s">
        <v>443</v>
      </c>
    </row>
    <row r="2" spans="1:48" x14ac:dyDescent="0.2">
      <c r="A2" t="s">
        <v>444</v>
      </c>
      <c r="B2" t="s">
        <v>141</v>
      </c>
      <c r="C2" t="s">
        <v>20</v>
      </c>
      <c r="D2" t="s">
        <v>445</v>
      </c>
      <c r="E2" t="s">
        <v>293</v>
      </c>
      <c r="F2" t="s">
        <v>139</v>
      </c>
      <c r="G2" t="s">
        <v>291</v>
      </c>
      <c r="H2" t="s">
        <v>140</v>
      </c>
      <c r="I2" t="s">
        <v>446</v>
      </c>
      <c r="J2" t="s">
        <v>447</v>
      </c>
      <c r="K2" t="s">
        <v>146</v>
      </c>
      <c r="L2" t="s">
        <v>448</v>
      </c>
      <c r="M2" t="s">
        <v>449</v>
      </c>
      <c r="N2" t="s">
        <v>450</v>
      </c>
      <c r="O2" t="s">
        <v>451</v>
      </c>
      <c r="P2" t="s">
        <v>452</v>
      </c>
      <c r="Q2" t="s">
        <v>453</v>
      </c>
      <c r="R2" t="s">
        <v>306</v>
      </c>
      <c r="S2" t="s">
        <v>142</v>
      </c>
      <c r="T2" t="s">
        <v>144</v>
      </c>
      <c r="U2" t="s">
        <v>454</v>
      </c>
      <c r="V2" t="s">
        <v>455</v>
      </c>
      <c r="W2" t="s">
        <v>143</v>
      </c>
      <c r="X2" t="s">
        <v>383</v>
      </c>
      <c r="Y2" t="s">
        <v>384</v>
      </c>
      <c r="Z2" t="s">
        <v>390</v>
      </c>
      <c r="AA2" t="s">
        <v>391</v>
      </c>
      <c r="AB2" t="s">
        <v>392</v>
      </c>
      <c r="AC2" t="s">
        <v>393</v>
      </c>
      <c r="AD2" t="s">
        <v>394</v>
      </c>
      <c r="AE2" t="s">
        <v>395</v>
      </c>
      <c r="AF2" t="s">
        <v>456</v>
      </c>
      <c r="AG2" t="s">
        <v>457</v>
      </c>
      <c r="AH2" t="s">
        <v>458</v>
      </c>
      <c r="AI2" t="s">
        <v>459</v>
      </c>
      <c r="AJ2" t="s">
        <v>460</v>
      </c>
      <c r="AK2" t="s">
        <v>136</v>
      </c>
      <c r="AL2" t="s">
        <v>461</v>
      </c>
      <c r="AM2" t="s">
        <v>462</v>
      </c>
      <c r="AN2" t="s">
        <v>463</v>
      </c>
      <c r="AO2" t="s">
        <v>325</v>
      </c>
      <c r="AP2" t="s">
        <v>311</v>
      </c>
      <c r="AQ2" t="s">
        <v>464</v>
      </c>
      <c r="AR2" t="s">
        <v>415</v>
      </c>
      <c r="AS2" t="s">
        <v>413</v>
      </c>
      <c r="AT2" t="s">
        <v>147</v>
      </c>
      <c r="AU2" t="s">
        <v>465</v>
      </c>
      <c r="AV2" t="s">
        <v>466</v>
      </c>
    </row>
    <row r="3" spans="1:48" x14ac:dyDescent="0.2">
      <c r="A3">
        <v>1932718</v>
      </c>
      <c r="B3">
        <v>3692623</v>
      </c>
      <c r="C3">
        <v>21883</v>
      </c>
      <c r="D3" t="s">
        <v>40</v>
      </c>
      <c r="G3">
        <v>14761</v>
      </c>
      <c r="J3">
        <v>12</v>
      </c>
      <c r="K3">
        <v>12</v>
      </c>
      <c r="L3">
        <v>0.1875</v>
      </c>
      <c r="M3">
        <v>0</v>
      </c>
      <c r="N3">
        <v>0.1875</v>
      </c>
      <c r="O3">
        <v>0</v>
      </c>
      <c r="P3">
        <v>0</v>
      </c>
      <c r="Q3">
        <v>0</v>
      </c>
      <c r="S3">
        <v>0</v>
      </c>
      <c r="T3">
        <v>0</v>
      </c>
      <c r="U3">
        <v>0</v>
      </c>
      <c r="V3">
        <v>0</v>
      </c>
      <c r="W3">
        <v>0</v>
      </c>
      <c r="Z3" s="5">
        <v>44078.333333333336</v>
      </c>
      <c r="AA3" s="5">
        <v>44092.666666666664</v>
      </c>
      <c r="AB3" s="5">
        <v>44078.333333333336</v>
      </c>
      <c r="AC3" s="5">
        <v>44092.666666666664</v>
      </c>
      <c r="AD3" s="5">
        <v>44050.333333333336</v>
      </c>
      <c r="AE3" s="5">
        <v>44069.666666666664</v>
      </c>
      <c r="AF3" t="s">
        <v>40</v>
      </c>
      <c r="AJ3" t="s">
        <v>37</v>
      </c>
      <c r="AK3" t="s">
        <v>6734</v>
      </c>
      <c r="AL3" t="s">
        <v>229</v>
      </c>
      <c r="AM3">
        <v>0</v>
      </c>
      <c r="AN3">
        <v>0</v>
      </c>
      <c r="AP3" t="s">
        <v>324</v>
      </c>
      <c r="AQ3" t="s">
        <v>467</v>
      </c>
      <c r="AR3" t="s">
        <v>778</v>
      </c>
      <c r="AS3" s="5">
        <v>44048.176388888889</v>
      </c>
    </row>
    <row r="4" spans="1:48" x14ac:dyDescent="0.2">
      <c r="A4">
        <v>1932719</v>
      </c>
      <c r="B4">
        <v>3692664</v>
      </c>
      <c r="C4">
        <v>21883</v>
      </c>
      <c r="D4" t="s">
        <v>40</v>
      </c>
      <c r="G4">
        <v>14761</v>
      </c>
      <c r="J4">
        <v>13</v>
      </c>
      <c r="K4">
        <v>13</v>
      </c>
      <c r="L4">
        <v>0.1015625</v>
      </c>
      <c r="M4">
        <v>0</v>
      </c>
      <c r="N4">
        <v>0.1015625</v>
      </c>
      <c r="O4">
        <v>0</v>
      </c>
      <c r="P4">
        <v>0</v>
      </c>
      <c r="Q4">
        <v>0</v>
      </c>
      <c r="S4">
        <v>0</v>
      </c>
      <c r="T4">
        <v>0</v>
      </c>
      <c r="U4">
        <v>0</v>
      </c>
      <c r="V4">
        <v>0</v>
      </c>
      <c r="W4">
        <v>0</v>
      </c>
      <c r="Z4" s="5">
        <v>44179.333333333336</v>
      </c>
      <c r="AA4" s="5">
        <v>44225.666666666664</v>
      </c>
      <c r="AB4" s="5">
        <v>44179.333333333336</v>
      </c>
      <c r="AC4" s="5">
        <v>44225.666666666664</v>
      </c>
      <c r="AD4" s="5">
        <v>44116.333333333336</v>
      </c>
      <c r="AE4" s="5">
        <v>44148.666666666664</v>
      </c>
      <c r="AF4" t="s">
        <v>40</v>
      </c>
      <c r="AJ4" t="s">
        <v>37</v>
      </c>
      <c r="AK4" t="s">
        <v>6735</v>
      </c>
      <c r="AL4" t="s">
        <v>229</v>
      </c>
      <c r="AM4">
        <v>0</v>
      </c>
      <c r="AN4">
        <v>0</v>
      </c>
      <c r="AP4" t="s">
        <v>324</v>
      </c>
      <c r="AQ4" t="s">
        <v>467</v>
      </c>
      <c r="AR4" t="s">
        <v>778</v>
      </c>
      <c r="AS4" s="5">
        <v>44048.176388888889</v>
      </c>
    </row>
    <row r="5" spans="1:48" x14ac:dyDescent="0.2">
      <c r="A5">
        <v>1932720</v>
      </c>
      <c r="B5">
        <v>3693718</v>
      </c>
      <c r="C5">
        <v>21883</v>
      </c>
      <c r="D5" t="s">
        <v>40</v>
      </c>
      <c r="G5">
        <v>14761</v>
      </c>
      <c r="J5">
        <v>14</v>
      </c>
      <c r="K5">
        <v>14</v>
      </c>
      <c r="L5">
        <v>0.17499999999999999</v>
      </c>
      <c r="M5">
        <v>0</v>
      </c>
      <c r="N5">
        <v>0.17499999999999999</v>
      </c>
      <c r="O5">
        <v>0</v>
      </c>
      <c r="P5">
        <v>0</v>
      </c>
      <c r="Q5">
        <v>0</v>
      </c>
      <c r="S5">
        <v>0</v>
      </c>
      <c r="T5">
        <v>0</v>
      </c>
      <c r="U5">
        <v>0</v>
      </c>
      <c r="V5">
        <v>0</v>
      </c>
      <c r="W5">
        <v>0</v>
      </c>
      <c r="Z5" s="5">
        <v>44074.333333333336</v>
      </c>
      <c r="AA5" s="5">
        <v>44089.666666666664</v>
      </c>
      <c r="AB5" s="5">
        <v>44074.333333333336</v>
      </c>
      <c r="AC5" s="5">
        <v>44089.666666666664</v>
      </c>
      <c r="AD5" s="5">
        <v>44078.333333333336</v>
      </c>
      <c r="AE5" s="5">
        <v>44098.666666666664</v>
      </c>
      <c r="AF5" t="s">
        <v>40</v>
      </c>
      <c r="AJ5" t="s">
        <v>37</v>
      </c>
      <c r="AK5" t="s">
        <v>6736</v>
      </c>
      <c r="AL5" t="s">
        <v>229</v>
      </c>
      <c r="AM5">
        <v>0</v>
      </c>
      <c r="AN5">
        <v>0</v>
      </c>
      <c r="AP5" t="s">
        <v>324</v>
      </c>
      <c r="AQ5" t="s">
        <v>467</v>
      </c>
      <c r="AR5" t="s">
        <v>778</v>
      </c>
      <c r="AS5" s="5">
        <v>44048.176388888889</v>
      </c>
    </row>
    <row r="6" spans="1:48" x14ac:dyDescent="0.2">
      <c r="A6">
        <v>1932721</v>
      </c>
      <c r="B6">
        <v>3693742</v>
      </c>
      <c r="C6">
        <v>21883</v>
      </c>
      <c r="D6" t="s">
        <v>40</v>
      </c>
      <c r="G6">
        <v>14761</v>
      </c>
      <c r="J6">
        <v>16</v>
      </c>
      <c r="K6">
        <v>16</v>
      </c>
      <c r="L6">
        <v>0.14285713999999999</v>
      </c>
      <c r="M6">
        <v>0</v>
      </c>
      <c r="N6">
        <v>0.14285713999999999</v>
      </c>
      <c r="O6">
        <v>0</v>
      </c>
      <c r="P6">
        <v>0</v>
      </c>
      <c r="Q6">
        <v>0</v>
      </c>
      <c r="S6">
        <v>0</v>
      </c>
      <c r="T6">
        <v>0</v>
      </c>
      <c r="U6">
        <v>0</v>
      </c>
      <c r="V6">
        <v>0</v>
      </c>
      <c r="W6">
        <v>0</v>
      </c>
      <c r="Z6" s="5">
        <v>44183.333333333336</v>
      </c>
      <c r="AA6" s="5">
        <v>44228.666666666664</v>
      </c>
      <c r="AB6" s="5">
        <v>44183.333333333336</v>
      </c>
      <c r="AC6" s="5">
        <v>44228.666666666664</v>
      </c>
      <c r="AD6" s="5">
        <v>44118.333333333336</v>
      </c>
      <c r="AE6" s="5">
        <v>44148.666666666664</v>
      </c>
      <c r="AF6" t="s">
        <v>40</v>
      </c>
      <c r="AJ6" t="s">
        <v>37</v>
      </c>
      <c r="AK6" t="s">
        <v>6737</v>
      </c>
      <c r="AL6" t="s">
        <v>229</v>
      </c>
      <c r="AM6">
        <v>0</v>
      </c>
      <c r="AN6">
        <v>0</v>
      </c>
      <c r="AP6" t="s">
        <v>324</v>
      </c>
      <c r="AQ6" t="s">
        <v>467</v>
      </c>
      <c r="AR6" t="s">
        <v>778</v>
      </c>
      <c r="AS6" s="5">
        <v>44048.176388888889</v>
      </c>
    </row>
    <row r="7" spans="1:48" x14ac:dyDescent="0.2">
      <c r="A7">
        <v>1932722</v>
      </c>
      <c r="B7">
        <v>3693995</v>
      </c>
      <c r="C7">
        <v>21883</v>
      </c>
      <c r="D7" t="s">
        <v>40</v>
      </c>
      <c r="G7">
        <v>14761</v>
      </c>
      <c r="J7">
        <v>4</v>
      </c>
      <c r="K7">
        <v>4</v>
      </c>
      <c r="L7">
        <v>0.125</v>
      </c>
      <c r="M7">
        <v>0</v>
      </c>
      <c r="N7">
        <v>0.125</v>
      </c>
      <c r="O7">
        <v>0</v>
      </c>
      <c r="P7">
        <v>0</v>
      </c>
      <c r="Q7">
        <v>0</v>
      </c>
      <c r="S7">
        <v>0</v>
      </c>
      <c r="T7">
        <v>0</v>
      </c>
      <c r="U7">
        <v>0</v>
      </c>
      <c r="V7">
        <v>0</v>
      </c>
      <c r="W7">
        <v>0</v>
      </c>
      <c r="Z7" s="5">
        <v>44155.333333333336</v>
      </c>
      <c r="AA7" s="5">
        <v>44160.666666666664</v>
      </c>
      <c r="AB7" s="5">
        <v>44155.333333333336</v>
      </c>
      <c r="AC7" s="5">
        <v>44160.666666666664</v>
      </c>
      <c r="AD7" s="5">
        <v>44088.333333333336</v>
      </c>
      <c r="AE7" s="5">
        <v>44092.666666666664</v>
      </c>
      <c r="AF7" t="s">
        <v>40</v>
      </c>
      <c r="AJ7" t="s">
        <v>37</v>
      </c>
      <c r="AK7" t="s">
        <v>6738</v>
      </c>
      <c r="AL7" t="s">
        <v>229</v>
      </c>
      <c r="AM7">
        <v>0</v>
      </c>
      <c r="AN7">
        <v>0</v>
      </c>
      <c r="AP7" t="s">
        <v>324</v>
      </c>
      <c r="AQ7" t="s">
        <v>467</v>
      </c>
      <c r="AR7" t="s">
        <v>778</v>
      </c>
      <c r="AS7" s="5">
        <v>44048.176388888889</v>
      </c>
    </row>
    <row r="8" spans="1:48" x14ac:dyDescent="0.2">
      <c r="A8">
        <v>1932723</v>
      </c>
      <c r="B8">
        <v>3694029</v>
      </c>
      <c r="C8">
        <v>21883</v>
      </c>
      <c r="D8" t="s">
        <v>40</v>
      </c>
      <c r="G8">
        <v>14761</v>
      </c>
      <c r="J8">
        <v>10</v>
      </c>
      <c r="K8">
        <v>10</v>
      </c>
      <c r="L8">
        <v>0.17857143</v>
      </c>
      <c r="M8">
        <v>0</v>
      </c>
      <c r="N8">
        <v>0.17857143</v>
      </c>
      <c r="O8">
        <v>0</v>
      </c>
      <c r="P8">
        <v>0</v>
      </c>
      <c r="Q8">
        <v>0</v>
      </c>
      <c r="S8">
        <v>0</v>
      </c>
      <c r="T8">
        <v>0</v>
      </c>
      <c r="U8">
        <v>0</v>
      </c>
      <c r="V8">
        <v>0</v>
      </c>
      <c r="W8">
        <v>0</v>
      </c>
      <c r="Z8" s="5">
        <v>44214.333333333336</v>
      </c>
      <c r="AA8" s="5">
        <v>44229.666666666664</v>
      </c>
      <c r="AB8" s="5">
        <v>44214.333333333336</v>
      </c>
      <c r="AC8" s="5">
        <v>44229.666666666664</v>
      </c>
      <c r="AD8" s="5">
        <v>44132.333333333336</v>
      </c>
      <c r="AE8" s="5">
        <v>44147.666666666664</v>
      </c>
      <c r="AF8" t="s">
        <v>40</v>
      </c>
      <c r="AJ8" t="s">
        <v>37</v>
      </c>
      <c r="AK8" t="s">
        <v>6739</v>
      </c>
      <c r="AL8" t="s">
        <v>229</v>
      </c>
      <c r="AM8">
        <v>0</v>
      </c>
      <c r="AN8">
        <v>0</v>
      </c>
      <c r="AP8" t="s">
        <v>324</v>
      </c>
      <c r="AQ8" t="s">
        <v>467</v>
      </c>
      <c r="AR8" t="s">
        <v>778</v>
      </c>
      <c r="AS8" s="5">
        <v>44048.176388888889</v>
      </c>
    </row>
    <row r="9" spans="1:48" x14ac:dyDescent="0.2">
      <c r="A9">
        <v>1932724</v>
      </c>
      <c r="B9">
        <v>3694041</v>
      </c>
      <c r="C9">
        <v>21883</v>
      </c>
      <c r="D9" t="s">
        <v>40</v>
      </c>
      <c r="G9">
        <v>14761</v>
      </c>
      <c r="J9">
        <v>10</v>
      </c>
      <c r="K9">
        <v>10</v>
      </c>
      <c r="L9">
        <v>0.3125</v>
      </c>
      <c r="M9">
        <v>0</v>
      </c>
      <c r="N9">
        <v>0.3125</v>
      </c>
      <c r="O9">
        <v>0</v>
      </c>
      <c r="P9">
        <v>0</v>
      </c>
      <c r="Q9">
        <v>0</v>
      </c>
      <c r="S9">
        <v>0</v>
      </c>
      <c r="T9">
        <v>0</v>
      </c>
      <c r="U9">
        <v>0</v>
      </c>
      <c r="V9">
        <v>0</v>
      </c>
      <c r="W9">
        <v>0</v>
      </c>
      <c r="Z9" s="5">
        <v>44201.333333333336</v>
      </c>
      <c r="AA9" s="5">
        <v>44208.666666666664</v>
      </c>
      <c r="AB9" s="5">
        <v>44201.333333333336</v>
      </c>
      <c r="AC9" s="5">
        <v>44208.666666666664</v>
      </c>
      <c r="AD9" s="5">
        <v>44124.333333333336</v>
      </c>
      <c r="AE9" s="5">
        <v>44130.666666666664</v>
      </c>
      <c r="AF9" t="s">
        <v>40</v>
      </c>
      <c r="AJ9" t="s">
        <v>37</v>
      </c>
      <c r="AK9" t="s">
        <v>6740</v>
      </c>
      <c r="AL9" t="s">
        <v>229</v>
      </c>
      <c r="AM9">
        <v>0</v>
      </c>
      <c r="AN9">
        <v>0</v>
      </c>
      <c r="AP9" t="s">
        <v>324</v>
      </c>
      <c r="AQ9" t="s">
        <v>467</v>
      </c>
      <c r="AR9" t="s">
        <v>778</v>
      </c>
      <c r="AS9" s="5">
        <v>44048.176388888889</v>
      </c>
    </row>
    <row r="10" spans="1:48" x14ac:dyDescent="0.2">
      <c r="A10">
        <v>1932725</v>
      </c>
      <c r="B10">
        <v>3692664</v>
      </c>
      <c r="C10">
        <v>21883</v>
      </c>
      <c r="D10" t="s">
        <v>40</v>
      </c>
      <c r="G10">
        <v>14761</v>
      </c>
      <c r="J10">
        <v>13</v>
      </c>
      <c r="K10">
        <v>13</v>
      </c>
      <c r="L10">
        <v>0.1015625</v>
      </c>
      <c r="M10">
        <v>0</v>
      </c>
      <c r="N10">
        <v>0.1015625</v>
      </c>
      <c r="O10">
        <v>0</v>
      </c>
      <c r="P10">
        <v>0</v>
      </c>
      <c r="Q10">
        <v>0</v>
      </c>
      <c r="S10">
        <v>0</v>
      </c>
      <c r="T10">
        <v>0</v>
      </c>
      <c r="U10">
        <v>0</v>
      </c>
      <c r="V10">
        <v>0</v>
      </c>
      <c r="W10">
        <v>0</v>
      </c>
      <c r="Z10" s="5">
        <v>44179.333333333336</v>
      </c>
      <c r="AA10" s="5">
        <v>44225.666666666664</v>
      </c>
      <c r="AB10" s="5">
        <v>44179.333333333336</v>
      </c>
      <c r="AC10" s="5">
        <v>44225.666666666664</v>
      </c>
      <c r="AD10" s="5">
        <v>44116.333333333336</v>
      </c>
      <c r="AE10" s="5">
        <v>44148.666666666664</v>
      </c>
      <c r="AF10" t="s">
        <v>40</v>
      </c>
      <c r="AJ10" t="s">
        <v>37</v>
      </c>
      <c r="AK10" t="s">
        <v>6741</v>
      </c>
      <c r="AL10" t="s">
        <v>229</v>
      </c>
      <c r="AM10">
        <v>0</v>
      </c>
      <c r="AN10">
        <v>0</v>
      </c>
      <c r="AP10" t="s">
        <v>324</v>
      </c>
      <c r="AQ10" t="s">
        <v>467</v>
      </c>
      <c r="AR10" t="s">
        <v>778</v>
      </c>
      <c r="AS10" s="5">
        <v>44048.176388888889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E1DD6-B2E4-4DBD-B464-343F3D00021D}">
  <sheetPr codeName="Sheet19"/>
  <dimension ref="A1:H5"/>
  <sheetViews>
    <sheetView workbookViewId="0"/>
  </sheetViews>
  <sheetFormatPr defaultRowHeight="14.25" x14ac:dyDescent="0.2"/>
  <sheetData>
    <row r="1" spans="1:8" x14ac:dyDescent="0.2">
      <c r="A1" t="s">
        <v>468</v>
      </c>
    </row>
    <row r="2" spans="1:8" x14ac:dyDescent="0.2">
      <c r="A2" t="s">
        <v>469</v>
      </c>
      <c r="B2" t="s">
        <v>470</v>
      </c>
      <c r="C2" t="s">
        <v>471</v>
      </c>
      <c r="D2" t="s">
        <v>472</v>
      </c>
      <c r="E2" t="s">
        <v>473</v>
      </c>
      <c r="F2" t="s">
        <v>474</v>
      </c>
      <c r="G2" t="s">
        <v>475</v>
      </c>
      <c r="H2" t="s">
        <v>476</v>
      </c>
    </row>
    <row r="3" spans="1:8" x14ac:dyDescent="0.2">
      <c r="A3">
        <v>129</v>
      </c>
      <c r="B3" t="s">
        <v>363</v>
      </c>
      <c r="C3" t="s">
        <v>6742</v>
      </c>
      <c r="D3" t="s">
        <v>6743</v>
      </c>
      <c r="E3" t="s">
        <v>477</v>
      </c>
      <c r="F3" t="s">
        <v>37</v>
      </c>
    </row>
    <row r="4" spans="1:8" x14ac:dyDescent="0.2">
      <c r="A4">
        <v>979</v>
      </c>
      <c r="B4" t="s">
        <v>363</v>
      </c>
      <c r="C4" t="s">
        <v>6744</v>
      </c>
      <c r="D4" t="s">
        <v>6745</v>
      </c>
      <c r="E4" t="s">
        <v>477</v>
      </c>
      <c r="F4" t="s">
        <v>37</v>
      </c>
    </row>
    <row r="5" spans="1:8" x14ac:dyDescent="0.2">
      <c r="A5">
        <v>2131</v>
      </c>
      <c r="B5" t="s">
        <v>363</v>
      </c>
      <c r="C5" t="s">
        <v>6746</v>
      </c>
      <c r="D5" t="s">
        <v>6747</v>
      </c>
      <c r="E5" t="s">
        <v>477</v>
      </c>
      <c r="F5" t="s">
        <v>37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882D9-30E1-42B0-A52E-A0C6C6AF6171}">
  <sheetPr codeName="Sheet20"/>
  <dimension ref="A1:G2469"/>
  <sheetViews>
    <sheetView workbookViewId="0"/>
  </sheetViews>
  <sheetFormatPr defaultRowHeight="14.25" x14ac:dyDescent="0.2"/>
  <sheetData>
    <row r="1" spans="1:7" x14ac:dyDescent="0.2">
      <c r="A1" t="s">
        <v>478</v>
      </c>
    </row>
    <row r="2" spans="1:7" x14ac:dyDescent="0.2">
      <c r="A2" t="s">
        <v>469</v>
      </c>
      <c r="B2" t="s">
        <v>479</v>
      </c>
      <c r="C2" t="s">
        <v>20</v>
      </c>
      <c r="D2" t="s">
        <v>480</v>
      </c>
      <c r="E2" t="s">
        <v>481</v>
      </c>
      <c r="F2" t="s">
        <v>482</v>
      </c>
      <c r="G2" t="s">
        <v>483</v>
      </c>
    </row>
    <row r="3" spans="1:7" x14ac:dyDescent="0.2">
      <c r="A3">
        <v>129</v>
      </c>
      <c r="B3">
        <v>3692610</v>
      </c>
      <c r="C3">
        <v>21883</v>
      </c>
      <c r="F3">
        <v>1440</v>
      </c>
    </row>
    <row r="4" spans="1:7" x14ac:dyDescent="0.2">
      <c r="A4">
        <v>129</v>
      </c>
      <c r="B4">
        <v>3692611</v>
      </c>
      <c r="C4">
        <v>21883</v>
      </c>
      <c r="F4">
        <v>1441</v>
      </c>
    </row>
    <row r="5" spans="1:7" x14ac:dyDescent="0.2">
      <c r="A5">
        <v>129</v>
      </c>
      <c r="B5">
        <v>3692612</v>
      </c>
      <c r="C5">
        <v>21883</v>
      </c>
      <c r="F5">
        <v>1444</v>
      </c>
    </row>
    <row r="6" spans="1:7" x14ac:dyDescent="0.2">
      <c r="A6">
        <v>129</v>
      </c>
      <c r="B6">
        <v>3692613</v>
      </c>
      <c r="C6">
        <v>21883</v>
      </c>
      <c r="F6">
        <v>1442</v>
      </c>
    </row>
    <row r="7" spans="1:7" x14ac:dyDescent="0.2">
      <c r="A7">
        <v>129</v>
      </c>
      <c r="B7">
        <v>3692614</v>
      </c>
      <c r="C7">
        <v>21883</v>
      </c>
      <c r="F7">
        <v>1438</v>
      </c>
    </row>
    <row r="8" spans="1:7" x14ac:dyDescent="0.2">
      <c r="A8">
        <v>129</v>
      </c>
      <c r="B8">
        <v>3692615</v>
      </c>
      <c r="C8">
        <v>21883</v>
      </c>
      <c r="F8">
        <v>1437</v>
      </c>
    </row>
    <row r="9" spans="1:7" x14ac:dyDescent="0.2">
      <c r="A9">
        <v>129</v>
      </c>
      <c r="B9">
        <v>3692616</v>
      </c>
      <c r="C9">
        <v>21883</v>
      </c>
      <c r="F9">
        <v>1436</v>
      </c>
    </row>
    <row r="10" spans="1:7" x14ac:dyDescent="0.2">
      <c r="A10">
        <v>129</v>
      </c>
      <c r="B10">
        <v>3692617</v>
      </c>
      <c r="C10">
        <v>21883</v>
      </c>
      <c r="F10">
        <v>1435</v>
      </c>
    </row>
    <row r="11" spans="1:7" x14ac:dyDescent="0.2">
      <c r="A11">
        <v>129</v>
      </c>
      <c r="B11">
        <v>3692638</v>
      </c>
      <c r="C11">
        <v>21883</v>
      </c>
      <c r="F11">
        <v>831</v>
      </c>
    </row>
    <row r="12" spans="1:7" x14ac:dyDescent="0.2">
      <c r="A12">
        <v>129</v>
      </c>
      <c r="B12">
        <v>3692639</v>
      </c>
      <c r="C12">
        <v>21883</v>
      </c>
      <c r="F12">
        <v>822</v>
      </c>
    </row>
    <row r="13" spans="1:7" x14ac:dyDescent="0.2">
      <c r="A13">
        <v>129</v>
      </c>
      <c r="B13">
        <v>3692640</v>
      </c>
      <c r="C13">
        <v>21883</v>
      </c>
      <c r="F13">
        <v>830</v>
      </c>
    </row>
    <row r="14" spans="1:7" x14ac:dyDescent="0.2">
      <c r="A14">
        <v>129</v>
      </c>
      <c r="B14">
        <v>3692641</v>
      </c>
      <c r="C14">
        <v>21883</v>
      </c>
      <c r="F14">
        <v>829</v>
      </c>
    </row>
    <row r="15" spans="1:7" x14ac:dyDescent="0.2">
      <c r="A15">
        <v>129</v>
      </c>
      <c r="B15">
        <v>3692642</v>
      </c>
      <c r="C15">
        <v>21883</v>
      </c>
      <c r="F15">
        <v>821</v>
      </c>
    </row>
    <row r="16" spans="1:7" x14ac:dyDescent="0.2">
      <c r="A16">
        <v>129</v>
      </c>
      <c r="B16">
        <v>3692643</v>
      </c>
      <c r="C16">
        <v>21883</v>
      </c>
      <c r="F16">
        <v>828</v>
      </c>
    </row>
    <row r="17" spans="1:6" x14ac:dyDescent="0.2">
      <c r="A17">
        <v>129</v>
      </c>
      <c r="B17">
        <v>3692644</v>
      </c>
      <c r="C17">
        <v>21883</v>
      </c>
      <c r="F17">
        <v>827</v>
      </c>
    </row>
    <row r="18" spans="1:6" x14ac:dyDescent="0.2">
      <c r="A18">
        <v>129</v>
      </c>
      <c r="B18">
        <v>3692645</v>
      </c>
      <c r="C18">
        <v>21883</v>
      </c>
      <c r="F18">
        <v>826</v>
      </c>
    </row>
    <row r="19" spans="1:6" x14ac:dyDescent="0.2">
      <c r="A19">
        <v>129</v>
      </c>
      <c r="B19">
        <v>3692646</v>
      </c>
      <c r="C19">
        <v>21883</v>
      </c>
      <c r="F19">
        <v>825</v>
      </c>
    </row>
    <row r="20" spans="1:6" x14ac:dyDescent="0.2">
      <c r="A20">
        <v>129</v>
      </c>
      <c r="B20">
        <v>3692647</v>
      </c>
      <c r="C20">
        <v>21883</v>
      </c>
      <c r="F20">
        <v>824</v>
      </c>
    </row>
    <row r="21" spans="1:6" x14ac:dyDescent="0.2">
      <c r="A21">
        <v>129</v>
      </c>
      <c r="B21">
        <v>3692648</v>
      </c>
      <c r="C21">
        <v>21883</v>
      </c>
      <c r="F21">
        <v>823</v>
      </c>
    </row>
    <row r="22" spans="1:6" x14ac:dyDescent="0.2">
      <c r="A22">
        <v>129</v>
      </c>
      <c r="B22">
        <v>3692649</v>
      </c>
      <c r="C22">
        <v>21883</v>
      </c>
      <c r="F22">
        <v>130</v>
      </c>
    </row>
    <row r="23" spans="1:6" x14ac:dyDescent="0.2">
      <c r="A23">
        <v>129</v>
      </c>
      <c r="B23">
        <v>3692653</v>
      </c>
      <c r="C23">
        <v>21883</v>
      </c>
      <c r="F23">
        <v>1440</v>
      </c>
    </row>
    <row r="24" spans="1:6" x14ac:dyDescent="0.2">
      <c r="A24">
        <v>129</v>
      </c>
      <c r="B24">
        <v>3692654</v>
      </c>
      <c r="C24">
        <v>21883</v>
      </c>
      <c r="F24">
        <v>1441</v>
      </c>
    </row>
    <row r="25" spans="1:6" x14ac:dyDescent="0.2">
      <c r="A25">
        <v>129</v>
      </c>
      <c r="B25">
        <v>3692655</v>
      </c>
      <c r="C25">
        <v>21883</v>
      </c>
      <c r="F25">
        <v>1444</v>
      </c>
    </row>
    <row r="26" spans="1:6" x14ac:dyDescent="0.2">
      <c r="A26">
        <v>129</v>
      </c>
      <c r="B26">
        <v>3692656</v>
      </c>
      <c r="C26">
        <v>21883</v>
      </c>
      <c r="F26">
        <v>1445</v>
      </c>
    </row>
    <row r="27" spans="1:6" x14ac:dyDescent="0.2">
      <c r="A27">
        <v>129</v>
      </c>
      <c r="B27">
        <v>3692657</v>
      </c>
      <c r="C27">
        <v>21883</v>
      </c>
      <c r="F27">
        <v>1443</v>
      </c>
    </row>
    <row r="28" spans="1:6" x14ac:dyDescent="0.2">
      <c r="A28">
        <v>129</v>
      </c>
      <c r="B28">
        <v>3692658</v>
      </c>
      <c r="C28">
        <v>21883</v>
      </c>
      <c r="F28">
        <v>1442</v>
      </c>
    </row>
    <row r="29" spans="1:6" x14ac:dyDescent="0.2">
      <c r="A29">
        <v>129</v>
      </c>
      <c r="B29">
        <v>3692659</v>
      </c>
      <c r="C29">
        <v>21883</v>
      </c>
      <c r="F29">
        <v>1439</v>
      </c>
    </row>
    <row r="30" spans="1:6" x14ac:dyDescent="0.2">
      <c r="A30">
        <v>129</v>
      </c>
      <c r="B30">
        <v>3692660</v>
      </c>
      <c r="C30">
        <v>21883</v>
      </c>
      <c r="F30">
        <v>1438</v>
      </c>
    </row>
    <row r="31" spans="1:6" x14ac:dyDescent="0.2">
      <c r="A31">
        <v>129</v>
      </c>
      <c r="B31">
        <v>3692661</v>
      </c>
      <c r="C31">
        <v>21883</v>
      </c>
      <c r="F31">
        <v>1437</v>
      </c>
    </row>
    <row r="32" spans="1:6" x14ac:dyDescent="0.2">
      <c r="A32">
        <v>129</v>
      </c>
      <c r="B32">
        <v>3692662</v>
      </c>
      <c r="C32">
        <v>21883</v>
      </c>
      <c r="F32">
        <v>1436</v>
      </c>
    </row>
    <row r="33" spans="1:6" x14ac:dyDescent="0.2">
      <c r="A33">
        <v>129</v>
      </c>
      <c r="B33">
        <v>3692663</v>
      </c>
      <c r="C33">
        <v>21883</v>
      </c>
      <c r="F33">
        <v>1435</v>
      </c>
    </row>
    <row r="34" spans="1:6" x14ac:dyDescent="0.2">
      <c r="A34">
        <v>129</v>
      </c>
      <c r="B34">
        <v>3692664</v>
      </c>
      <c r="C34">
        <v>21883</v>
      </c>
      <c r="F34">
        <v>1434</v>
      </c>
    </row>
    <row r="35" spans="1:6" x14ac:dyDescent="0.2">
      <c r="A35">
        <v>129</v>
      </c>
      <c r="B35">
        <v>3692665</v>
      </c>
      <c r="C35">
        <v>21883</v>
      </c>
      <c r="F35">
        <v>1433</v>
      </c>
    </row>
    <row r="36" spans="1:6" x14ac:dyDescent="0.2">
      <c r="A36">
        <v>129</v>
      </c>
      <c r="B36">
        <v>3692666</v>
      </c>
      <c r="C36">
        <v>21883</v>
      </c>
      <c r="F36">
        <v>1432</v>
      </c>
    </row>
    <row r="37" spans="1:6" x14ac:dyDescent="0.2">
      <c r="A37">
        <v>129</v>
      </c>
      <c r="B37">
        <v>3692667</v>
      </c>
      <c r="C37">
        <v>21883</v>
      </c>
      <c r="F37">
        <v>129</v>
      </c>
    </row>
    <row r="38" spans="1:6" x14ac:dyDescent="0.2">
      <c r="A38">
        <v>129</v>
      </c>
      <c r="B38">
        <v>3692669</v>
      </c>
      <c r="C38">
        <v>21883</v>
      </c>
      <c r="F38">
        <v>705</v>
      </c>
    </row>
    <row r="39" spans="1:6" x14ac:dyDescent="0.2">
      <c r="A39">
        <v>129</v>
      </c>
      <c r="B39">
        <v>3692670</v>
      </c>
      <c r="C39">
        <v>21883</v>
      </c>
      <c r="F39">
        <v>708</v>
      </c>
    </row>
    <row r="40" spans="1:6" x14ac:dyDescent="0.2">
      <c r="A40">
        <v>129</v>
      </c>
      <c r="B40">
        <v>3692671</v>
      </c>
      <c r="C40">
        <v>21883</v>
      </c>
      <c r="F40">
        <v>711</v>
      </c>
    </row>
    <row r="41" spans="1:6" x14ac:dyDescent="0.2">
      <c r="A41">
        <v>129</v>
      </c>
      <c r="B41">
        <v>3692672</v>
      </c>
      <c r="C41">
        <v>21883</v>
      </c>
      <c r="F41">
        <v>710</v>
      </c>
    </row>
    <row r="42" spans="1:6" x14ac:dyDescent="0.2">
      <c r="A42">
        <v>129</v>
      </c>
      <c r="B42">
        <v>3692673</v>
      </c>
      <c r="C42">
        <v>21883</v>
      </c>
      <c r="F42">
        <v>709</v>
      </c>
    </row>
    <row r="43" spans="1:6" x14ac:dyDescent="0.2">
      <c r="A43">
        <v>129</v>
      </c>
      <c r="B43">
        <v>3692674</v>
      </c>
      <c r="C43">
        <v>21883</v>
      </c>
      <c r="F43">
        <v>707</v>
      </c>
    </row>
    <row r="44" spans="1:6" x14ac:dyDescent="0.2">
      <c r="A44">
        <v>129</v>
      </c>
      <c r="B44">
        <v>3692675</v>
      </c>
      <c r="C44">
        <v>21883</v>
      </c>
      <c r="F44">
        <v>697</v>
      </c>
    </row>
    <row r="45" spans="1:6" x14ac:dyDescent="0.2">
      <c r="A45">
        <v>129</v>
      </c>
      <c r="B45">
        <v>3692679</v>
      </c>
      <c r="C45">
        <v>21883</v>
      </c>
      <c r="F45">
        <v>705</v>
      </c>
    </row>
    <row r="46" spans="1:6" x14ac:dyDescent="0.2">
      <c r="A46">
        <v>129</v>
      </c>
      <c r="B46">
        <v>3692680</v>
      </c>
      <c r="C46">
        <v>21883</v>
      </c>
      <c r="F46">
        <v>708</v>
      </c>
    </row>
    <row r="47" spans="1:6" x14ac:dyDescent="0.2">
      <c r="A47">
        <v>129</v>
      </c>
      <c r="B47">
        <v>3692681</v>
      </c>
      <c r="C47">
        <v>21883</v>
      </c>
      <c r="F47">
        <v>711</v>
      </c>
    </row>
    <row r="48" spans="1:6" x14ac:dyDescent="0.2">
      <c r="A48">
        <v>129</v>
      </c>
      <c r="B48">
        <v>3692682</v>
      </c>
      <c r="C48">
        <v>21883</v>
      </c>
      <c r="F48">
        <v>710</v>
      </c>
    </row>
    <row r="49" spans="1:6" x14ac:dyDescent="0.2">
      <c r="A49">
        <v>129</v>
      </c>
      <c r="B49">
        <v>3692683</v>
      </c>
      <c r="C49">
        <v>21883</v>
      </c>
      <c r="F49">
        <v>709</v>
      </c>
    </row>
    <row r="50" spans="1:6" x14ac:dyDescent="0.2">
      <c r="A50">
        <v>129</v>
      </c>
      <c r="B50">
        <v>3692684</v>
      </c>
      <c r="C50">
        <v>21883</v>
      </c>
      <c r="F50">
        <v>707</v>
      </c>
    </row>
    <row r="51" spans="1:6" x14ac:dyDescent="0.2">
      <c r="A51">
        <v>129</v>
      </c>
      <c r="B51">
        <v>3692685</v>
      </c>
      <c r="C51">
        <v>21883</v>
      </c>
      <c r="F51">
        <v>697</v>
      </c>
    </row>
    <row r="52" spans="1:6" x14ac:dyDescent="0.2">
      <c r="A52">
        <v>129</v>
      </c>
      <c r="B52">
        <v>3692695</v>
      </c>
      <c r="C52">
        <v>21883</v>
      </c>
      <c r="F52">
        <v>730</v>
      </c>
    </row>
    <row r="53" spans="1:6" x14ac:dyDescent="0.2">
      <c r="A53">
        <v>129</v>
      </c>
      <c r="B53">
        <v>3692696</v>
      </c>
      <c r="C53">
        <v>21883</v>
      </c>
      <c r="F53">
        <v>720</v>
      </c>
    </row>
    <row r="54" spans="1:6" x14ac:dyDescent="0.2">
      <c r="A54">
        <v>129</v>
      </c>
      <c r="B54">
        <v>3692697</v>
      </c>
      <c r="C54">
        <v>21883</v>
      </c>
      <c r="F54">
        <v>728</v>
      </c>
    </row>
    <row r="55" spans="1:6" x14ac:dyDescent="0.2">
      <c r="A55">
        <v>129</v>
      </c>
      <c r="B55">
        <v>3692698</v>
      </c>
      <c r="C55">
        <v>21883</v>
      </c>
      <c r="F55">
        <v>729</v>
      </c>
    </row>
    <row r="56" spans="1:6" x14ac:dyDescent="0.2">
      <c r="A56">
        <v>129</v>
      </c>
      <c r="B56">
        <v>3692699</v>
      </c>
      <c r="C56">
        <v>21883</v>
      </c>
      <c r="F56">
        <v>727</v>
      </c>
    </row>
    <row r="57" spans="1:6" x14ac:dyDescent="0.2">
      <c r="A57">
        <v>129</v>
      </c>
      <c r="B57">
        <v>3692706</v>
      </c>
      <c r="C57">
        <v>21883</v>
      </c>
      <c r="F57">
        <v>704</v>
      </c>
    </row>
    <row r="58" spans="1:6" x14ac:dyDescent="0.2">
      <c r="A58">
        <v>129</v>
      </c>
      <c r="B58">
        <v>3692707</v>
      </c>
      <c r="C58">
        <v>21883</v>
      </c>
      <c r="F58">
        <v>703</v>
      </c>
    </row>
    <row r="59" spans="1:6" x14ac:dyDescent="0.2">
      <c r="A59">
        <v>129</v>
      </c>
      <c r="B59">
        <v>3692708</v>
      </c>
      <c r="C59">
        <v>21883</v>
      </c>
      <c r="F59">
        <v>701</v>
      </c>
    </row>
    <row r="60" spans="1:6" x14ac:dyDescent="0.2">
      <c r="A60">
        <v>129</v>
      </c>
      <c r="B60">
        <v>3692709</v>
      </c>
      <c r="C60">
        <v>21883</v>
      </c>
      <c r="F60">
        <v>702</v>
      </c>
    </row>
    <row r="61" spans="1:6" x14ac:dyDescent="0.2">
      <c r="A61">
        <v>129</v>
      </c>
      <c r="B61">
        <v>3692710</v>
      </c>
      <c r="C61">
        <v>21883</v>
      </c>
      <c r="F61">
        <v>700</v>
      </c>
    </row>
    <row r="62" spans="1:6" x14ac:dyDescent="0.2">
      <c r="A62">
        <v>129</v>
      </c>
      <c r="B62">
        <v>3692716</v>
      </c>
      <c r="C62">
        <v>21883</v>
      </c>
      <c r="F62">
        <v>352</v>
      </c>
    </row>
    <row r="63" spans="1:6" x14ac:dyDescent="0.2">
      <c r="A63">
        <v>129</v>
      </c>
      <c r="B63">
        <v>3692717</v>
      </c>
      <c r="C63">
        <v>21883</v>
      </c>
      <c r="F63">
        <v>705</v>
      </c>
    </row>
    <row r="64" spans="1:6" x14ac:dyDescent="0.2">
      <c r="A64">
        <v>129</v>
      </c>
      <c r="B64">
        <v>3692718</v>
      </c>
      <c r="C64">
        <v>21883</v>
      </c>
      <c r="F64">
        <v>708</v>
      </c>
    </row>
    <row r="65" spans="1:6" x14ac:dyDescent="0.2">
      <c r="A65">
        <v>129</v>
      </c>
      <c r="B65">
        <v>3692719</v>
      </c>
      <c r="C65">
        <v>21883</v>
      </c>
      <c r="F65">
        <v>711</v>
      </c>
    </row>
    <row r="66" spans="1:6" x14ac:dyDescent="0.2">
      <c r="A66">
        <v>129</v>
      </c>
      <c r="B66">
        <v>3692720</v>
      </c>
      <c r="C66">
        <v>21883</v>
      </c>
      <c r="F66">
        <v>710</v>
      </c>
    </row>
    <row r="67" spans="1:6" x14ac:dyDescent="0.2">
      <c r="A67">
        <v>129</v>
      </c>
      <c r="B67">
        <v>3692721</v>
      </c>
      <c r="C67">
        <v>21883</v>
      </c>
      <c r="F67">
        <v>709</v>
      </c>
    </row>
    <row r="68" spans="1:6" x14ac:dyDescent="0.2">
      <c r="A68">
        <v>129</v>
      </c>
      <c r="B68">
        <v>3692722</v>
      </c>
      <c r="C68">
        <v>21883</v>
      </c>
      <c r="F68">
        <v>707</v>
      </c>
    </row>
    <row r="69" spans="1:6" x14ac:dyDescent="0.2">
      <c r="A69">
        <v>129</v>
      </c>
      <c r="B69">
        <v>3692723</v>
      </c>
      <c r="C69">
        <v>21883</v>
      </c>
      <c r="F69">
        <v>697</v>
      </c>
    </row>
    <row r="70" spans="1:6" x14ac:dyDescent="0.2">
      <c r="A70">
        <v>129</v>
      </c>
      <c r="B70">
        <v>3692726</v>
      </c>
      <c r="C70">
        <v>21883</v>
      </c>
      <c r="F70">
        <v>705</v>
      </c>
    </row>
    <row r="71" spans="1:6" x14ac:dyDescent="0.2">
      <c r="A71">
        <v>129</v>
      </c>
      <c r="B71">
        <v>3692727</v>
      </c>
      <c r="C71">
        <v>21883</v>
      </c>
      <c r="F71">
        <v>708</v>
      </c>
    </row>
    <row r="72" spans="1:6" x14ac:dyDescent="0.2">
      <c r="A72">
        <v>129</v>
      </c>
      <c r="B72">
        <v>3692728</v>
      </c>
      <c r="C72">
        <v>21883</v>
      </c>
      <c r="F72">
        <v>711</v>
      </c>
    </row>
    <row r="73" spans="1:6" x14ac:dyDescent="0.2">
      <c r="A73">
        <v>129</v>
      </c>
      <c r="B73">
        <v>3692729</v>
      </c>
      <c r="C73">
        <v>21883</v>
      </c>
      <c r="F73">
        <v>710</v>
      </c>
    </row>
    <row r="74" spans="1:6" x14ac:dyDescent="0.2">
      <c r="A74">
        <v>129</v>
      </c>
      <c r="B74">
        <v>3692730</v>
      </c>
      <c r="C74">
        <v>21883</v>
      </c>
      <c r="F74">
        <v>709</v>
      </c>
    </row>
    <row r="75" spans="1:6" x14ac:dyDescent="0.2">
      <c r="A75">
        <v>129</v>
      </c>
      <c r="B75">
        <v>3692731</v>
      </c>
      <c r="C75">
        <v>21883</v>
      </c>
      <c r="F75">
        <v>707</v>
      </c>
    </row>
    <row r="76" spans="1:6" x14ac:dyDescent="0.2">
      <c r="A76">
        <v>129</v>
      </c>
      <c r="B76">
        <v>3692732</v>
      </c>
      <c r="C76">
        <v>21883</v>
      </c>
      <c r="F76">
        <v>697</v>
      </c>
    </row>
    <row r="77" spans="1:6" x14ac:dyDescent="0.2">
      <c r="A77">
        <v>129</v>
      </c>
      <c r="B77">
        <v>3692753</v>
      </c>
      <c r="C77">
        <v>21883</v>
      </c>
      <c r="F77">
        <v>352</v>
      </c>
    </row>
    <row r="78" spans="1:6" x14ac:dyDescent="0.2">
      <c r="A78">
        <v>129</v>
      </c>
      <c r="B78">
        <v>3692763</v>
      </c>
      <c r="C78">
        <v>21883</v>
      </c>
      <c r="F78">
        <v>941</v>
      </c>
    </row>
    <row r="79" spans="1:6" x14ac:dyDescent="0.2">
      <c r="A79">
        <v>129</v>
      </c>
      <c r="B79">
        <v>3692764</v>
      </c>
      <c r="C79">
        <v>21883</v>
      </c>
      <c r="F79">
        <v>1060</v>
      </c>
    </row>
    <row r="80" spans="1:6" x14ac:dyDescent="0.2">
      <c r="A80">
        <v>129</v>
      </c>
      <c r="B80">
        <v>3692765</v>
      </c>
      <c r="C80">
        <v>21883</v>
      </c>
      <c r="F80">
        <v>1104</v>
      </c>
    </row>
    <row r="81" spans="1:6" x14ac:dyDescent="0.2">
      <c r="A81">
        <v>129</v>
      </c>
      <c r="B81">
        <v>3692766</v>
      </c>
      <c r="C81">
        <v>21883</v>
      </c>
      <c r="F81">
        <v>831</v>
      </c>
    </row>
    <row r="82" spans="1:6" x14ac:dyDescent="0.2">
      <c r="A82">
        <v>129</v>
      </c>
      <c r="B82">
        <v>3692767</v>
      </c>
      <c r="C82">
        <v>21883</v>
      </c>
      <c r="F82">
        <v>822</v>
      </c>
    </row>
    <row r="83" spans="1:6" x14ac:dyDescent="0.2">
      <c r="A83">
        <v>129</v>
      </c>
      <c r="B83">
        <v>3692768</v>
      </c>
      <c r="C83">
        <v>21883</v>
      </c>
      <c r="F83">
        <v>830</v>
      </c>
    </row>
    <row r="84" spans="1:6" x14ac:dyDescent="0.2">
      <c r="A84">
        <v>129</v>
      </c>
      <c r="B84">
        <v>3692769</v>
      </c>
      <c r="C84">
        <v>21883</v>
      </c>
      <c r="F84">
        <v>829</v>
      </c>
    </row>
    <row r="85" spans="1:6" x14ac:dyDescent="0.2">
      <c r="A85">
        <v>129</v>
      </c>
      <c r="B85">
        <v>3692770</v>
      </c>
      <c r="C85">
        <v>21883</v>
      </c>
      <c r="F85">
        <v>821</v>
      </c>
    </row>
    <row r="86" spans="1:6" x14ac:dyDescent="0.2">
      <c r="A86">
        <v>129</v>
      </c>
      <c r="B86">
        <v>3692771</v>
      </c>
      <c r="C86">
        <v>21883</v>
      </c>
      <c r="F86">
        <v>828</v>
      </c>
    </row>
    <row r="87" spans="1:6" x14ac:dyDescent="0.2">
      <c r="A87">
        <v>129</v>
      </c>
      <c r="B87">
        <v>3692772</v>
      </c>
      <c r="C87">
        <v>21883</v>
      </c>
      <c r="F87">
        <v>827</v>
      </c>
    </row>
    <row r="88" spans="1:6" x14ac:dyDescent="0.2">
      <c r="A88">
        <v>129</v>
      </c>
      <c r="B88">
        <v>3692773</v>
      </c>
      <c r="C88">
        <v>21883</v>
      </c>
      <c r="F88">
        <v>826</v>
      </c>
    </row>
    <row r="89" spans="1:6" x14ac:dyDescent="0.2">
      <c r="A89">
        <v>129</v>
      </c>
      <c r="B89">
        <v>3692774</v>
      </c>
      <c r="C89">
        <v>21883</v>
      </c>
      <c r="F89">
        <v>825</v>
      </c>
    </row>
    <row r="90" spans="1:6" x14ac:dyDescent="0.2">
      <c r="A90">
        <v>129</v>
      </c>
      <c r="B90">
        <v>3692775</v>
      </c>
      <c r="C90">
        <v>21883</v>
      </c>
      <c r="F90">
        <v>824</v>
      </c>
    </row>
    <row r="91" spans="1:6" x14ac:dyDescent="0.2">
      <c r="A91">
        <v>129</v>
      </c>
      <c r="B91">
        <v>3692776</v>
      </c>
      <c r="C91">
        <v>21883</v>
      </c>
      <c r="F91">
        <v>823</v>
      </c>
    </row>
    <row r="92" spans="1:6" x14ac:dyDescent="0.2">
      <c r="A92">
        <v>129</v>
      </c>
      <c r="B92">
        <v>3692777</v>
      </c>
      <c r="C92">
        <v>21883</v>
      </c>
      <c r="F92">
        <v>317</v>
      </c>
    </row>
    <row r="93" spans="1:6" x14ac:dyDescent="0.2">
      <c r="A93">
        <v>129</v>
      </c>
      <c r="B93">
        <v>3692778</v>
      </c>
      <c r="C93">
        <v>21883</v>
      </c>
      <c r="F93">
        <v>46</v>
      </c>
    </row>
    <row r="94" spans="1:6" x14ac:dyDescent="0.2">
      <c r="A94">
        <v>129</v>
      </c>
      <c r="B94">
        <v>3692779</v>
      </c>
      <c r="C94">
        <v>21883</v>
      </c>
      <c r="F94">
        <v>43</v>
      </c>
    </row>
    <row r="95" spans="1:6" x14ac:dyDescent="0.2">
      <c r="A95">
        <v>129</v>
      </c>
      <c r="B95">
        <v>3692780</v>
      </c>
      <c r="C95">
        <v>21883</v>
      </c>
      <c r="F95">
        <v>55</v>
      </c>
    </row>
    <row r="96" spans="1:6" x14ac:dyDescent="0.2">
      <c r="A96">
        <v>129</v>
      </c>
      <c r="B96">
        <v>3692781</v>
      </c>
      <c r="C96">
        <v>21883</v>
      </c>
      <c r="F96">
        <v>1267</v>
      </c>
    </row>
    <row r="97" spans="1:6" x14ac:dyDescent="0.2">
      <c r="A97">
        <v>129</v>
      </c>
      <c r="B97">
        <v>3692782</v>
      </c>
      <c r="C97">
        <v>21883</v>
      </c>
      <c r="F97">
        <v>22</v>
      </c>
    </row>
    <row r="98" spans="1:6" x14ac:dyDescent="0.2">
      <c r="A98">
        <v>129</v>
      </c>
      <c r="B98">
        <v>3692783</v>
      </c>
      <c r="C98">
        <v>21883</v>
      </c>
      <c r="F98">
        <v>948</v>
      </c>
    </row>
    <row r="99" spans="1:6" x14ac:dyDescent="0.2">
      <c r="A99">
        <v>129</v>
      </c>
      <c r="B99">
        <v>3692784</v>
      </c>
      <c r="C99">
        <v>21883</v>
      </c>
      <c r="F99">
        <v>1253</v>
      </c>
    </row>
    <row r="100" spans="1:6" x14ac:dyDescent="0.2">
      <c r="A100">
        <v>129</v>
      </c>
      <c r="B100">
        <v>3692785</v>
      </c>
      <c r="C100">
        <v>21883</v>
      </c>
      <c r="F100">
        <v>61</v>
      </c>
    </row>
    <row r="101" spans="1:6" x14ac:dyDescent="0.2">
      <c r="A101">
        <v>129</v>
      </c>
      <c r="B101">
        <v>3692786</v>
      </c>
      <c r="C101">
        <v>21883</v>
      </c>
      <c r="F101">
        <v>931</v>
      </c>
    </row>
    <row r="102" spans="1:6" x14ac:dyDescent="0.2">
      <c r="A102">
        <v>129</v>
      </c>
      <c r="B102">
        <v>3692787</v>
      </c>
      <c r="C102">
        <v>21883</v>
      </c>
      <c r="F102">
        <v>1430</v>
      </c>
    </row>
    <row r="103" spans="1:6" x14ac:dyDescent="0.2">
      <c r="A103">
        <v>129</v>
      </c>
      <c r="B103">
        <v>3692788</v>
      </c>
      <c r="C103">
        <v>21883</v>
      </c>
      <c r="F103">
        <v>1122</v>
      </c>
    </row>
    <row r="104" spans="1:6" x14ac:dyDescent="0.2">
      <c r="A104">
        <v>129</v>
      </c>
      <c r="B104">
        <v>3692789</v>
      </c>
      <c r="C104">
        <v>21883</v>
      </c>
      <c r="F104">
        <v>1120</v>
      </c>
    </row>
    <row r="105" spans="1:6" x14ac:dyDescent="0.2">
      <c r="A105">
        <v>129</v>
      </c>
      <c r="B105">
        <v>3692790</v>
      </c>
      <c r="C105">
        <v>21883</v>
      </c>
      <c r="F105">
        <v>671</v>
      </c>
    </row>
    <row r="106" spans="1:6" x14ac:dyDescent="0.2">
      <c r="A106">
        <v>129</v>
      </c>
      <c r="B106">
        <v>3692791</v>
      </c>
      <c r="C106">
        <v>21883</v>
      </c>
      <c r="F106">
        <v>672</v>
      </c>
    </row>
    <row r="107" spans="1:6" x14ac:dyDescent="0.2">
      <c r="A107">
        <v>129</v>
      </c>
      <c r="B107">
        <v>3692792</v>
      </c>
      <c r="C107">
        <v>21883</v>
      </c>
      <c r="F107">
        <v>655</v>
      </c>
    </row>
    <row r="108" spans="1:6" x14ac:dyDescent="0.2">
      <c r="A108">
        <v>129</v>
      </c>
      <c r="B108">
        <v>3692793</v>
      </c>
      <c r="C108">
        <v>21883</v>
      </c>
      <c r="F108">
        <v>640</v>
      </c>
    </row>
    <row r="109" spans="1:6" x14ac:dyDescent="0.2">
      <c r="A109">
        <v>129</v>
      </c>
      <c r="B109">
        <v>3692794</v>
      </c>
      <c r="C109">
        <v>21883</v>
      </c>
      <c r="F109">
        <v>620</v>
      </c>
    </row>
    <row r="110" spans="1:6" x14ac:dyDescent="0.2">
      <c r="A110">
        <v>129</v>
      </c>
      <c r="B110">
        <v>3692795</v>
      </c>
      <c r="C110">
        <v>21883</v>
      </c>
      <c r="F110">
        <v>604</v>
      </c>
    </row>
    <row r="111" spans="1:6" x14ac:dyDescent="0.2">
      <c r="A111">
        <v>129</v>
      </c>
      <c r="B111">
        <v>3692796</v>
      </c>
      <c r="C111">
        <v>21883</v>
      </c>
      <c r="F111">
        <v>586</v>
      </c>
    </row>
    <row r="112" spans="1:6" x14ac:dyDescent="0.2">
      <c r="A112">
        <v>129</v>
      </c>
      <c r="B112">
        <v>3692797</v>
      </c>
      <c r="C112">
        <v>21883</v>
      </c>
      <c r="F112">
        <v>571</v>
      </c>
    </row>
    <row r="113" spans="1:6" x14ac:dyDescent="0.2">
      <c r="A113">
        <v>129</v>
      </c>
      <c r="B113">
        <v>3692798</v>
      </c>
      <c r="C113">
        <v>21883</v>
      </c>
      <c r="F113">
        <v>553</v>
      </c>
    </row>
    <row r="114" spans="1:6" x14ac:dyDescent="0.2">
      <c r="A114">
        <v>129</v>
      </c>
      <c r="B114">
        <v>3692799</v>
      </c>
      <c r="C114">
        <v>21883</v>
      </c>
      <c r="F114">
        <v>767</v>
      </c>
    </row>
    <row r="115" spans="1:6" x14ac:dyDescent="0.2">
      <c r="A115">
        <v>129</v>
      </c>
      <c r="B115">
        <v>3692800</v>
      </c>
      <c r="C115">
        <v>21883</v>
      </c>
      <c r="F115">
        <v>770</v>
      </c>
    </row>
    <row r="116" spans="1:6" x14ac:dyDescent="0.2">
      <c r="A116">
        <v>129</v>
      </c>
      <c r="B116">
        <v>3692801</v>
      </c>
      <c r="C116">
        <v>21883</v>
      </c>
      <c r="F116">
        <v>771</v>
      </c>
    </row>
    <row r="117" spans="1:6" x14ac:dyDescent="0.2">
      <c r="A117">
        <v>129</v>
      </c>
      <c r="B117">
        <v>3692802</v>
      </c>
      <c r="C117">
        <v>21883</v>
      </c>
      <c r="F117">
        <v>772</v>
      </c>
    </row>
    <row r="118" spans="1:6" x14ac:dyDescent="0.2">
      <c r="A118">
        <v>129</v>
      </c>
      <c r="B118">
        <v>3692803</v>
      </c>
      <c r="C118">
        <v>21883</v>
      </c>
      <c r="F118">
        <v>750</v>
      </c>
    </row>
    <row r="119" spans="1:6" x14ac:dyDescent="0.2">
      <c r="A119">
        <v>129</v>
      </c>
      <c r="B119">
        <v>3692804</v>
      </c>
      <c r="C119">
        <v>21883</v>
      </c>
      <c r="F119">
        <v>754</v>
      </c>
    </row>
    <row r="120" spans="1:6" x14ac:dyDescent="0.2">
      <c r="A120">
        <v>129</v>
      </c>
      <c r="B120">
        <v>3692805</v>
      </c>
      <c r="C120">
        <v>21883</v>
      </c>
      <c r="F120">
        <v>752</v>
      </c>
    </row>
    <row r="121" spans="1:6" x14ac:dyDescent="0.2">
      <c r="A121">
        <v>129</v>
      </c>
      <c r="B121">
        <v>3692806</v>
      </c>
      <c r="C121">
        <v>21883</v>
      </c>
      <c r="F121">
        <v>755</v>
      </c>
    </row>
    <row r="122" spans="1:6" x14ac:dyDescent="0.2">
      <c r="A122">
        <v>129</v>
      </c>
      <c r="B122">
        <v>3692807</v>
      </c>
      <c r="C122">
        <v>21883</v>
      </c>
      <c r="F122">
        <v>731</v>
      </c>
    </row>
    <row r="123" spans="1:6" x14ac:dyDescent="0.2">
      <c r="A123">
        <v>129</v>
      </c>
      <c r="B123">
        <v>3692808</v>
      </c>
      <c r="C123">
        <v>21883</v>
      </c>
      <c r="F123">
        <v>736</v>
      </c>
    </row>
    <row r="124" spans="1:6" x14ac:dyDescent="0.2">
      <c r="A124">
        <v>129</v>
      </c>
      <c r="B124">
        <v>3692809</v>
      </c>
      <c r="C124">
        <v>21883</v>
      </c>
      <c r="F124">
        <v>733</v>
      </c>
    </row>
    <row r="125" spans="1:6" x14ac:dyDescent="0.2">
      <c r="A125">
        <v>129</v>
      </c>
      <c r="B125">
        <v>3692810</v>
      </c>
      <c r="C125">
        <v>21883</v>
      </c>
      <c r="F125">
        <v>735</v>
      </c>
    </row>
    <row r="126" spans="1:6" x14ac:dyDescent="0.2">
      <c r="A126">
        <v>129</v>
      </c>
      <c r="B126">
        <v>3692811</v>
      </c>
      <c r="C126">
        <v>21883</v>
      </c>
      <c r="F126">
        <v>705</v>
      </c>
    </row>
    <row r="127" spans="1:6" x14ac:dyDescent="0.2">
      <c r="A127">
        <v>129</v>
      </c>
      <c r="B127">
        <v>3692812</v>
      </c>
      <c r="C127">
        <v>21883</v>
      </c>
      <c r="F127">
        <v>708</v>
      </c>
    </row>
    <row r="128" spans="1:6" x14ac:dyDescent="0.2">
      <c r="A128">
        <v>129</v>
      </c>
      <c r="B128">
        <v>3692813</v>
      </c>
      <c r="C128">
        <v>21883</v>
      </c>
      <c r="F128">
        <v>711</v>
      </c>
    </row>
    <row r="129" spans="1:6" x14ac:dyDescent="0.2">
      <c r="A129">
        <v>129</v>
      </c>
      <c r="B129">
        <v>3692814</v>
      </c>
      <c r="C129">
        <v>21883</v>
      </c>
      <c r="F129">
        <v>777</v>
      </c>
    </row>
    <row r="130" spans="1:6" x14ac:dyDescent="0.2">
      <c r="A130">
        <v>129</v>
      </c>
      <c r="B130">
        <v>3692815</v>
      </c>
      <c r="C130">
        <v>21883</v>
      </c>
      <c r="F130">
        <v>294</v>
      </c>
    </row>
    <row r="131" spans="1:6" x14ac:dyDescent="0.2">
      <c r="A131">
        <v>129</v>
      </c>
      <c r="B131">
        <v>3692816</v>
      </c>
      <c r="C131">
        <v>21883</v>
      </c>
      <c r="F131">
        <v>293</v>
      </c>
    </row>
    <row r="132" spans="1:6" x14ac:dyDescent="0.2">
      <c r="A132">
        <v>129</v>
      </c>
      <c r="B132">
        <v>3692817</v>
      </c>
      <c r="C132">
        <v>21883</v>
      </c>
      <c r="F132">
        <v>757</v>
      </c>
    </row>
    <row r="133" spans="1:6" x14ac:dyDescent="0.2">
      <c r="A133">
        <v>129</v>
      </c>
      <c r="B133">
        <v>3692818</v>
      </c>
      <c r="C133">
        <v>21883</v>
      </c>
      <c r="F133">
        <v>741</v>
      </c>
    </row>
    <row r="134" spans="1:6" x14ac:dyDescent="0.2">
      <c r="A134">
        <v>129</v>
      </c>
      <c r="B134">
        <v>3692819</v>
      </c>
      <c r="C134">
        <v>21883</v>
      </c>
      <c r="F134">
        <v>710</v>
      </c>
    </row>
    <row r="135" spans="1:6" x14ac:dyDescent="0.2">
      <c r="A135">
        <v>129</v>
      </c>
      <c r="B135">
        <v>3692820</v>
      </c>
      <c r="C135">
        <v>21883</v>
      </c>
      <c r="F135">
        <v>341</v>
      </c>
    </row>
    <row r="136" spans="1:6" x14ac:dyDescent="0.2">
      <c r="A136">
        <v>129</v>
      </c>
      <c r="B136">
        <v>3692821</v>
      </c>
      <c r="C136">
        <v>21883</v>
      </c>
      <c r="F136">
        <v>130</v>
      </c>
    </row>
    <row r="137" spans="1:6" x14ac:dyDescent="0.2">
      <c r="A137">
        <v>129</v>
      </c>
      <c r="B137">
        <v>3692822</v>
      </c>
      <c r="C137">
        <v>21883</v>
      </c>
      <c r="F137">
        <v>82</v>
      </c>
    </row>
    <row r="138" spans="1:6" x14ac:dyDescent="0.2">
      <c r="A138">
        <v>129</v>
      </c>
      <c r="B138">
        <v>3692823</v>
      </c>
      <c r="C138">
        <v>21883</v>
      </c>
      <c r="F138">
        <v>14</v>
      </c>
    </row>
    <row r="139" spans="1:6" x14ac:dyDescent="0.2">
      <c r="A139">
        <v>129</v>
      </c>
      <c r="B139">
        <v>3692824</v>
      </c>
      <c r="C139">
        <v>21883</v>
      </c>
      <c r="F139">
        <v>74</v>
      </c>
    </row>
    <row r="140" spans="1:6" x14ac:dyDescent="0.2">
      <c r="A140">
        <v>129</v>
      </c>
      <c r="B140">
        <v>3692825</v>
      </c>
      <c r="C140">
        <v>21883</v>
      </c>
      <c r="F140">
        <v>70</v>
      </c>
    </row>
    <row r="141" spans="1:6" x14ac:dyDescent="0.2">
      <c r="A141">
        <v>129</v>
      </c>
      <c r="B141">
        <v>3692826</v>
      </c>
      <c r="C141">
        <v>21883</v>
      </c>
      <c r="F141">
        <v>16</v>
      </c>
    </row>
    <row r="142" spans="1:6" x14ac:dyDescent="0.2">
      <c r="A142">
        <v>129</v>
      </c>
      <c r="B142">
        <v>3692827</v>
      </c>
      <c r="C142">
        <v>21883</v>
      </c>
      <c r="F142">
        <v>15</v>
      </c>
    </row>
    <row r="143" spans="1:6" x14ac:dyDescent="0.2">
      <c r="A143">
        <v>129</v>
      </c>
      <c r="B143">
        <v>3692828</v>
      </c>
      <c r="C143">
        <v>21883</v>
      </c>
      <c r="F143">
        <v>12</v>
      </c>
    </row>
    <row r="144" spans="1:6" x14ac:dyDescent="0.2">
      <c r="A144">
        <v>129</v>
      </c>
      <c r="B144">
        <v>3692829</v>
      </c>
      <c r="C144">
        <v>21883</v>
      </c>
      <c r="F144">
        <v>10</v>
      </c>
    </row>
    <row r="145" spans="1:6" x14ac:dyDescent="0.2">
      <c r="A145">
        <v>129</v>
      </c>
      <c r="B145">
        <v>3692830</v>
      </c>
      <c r="C145">
        <v>21883</v>
      </c>
      <c r="F145">
        <v>9</v>
      </c>
    </row>
    <row r="146" spans="1:6" x14ac:dyDescent="0.2">
      <c r="A146">
        <v>129</v>
      </c>
      <c r="B146">
        <v>3692831</v>
      </c>
      <c r="C146">
        <v>21883</v>
      </c>
      <c r="F146">
        <v>809</v>
      </c>
    </row>
    <row r="147" spans="1:6" x14ac:dyDescent="0.2">
      <c r="A147">
        <v>129</v>
      </c>
      <c r="B147">
        <v>3692832</v>
      </c>
      <c r="C147">
        <v>21883</v>
      </c>
      <c r="F147">
        <v>815</v>
      </c>
    </row>
    <row r="148" spans="1:6" x14ac:dyDescent="0.2">
      <c r="A148">
        <v>129</v>
      </c>
      <c r="B148">
        <v>3692833</v>
      </c>
      <c r="C148">
        <v>21883</v>
      </c>
      <c r="F148">
        <v>802</v>
      </c>
    </row>
    <row r="149" spans="1:6" x14ac:dyDescent="0.2">
      <c r="A149">
        <v>129</v>
      </c>
      <c r="B149">
        <v>3692834</v>
      </c>
      <c r="C149">
        <v>21883</v>
      </c>
      <c r="F149">
        <v>806</v>
      </c>
    </row>
    <row r="150" spans="1:6" x14ac:dyDescent="0.2">
      <c r="A150">
        <v>129</v>
      </c>
      <c r="B150">
        <v>3692835</v>
      </c>
      <c r="C150">
        <v>21883</v>
      </c>
      <c r="F150">
        <v>810</v>
      </c>
    </row>
    <row r="151" spans="1:6" x14ac:dyDescent="0.2">
      <c r="A151">
        <v>129</v>
      </c>
      <c r="B151">
        <v>3692836</v>
      </c>
      <c r="C151">
        <v>21883</v>
      </c>
      <c r="F151">
        <v>807</v>
      </c>
    </row>
    <row r="152" spans="1:6" x14ac:dyDescent="0.2">
      <c r="A152">
        <v>129</v>
      </c>
      <c r="B152">
        <v>3692837</v>
      </c>
      <c r="C152">
        <v>21883</v>
      </c>
      <c r="F152">
        <v>811</v>
      </c>
    </row>
    <row r="153" spans="1:6" x14ac:dyDescent="0.2">
      <c r="A153">
        <v>129</v>
      </c>
      <c r="B153">
        <v>3692838</v>
      </c>
      <c r="C153">
        <v>21883</v>
      </c>
      <c r="F153">
        <v>814</v>
      </c>
    </row>
    <row r="154" spans="1:6" x14ac:dyDescent="0.2">
      <c r="A154">
        <v>129</v>
      </c>
      <c r="B154">
        <v>3692839</v>
      </c>
      <c r="C154">
        <v>21883</v>
      </c>
      <c r="F154">
        <v>813</v>
      </c>
    </row>
    <row r="155" spans="1:6" x14ac:dyDescent="0.2">
      <c r="A155">
        <v>129</v>
      </c>
      <c r="B155">
        <v>3692840</v>
      </c>
      <c r="C155">
        <v>21883</v>
      </c>
      <c r="F155">
        <v>812</v>
      </c>
    </row>
    <row r="156" spans="1:6" x14ac:dyDescent="0.2">
      <c r="A156">
        <v>129</v>
      </c>
      <c r="B156">
        <v>3692841</v>
      </c>
      <c r="C156">
        <v>21883</v>
      </c>
      <c r="F156">
        <v>808</v>
      </c>
    </row>
    <row r="157" spans="1:6" x14ac:dyDescent="0.2">
      <c r="A157">
        <v>129</v>
      </c>
      <c r="B157">
        <v>3692842</v>
      </c>
      <c r="C157">
        <v>21883</v>
      </c>
      <c r="F157">
        <v>805</v>
      </c>
    </row>
    <row r="158" spans="1:6" x14ac:dyDescent="0.2">
      <c r="A158">
        <v>129</v>
      </c>
      <c r="B158">
        <v>3692843</v>
      </c>
      <c r="C158">
        <v>21883</v>
      </c>
      <c r="F158">
        <v>804</v>
      </c>
    </row>
    <row r="159" spans="1:6" x14ac:dyDescent="0.2">
      <c r="A159">
        <v>129</v>
      </c>
      <c r="B159">
        <v>3692844</v>
      </c>
      <c r="C159">
        <v>21883</v>
      </c>
      <c r="F159">
        <v>803</v>
      </c>
    </row>
    <row r="160" spans="1:6" x14ac:dyDescent="0.2">
      <c r="A160">
        <v>129</v>
      </c>
      <c r="B160">
        <v>3692845</v>
      </c>
      <c r="C160">
        <v>21883</v>
      </c>
      <c r="F160">
        <v>801</v>
      </c>
    </row>
    <row r="161" spans="1:6" x14ac:dyDescent="0.2">
      <c r="A161">
        <v>129</v>
      </c>
      <c r="B161">
        <v>3692846</v>
      </c>
      <c r="C161">
        <v>21883</v>
      </c>
      <c r="F161">
        <v>800</v>
      </c>
    </row>
    <row r="162" spans="1:6" x14ac:dyDescent="0.2">
      <c r="A162">
        <v>129</v>
      </c>
      <c r="B162">
        <v>3692847</v>
      </c>
      <c r="C162">
        <v>21883</v>
      </c>
      <c r="F162">
        <v>780</v>
      </c>
    </row>
    <row r="163" spans="1:6" x14ac:dyDescent="0.2">
      <c r="A163">
        <v>129</v>
      </c>
      <c r="B163">
        <v>3692848</v>
      </c>
      <c r="C163">
        <v>21883</v>
      </c>
      <c r="F163">
        <v>792</v>
      </c>
    </row>
    <row r="164" spans="1:6" x14ac:dyDescent="0.2">
      <c r="A164">
        <v>129</v>
      </c>
      <c r="B164">
        <v>3692849</v>
      </c>
      <c r="C164">
        <v>21883</v>
      </c>
      <c r="F164">
        <v>798</v>
      </c>
    </row>
    <row r="165" spans="1:6" x14ac:dyDescent="0.2">
      <c r="A165">
        <v>129</v>
      </c>
      <c r="B165">
        <v>3692850</v>
      </c>
      <c r="C165">
        <v>21883</v>
      </c>
      <c r="F165">
        <v>784</v>
      </c>
    </row>
    <row r="166" spans="1:6" x14ac:dyDescent="0.2">
      <c r="A166">
        <v>129</v>
      </c>
      <c r="B166">
        <v>3692851</v>
      </c>
      <c r="C166">
        <v>21883</v>
      </c>
      <c r="F166">
        <v>787</v>
      </c>
    </row>
    <row r="167" spans="1:6" x14ac:dyDescent="0.2">
      <c r="A167">
        <v>129</v>
      </c>
      <c r="B167">
        <v>3692852</v>
      </c>
      <c r="C167">
        <v>21883</v>
      </c>
      <c r="F167">
        <v>791</v>
      </c>
    </row>
    <row r="168" spans="1:6" x14ac:dyDescent="0.2">
      <c r="A168">
        <v>129</v>
      </c>
      <c r="B168">
        <v>3692853</v>
      </c>
      <c r="C168">
        <v>21883</v>
      </c>
      <c r="F168">
        <v>790</v>
      </c>
    </row>
    <row r="169" spans="1:6" x14ac:dyDescent="0.2">
      <c r="A169">
        <v>129</v>
      </c>
      <c r="B169">
        <v>3692854</v>
      </c>
      <c r="C169">
        <v>21883</v>
      </c>
      <c r="F169">
        <v>793</v>
      </c>
    </row>
    <row r="170" spans="1:6" x14ac:dyDescent="0.2">
      <c r="A170">
        <v>129</v>
      </c>
      <c r="B170">
        <v>3692855</v>
      </c>
      <c r="C170">
        <v>21883</v>
      </c>
      <c r="F170">
        <v>797</v>
      </c>
    </row>
    <row r="171" spans="1:6" x14ac:dyDescent="0.2">
      <c r="A171">
        <v>129</v>
      </c>
      <c r="B171">
        <v>3692856</v>
      </c>
      <c r="C171">
        <v>21883</v>
      </c>
      <c r="F171">
        <v>795</v>
      </c>
    </row>
    <row r="172" spans="1:6" x14ac:dyDescent="0.2">
      <c r="A172">
        <v>129</v>
      </c>
      <c r="B172">
        <v>3692857</v>
      </c>
      <c r="C172">
        <v>21883</v>
      </c>
      <c r="F172">
        <v>794</v>
      </c>
    </row>
    <row r="173" spans="1:6" x14ac:dyDescent="0.2">
      <c r="A173">
        <v>129</v>
      </c>
      <c r="B173">
        <v>3692858</v>
      </c>
      <c r="C173">
        <v>21883</v>
      </c>
      <c r="F173">
        <v>789</v>
      </c>
    </row>
    <row r="174" spans="1:6" x14ac:dyDescent="0.2">
      <c r="A174">
        <v>129</v>
      </c>
      <c r="B174">
        <v>3692859</v>
      </c>
      <c r="C174">
        <v>21883</v>
      </c>
      <c r="F174">
        <v>788</v>
      </c>
    </row>
    <row r="175" spans="1:6" x14ac:dyDescent="0.2">
      <c r="A175">
        <v>129</v>
      </c>
      <c r="B175">
        <v>3692860</v>
      </c>
      <c r="C175">
        <v>21883</v>
      </c>
      <c r="F175">
        <v>786</v>
      </c>
    </row>
    <row r="176" spans="1:6" x14ac:dyDescent="0.2">
      <c r="A176">
        <v>129</v>
      </c>
      <c r="B176">
        <v>3692861</v>
      </c>
      <c r="C176">
        <v>21883</v>
      </c>
      <c r="F176">
        <v>785</v>
      </c>
    </row>
    <row r="177" spans="1:6" x14ac:dyDescent="0.2">
      <c r="A177">
        <v>129</v>
      </c>
      <c r="B177">
        <v>3692862</v>
      </c>
      <c r="C177">
        <v>21883</v>
      </c>
      <c r="F177">
        <v>783</v>
      </c>
    </row>
    <row r="178" spans="1:6" x14ac:dyDescent="0.2">
      <c r="A178">
        <v>129</v>
      </c>
      <c r="B178">
        <v>3692863</v>
      </c>
      <c r="C178">
        <v>21883</v>
      </c>
      <c r="F178">
        <v>782</v>
      </c>
    </row>
    <row r="179" spans="1:6" x14ac:dyDescent="0.2">
      <c r="A179">
        <v>129</v>
      </c>
      <c r="B179">
        <v>3692864</v>
      </c>
      <c r="C179">
        <v>21883</v>
      </c>
      <c r="F179">
        <v>779</v>
      </c>
    </row>
    <row r="180" spans="1:6" x14ac:dyDescent="0.2">
      <c r="A180">
        <v>129</v>
      </c>
      <c r="B180">
        <v>3692865</v>
      </c>
      <c r="C180">
        <v>21883</v>
      </c>
      <c r="F180">
        <v>136</v>
      </c>
    </row>
    <row r="181" spans="1:6" x14ac:dyDescent="0.2">
      <c r="A181">
        <v>129</v>
      </c>
      <c r="B181">
        <v>3692866</v>
      </c>
      <c r="C181">
        <v>21883</v>
      </c>
      <c r="F181">
        <v>1440</v>
      </c>
    </row>
    <row r="182" spans="1:6" x14ac:dyDescent="0.2">
      <c r="A182">
        <v>129</v>
      </c>
      <c r="B182">
        <v>3692867</v>
      </c>
      <c r="C182">
        <v>21883</v>
      </c>
      <c r="F182">
        <v>1441</v>
      </c>
    </row>
    <row r="183" spans="1:6" x14ac:dyDescent="0.2">
      <c r="A183">
        <v>129</v>
      </c>
      <c r="B183">
        <v>3692868</v>
      </c>
      <c r="C183">
        <v>21883</v>
      </c>
      <c r="F183">
        <v>1444</v>
      </c>
    </row>
    <row r="184" spans="1:6" x14ac:dyDescent="0.2">
      <c r="A184">
        <v>129</v>
      </c>
      <c r="B184">
        <v>3692869</v>
      </c>
      <c r="C184">
        <v>21883</v>
      </c>
      <c r="F184">
        <v>1456</v>
      </c>
    </row>
    <row r="185" spans="1:6" x14ac:dyDescent="0.2">
      <c r="A185">
        <v>129</v>
      </c>
      <c r="B185">
        <v>3692870</v>
      </c>
      <c r="C185">
        <v>21883</v>
      </c>
      <c r="F185">
        <v>1454</v>
      </c>
    </row>
    <row r="186" spans="1:6" x14ac:dyDescent="0.2">
      <c r="A186">
        <v>129</v>
      </c>
      <c r="B186">
        <v>3692871</v>
      </c>
      <c r="C186">
        <v>21883</v>
      </c>
      <c r="F186">
        <v>1458</v>
      </c>
    </row>
    <row r="187" spans="1:6" x14ac:dyDescent="0.2">
      <c r="A187">
        <v>129</v>
      </c>
      <c r="B187">
        <v>3692872</v>
      </c>
      <c r="C187">
        <v>21883</v>
      </c>
      <c r="F187">
        <v>1469</v>
      </c>
    </row>
    <row r="188" spans="1:6" x14ac:dyDescent="0.2">
      <c r="A188">
        <v>129</v>
      </c>
      <c r="B188">
        <v>3692873</v>
      </c>
      <c r="C188">
        <v>21883</v>
      </c>
      <c r="F188">
        <v>1471</v>
      </c>
    </row>
    <row r="189" spans="1:6" x14ac:dyDescent="0.2">
      <c r="A189">
        <v>129</v>
      </c>
      <c r="B189">
        <v>3692874</v>
      </c>
      <c r="C189">
        <v>21883</v>
      </c>
      <c r="F189">
        <v>1473</v>
      </c>
    </row>
    <row r="190" spans="1:6" x14ac:dyDescent="0.2">
      <c r="A190">
        <v>129</v>
      </c>
      <c r="B190">
        <v>3692875</v>
      </c>
      <c r="C190">
        <v>21883</v>
      </c>
      <c r="F190">
        <v>140</v>
      </c>
    </row>
    <row r="191" spans="1:6" x14ac:dyDescent="0.2">
      <c r="A191">
        <v>129</v>
      </c>
      <c r="B191">
        <v>3692876</v>
      </c>
      <c r="C191">
        <v>21883</v>
      </c>
      <c r="F191">
        <v>106</v>
      </c>
    </row>
    <row r="192" spans="1:6" x14ac:dyDescent="0.2">
      <c r="A192">
        <v>129</v>
      </c>
      <c r="B192">
        <v>3692877</v>
      </c>
      <c r="C192">
        <v>21883</v>
      </c>
      <c r="F192">
        <v>137</v>
      </c>
    </row>
    <row r="193" spans="1:6" x14ac:dyDescent="0.2">
      <c r="A193">
        <v>129</v>
      </c>
      <c r="B193">
        <v>3692878</v>
      </c>
      <c r="C193">
        <v>21883</v>
      </c>
      <c r="F193">
        <v>131</v>
      </c>
    </row>
    <row r="194" spans="1:6" x14ac:dyDescent="0.2">
      <c r="A194">
        <v>129</v>
      </c>
      <c r="B194">
        <v>3692879</v>
      </c>
      <c r="C194">
        <v>21883</v>
      </c>
      <c r="F194">
        <v>134</v>
      </c>
    </row>
    <row r="195" spans="1:6" x14ac:dyDescent="0.2">
      <c r="A195">
        <v>129</v>
      </c>
      <c r="B195">
        <v>3692880</v>
      </c>
      <c r="C195">
        <v>21883</v>
      </c>
      <c r="F195">
        <v>132</v>
      </c>
    </row>
    <row r="196" spans="1:6" x14ac:dyDescent="0.2">
      <c r="A196">
        <v>129</v>
      </c>
      <c r="B196">
        <v>3692881</v>
      </c>
      <c r="C196">
        <v>21883</v>
      </c>
      <c r="F196">
        <v>126</v>
      </c>
    </row>
    <row r="197" spans="1:6" x14ac:dyDescent="0.2">
      <c r="A197">
        <v>129</v>
      </c>
      <c r="B197">
        <v>3692882</v>
      </c>
      <c r="C197">
        <v>21883</v>
      </c>
      <c r="F197">
        <v>124</v>
      </c>
    </row>
    <row r="198" spans="1:6" x14ac:dyDescent="0.2">
      <c r="A198">
        <v>129</v>
      </c>
      <c r="B198">
        <v>3692883</v>
      </c>
      <c r="C198">
        <v>21883</v>
      </c>
      <c r="F198">
        <v>123</v>
      </c>
    </row>
    <row r="199" spans="1:6" x14ac:dyDescent="0.2">
      <c r="A199">
        <v>129</v>
      </c>
      <c r="B199">
        <v>3692884</v>
      </c>
      <c r="C199">
        <v>21883</v>
      </c>
      <c r="F199">
        <v>121</v>
      </c>
    </row>
    <row r="200" spans="1:6" x14ac:dyDescent="0.2">
      <c r="A200">
        <v>129</v>
      </c>
      <c r="B200">
        <v>3692885</v>
      </c>
      <c r="C200">
        <v>21883</v>
      </c>
      <c r="F200">
        <v>119</v>
      </c>
    </row>
    <row r="201" spans="1:6" x14ac:dyDescent="0.2">
      <c r="A201">
        <v>129</v>
      </c>
      <c r="B201">
        <v>3692886</v>
      </c>
      <c r="C201">
        <v>21883</v>
      </c>
      <c r="F201">
        <v>83</v>
      </c>
    </row>
    <row r="202" spans="1:6" x14ac:dyDescent="0.2">
      <c r="A202">
        <v>129</v>
      </c>
      <c r="B202">
        <v>3692887</v>
      </c>
      <c r="C202">
        <v>21883</v>
      </c>
      <c r="F202">
        <v>93</v>
      </c>
    </row>
    <row r="203" spans="1:6" x14ac:dyDescent="0.2">
      <c r="A203">
        <v>129</v>
      </c>
      <c r="B203">
        <v>3692888</v>
      </c>
      <c r="C203">
        <v>21883</v>
      </c>
      <c r="F203">
        <v>90</v>
      </c>
    </row>
    <row r="204" spans="1:6" x14ac:dyDescent="0.2">
      <c r="A204">
        <v>129</v>
      </c>
      <c r="B204">
        <v>3692889</v>
      </c>
      <c r="C204">
        <v>21883</v>
      </c>
      <c r="F204">
        <v>88</v>
      </c>
    </row>
    <row r="205" spans="1:6" x14ac:dyDescent="0.2">
      <c r="A205">
        <v>129</v>
      </c>
      <c r="B205">
        <v>3692890</v>
      </c>
      <c r="C205">
        <v>21883</v>
      </c>
      <c r="F205">
        <v>87</v>
      </c>
    </row>
    <row r="206" spans="1:6" x14ac:dyDescent="0.2">
      <c r="A206">
        <v>129</v>
      </c>
      <c r="B206">
        <v>3692891</v>
      </c>
      <c r="C206">
        <v>21883</v>
      </c>
      <c r="F206">
        <v>85</v>
      </c>
    </row>
    <row r="207" spans="1:6" x14ac:dyDescent="0.2">
      <c r="A207">
        <v>129</v>
      </c>
      <c r="B207">
        <v>3692892</v>
      </c>
      <c r="C207">
        <v>21883</v>
      </c>
      <c r="F207">
        <v>6</v>
      </c>
    </row>
    <row r="208" spans="1:6" x14ac:dyDescent="0.2">
      <c r="A208">
        <v>129</v>
      </c>
      <c r="B208">
        <v>3692893</v>
      </c>
      <c r="C208">
        <v>21883</v>
      </c>
      <c r="F208">
        <v>5</v>
      </c>
    </row>
    <row r="209" spans="1:6" x14ac:dyDescent="0.2">
      <c r="A209">
        <v>129</v>
      </c>
      <c r="B209">
        <v>3692894</v>
      </c>
      <c r="C209">
        <v>21883</v>
      </c>
      <c r="F209">
        <v>4</v>
      </c>
    </row>
    <row r="210" spans="1:6" x14ac:dyDescent="0.2">
      <c r="A210">
        <v>129</v>
      </c>
      <c r="B210">
        <v>3692895</v>
      </c>
      <c r="C210">
        <v>21883</v>
      </c>
      <c r="F210">
        <v>3</v>
      </c>
    </row>
    <row r="211" spans="1:6" x14ac:dyDescent="0.2">
      <c r="A211">
        <v>129</v>
      </c>
      <c r="B211">
        <v>3692896</v>
      </c>
      <c r="C211">
        <v>21883</v>
      </c>
      <c r="F211">
        <v>276</v>
      </c>
    </row>
    <row r="212" spans="1:6" x14ac:dyDescent="0.2">
      <c r="A212">
        <v>129</v>
      </c>
      <c r="B212">
        <v>3692897</v>
      </c>
      <c r="C212">
        <v>21883</v>
      </c>
      <c r="F212">
        <v>277</v>
      </c>
    </row>
    <row r="213" spans="1:6" x14ac:dyDescent="0.2">
      <c r="A213">
        <v>129</v>
      </c>
      <c r="B213">
        <v>3692898</v>
      </c>
      <c r="C213">
        <v>21883</v>
      </c>
      <c r="F213">
        <v>274</v>
      </c>
    </row>
    <row r="214" spans="1:6" x14ac:dyDescent="0.2">
      <c r="A214">
        <v>129</v>
      </c>
      <c r="B214">
        <v>3692899</v>
      </c>
      <c r="C214">
        <v>21883</v>
      </c>
      <c r="F214">
        <v>11</v>
      </c>
    </row>
    <row r="215" spans="1:6" x14ac:dyDescent="0.2">
      <c r="A215">
        <v>129</v>
      </c>
      <c r="B215">
        <v>3692900</v>
      </c>
      <c r="C215">
        <v>21883</v>
      </c>
      <c r="F215">
        <v>275</v>
      </c>
    </row>
    <row r="216" spans="1:6" x14ac:dyDescent="0.2">
      <c r="A216">
        <v>129</v>
      </c>
      <c r="B216">
        <v>3692901</v>
      </c>
      <c r="C216">
        <v>21883</v>
      </c>
      <c r="F216">
        <v>118</v>
      </c>
    </row>
    <row r="217" spans="1:6" x14ac:dyDescent="0.2">
      <c r="A217">
        <v>129</v>
      </c>
      <c r="B217">
        <v>3692902</v>
      </c>
      <c r="C217">
        <v>21883</v>
      </c>
      <c r="F217">
        <v>819</v>
      </c>
    </row>
    <row r="218" spans="1:6" x14ac:dyDescent="0.2">
      <c r="A218">
        <v>129</v>
      </c>
      <c r="B218">
        <v>3692903</v>
      </c>
      <c r="C218">
        <v>21883</v>
      </c>
      <c r="F218">
        <v>529</v>
      </c>
    </row>
    <row r="219" spans="1:6" x14ac:dyDescent="0.2">
      <c r="A219">
        <v>129</v>
      </c>
      <c r="B219">
        <v>3692904</v>
      </c>
      <c r="C219">
        <v>21883</v>
      </c>
      <c r="F219">
        <v>432</v>
      </c>
    </row>
    <row r="220" spans="1:6" x14ac:dyDescent="0.2">
      <c r="A220">
        <v>129</v>
      </c>
      <c r="B220">
        <v>3692905</v>
      </c>
      <c r="C220">
        <v>21883</v>
      </c>
      <c r="F220">
        <v>428</v>
      </c>
    </row>
    <row r="221" spans="1:6" x14ac:dyDescent="0.2">
      <c r="A221">
        <v>129</v>
      </c>
      <c r="B221">
        <v>3692906</v>
      </c>
      <c r="C221">
        <v>21883</v>
      </c>
      <c r="F221">
        <v>441</v>
      </c>
    </row>
    <row r="222" spans="1:6" x14ac:dyDescent="0.2">
      <c r="A222">
        <v>129</v>
      </c>
      <c r="B222">
        <v>3692907</v>
      </c>
      <c r="C222">
        <v>21883</v>
      </c>
      <c r="F222">
        <v>436</v>
      </c>
    </row>
    <row r="223" spans="1:6" x14ac:dyDescent="0.2">
      <c r="A223">
        <v>129</v>
      </c>
      <c r="B223">
        <v>3692908</v>
      </c>
      <c r="C223">
        <v>21883</v>
      </c>
      <c r="F223">
        <v>438</v>
      </c>
    </row>
    <row r="224" spans="1:6" x14ac:dyDescent="0.2">
      <c r="A224">
        <v>129</v>
      </c>
      <c r="B224">
        <v>3692909</v>
      </c>
      <c r="C224">
        <v>21883</v>
      </c>
      <c r="F224">
        <v>451</v>
      </c>
    </row>
    <row r="225" spans="1:6" x14ac:dyDescent="0.2">
      <c r="A225">
        <v>129</v>
      </c>
      <c r="B225">
        <v>3692910</v>
      </c>
      <c r="C225">
        <v>21883</v>
      </c>
      <c r="F225">
        <v>447</v>
      </c>
    </row>
    <row r="226" spans="1:6" x14ac:dyDescent="0.2">
      <c r="A226">
        <v>129</v>
      </c>
      <c r="B226">
        <v>3692911</v>
      </c>
      <c r="C226">
        <v>21883</v>
      </c>
      <c r="F226">
        <v>456</v>
      </c>
    </row>
    <row r="227" spans="1:6" x14ac:dyDescent="0.2">
      <c r="A227">
        <v>129</v>
      </c>
      <c r="B227">
        <v>3692912</v>
      </c>
      <c r="C227">
        <v>21883</v>
      </c>
      <c r="F227">
        <v>465</v>
      </c>
    </row>
    <row r="228" spans="1:6" x14ac:dyDescent="0.2">
      <c r="A228">
        <v>129</v>
      </c>
      <c r="B228">
        <v>3692913</v>
      </c>
      <c r="C228">
        <v>21883</v>
      </c>
      <c r="F228">
        <v>463</v>
      </c>
    </row>
    <row r="229" spans="1:6" x14ac:dyDescent="0.2">
      <c r="A229">
        <v>129</v>
      </c>
      <c r="B229">
        <v>3692914</v>
      </c>
      <c r="C229">
        <v>21883</v>
      </c>
      <c r="F229">
        <v>470</v>
      </c>
    </row>
    <row r="230" spans="1:6" x14ac:dyDescent="0.2">
      <c r="A230">
        <v>129</v>
      </c>
      <c r="B230">
        <v>3692915</v>
      </c>
      <c r="C230">
        <v>21883</v>
      </c>
      <c r="F230">
        <v>457</v>
      </c>
    </row>
    <row r="231" spans="1:6" x14ac:dyDescent="0.2">
      <c r="A231">
        <v>129</v>
      </c>
      <c r="B231">
        <v>3692916</v>
      </c>
      <c r="C231">
        <v>21883</v>
      </c>
      <c r="F231">
        <v>476</v>
      </c>
    </row>
    <row r="232" spans="1:6" x14ac:dyDescent="0.2">
      <c r="A232">
        <v>129</v>
      </c>
      <c r="B232">
        <v>3692917</v>
      </c>
      <c r="C232">
        <v>21883</v>
      </c>
      <c r="F232">
        <v>481</v>
      </c>
    </row>
    <row r="233" spans="1:6" x14ac:dyDescent="0.2">
      <c r="A233">
        <v>129</v>
      </c>
      <c r="B233">
        <v>3692918</v>
      </c>
      <c r="C233">
        <v>21883</v>
      </c>
      <c r="F233">
        <v>491</v>
      </c>
    </row>
    <row r="234" spans="1:6" x14ac:dyDescent="0.2">
      <c r="A234">
        <v>129</v>
      </c>
      <c r="B234">
        <v>3692919</v>
      </c>
      <c r="C234">
        <v>21883</v>
      </c>
      <c r="F234">
        <v>489</v>
      </c>
    </row>
    <row r="235" spans="1:6" x14ac:dyDescent="0.2">
      <c r="A235">
        <v>129</v>
      </c>
      <c r="B235">
        <v>3692920</v>
      </c>
      <c r="C235">
        <v>21883</v>
      </c>
      <c r="F235">
        <v>495</v>
      </c>
    </row>
    <row r="236" spans="1:6" x14ac:dyDescent="0.2">
      <c r="A236">
        <v>129</v>
      </c>
      <c r="B236">
        <v>3692921</v>
      </c>
      <c r="C236">
        <v>21883</v>
      </c>
      <c r="F236">
        <v>503</v>
      </c>
    </row>
    <row r="237" spans="1:6" x14ac:dyDescent="0.2">
      <c r="A237">
        <v>129</v>
      </c>
      <c r="B237">
        <v>3692922</v>
      </c>
      <c r="C237">
        <v>21883</v>
      </c>
      <c r="F237">
        <v>511</v>
      </c>
    </row>
    <row r="238" spans="1:6" x14ac:dyDescent="0.2">
      <c r="A238">
        <v>129</v>
      </c>
      <c r="B238">
        <v>3692923</v>
      </c>
      <c r="C238">
        <v>21883</v>
      </c>
      <c r="F238">
        <v>501</v>
      </c>
    </row>
    <row r="239" spans="1:6" x14ac:dyDescent="0.2">
      <c r="A239">
        <v>129</v>
      </c>
      <c r="B239">
        <v>3692924</v>
      </c>
      <c r="C239">
        <v>21883</v>
      </c>
      <c r="F239">
        <v>507</v>
      </c>
    </row>
    <row r="240" spans="1:6" x14ac:dyDescent="0.2">
      <c r="A240">
        <v>129</v>
      </c>
      <c r="B240">
        <v>3692925</v>
      </c>
      <c r="C240">
        <v>21883</v>
      </c>
      <c r="F240">
        <v>499</v>
      </c>
    </row>
    <row r="241" spans="1:6" x14ac:dyDescent="0.2">
      <c r="A241">
        <v>129</v>
      </c>
      <c r="B241">
        <v>3692926</v>
      </c>
      <c r="C241">
        <v>21883</v>
      </c>
      <c r="F241">
        <v>527</v>
      </c>
    </row>
    <row r="242" spans="1:6" x14ac:dyDescent="0.2">
      <c r="A242">
        <v>129</v>
      </c>
      <c r="B242">
        <v>3692927</v>
      </c>
      <c r="C242">
        <v>21883</v>
      </c>
      <c r="F242">
        <v>535</v>
      </c>
    </row>
    <row r="243" spans="1:6" x14ac:dyDescent="0.2">
      <c r="A243">
        <v>129</v>
      </c>
      <c r="B243">
        <v>3692928</v>
      </c>
      <c r="C243">
        <v>21883</v>
      </c>
      <c r="F243">
        <v>523</v>
      </c>
    </row>
    <row r="244" spans="1:6" x14ac:dyDescent="0.2">
      <c r="A244">
        <v>129</v>
      </c>
      <c r="B244">
        <v>3692929</v>
      </c>
      <c r="C244">
        <v>21883</v>
      </c>
      <c r="F244">
        <v>531</v>
      </c>
    </row>
    <row r="245" spans="1:6" x14ac:dyDescent="0.2">
      <c r="A245">
        <v>129</v>
      </c>
      <c r="B245">
        <v>3692930</v>
      </c>
      <c r="C245">
        <v>21883</v>
      </c>
      <c r="F245">
        <v>525</v>
      </c>
    </row>
    <row r="246" spans="1:6" x14ac:dyDescent="0.2">
      <c r="A246">
        <v>129</v>
      </c>
      <c r="B246">
        <v>3692931</v>
      </c>
      <c r="C246">
        <v>21883</v>
      </c>
      <c r="F246">
        <v>543</v>
      </c>
    </row>
    <row r="247" spans="1:6" x14ac:dyDescent="0.2">
      <c r="A247">
        <v>129</v>
      </c>
      <c r="B247">
        <v>3692932</v>
      </c>
      <c r="C247">
        <v>21883</v>
      </c>
      <c r="F247">
        <v>538</v>
      </c>
    </row>
    <row r="248" spans="1:6" x14ac:dyDescent="0.2">
      <c r="A248">
        <v>129</v>
      </c>
      <c r="B248">
        <v>3692933</v>
      </c>
      <c r="C248">
        <v>21883</v>
      </c>
      <c r="F248">
        <v>550</v>
      </c>
    </row>
    <row r="249" spans="1:6" x14ac:dyDescent="0.2">
      <c r="A249">
        <v>129</v>
      </c>
      <c r="B249">
        <v>3692934</v>
      </c>
      <c r="C249">
        <v>21883</v>
      </c>
      <c r="F249">
        <v>546</v>
      </c>
    </row>
    <row r="250" spans="1:6" x14ac:dyDescent="0.2">
      <c r="A250">
        <v>129</v>
      </c>
      <c r="B250">
        <v>3692935</v>
      </c>
      <c r="C250">
        <v>21883</v>
      </c>
      <c r="F250">
        <v>541</v>
      </c>
    </row>
    <row r="251" spans="1:6" x14ac:dyDescent="0.2">
      <c r="A251">
        <v>129</v>
      </c>
      <c r="B251">
        <v>3692936</v>
      </c>
      <c r="C251">
        <v>21883</v>
      </c>
      <c r="F251">
        <v>414</v>
      </c>
    </row>
    <row r="252" spans="1:6" x14ac:dyDescent="0.2">
      <c r="A252">
        <v>129</v>
      </c>
      <c r="B252">
        <v>3692937</v>
      </c>
      <c r="C252">
        <v>21883</v>
      </c>
      <c r="F252">
        <v>285</v>
      </c>
    </row>
    <row r="253" spans="1:6" x14ac:dyDescent="0.2">
      <c r="A253">
        <v>129</v>
      </c>
      <c r="B253">
        <v>3692938</v>
      </c>
      <c r="C253">
        <v>21883</v>
      </c>
      <c r="F253">
        <v>423</v>
      </c>
    </row>
    <row r="254" spans="1:6" x14ac:dyDescent="0.2">
      <c r="A254">
        <v>129</v>
      </c>
      <c r="B254">
        <v>3692939</v>
      </c>
      <c r="C254">
        <v>21883</v>
      </c>
      <c r="F254">
        <v>418</v>
      </c>
    </row>
    <row r="255" spans="1:6" x14ac:dyDescent="0.2">
      <c r="A255">
        <v>129</v>
      </c>
      <c r="B255">
        <v>3692940</v>
      </c>
      <c r="C255">
        <v>21883</v>
      </c>
      <c r="F255">
        <v>420</v>
      </c>
    </row>
    <row r="256" spans="1:6" x14ac:dyDescent="0.2">
      <c r="A256">
        <v>129</v>
      </c>
      <c r="B256">
        <v>3692941</v>
      </c>
      <c r="C256">
        <v>21883</v>
      </c>
      <c r="F256">
        <v>567</v>
      </c>
    </row>
    <row r="257" spans="1:6" x14ac:dyDescent="0.2">
      <c r="A257">
        <v>129</v>
      </c>
      <c r="B257">
        <v>3692942</v>
      </c>
      <c r="C257">
        <v>21883</v>
      </c>
      <c r="F257">
        <v>561</v>
      </c>
    </row>
    <row r="258" spans="1:6" x14ac:dyDescent="0.2">
      <c r="A258">
        <v>129</v>
      </c>
      <c r="B258">
        <v>3692943</v>
      </c>
      <c r="C258">
        <v>21883</v>
      </c>
      <c r="F258">
        <v>566</v>
      </c>
    </row>
    <row r="259" spans="1:6" x14ac:dyDescent="0.2">
      <c r="A259">
        <v>129</v>
      </c>
      <c r="B259">
        <v>3692944</v>
      </c>
      <c r="C259">
        <v>21883</v>
      </c>
      <c r="F259">
        <v>557</v>
      </c>
    </row>
    <row r="260" spans="1:6" x14ac:dyDescent="0.2">
      <c r="A260">
        <v>129</v>
      </c>
      <c r="B260">
        <v>3692945</v>
      </c>
      <c r="C260">
        <v>21883</v>
      </c>
      <c r="F260">
        <v>564</v>
      </c>
    </row>
    <row r="261" spans="1:6" x14ac:dyDescent="0.2">
      <c r="A261">
        <v>129</v>
      </c>
      <c r="B261">
        <v>3692946</v>
      </c>
      <c r="C261">
        <v>21883</v>
      </c>
      <c r="F261">
        <v>554</v>
      </c>
    </row>
    <row r="262" spans="1:6" x14ac:dyDescent="0.2">
      <c r="A262">
        <v>129</v>
      </c>
      <c r="B262">
        <v>3692947</v>
      </c>
      <c r="C262">
        <v>21883</v>
      </c>
      <c r="F262">
        <v>584</v>
      </c>
    </row>
    <row r="263" spans="1:6" x14ac:dyDescent="0.2">
      <c r="A263">
        <v>129</v>
      </c>
      <c r="B263">
        <v>3692948</v>
      </c>
      <c r="C263">
        <v>21883</v>
      </c>
      <c r="F263">
        <v>579</v>
      </c>
    </row>
    <row r="264" spans="1:6" x14ac:dyDescent="0.2">
      <c r="A264">
        <v>129</v>
      </c>
      <c r="B264">
        <v>3692949</v>
      </c>
      <c r="C264">
        <v>21883</v>
      </c>
      <c r="F264">
        <v>583</v>
      </c>
    </row>
    <row r="265" spans="1:6" x14ac:dyDescent="0.2">
      <c r="A265">
        <v>129</v>
      </c>
      <c r="B265">
        <v>3692950</v>
      </c>
      <c r="C265">
        <v>21883</v>
      </c>
      <c r="F265">
        <v>575</v>
      </c>
    </row>
    <row r="266" spans="1:6" x14ac:dyDescent="0.2">
      <c r="A266">
        <v>129</v>
      </c>
      <c r="B266">
        <v>3692951</v>
      </c>
      <c r="C266">
        <v>21883</v>
      </c>
      <c r="F266">
        <v>565</v>
      </c>
    </row>
    <row r="267" spans="1:6" x14ac:dyDescent="0.2">
      <c r="A267">
        <v>129</v>
      </c>
      <c r="B267">
        <v>3692952</v>
      </c>
      <c r="C267">
        <v>21883</v>
      </c>
      <c r="F267">
        <v>572</v>
      </c>
    </row>
    <row r="268" spans="1:6" x14ac:dyDescent="0.2">
      <c r="A268">
        <v>129</v>
      </c>
      <c r="B268">
        <v>3692953</v>
      </c>
      <c r="C268">
        <v>21883</v>
      </c>
      <c r="F268">
        <v>600</v>
      </c>
    </row>
    <row r="269" spans="1:6" x14ac:dyDescent="0.2">
      <c r="A269">
        <v>129</v>
      </c>
      <c r="B269">
        <v>3692954</v>
      </c>
      <c r="C269">
        <v>21883</v>
      </c>
      <c r="F269">
        <v>595</v>
      </c>
    </row>
    <row r="270" spans="1:6" x14ac:dyDescent="0.2">
      <c r="A270">
        <v>129</v>
      </c>
      <c r="B270">
        <v>3692955</v>
      </c>
      <c r="C270">
        <v>21883</v>
      </c>
      <c r="F270">
        <v>599</v>
      </c>
    </row>
    <row r="271" spans="1:6" x14ac:dyDescent="0.2">
      <c r="A271">
        <v>129</v>
      </c>
      <c r="B271">
        <v>3692956</v>
      </c>
      <c r="C271">
        <v>21883</v>
      </c>
      <c r="F271">
        <v>591</v>
      </c>
    </row>
    <row r="272" spans="1:6" x14ac:dyDescent="0.2">
      <c r="A272">
        <v>129</v>
      </c>
      <c r="B272">
        <v>3692957</v>
      </c>
      <c r="C272">
        <v>21883</v>
      </c>
      <c r="F272">
        <v>582</v>
      </c>
    </row>
    <row r="273" spans="1:6" x14ac:dyDescent="0.2">
      <c r="A273">
        <v>129</v>
      </c>
      <c r="B273">
        <v>3692958</v>
      </c>
      <c r="C273">
        <v>21883</v>
      </c>
      <c r="F273">
        <v>588</v>
      </c>
    </row>
    <row r="274" spans="1:6" x14ac:dyDescent="0.2">
      <c r="A274">
        <v>129</v>
      </c>
      <c r="B274">
        <v>3692959</v>
      </c>
      <c r="C274">
        <v>21883</v>
      </c>
      <c r="F274">
        <v>602</v>
      </c>
    </row>
    <row r="275" spans="1:6" x14ac:dyDescent="0.2">
      <c r="A275">
        <v>129</v>
      </c>
      <c r="B275">
        <v>3692960</v>
      </c>
      <c r="C275">
        <v>21883</v>
      </c>
      <c r="F275">
        <v>613</v>
      </c>
    </row>
    <row r="276" spans="1:6" x14ac:dyDescent="0.2">
      <c r="A276">
        <v>129</v>
      </c>
      <c r="B276">
        <v>3692961</v>
      </c>
      <c r="C276">
        <v>21883</v>
      </c>
      <c r="F276">
        <v>601</v>
      </c>
    </row>
    <row r="277" spans="1:6" x14ac:dyDescent="0.2">
      <c r="A277">
        <v>129</v>
      </c>
      <c r="B277">
        <v>3692962</v>
      </c>
      <c r="C277">
        <v>21883</v>
      </c>
      <c r="F277">
        <v>609</v>
      </c>
    </row>
    <row r="278" spans="1:6" x14ac:dyDescent="0.2">
      <c r="A278">
        <v>129</v>
      </c>
      <c r="B278">
        <v>3692963</v>
      </c>
      <c r="C278">
        <v>21883</v>
      </c>
      <c r="F278">
        <v>598</v>
      </c>
    </row>
    <row r="279" spans="1:6" x14ac:dyDescent="0.2">
      <c r="A279">
        <v>129</v>
      </c>
      <c r="B279">
        <v>3692964</v>
      </c>
      <c r="C279">
        <v>21883</v>
      </c>
      <c r="F279">
        <v>606</v>
      </c>
    </row>
    <row r="280" spans="1:6" x14ac:dyDescent="0.2">
      <c r="A280">
        <v>129</v>
      </c>
      <c r="B280">
        <v>3692965</v>
      </c>
      <c r="C280">
        <v>21883</v>
      </c>
      <c r="F280">
        <v>617</v>
      </c>
    </row>
    <row r="281" spans="1:6" x14ac:dyDescent="0.2">
      <c r="A281">
        <v>129</v>
      </c>
      <c r="B281">
        <v>3692966</v>
      </c>
      <c r="C281">
        <v>21883</v>
      </c>
      <c r="F281">
        <v>627</v>
      </c>
    </row>
    <row r="282" spans="1:6" x14ac:dyDescent="0.2">
      <c r="A282">
        <v>129</v>
      </c>
      <c r="B282">
        <v>3692967</v>
      </c>
      <c r="C282">
        <v>21883</v>
      </c>
      <c r="F282">
        <v>616</v>
      </c>
    </row>
    <row r="283" spans="1:6" x14ac:dyDescent="0.2">
      <c r="A283">
        <v>129</v>
      </c>
      <c r="B283">
        <v>3692968</v>
      </c>
      <c r="C283">
        <v>21883</v>
      </c>
      <c r="F283">
        <v>623</v>
      </c>
    </row>
    <row r="284" spans="1:6" x14ac:dyDescent="0.2">
      <c r="A284">
        <v>129</v>
      </c>
      <c r="B284">
        <v>3692969</v>
      </c>
      <c r="C284">
        <v>21883</v>
      </c>
      <c r="F284">
        <v>615</v>
      </c>
    </row>
    <row r="285" spans="1:6" x14ac:dyDescent="0.2">
      <c r="A285">
        <v>129</v>
      </c>
      <c r="B285">
        <v>3692970</v>
      </c>
      <c r="C285">
        <v>21883</v>
      </c>
      <c r="F285">
        <v>618</v>
      </c>
    </row>
    <row r="286" spans="1:6" x14ac:dyDescent="0.2">
      <c r="A286">
        <v>129</v>
      </c>
      <c r="B286">
        <v>3692971</v>
      </c>
      <c r="C286">
        <v>21883</v>
      </c>
      <c r="F286">
        <v>645</v>
      </c>
    </row>
    <row r="287" spans="1:6" x14ac:dyDescent="0.2">
      <c r="A287">
        <v>129</v>
      </c>
      <c r="B287">
        <v>3692972</v>
      </c>
      <c r="C287">
        <v>21883</v>
      </c>
      <c r="F287">
        <v>639</v>
      </c>
    </row>
    <row r="288" spans="1:6" x14ac:dyDescent="0.2">
      <c r="A288">
        <v>129</v>
      </c>
      <c r="B288">
        <v>3692973</v>
      </c>
      <c r="C288">
        <v>21883</v>
      </c>
      <c r="F288">
        <v>630</v>
      </c>
    </row>
    <row r="289" spans="1:6" x14ac:dyDescent="0.2">
      <c r="A289">
        <v>129</v>
      </c>
      <c r="B289">
        <v>3692974</v>
      </c>
      <c r="C289">
        <v>21883</v>
      </c>
      <c r="F289">
        <v>635</v>
      </c>
    </row>
    <row r="290" spans="1:6" x14ac:dyDescent="0.2">
      <c r="A290">
        <v>129</v>
      </c>
      <c r="B290">
        <v>3692975</v>
      </c>
      <c r="C290">
        <v>21883</v>
      </c>
      <c r="F290">
        <v>629</v>
      </c>
    </row>
    <row r="291" spans="1:6" x14ac:dyDescent="0.2">
      <c r="A291">
        <v>129</v>
      </c>
      <c r="B291">
        <v>3692976</v>
      </c>
      <c r="C291">
        <v>21883</v>
      </c>
      <c r="F291">
        <v>641</v>
      </c>
    </row>
    <row r="292" spans="1:6" x14ac:dyDescent="0.2">
      <c r="A292">
        <v>129</v>
      </c>
      <c r="B292">
        <v>3692977</v>
      </c>
      <c r="C292">
        <v>21883</v>
      </c>
      <c r="F292">
        <v>661</v>
      </c>
    </row>
    <row r="293" spans="1:6" x14ac:dyDescent="0.2">
      <c r="A293">
        <v>129</v>
      </c>
      <c r="B293">
        <v>3692978</v>
      </c>
      <c r="C293">
        <v>21883</v>
      </c>
      <c r="F293">
        <v>651</v>
      </c>
    </row>
    <row r="294" spans="1:6" x14ac:dyDescent="0.2">
      <c r="A294">
        <v>129</v>
      </c>
      <c r="B294">
        <v>3692979</v>
      </c>
      <c r="C294">
        <v>21883</v>
      </c>
      <c r="F294">
        <v>646</v>
      </c>
    </row>
    <row r="295" spans="1:6" x14ac:dyDescent="0.2">
      <c r="A295">
        <v>129</v>
      </c>
      <c r="B295">
        <v>3692980</v>
      </c>
      <c r="C295">
        <v>21883</v>
      </c>
      <c r="F295">
        <v>654</v>
      </c>
    </row>
    <row r="296" spans="1:6" x14ac:dyDescent="0.2">
      <c r="A296">
        <v>129</v>
      </c>
      <c r="B296">
        <v>3692981</v>
      </c>
      <c r="C296">
        <v>21883</v>
      </c>
      <c r="F296">
        <v>659</v>
      </c>
    </row>
    <row r="297" spans="1:6" x14ac:dyDescent="0.2">
      <c r="A297">
        <v>129</v>
      </c>
      <c r="B297">
        <v>3692982</v>
      </c>
      <c r="C297">
        <v>21883</v>
      </c>
      <c r="F297">
        <v>656</v>
      </c>
    </row>
    <row r="298" spans="1:6" x14ac:dyDescent="0.2">
      <c r="A298">
        <v>129</v>
      </c>
      <c r="B298">
        <v>3692983</v>
      </c>
      <c r="C298">
        <v>21883</v>
      </c>
      <c r="F298">
        <v>631</v>
      </c>
    </row>
    <row r="299" spans="1:6" x14ac:dyDescent="0.2">
      <c r="A299">
        <v>129</v>
      </c>
      <c r="B299">
        <v>3692984</v>
      </c>
      <c r="C299">
        <v>21883</v>
      </c>
      <c r="F299">
        <v>670</v>
      </c>
    </row>
    <row r="300" spans="1:6" x14ac:dyDescent="0.2">
      <c r="A300">
        <v>129</v>
      </c>
      <c r="B300">
        <v>3692985</v>
      </c>
      <c r="C300">
        <v>21883</v>
      </c>
      <c r="F300">
        <v>662</v>
      </c>
    </row>
    <row r="301" spans="1:6" x14ac:dyDescent="0.2">
      <c r="A301">
        <v>129</v>
      </c>
      <c r="B301">
        <v>3692986</v>
      </c>
      <c r="C301">
        <v>21883</v>
      </c>
      <c r="F301">
        <v>666</v>
      </c>
    </row>
    <row r="302" spans="1:6" x14ac:dyDescent="0.2">
      <c r="A302">
        <v>129</v>
      </c>
      <c r="B302">
        <v>3692987</v>
      </c>
      <c r="C302">
        <v>21883</v>
      </c>
      <c r="F302">
        <v>660</v>
      </c>
    </row>
    <row r="303" spans="1:6" x14ac:dyDescent="0.2">
      <c r="A303">
        <v>129</v>
      </c>
      <c r="B303">
        <v>3692988</v>
      </c>
      <c r="C303">
        <v>21883</v>
      </c>
      <c r="F303">
        <v>673</v>
      </c>
    </row>
    <row r="304" spans="1:6" x14ac:dyDescent="0.2">
      <c r="A304">
        <v>129</v>
      </c>
      <c r="B304">
        <v>3692989</v>
      </c>
      <c r="C304">
        <v>21883</v>
      </c>
      <c r="F304">
        <v>685</v>
      </c>
    </row>
    <row r="305" spans="1:6" x14ac:dyDescent="0.2">
      <c r="A305">
        <v>129</v>
      </c>
      <c r="B305">
        <v>3692990</v>
      </c>
      <c r="C305">
        <v>21883</v>
      </c>
      <c r="F305">
        <v>403</v>
      </c>
    </row>
    <row r="306" spans="1:6" x14ac:dyDescent="0.2">
      <c r="A306">
        <v>129</v>
      </c>
      <c r="B306">
        <v>3692991</v>
      </c>
      <c r="C306">
        <v>21883</v>
      </c>
      <c r="F306">
        <v>117</v>
      </c>
    </row>
    <row r="307" spans="1:6" x14ac:dyDescent="0.2">
      <c r="A307">
        <v>129</v>
      </c>
      <c r="B307">
        <v>3692992</v>
      </c>
      <c r="C307">
        <v>21883</v>
      </c>
      <c r="F307">
        <v>400</v>
      </c>
    </row>
    <row r="308" spans="1:6" x14ac:dyDescent="0.2">
      <c r="A308">
        <v>129</v>
      </c>
      <c r="B308">
        <v>3692993</v>
      </c>
      <c r="C308">
        <v>21883</v>
      </c>
      <c r="F308">
        <v>304</v>
      </c>
    </row>
    <row r="309" spans="1:6" x14ac:dyDescent="0.2">
      <c r="A309">
        <v>129</v>
      </c>
      <c r="B309">
        <v>3692994</v>
      </c>
      <c r="C309">
        <v>21883</v>
      </c>
      <c r="F309">
        <v>361</v>
      </c>
    </row>
    <row r="310" spans="1:6" x14ac:dyDescent="0.2">
      <c r="A310">
        <v>129</v>
      </c>
      <c r="B310">
        <v>3692995</v>
      </c>
      <c r="C310">
        <v>21883</v>
      </c>
      <c r="F310">
        <v>360</v>
      </c>
    </row>
    <row r="311" spans="1:6" x14ac:dyDescent="0.2">
      <c r="A311">
        <v>129</v>
      </c>
      <c r="B311">
        <v>3692996</v>
      </c>
      <c r="C311">
        <v>21883</v>
      </c>
      <c r="F311">
        <v>351</v>
      </c>
    </row>
    <row r="312" spans="1:6" x14ac:dyDescent="0.2">
      <c r="A312">
        <v>129</v>
      </c>
      <c r="B312">
        <v>3692997</v>
      </c>
      <c r="C312">
        <v>21883</v>
      </c>
      <c r="F312">
        <v>343</v>
      </c>
    </row>
    <row r="313" spans="1:6" x14ac:dyDescent="0.2">
      <c r="A313">
        <v>129</v>
      </c>
      <c r="B313">
        <v>3692998</v>
      </c>
      <c r="C313">
        <v>21883</v>
      </c>
      <c r="F313">
        <v>706</v>
      </c>
    </row>
    <row r="314" spans="1:6" x14ac:dyDescent="0.2">
      <c r="A314">
        <v>129</v>
      </c>
      <c r="B314">
        <v>3692999</v>
      </c>
      <c r="C314">
        <v>21883</v>
      </c>
      <c r="F314">
        <v>715</v>
      </c>
    </row>
    <row r="315" spans="1:6" x14ac:dyDescent="0.2">
      <c r="A315">
        <v>129</v>
      </c>
      <c r="B315">
        <v>3693000</v>
      </c>
      <c r="C315">
        <v>21883</v>
      </c>
      <c r="F315">
        <v>714</v>
      </c>
    </row>
    <row r="316" spans="1:6" x14ac:dyDescent="0.2">
      <c r="A316">
        <v>129</v>
      </c>
      <c r="B316">
        <v>3693001</v>
      </c>
      <c r="C316">
        <v>21883</v>
      </c>
      <c r="F316">
        <v>287</v>
      </c>
    </row>
    <row r="317" spans="1:6" x14ac:dyDescent="0.2">
      <c r="A317">
        <v>129</v>
      </c>
      <c r="B317">
        <v>3693002</v>
      </c>
      <c r="C317">
        <v>21883</v>
      </c>
      <c r="F317">
        <v>740</v>
      </c>
    </row>
    <row r="318" spans="1:6" x14ac:dyDescent="0.2">
      <c r="A318">
        <v>129</v>
      </c>
      <c r="B318">
        <v>3693003</v>
      </c>
      <c r="C318">
        <v>21883</v>
      </c>
      <c r="F318">
        <v>739</v>
      </c>
    </row>
    <row r="319" spans="1:6" x14ac:dyDescent="0.2">
      <c r="A319">
        <v>129</v>
      </c>
      <c r="B319">
        <v>3693004</v>
      </c>
      <c r="C319">
        <v>21883</v>
      </c>
      <c r="F319">
        <v>776</v>
      </c>
    </row>
    <row r="320" spans="1:6" x14ac:dyDescent="0.2">
      <c r="A320">
        <v>129</v>
      </c>
      <c r="B320">
        <v>3693005</v>
      </c>
      <c r="C320">
        <v>21883</v>
      </c>
      <c r="F320">
        <v>775</v>
      </c>
    </row>
    <row r="321" spans="1:6" x14ac:dyDescent="0.2">
      <c r="A321">
        <v>129</v>
      </c>
      <c r="B321">
        <v>3693006</v>
      </c>
      <c r="C321">
        <v>21883</v>
      </c>
      <c r="F321">
        <v>774</v>
      </c>
    </row>
    <row r="322" spans="1:6" x14ac:dyDescent="0.2">
      <c r="A322">
        <v>129</v>
      </c>
      <c r="B322">
        <v>3693007</v>
      </c>
      <c r="C322">
        <v>21883</v>
      </c>
      <c r="F322">
        <v>100</v>
      </c>
    </row>
    <row r="323" spans="1:6" x14ac:dyDescent="0.2">
      <c r="A323">
        <v>129</v>
      </c>
      <c r="B323">
        <v>3693008</v>
      </c>
      <c r="C323">
        <v>21883</v>
      </c>
      <c r="F323">
        <v>56</v>
      </c>
    </row>
    <row r="324" spans="1:6" x14ac:dyDescent="0.2">
      <c r="A324">
        <v>129</v>
      </c>
      <c r="B324">
        <v>3693009</v>
      </c>
      <c r="C324">
        <v>21883</v>
      </c>
      <c r="F324">
        <v>338</v>
      </c>
    </row>
    <row r="325" spans="1:6" x14ac:dyDescent="0.2">
      <c r="A325">
        <v>129</v>
      </c>
      <c r="B325">
        <v>3693010</v>
      </c>
      <c r="C325">
        <v>21883</v>
      </c>
      <c r="F325">
        <v>368</v>
      </c>
    </row>
    <row r="326" spans="1:6" x14ac:dyDescent="0.2">
      <c r="A326">
        <v>129</v>
      </c>
      <c r="B326">
        <v>3693011</v>
      </c>
      <c r="C326">
        <v>21883</v>
      </c>
      <c r="F326">
        <v>366</v>
      </c>
    </row>
    <row r="327" spans="1:6" x14ac:dyDescent="0.2">
      <c r="A327">
        <v>129</v>
      </c>
      <c r="B327">
        <v>3693012</v>
      </c>
      <c r="C327">
        <v>21883</v>
      </c>
      <c r="F327">
        <v>365</v>
      </c>
    </row>
    <row r="328" spans="1:6" x14ac:dyDescent="0.2">
      <c r="A328">
        <v>129</v>
      </c>
      <c r="B328">
        <v>3693013</v>
      </c>
      <c r="C328">
        <v>21883</v>
      </c>
      <c r="F328">
        <v>26</v>
      </c>
    </row>
    <row r="329" spans="1:6" x14ac:dyDescent="0.2">
      <c r="A329">
        <v>129</v>
      </c>
      <c r="B329">
        <v>3693014</v>
      </c>
      <c r="C329">
        <v>21883</v>
      </c>
      <c r="F329">
        <v>364</v>
      </c>
    </row>
    <row r="330" spans="1:6" x14ac:dyDescent="0.2">
      <c r="A330">
        <v>129</v>
      </c>
      <c r="B330">
        <v>3693015</v>
      </c>
      <c r="C330">
        <v>21883</v>
      </c>
      <c r="F330">
        <v>114</v>
      </c>
    </row>
    <row r="331" spans="1:6" x14ac:dyDescent="0.2">
      <c r="A331">
        <v>129</v>
      </c>
      <c r="B331">
        <v>3693016</v>
      </c>
      <c r="C331">
        <v>21883</v>
      </c>
      <c r="F331">
        <v>112</v>
      </c>
    </row>
    <row r="332" spans="1:6" x14ac:dyDescent="0.2">
      <c r="A332">
        <v>129</v>
      </c>
      <c r="B332">
        <v>3693017</v>
      </c>
      <c r="C332">
        <v>21883</v>
      </c>
      <c r="F332">
        <v>36</v>
      </c>
    </row>
    <row r="333" spans="1:6" x14ac:dyDescent="0.2">
      <c r="A333">
        <v>129</v>
      </c>
      <c r="B333">
        <v>3693018</v>
      </c>
      <c r="C333">
        <v>21883</v>
      </c>
      <c r="F333">
        <v>135</v>
      </c>
    </row>
    <row r="334" spans="1:6" x14ac:dyDescent="0.2">
      <c r="A334">
        <v>129</v>
      </c>
      <c r="B334">
        <v>3693019</v>
      </c>
      <c r="C334">
        <v>21883</v>
      </c>
      <c r="F334">
        <v>48</v>
      </c>
    </row>
    <row r="335" spans="1:6" x14ac:dyDescent="0.2">
      <c r="A335">
        <v>129</v>
      </c>
      <c r="B335">
        <v>3693020</v>
      </c>
      <c r="C335">
        <v>21883</v>
      </c>
      <c r="F335">
        <v>63</v>
      </c>
    </row>
    <row r="336" spans="1:6" x14ac:dyDescent="0.2">
      <c r="A336">
        <v>129</v>
      </c>
      <c r="B336">
        <v>3693021</v>
      </c>
      <c r="C336">
        <v>21883</v>
      </c>
      <c r="F336">
        <v>69</v>
      </c>
    </row>
    <row r="337" spans="1:6" x14ac:dyDescent="0.2">
      <c r="A337">
        <v>129</v>
      </c>
      <c r="B337">
        <v>3693022</v>
      </c>
      <c r="C337">
        <v>21883</v>
      </c>
      <c r="F337">
        <v>30</v>
      </c>
    </row>
    <row r="338" spans="1:6" x14ac:dyDescent="0.2">
      <c r="A338">
        <v>129</v>
      </c>
      <c r="B338">
        <v>3693023</v>
      </c>
      <c r="C338">
        <v>21883</v>
      </c>
      <c r="F338">
        <v>18</v>
      </c>
    </row>
    <row r="339" spans="1:6" x14ac:dyDescent="0.2">
      <c r="A339">
        <v>129</v>
      </c>
      <c r="B339">
        <v>3693024</v>
      </c>
      <c r="C339">
        <v>21883</v>
      </c>
      <c r="F339">
        <v>24</v>
      </c>
    </row>
    <row r="340" spans="1:6" x14ac:dyDescent="0.2">
      <c r="A340">
        <v>129</v>
      </c>
      <c r="B340">
        <v>3693025</v>
      </c>
      <c r="C340">
        <v>21883</v>
      </c>
      <c r="F340">
        <v>38</v>
      </c>
    </row>
    <row r="341" spans="1:6" x14ac:dyDescent="0.2">
      <c r="A341">
        <v>129</v>
      </c>
      <c r="B341">
        <v>3693026</v>
      </c>
      <c r="C341">
        <v>21883</v>
      </c>
      <c r="F341">
        <v>42</v>
      </c>
    </row>
    <row r="342" spans="1:6" x14ac:dyDescent="0.2">
      <c r="A342">
        <v>129</v>
      </c>
      <c r="B342">
        <v>3693027</v>
      </c>
      <c r="C342">
        <v>21883</v>
      </c>
      <c r="F342">
        <v>796</v>
      </c>
    </row>
    <row r="343" spans="1:6" x14ac:dyDescent="0.2">
      <c r="A343">
        <v>129</v>
      </c>
      <c r="B343">
        <v>3693028</v>
      </c>
      <c r="C343">
        <v>21883</v>
      </c>
      <c r="F343">
        <v>848</v>
      </c>
    </row>
    <row r="344" spans="1:6" x14ac:dyDescent="0.2">
      <c r="A344">
        <v>129</v>
      </c>
      <c r="B344">
        <v>3693029</v>
      </c>
      <c r="C344">
        <v>21883</v>
      </c>
      <c r="F344">
        <v>1118</v>
      </c>
    </row>
    <row r="345" spans="1:6" x14ac:dyDescent="0.2">
      <c r="A345">
        <v>129</v>
      </c>
      <c r="B345">
        <v>3693030</v>
      </c>
      <c r="C345">
        <v>21883</v>
      </c>
      <c r="F345">
        <v>841</v>
      </c>
    </row>
    <row r="346" spans="1:6" x14ac:dyDescent="0.2">
      <c r="A346">
        <v>129</v>
      </c>
      <c r="B346">
        <v>3693031</v>
      </c>
      <c r="C346">
        <v>21883</v>
      </c>
      <c r="F346">
        <v>51</v>
      </c>
    </row>
    <row r="347" spans="1:6" x14ac:dyDescent="0.2">
      <c r="A347">
        <v>129</v>
      </c>
      <c r="B347">
        <v>3693032</v>
      </c>
      <c r="C347">
        <v>21883</v>
      </c>
      <c r="F347">
        <v>133</v>
      </c>
    </row>
    <row r="348" spans="1:6" x14ac:dyDescent="0.2">
      <c r="A348">
        <v>129</v>
      </c>
      <c r="B348">
        <v>3693033</v>
      </c>
      <c r="C348">
        <v>21883</v>
      </c>
      <c r="F348">
        <v>97</v>
      </c>
    </row>
    <row r="349" spans="1:6" x14ac:dyDescent="0.2">
      <c r="A349">
        <v>129</v>
      </c>
      <c r="B349">
        <v>3693034</v>
      </c>
      <c r="C349">
        <v>21883</v>
      </c>
      <c r="F349">
        <v>1117</v>
      </c>
    </row>
    <row r="350" spans="1:6" x14ac:dyDescent="0.2">
      <c r="A350">
        <v>129</v>
      </c>
      <c r="B350">
        <v>3693035</v>
      </c>
      <c r="C350">
        <v>21883</v>
      </c>
      <c r="F350">
        <v>1130</v>
      </c>
    </row>
    <row r="351" spans="1:6" x14ac:dyDescent="0.2">
      <c r="A351">
        <v>129</v>
      </c>
      <c r="B351">
        <v>3693036</v>
      </c>
      <c r="C351">
        <v>21883</v>
      </c>
      <c r="F351">
        <v>1129</v>
      </c>
    </row>
    <row r="352" spans="1:6" x14ac:dyDescent="0.2">
      <c r="A352">
        <v>129</v>
      </c>
      <c r="B352">
        <v>3693037</v>
      </c>
      <c r="C352">
        <v>21883</v>
      </c>
      <c r="F352">
        <v>1128</v>
      </c>
    </row>
    <row r="353" spans="1:6" x14ac:dyDescent="0.2">
      <c r="A353">
        <v>129</v>
      </c>
      <c r="B353">
        <v>3693038</v>
      </c>
      <c r="C353">
        <v>21883</v>
      </c>
      <c r="F353">
        <v>110</v>
      </c>
    </row>
    <row r="354" spans="1:6" x14ac:dyDescent="0.2">
      <c r="A354">
        <v>129</v>
      </c>
      <c r="B354">
        <v>3693039</v>
      </c>
      <c r="C354">
        <v>21883</v>
      </c>
      <c r="F354">
        <v>1140</v>
      </c>
    </row>
    <row r="355" spans="1:6" x14ac:dyDescent="0.2">
      <c r="A355">
        <v>129</v>
      </c>
      <c r="B355">
        <v>3693040</v>
      </c>
      <c r="C355">
        <v>21883</v>
      </c>
      <c r="F355">
        <v>1139</v>
      </c>
    </row>
    <row r="356" spans="1:6" x14ac:dyDescent="0.2">
      <c r="A356">
        <v>129</v>
      </c>
      <c r="B356">
        <v>3693041</v>
      </c>
      <c r="C356">
        <v>21883</v>
      </c>
      <c r="F356">
        <v>1138</v>
      </c>
    </row>
    <row r="357" spans="1:6" x14ac:dyDescent="0.2">
      <c r="A357">
        <v>129</v>
      </c>
      <c r="B357">
        <v>3693042</v>
      </c>
      <c r="C357">
        <v>21883</v>
      </c>
      <c r="F357">
        <v>1137</v>
      </c>
    </row>
    <row r="358" spans="1:6" x14ac:dyDescent="0.2">
      <c r="A358">
        <v>129</v>
      </c>
      <c r="B358">
        <v>3693043</v>
      </c>
      <c r="C358">
        <v>21883</v>
      </c>
      <c r="F358">
        <v>1136</v>
      </c>
    </row>
    <row r="359" spans="1:6" x14ac:dyDescent="0.2">
      <c r="A359">
        <v>129</v>
      </c>
      <c r="B359">
        <v>3693044</v>
      </c>
      <c r="C359">
        <v>21883</v>
      </c>
      <c r="F359">
        <v>1135</v>
      </c>
    </row>
    <row r="360" spans="1:6" x14ac:dyDescent="0.2">
      <c r="A360">
        <v>129</v>
      </c>
      <c r="B360">
        <v>3693045</v>
      </c>
      <c r="C360">
        <v>21883</v>
      </c>
      <c r="F360">
        <v>1134</v>
      </c>
    </row>
    <row r="361" spans="1:6" x14ac:dyDescent="0.2">
      <c r="A361">
        <v>129</v>
      </c>
      <c r="B361">
        <v>3693046</v>
      </c>
      <c r="C361">
        <v>21883</v>
      </c>
      <c r="F361">
        <v>1133</v>
      </c>
    </row>
    <row r="362" spans="1:6" x14ac:dyDescent="0.2">
      <c r="A362">
        <v>129</v>
      </c>
      <c r="B362">
        <v>3693047</v>
      </c>
      <c r="C362">
        <v>21883</v>
      </c>
      <c r="F362">
        <v>1132</v>
      </c>
    </row>
    <row r="363" spans="1:6" x14ac:dyDescent="0.2">
      <c r="A363">
        <v>129</v>
      </c>
      <c r="B363">
        <v>3693048</v>
      </c>
      <c r="C363">
        <v>21883</v>
      </c>
      <c r="F363">
        <v>1125</v>
      </c>
    </row>
    <row r="364" spans="1:6" x14ac:dyDescent="0.2">
      <c r="A364">
        <v>129</v>
      </c>
      <c r="B364">
        <v>3693049</v>
      </c>
      <c r="C364">
        <v>21883</v>
      </c>
      <c r="F364">
        <v>1124</v>
      </c>
    </row>
    <row r="365" spans="1:6" x14ac:dyDescent="0.2">
      <c r="A365">
        <v>129</v>
      </c>
      <c r="B365">
        <v>3693050</v>
      </c>
      <c r="C365">
        <v>21883</v>
      </c>
      <c r="F365">
        <v>125</v>
      </c>
    </row>
    <row r="366" spans="1:6" x14ac:dyDescent="0.2">
      <c r="A366">
        <v>129</v>
      </c>
      <c r="B366">
        <v>3693051</v>
      </c>
      <c r="C366">
        <v>21883</v>
      </c>
      <c r="F366">
        <v>77</v>
      </c>
    </row>
    <row r="367" spans="1:6" x14ac:dyDescent="0.2">
      <c r="A367">
        <v>129</v>
      </c>
      <c r="B367">
        <v>3693052</v>
      </c>
      <c r="C367">
        <v>21883</v>
      </c>
      <c r="F367">
        <v>79</v>
      </c>
    </row>
    <row r="368" spans="1:6" x14ac:dyDescent="0.2">
      <c r="A368">
        <v>129</v>
      </c>
      <c r="B368">
        <v>3693053</v>
      </c>
      <c r="C368">
        <v>21883</v>
      </c>
      <c r="F368">
        <v>122</v>
      </c>
    </row>
    <row r="369" spans="1:6" x14ac:dyDescent="0.2">
      <c r="A369">
        <v>129</v>
      </c>
      <c r="B369">
        <v>3693054</v>
      </c>
      <c r="C369">
        <v>21883</v>
      </c>
      <c r="F369">
        <v>1478</v>
      </c>
    </row>
    <row r="370" spans="1:6" x14ac:dyDescent="0.2">
      <c r="A370">
        <v>129</v>
      </c>
      <c r="B370">
        <v>3693055</v>
      </c>
      <c r="C370">
        <v>21883</v>
      </c>
      <c r="F370">
        <v>80</v>
      </c>
    </row>
    <row r="371" spans="1:6" x14ac:dyDescent="0.2">
      <c r="A371">
        <v>129</v>
      </c>
      <c r="B371">
        <v>3693056</v>
      </c>
      <c r="C371">
        <v>21883</v>
      </c>
      <c r="F371">
        <v>25</v>
      </c>
    </row>
    <row r="372" spans="1:6" x14ac:dyDescent="0.2">
      <c r="A372">
        <v>129</v>
      </c>
      <c r="B372">
        <v>3693057</v>
      </c>
      <c r="C372">
        <v>21883</v>
      </c>
      <c r="F372">
        <v>120</v>
      </c>
    </row>
    <row r="373" spans="1:6" x14ac:dyDescent="0.2">
      <c r="A373">
        <v>129</v>
      </c>
      <c r="B373">
        <v>3693058</v>
      </c>
      <c r="C373">
        <v>21883</v>
      </c>
      <c r="F373">
        <v>1496</v>
      </c>
    </row>
    <row r="374" spans="1:6" x14ac:dyDescent="0.2">
      <c r="A374">
        <v>129</v>
      </c>
      <c r="B374">
        <v>3693059</v>
      </c>
      <c r="C374">
        <v>21883</v>
      </c>
      <c r="F374">
        <v>1494</v>
      </c>
    </row>
    <row r="375" spans="1:6" x14ac:dyDescent="0.2">
      <c r="A375">
        <v>129</v>
      </c>
      <c r="B375">
        <v>3693060</v>
      </c>
      <c r="C375">
        <v>21883</v>
      </c>
      <c r="F375">
        <v>72</v>
      </c>
    </row>
    <row r="376" spans="1:6" x14ac:dyDescent="0.2">
      <c r="A376">
        <v>129</v>
      </c>
      <c r="B376">
        <v>3693061</v>
      </c>
      <c r="C376">
        <v>21883</v>
      </c>
      <c r="F376">
        <v>81</v>
      </c>
    </row>
    <row r="377" spans="1:6" x14ac:dyDescent="0.2">
      <c r="A377">
        <v>129</v>
      </c>
      <c r="B377">
        <v>3693062</v>
      </c>
      <c r="C377">
        <v>21883</v>
      </c>
      <c r="F377">
        <v>73</v>
      </c>
    </row>
    <row r="378" spans="1:6" x14ac:dyDescent="0.2">
      <c r="A378">
        <v>129</v>
      </c>
      <c r="B378">
        <v>3693063</v>
      </c>
      <c r="C378">
        <v>21883</v>
      </c>
      <c r="F378">
        <v>76</v>
      </c>
    </row>
    <row r="379" spans="1:6" x14ac:dyDescent="0.2">
      <c r="A379">
        <v>129</v>
      </c>
      <c r="B379">
        <v>3693064</v>
      </c>
      <c r="C379">
        <v>21883</v>
      </c>
      <c r="F379">
        <v>71</v>
      </c>
    </row>
    <row r="380" spans="1:6" x14ac:dyDescent="0.2">
      <c r="A380">
        <v>129</v>
      </c>
      <c r="B380">
        <v>3693065</v>
      </c>
      <c r="C380">
        <v>21883</v>
      </c>
      <c r="F380">
        <v>75</v>
      </c>
    </row>
    <row r="381" spans="1:6" x14ac:dyDescent="0.2">
      <c r="A381">
        <v>129</v>
      </c>
      <c r="B381">
        <v>3693066</v>
      </c>
      <c r="C381">
        <v>21883</v>
      </c>
      <c r="F381">
        <v>13</v>
      </c>
    </row>
    <row r="382" spans="1:6" x14ac:dyDescent="0.2">
      <c r="A382">
        <v>129</v>
      </c>
      <c r="B382">
        <v>3693067</v>
      </c>
      <c r="C382">
        <v>21883</v>
      </c>
      <c r="F382">
        <v>94</v>
      </c>
    </row>
    <row r="383" spans="1:6" x14ac:dyDescent="0.2">
      <c r="A383">
        <v>129</v>
      </c>
      <c r="B383">
        <v>3693068</v>
      </c>
      <c r="C383">
        <v>21883</v>
      </c>
      <c r="F383">
        <v>150</v>
      </c>
    </row>
    <row r="384" spans="1:6" x14ac:dyDescent="0.2">
      <c r="A384">
        <v>129</v>
      </c>
      <c r="B384">
        <v>3693069</v>
      </c>
      <c r="C384">
        <v>21883</v>
      </c>
      <c r="F384">
        <v>148</v>
      </c>
    </row>
    <row r="385" spans="1:6" x14ac:dyDescent="0.2">
      <c r="A385">
        <v>129</v>
      </c>
      <c r="B385">
        <v>3693070</v>
      </c>
      <c r="C385">
        <v>21883</v>
      </c>
      <c r="F385">
        <v>92</v>
      </c>
    </row>
    <row r="386" spans="1:6" x14ac:dyDescent="0.2">
      <c r="A386">
        <v>129</v>
      </c>
      <c r="B386">
        <v>3693071</v>
      </c>
      <c r="C386">
        <v>21883</v>
      </c>
      <c r="F386">
        <v>152</v>
      </c>
    </row>
    <row r="387" spans="1:6" x14ac:dyDescent="0.2">
      <c r="A387">
        <v>129</v>
      </c>
      <c r="B387">
        <v>3693072</v>
      </c>
      <c r="C387">
        <v>21883</v>
      </c>
      <c r="F387">
        <v>151</v>
      </c>
    </row>
    <row r="388" spans="1:6" x14ac:dyDescent="0.2">
      <c r="A388">
        <v>129</v>
      </c>
      <c r="B388">
        <v>3693073</v>
      </c>
      <c r="C388">
        <v>21883</v>
      </c>
      <c r="F388">
        <v>149</v>
      </c>
    </row>
    <row r="389" spans="1:6" x14ac:dyDescent="0.2">
      <c r="A389">
        <v>129</v>
      </c>
      <c r="B389">
        <v>3693074</v>
      </c>
      <c r="C389">
        <v>21883</v>
      </c>
      <c r="F389">
        <v>147</v>
      </c>
    </row>
    <row r="390" spans="1:6" x14ac:dyDescent="0.2">
      <c r="A390">
        <v>129</v>
      </c>
      <c r="B390">
        <v>3693075</v>
      </c>
      <c r="C390">
        <v>21883</v>
      </c>
      <c r="F390">
        <v>157</v>
      </c>
    </row>
    <row r="391" spans="1:6" x14ac:dyDescent="0.2">
      <c r="A391">
        <v>129</v>
      </c>
      <c r="B391">
        <v>3693076</v>
      </c>
      <c r="C391">
        <v>21883</v>
      </c>
      <c r="F391">
        <v>31</v>
      </c>
    </row>
    <row r="392" spans="1:6" x14ac:dyDescent="0.2">
      <c r="A392">
        <v>129</v>
      </c>
      <c r="B392">
        <v>3693077</v>
      </c>
      <c r="C392">
        <v>21883</v>
      </c>
      <c r="F392">
        <v>161</v>
      </c>
    </row>
    <row r="393" spans="1:6" x14ac:dyDescent="0.2">
      <c r="A393">
        <v>129</v>
      </c>
      <c r="B393">
        <v>3693078</v>
      </c>
      <c r="C393">
        <v>21883</v>
      </c>
      <c r="F393">
        <v>160</v>
      </c>
    </row>
    <row r="394" spans="1:6" x14ac:dyDescent="0.2">
      <c r="A394">
        <v>129</v>
      </c>
      <c r="B394">
        <v>3693079</v>
      </c>
      <c r="C394">
        <v>21883</v>
      </c>
      <c r="F394">
        <v>159</v>
      </c>
    </row>
    <row r="395" spans="1:6" x14ac:dyDescent="0.2">
      <c r="A395">
        <v>129</v>
      </c>
      <c r="B395">
        <v>3693080</v>
      </c>
      <c r="C395">
        <v>21883</v>
      </c>
      <c r="F395">
        <v>158</v>
      </c>
    </row>
    <row r="396" spans="1:6" x14ac:dyDescent="0.2">
      <c r="A396">
        <v>129</v>
      </c>
      <c r="B396">
        <v>3693081</v>
      </c>
      <c r="C396">
        <v>21883</v>
      </c>
      <c r="F396">
        <v>156</v>
      </c>
    </row>
    <row r="397" spans="1:6" x14ac:dyDescent="0.2">
      <c r="A397">
        <v>129</v>
      </c>
      <c r="B397">
        <v>3693082</v>
      </c>
      <c r="C397">
        <v>21883</v>
      </c>
      <c r="F397">
        <v>27</v>
      </c>
    </row>
    <row r="398" spans="1:6" x14ac:dyDescent="0.2">
      <c r="A398">
        <v>129</v>
      </c>
      <c r="B398">
        <v>3693083</v>
      </c>
      <c r="C398">
        <v>21883</v>
      </c>
      <c r="F398">
        <v>163</v>
      </c>
    </row>
    <row r="399" spans="1:6" x14ac:dyDescent="0.2">
      <c r="A399">
        <v>129</v>
      </c>
      <c r="B399">
        <v>3693084</v>
      </c>
      <c r="C399">
        <v>21883</v>
      </c>
      <c r="F399">
        <v>164</v>
      </c>
    </row>
    <row r="400" spans="1:6" x14ac:dyDescent="0.2">
      <c r="A400">
        <v>129</v>
      </c>
      <c r="B400">
        <v>3693085</v>
      </c>
      <c r="C400">
        <v>21883</v>
      </c>
      <c r="F400">
        <v>153</v>
      </c>
    </row>
    <row r="401" spans="1:6" x14ac:dyDescent="0.2">
      <c r="A401">
        <v>129</v>
      </c>
      <c r="B401">
        <v>3693086</v>
      </c>
      <c r="C401">
        <v>21883</v>
      </c>
      <c r="F401">
        <v>154</v>
      </c>
    </row>
    <row r="402" spans="1:6" x14ac:dyDescent="0.2">
      <c r="A402">
        <v>129</v>
      </c>
      <c r="B402">
        <v>3693087</v>
      </c>
      <c r="C402">
        <v>21883</v>
      </c>
      <c r="F402">
        <v>178</v>
      </c>
    </row>
    <row r="403" spans="1:6" x14ac:dyDescent="0.2">
      <c r="A403">
        <v>129</v>
      </c>
      <c r="B403">
        <v>3693088</v>
      </c>
      <c r="C403">
        <v>21883</v>
      </c>
      <c r="F403">
        <v>177</v>
      </c>
    </row>
    <row r="404" spans="1:6" x14ac:dyDescent="0.2">
      <c r="A404">
        <v>129</v>
      </c>
      <c r="B404">
        <v>3693089</v>
      </c>
      <c r="C404">
        <v>21883</v>
      </c>
      <c r="F404">
        <v>175</v>
      </c>
    </row>
    <row r="405" spans="1:6" x14ac:dyDescent="0.2">
      <c r="A405">
        <v>129</v>
      </c>
      <c r="B405">
        <v>3693090</v>
      </c>
      <c r="C405">
        <v>21883</v>
      </c>
      <c r="F405">
        <v>174</v>
      </c>
    </row>
    <row r="406" spans="1:6" x14ac:dyDescent="0.2">
      <c r="A406">
        <v>129</v>
      </c>
      <c r="B406">
        <v>3693091</v>
      </c>
      <c r="C406">
        <v>21883</v>
      </c>
      <c r="F406">
        <v>173</v>
      </c>
    </row>
    <row r="407" spans="1:6" x14ac:dyDescent="0.2">
      <c r="A407">
        <v>129</v>
      </c>
      <c r="B407">
        <v>3693092</v>
      </c>
      <c r="C407">
        <v>21883</v>
      </c>
      <c r="F407">
        <v>172</v>
      </c>
    </row>
    <row r="408" spans="1:6" x14ac:dyDescent="0.2">
      <c r="A408">
        <v>129</v>
      </c>
      <c r="B408">
        <v>3693093</v>
      </c>
      <c r="C408">
        <v>21883</v>
      </c>
      <c r="F408">
        <v>170</v>
      </c>
    </row>
    <row r="409" spans="1:6" x14ac:dyDescent="0.2">
      <c r="A409">
        <v>129</v>
      </c>
      <c r="B409">
        <v>3693094</v>
      </c>
      <c r="C409">
        <v>21883</v>
      </c>
      <c r="F409">
        <v>169</v>
      </c>
    </row>
    <row r="410" spans="1:6" x14ac:dyDescent="0.2">
      <c r="A410">
        <v>129</v>
      </c>
      <c r="B410">
        <v>3693095</v>
      </c>
      <c r="C410">
        <v>21883</v>
      </c>
      <c r="F410">
        <v>168</v>
      </c>
    </row>
    <row r="411" spans="1:6" x14ac:dyDescent="0.2">
      <c r="A411">
        <v>129</v>
      </c>
      <c r="B411">
        <v>3693096</v>
      </c>
      <c r="C411">
        <v>21883</v>
      </c>
      <c r="F411">
        <v>167</v>
      </c>
    </row>
    <row r="412" spans="1:6" x14ac:dyDescent="0.2">
      <c r="A412">
        <v>129</v>
      </c>
      <c r="B412">
        <v>3693097</v>
      </c>
      <c r="C412">
        <v>21883</v>
      </c>
      <c r="F412">
        <v>176</v>
      </c>
    </row>
    <row r="413" spans="1:6" x14ac:dyDescent="0.2">
      <c r="A413">
        <v>129</v>
      </c>
      <c r="B413">
        <v>3693098</v>
      </c>
      <c r="C413">
        <v>21883</v>
      </c>
      <c r="F413">
        <v>183</v>
      </c>
    </row>
    <row r="414" spans="1:6" x14ac:dyDescent="0.2">
      <c r="A414">
        <v>129</v>
      </c>
      <c r="B414">
        <v>3693099</v>
      </c>
      <c r="C414">
        <v>21883</v>
      </c>
      <c r="F414">
        <v>182</v>
      </c>
    </row>
    <row r="415" spans="1:6" x14ac:dyDescent="0.2">
      <c r="A415">
        <v>129</v>
      </c>
      <c r="B415">
        <v>3693100</v>
      </c>
      <c r="C415">
        <v>21883</v>
      </c>
      <c r="F415">
        <v>171</v>
      </c>
    </row>
    <row r="416" spans="1:6" x14ac:dyDescent="0.2">
      <c r="A416">
        <v>129</v>
      </c>
      <c r="B416">
        <v>3693101</v>
      </c>
      <c r="C416">
        <v>21883</v>
      </c>
      <c r="F416">
        <v>181</v>
      </c>
    </row>
    <row r="417" spans="1:6" x14ac:dyDescent="0.2">
      <c r="A417">
        <v>129</v>
      </c>
      <c r="B417">
        <v>3693102</v>
      </c>
      <c r="C417">
        <v>21883</v>
      </c>
      <c r="F417">
        <v>180</v>
      </c>
    </row>
    <row r="418" spans="1:6" x14ac:dyDescent="0.2">
      <c r="A418">
        <v>129</v>
      </c>
      <c r="B418">
        <v>3693103</v>
      </c>
      <c r="C418">
        <v>21883</v>
      </c>
      <c r="F418">
        <v>191</v>
      </c>
    </row>
    <row r="419" spans="1:6" x14ac:dyDescent="0.2">
      <c r="A419">
        <v>129</v>
      </c>
      <c r="B419">
        <v>3693104</v>
      </c>
      <c r="C419">
        <v>21883</v>
      </c>
      <c r="F419">
        <v>190</v>
      </c>
    </row>
    <row r="420" spans="1:6" x14ac:dyDescent="0.2">
      <c r="A420">
        <v>129</v>
      </c>
      <c r="B420">
        <v>3693105</v>
      </c>
      <c r="C420">
        <v>21883</v>
      </c>
      <c r="F420">
        <v>189</v>
      </c>
    </row>
    <row r="421" spans="1:6" x14ac:dyDescent="0.2">
      <c r="A421">
        <v>129</v>
      </c>
      <c r="B421">
        <v>3693106</v>
      </c>
      <c r="C421">
        <v>21883</v>
      </c>
      <c r="F421">
        <v>199</v>
      </c>
    </row>
    <row r="422" spans="1:6" x14ac:dyDescent="0.2">
      <c r="A422">
        <v>129</v>
      </c>
      <c r="B422">
        <v>3693107</v>
      </c>
      <c r="C422">
        <v>21883</v>
      </c>
      <c r="F422">
        <v>198</v>
      </c>
    </row>
    <row r="423" spans="1:6" x14ac:dyDescent="0.2">
      <c r="A423">
        <v>129</v>
      </c>
      <c r="B423">
        <v>3693108</v>
      </c>
      <c r="C423">
        <v>21883</v>
      </c>
      <c r="F423">
        <v>197</v>
      </c>
    </row>
    <row r="424" spans="1:6" x14ac:dyDescent="0.2">
      <c r="A424">
        <v>129</v>
      </c>
      <c r="B424">
        <v>3693109</v>
      </c>
      <c r="C424">
        <v>21883</v>
      </c>
      <c r="F424">
        <v>202</v>
      </c>
    </row>
    <row r="425" spans="1:6" x14ac:dyDescent="0.2">
      <c r="A425">
        <v>129</v>
      </c>
      <c r="B425">
        <v>3693110</v>
      </c>
      <c r="C425">
        <v>21883</v>
      </c>
      <c r="F425">
        <v>201</v>
      </c>
    </row>
    <row r="426" spans="1:6" x14ac:dyDescent="0.2">
      <c r="A426">
        <v>129</v>
      </c>
      <c r="B426">
        <v>3693111</v>
      </c>
      <c r="C426">
        <v>21883</v>
      </c>
      <c r="F426">
        <v>208</v>
      </c>
    </row>
    <row r="427" spans="1:6" x14ac:dyDescent="0.2">
      <c r="A427">
        <v>129</v>
      </c>
      <c r="B427">
        <v>3693112</v>
      </c>
      <c r="C427">
        <v>21883</v>
      </c>
      <c r="F427">
        <v>207</v>
      </c>
    </row>
    <row r="428" spans="1:6" x14ac:dyDescent="0.2">
      <c r="A428">
        <v>129</v>
      </c>
      <c r="B428">
        <v>3693113</v>
      </c>
      <c r="C428">
        <v>21883</v>
      </c>
      <c r="F428">
        <v>206</v>
      </c>
    </row>
    <row r="429" spans="1:6" x14ac:dyDescent="0.2">
      <c r="A429">
        <v>129</v>
      </c>
      <c r="B429">
        <v>3693114</v>
      </c>
      <c r="C429">
        <v>21883</v>
      </c>
      <c r="F429">
        <v>205</v>
      </c>
    </row>
    <row r="430" spans="1:6" x14ac:dyDescent="0.2">
      <c r="A430">
        <v>129</v>
      </c>
      <c r="B430">
        <v>3693115</v>
      </c>
      <c r="C430">
        <v>21883</v>
      </c>
      <c r="F430">
        <v>204</v>
      </c>
    </row>
    <row r="431" spans="1:6" x14ac:dyDescent="0.2">
      <c r="A431">
        <v>129</v>
      </c>
      <c r="B431">
        <v>3693116</v>
      </c>
      <c r="C431">
        <v>21883</v>
      </c>
      <c r="F431">
        <v>212</v>
      </c>
    </row>
    <row r="432" spans="1:6" x14ac:dyDescent="0.2">
      <c r="A432">
        <v>129</v>
      </c>
      <c r="B432">
        <v>3693117</v>
      </c>
      <c r="C432">
        <v>21883</v>
      </c>
      <c r="F432">
        <v>211</v>
      </c>
    </row>
    <row r="433" spans="1:6" x14ac:dyDescent="0.2">
      <c r="A433">
        <v>129</v>
      </c>
      <c r="B433">
        <v>3693118</v>
      </c>
      <c r="C433">
        <v>21883</v>
      </c>
      <c r="F433">
        <v>210</v>
      </c>
    </row>
    <row r="434" spans="1:6" x14ac:dyDescent="0.2">
      <c r="A434">
        <v>129</v>
      </c>
      <c r="B434">
        <v>3693119</v>
      </c>
      <c r="C434">
        <v>21883</v>
      </c>
      <c r="F434">
        <v>217</v>
      </c>
    </row>
    <row r="435" spans="1:6" x14ac:dyDescent="0.2">
      <c r="A435">
        <v>129</v>
      </c>
      <c r="B435">
        <v>3693120</v>
      </c>
      <c r="C435">
        <v>21883</v>
      </c>
      <c r="F435">
        <v>216</v>
      </c>
    </row>
    <row r="436" spans="1:6" x14ac:dyDescent="0.2">
      <c r="A436">
        <v>129</v>
      </c>
      <c r="B436">
        <v>3693121</v>
      </c>
      <c r="C436">
        <v>21883</v>
      </c>
      <c r="F436">
        <v>215</v>
      </c>
    </row>
    <row r="437" spans="1:6" x14ac:dyDescent="0.2">
      <c r="A437">
        <v>129</v>
      </c>
      <c r="B437">
        <v>3693122</v>
      </c>
      <c r="C437">
        <v>21883</v>
      </c>
      <c r="F437">
        <v>86</v>
      </c>
    </row>
    <row r="438" spans="1:6" x14ac:dyDescent="0.2">
      <c r="A438">
        <v>129</v>
      </c>
      <c r="B438">
        <v>3693123</v>
      </c>
      <c r="C438">
        <v>21883</v>
      </c>
      <c r="F438">
        <v>195</v>
      </c>
    </row>
    <row r="439" spans="1:6" x14ac:dyDescent="0.2">
      <c r="A439">
        <v>129</v>
      </c>
      <c r="B439">
        <v>3693124</v>
      </c>
      <c r="C439">
        <v>21883</v>
      </c>
      <c r="F439">
        <v>194</v>
      </c>
    </row>
    <row r="440" spans="1:6" x14ac:dyDescent="0.2">
      <c r="A440">
        <v>129</v>
      </c>
      <c r="B440">
        <v>3693125</v>
      </c>
      <c r="C440">
        <v>21883</v>
      </c>
      <c r="F440">
        <v>193</v>
      </c>
    </row>
    <row r="441" spans="1:6" x14ac:dyDescent="0.2">
      <c r="A441">
        <v>129</v>
      </c>
      <c r="B441">
        <v>3693126</v>
      </c>
      <c r="C441">
        <v>21883</v>
      </c>
      <c r="F441">
        <v>187</v>
      </c>
    </row>
    <row r="442" spans="1:6" x14ac:dyDescent="0.2">
      <c r="A442">
        <v>129</v>
      </c>
      <c r="B442">
        <v>3693127</v>
      </c>
      <c r="C442">
        <v>21883</v>
      </c>
      <c r="F442">
        <v>91</v>
      </c>
    </row>
    <row r="443" spans="1:6" x14ac:dyDescent="0.2">
      <c r="A443">
        <v>129</v>
      </c>
      <c r="B443">
        <v>3693128</v>
      </c>
      <c r="C443">
        <v>21883</v>
      </c>
      <c r="F443">
        <v>219</v>
      </c>
    </row>
    <row r="444" spans="1:6" x14ac:dyDescent="0.2">
      <c r="A444">
        <v>129</v>
      </c>
      <c r="B444">
        <v>3693129</v>
      </c>
      <c r="C444">
        <v>21883</v>
      </c>
      <c r="F444">
        <v>89</v>
      </c>
    </row>
    <row r="445" spans="1:6" x14ac:dyDescent="0.2">
      <c r="A445">
        <v>129</v>
      </c>
      <c r="B445">
        <v>3693130</v>
      </c>
      <c r="C445">
        <v>21883</v>
      </c>
      <c r="F445">
        <v>273</v>
      </c>
    </row>
    <row r="446" spans="1:6" x14ac:dyDescent="0.2">
      <c r="A446">
        <v>129</v>
      </c>
      <c r="B446">
        <v>3693131</v>
      </c>
      <c r="C446">
        <v>21883</v>
      </c>
      <c r="F446">
        <v>409</v>
      </c>
    </row>
    <row r="447" spans="1:6" x14ac:dyDescent="0.2">
      <c r="A447">
        <v>129</v>
      </c>
      <c r="B447">
        <v>3693132</v>
      </c>
      <c r="C447">
        <v>21883</v>
      </c>
      <c r="F447">
        <v>422</v>
      </c>
    </row>
    <row r="448" spans="1:6" x14ac:dyDescent="0.2">
      <c r="A448">
        <v>129</v>
      </c>
      <c r="B448">
        <v>3693133</v>
      </c>
      <c r="C448">
        <v>21883</v>
      </c>
      <c r="F448">
        <v>421</v>
      </c>
    </row>
    <row r="449" spans="1:6" x14ac:dyDescent="0.2">
      <c r="A449">
        <v>129</v>
      </c>
      <c r="B449">
        <v>3693134</v>
      </c>
      <c r="C449">
        <v>21883</v>
      </c>
      <c r="F449">
        <v>419</v>
      </c>
    </row>
    <row r="450" spans="1:6" x14ac:dyDescent="0.2">
      <c r="A450">
        <v>129</v>
      </c>
      <c r="B450">
        <v>3693135</v>
      </c>
      <c r="C450">
        <v>21883</v>
      </c>
      <c r="F450">
        <v>426</v>
      </c>
    </row>
    <row r="451" spans="1:6" x14ac:dyDescent="0.2">
      <c r="A451">
        <v>129</v>
      </c>
      <c r="B451">
        <v>3693136</v>
      </c>
      <c r="C451">
        <v>21883</v>
      </c>
      <c r="F451">
        <v>440</v>
      </c>
    </row>
    <row r="452" spans="1:6" x14ac:dyDescent="0.2">
      <c r="A452">
        <v>129</v>
      </c>
      <c r="B452">
        <v>3693137</v>
      </c>
      <c r="C452">
        <v>21883</v>
      </c>
      <c r="F452">
        <v>439</v>
      </c>
    </row>
    <row r="453" spans="1:6" x14ac:dyDescent="0.2">
      <c r="A453">
        <v>129</v>
      </c>
      <c r="B453">
        <v>3693138</v>
      </c>
      <c r="C453">
        <v>21883</v>
      </c>
      <c r="F453">
        <v>437</v>
      </c>
    </row>
    <row r="454" spans="1:6" x14ac:dyDescent="0.2">
      <c r="A454">
        <v>129</v>
      </c>
      <c r="B454">
        <v>3693139</v>
      </c>
      <c r="C454">
        <v>21883</v>
      </c>
      <c r="F454">
        <v>449</v>
      </c>
    </row>
    <row r="455" spans="1:6" x14ac:dyDescent="0.2">
      <c r="A455">
        <v>129</v>
      </c>
      <c r="B455">
        <v>3693140</v>
      </c>
      <c r="C455">
        <v>21883</v>
      </c>
      <c r="F455">
        <v>455</v>
      </c>
    </row>
    <row r="456" spans="1:6" x14ac:dyDescent="0.2">
      <c r="A456">
        <v>129</v>
      </c>
      <c r="B456">
        <v>3693141</v>
      </c>
      <c r="C456">
        <v>21883</v>
      </c>
      <c r="F456">
        <v>461</v>
      </c>
    </row>
    <row r="457" spans="1:6" x14ac:dyDescent="0.2">
      <c r="A457">
        <v>129</v>
      </c>
      <c r="B457">
        <v>3693142</v>
      </c>
      <c r="C457">
        <v>21883</v>
      </c>
      <c r="F457">
        <v>469</v>
      </c>
    </row>
    <row r="458" spans="1:6" x14ac:dyDescent="0.2">
      <c r="A458">
        <v>129</v>
      </c>
      <c r="B458">
        <v>3693143</v>
      </c>
      <c r="C458">
        <v>21883</v>
      </c>
      <c r="F458">
        <v>474</v>
      </c>
    </row>
    <row r="459" spans="1:6" x14ac:dyDescent="0.2">
      <c r="A459">
        <v>129</v>
      </c>
      <c r="B459">
        <v>3693144</v>
      </c>
      <c r="C459">
        <v>21883</v>
      </c>
      <c r="F459">
        <v>480</v>
      </c>
    </row>
    <row r="460" spans="1:6" x14ac:dyDescent="0.2">
      <c r="A460">
        <v>129</v>
      </c>
      <c r="B460">
        <v>3693145</v>
      </c>
      <c r="C460">
        <v>21883</v>
      </c>
      <c r="F460">
        <v>486</v>
      </c>
    </row>
    <row r="461" spans="1:6" x14ac:dyDescent="0.2">
      <c r="A461">
        <v>129</v>
      </c>
      <c r="B461">
        <v>3693146</v>
      </c>
      <c r="C461">
        <v>21883</v>
      </c>
      <c r="F461">
        <v>494</v>
      </c>
    </row>
    <row r="462" spans="1:6" x14ac:dyDescent="0.2">
      <c r="A462">
        <v>129</v>
      </c>
      <c r="B462">
        <v>3693147</v>
      </c>
      <c r="C462">
        <v>21883</v>
      </c>
      <c r="F462">
        <v>549</v>
      </c>
    </row>
    <row r="463" spans="1:6" x14ac:dyDescent="0.2">
      <c r="A463">
        <v>129</v>
      </c>
      <c r="B463">
        <v>3693148</v>
      </c>
      <c r="C463">
        <v>21883</v>
      </c>
      <c r="F463">
        <v>548</v>
      </c>
    </row>
    <row r="464" spans="1:6" x14ac:dyDescent="0.2">
      <c r="A464">
        <v>129</v>
      </c>
      <c r="B464">
        <v>3693149</v>
      </c>
      <c r="C464">
        <v>21883</v>
      </c>
      <c r="F464">
        <v>547</v>
      </c>
    </row>
    <row r="465" spans="1:6" x14ac:dyDescent="0.2">
      <c r="A465">
        <v>129</v>
      </c>
      <c r="B465">
        <v>3693150</v>
      </c>
      <c r="C465">
        <v>21883</v>
      </c>
      <c r="F465">
        <v>545</v>
      </c>
    </row>
    <row r="466" spans="1:6" x14ac:dyDescent="0.2">
      <c r="A466">
        <v>129</v>
      </c>
      <c r="B466">
        <v>3693151</v>
      </c>
      <c r="C466">
        <v>21883</v>
      </c>
      <c r="F466">
        <v>534</v>
      </c>
    </row>
    <row r="467" spans="1:6" x14ac:dyDescent="0.2">
      <c r="A467">
        <v>129</v>
      </c>
      <c r="B467">
        <v>3693152</v>
      </c>
      <c r="C467">
        <v>21883</v>
      </c>
      <c r="F467">
        <v>533</v>
      </c>
    </row>
    <row r="468" spans="1:6" x14ac:dyDescent="0.2">
      <c r="A468">
        <v>129</v>
      </c>
      <c r="B468">
        <v>3693153</v>
      </c>
      <c r="C468">
        <v>21883</v>
      </c>
      <c r="F468">
        <v>532</v>
      </c>
    </row>
    <row r="469" spans="1:6" x14ac:dyDescent="0.2">
      <c r="A469">
        <v>129</v>
      </c>
      <c r="B469">
        <v>3693154</v>
      </c>
      <c r="C469">
        <v>21883</v>
      </c>
      <c r="F469">
        <v>530</v>
      </c>
    </row>
    <row r="470" spans="1:6" x14ac:dyDescent="0.2">
      <c r="A470">
        <v>129</v>
      </c>
      <c r="B470">
        <v>3693155</v>
      </c>
      <c r="C470">
        <v>21883</v>
      </c>
      <c r="F470">
        <v>510</v>
      </c>
    </row>
    <row r="471" spans="1:6" x14ac:dyDescent="0.2">
      <c r="A471">
        <v>129</v>
      </c>
      <c r="B471">
        <v>3693156</v>
      </c>
      <c r="C471">
        <v>21883</v>
      </c>
      <c r="F471">
        <v>509</v>
      </c>
    </row>
    <row r="472" spans="1:6" x14ac:dyDescent="0.2">
      <c r="A472">
        <v>129</v>
      </c>
      <c r="B472">
        <v>3693157</v>
      </c>
      <c r="C472">
        <v>21883</v>
      </c>
      <c r="F472">
        <v>508</v>
      </c>
    </row>
    <row r="473" spans="1:6" x14ac:dyDescent="0.2">
      <c r="A473">
        <v>129</v>
      </c>
      <c r="B473">
        <v>3693158</v>
      </c>
      <c r="C473">
        <v>21883</v>
      </c>
      <c r="F473">
        <v>506</v>
      </c>
    </row>
    <row r="474" spans="1:6" x14ac:dyDescent="0.2">
      <c r="A474">
        <v>129</v>
      </c>
      <c r="B474">
        <v>3693159</v>
      </c>
      <c r="C474">
        <v>21883</v>
      </c>
      <c r="F474">
        <v>302</v>
      </c>
    </row>
    <row r="475" spans="1:6" x14ac:dyDescent="0.2">
      <c r="A475">
        <v>129</v>
      </c>
      <c r="B475">
        <v>3693160</v>
      </c>
      <c r="C475">
        <v>21883</v>
      </c>
      <c r="F475">
        <v>300</v>
      </c>
    </row>
    <row r="476" spans="1:6" x14ac:dyDescent="0.2">
      <c r="A476">
        <v>129</v>
      </c>
      <c r="B476">
        <v>3693161</v>
      </c>
      <c r="C476">
        <v>21883</v>
      </c>
      <c r="F476">
        <v>139</v>
      </c>
    </row>
    <row r="477" spans="1:6" x14ac:dyDescent="0.2">
      <c r="A477">
        <v>129</v>
      </c>
      <c r="B477">
        <v>3693162</v>
      </c>
      <c r="C477">
        <v>21883</v>
      </c>
      <c r="F477">
        <v>105</v>
      </c>
    </row>
    <row r="478" spans="1:6" x14ac:dyDescent="0.2">
      <c r="A478">
        <v>129</v>
      </c>
      <c r="B478">
        <v>3693163</v>
      </c>
      <c r="C478">
        <v>21883</v>
      </c>
      <c r="F478">
        <v>301</v>
      </c>
    </row>
    <row r="479" spans="1:6" x14ac:dyDescent="0.2">
      <c r="A479">
        <v>129</v>
      </c>
      <c r="B479">
        <v>3693164</v>
      </c>
      <c r="C479">
        <v>21883</v>
      </c>
      <c r="F479">
        <v>297</v>
      </c>
    </row>
    <row r="480" spans="1:6" x14ac:dyDescent="0.2">
      <c r="A480">
        <v>129</v>
      </c>
      <c r="B480">
        <v>3693165</v>
      </c>
      <c r="C480">
        <v>21883</v>
      </c>
      <c r="F480">
        <v>299</v>
      </c>
    </row>
    <row r="481" spans="1:6" x14ac:dyDescent="0.2">
      <c r="A481">
        <v>129</v>
      </c>
      <c r="B481">
        <v>3693166</v>
      </c>
      <c r="C481">
        <v>21883</v>
      </c>
      <c r="F481">
        <v>298</v>
      </c>
    </row>
    <row r="482" spans="1:6" x14ac:dyDescent="0.2">
      <c r="A482">
        <v>129</v>
      </c>
      <c r="B482">
        <v>3693167</v>
      </c>
      <c r="C482">
        <v>21883</v>
      </c>
      <c r="F482">
        <v>104</v>
      </c>
    </row>
    <row r="483" spans="1:6" x14ac:dyDescent="0.2">
      <c r="A483">
        <v>129</v>
      </c>
      <c r="B483">
        <v>3693168</v>
      </c>
      <c r="C483">
        <v>21883</v>
      </c>
      <c r="F483">
        <v>313</v>
      </c>
    </row>
    <row r="484" spans="1:6" x14ac:dyDescent="0.2">
      <c r="A484">
        <v>129</v>
      </c>
      <c r="B484">
        <v>3693169</v>
      </c>
      <c r="C484">
        <v>21883</v>
      </c>
      <c r="F484">
        <v>138</v>
      </c>
    </row>
    <row r="485" spans="1:6" x14ac:dyDescent="0.2">
      <c r="A485">
        <v>129</v>
      </c>
      <c r="B485">
        <v>3693170</v>
      </c>
      <c r="C485">
        <v>21883</v>
      </c>
      <c r="F485">
        <v>312</v>
      </c>
    </row>
    <row r="486" spans="1:6" x14ac:dyDescent="0.2">
      <c r="A486">
        <v>129</v>
      </c>
      <c r="B486">
        <v>3693171</v>
      </c>
      <c r="C486">
        <v>21883</v>
      </c>
      <c r="F486">
        <v>310</v>
      </c>
    </row>
    <row r="487" spans="1:6" x14ac:dyDescent="0.2">
      <c r="A487">
        <v>129</v>
      </c>
      <c r="B487">
        <v>3693172</v>
      </c>
      <c r="C487">
        <v>21883</v>
      </c>
      <c r="F487">
        <v>311</v>
      </c>
    </row>
    <row r="488" spans="1:6" x14ac:dyDescent="0.2">
      <c r="A488">
        <v>129</v>
      </c>
      <c r="B488">
        <v>3693173</v>
      </c>
      <c r="C488">
        <v>21883</v>
      </c>
      <c r="F488">
        <v>309</v>
      </c>
    </row>
    <row r="489" spans="1:6" x14ac:dyDescent="0.2">
      <c r="A489">
        <v>129</v>
      </c>
      <c r="B489">
        <v>3693174</v>
      </c>
      <c r="C489">
        <v>21883</v>
      </c>
      <c r="F489">
        <v>307</v>
      </c>
    </row>
    <row r="490" spans="1:6" x14ac:dyDescent="0.2">
      <c r="A490">
        <v>129</v>
      </c>
      <c r="B490">
        <v>3693175</v>
      </c>
      <c r="C490">
        <v>21883</v>
      </c>
      <c r="F490">
        <v>308</v>
      </c>
    </row>
    <row r="491" spans="1:6" x14ac:dyDescent="0.2">
      <c r="A491">
        <v>129</v>
      </c>
      <c r="B491">
        <v>3693176</v>
      </c>
      <c r="C491">
        <v>21883</v>
      </c>
      <c r="F491">
        <v>306</v>
      </c>
    </row>
    <row r="492" spans="1:6" x14ac:dyDescent="0.2">
      <c r="A492">
        <v>129</v>
      </c>
      <c r="B492">
        <v>3693177</v>
      </c>
      <c r="C492">
        <v>21883</v>
      </c>
      <c r="F492">
        <v>32</v>
      </c>
    </row>
    <row r="493" spans="1:6" x14ac:dyDescent="0.2">
      <c r="A493">
        <v>129</v>
      </c>
      <c r="B493">
        <v>3693178</v>
      </c>
      <c r="C493">
        <v>21883</v>
      </c>
      <c r="F493">
        <v>59</v>
      </c>
    </row>
    <row r="494" spans="1:6" x14ac:dyDescent="0.2">
      <c r="A494">
        <v>129</v>
      </c>
      <c r="B494">
        <v>3693179</v>
      </c>
      <c r="C494">
        <v>21883</v>
      </c>
      <c r="F494">
        <v>53</v>
      </c>
    </row>
    <row r="495" spans="1:6" x14ac:dyDescent="0.2">
      <c r="A495">
        <v>129</v>
      </c>
      <c r="B495">
        <v>3693180</v>
      </c>
      <c r="C495">
        <v>21883</v>
      </c>
      <c r="F495">
        <v>101</v>
      </c>
    </row>
    <row r="496" spans="1:6" x14ac:dyDescent="0.2">
      <c r="A496">
        <v>129</v>
      </c>
      <c r="B496">
        <v>3693181</v>
      </c>
      <c r="C496">
        <v>21883</v>
      </c>
      <c r="F496">
        <v>54</v>
      </c>
    </row>
    <row r="497" spans="1:6" x14ac:dyDescent="0.2">
      <c r="A497">
        <v>129</v>
      </c>
      <c r="B497">
        <v>3693182</v>
      </c>
      <c r="C497">
        <v>21883</v>
      </c>
      <c r="F497">
        <v>64</v>
      </c>
    </row>
    <row r="498" spans="1:6" x14ac:dyDescent="0.2">
      <c r="A498">
        <v>129</v>
      </c>
      <c r="B498">
        <v>3693183</v>
      </c>
      <c r="C498">
        <v>21883</v>
      </c>
      <c r="F498">
        <v>47</v>
      </c>
    </row>
    <row r="499" spans="1:6" x14ac:dyDescent="0.2">
      <c r="A499">
        <v>129</v>
      </c>
      <c r="B499">
        <v>3693184</v>
      </c>
      <c r="C499">
        <v>21883</v>
      </c>
      <c r="F499">
        <v>67</v>
      </c>
    </row>
    <row r="500" spans="1:6" x14ac:dyDescent="0.2">
      <c r="A500">
        <v>129</v>
      </c>
      <c r="B500">
        <v>3693185</v>
      </c>
      <c r="C500">
        <v>21883</v>
      </c>
      <c r="F500">
        <v>23</v>
      </c>
    </row>
    <row r="501" spans="1:6" x14ac:dyDescent="0.2">
      <c r="A501">
        <v>129</v>
      </c>
      <c r="B501">
        <v>3693186</v>
      </c>
      <c r="C501">
        <v>21883</v>
      </c>
      <c r="F501">
        <v>342</v>
      </c>
    </row>
    <row r="502" spans="1:6" x14ac:dyDescent="0.2">
      <c r="A502">
        <v>129</v>
      </c>
      <c r="B502">
        <v>3693187</v>
      </c>
      <c r="C502">
        <v>21883</v>
      </c>
      <c r="F502">
        <v>283</v>
      </c>
    </row>
    <row r="503" spans="1:6" x14ac:dyDescent="0.2">
      <c r="A503">
        <v>129</v>
      </c>
      <c r="B503">
        <v>3693188</v>
      </c>
      <c r="C503">
        <v>21883</v>
      </c>
      <c r="F503">
        <v>319</v>
      </c>
    </row>
    <row r="504" spans="1:6" x14ac:dyDescent="0.2">
      <c r="A504">
        <v>129</v>
      </c>
      <c r="B504">
        <v>3693189</v>
      </c>
      <c r="C504">
        <v>21883</v>
      </c>
      <c r="F504">
        <v>340</v>
      </c>
    </row>
    <row r="505" spans="1:6" x14ac:dyDescent="0.2">
      <c r="A505">
        <v>129</v>
      </c>
      <c r="B505">
        <v>3693190</v>
      </c>
      <c r="C505">
        <v>21883</v>
      </c>
      <c r="F505">
        <v>339</v>
      </c>
    </row>
    <row r="506" spans="1:6" x14ac:dyDescent="0.2">
      <c r="A506">
        <v>129</v>
      </c>
      <c r="B506">
        <v>3693191</v>
      </c>
      <c r="C506">
        <v>21883</v>
      </c>
      <c r="F506">
        <v>332</v>
      </c>
    </row>
    <row r="507" spans="1:6" x14ac:dyDescent="0.2">
      <c r="A507">
        <v>129</v>
      </c>
      <c r="B507">
        <v>3693192</v>
      </c>
      <c r="C507">
        <v>21883</v>
      </c>
      <c r="F507">
        <v>337</v>
      </c>
    </row>
    <row r="508" spans="1:6" x14ac:dyDescent="0.2">
      <c r="A508">
        <v>129</v>
      </c>
      <c r="B508">
        <v>3693193</v>
      </c>
      <c r="C508">
        <v>21883</v>
      </c>
      <c r="F508">
        <v>288</v>
      </c>
    </row>
    <row r="509" spans="1:6" x14ac:dyDescent="0.2">
      <c r="A509">
        <v>129</v>
      </c>
      <c r="B509">
        <v>3693194</v>
      </c>
      <c r="C509">
        <v>21883</v>
      </c>
      <c r="F509">
        <v>359</v>
      </c>
    </row>
    <row r="510" spans="1:6" x14ac:dyDescent="0.2">
      <c r="A510">
        <v>129</v>
      </c>
      <c r="B510">
        <v>3693195</v>
      </c>
      <c r="C510">
        <v>21883</v>
      </c>
      <c r="F510">
        <v>281</v>
      </c>
    </row>
    <row r="511" spans="1:6" x14ac:dyDescent="0.2">
      <c r="A511">
        <v>129</v>
      </c>
      <c r="B511">
        <v>3693196</v>
      </c>
      <c r="C511">
        <v>21883</v>
      </c>
      <c r="F511">
        <v>358</v>
      </c>
    </row>
    <row r="512" spans="1:6" x14ac:dyDescent="0.2">
      <c r="A512">
        <v>129</v>
      </c>
      <c r="B512">
        <v>3693197</v>
      </c>
      <c r="C512">
        <v>21883</v>
      </c>
      <c r="F512">
        <v>357</v>
      </c>
    </row>
    <row r="513" spans="1:6" x14ac:dyDescent="0.2">
      <c r="A513">
        <v>129</v>
      </c>
      <c r="B513">
        <v>3693198</v>
      </c>
      <c r="C513">
        <v>21883</v>
      </c>
      <c r="F513">
        <v>356</v>
      </c>
    </row>
    <row r="514" spans="1:6" x14ac:dyDescent="0.2">
      <c r="A514">
        <v>129</v>
      </c>
      <c r="B514">
        <v>3693199</v>
      </c>
      <c r="C514">
        <v>21883</v>
      </c>
      <c r="F514">
        <v>355</v>
      </c>
    </row>
    <row r="515" spans="1:6" x14ac:dyDescent="0.2">
      <c r="A515">
        <v>129</v>
      </c>
      <c r="B515">
        <v>3693200</v>
      </c>
      <c r="C515">
        <v>21883</v>
      </c>
      <c r="F515">
        <v>354</v>
      </c>
    </row>
    <row r="516" spans="1:6" x14ac:dyDescent="0.2">
      <c r="A516">
        <v>129</v>
      </c>
      <c r="B516">
        <v>3693201</v>
      </c>
      <c r="C516">
        <v>21883</v>
      </c>
      <c r="F516">
        <v>290</v>
      </c>
    </row>
    <row r="517" spans="1:6" x14ac:dyDescent="0.2">
      <c r="A517">
        <v>129</v>
      </c>
      <c r="B517">
        <v>3693202</v>
      </c>
      <c r="C517">
        <v>21883</v>
      </c>
      <c r="F517">
        <v>713</v>
      </c>
    </row>
    <row r="518" spans="1:6" x14ac:dyDescent="0.2">
      <c r="A518">
        <v>129</v>
      </c>
      <c r="B518">
        <v>3693203</v>
      </c>
      <c r="C518">
        <v>21883</v>
      </c>
      <c r="F518">
        <v>712</v>
      </c>
    </row>
    <row r="519" spans="1:6" x14ac:dyDescent="0.2">
      <c r="A519">
        <v>129</v>
      </c>
      <c r="B519">
        <v>3693204</v>
      </c>
      <c r="C519">
        <v>21883</v>
      </c>
      <c r="F519">
        <v>66</v>
      </c>
    </row>
    <row r="520" spans="1:6" x14ac:dyDescent="0.2">
      <c r="A520">
        <v>129</v>
      </c>
      <c r="B520">
        <v>3693205</v>
      </c>
      <c r="C520">
        <v>21883</v>
      </c>
      <c r="F520">
        <v>709</v>
      </c>
    </row>
    <row r="521" spans="1:6" x14ac:dyDescent="0.2">
      <c r="A521">
        <v>129</v>
      </c>
      <c r="B521">
        <v>3693206</v>
      </c>
      <c r="C521">
        <v>21883</v>
      </c>
      <c r="F521">
        <v>707</v>
      </c>
    </row>
    <row r="522" spans="1:6" x14ac:dyDescent="0.2">
      <c r="A522">
        <v>129</v>
      </c>
      <c r="B522">
        <v>3693207</v>
      </c>
      <c r="C522">
        <v>21883</v>
      </c>
      <c r="F522">
        <v>697</v>
      </c>
    </row>
    <row r="523" spans="1:6" x14ac:dyDescent="0.2">
      <c r="A523">
        <v>129</v>
      </c>
      <c r="B523">
        <v>3693208</v>
      </c>
      <c r="C523">
        <v>21883</v>
      </c>
      <c r="F523">
        <v>704</v>
      </c>
    </row>
    <row r="524" spans="1:6" x14ac:dyDescent="0.2">
      <c r="A524">
        <v>129</v>
      </c>
      <c r="B524">
        <v>3693209</v>
      </c>
      <c r="C524">
        <v>21883</v>
      </c>
      <c r="F524">
        <v>703</v>
      </c>
    </row>
    <row r="525" spans="1:6" x14ac:dyDescent="0.2">
      <c r="A525">
        <v>129</v>
      </c>
      <c r="B525">
        <v>3693210</v>
      </c>
      <c r="C525">
        <v>21883</v>
      </c>
      <c r="F525">
        <v>253</v>
      </c>
    </row>
    <row r="526" spans="1:6" x14ac:dyDescent="0.2">
      <c r="A526">
        <v>129</v>
      </c>
      <c r="B526">
        <v>3693211</v>
      </c>
      <c r="C526">
        <v>21883</v>
      </c>
      <c r="F526">
        <v>252</v>
      </c>
    </row>
    <row r="527" spans="1:6" x14ac:dyDescent="0.2">
      <c r="A527">
        <v>129</v>
      </c>
      <c r="B527">
        <v>3693212</v>
      </c>
      <c r="C527">
        <v>21883</v>
      </c>
      <c r="F527">
        <v>251</v>
      </c>
    </row>
    <row r="528" spans="1:6" x14ac:dyDescent="0.2">
      <c r="A528">
        <v>129</v>
      </c>
      <c r="B528">
        <v>3693213</v>
      </c>
      <c r="C528">
        <v>21883</v>
      </c>
      <c r="F528">
        <v>250</v>
      </c>
    </row>
    <row r="529" spans="1:6" x14ac:dyDescent="0.2">
      <c r="A529">
        <v>129</v>
      </c>
      <c r="B529">
        <v>3693214</v>
      </c>
      <c r="C529">
        <v>21883</v>
      </c>
      <c r="F529">
        <v>261</v>
      </c>
    </row>
    <row r="530" spans="1:6" x14ac:dyDescent="0.2">
      <c r="A530">
        <v>129</v>
      </c>
      <c r="B530">
        <v>3693215</v>
      </c>
      <c r="C530">
        <v>21883</v>
      </c>
      <c r="F530">
        <v>698</v>
      </c>
    </row>
    <row r="531" spans="1:6" x14ac:dyDescent="0.2">
      <c r="A531">
        <v>129</v>
      </c>
      <c r="B531">
        <v>3693216</v>
      </c>
      <c r="C531">
        <v>21883</v>
      </c>
      <c r="F531">
        <v>738</v>
      </c>
    </row>
    <row r="532" spans="1:6" x14ac:dyDescent="0.2">
      <c r="A532">
        <v>129</v>
      </c>
      <c r="B532">
        <v>3693217</v>
      </c>
      <c r="C532">
        <v>21883</v>
      </c>
      <c r="F532">
        <v>737</v>
      </c>
    </row>
    <row r="533" spans="1:6" x14ac:dyDescent="0.2">
      <c r="A533">
        <v>129</v>
      </c>
      <c r="B533">
        <v>3693218</v>
      </c>
      <c r="C533">
        <v>21883</v>
      </c>
      <c r="F533">
        <v>41</v>
      </c>
    </row>
    <row r="534" spans="1:6" x14ac:dyDescent="0.2">
      <c r="A534">
        <v>129</v>
      </c>
      <c r="B534">
        <v>3693219</v>
      </c>
      <c r="C534">
        <v>21883</v>
      </c>
      <c r="F534">
        <v>734</v>
      </c>
    </row>
    <row r="535" spans="1:6" x14ac:dyDescent="0.2">
      <c r="A535">
        <v>129</v>
      </c>
      <c r="B535">
        <v>3693220</v>
      </c>
      <c r="C535">
        <v>21883</v>
      </c>
      <c r="F535">
        <v>732</v>
      </c>
    </row>
    <row r="536" spans="1:6" x14ac:dyDescent="0.2">
      <c r="A536">
        <v>129</v>
      </c>
      <c r="B536">
        <v>3693221</v>
      </c>
      <c r="C536">
        <v>21883</v>
      </c>
      <c r="F536">
        <v>373</v>
      </c>
    </row>
    <row r="537" spans="1:6" x14ac:dyDescent="0.2">
      <c r="A537">
        <v>129</v>
      </c>
      <c r="B537">
        <v>3693222</v>
      </c>
      <c r="C537">
        <v>21883</v>
      </c>
      <c r="F537">
        <v>730</v>
      </c>
    </row>
    <row r="538" spans="1:6" x14ac:dyDescent="0.2">
      <c r="A538">
        <v>129</v>
      </c>
      <c r="B538">
        <v>3693223</v>
      </c>
      <c r="C538">
        <v>21883</v>
      </c>
      <c r="F538">
        <v>720</v>
      </c>
    </row>
    <row r="539" spans="1:6" x14ac:dyDescent="0.2">
      <c r="A539">
        <v>129</v>
      </c>
      <c r="B539">
        <v>3693224</v>
      </c>
      <c r="C539">
        <v>21883</v>
      </c>
      <c r="F539">
        <v>756</v>
      </c>
    </row>
    <row r="540" spans="1:6" x14ac:dyDescent="0.2">
      <c r="A540">
        <v>129</v>
      </c>
      <c r="B540">
        <v>3693225</v>
      </c>
      <c r="C540">
        <v>21883</v>
      </c>
      <c r="F540">
        <v>367</v>
      </c>
    </row>
    <row r="541" spans="1:6" x14ac:dyDescent="0.2">
      <c r="A541">
        <v>129</v>
      </c>
      <c r="B541">
        <v>3693226</v>
      </c>
      <c r="C541">
        <v>21883</v>
      </c>
      <c r="F541">
        <v>52</v>
      </c>
    </row>
    <row r="542" spans="1:6" x14ac:dyDescent="0.2">
      <c r="A542">
        <v>129</v>
      </c>
      <c r="B542">
        <v>3693227</v>
      </c>
      <c r="C542">
        <v>21883</v>
      </c>
      <c r="F542">
        <v>753</v>
      </c>
    </row>
    <row r="543" spans="1:6" x14ac:dyDescent="0.2">
      <c r="A543">
        <v>129</v>
      </c>
      <c r="B543">
        <v>3693228</v>
      </c>
      <c r="C543">
        <v>21883</v>
      </c>
      <c r="F543">
        <v>751</v>
      </c>
    </row>
    <row r="544" spans="1:6" x14ac:dyDescent="0.2">
      <c r="A544">
        <v>129</v>
      </c>
      <c r="B544">
        <v>3693229</v>
      </c>
      <c r="C544">
        <v>21883</v>
      </c>
      <c r="F544">
        <v>744</v>
      </c>
    </row>
    <row r="545" spans="1:6" x14ac:dyDescent="0.2">
      <c r="A545">
        <v>129</v>
      </c>
      <c r="B545">
        <v>3693230</v>
      </c>
      <c r="C545">
        <v>21883</v>
      </c>
      <c r="F545">
        <v>749</v>
      </c>
    </row>
    <row r="546" spans="1:6" x14ac:dyDescent="0.2">
      <c r="A546">
        <v>129</v>
      </c>
      <c r="B546">
        <v>3693231</v>
      </c>
      <c r="C546">
        <v>21883</v>
      </c>
      <c r="F546">
        <v>722</v>
      </c>
    </row>
    <row r="547" spans="1:6" x14ac:dyDescent="0.2">
      <c r="A547">
        <v>129</v>
      </c>
      <c r="B547">
        <v>3693232</v>
      </c>
      <c r="C547">
        <v>21883</v>
      </c>
      <c r="F547">
        <v>773</v>
      </c>
    </row>
    <row r="548" spans="1:6" x14ac:dyDescent="0.2">
      <c r="A548">
        <v>129</v>
      </c>
      <c r="B548">
        <v>3693233</v>
      </c>
      <c r="C548">
        <v>21883</v>
      </c>
      <c r="F548">
        <v>765</v>
      </c>
    </row>
    <row r="549" spans="1:6" x14ac:dyDescent="0.2">
      <c r="A549">
        <v>129</v>
      </c>
      <c r="B549">
        <v>3693234</v>
      </c>
      <c r="C549">
        <v>21883</v>
      </c>
      <c r="F549">
        <v>50</v>
      </c>
    </row>
    <row r="550" spans="1:6" x14ac:dyDescent="0.2">
      <c r="A550">
        <v>129</v>
      </c>
      <c r="B550">
        <v>3693235</v>
      </c>
      <c r="C550">
        <v>21883</v>
      </c>
      <c r="F550">
        <v>769</v>
      </c>
    </row>
    <row r="551" spans="1:6" x14ac:dyDescent="0.2">
      <c r="A551">
        <v>129</v>
      </c>
      <c r="B551">
        <v>3693236</v>
      </c>
      <c r="C551">
        <v>21883</v>
      </c>
      <c r="F551">
        <v>768</v>
      </c>
    </row>
    <row r="552" spans="1:6" x14ac:dyDescent="0.2">
      <c r="A552">
        <v>129</v>
      </c>
      <c r="B552">
        <v>3693237</v>
      </c>
      <c r="C552">
        <v>21883</v>
      </c>
      <c r="F552">
        <v>761</v>
      </c>
    </row>
    <row r="553" spans="1:6" x14ac:dyDescent="0.2">
      <c r="A553">
        <v>129</v>
      </c>
      <c r="B553">
        <v>3693238</v>
      </c>
      <c r="C553">
        <v>21883</v>
      </c>
      <c r="F553">
        <v>766</v>
      </c>
    </row>
    <row r="554" spans="1:6" x14ac:dyDescent="0.2">
      <c r="A554">
        <v>129</v>
      </c>
      <c r="B554">
        <v>3693239</v>
      </c>
      <c r="C554">
        <v>21883</v>
      </c>
      <c r="F554">
        <v>721</v>
      </c>
    </row>
    <row r="555" spans="1:6" x14ac:dyDescent="0.2">
      <c r="A555">
        <v>129</v>
      </c>
      <c r="B555">
        <v>3693240</v>
      </c>
      <c r="C555">
        <v>21883</v>
      </c>
      <c r="F555">
        <v>335</v>
      </c>
    </row>
    <row r="556" spans="1:6" x14ac:dyDescent="0.2">
      <c r="A556">
        <v>129</v>
      </c>
      <c r="B556">
        <v>3693241</v>
      </c>
      <c r="C556">
        <v>21883</v>
      </c>
      <c r="F556">
        <v>291</v>
      </c>
    </row>
    <row r="557" spans="1:6" x14ac:dyDescent="0.2">
      <c r="A557">
        <v>129</v>
      </c>
      <c r="B557">
        <v>3693242</v>
      </c>
      <c r="C557">
        <v>21883</v>
      </c>
      <c r="F557">
        <v>336</v>
      </c>
    </row>
    <row r="558" spans="1:6" x14ac:dyDescent="0.2">
      <c r="A558">
        <v>129</v>
      </c>
      <c r="B558">
        <v>3693243</v>
      </c>
      <c r="C558">
        <v>21883</v>
      </c>
      <c r="F558">
        <v>292</v>
      </c>
    </row>
    <row r="559" spans="1:6" x14ac:dyDescent="0.2">
      <c r="A559">
        <v>129</v>
      </c>
      <c r="B559">
        <v>3693244</v>
      </c>
      <c r="C559">
        <v>21883</v>
      </c>
      <c r="F559">
        <v>353</v>
      </c>
    </row>
    <row r="560" spans="1:6" x14ac:dyDescent="0.2">
      <c r="A560">
        <v>129</v>
      </c>
      <c r="B560">
        <v>3693245</v>
      </c>
      <c r="C560">
        <v>21883</v>
      </c>
      <c r="F560">
        <v>334</v>
      </c>
    </row>
    <row r="561" spans="1:6" x14ac:dyDescent="0.2">
      <c r="A561">
        <v>129</v>
      </c>
      <c r="B561">
        <v>3693246</v>
      </c>
      <c r="C561">
        <v>21883</v>
      </c>
      <c r="F561">
        <v>701</v>
      </c>
    </row>
    <row r="562" spans="1:6" x14ac:dyDescent="0.2">
      <c r="A562">
        <v>129</v>
      </c>
      <c r="B562">
        <v>3693247</v>
      </c>
      <c r="C562">
        <v>21883</v>
      </c>
      <c r="F562">
        <v>702</v>
      </c>
    </row>
    <row r="563" spans="1:6" x14ac:dyDescent="0.2">
      <c r="A563">
        <v>129</v>
      </c>
      <c r="B563">
        <v>3693248</v>
      </c>
      <c r="C563">
        <v>21883</v>
      </c>
      <c r="F563">
        <v>700</v>
      </c>
    </row>
    <row r="564" spans="1:6" x14ac:dyDescent="0.2">
      <c r="A564">
        <v>129</v>
      </c>
      <c r="B564">
        <v>3693249</v>
      </c>
      <c r="C564">
        <v>21883</v>
      </c>
      <c r="F564">
        <v>497</v>
      </c>
    </row>
    <row r="565" spans="1:6" x14ac:dyDescent="0.2">
      <c r="A565">
        <v>129</v>
      </c>
      <c r="B565">
        <v>3693250</v>
      </c>
      <c r="C565">
        <v>21883</v>
      </c>
      <c r="F565">
        <v>643</v>
      </c>
    </row>
    <row r="566" spans="1:6" x14ac:dyDescent="0.2">
      <c r="A566">
        <v>129</v>
      </c>
      <c r="B566">
        <v>3693251</v>
      </c>
      <c r="C566">
        <v>21883</v>
      </c>
      <c r="F566">
        <v>658</v>
      </c>
    </row>
    <row r="567" spans="1:6" x14ac:dyDescent="0.2">
      <c r="A567">
        <v>129</v>
      </c>
      <c r="B567">
        <v>3693252</v>
      </c>
      <c r="C567">
        <v>21883</v>
      </c>
      <c r="F567">
        <v>487</v>
      </c>
    </row>
    <row r="568" spans="1:6" x14ac:dyDescent="0.2">
      <c r="A568">
        <v>129</v>
      </c>
      <c r="B568">
        <v>3693253</v>
      </c>
      <c r="C568">
        <v>21883</v>
      </c>
      <c r="F568">
        <v>597</v>
      </c>
    </row>
    <row r="569" spans="1:6" x14ac:dyDescent="0.2">
      <c r="A569">
        <v>129</v>
      </c>
      <c r="B569">
        <v>3693254</v>
      </c>
      <c r="C569">
        <v>21883</v>
      </c>
      <c r="F569">
        <v>563</v>
      </c>
    </row>
    <row r="570" spans="1:6" x14ac:dyDescent="0.2">
      <c r="A570">
        <v>129</v>
      </c>
      <c r="B570">
        <v>3693255</v>
      </c>
      <c r="C570">
        <v>21883</v>
      </c>
      <c r="F570">
        <v>581</v>
      </c>
    </row>
    <row r="571" spans="1:6" x14ac:dyDescent="0.2">
      <c r="A571">
        <v>129</v>
      </c>
      <c r="B571">
        <v>3693256</v>
      </c>
      <c r="C571">
        <v>21883</v>
      </c>
      <c r="F571">
        <v>417</v>
      </c>
    </row>
    <row r="572" spans="1:6" x14ac:dyDescent="0.2">
      <c r="A572">
        <v>129</v>
      </c>
      <c r="B572">
        <v>3693257</v>
      </c>
      <c r="C572">
        <v>21883</v>
      </c>
      <c r="F572">
        <v>416</v>
      </c>
    </row>
    <row r="573" spans="1:6" x14ac:dyDescent="0.2">
      <c r="A573">
        <v>129</v>
      </c>
      <c r="B573">
        <v>3693258</v>
      </c>
      <c r="C573">
        <v>21883</v>
      </c>
      <c r="F573">
        <v>675</v>
      </c>
    </row>
    <row r="574" spans="1:6" x14ac:dyDescent="0.2">
      <c r="A574">
        <v>129</v>
      </c>
      <c r="B574">
        <v>3693259</v>
      </c>
      <c r="C574">
        <v>21883</v>
      </c>
      <c r="F574">
        <v>435</v>
      </c>
    </row>
    <row r="575" spans="1:6" x14ac:dyDescent="0.2">
      <c r="A575">
        <v>129</v>
      </c>
      <c r="B575">
        <v>3693260</v>
      </c>
      <c r="C575">
        <v>21883</v>
      </c>
      <c r="F575">
        <v>434</v>
      </c>
    </row>
    <row r="576" spans="1:6" x14ac:dyDescent="0.2">
      <c r="A576">
        <v>129</v>
      </c>
      <c r="B576">
        <v>3693261</v>
      </c>
      <c r="C576">
        <v>21883</v>
      </c>
      <c r="F576">
        <v>562</v>
      </c>
    </row>
    <row r="577" spans="1:6" x14ac:dyDescent="0.2">
      <c r="A577">
        <v>129</v>
      </c>
      <c r="B577">
        <v>3693262</v>
      </c>
      <c r="C577">
        <v>21883</v>
      </c>
      <c r="F577">
        <v>249</v>
      </c>
    </row>
    <row r="578" spans="1:6" x14ac:dyDescent="0.2">
      <c r="A578">
        <v>129</v>
      </c>
      <c r="B578">
        <v>3693263</v>
      </c>
      <c r="C578">
        <v>21883</v>
      </c>
      <c r="F578">
        <v>248</v>
      </c>
    </row>
    <row r="579" spans="1:6" x14ac:dyDescent="0.2">
      <c r="A579">
        <v>129</v>
      </c>
      <c r="B579">
        <v>3693264</v>
      </c>
      <c r="C579">
        <v>21883</v>
      </c>
      <c r="F579">
        <v>247</v>
      </c>
    </row>
    <row r="580" spans="1:6" x14ac:dyDescent="0.2">
      <c r="A580">
        <v>129</v>
      </c>
      <c r="B580">
        <v>3693265</v>
      </c>
      <c r="C580">
        <v>21883</v>
      </c>
      <c r="F580">
        <v>246</v>
      </c>
    </row>
    <row r="581" spans="1:6" x14ac:dyDescent="0.2">
      <c r="A581">
        <v>129</v>
      </c>
      <c r="B581">
        <v>3693266</v>
      </c>
      <c r="C581">
        <v>21883</v>
      </c>
      <c r="F581">
        <v>244</v>
      </c>
    </row>
    <row r="582" spans="1:6" x14ac:dyDescent="0.2">
      <c r="A582">
        <v>129</v>
      </c>
      <c r="B582">
        <v>3693267</v>
      </c>
      <c r="C582">
        <v>21883</v>
      </c>
      <c r="F582">
        <v>242</v>
      </c>
    </row>
    <row r="583" spans="1:6" x14ac:dyDescent="0.2">
      <c r="A583">
        <v>129</v>
      </c>
      <c r="B583">
        <v>3693268</v>
      </c>
      <c r="C583">
        <v>21883</v>
      </c>
      <c r="F583">
        <v>240</v>
      </c>
    </row>
    <row r="584" spans="1:6" x14ac:dyDescent="0.2">
      <c r="A584">
        <v>129</v>
      </c>
      <c r="B584">
        <v>3693269</v>
      </c>
      <c r="C584">
        <v>21883</v>
      </c>
      <c r="F584">
        <v>57</v>
      </c>
    </row>
    <row r="585" spans="1:6" x14ac:dyDescent="0.2">
      <c r="A585">
        <v>129</v>
      </c>
      <c r="B585">
        <v>3693270</v>
      </c>
      <c r="C585">
        <v>21883</v>
      </c>
      <c r="F585">
        <v>238</v>
      </c>
    </row>
    <row r="586" spans="1:6" x14ac:dyDescent="0.2">
      <c r="A586">
        <v>129</v>
      </c>
      <c r="B586">
        <v>3693271</v>
      </c>
      <c r="C586">
        <v>21883</v>
      </c>
      <c r="F586">
        <v>236</v>
      </c>
    </row>
    <row r="587" spans="1:6" x14ac:dyDescent="0.2">
      <c r="A587">
        <v>129</v>
      </c>
      <c r="B587">
        <v>3693272</v>
      </c>
      <c r="C587">
        <v>21883</v>
      </c>
      <c r="F587">
        <v>234</v>
      </c>
    </row>
    <row r="588" spans="1:6" x14ac:dyDescent="0.2">
      <c r="A588">
        <v>129</v>
      </c>
      <c r="B588">
        <v>3693273</v>
      </c>
      <c r="C588">
        <v>21883</v>
      </c>
      <c r="F588">
        <v>245</v>
      </c>
    </row>
    <row r="589" spans="1:6" x14ac:dyDescent="0.2">
      <c r="A589">
        <v>129</v>
      </c>
      <c r="B589">
        <v>3693274</v>
      </c>
      <c r="C589">
        <v>21883</v>
      </c>
      <c r="F589">
        <v>243</v>
      </c>
    </row>
    <row r="590" spans="1:6" x14ac:dyDescent="0.2">
      <c r="A590">
        <v>129</v>
      </c>
      <c r="B590">
        <v>3693275</v>
      </c>
      <c r="C590">
        <v>21883</v>
      </c>
      <c r="F590">
        <v>241</v>
      </c>
    </row>
    <row r="591" spans="1:6" x14ac:dyDescent="0.2">
      <c r="A591">
        <v>129</v>
      </c>
      <c r="B591">
        <v>3693276</v>
      </c>
      <c r="C591">
        <v>21883</v>
      </c>
      <c r="F591">
        <v>239</v>
      </c>
    </row>
    <row r="592" spans="1:6" x14ac:dyDescent="0.2">
      <c r="A592">
        <v>129</v>
      </c>
      <c r="B592">
        <v>3693277</v>
      </c>
      <c r="C592">
        <v>21883</v>
      </c>
      <c r="F592">
        <v>39</v>
      </c>
    </row>
    <row r="593" spans="1:6" x14ac:dyDescent="0.2">
      <c r="A593">
        <v>129</v>
      </c>
      <c r="B593">
        <v>3693278</v>
      </c>
      <c r="C593">
        <v>21883</v>
      </c>
      <c r="F593">
        <v>237</v>
      </c>
    </row>
    <row r="594" spans="1:6" x14ac:dyDescent="0.2">
      <c r="A594">
        <v>129</v>
      </c>
      <c r="B594">
        <v>3693279</v>
      </c>
      <c r="C594">
        <v>21883</v>
      </c>
      <c r="F594">
        <v>235</v>
      </c>
    </row>
    <row r="595" spans="1:6" x14ac:dyDescent="0.2">
      <c r="A595">
        <v>129</v>
      </c>
      <c r="B595">
        <v>3693280</v>
      </c>
      <c r="C595">
        <v>21883</v>
      </c>
      <c r="F595">
        <v>233</v>
      </c>
    </row>
    <row r="596" spans="1:6" x14ac:dyDescent="0.2">
      <c r="A596">
        <v>129</v>
      </c>
      <c r="B596">
        <v>3693281</v>
      </c>
      <c r="C596">
        <v>21883</v>
      </c>
      <c r="F596">
        <v>270</v>
      </c>
    </row>
    <row r="597" spans="1:6" x14ac:dyDescent="0.2">
      <c r="A597">
        <v>129</v>
      </c>
      <c r="B597">
        <v>3693282</v>
      </c>
      <c r="C597">
        <v>21883</v>
      </c>
      <c r="F597">
        <v>269</v>
      </c>
    </row>
    <row r="598" spans="1:6" x14ac:dyDescent="0.2">
      <c r="A598">
        <v>129</v>
      </c>
      <c r="B598">
        <v>3693283</v>
      </c>
      <c r="C598">
        <v>21883</v>
      </c>
      <c r="F598">
        <v>268</v>
      </c>
    </row>
    <row r="599" spans="1:6" x14ac:dyDescent="0.2">
      <c r="A599">
        <v>129</v>
      </c>
      <c r="B599">
        <v>3693284</v>
      </c>
      <c r="C599">
        <v>21883</v>
      </c>
      <c r="F599">
        <v>267</v>
      </c>
    </row>
    <row r="600" spans="1:6" x14ac:dyDescent="0.2">
      <c r="A600">
        <v>129</v>
      </c>
      <c r="B600">
        <v>3693285</v>
      </c>
      <c r="C600">
        <v>21883</v>
      </c>
      <c r="F600">
        <v>266</v>
      </c>
    </row>
    <row r="601" spans="1:6" x14ac:dyDescent="0.2">
      <c r="A601">
        <v>129</v>
      </c>
      <c r="B601">
        <v>3693286</v>
      </c>
      <c r="C601">
        <v>21883</v>
      </c>
      <c r="F601">
        <v>265</v>
      </c>
    </row>
    <row r="602" spans="1:6" x14ac:dyDescent="0.2">
      <c r="A602">
        <v>129</v>
      </c>
      <c r="B602">
        <v>3693287</v>
      </c>
      <c r="C602">
        <v>21883</v>
      </c>
      <c r="F602">
        <v>684</v>
      </c>
    </row>
    <row r="603" spans="1:6" x14ac:dyDescent="0.2">
      <c r="A603">
        <v>129</v>
      </c>
      <c r="B603">
        <v>3693288</v>
      </c>
      <c r="C603">
        <v>21883</v>
      </c>
      <c r="F603">
        <v>683</v>
      </c>
    </row>
    <row r="604" spans="1:6" x14ac:dyDescent="0.2">
      <c r="A604">
        <v>129</v>
      </c>
      <c r="B604">
        <v>3693289</v>
      </c>
      <c r="C604">
        <v>21883</v>
      </c>
      <c r="F604">
        <v>682</v>
      </c>
    </row>
    <row r="605" spans="1:6" x14ac:dyDescent="0.2">
      <c r="A605">
        <v>129</v>
      </c>
      <c r="B605">
        <v>3693290</v>
      </c>
      <c r="C605">
        <v>21883</v>
      </c>
      <c r="F605">
        <v>568</v>
      </c>
    </row>
    <row r="606" spans="1:6" x14ac:dyDescent="0.2">
      <c r="A606">
        <v>129</v>
      </c>
      <c r="B606">
        <v>3693291</v>
      </c>
      <c r="C606">
        <v>21883</v>
      </c>
      <c r="F606">
        <v>681</v>
      </c>
    </row>
    <row r="607" spans="1:6" x14ac:dyDescent="0.2">
      <c r="A607">
        <v>129</v>
      </c>
      <c r="B607">
        <v>3693292</v>
      </c>
      <c r="C607">
        <v>21883</v>
      </c>
      <c r="F607">
        <v>680</v>
      </c>
    </row>
    <row r="608" spans="1:6" x14ac:dyDescent="0.2">
      <c r="A608">
        <v>129</v>
      </c>
      <c r="B608">
        <v>3693293</v>
      </c>
      <c r="C608">
        <v>21883</v>
      </c>
      <c r="F608">
        <v>679</v>
      </c>
    </row>
    <row r="609" spans="1:6" x14ac:dyDescent="0.2">
      <c r="A609">
        <v>129</v>
      </c>
      <c r="B609">
        <v>3693294</v>
      </c>
      <c r="C609">
        <v>21883</v>
      </c>
      <c r="F609">
        <v>644</v>
      </c>
    </row>
    <row r="610" spans="1:6" x14ac:dyDescent="0.2">
      <c r="A610">
        <v>129</v>
      </c>
      <c r="B610">
        <v>3693295</v>
      </c>
      <c r="C610">
        <v>21883</v>
      </c>
      <c r="F610">
        <v>678</v>
      </c>
    </row>
    <row r="611" spans="1:6" x14ac:dyDescent="0.2">
      <c r="A611">
        <v>129</v>
      </c>
      <c r="B611">
        <v>3693296</v>
      </c>
      <c r="C611">
        <v>21883</v>
      </c>
      <c r="F611">
        <v>677</v>
      </c>
    </row>
    <row r="612" spans="1:6" x14ac:dyDescent="0.2">
      <c r="A612">
        <v>129</v>
      </c>
      <c r="B612">
        <v>3693297</v>
      </c>
      <c r="C612">
        <v>21883</v>
      </c>
      <c r="F612">
        <v>402</v>
      </c>
    </row>
    <row r="613" spans="1:6" x14ac:dyDescent="0.2">
      <c r="A613">
        <v>129</v>
      </c>
      <c r="B613">
        <v>3693298</v>
      </c>
      <c r="C613">
        <v>21883</v>
      </c>
      <c r="F613">
        <v>433</v>
      </c>
    </row>
    <row r="614" spans="1:6" x14ac:dyDescent="0.2">
      <c r="A614">
        <v>129</v>
      </c>
      <c r="B614">
        <v>3693299</v>
      </c>
      <c r="C614">
        <v>21883</v>
      </c>
      <c r="F614">
        <v>389</v>
      </c>
    </row>
    <row r="615" spans="1:6" x14ac:dyDescent="0.2">
      <c r="A615">
        <v>129</v>
      </c>
      <c r="B615">
        <v>3693300</v>
      </c>
      <c r="C615">
        <v>21883</v>
      </c>
      <c r="F615">
        <v>415</v>
      </c>
    </row>
    <row r="616" spans="1:6" x14ac:dyDescent="0.2">
      <c r="A616">
        <v>129</v>
      </c>
      <c r="B616">
        <v>3693301</v>
      </c>
      <c r="C616">
        <v>21883</v>
      </c>
      <c r="F616">
        <v>260</v>
      </c>
    </row>
    <row r="617" spans="1:6" x14ac:dyDescent="0.2">
      <c r="A617">
        <v>129</v>
      </c>
      <c r="B617">
        <v>3693302</v>
      </c>
      <c r="C617">
        <v>21883</v>
      </c>
      <c r="F617">
        <v>259</v>
      </c>
    </row>
    <row r="618" spans="1:6" x14ac:dyDescent="0.2">
      <c r="A618">
        <v>129</v>
      </c>
      <c r="B618">
        <v>3693303</v>
      </c>
      <c r="C618">
        <v>21883</v>
      </c>
      <c r="F618">
        <v>258</v>
      </c>
    </row>
    <row r="619" spans="1:6" x14ac:dyDescent="0.2">
      <c r="A619">
        <v>129</v>
      </c>
      <c r="B619">
        <v>3693304</v>
      </c>
      <c r="C619">
        <v>21883</v>
      </c>
      <c r="F619">
        <v>232</v>
      </c>
    </row>
    <row r="620" spans="1:6" x14ac:dyDescent="0.2">
      <c r="A620">
        <v>129</v>
      </c>
      <c r="B620">
        <v>3693305</v>
      </c>
      <c r="C620">
        <v>21883</v>
      </c>
      <c r="F620">
        <v>230</v>
      </c>
    </row>
    <row r="621" spans="1:6" x14ac:dyDescent="0.2">
      <c r="A621">
        <v>129</v>
      </c>
      <c r="B621">
        <v>3693306</v>
      </c>
      <c r="C621">
        <v>21883</v>
      </c>
      <c r="F621">
        <v>231</v>
      </c>
    </row>
    <row r="622" spans="1:6" x14ac:dyDescent="0.2">
      <c r="A622">
        <v>129</v>
      </c>
      <c r="B622">
        <v>3693307</v>
      </c>
      <c r="C622">
        <v>21883</v>
      </c>
      <c r="F622">
        <v>229</v>
      </c>
    </row>
    <row r="623" spans="1:6" x14ac:dyDescent="0.2">
      <c r="A623">
        <v>129</v>
      </c>
      <c r="B623">
        <v>3693308</v>
      </c>
      <c r="C623">
        <v>21883</v>
      </c>
      <c r="F623">
        <v>226</v>
      </c>
    </row>
    <row r="624" spans="1:6" x14ac:dyDescent="0.2">
      <c r="A624">
        <v>129</v>
      </c>
      <c r="B624">
        <v>3693309</v>
      </c>
      <c r="C624">
        <v>21883</v>
      </c>
      <c r="F624">
        <v>228</v>
      </c>
    </row>
    <row r="625" spans="1:6" x14ac:dyDescent="0.2">
      <c r="A625">
        <v>129</v>
      </c>
      <c r="B625">
        <v>3693310</v>
      </c>
      <c r="C625">
        <v>21883</v>
      </c>
      <c r="F625">
        <v>222</v>
      </c>
    </row>
    <row r="626" spans="1:6" x14ac:dyDescent="0.2">
      <c r="A626">
        <v>129</v>
      </c>
      <c r="B626">
        <v>3693311</v>
      </c>
      <c r="C626">
        <v>21883</v>
      </c>
      <c r="F626">
        <v>224</v>
      </c>
    </row>
    <row r="627" spans="1:6" x14ac:dyDescent="0.2">
      <c r="A627">
        <v>129</v>
      </c>
      <c r="B627">
        <v>3693312</v>
      </c>
      <c r="C627">
        <v>21883</v>
      </c>
      <c r="F627">
        <v>227</v>
      </c>
    </row>
    <row r="628" spans="1:6" x14ac:dyDescent="0.2">
      <c r="A628">
        <v>129</v>
      </c>
      <c r="B628">
        <v>3693313</v>
      </c>
      <c r="C628">
        <v>21883</v>
      </c>
      <c r="F628">
        <v>225</v>
      </c>
    </row>
    <row r="629" spans="1:6" x14ac:dyDescent="0.2">
      <c r="A629">
        <v>129</v>
      </c>
      <c r="B629">
        <v>3693314</v>
      </c>
      <c r="C629">
        <v>21883</v>
      </c>
      <c r="F629">
        <v>223</v>
      </c>
    </row>
    <row r="630" spans="1:6" x14ac:dyDescent="0.2">
      <c r="A630">
        <v>129</v>
      </c>
      <c r="B630">
        <v>3693315</v>
      </c>
      <c r="C630">
        <v>21883</v>
      </c>
      <c r="F630">
        <v>221</v>
      </c>
    </row>
    <row r="631" spans="1:6" x14ac:dyDescent="0.2">
      <c r="A631">
        <v>129</v>
      </c>
      <c r="B631">
        <v>3693316</v>
      </c>
      <c r="C631">
        <v>21883</v>
      </c>
      <c r="F631">
        <v>257</v>
      </c>
    </row>
    <row r="632" spans="1:6" x14ac:dyDescent="0.2">
      <c r="A632">
        <v>129</v>
      </c>
      <c r="B632">
        <v>3693317</v>
      </c>
      <c r="C632">
        <v>21883</v>
      </c>
      <c r="F632">
        <v>256</v>
      </c>
    </row>
    <row r="633" spans="1:6" x14ac:dyDescent="0.2">
      <c r="A633">
        <v>129</v>
      </c>
      <c r="B633">
        <v>3693318</v>
      </c>
      <c r="C633">
        <v>21883</v>
      </c>
      <c r="F633">
        <v>255</v>
      </c>
    </row>
    <row r="634" spans="1:6" x14ac:dyDescent="0.2">
      <c r="A634">
        <v>129</v>
      </c>
      <c r="B634">
        <v>3693319</v>
      </c>
      <c r="C634">
        <v>21883</v>
      </c>
      <c r="F634">
        <v>699</v>
      </c>
    </row>
    <row r="635" spans="1:6" x14ac:dyDescent="0.2">
      <c r="A635">
        <v>129</v>
      </c>
      <c r="B635">
        <v>3693320</v>
      </c>
      <c r="C635">
        <v>21883</v>
      </c>
      <c r="F635">
        <v>692</v>
      </c>
    </row>
    <row r="636" spans="1:6" x14ac:dyDescent="0.2">
      <c r="A636">
        <v>129</v>
      </c>
      <c r="B636">
        <v>3693321</v>
      </c>
      <c r="C636">
        <v>21883</v>
      </c>
      <c r="F636">
        <v>694</v>
      </c>
    </row>
    <row r="637" spans="1:6" x14ac:dyDescent="0.2">
      <c r="A637">
        <v>129</v>
      </c>
      <c r="B637">
        <v>3693322</v>
      </c>
      <c r="C637">
        <v>21883</v>
      </c>
      <c r="F637">
        <v>116</v>
      </c>
    </row>
    <row r="638" spans="1:6" x14ac:dyDescent="0.2">
      <c r="A638">
        <v>129</v>
      </c>
      <c r="B638">
        <v>3693323</v>
      </c>
      <c r="C638">
        <v>21883</v>
      </c>
      <c r="F638">
        <v>115</v>
      </c>
    </row>
    <row r="639" spans="1:6" x14ac:dyDescent="0.2">
      <c r="A639">
        <v>129</v>
      </c>
      <c r="B639">
        <v>3693324</v>
      </c>
      <c r="C639">
        <v>21883</v>
      </c>
      <c r="F639">
        <v>113</v>
      </c>
    </row>
    <row r="640" spans="1:6" x14ac:dyDescent="0.2">
      <c r="A640">
        <v>129</v>
      </c>
      <c r="B640">
        <v>3693325</v>
      </c>
      <c r="C640">
        <v>21883</v>
      </c>
      <c r="F640">
        <v>111</v>
      </c>
    </row>
    <row r="641" spans="1:6" x14ac:dyDescent="0.2">
      <c r="A641">
        <v>129</v>
      </c>
      <c r="B641">
        <v>3693326</v>
      </c>
      <c r="C641">
        <v>21883</v>
      </c>
      <c r="F641">
        <v>109</v>
      </c>
    </row>
    <row r="642" spans="1:6" x14ac:dyDescent="0.2">
      <c r="A642">
        <v>129</v>
      </c>
      <c r="B642">
        <v>3693327</v>
      </c>
      <c r="C642">
        <v>21883</v>
      </c>
      <c r="F642">
        <v>107</v>
      </c>
    </row>
    <row r="643" spans="1:6" x14ac:dyDescent="0.2">
      <c r="A643">
        <v>129</v>
      </c>
      <c r="B643">
        <v>3693328</v>
      </c>
      <c r="C643">
        <v>21883</v>
      </c>
      <c r="F643">
        <v>103</v>
      </c>
    </row>
    <row r="644" spans="1:6" x14ac:dyDescent="0.2">
      <c r="A644">
        <v>129</v>
      </c>
      <c r="B644">
        <v>3693329</v>
      </c>
      <c r="C644">
        <v>21883</v>
      </c>
      <c r="F644">
        <v>102</v>
      </c>
    </row>
    <row r="645" spans="1:6" x14ac:dyDescent="0.2">
      <c r="A645">
        <v>129</v>
      </c>
      <c r="B645">
        <v>3693330</v>
      </c>
      <c r="C645">
        <v>21883</v>
      </c>
      <c r="F645">
        <v>99</v>
      </c>
    </row>
    <row r="646" spans="1:6" x14ac:dyDescent="0.2">
      <c r="A646">
        <v>129</v>
      </c>
      <c r="B646">
        <v>3693331</v>
      </c>
      <c r="C646">
        <v>21883</v>
      </c>
      <c r="F646">
        <v>98</v>
      </c>
    </row>
    <row r="647" spans="1:6" x14ac:dyDescent="0.2">
      <c r="A647">
        <v>129</v>
      </c>
      <c r="B647">
        <v>3693332</v>
      </c>
      <c r="C647">
        <v>21883</v>
      </c>
      <c r="F647">
        <v>96</v>
      </c>
    </row>
    <row r="648" spans="1:6" x14ac:dyDescent="0.2">
      <c r="A648">
        <v>129</v>
      </c>
      <c r="B648">
        <v>3693333</v>
      </c>
      <c r="C648">
        <v>21883</v>
      </c>
      <c r="F648">
        <v>58</v>
      </c>
    </row>
    <row r="649" spans="1:6" x14ac:dyDescent="0.2">
      <c r="A649">
        <v>129</v>
      </c>
      <c r="B649">
        <v>3693334</v>
      </c>
      <c r="C649">
        <v>21883</v>
      </c>
      <c r="F649">
        <v>723</v>
      </c>
    </row>
    <row r="650" spans="1:6" x14ac:dyDescent="0.2">
      <c r="A650">
        <v>129</v>
      </c>
      <c r="B650">
        <v>3693335</v>
      </c>
      <c r="C650">
        <v>21883</v>
      </c>
      <c r="F650">
        <v>28</v>
      </c>
    </row>
    <row r="651" spans="1:6" x14ac:dyDescent="0.2">
      <c r="A651">
        <v>129</v>
      </c>
      <c r="B651">
        <v>3693336</v>
      </c>
      <c r="C651">
        <v>21883</v>
      </c>
      <c r="F651">
        <v>728</v>
      </c>
    </row>
    <row r="652" spans="1:6" x14ac:dyDescent="0.2">
      <c r="A652">
        <v>129</v>
      </c>
      <c r="B652">
        <v>3693337</v>
      </c>
      <c r="C652">
        <v>21883</v>
      </c>
      <c r="F652">
        <v>729</v>
      </c>
    </row>
    <row r="653" spans="1:6" x14ac:dyDescent="0.2">
      <c r="A653">
        <v>129</v>
      </c>
      <c r="B653">
        <v>3693338</v>
      </c>
      <c r="C653">
        <v>21883</v>
      </c>
      <c r="F653">
        <v>727</v>
      </c>
    </row>
    <row r="654" spans="1:6" x14ac:dyDescent="0.2">
      <c r="A654">
        <v>129</v>
      </c>
      <c r="B654">
        <v>3693339</v>
      </c>
      <c r="C654">
        <v>21883</v>
      </c>
      <c r="F654">
        <v>748</v>
      </c>
    </row>
    <row r="655" spans="1:6" x14ac:dyDescent="0.2">
      <c r="A655">
        <v>129</v>
      </c>
      <c r="B655">
        <v>3693340</v>
      </c>
      <c r="C655">
        <v>21883</v>
      </c>
      <c r="F655">
        <v>745</v>
      </c>
    </row>
    <row r="656" spans="1:6" x14ac:dyDescent="0.2">
      <c r="A656">
        <v>129</v>
      </c>
      <c r="B656">
        <v>3693341</v>
      </c>
      <c r="C656">
        <v>21883</v>
      </c>
      <c r="F656">
        <v>747</v>
      </c>
    </row>
    <row r="657" spans="1:6" x14ac:dyDescent="0.2">
      <c r="A657">
        <v>129</v>
      </c>
      <c r="B657">
        <v>3693342</v>
      </c>
      <c r="C657">
        <v>21883</v>
      </c>
      <c r="F657">
        <v>763</v>
      </c>
    </row>
    <row r="658" spans="1:6" x14ac:dyDescent="0.2">
      <c r="A658">
        <v>129</v>
      </c>
      <c r="B658">
        <v>3693343</v>
      </c>
      <c r="C658">
        <v>21883</v>
      </c>
      <c r="F658">
        <v>764</v>
      </c>
    </row>
    <row r="659" spans="1:6" x14ac:dyDescent="0.2">
      <c r="A659">
        <v>129</v>
      </c>
      <c r="B659">
        <v>3693344</v>
      </c>
      <c r="C659">
        <v>21883</v>
      </c>
      <c r="F659">
        <v>762</v>
      </c>
    </row>
    <row r="660" spans="1:6" x14ac:dyDescent="0.2">
      <c r="A660">
        <v>129</v>
      </c>
      <c r="B660">
        <v>3693345</v>
      </c>
      <c r="C660">
        <v>21883</v>
      </c>
      <c r="F660">
        <v>19</v>
      </c>
    </row>
    <row r="661" spans="1:6" x14ac:dyDescent="0.2">
      <c r="A661">
        <v>129</v>
      </c>
      <c r="B661">
        <v>3693346</v>
      </c>
      <c r="C661">
        <v>21883</v>
      </c>
      <c r="F661">
        <v>62</v>
      </c>
    </row>
    <row r="662" spans="1:6" x14ac:dyDescent="0.2">
      <c r="A662">
        <v>129</v>
      </c>
      <c r="B662">
        <v>3693347</v>
      </c>
      <c r="C662">
        <v>21883</v>
      </c>
      <c r="F662">
        <v>17</v>
      </c>
    </row>
    <row r="663" spans="1:6" x14ac:dyDescent="0.2">
      <c r="A663">
        <v>129</v>
      </c>
      <c r="B663">
        <v>3693348</v>
      </c>
      <c r="C663">
        <v>21883</v>
      </c>
      <c r="F663">
        <v>412</v>
      </c>
    </row>
    <row r="664" spans="1:6" x14ac:dyDescent="0.2">
      <c r="A664">
        <v>129</v>
      </c>
      <c r="B664">
        <v>3693349</v>
      </c>
      <c r="C664">
        <v>21883</v>
      </c>
      <c r="F664">
        <v>413</v>
      </c>
    </row>
    <row r="665" spans="1:6" x14ac:dyDescent="0.2">
      <c r="A665">
        <v>129</v>
      </c>
      <c r="B665">
        <v>3693350</v>
      </c>
      <c r="C665">
        <v>21883</v>
      </c>
      <c r="F665">
        <v>411</v>
      </c>
    </row>
    <row r="666" spans="1:6" x14ac:dyDescent="0.2">
      <c r="A666">
        <v>129</v>
      </c>
      <c r="B666">
        <v>3693351</v>
      </c>
      <c r="C666">
        <v>21883</v>
      </c>
      <c r="F666">
        <v>410</v>
      </c>
    </row>
    <row r="667" spans="1:6" x14ac:dyDescent="0.2">
      <c r="A667">
        <v>129</v>
      </c>
      <c r="B667">
        <v>3693352</v>
      </c>
      <c r="C667">
        <v>21883</v>
      </c>
      <c r="F667">
        <v>408</v>
      </c>
    </row>
    <row r="668" spans="1:6" x14ac:dyDescent="0.2">
      <c r="A668">
        <v>129</v>
      </c>
      <c r="B668">
        <v>3693353</v>
      </c>
      <c r="C668">
        <v>21883</v>
      </c>
      <c r="F668">
        <v>431</v>
      </c>
    </row>
    <row r="669" spans="1:6" x14ac:dyDescent="0.2">
      <c r="A669">
        <v>129</v>
      </c>
      <c r="B669">
        <v>3693354</v>
      </c>
      <c r="C669">
        <v>21883</v>
      </c>
      <c r="F669">
        <v>430</v>
      </c>
    </row>
    <row r="670" spans="1:6" x14ac:dyDescent="0.2">
      <c r="A670">
        <v>129</v>
      </c>
      <c r="B670">
        <v>3693355</v>
      </c>
      <c r="C670">
        <v>21883</v>
      </c>
      <c r="F670">
        <v>429</v>
      </c>
    </row>
    <row r="671" spans="1:6" x14ac:dyDescent="0.2">
      <c r="A671">
        <v>129</v>
      </c>
      <c r="B671">
        <v>3693356</v>
      </c>
      <c r="C671">
        <v>21883</v>
      </c>
      <c r="F671">
        <v>468</v>
      </c>
    </row>
    <row r="672" spans="1:6" x14ac:dyDescent="0.2">
      <c r="A672">
        <v>129</v>
      </c>
      <c r="B672">
        <v>3693357</v>
      </c>
      <c r="C672">
        <v>21883</v>
      </c>
      <c r="F672">
        <v>818</v>
      </c>
    </row>
    <row r="673" spans="1:6" x14ac:dyDescent="0.2">
      <c r="A673">
        <v>129</v>
      </c>
      <c r="B673">
        <v>3693358</v>
      </c>
      <c r="C673">
        <v>21883</v>
      </c>
      <c r="F673">
        <v>427</v>
      </c>
    </row>
    <row r="674" spans="1:6" x14ac:dyDescent="0.2">
      <c r="A674">
        <v>129</v>
      </c>
      <c r="B674">
        <v>3693359</v>
      </c>
      <c r="C674">
        <v>21883</v>
      </c>
      <c r="F674">
        <v>425</v>
      </c>
    </row>
    <row r="675" spans="1:6" x14ac:dyDescent="0.2">
      <c r="A675">
        <v>129</v>
      </c>
      <c r="B675">
        <v>3693360</v>
      </c>
      <c r="C675">
        <v>21883</v>
      </c>
      <c r="F675">
        <v>453</v>
      </c>
    </row>
    <row r="676" spans="1:6" x14ac:dyDescent="0.2">
      <c r="A676">
        <v>129</v>
      </c>
      <c r="B676">
        <v>3693361</v>
      </c>
      <c r="C676">
        <v>21883</v>
      </c>
      <c r="F676">
        <v>452</v>
      </c>
    </row>
    <row r="677" spans="1:6" x14ac:dyDescent="0.2">
      <c r="A677">
        <v>129</v>
      </c>
      <c r="B677">
        <v>3693362</v>
      </c>
      <c r="C677">
        <v>21883</v>
      </c>
      <c r="F677">
        <v>444</v>
      </c>
    </row>
    <row r="678" spans="1:6" x14ac:dyDescent="0.2">
      <c r="A678">
        <v>129</v>
      </c>
      <c r="B678">
        <v>3693363</v>
      </c>
      <c r="C678">
        <v>21883</v>
      </c>
      <c r="F678">
        <v>450</v>
      </c>
    </row>
    <row r="679" spans="1:6" x14ac:dyDescent="0.2">
      <c r="A679">
        <v>129</v>
      </c>
      <c r="B679">
        <v>3693364</v>
      </c>
      <c r="C679">
        <v>21883</v>
      </c>
      <c r="F679">
        <v>448</v>
      </c>
    </row>
    <row r="680" spans="1:6" x14ac:dyDescent="0.2">
      <c r="A680">
        <v>129</v>
      </c>
      <c r="B680">
        <v>3693365</v>
      </c>
      <c r="C680">
        <v>21883</v>
      </c>
      <c r="F680">
        <v>388</v>
      </c>
    </row>
    <row r="681" spans="1:6" x14ac:dyDescent="0.2">
      <c r="A681">
        <v>129</v>
      </c>
      <c r="B681">
        <v>3693366</v>
      </c>
      <c r="C681">
        <v>21883</v>
      </c>
      <c r="F681">
        <v>446</v>
      </c>
    </row>
    <row r="682" spans="1:6" x14ac:dyDescent="0.2">
      <c r="A682">
        <v>129</v>
      </c>
      <c r="B682">
        <v>3693367</v>
      </c>
      <c r="C682">
        <v>21883</v>
      </c>
      <c r="F682">
        <v>467</v>
      </c>
    </row>
    <row r="683" spans="1:6" x14ac:dyDescent="0.2">
      <c r="A683">
        <v>129</v>
      </c>
      <c r="B683">
        <v>3693368</v>
      </c>
      <c r="C683">
        <v>21883</v>
      </c>
      <c r="F683">
        <v>466</v>
      </c>
    </row>
    <row r="684" spans="1:6" x14ac:dyDescent="0.2">
      <c r="A684">
        <v>129</v>
      </c>
      <c r="B684">
        <v>3693369</v>
      </c>
      <c r="C684">
        <v>21883</v>
      </c>
      <c r="F684">
        <v>459</v>
      </c>
    </row>
    <row r="685" spans="1:6" x14ac:dyDescent="0.2">
      <c r="A685">
        <v>129</v>
      </c>
      <c r="B685">
        <v>3693370</v>
      </c>
      <c r="C685">
        <v>21883</v>
      </c>
      <c r="F685">
        <v>464</v>
      </c>
    </row>
    <row r="686" spans="1:6" x14ac:dyDescent="0.2">
      <c r="A686">
        <v>129</v>
      </c>
      <c r="B686">
        <v>3693371</v>
      </c>
      <c r="C686">
        <v>21883</v>
      </c>
      <c r="F686">
        <v>381</v>
      </c>
    </row>
    <row r="687" spans="1:6" x14ac:dyDescent="0.2">
      <c r="A687">
        <v>129</v>
      </c>
      <c r="B687">
        <v>3693372</v>
      </c>
      <c r="C687">
        <v>21883</v>
      </c>
      <c r="F687">
        <v>462</v>
      </c>
    </row>
    <row r="688" spans="1:6" x14ac:dyDescent="0.2">
      <c r="A688">
        <v>129</v>
      </c>
      <c r="B688">
        <v>3693373</v>
      </c>
      <c r="C688">
        <v>21883</v>
      </c>
      <c r="F688">
        <v>479</v>
      </c>
    </row>
    <row r="689" spans="1:6" x14ac:dyDescent="0.2">
      <c r="A689">
        <v>129</v>
      </c>
      <c r="B689">
        <v>3693374</v>
      </c>
      <c r="C689">
        <v>21883</v>
      </c>
      <c r="F689">
        <v>478</v>
      </c>
    </row>
    <row r="690" spans="1:6" x14ac:dyDescent="0.2">
      <c r="A690">
        <v>129</v>
      </c>
      <c r="B690">
        <v>3693375</v>
      </c>
      <c r="C690">
        <v>21883</v>
      </c>
      <c r="F690">
        <v>454</v>
      </c>
    </row>
    <row r="691" spans="1:6" x14ac:dyDescent="0.2">
      <c r="A691">
        <v>129</v>
      </c>
      <c r="B691">
        <v>3693376</v>
      </c>
      <c r="C691">
        <v>21883</v>
      </c>
      <c r="F691">
        <v>477</v>
      </c>
    </row>
    <row r="692" spans="1:6" x14ac:dyDescent="0.2">
      <c r="A692">
        <v>129</v>
      </c>
      <c r="B692">
        <v>3693377</v>
      </c>
      <c r="C692">
        <v>21883</v>
      </c>
      <c r="F692">
        <v>397</v>
      </c>
    </row>
    <row r="693" spans="1:6" x14ac:dyDescent="0.2">
      <c r="A693">
        <v>129</v>
      </c>
      <c r="B693">
        <v>3693378</v>
      </c>
      <c r="C693">
        <v>21883</v>
      </c>
      <c r="F693">
        <v>475</v>
      </c>
    </row>
    <row r="694" spans="1:6" x14ac:dyDescent="0.2">
      <c r="A694">
        <v>129</v>
      </c>
      <c r="B694">
        <v>3693379</v>
      </c>
      <c r="C694">
        <v>21883</v>
      </c>
      <c r="F694">
        <v>493</v>
      </c>
    </row>
    <row r="695" spans="1:6" x14ac:dyDescent="0.2">
      <c r="A695">
        <v>129</v>
      </c>
      <c r="B695">
        <v>3693380</v>
      </c>
      <c r="C695">
        <v>21883</v>
      </c>
      <c r="F695">
        <v>492</v>
      </c>
    </row>
    <row r="696" spans="1:6" x14ac:dyDescent="0.2">
      <c r="A696">
        <v>129</v>
      </c>
      <c r="B696">
        <v>3693381</v>
      </c>
      <c r="C696">
        <v>21883</v>
      </c>
      <c r="F696">
        <v>484</v>
      </c>
    </row>
    <row r="697" spans="1:6" x14ac:dyDescent="0.2">
      <c r="A697">
        <v>129</v>
      </c>
      <c r="B697">
        <v>3693382</v>
      </c>
      <c r="C697">
        <v>21883</v>
      </c>
      <c r="F697">
        <v>490</v>
      </c>
    </row>
    <row r="698" spans="1:6" x14ac:dyDescent="0.2">
      <c r="A698">
        <v>129</v>
      </c>
      <c r="B698">
        <v>3693383</v>
      </c>
      <c r="C698">
        <v>21883</v>
      </c>
      <c r="F698">
        <v>488</v>
      </c>
    </row>
    <row r="699" spans="1:6" x14ac:dyDescent="0.2">
      <c r="A699">
        <v>129</v>
      </c>
      <c r="B699">
        <v>3693384</v>
      </c>
      <c r="C699">
        <v>21883</v>
      </c>
      <c r="F699">
        <v>390</v>
      </c>
    </row>
    <row r="700" spans="1:6" x14ac:dyDescent="0.2">
      <c r="A700">
        <v>129</v>
      </c>
      <c r="B700">
        <v>3693385</v>
      </c>
      <c r="C700">
        <v>21883</v>
      </c>
      <c r="F700">
        <v>580</v>
      </c>
    </row>
    <row r="701" spans="1:6" x14ac:dyDescent="0.2">
      <c r="A701">
        <v>129</v>
      </c>
      <c r="B701">
        <v>3693386</v>
      </c>
      <c r="C701">
        <v>21883</v>
      </c>
      <c r="F701">
        <v>596</v>
      </c>
    </row>
    <row r="702" spans="1:6" x14ac:dyDescent="0.2">
      <c r="A702">
        <v>129</v>
      </c>
      <c r="B702">
        <v>3693387</v>
      </c>
      <c r="C702">
        <v>21883</v>
      </c>
      <c r="F702">
        <v>614</v>
      </c>
    </row>
    <row r="703" spans="1:6" x14ac:dyDescent="0.2">
      <c r="A703">
        <v>129</v>
      </c>
      <c r="B703">
        <v>3693388</v>
      </c>
      <c r="C703">
        <v>21883</v>
      </c>
      <c r="F703">
        <v>628</v>
      </c>
    </row>
    <row r="704" spans="1:6" x14ac:dyDescent="0.2">
      <c r="A704">
        <v>129</v>
      </c>
      <c r="B704">
        <v>3693389</v>
      </c>
      <c r="C704">
        <v>21883</v>
      </c>
      <c r="F704">
        <v>505</v>
      </c>
    </row>
    <row r="705" spans="1:6" x14ac:dyDescent="0.2">
      <c r="A705">
        <v>129</v>
      </c>
      <c r="B705">
        <v>3693390</v>
      </c>
      <c r="C705">
        <v>21883</v>
      </c>
      <c r="F705">
        <v>504</v>
      </c>
    </row>
    <row r="706" spans="1:6" x14ac:dyDescent="0.2">
      <c r="A706">
        <v>129</v>
      </c>
      <c r="B706">
        <v>3693391</v>
      </c>
      <c r="C706">
        <v>21883</v>
      </c>
      <c r="F706">
        <v>502</v>
      </c>
    </row>
    <row r="707" spans="1:6" x14ac:dyDescent="0.2">
      <c r="A707">
        <v>129</v>
      </c>
      <c r="B707">
        <v>3693392</v>
      </c>
      <c r="C707">
        <v>21883</v>
      </c>
      <c r="F707">
        <v>500</v>
      </c>
    </row>
    <row r="708" spans="1:6" x14ac:dyDescent="0.2">
      <c r="A708">
        <v>129</v>
      </c>
      <c r="B708">
        <v>3693393</v>
      </c>
      <c r="C708">
        <v>21883</v>
      </c>
      <c r="F708">
        <v>498</v>
      </c>
    </row>
    <row r="709" spans="1:6" x14ac:dyDescent="0.2">
      <c r="A709">
        <v>129</v>
      </c>
      <c r="B709">
        <v>3693394</v>
      </c>
      <c r="C709">
        <v>21883</v>
      </c>
      <c r="F709">
        <v>528</v>
      </c>
    </row>
    <row r="710" spans="1:6" x14ac:dyDescent="0.2">
      <c r="A710">
        <v>129</v>
      </c>
      <c r="B710">
        <v>3693395</v>
      </c>
      <c r="C710">
        <v>21883</v>
      </c>
      <c r="F710">
        <v>526</v>
      </c>
    </row>
    <row r="711" spans="1:6" x14ac:dyDescent="0.2">
      <c r="A711">
        <v>129</v>
      </c>
      <c r="B711">
        <v>3693396</v>
      </c>
      <c r="C711">
        <v>21883</v>
      </c>
      <c r="F711">
        <v>519</v>
      </c>
    </row>
    <row r="712" spans="1:6" x14ac:dyDescent="0.2">
      <c r="A712">
        <v>129</v>
      </c>
      <c r="B712">
        <v>3693397</v>
      </c>
      <c r="C712">
        <v>21883</v>
      </c>
      <c r="F712">
        <v>524</v>
      </c>
    </row>
    <row r="713" spans="1:6" x14ac:dyDescent="0.2">
      <c r="A713">
        <v>129</v>
      </c>
      <c r="B713">
        <v>3693398</v>
      </c>
      <c r="C713">
        <v>21883</v>
      </c>
      <c r="F713">
        <v>522</v>
      </c>
    </row>
    <row r="714" spans="1:6" x14ac:dyDescent="0.2">
      <c r="A714">
        <v>129</v>
      </c>
      <c r="B714">
        <v>3693399</v>
      </c>
      <c r="C714">
        <v>21883</v>
      </c>
      <c r="F714">
        <v>544</v>
      </c>
    </row>
    <row r="715" spans="1:6" x14ac:dyDescent="0.2">
      <c r="A715">
        <v>129</v>
      </c>
      <c r="B715">
        <v>3693400</v>
      </c>
      <c r="C715">
        <v>21883</v>
      </c>
      <c r="F715">
        <v>542</v>
      </c>
    </row>
    <row r="716" spans="1:6" x14ac:dyDescent="0.2">
      <c r="A716">
        <v>129</v>
      </c>
      <c r="B716">
        <v>3693401</v>
      </c>
      <c r="C716">
        <v>21883</v>
      </c>
      <c r="F716">
        <v>540</v>
      </c>
    </row>
    <row r="717" spans="1:6" x14ac:dyDescent="0.2">
      <c r="A717">
        <v>129</v>
      </c>
      <c r="B717">
        <v>3693402</v>
      </c>
      <c r="C717">
        <v>21883</v>
      </c>
      <c r="F717">
        <v>539</v>
      </c>
    </row>
    <row r="718" spans="1:6" x14ac:dyDescent="0.2">
      <c r="A718">
        <v>129</v>
      </c>
      <c r="B718">
        <v>3693403</v>
      </c>
      <c r="C718">
        <v>21883</v>
      </c>
      <c r="F718">
        <v>537</v>
      </c>
    </row>
    <row r="719" spans="1:6" x14ac:dyDescent="0.2">
      <c r="A719">
        <v>129</v>
      </c>
      <c r="B719">
        <v>3693404</v>
      </c>
      <c r="C719">
        <v>21883</v>
      </c>
      <c r="F719">
        <v>642</v>
      </c>
    </row>
    <row r="720" spans="1:6" x14ac:dyDescent="0.2">
      <c r="A720">
        <v>129</v>
      </c>
      <c r="B720">
        <v>3693405</v>
      </c>
      <c r="C720">
        <v>21883</v>
      </c>
      <c r="F720">
        <v>657</v>
      </c>
    </row>
    <row r="721" spans="1:6" x14ac:dyDescent="0.2">
      <c r="A721">
        <v>129</v>
      </c>
      <c r="B721">
        <v>3693406</v>
      </c>
      <c r="C721">
        <v>21883</v>
      </c>
      <c r="F721">
        <v>674</v>
      </c>
    </row>
    <row r="722" spans="1:6" x14ac:dyDescent="0.2">
      <c r="A722">
        <v>129</v>
      </c>
      <c r="B722">
        <v>3693407</v>
      </c>
      <c r="C722">
        <v>21883</v>
      </c>
      <c r="F722">
        <v>560</v>
      </c>
    </row>
    <row r="723" spans="1:6" x14ac:dyDescent="0.2">
      <c r="A723">
        <v>129</v>
      </c>
      <c r="B723">
        <v>3693408</v>
      </c>
      <c r="C723">
        <v>21883</v>
      </c>
      <c r="F723">
        <v>559</v>
      </c>
    </row>
    <row r="724" spans="1:6" x14ac:dyDescent="0.2">
      <c r="A724">
        <v>129</v>
      </c>
      <c r="B724">
        <v>3693409</v>
      </c>
      <c r="C724">
        <v>21883</v>
      </c>
      <c r="F724">
        <v>558</v>
      </c>
    </row>
    <row r="725" spans="1:6" x14ac:dyDescent="0.2">
      <c r="A725">
        <v>129</v>
      </c>
      <c r="B725">
        <v>3693410</v>
      </c>
      <c r="C725">
        <v>21883</v>
      </c>
      <c r="F725">
        <v>556</v>
      </c>
    </row>
    <row r="726" spans="1:6" x14ac:dyDescent="0.2">
      <c r="A726">
        <v>129</v>
      </c>
      <c r="B726">
        <v>3693411</v>
      </c>
      <c r="C726">
        <v>21883</v>
      </c>
      <c r="F726">
        <v>555</v>
      </c>
    </row>
    <row r="727" spans="1:6" x14ac:dyDescent="0.2">
      <c r="A727">
        <v>129</v>
      </c>
      <c r="B727">
        <v>3693412</v>
      </c>
      <c r="C727">
        <v>21883</v>
      </c>
      <c r="F727">
        <v>384</v>
      </c>
    </row>
    <row r="728" spans="1:6" x14ac:dyDescent="0.2">
      <c r="A728">
        <v>129</v>
      </c>
      <c r="B728">
        <v>3693413</v>
      </c>
      <c r="C728">
        <v>21883</v>
      </c>
      <c r="F728">
        <v>379</v>
      </c>
    </row>
    <row r="729" spans="1:6" x14ac:dyDescent="0.2">
      <c r="A729">
        <v>129</v>
      </c>
      <c r="B729">
        <v>3693414</v>
      </c>
      <c r="C729">
        <v>21883</v>
      </c>
      <c r="F729">
        <v>578</v>
      </c>
    </row>
    <row r="730" spans="1:6" x14ac:dyDescent="0.2">
      <c r="A730">
        <v>129</v>
      </c>
      <c r="B730">
        <v>3693415</v>
      </c>
      <c r="C730">
        <v>21883</v>
      </c>
      <c r="F730">
        <v>577</v>
      </c>
    </row>
    <row r="731" spans="1:6" x14ac:dyDescent="0.2">
      <c r="A731">
        <v>129</v>
      </c>
      <c r="B731">
        <v>3693416</v>
      </c>
      <c r="C731">
        <v>21883</v>
      </c>
      <c r="F731">
        <v>576</v>
      </c>
    </row>
    <row r="732" spans="1:6" x14ac:dyDescent="0.2">
      <c r="A732">
        <v>129</v>
      </c>
      <c r="B732">
        <v>3693417</v>
      </c>
      <c r="C732">
        <v>21883</v>
      </c>
      <c r="F732">
        <v>574</v>
      </c>
    </row>
    <row r="733" spans="1:6" x14ac:dyDescent="0.2">
      <c r="A733">
        <v>129</v>
      </c>
      <c r="B733">
        <v>3693418</v>
      </c>
      <c r="C733">
        <v>21883</v>
      </c>
      <c r="F733">
        <v>573</v>
      </c>
    </row>
    <row r="734" spans="1:6" x14ac:dyDescent="0.2">
      <c r="A734">
        <v>129</v>
      </c>
      <c r="B734">
        <v>3693419</v>
      </c>
      <c r="C734">
        <v>21883</v>
      </c>
      <c r="F734">
        <v>570</v>
      </c>
    </row>
    <row r="735" spans="1:6" x14ac:dyDescent="0.2">
      <c r="A735">
        <v>129</v>
      </c>
      <c r="B735">
        <v>3693420</v>
      </c>
      <c r="C735">
        <v>21883</v>
      </c>
      <c r="F735">
        <v>391</v>
      </c>
    </row>
    <row r="736" spans="1:6" x14ac:dyDescent="0.2">
      <c r="A736">
        <v>129</v>
      </c>
      <c r="B736">
        <v>3693421</v>
      </c>
      <c r="C736">
        <v>21883</v>
      </c>
      <c r="F736">
        <v>594</v>
      </c>
    </row>
    <row r="737" spans="1:6" x14ac:dyDescent="0.2">
      <c r="A737">
        <v>129</v>
      </c>
      <c r="B737">
        <v>3693422</v>
      </c>
      <c r="C737">
        <v>21883</v>
      </c>
      <c r="F737">
        <v>593</v>
      </c>
    </row>
    <row r="738" spans="1:6" x14ac:dyDescent="0.2">
      <c r="A738">
        <v>129</v>
      </c>
      <c r="B738">
        <v>3693423</v>
      </c>
      <c r="C738">
        <v>21883</v>
      </c>
      <c r="F738">
        <v>592</v>
      </c>
    </row>
    <row r="739" spans="1:6" x14ac:dyDescent="0.2">
      <c r="A739">
        <v>129</v>
      </c>
      <c r="B739">
        <v>3693424</v>
      </c>
      <c r="C739">
        <v>21883</v>
      </c>
      <c r="F739">
        <v>590</v>
      </c>
    </row>
    <row r="740" spans="1:6" x14ac:dyDescent="0.2">
      <c r="A740">
        <v>129</v>
      </c>
      <c r="B740">
        <v>3693425</v>
      </c>
      <c r="C740">
        <v>21883</v>
      </c>
      <c r="F740">
        <v>589</v>
      </c>
    </row>
    <row r="741" spans="1:6" x14ac:dyDescent="0.2">
      <c r="A741">
        <v>129</v>
      </c>
      <c r="B741">
        <v>3693426</v>
      </c>
      <c r="C741">
        <v>21883</v>
      </c>
      <c r="F741">
        <v>587</v>
      </c>
    </row>
    <row r="742" spans="1:6" x14ac:dyDescent="0.2">
      <c r="A742">
        <v>129</v>
      </c>
      <c r="B742">
        <v>3693427</v>
      </c>
      <c r="C742">
        <v>21883</v>
      </c>
      <c r="F742">
        <v>380</v>
      </c>
    </row>
    <row r="743" spans="1:6" x14ac:dyDescent="0.2">
      <c r="A743">
        <v>129</v>
      </c>
      <c r="B743">
        <v>3693428</v>
      </c>
      <c r="C743">
        <v>21883</v>
      </c>
      <c r="F743">
        <v>612</v>
      </c>
    </row>
    <row r="744" spans="1:6" x14ac:dyDescent="0.2">
      <c r="A744">
        <v>129</v>
      </c>
      <c r="B744">
        <v>3693429</v>
      </c>
      <c r="C744">
        <v>21883</v>
      </c>
      <c r="F744">
        <v>611</v>
      </c>
    </row>
    <row r="745" spans="1:6" x14ac:dyDescent="0.2">
      <c r="A745">
        <v>129</v>
      </c>
      <c r="B745">
        <v>3693430</v>
      </c>
      <c r="C745">
        <v>21883</v>
      </c>
      <c r="F745">
        <v>610</v>
      </c>
    </row>
    <row r="746" spans="1:6" x14ac:dyDescent="0.2">
      <c r="A746">
        <v>129</v>
      </c>
      <c r="B746">
        <v>3693431</v>
      </c>
      <c r="C746">
        <v>21883</v>
      </c>
      <c r="F746">
        <v>608</v>
      </c>
    </row>
    <row r="747" spans="1:6" x14ac:dyDescent="0.2">
      <c r="A747">
        <v>129</v>
      </c>
      <c r="B747">
        <v>3693432</v>
      </c>
      <c r="C747">
        <v>21883</v>
      </c>
      <c r="F747">
        <v>607</v>
      </c>
    </row>
    <row r="748" spans="1:6" x14ac:dyDescent="0.2">
      <c r="A748">
        <v>129</v>
      </c>
      <c r="B748">
        <v>3693433</v>
      </c>
      <c r="C748">
        <v>21883</v>
      </c>
      <c r="F748">
        <v>605</v>
      </c>
    </row>
    <row r="749" spans="1:6" x14ac:dyDescent="0.2">
      <c r="A749">
        <v>129</v>
      </c>
      <c r="B749">
        <v>3693434</v>
      </c>
      <c r="C749">
        <v>21883</v>
      </c>
      <c r="F749">
        <v>401</v>
      </c>
    </row>
    <row r="750" spans="1:6" x14ac:dyDescent="0.2">
      <c r="A750">
        <v>129</v>
      </c>
      <c r="B750">
        <v>3693435</v>
      </c>
      <c r="C750">
        <v>21883</v>
      </c>
      <c r="F750">
        <v>626</v>
      </c>
    </row>
    <row r="751" spans="1:6" x14ac:dyDescent="0.2">
      <c r="A751">
        <v>129</v>
      </c>
      <c r="B751">
        <v>3693436</v>
      </c>
      <c r="C751">
        <v>21883</v>
      </c>
      <c r="F751">
        <v>625</v>
      </c>
    </row>
    <row r="752" spans="1:6" x14ac:dyDescent="0.2">
      <c r="A752">
        <v>129</v>
      </c>
      <c r="B752">
        <v>3693437</v>
      </c>
      <c r="C752">
        <v>21883</v>
      </c>
      <c r="F752">
        <v>624</v>
      </c>
    </row>
    <row r="753" spans="1:6" x14ac:dyDescent="0.2">
      <c r="A753">
        <v>129</v>
      </c>
      <c r="B753">
        <v>3693438</v>
      </c>
      <c r="C753">
        <v>21883</v>
      </c>
      <c r="F753">
        <v>622</v>
      </c>
    </row>
    <row r="754" spans="1:6" x14ac:dyDescent="0.2">
      <c r="A754">
        <v>129</v>
      </c>
      <c r="B754">
        <v>3693439</v>
      </c>
      <c r="C754">
        <v>21883</v>
      </c>
      <c r="F754">
        <v>621</v>
      </c>
    </row>
    <row r="755" spans="1:6" x14ac:dyDescent="0.2">
      <c r="A755">
        <v>129</v>
      </c>
      <c r="B755">
        <v>3693440</v>
      </c>
      <c r="C755">
        <v>21883</v>
      </c>
      <c r="F755">
        <v>387</v>
      </c>
    </row>
    <row r="756" spans="1:6" x14ac:dyDescent="0.2">
      <c r="A756">
        <v>129</v>
      </c>
      <c r="B756">
        <v>3693441</v>
      </c>
      <c r="C756">
        <v>21883</v>
      </c>
      <c r="F756">
        <v>395</v>
      </c>
    </row>
    <row r="757" spans="1:6" x14ac:dyDescent="0.2">
      <c r="A757">
        <v>129</v>
      </c>
      <c r="B757">
        <v>3693442</v>
      </c>
      <c r="C757">
        <v>21883</v>
      </c>
      <c r="F757">
        <v>385</v>
      </c>
    </row>
    <row r="758" spans="1:6" x14ac:dyDescent="0.2">
      <c r="A758">
        <v>129</v>
      </c>
      <c r="B758">
        <v>3693443</v>
      </c>
      <c r="C758">
        <v>21883</v>
      </c>
      <c r="F758">
        <v>383</v>
      </c>
    </row>
    <row r="759" spans="1:6" x14ac:dyDescent="0.2">
      <c r="A759">
        <v>129</v>
      </c>
      <c r="B759">
        <v>3693444</v>
      </c>
      <c r="C759">
        <v>21883</v>
      </c>
      <c r="F759">
        <v>638</v>
      </c>
    </row>
    <row r="760" spans="1:6" x14ac:dyDescent="0.2">
      <c r="A760">
        <v>129</v>
      </c>
      <c r="B760">
        <v>3693445</v>
      </c>
      <c r="C760">
        <v>21883</v>
      </c>
      <c r="F760">
        <v>637</v>
      </c>
    </row>
    <row r="761" spans="1:6" x14ac:dyDescent="0.2">
      <c r="A761">
        <v>129</v>
      </c>
      <c r="B761">
        <v>3693446</v>
      </c>
      <c r="C761">
        <v>21883</v>
      </c>
      <c r="F761">
        <v>636</v>
      </c>
    </row>
    <row r="762" spans="1:6" x14ac:dyDescent="0.2">
      <c r="A762">
        <v>129</v>
      </c>
      <c r="B762">
        <v>3693447</v>
      </c>
      <c r="C762">
        <v>21883</v>
      </c>
      <c r="F762">
        <v>634</v>
      </c>
    </row>
    <row r="763" spans="1:6" x14ac:dyDescent="0.2">
      <c r="A763">
        <v>129</v>
      </c>
      <c r="B763">
        <v>3693448</v>
      </c>
      <c r="C763">
        <v>21883</v>
      </c>
      <c r="F763">
        <v>633</v>
      </c>
    </row>
    <row r="764" spans="1:6" x14ac:dyDescent="0.2">
      <c r="A764">
        <v>129</v>
      </c>
      <c r="B764">
        <v>3693449</v>
      </c>
      <c r="C764">
        <v>21883</v>
      </c>
      <c r="F764">
        <v>396</v>
      </c>
    </row>
    <row r="765" spans="1:6" x14ac:dyDescent="0.2">
      <c r="A765">
        <v>129</v>
      </c>
      <c r="B765">
        <v>3693450</v>
      </c>
      <c r="C765">
        <v>21883</v>
      </c>
      <c r="F765">
        <v>378</v>
      </c>
    </row>
    <row r="766" spans="1:6" x14ac:dyDescent="0.2">
      <c r="A766">
        <v>129</v>
      </c>
      <c r="B766">
        <v>3693451</v>
      </c>
      <c r="C766">
        <v>21883</v>
      </c>
      <c r="F766">
        <v>653</v>
      </c>
    </row>
    <row r="767" spans="1:6" x14ac:dyDescent="0.2">
      <c r="A767">
        <v>129</v>
      </c>
      <c r="B767">
        <v>3693452</v>
      </c>
      <c r="C767">
        <v>21883</v>
      </c>
      <c r="F767">
        <v>652</v>
      </c>
    </row>
    <row r="768" spans="1:6" x14ac:dyDescent="0.2">
      <c r="A768">
        <v>129</v>
      </c>
      <c r="B768">
        <v>3693453</v>
      </c>
      <c r="C768">
        <v>21883</v>
      </c>
      <c r="F768">
        <v>650</v>
      </c>
    </row>
    <row r="769" spans="1:6" x14ac:dyDescent="0.2">
      <c r="A769">
        <v>129</v>
      </c>
      <c r="B769">
        <v>3693454</v>
      </c>
      <c r="C769">
        <v>21883</v>
      </c>
      <c r="F769">
        <v>649</v>
      </c>
    </row>
    <row r="770" spans="1:6" x14ac:dyDescent="0.2">
      <c r="A770">
        <v>129</v>
      </c>
      <c r="B770">
        <v>3693455</v>
      </c>
      <c r="C770">
        <v>21883</v>
      </c>
      <c r="F770">
        <v>648</v>
      </c>
    </row>
    <row r="771" spans="1:6" x14ac:dyDescent="0.2">
      <c r="A771">
        <v>129</v>
      </c>
      <c r="B771">
        <v>3693456</v>
      </c>
      <c r="C771">
        <v>21883</v>
      </c>
      <c r="F771">
        <v>399</v>
      </c>
    </row>
    <row r="772" spans="1:6" x14ac:dyDescent="0.2">
      <c r="A772">
        <v>129</v>
      </c>
      <c r="B772">
        <v>3693457</v>
      </c>
      <c r="C772">
        <v>21883</v>
      </c>
      <c r="F772">
        <v>382</v>
      </c>
    </row>
    <row r="773" spans="1:6" x14ac:dyDescent="0.2">
      <c r="A773">
        <v>129</v>
      </c>
      <c r="B773">
        <v>3693458</v>
      </c>
      <c r="C773">
        <v>21883</v>
      </c>
      <c r="F773">
        <v>669</v>
      </c>
    </row>
    <row r="774" spans="1:6" x14ac:dyDescent="0.2">
      <c r="A774">
        <v>129</v>
      </c>
      <c r="B774">
        <v>3693459</v>
      </c>
      <c r="C774">
        <v>21883</v>
      </c>
      <c r="F774">
        <v>668</v>
      </c>
    </row>
    <row r="775" spans="1:6" x14ac:dyDescent="0.2">
      <c r="A775">
        <v>129</v>
      </c>
      <c r="B775">
        <v>3693460</v>
      </c>
      <c r="C775">
        <v>21883</v>
      </c>
      <c r="F775">
        <v>667</v>
      </c>
    </row>
    <row r="776" spans="1:6" x14ac:dyDescent="0.2">
      <c r="A776">
        <v>129</v>
      </c>
      <c r="B776">
        <v>3693461</v>
      </c>
      <c r="C776">
        <v>21883</v>
      </c>
      <c r="F776">
        <v>665</v>
      </c>
    </row>
    <row r="777" spans="1:6" x14ac:dyDescent="0.2">
      <c r="A777">
        <v>129</v>
      </c>
      <c r="B777">
        <v>3693462</v>
      </c>
      <c r="C777">
        <v>21883</v>
      </c>
      <c r="F777">
        <v>664</v>
      </c>
    </row>
    <row r="778" spans="1:6" x14ac:dyDescent="0.2">
      <c r="A778">
        <v>129</v>
      </c>
      <c r="B778">
        <v>3693463</v>
      </c>
      <c r="C778">
        <v>21883</v>
      </c>
      <c r="F778">
        <v>394</v>
      </c>
    </row>
    <row r="779" spans="1:6" x14ac:dyDescent="0.2">
      <c r="A779">
        <v>129</v>
      </c>
      <c r="B779">
        <v>3693464</v>
      </c>
      <c r="C779">
        <v>21883</v>
      </c>
      <c r="F779">
        <v>398</v>
      </c>
    </row>
    <row r="780" spans="1:6" x14ac:dyDescent="0.2">
      <c r="A780">
        <v>129</v>
      </c>
      <c r="B780">
        <v>3693465</v>
      </c>
      <c r="C780">
        <v>21883</v>
      </c>
      <c r="F780">
        <v>392</v>
      </c>
    </row>
    <row r="781" spans="1:6" x14ac:dyDescent="0.2">
      <c r="A781">
        <v>129</v>
      </c>
      <c r="B781">
        <v>3693466</v>
      </c>
      <c r="C781">
        <v>21883</v>
      </c>
      <c r="F781">
        <v>386</v>
      </c>
    </row>
    <row r="782" spans="1:6" x14ac:dyDescent="0.2">
      <c r="A782">
        <v>129</v>
      </c>
      <c r="B782">
        <v>3693467</v>
      </c>
      <c r="C782">
        <v>21883</v>
      </c>
      <c r="F782">
        <v>972</v>
      </c>
    </row>
    <row r="783" spans="1:6" x14ac:dyDescent="0.2">
      <c r="A783">
        <v>129</v>
      </c>
      <c r="B783">
        <v>3693468</v>
      </c>
      <c r="C783">
        <v>21883</v>
      </c>
      <c r="F783">
        <v>968</v>
      </c>
    </row>
    <row r="784" spans="1:6" x14ac:dyDescent="0.2">
      <c r="A784">
        <v>129</v>
      </c>
      <c r="B784">
        <v>3693469</v>
      </c>
      <c r="C784">
        <v>21883</v>
      </c>
      <c r="F784">
        <v>981</v>
      </c>
    </row>
    <row r="785" spans="1:6" x14ac:dyDescent="0.2">
      <c r="A785">
        <v>129</v>
      </c>
      <c r="B785">
        <v>3693470</v>
      </c>
      <c r="C785">
        <v>21883</v>
      </c>
      <c r="F785">
        <v>976</v>
      </c>
    </row>
    <row r="786" spans="1:6" x14ac:dyDescent="0.2">
      <c r="A786">
        <v>129</v>
      </c>
      <c r="B786">
        <v>3693471</v>
      </c>
      <c r="C786">
        <v>21883</v>
      </c>
      <c r="F786">
        <v>978</v>
      </c>
    </row>
    <row r="787" spans="1:6" x14ac:dyDescent="0.2">
      <c r="A787">
        <v>129</v>
      </c>
      <c r="B787">
        <v>3693472</v>
      </c>
      <c r="C787">
        <v>21883</v>
      </c>
      <c r="F787">
        <v>966</v>
      </c>
    </row>
    <row r="788" spans="1:6" x14ac:dyDescent="0.2">
      <c r="A788">
        <v>129</v>
      </c>
      <c r="B788">
        <v>3693473</v>
      </c>
      <c r="C788">
        <v>21883</v>
      </c>
      <c r="F788">
        <v>980</v>
      </c>
    </row>
    <row r="789" spans="1:6" x14ac:dyDescent="0.2">
      <c r="A789">
        <v>129</v>
      </c>
      <c r="B789">
        <v>3693474</v>
      </c>
      <c r="C789">
        <v>21883</v>
      </c>
      <c r="F789">
        <v>979</v>
      </c>
    </row>
    <row r="790" spans="1:6" x14ac:dyDescent="0.2">
      <c r="A790">
        <v>129</v>
      </c>
      <c r="B790">
        <v>3693475</v>
      </c>
      <c r="C790">
        <v>21883</v>
      </c>
      <c r="F790">
        <v>977</v>
      </c>
    </row>
    <row r="791" spans="1:6" x14ac:dyDescent="0.2">
      <c r="A791">
        <v>129</v>
      </c>
      <c r="B791">
        <v>3693476</v>
      </c>
      <c r="C791">
        <v>21883</v>
      </c>
      <c r="F791">
        <v>975</v>
      </c>
    </row>
    <row r="792" spans="1:6" x14ac:dyDescent="0.2">
      <c r="A792">
        <v>129</v>
      </c>
      <c r="B792">
        <v>3693477</v>
      </c>
      <c r="C792">
        <v>21883</v>
      </c>
      <c r="F792">
        <v>974</v>
      </c>
    </row>
    <row r="793" spans="1:6" x14ac:dyDescent="0.2">
      <c r="A793">
        <v>129</v>
      </c>
      <c r="B793">
        <v>3693478</v>
      </c>
      <c r="C793">
        <v>21883</v>
      </c>
      <c r="F793">
        <v>846</v>
      </c>
    </row>
    <row r="794" spans="1:6" x14ac:dyDescent="0.2">
      <c r="A794">
        <v>129</v>
      </c>
      <c r="B794">
        <v>3693479</v>
      </c>
      <c r="C794">
        <v>21883</v>
      </c>
      <c r="F794">
        <v>973</v>
      </c>
    </row>
    <row r="795" spans="1:6" x14ac:dyDescent="0.2">
      <c r="A795">
        <v>129</v>
      </c>
      <c r="B795">
        <v>3693480</v>
      </c>
      <c r="C795">
        <v>21883</v>
      </c>
      <c r="F795">
        <v>970</v>
      </c>
    </row>
    <row r="796" spans="1:6" x14ac:dyDescent="0.2">
      <c r="A796">
        <v>129</v>
      </c>
      <c r="B796">
        <v>3693481</v>
      </c>
      <c r="C796">
        <v>21883</v>
      </c>
      <c r="F796">
        <v>971</v>
      </c>
    </row>
    <row r="797" spans="1:6" x14ac:dyDescent="0.2">
      <c r="A797">
        <v>129</v>
      </c>
      <c r="B797">
        <v>3693482</v>
      </c>
      <c r="C797">
        <v>21883</v>
      </c>
      <c r="F797">
        <v>969</v>
      </c>
    </row>
    <row r="798" spans="1:6" x14ac:dyDescent="0.2">
      <c r="A798">
        <v>129</v>
      </c>
      <c r="B798">
        <v>3693483</v>
      </c>
      <c r="C798">
        <v>21883</v>
      </c>
      <c r="F798">
        <v>967</v>
      </c>
    </row>
    <row r="799" spans="1:6" x14ac:dyDescent="0.2">
      <c r="A799">
        <v>129</v>
      </c>
      <c r="B799">
        <v>3693484</v>
      </c>
      <c r="C799">
        <v>21883</v>
      </c>
      <c r="F799">
        <v>965</v>
      </c>
    </row>
    <row r="800" spans="1:6" x14ac:dyDescent="0.2">
      <c r="A800">
        <v>129</v>
      </c>
      <c r="B800">
        <v>3693485</v>
      </c>
      <c r="C800">
        <v>21883</v>
      </c>
      <c r="F800">
        <v>858</v>
      </c>
    </row>
    <row r="801" spans="1:6" x14ac:dyDescent="0.2">
      <c r="A801">
        <v>129</v>
      </c>
      <c r="B801">
        <v>3693486</v>
      </c>
      <c r="C801">
        <v>21883</v>
      </c>
      <c r="F801">
        <v>854</v>
      </c>
    </row>
    <row r="802" spans="1:6" x14ac:dyDescent="0.2">
      <c r="A802">
        <v>129</v>
      </c>
      <c r="B802">
        <v>3693487</v>
      </c>
      <c r="C802">
        <v>21883</v>
      </c>
      <c r="F802">
        <v>867</v>
      </c>
    </row>
    <row r="803" spans="1:6" x14ac:dyDescent="0.2">
      <c r="A803">
        <v>129</v>
      </c>
      <c r="B803">
        <v>3693488</v>
      </c>
      <c r="C803">
        <v>21883</v>
      </c>
      <c r="F803">
        <v>862</v>
      </c>
    </row>
    <row r="804" spans="1:6" x14ac:dyDescent="0.2">
      <c r="A804">
        <v>129</v>
      </c>
      <c r="B804">
        <v>3693489</v>
      </c>
      <c r="C804">
        <v>21883</v>
      </c>
      <c r="F804">
        <v>864</v>
      </c>
    </row>
    <row r="805" spans="1:6" x14ac:dyDescent="0.2">
      <c r="A805">
        <v>129</v>
      </c>
      <c r="B805">
        <v>3693490</v>
      </c>
      <c r="C805">
        <v>21883</v>
      </c>
      <c r="F805">
        <v>852</v>
      </c>
    </row>
    <row r="806" spans="1:6" x14ac:dyDescent="0.2">
      <c r="A806">
        <v>129</v>
      </c>
      <c r="B806">
        <v>3693491</v>
      </c>
      <c r="C806">
        <v>21883</v>
      </c>
      <c r="F806">
        <v>866</v>
      </c>
    </row>
    <row r="807" spans="1:6" x14ac:dyDescent="0.2">
      <c r="A807">
        <v>129</v>
      </c>
      <c r="B807">
        <v>3693492</v>
      </c>
      <c r="C807">
        <v>21883</v>
      </c>
      <c r="F807">
        <v>865</v>
      </c>
    </row>
    <row r="808" spans="1:6" x14ac:dyDescent="0.2">
      <c r="A808">
        <v>129</v>
      </c>
      <c r="B808">
        <v>3693493</v>
      </c>
      <c r="C808">
        <v>21883</v>
      </c>
      <c r="F808">
        <v>863</v>
      </c>
    </row>
    <row r="809" spans="1:6" x14ac:dyDescent="0.2">
      <c r="A809">
        <v>129</v>
      </c>
      <c r="B809">
        <v>3693494</v>
      </c>
      <c r="C809">
        <v>21883</v>
      </c>
      <c r="F809">
        <v>861</v>
      </c>
    </row>
    <row r="810" spans="1:6" x14ac:dyDescent="0.2">
      <c r="A810">
        <v>129</v>
      </c>
      <c r="B810">
        <v>3693495</v>
      </c>
      <c r="C810">
        <v>21883</v>
      </c>
      <c r="F810">
        <v>860</v>
      </c>
    </row>
    <row r="811" spans="1:6" x14ac:dyDescent="0.2">
      <c r="A811">
        <v>129</v>
      </c>
      <c r="B811">
        <v>3693496</v>
      </c>
      <c r="C811">
        <v>21883</v>
      </c>
      <c r="F811">
        <v>859</v>
      </c>
    </row>
    <row r="812" spans="1:6" x14ac:dyDescent="0.2">
      <c r="A812">
        <v>129</v>
      </c>
      <c r="B812">
        <v>3693497</v>
      </c>
      <c r="C812">
        <v>21883</v>
      </c>
      <c r="F812">
        <v>838</v>
      </c>
    </row>
    <row r="813" spans="1:6" x14ac:dyDescent="0.2">
      <c r="A813">
        <v>129</v>
      </c>
      <c r="B813">
        <v>3693498</v>
      </c>
      <c r="C813">
        <v>21883</v>
      </c>
      <c r="F813">
        <v>857</v>
      </c>
    </row>
    <row r="814" spans="1:6" x14ac:dyDescent="0.2">
      <c r="A814">
        <v>129</v>
      </c>
      <c r="B814">
        <v>3693499</v>
      </c>
      <c r="C814">
        <v>21883</v>
      </c>
      <c r="F814">
        <v>856</v>
      </c>
    </row>
    <row r="815" spans="1:6" x14ac:dyDescent="0.2">
      <c r="A815">
        <v>129</v>
      </c>
      <c r="B815">
        <v>3693500</v>
      </c>
      <c r="C815">
        <v>21883</v>
      </c>
      <c r="F815">
        <v>855</v>
      </c>
    </row>
    <row r="816" spans="1:6" x14ac:dyDescent="0.2">
      <c r="A816">
        <v>129</v>
      </c>
      <c r="B816">
        <v>3693501</v>
      </c>
      <c r="C816">
        <v>21883</v>
      </c>
      <c r="F816">
        <v>853</v>
      </c>
    </row>
    <row r="817" spans="1:6" x14ac:dyDescent="0.2">
      <c r="A817">
        <v>129</v>
      </c>
      <c r="B817">
        <v>3693502</v>
      </c>
      <c r="C817">
        <v>21883</v>
      </c>
      <c r="F817">
        <v>851</v>
      </c>
    </row>
    <row r="818" spans="1:6" x14ac:dyDescent="0.2">
      <c r="A818">
        <v>129</v>
      </c>
      <c r="B818">
        <v>3693503</v>
      </c>
      <c r="C818">
        <v>21883</v>
      </c>
      <c r="F818">
        <v>875</v>
      </c>
    </row>
    <row r="819" spans="1:6" x14ac:dyDescent="0.2">
      <c r="A819">
        <v>129</v>
      </c>
      <c r="B819">
        <v>3693504</v>
      </c>
      <c r="C819">
        <v>21883</v>
      </c>
      <c r="F819">
        <v>870</v>
      </c>
    </row>
    <row r="820" spans="1:6" x14ac:dyDescent="0.2">
      <c r="A820">
        <v>129</v>
      </c>
      <c r="B820">
        <v>3693505</v>
      </c>
      <c r="C820">
        <v>21883</v>
      </c>
      <c r="F820">
        <v>879</v>
      </c>
    </row>
    <row r="821" spans="1:6" x14ac:dyDescent="0.2">
      <c r="A821">
        <v>129</v>
      </c>
      <c r="B821">
        <v>3693506</v>
      </c>
      <c r="C821">
        <v>21883</v>
      </c>
      <c r="F821">
        <v>872</v>
      </c>
    </row>
    <row r="822" spans="1:6" x14ac:dyDescent="0.2">
      <c r="A822">
        <v>129</v>
      </c>
      <c r="B822">
        <v>3693507</v>
      </c>
      <c r="C822">
        <v>21883</v>
      </c>
      <c r="F822">
        <v>878</v>
      </c>
    </row>
    <row r="823" spans="1:6" x14ac:dyDescent="0.2">
      <c r="A823">
        <v>129</v>
      </c>
      <c r="B823">
        <v>3693508</v>
      </c>
      <c r="C823">
        <v>21883</v>
      </c>
      <c r="F823">
        <v>877</v>
      </c>
    </row>
    <row r="824" spans="1:6" x14ac:dyDescent="0.2">
      <c r="A824">
        <v>129</v>
      </c>
      <c r="B824">
        <v>3693509</v>
      </c>
      <c r="C824">
        <v>21883</v>
      </c>
      <c r="F824">
        <v>876</v>
      </c>
    </row>
    <row r="825" spans="1:6" x14ac:dyDescent="0.2">
      <c r="A825">
        <v>129</v>
      </c>
      <c r="B825">
        <v>3693510</v>
      </c>
      <c r="C825">
        <v>21883</v>
      </c>
      <c r="F825">
        <v>874</v>
      </c>
    </row>
    <row r="826" spans="1:6" x14ac:dyDescent="0.2">
      <c r="A826">
        <v>129</v>
      </c>
      <c r="B826">
        <v>3693511</v>
      </c>
      <c r="C826">
        <v>21883</v>
      </c>
      <c r="F826">
        <v>873</v>
      </c>
    </row>
    <row r="827" spans="1:6" x14ac:dyDescent="0.2">
      <c r="A827">
        <v>129</v>
      </c>
      <c r="B827">
        <v>3693512</v>
      </c>
      <c r="C827">
        <v>21883</v>
      </c>
      <c r="F827">
        <v>871</v>
      </c>
    </row>
    <row r="828" spans="1:6" x14ac:dyDescent="0.2">
      <c r="A828">
        <v>129</v>
      </c>
      <c r="B828">
        <v>3693513</v>
      </c>
      <c r="C828">
        <v>21883</v>
      </c>
      <c r="F828">
        <v>845</v>
      </c>
    </row>
    <row r="829" spans="1:6" x14ac:dyDescent="0.2">
      <c r="A829">
        <v>129</v>
      </c>
      <c r="B829">
        <v>3693514</v>
      </c>
      <c r="C829">
        <v>21883</v>
      </c>
      <c r="F829">
        <v>869</v>
      </c>
    </row>
    <row r="830" spans="1:6" x14ac:dyDescent="0.2">
      <c r="A830">
        <v>129</v>
      </c>
      <c r="B830">
        <v>3693515</v>
      </c>
      <c r="C830">
        <v>21883</v>
      </c>
      <c r="F830">
        <v>887</v>
      </c>
    </row>
    <row r="831" spans="1:6" x14ac:dyDescent="0.2">
      <c r="A831">
        <v>129</v>
      </c>
      <c r="B831">
        <v>3693516</v>
      </c>
      <c r="C831">
        <v>21883</v>
      </c>
      <c r="F831">
        <v>884</v>
      </c>
    </row>
    <row r="832" spans="1:6" x14ac:dyDescent="0.2">
      <c r="A832">
        <v>129</v>
      </c>
      <c r="B832">
        <v>3693517</v>
      </c>
      <c r="C832">
        <v>21883</v>
      </c>
      <c r="F832">
        <v>891</v>
      </c>
    </row>
    <row r="833" spans="1:6" x14ac:dyDescent="0.2">
      <c r="A833">
        <v>129</v>
      </c>
      <c r="B833">
        <v>3693518</v>
      </c>
      <c r="C833">
        <v>21883</v>
      </c>
      <c r="F833">
        <v>882</v>
      </c>
    </row>
    <row r="834" spans="1:6" x14ac:dyDescent="0.2">
      <c r="A834">
        <v>129</v>
      </c>
      <c r="B834">
        <v>3693519</v>
      </c>
      <c r="C834">
        <v>21883</v>
      </c>
      <c r="F834">
        <v>890</v>
      </c>
    </row>
    <row r="835" spans="1:6" x14ac:dyDescent="0.2">
      <c r="A835">
        <v>129</v>
      </c>
      <c r="B835">
        <v>3693520</v>
      </c>
      <c r="C835">
        <v>21883</v>
      </c>
      <c r="F835">
        <v>889</v>
      </c>
    </row>
    <row r="836" spans="1:6" x14ac:dyDescent="0.2">
      <c r="A836">
        <v>129</v>
      </c>
      <c r="B836">
        <v>3693521</v>
      </c>
      <c r="C836">
        <v>21883</v>
      </c>
      <c r="F836">
        <v>888</v>
      </c>
    </row>
    <row r="837" spans="1:6" x14ac:dyDescent="0.2">
      <c r="A837">
        <v>129</v>
      </c>
      <c r="B837">
        <v>3693522</v>
      </c>
      <c r="C837">
        <v>21883</v>
      </c>
      <c r="F837">
        <v>886</v>
      </c>
    </row>
    <row r="838" spans="1:6" x14ac:dyDescent="0.2">
      <c r="A838">
        <v>129</v>
      </c>
      <c r="B838">
        <v>3693523</v>
      </c>
      <c r="C838">
        <v>21883</v>
      </c>
      <c r="F838">
        <v>885</v>
      </c>
    </row>
    <row r="839" spans="1:6" x14ac:dyDescent="0.2">
      <c r="A839">
        <v>129</v>
      </c>
      <c r="B839">
        <v>3693524</v>
      </c>
      <c r="C839">
        <v>21883</v>
      </c>
      <c r="F839">
        <v>840</v>
      </c>
    </row>
    <row r="840" spans="1:6" x14ac:dyDescent="0.2">
      <c r="A840">
        <v>129</v>
      </c>
      <c r="B840">
        <v>3693525</v>
      </c>
      <c r="C840">
        <v>21883</v>
      </c>
      <c r="F840">
        <v>883</v>
      </c>
    </row>
    <row r="841" spans="1:6" x14ac:dyDescent="0.2">
      <c r="A841">
        <v>129</v>
      </c>
      <c r="B841">
        <v>3693526</v>
      </c>
      <c r="C841">
        <v>21883</v>
      </c>
      <c r="F841">
        <v>899</v>
      </c>
    </row>
    <row r="842" spans="1:6" x14ac:dyDescent="0.2">
      <c r="A842">
        <v>129</v>
      </c>
      <c r="B842">
        <v>3693527</v>
      </c>
      <c r="C842">
        <v>21883</v>
      </c>
      <c r="F842">
        <v>896</v>
      </c>
    </row>
    <row r="843" spans="1:6" x14ac:dyDescent="0.2">
      <c r="A843">
        <v>129</v>
      </c>
      <c r="B843">
        <v>3693528</v>
      </c>
      <c r="C843">
        <v>21883</v>
      </c>
      <c r="F843">
        <v>903</v>
      </c>
    </row>
    <row r="844" spans="1:6" x14ac:dyDescent="0.2">
      <c r="A844">
        <v>129</v>
      </c>
      <c r="B844">
        <v>3693529</v>
      </c>
      <c r="C844">
        <v>21883</v>
      </c>
      <c r="F844">
        <v>894</v>
      </c>
    </row>
    <row r="845" spans="1:6" x14ac:dyDescent="0.2">
      <c r="A845">
        <v>129</v>
      </c>
      <c r="B845">
        <v>3693530</v>
      </c>
      <c r="C845">
        <v>21883</v>
      </c>
      <c r="F845">
        <v>902</v>
      </c>
    </row>
    <row r="846" spans="1:6" x14ac:dyDescent="0.2">
      <c r="A846">
        <v>129</v>
      </c>
      <c r="B846">
        <v>3693531</v>
      </c>
      <c r="C846">
        <v>21883</v>
      </c>
      <c r="F846">
        <v>901</v>
      </c>
    </row>
    <row r="847" spans="1:6" x14ac:dyDescent="0.2">
      <c r="A847">
        <v>129</v>
      </c>
      <c r="B847">
        <v>3693532</v>
      </c>
      <c r="C847">
        <v>21883</v>
      </c>
      <c r="F847">
        <v>900</v>
      </c>
    </row>
    <row r="848" spans="1:6" x14ac:dyDescent="0.2">
      <c r="A848">
        <v>129</v>
      </c>
      <c r="B848">
        <v>3693533</v>
      </c>
      <c r="C848">
        <v>21883</v>
      </c>
      <c r="F848">
        <v>898</v>
      </c>
    </row>
    <row r="849" spans="1:6" x14ac:dyDescent="0.2">
      <c r="A849">
        <v>129</v>
      </c>
      <c r="B849">
        <v>3693534</v>
      </c>
      <c r="C849">
        <v>21883</v>
      </c>
      <c r="F849">
        <v>897</v>
      </c>
    </row>
    <row r="850" spans="1:6" x14ac:dyDescent="0.2">
      <c r="A850">
        <v>129</v>
      </c>
      <c r="B850">
        <v>3693535</v>
      </c>
      <c r="C850">
        <v>21883</v>
      </c>
      <c r="F850">
        <v>834</v>
      </c>
    </row>
    <row r="851" spans="1:6" x14ac:dyDescent="0.2">
      <c r="A851">
        <v>129</v>
      </c>
      <c r="B851">
        <v>3693536</v>
      </c>
      <c r="C851">
        <v>21883</v>
      </c>
      <c r="F851">
        <v>895</v>
      </c>
    </row>
    <row r="852" spans="1:6" x14ac:dyDescent="0.2">
      <c r="A852">
        <v>129</v>
      </c>
      <c r="B852">
        <v>3693537</v>
      </c>
      <c r="C852">
        <v>21883</v>
      </c>
      <c r="F852">
        <v>911</v>
      </c>
    </row>
    <row r="853" spans="1:6" x14ac:dyDescent="0.2">
      <c r="A853">
        <v>129</v>
      </c>
      <c r="B853">
        <v>3693538</v>
      </c>
      <c r="C853">
        <v>21883</v>
      </c>
      <c r="F853">
        <v>908</v>
      </c>
    </row>
    <row r="854" spans="1:6" x14ac:dyDescent="0.2">
      <c r="A854">
        <v>129</v>
      </c>
      <c r="B854">
        <v>3693539</v>
      </c>
      <c r="C854">
        <v>21883</v>
      </c>
      <c r="F854">
        <v>915</v>
      </c>
    </row>
    <row r="855" spans="1:6" x14ac:dyDescent="0.2">
      <c r="A855">
        <v>129</v>
      </c>
      <c r="B855">
        <v>3693540</v>
      </c>
      <c r="C855">
        <v>21883</v>
      </c>
      <c r="F855">
        <v>906</v>
      </c>
    </row>
    <row r="856" spans="1:6" x14ac:dyDescent="0.2">
      <c r="A856">
        <v>129</v>
      </c>
      <c r="B856">
        <v>3693541</v>
      </c>
      <c r="C856">
        <v>21883</v>
      </c>
      <c r="F856">
        <v>914</v>
      </c>
    </row>
    <row r="857" spans="1:6" x14ac:dyDescent="0.2">
      <c r="A857">
        <v>129</v>
      </c>
      <c r="B857">
        <v>3693542</v>
      </c>
      <c r="C857">
        <v>21883</v>
      </c>
      <c r="F857">
        <v>913</v>
      </c>
    </row>
    <row r="858" spans="1:6" x14ac:dyDescent="0.2">
      <c r="A858">
        <v>129</v>
      </c>
      <c r="B858">
        <v>3693543</v>
      </c>
      <c r="C858">
        <v>21883</v>
      </c>
      <c r="F858">
        <v>912</v>
      </c>
    </row>
    <row r="859" spans="1:6" x14ac:dyDescent="0.2">
      <c r="A859">
        <v>129</v>
      </c>
      <c r="B859">
        <v>3693544</v>
      </c>
      <c r="C859">
        <v>21883</v>
      </c>
      <c r="F859">
        <v>910</v>
      </c>
    </row>
    <row r="860" spans="1:6" x14ac:dyDescent="0.2">
      <c r="A860">
        <v>129</v>
      </c>
      <c r="B860">
        <v>3693545</v>
      </c>
      <c r="C860">
        <v>21883</v>
      </c>
      <c r="F860">
        <v>909</v>
      </c>
    </row>
    <row r="861" spans="1:6" x14ac:dyDescent="0.2">
      <c r="A861">
        <v>129</v>
      </c>
      <c r="B861">
        <v>3693546</v>
      </c>
      <c r="C861">
        <v>21883</v>
      </c>
      <c r="F861">
        <v>907</v>
      </c>
    </row>
    <row r="862" spans="1:6" x14ac:dyDescent="0.2">
      <c r="A862">
        <v>129</v>
      </c>
      <c r="B862">
        <v>3693547</v>
      </c>
      <c r="C862">
        <v>21883</v>
      </c>
      <c r="F862">
        <v>844</v>
      </c>
    </row>
    <row r="863" spans="1:6" x14ac:dyDescent="0.2">
      <c r="A863">
        <v>129</v>
      </c>
      <c r="B863">
        <v>3693548</v>
      </c>
      <c r="C863">
        <v>21883</v>
      </c>
      <c r="F863">
        <v>922</v>
      </c>
    </row>
    <row r="864" spans="1:6" x14ac:dyDescent="0.2">
      <c r="A864">
        <v>129</v>
      </c>
      <c r="B864">
        <v>3693549</v>
      </c>
      <c r="C864">
        <v>21883</v>
      </c>
      <c r="F864">
        <v>930</v>
      </c>
    </row>
    <row r="865" spans="1:6" x14ac:dyDescent="0.2">
      <c r="A865">
        <v>129</v>
      </c>
      <c r="B865">
        <v>3693550</v>
      </c>
      <c r="C865">
        <v>21883</v>
      </c>
      <c r="F865">
        <v>920</v>
      </c>
    </row>
    <row r="866" spans="1:6" x14ac:dyDescent="0.2">
      <c r="A866">
        <v>129</v>
      </c>
      <c r="B866">
        <v>3693551</v>
      </c>
      <c r="C866">
        <v>21883</v>
      </c>
      <c r="F866">
        <v>926</v>
      </c>
    </row>
    <row r="867" spans="1:6" x14ac:dyDescent="0.2">
      <c r="A867">
        <v>129</v>
      </c>
      <c r="B867">
        <v>3693552</v>
      </c>
      <c r="C867">
        <v>21883</v>
      </c>
      <c r="F867">
        <v>918</v>
      </c>
    </row>
    <row r="868" spans="1:6" x14ac:dyDescent="0.2">
      <c r="A868">
        <v>129</v>
      </c>
      <c r="B868">
        <v>3693553</v>
      </c>
      <c r="C868">
        <v>21883</v>
      </c>
      <c r="F868">
        <v>929</v>
      </c>
    </row>
    <row r="869" spans="1:6" x14ac:dyDescent="0.2">
      <c r="A869">
        <v>129</v>
      </c>
      <c r="B869">
        <v>3693554</v>
      </c>
      <c r="C869">
        <v>21883</v>
      </c>
      <c r="F869">
        <v>928</v>
      </c>
    </row>
    <row r="870" spans="1:6" x14ac:dyDescent="0.2">
      <c r="A870">
        <v>129</v>
      </c>
      <c r="B870">
        <v>3693555</v>
      </c>
      <c r="C870">
        <v>21883</v>
      </c>
      <c r="F870">
        <v>927</v>
      </c>
    </row>
    <row r="871" spans="1:6" x14ac:dyDescent="0.2">
      <c r="A871">
        <v>129</v>
      </c>
      <c r="B871">
        <v>3693556</v>
      </c>
      <c r="C871">
        <v>21883</v>
      </c>
      <c r="F871">
        <v>925</v>
      </c>
    </row>
    <row r="872" spans="1:6" x14ac:dyDescent="0.2">
      <c r="A872">
        <v>129</v>
      </c>
      <c r="B872">
        <v>3693557</v>
      </c>
      <c r="C872">
        <v>21883</v>
      </c>
      <c r="F872">
        <v>924</v>
      </c>
    </row>
    <row r="873" spans="1:6" x14ac:dyDescent="0.2">
      <c r="A873">
        <v>129</v>
      </c>
      <c r="B873">
        <v>3693558</v>
      </c>
      <c r="C873">
        <v>21883</v>
      </c>
      <c r="F873">
        <v>923</v>
      </c>
    </row>
    <row r="874" spans="1:6" x14ac:dyDescent="0.2">
      <c r="A874">
        <v>129</v>
      </c>
      <c r="B874">
        <v>3693559</v>
      </c>
      <c r="C874">
        <v>21883</v>
      </c>
      <c r="F874">
        <v>921</v>
      </c>
    </row>
    <row r="875" spans="1:6" x14ac:dyDescent="0.2">
      <c r="A875">
        <v>129</v>
      </c>
      <c r="B875">
        <v>3693560</v>
      </c>
      <c r="C875">
        <v>21883</v>
      </c>
      <c r="F875">
        <v>919</v>
      </c>
    </row>
    <row r="876" spans="1:6" x14ac:dyDescent="0.2">
      <c r="A876">
        <v>129</v>
      </c>
      <c r="B876">
        <v>3693561</v>
      </c>
      <c r="C876">
        <v>21883</v>
      </c>
      <c r="F876">
        <v>917</v>
      </c>
    </row>
    <row r="877" spans="1:6" x14ac:dyDescent="0.2">
      <c r="A877">
        <v>129</v>
      </c>
      <c r="B877">
        <v>3693562</v>
      </c>
      <c r="C877">
        <v>21883</v>
      </c>
      <c r="F877">
        <v>939</v>
      </c>
    </row>
    <row r="878" spans="1:6" x14ac:dyDescent="0.2">
      <c r="A878">
        <v>129</v>
      </c>
      <c r="B878">
        <v>3693563</v>
      </c>
      <c r="C878">
        <v>21883</v>
      </c>
      <c r="F878">
        <v>947</v>
      </c>
    </row>
    <row r="879" spans="1:6" x14ac:dyDescent="0.2">
      <c r="A879">
        <v>129</v>
      </c>
      <c r="B879">
        <v>3693564</v>
      </c>
      <c r="C879">
        <v>21883</v>
      </c>
      <c r="F879">
        <v>934</v>
      </c>
    </row>
    <row r="880" spans="1:6" x14ac:dyDescent="0.2">
      <c r="A880">
        <v>129</v>
      </c>
      <c r="B880">
        <v>3693565</v>
      </c>
      <c r="C880">
        <v>21883</v>
      </c>
      <c r="F880">
        <v>944</v>
      </c>
    </row>
    <row r="881" spans="1:6" x14ac:dyDescent="0.2">
      <c r="A881">
        <v>129</v>
      </c>
      <c r="B881">
        <v>3693566</v>
      </c>
      <c r="C881">
        <v>21883</v>
      </c>
      <c r="F881">
        <v>937</v>
      </c>
    </row>
    <row r="882" spans="1:6" x14ac:dyDescent="0.2">
      <c r="A882">
        <v>129</v>
      </c>
      <c r="B882">
        <v>3693567</v>
      </c>
      <c r="C882">
        <v>21883</v>
      </c>
      <c r="F882">
        <v>946</v>
      </c>
    </row>
    <row r="883" spans="1:6" x14ac:dyDescent="0.2">
      <c r="A883">
        <v>129</v>
      </c>
      <c r="B883">
        <v>3693568</v>
      </c>
      <c r="C883">
        <v>21883</v>
      </c>
      <c r="F883">
        <v>945</v>
      </c>
    </row>
    <row r="884" spans="1:6" x14ac:dyDescent="0.2">
      <c r="A884">
        <v>129</v>
      </c>
      <c r="B884">
        <v>3693569</v>
      </c>
      <c r="C884">
        <v>21883</v>
      </c>
      <c r="F884">
        <v>943</v>
      </c>
    </row>
    <row r="885" spans="1:6" x14ac:dyDescent="0.2">
      <c r="A885">
        <v>129</v>
      </c>
      <c r="B885">
        <v>3693570</v>
      </c>
      <c r="C885">
        <v>21883</v>
      </c>
      <c r="F885">
        <v>942</v>
      </c>
    </row>
    <row r="886" spans="1:6" x14ac:dyDescent="0.2">
      <c r="A886">
        <v>129</v>
      </c>
      <c r="B886">
        <v>3693571</v>
      </c>
      <c r="C886">
        <v>21883</v>
      </c>
      <c r="F886">
        <v>940</v>
      </c>
    </row>
    <row r="887" spans="1:6" x14ac:dyDescent="0.2">
      <c r="A887">
        <v>129</v>
      </c>
      <c r="B887">
        <v>3693572</v>
      </c>
      <c r="C887">
        <v>21883</v>
      </c>
      <c r="F887">
        <v>938</v>
      </c>
    </row>
    <row r="888" spans="1:6" x14ac:dyDescent="0.2">
      <c r="A888">
        <v>129</v>
      </c>
      <c r="B888">
        <v>3693573</v>
      </c>
      <c r="C888">
        <v>21883</v>
      </c>
      <c r="F888">
        <v>936</v>
      </c>
    </row>
    <row r="889" spans="1:6" x14ac:dyDescent="0.2">
      <c r="A889">
        <v>129</v>
      </c>
      <c r="B889">
        <v>3693574</v>
      </c>
      <c r="C889">
        <v>21883</v>
      </c>
      <c r="F889">
        <v>935</v>
      </c>
    </row>
    <row r="890" spans="1:6" x14ac:dyDescent="0.2">
      <c r="A890">
        <v>129</v>
      </c>
      <c r="B890">
        <v>3693575</v>
      </c>
      <c r="C890">
        <v>21883</v>
      </c>
      <c r="F890">
        <v>933</v>
      </c>
    </row>
    <row r="891" spans="1:6" x14ac:dyDescent="0.2">
      <c r="A891">
        <v>129</v>
      </c>
      <c r="B891">
        <v>3693576</v>
      </c>
      <c r="C891">
        <v>21883</v>
      </c>
      <c r="F891">
        <v>956</v>
      </c>
    </row>
    <row r="892" spans="1:6" x14ac:dyDescent="0.2">
      <c r="A892">
        <v>129</v>
      </c>
      <c r="B892">
        <v>3693577</v>
      </c>
      <c r="C892">
        <v>21883</v>
      </c>
      <c r="F892">
        <v>951</v>
      </c>
    </row>
    <row r="893" spans="1:6" x14ac:dyDescent="0.2">
      <c r="A893">
        <v>129</v>
      </c>
      <c r="B893">
        <v>3693578</v>
      </c>
      <c r="C893">
        <v>21883</v>
      </c>
      <c r="F893">
        <v>963</v>
      </c>
    </row>
    <row r="894" spans="1:6" x14ac:dyDescent="0.2">
      <c r="A894">
        <v>129</v>
      </c>
      <c r="B894">
        <v>3693579</v>
      </c>
      <c r="C894">
        <v>21883</v>
      </c>
      <c r="F894">
        <v>959</v>
      </c>
    </row>
    <row r="895" spans="1:6" x14ac:dyDescent="0.2">
      <c r="A895">
        <v>129</v>
      </c>
      <c r="B895">
        <v>3693580</v>
      </c>
      <c r="C895">
        <v>21883</v>
      </c>
      <c r="F895">
        <v>954</v>
      </c>
    </row>
    <row r="896" spans="1:6" x14ac:dyDescent="0.2">
      <c r="A896">
        <v>129</v>
      </c>
      <c r="B896">
        <v>3693581</v>
      </c>
      <c r="C896">
        <v>21883</v>
      </c>
      <c r="F896">
        <v>962</v>
      </c>
    </row>
    <row r="897" spans="1:6" x14ac:dyDescent="0.2">
      <c r="A897">
        <v>129</v>
      </c>
      <c r="B897">
        <v>3693582</v>
      </c>
      <c r="C897">
        <v>21883</v>
      </c>
      <c r="F897">
        <v>961</v>
      </c>
    </row>
    <row r="898" spans="1:6" x14ac:dyDescent="0.2">
      <c r="A898">
        <v>129</v>
      </c>
      <c r="B898">
        <v>3693583</v>
      </c>
      <c r="C898">
        <v>21883</v>
      </c>
      <c r="F898">
        <v>960</v>
      </c>
    </row>
    <row r="899" spans="1:6" x14ac:dyDescent="0.2">
      <c r="A899">
        <v>129</v>
      </c>
      <c r="B899">
        <v>3693584</v>
      </c>
      <c r="C899">
        <v>21883</v>
      </c>
      <c r="F899">
        <v>958</v>
      </c>
    </row>
    <row r="900" spans="1:6" x14ac:dyDescent="0.2">
      <c r="A900">
        <v>129</v>
      </c>
      <c r="B900">
        <v>3693585</v>
      </c>
      <c r="C900">
        <v>21883</v>
      </c>
      <c r="F900">
        <v>957</v>
      </c>
    </row>
    <row r="901" spans="1:6" x14ac:dyDescent="0.2">
      <c r="A901">
        <v>129</v>
      </c>
      <c r="B901">
        <v>3693586</v>
      </c>
      <c r="C901">
        <v>21883</v>
      </c>
      <c r="F901">
        <v>955</v>
      </c>
    </row>
    <row r="902" spans="1:6" x14ac:dyDescent="0.2">
      <c r="A902">
        <v>129</v>
      </c>
      <c r="B902">
        <v>3693587</v>
      </c>
      <c r="C902">
        <v>21883</v>
      </c>
      <c r="F902">
        <v>953</v>
      </c>
    </row>
    <row r="903" spans="1:6" x14ac:dyDescent="0.2">
      <c r="A903">
        <v>129</v>
      </c>
      <c r="B903">
        <v>3693588</v>
      </c>
      <c r="C903">
        <v>21883</v>
      </c>
      <c r="F903">
        <v>952</v>
      </c>
    </row>
    <row r="904" spans="1:6" x14ac:dyDescent="0.2">
      <c r="A904">
        <v>129</v>
      </c>
      <c r="B904">
        <v>3693589</v>
      </c>
      <c r="C904">
        <v>21883</v>
      </c>
      <c r="F904">
        <v>950</v>
      </c>
    </row>
    <row r="905" spans="1:6" x14ac:dyDescent="0.2">
      <c r="A905">
        <v>129</v>
      </c>
      <c r="B905">
        <v>3693590</v>
      </c>
      <c r="C905">
        <v>21883</v>
      </c>
      <c r="F905">
        <v>998</v>
      </c>
    </row>
    <row r="906" spans="1:6" x14ac:dyDescent="0.2">
      <c r="A906">
        <v>129</v>
      </c>
      <c r="B906">
        <v>3693591</v>
      </c>
      <c r="C906">
        <v>21883</v>
      </c>
      <c r="F906">
        <v>992</v>
      </c>
    </row>
    <row r="907" spans="1:6" x14ac:dyDescent="0.2">
      <c r="A907">
        <v>129</v>
      </c>
      <c r="B907">
        <v>3693592</v>
      </c>
      <c r="C907">
        <v>21883</v>
      </c>
      <c r="F907">
        <v>997</v>
      </c>
    </row>
    <row r="908" spans="1:6" x14ac:dyDescent="0.2">
      <c r="A908">
        <v>129</v>
      </c>
      <c r="B908">
        <v>3693593</v>
      </c>
      <c r="C908">
        <v>21883</v>
      </c>
      <c r="F908">
        <v>988</v>
      </c>
    </row>
    <row r="909" spans="1:6" x14ac:dyDescent="0.2">
      <c r="A909">
        <v>129</v>
      </c>
      <c r="B909">
        <v>3693594</v>
      </c>
      <c r="C909">
        <v>21883</v>
      </c>
      <c r="F909">
        <v>995</v>
      </c>
    </row>
    <row r="910" spans="1:6" x14ac:dyDescent="0.2">
      <c r="A910">
        <v>129</v>
      </c>
      <c r="B910">
        <v>3693595</v>
      </c>
      <c r="C910">
        <v>21883</v>
      </c>
      <c r="F910">
        <v>985</v>
      </c>
    </row>
    <row r="911" spans="1:6" x14ac:dyDescent="0.2">
      <c r="A911">
        <v>129</v>
      </c>
      <c r="B911">
        <v>3693596</v>
      </c>
      <c r="C911">
        <v>21883</v>
      </c>
      <c r="F911">
        <v>994</v>
      </c>
    </row>
    <row r="912" spans="1:6" x14ac:dyDescent="0.2">
      <c r="A912">
        <v>129</v>
      </c>
      <c r="B912">
        <v>3693597</v>
      </c>
      <c r="C912">
        <v>21883</v>
      </c>
      <c r="F912">
        <v>993</v>
      </c>
    </row>
    <row r="913" spans="1:6" x14ac:dyDescent="0.2">
      <c r="A913">
        <v>129</v>
      </c>
      <c r="B913">
        <v>3693598</v>
      </c>
      <c r="C913">
        <v>21883</v>
      </c>
      <c r="F913">
        <v>991</v>
      </c>
    </row>
    <row r="914" spans="1:6" x14ac:dyDescent="0.2">
      <c r="A914">
        <v>129</v>
      </c>
      <c r="B914">
        <v>3693599</v>
      </c>
      <c r="C914">
        <v>21883</v>
      </c>
      <c r="F914">
        <v>990</v>
      </c>
    </row>
    <row r="915" spans="1:6" x14ac:dyDescent="0.2">
      <c r="A915">
        <v>129</v>
      </c>
      <c r="B915">
        <v>3693600</v>
      </c>
      <c r="C915">
        <v>21883</v>
      </c>
      <c r="F915">
        <v>989</v>
      </c>
    </row>
    <row r="916" spans="1:6" x14ac:dyDescent="0.2">
      <c r="A916">
        <v>129</v>
      </c>
      <c r="B916">
        <v>3693601</v>
      </c>
      <c r="C916">
        <v>21883</v>
      </c>
      <c r="F916">
        <v>987</v>
      </c>
    </row>
    <row r="917" spans="1:6" x14ac:dyDescent="0.2">
      <c r="A917">
        <v>129</v>
      </c>
      <c r="B917">
        <v>3693602</v>
      </c>
      <c r="C917">
        <v>21883</v>
      </c>
      <c r="F917">
        <v>986</v>
      </c>
    </row>
    <row r="918" spans="1:6" x14ac:dyDescent="0.2">
      <c r="A918">
        <v>129</v>
      </c>
      <c r="B918">
        <v>3693603</v>
      </c>
      <c r="C918">
        <v>21883</v>
      </c>
      <c r="F918">
        <v>984</v>
      </c>
    </row>
    <row r="919" spans="1:6" x14ac:dyDescent="0.2">
      <c r="A919">
        <v>129</v>
      </c>
      <c r="B919">
        <v>3693604</v>
      </c>
      <c r="C919">
        <v>21883</v>
      </c>
      <c r="F919">
        <v>847</v>
      </c>
    </row>
    <row r="920" spans="1:6" x14ac:dyDescent="0.2">
      <c r="A920">
        <v>129</v>
      </c>
      <c r="B920">
        <v>3693605</v>
      </c>
      <c r="C920">
        <v>21883</v>
      </c>
      <c r="F920">
        <v>996</v>
      </c>
    </row>
    <row r="921" spans="1:6" x14ac:dyDescent="0.2">
      <c r="A921">
        <v>129</v>
      </c>
      <c r="B921">
        <v>3693606</v>
      </c>
      <c r="C921">
        <v>21883</v>
      </c>
      <c r="F921">
        <v>1008</v>
      </c>
    </row>
    <row r="922" spans="1:6" x14ac:dyDescent="0.2">
      <c r="A922">
        <v>129</v>
      </c>
      <c r="B922">
        <v>3693607</v>
      </c>
      <c r="C922">
        <v>21883</v>
      </c>
      <c r="F922">
        <v>1013</v>
      </c>
    </row>
    <row r="923" spans="1:6" x14ac:dyDescent="0.2">
      <c r="A923">
        <v>129</v>
      </c>
      <c r="B923">
        <v>3693608</v>
      </c>
      <c r="C923">
        <v>21883</v>
      </c>
      <c r="F923">
        <v>1004</v>
      </c>
    </row>
    <row r="924" spans="1:6" x14ac:dyDescent="0.2">
      <c r="A924">
        <v>129</v>
      </c>
      <c r="B924">
        <v>3693609</v>
      </c>
      <c r="C924">
        <v>21883</v>
      </c>
      <c r="F924">
        <v>1011</v>
      </c>
    </row>
    <row r="925" spans="1:6" x14ac:dyDescent="0.2">
      <c r="A925">
        <v>129</v>
      </c>
      <c r="B925">
        <v>3693610</v>
      </c>
      <c r="C925">
        <v>21883</v>
      </c>
      <c r="F925">
        <v>1001</v>
      </c>
    </row>
    <row r="926" spans="1:6" x14ac:dyDescent="0.2">
      <c r="A926">
        <v>129</v>
      </c>
      <c r="B926">
        <v>3693611</v>
      </c>
      <c r="C926">
        <v>21883</v>
      </c>
      <c r="F926">
        <v>1010</v>
      </c>
    </row>
    <row r="927" spans="1:6" x14ac:dyDescent="0.2">
      <c r="A927">
        <v>129</v>
      </c>
      <c r="B927">
        <v>3693612</v>
      </c>
      <c r="C927">
        <v>21883</v>
      </c>
      <c r="F927">
        <v>1009</v>
      </c>
    </row>
    <row r="928" spans="1:6" x14ac:dyDescent="0.2">
      <c r="A928">
        <v>129</v>
      </c>
      <c r="B928">
        <v>3693613</v>
      </c>
      <c r="C928">
        <v>21883</v>
      </c>
      <c r="F928">
        <v>1007</v>
      </c>
    </row>
    <row r="929" spans="1:6" x14ac:dyDescent="0.2">
      <c r="A929">
        <v>129</v>
      </c>
      <c r="B929">
        <v>3693614</v>
      </c>
      <c r="C929">
        <v>21883</v>
      </c>
      <c r="F929">
        <v>1006</v>
      </c>
    </row>
    <row r="930" spans="1:6" x14ac:dyDescent="0.2">
      <c r="A930">
        <v>129</v>
      </c>
      <c r="B930">
        <v>3693615</v>
      </c>
      <c r="C930">
        <v>21883</v>
      </c>
      <c r="F930">
        <v>1005</v>
      </c>
    </row>
    <row r="931" spans="1:6" x14ac:dyDescent="0.2">
      <c r="A931">
        <v>129</v>
      </c>
      <c r="B931">
        <v>3693616</v>
      </c>
      <c r="C931">
        <v>21883</v>
      </c>
      <c r="F931">
        <v>1003</v>
      </c>
    </row>
    <row r="932" spans="1:6" x14ac:dyDescent="0.2">
      <c r="A932">
        <v>129</v>
      </c>
      <c r="B932">
        <v>3693617</v>
      </c>
      <c r="C932">
        <v>21883</v>
      </c>
      <c r="F932">
        <v>1002</v>
      </c>
    </row>
    <row r="933" spans="1:6" x14ac:dyDescent="0.2">
      <c r="A933">
        <v>129</v>
      </c>
      <c r="B933">
        <v>3693618</v>
      </c>
      <c r="C933">
        <v>21883</v>
      </c>
      <c r="F933">
        <v>1000</v>
      </c>
    </row>
    <row r="934" spans="1:6" x14ac:dyDescent="0.2">
      <c r="A934">
        <v>129</v>
      </c>
      <c r="B934">
        <v>3693619</v>
      </c>
      <c r="C934">
        <v>21883</v>
      </c>
      <c r="F934">
        <v>842</v>
      </c>
    </row>
    <row r="935" spans="1:6" x14ac:dyDescent="0.2">
      <c r="A935">
        <v>129</v>
      </c>
      <c r="B935">
        <v>3693620</v>
      </c>
      <c r="C935">
        <v>21883</v>
      </c>
      <c r="F935">
        <v>1028</v>
      </c>
    </row>
    <row r="936" spans="1:6" x14ac:dyDescent="0.2">
      <c r="A936">
        <v>129</v>
      </c>
      <c r="B936">
        <v>3693621</v>
      </c>
      <c r="C936">
        <v>21883</v>
      </c>
      <c r="F936">
        <v>1022</v>
      </c>
    </row>
    <row r="937" spans="1:6" x14ac:dyDescent="0.2">
      <c r="A937">
        <v>129</v>
      </c>
      <c r="B937">
        <v>3693622</v>
      </c>
      <c r="C937">
        <v>21883</v>
      </c>
      <c r="F937">
        <v>1027</v>
      </c>
    </row>
    <row r="938" spans="1:6" x14ac:dyDescent="0.2">
      <c r="A938">
        <v>129</v>
      </c>
      <c r="B938">
        <v>3693623</v>
      </c>
      <c r="C938">
        <v>21883</v>
      </c>
      <c r="F938">
        <v>1019</v>
      </c>
    </row>
    <row r="939" spans="1:6" x14ac:dyDescent="0.2">
      <c r="A939">
        <v>129</v>
      </c>
      <c r="B939">
        <v>3693624</v>
      </c>
      <c r="C939">
        <v>21883</v>
      </c>
      <c r="F939">
        <v>1025</v>
      </c>
    </row>
    <row r="940" spans="1:6" x14ac:dyDescent="0.2">
      <c r="A940">
        <v>129</v>
      </c>
      <c r="B940">
        <v>3693625</v>
      </c>
      <c r="C940">
        <v>21883</v>
      </c>
      <c r="F940">
        <v>1016</v>
      </c>
    </row>
    <row r="941" spans="1:6" x14ac:dyDescent="0.2">
      <c r="A941">
        <v>129</v>
      </c>
      <c r="B941">
        <v>3693626</v>
      </c>
      <c r="C941">
        <v>21883</v>
      </c>
      <c r="F941">
        <v>1024</v>
      </c>
    </row>
    <row r="942" spans="1:6" x14ac:dyDescent="0.2">
      <c r="A942">
        <v>129</v>
      </c>
      <c r="B942">
        <v>3693627</v>
      </c>
      <c r="C942">
        <v>21883</v>
      </c>
      <c r="F942">
        <v>1023</v>
      </c>
    </row>
    <row r="943" spans="1:6" x14ac:dyDescent="0.2">
      <c r="A943">
        <v>129</v>
      </c>
      <c r="B943">
        <v>3693628</v>
      </c>
      <c r="C943">
        <v>21883</v>
      </c>
      <c r="F943">
        <v>1012</v>
      </c>
    </row>
    <row r="944" spans="1:6" x14ac:dyDescent="0.2">
      <c r="A944">
        <v>129</v>
      </c>
      <c r="B944">
        <v>3693629</v>
      </c>
      <c r="C944">
        <v>21883</v>
      </c>
      <c r="F944">
        <v>1021</v>
      </c>
    </row>
    <row r="945" spans="1:6" x14ac:dyDescent="0.2">
      <c r="A945">
        <v>129</v>
      </c>
      <c r="B945">
        <v>3693630</v>
      </c>
      <c r="C945">
        <v>21883</v>
      </c>
      <c r="F945">
        <v>1020</v>
      </c>
    </row>
    <row r="946" spans="1:6" x14ac:dyDescent="0.2">
      <c r="A946">
        <v>129</v>
      </c>
      <c r="B946">
        <v>3693631</v>
      </c>
      <c r="C946">
        <v>21883</v>
      </c>
      <c r="F946">
        <v>1018</v>
      </c>
    </row>
    <row r="947" spans="1:6" x14ac:dyDescent="0.2">
      <c r="A947">
        <v>129</v>
      </c>
      <c r="B947">
        <v>3693632</v>
      </c>
      <c r="C947">
        <v>21883</v>
      </c>
      <c r="F947">
        <v>1017</v>
      </c>
    </row>
    <row r="948" spans="1:6" x14ac:dyDescent="0.2">
      <c r="A948">
        <v>129</v>
      </c>
      <c r="B948">
        <v>3693633</v>
      </c>
      <c r="C948">
        <v>21883</v>
      </c>
      <c r="F948">
        <v>1015</v>
      </c>
    </row>
    <row r="949" spans="1:6" x14ac:dyDescent="0.2">
      <c r="A949">
        <v>129</v>
      </c>
      <c r="B949">
        <v>3693634</v>
      </c>
      <c r="C949">
        <v>21883</v>
      </c>
      <c r="F949">
        <v>843</v>
      </c>
    </row>
    <row r="950" spans="1:6" x14ac:dyDescent="0.2">
      <c r="A950">
        <v>129</v>
      </c>
      <c r="B950">
        <v>3693635</v>
      </c>
      <c r="C950">
        <v>21883</v>
      </c>
      <c r="F950">
        <v>1043</v>
      </c>
    </row>
    <row r="951" spans="1:6" x14ac:dyDescent="0.2">
      <c r="A951">
        <v>129</v>
      </c>
      <c r="B951">
        <v>3693636</v>
      </c>
      <c r="C951">
        <v>21883</v>
      </c>
      <c r="F951">
        <v>1037</v>
      </c>
    </row>
    <row r="952" spans="1:6" x14ac:dyDescent="0.2">
      <c r="A952">
        <v>129</v>
      </c>
      <c r="B952">
        <v>3693637</v>
      </c>
      <c r="C952">
        <v>21883</v>
      </c>
      <c r="F952">
        <v>1042</v>
      </c>
    </row>
    <row r="953" spans="1:6" x14ac:dyDescent="0.2">
      <c r="A953">
        <v>129</v>
      </c>
      <c r="B953">
        <v>3693638</v>
      </c>
      <c r="C953">
        <v>21883</v>
      </c>
      <c r="F953">
        <v>1034</v>
      </c>
    </row>
    <row r="954" spans="1:6" x14ac:dyDescent="0.2">
      <c r="A954">
        <v>129</v>
      </c>
      <c r="B954">
        <v>3693639</v>
      </c>
      <c r="C954">
        <v>21883</v>
      </c>
      <c r="F954">
        <v>1040</v>
      </c>
    </row>
    <row r="955" spans="1:6" x14ac:dyDescent="0.2">
      <c r="A955">
        <v>129</v>
      </c>
      <c r="B955">
        <v>3693640</v>
      </c>
      <c r="C955">
        <v>21883</v>
      </c>
      <c r="F955">
        <v>1031</v>
      </c>
    </row>
    <row r="956" spans="1:6" x14ac:dyDescent="0.2">
      <c r="A956">
        <v>129</v>
      </c>
      <c r="B956">
        <v>3693641</v>
      </c>
      <c r="C956">
        <v>21883</v>
      </c>
      <c r="F956">
        <v>1039</v>
      </c>
    </row>
    <row r="957" spans="1:6" x14ac:dyDescent="0.2">
      <c r="A957">
        <v>129</v>
      </c>
      <c r="B957">
        <v>3693642</v>
      </c>
      <c r="C957">
        <v>21883</v>
      </c>
      <c r="F957">
        <v>1038</v>
      </c>
    </row>
    <row r="958" spans="1:6" x14ac:dyDescent="0.2">
      <c r="A958">
        <v>129</v>
      </c>
      <c r="B958">
        <v>3693643</v>
      </c>
      <c r="C958">
        <v>21883</v>
      </c>
      <c r="F958">
        <v>1026</v>
      </c>
    </row>
    <row r="959" spans="1:6" x14ac:dyDescent="0.2">
      <c r="A959">
        <v>129</v>
      </c>
      <c r="B959">
        <v>3693644</v>
      </c>
      <c r="C959">
        <v>21883</v>
      </c>
      <c r="F959">
        <v>1036</v>
      </c>
    </row>
    <row r="960" spans="1:6" x14ac:dyDescent="0.2">
      <c r="A960">
        <v>129</v>
      </c>
      <c r="B960">
        <v>3693645</v>
      </c>
      <c r="C960">
        <v>21883</v>
      </c>
      <c r="F960">
        <v>1035</v>
      </c>
    </row>
    <row r="961" spans="1:6" x14ac:dyDescent="0.2">
      <c r="A961">
        <v>129</v>
      </c>
      <c r="B961">
        <v>3693646</v>
      </c>
      <c r="C961">
        <v>21883</v>
      </c>
      <c r="F961">
        <v>1033</v>
      </c>
    </row>
    <row r="962" spans="1:6" x14ac:dyDescent="0.2">
      <c r="A962">
        <v>129</v>
      </c>
      <c r="B962">
        <v>3693647</v>
      </c>
      <c r="C962">
        <v>21883</v>
      </c>
      <c r="F962">
        <v>1032</v>
      </c>
    </row>
    <row r="963" spans="1:6" x14ac:dyDescent="0.2">
      <c r="A963">
        <v>129</v>
      </c>
      <c r="B963">
        <v>3693648</v>
      </c>
      <c r="C963">
        <v>21883</v>
      </c>
      <c r="F963">
        <v>1030</v>
      </c>
    </row>
    <row r="964" spans="1:6" x14ac:dyDescent="0.2">
      <c r="A964">
        <v>129</v>
      </c>
      <c r="B964">
        <v>3693649</v>
      </c>
      <c r="C964">
        <v>21883</v>
      </c>
      <c r="F964">
        <v>837</v>
      </c>
    </row>
    <row r="965" spans="1:6" x14ac:dyDescent="0.2">
      <c r="A965">
        <v>129</v>
      </c>
      <c r="B965">
        <v>3693650</v>
      </c>
      <c r="C965">
        <v>21883</v>
      </c>
      <c r="F965">
        <v>1103</v>
      </c>
    </row>
    <row r="966" spans="1:6" x14ac:dyDescent="0.2">
      <c r="A966">
        <v>129</v>
      </c>
      <c r="B966">
        <v>3693651</v>
      </c>
      <c r="C966">
        <v>21883</v>
      </c>
      <c r="F966">
        <v>1098</v>
      </c>
    </row>
    <row r="967" spans="1:6" x14ac:dyDescent="0.2">
      <c r="A967">
        <v>129</v>
      </c>
      <c r="B967">
        <v>3693652</v>
      </c>
      <c r="C967">
        <v>21883</v>
      </c>
      <c r="F967">
        <v>1102</v>
      </c>
    </row>
    <row r="968" spans="1:6" x14ac:dyDescent="0.2">
      <c r="A968">
        <v>129</v>
      </c>
      <c r="B968">
        <v>3693653</v>
      </c>
      <c r="C968">
        <v>21883</v>
      </c>
      <c r="F968">
        <v>1095</v>
      </c>
    </row>
    <row r="969" spans="1:6" x14ac:dyDescent="0.2">
      <c r="A969">
        <v>129</v>
      </c>
      <c r="B969">
        <v>3693654</v>
      </c>
      <c r="C969">
        <v>21883</v>
      </c>
      <c r="F969">
        <v>1101</v>
      </c>
    </row>
    <row r="970" spans="1:6" x14ac:dyDescent="0.2">
      <c r="A970">
        <v>129</v>
      </c>
      <c r="B970">
        <v>3693655</v>
      </c>
      <c r="C970">
        <v>21883</v>
      </c>
      <c r="F970">
        <v>1092</v>
      </c>
    </row>
    <row r="971" spans="1:6" x14ac:dyDescent="0.2">
      <c r="A971">
        <v>129</v>
      </c>
      <c r="B971">
        <v>3693656</v>
      </c>
      <c r="C971">
        <v>21883</v>
      </c>
      <c r="F971">
        <v>1100</v>
      </c>
    </row>
    <row r="972" spans="1:6" x14ac:dyDescent="0.2">
      <c r="A972">
        <v>129</v>
      </c>
      <c r="B972">
        <v>3693657</v>
      </c>
      <c r="C972">
        <v>21883</v>
      </c>
      <c r="F972">
        <v>1099</v>
      </c>
    </row>
    <row r="973" spans="1:6" x14ac:dyDescent="0.2">
      <c r="A973">
        <v>129</v>
      </c>
      <c r="B973">
        <v>3693658</v>
      </c>
      <c r="C973">
        <v>21883</v>
      </c>
      <c r="F973">
        <v>1041</v>
      </c>
    </row>
    <row r="974" spans="1:6" x14ac:dyDescent="0.2">
      <c r="A974">
        <v>129</v>
      </c>
      <c r="B974">
        <v>3693659</v>
      </c>
      <c r="C974">
        <v>21883</v>
      </c>
      <c r="F974">
        <v>1097</v>
      </c>
    </row>
    <row r="975" spans="1:6" x14ac:dyDescent="0.2">
      <c r="A975">
        <v>129</v>
      </c>
      <c r="B975">
        <v>3693660</v>
      </c>
      <c r="C975">
        <v>21883</v>
      </c>
      <c r="F975">
        <v>1096</v>
      </c>
    </row>
    <row r="976" spans="1:6" x14ac:dyDescent="0.2">
      <c r="A976">
        <v>129</v>
      </c>
      <c r="B976">
        <v>3693661</v>
      </c>
      <c r="C976">
        <v>21883</v>
      </c>
      <c r="F976">
        <v>1094</v>
      </c>
    </row>
    <row r="977" spans="1:6" x14ac:dyDescent="0.2">
      <c r="A977">
        <v>129</v>
      </c>
      <c r="B977">
        <v>3693662</v>
      </c>
      <c r="C977">
        <v>21883</v>
      </c>
      <c r="F977">
        <v>1093</v>
      </c>
    </row>
    <row r="978" spans="1:6" x14ac:dyDescent="0.2">
      <c r="A978">
        <v>129</v>
      </c>
      <c r="B978">
        <v>3693663</v>
      </c>
      <c r="C978">
        <v>21883</v>
      </c>
      <c r="F978">
        <v>1091</v>
      </c>
    </row>
    <row r="979" spans="1:6" x14ac:dyDescent="0.2">
      <c r="A979">
        <v>129</v>
      </c>
      <c r="B979">
        <v>3693664</v>
      </c>
      <c r="C979">
        <v>21883</v>
      </c>
      <c r="F979">
        <v>836</v>
      </c>
    </row>
    <row r="980" spans="1:6" x14ac:dyDescent="0.2">
      <c r="A980">
        <v>129</v>
      </c>
      <c r="B980">
        <v>3693665</v>
      </c>
      <c r="C980">
        <v>21883</v>
      </c>
      <c r="F980">
        <v>1059</v>
      </c>
    </row>
    <row r="981" spans="1:6" x14ac:dyDescent="0.2">
      <c r="A981">
        <v>129</v>
      </c>
      <c r="B981">
        <v>3693666</v>
      </c>
      <c r="C981">
        <v>21883</v>
      </c>
      <c r="F981">
        <v>1051</v>
      </c>
    </row>
    <row r="982" spans="1:6" x14ac:dyDescent="0.2">
      <c r="A982">
        <v>129</v>
      </c>
      <c r="B982">
        <v>3693667</v>
      </c>
      <c r="C982">
        <v>21883</v>
      </c>
      <c r="F982">
        <v>1058</v>
      </c>
    </row>
    <row r="983" spans="1:6" x14ac:dyDescent="0.2">
      <c r="A983">
        <v>129</v>
      </c>
      <c r="B983">
        <v>3693668</v>
      </c>
      <c r="C983">
        <v>21883</v>
      </c>
      <c r="F983">
        <v>1047</v>
      </c>
    </row>
    <row r="984" spans="1:6" x14ac:dyDescent="0.2">
      <c r="A984">
        <v>129</v>
      </c>
      <c r="B984">
        <v>3693669</v>
      </c>
      <c r="C984">
        <v>21883</v>
      </c>
      <c r="F984">
        <v>1056</v>
      </c>
    </row>
    <row r="985" spans="1:6" x14ac:dyDescent="0.2">
      <c r="A985">
        <v>129</v>
      </c>
      <c r="B985">
        <v>3693670</v>
      </c>
      <c r="C985">
        <v>21883</v>
      </c>
      <c r="F985">
        <v>1053</v>
      </c>
    </row>
    <row r="986" spans="1:6" x14ac:dyDescent="0.2">
      <c r="A986">
        <v>129</v>
      </c>
      <c r="B986">
        <v>3693671</v>
      </c>
      <c r="C986">
        <v>21883</v>
      </c>
      <c r="F986">
        <v>1055</v>
      </c>
    </row>
    <row r="987" spans="1:6" x14ac:dyDescent="0.2">
      <c r="A987">
        <v>129</v>
      </c>
      <c r="B987">
        <v>3693672</v>
      </c>
      <c r="C987">
        <v>21883</v>
      </c>
      <c r="F987">
        <v>1054</v>
      </c>
    </row>
    <row r="988" spans="1:6" x14ac:dyDescent="0.2">
      <c r="A988">
        <v>129</v>
      </c>
      <c r="B988">
        <v>3693673</v>
      </c>
      <c r="C988">
        <v>21883</v>
      </c>
      <c r="F988">
        <v>1052</v>
      </c>
    </row>
    <row r="989" spans="1:6" x14ac:dyDescent="0.2">
      <c r="A989">
        <v>129</v>
      </c>
      <c r="B989">
        <v>3693674</v>
      </c>
      <c r="C989">
        <v>21883</v>
      </c>
      <c r="F989">
        <v>835</v>
      </c>
    </row>
    <row r="990" spans="1:6" x14ac:dyDescent="0.2">
      <c r="A990">
        <v>129</v>
      </c>
      <c r="B990">
        <v>3693675</v>
      </c>
      <c r="C990">
        <v>21883</v>
      </c>
      <c r="F990">
        <v>1050</v>
      </c>
    </row>
    <row r="991" spans="1:6" x14ac:dyDescent="0.2">
      <c r="A991">
        <v>129</v>
      </c>
      <c r="B991">
        <v>3693676</v>
      </c>
      <c r="C991">
        <v>21883</v>
      </c>
      <c r="F991">
        <v>1049</v>
      </c>
    </row>
    <row r="992" spans="1:6" x14ac:dyDescent="0.2">
      <c r="A992">
        <v>129</v>
      </c>
      <c r="B992">
        <v>3693677</v>
      </c>
      <c r="C992">
        <v>21883</v>
      </c>
      <c r="F992">
        <v>1048</v>
      </c>
    </row>
    <row r="993" spans="1:6" x14ac:dyDescent="0.2">
      <c r="A993">
        <v>129</v>
      </c>
      <c r="B993">
        <v>3693678</v>
      </c>
      <c r="C993">
        <v>21883</v>
      </c>
      <c r="F993">
        <v>1046</v>
      </c>
    </row>
    <row r="994" spans="1:6" x14ac:dyDescent="0.2">
      <c r="A994">
        <v>129</v>
      </c>
      <c r="B994">
        <v>3693679</v>
      </c>
      <c r="C994">
        <v>21883</v>
      </c>
      <c r="F994">
        <v>1045</v>
      </c>
    </row>
    <row r="995" spans="1:6" x14ac:dyDescent="0.2">
      <c r="A995">
        <v>129</v>
      </c>
      <c r="B995">
        <v>3693680</v>
      </c>
      <c r="C995">
        <v>21883</v>
      </c>
      <c r="F995">
        <v>1075</v>
      </c>
    </row>
    <row r="996" spans="1:6" x14ac:dyDescent="0.2">
      <c r="A996">
        <v>129</v>
      </c>
      <c r="B996">
        <v>3693681</v>
      </c>
      <c r="C996">
        <v>21883</v>
      </c>
      <c r="F996">
        <v>1064</v>
      </c>
    </row>
    <row r="997" spans="1:6" x14ac:dyDescent="0.2">
      <c r="A997">
        <v>129</v>
      </c>
      <c r="B997">
        <v>3693682</v>
      </c>
      <c r="C997">
        <v>21883</v>
      </c>
      <c r="F997">
        <v>1074</v>
      </c>
    </row>
    <row r="998" spans="1:6" x14ac:dyDescent="0.2">
      <c r="A998">
        <v>129</v>
      </c>
      <c r="B998">
        <v>3693683</v>
      </c>
      <c r="C998">
        <v>21883</v>
      </c>
      <c r="F998">
        <v>1067</v>
      </c>
    </row>
    <row r="999" spans="1:6" x14ac:dyDescent="0.2">
      <c r="A999">
        <v>129</v>
      </c>
      <c r="B999">
        <v>3693684</v>
      </c>
      <c r="C999">
        <v>21883</v>
      </c>
      <c r="F999">
        <v>1072</v>
      </c>
    </row>
    <row r="1000" spans="1:6" x14ac:dyDescent="0.2">
      <c r="A1000">
        <v>129</v>
      </c>
      <c r="B1000">
        <v>3693685</v>
      </c>
      <c r="C1000">
        <v>21883</v>
      </c>
      <c r="F1000">
        <v>1069</v>
      </c>
    </row>
    <row r="1001" spans="1:6" x14ac:dyDescent="0.2">
      <c r="A1001">
        <v>129</v>
      </c>
      <c r="B1001">
        <v>3693686</v>
      </c>
      <c r="C1001">
        <v>21883</v>
      </c>
      <c r="F1001">
        <v>1071</v>
      </c>
    </row>
    <row r="1002" spans="1:6" x14ac:dyDescent="0.2">
      <c r="A1002">
        <v>129</v>
      </c>
      <c r="B1002">
        <v>3693687</v>
      </c>
      <c r="C1002">
        <v>21883</v>
      </c>
      <c r="F1002">
        <v>1070</v>
      </c>
    </row>
    <row r="1003" spans="1:6" x14ac:dyDescent="0.2">
      <c r="A1003">
        <v>129</v>
      </c>
      <c r="B1003">
        <v>3693688</v>
      </c>
      <c r="C1003">
        <v>21883</v>
      </c>
      <c r="F1003">
        <v>1068</v>
      </c>
    </row>
    <row r="1004" spans="1:6" x14ac:dyDescent="0.2">
      <c r="A1004">
        <v>129</v>
      </c>
      <c r="B1004">
        <v>3693689</v>
      </c>
      <c r="C1004">
        <v>21883</v>
      </c>
      <c r="F1004">
        <v>833</v>
      </c>
    </row>
    <row r="1005" spans="1:6" x14ac:dyDescent="0.2">
      <c r="A1005">
        <v>129</v>
      </c>
      <c r="B1005">
        <v>3693690</v>
      </c>
      <c r="C1005">
        <v>21883</v>
      </c>
      <c r="F1005">
        <v>1066</v>
      </c>
    </row>
    <row r="1006" spans="1:6" x14ac:dyDescent="0.2">
      <c r="A1006">
        <v>129</v>
      </c>
      <c r="B1006">
        <v>3693691</v>
      </c>
      <c r="C1006">
        <v>21883</v>
      </c>
      <c r="F1006">
        <v>1065</v>
      </c>
    </row>
    <row r="1007" spans="1:6" x14ac:dyDescent="0.2">
      <c r="A1007">
        <v>129</v>
      </c>
      <c r="B1007">
        <v>3693692</v>
      </c>
      <c r="C1007">
        <v>21883</v>
      </c>
      <c r="F1007">
        <v>1057</v>
      </c>
    </row>
    <row r="1008" spans="1:6" x14ac:dyDescent="0.2">
      <c r="A1008">
        <v>129</v>
      </c>
      <c r="B1008">
        <v>3693693</v>
      </c>
      <c r="C1008">
        <v>21883</v>
      </c>
      <c r="F1008">
        <v>1063</v>
      </c>
    </row>
    <row r="1009" spans="1:6" x14ac:dyDescent="0.2">
      <c r="A1009">
        <v>129</v>
      </c>
      <c r="B1009">
        <v>3693694</v>
      </c>
      <c r="C1009">
        <v>21883</v>
      </c>
      <c r="F1009">
        <v>1062</v>
      </c>
    </row>
    <row r="1010" spans="1:6" x14ac:dyDescent="0.2">
      <c r="A1010">
        <v>129</v>
      </c>
      <c r="B1010">
        <v>3693695</v>
      </c>
      <c r="C1010">
        <v>21883</v>
      </c>
      <c r="F1010">
        <v>1089</v>
      </c>
    </row>
    <row r="1011" spans="1:6" x14ac:dyDescent="0.2">
      <c r="A1011">
        <v>129</v>
      </c>
      <c r="B1011">
        <v>3693696</v>
      </c>
      <c r="C1011">
        <v>21883</v>
      </c>
      <c r="F1011">
        <v>1082</v>
      </c>
    </row>
    <row r="1012" spans="1:6" x14ac:dyDescent="0.2">
      <c r="A1012">
        <v>129</v>
      </c>
      <c r="B1012">
        <v>3693697</v>
      </c>
      <c r="C1012">
        <v>21883</v>
      </c>
      <c r="F1012">
        <v>1088</v>
      </c>
    </row>
    <row r="1013" spans="1:6" x14ac:dyDescent="0.2">
      <c r="A1013">
        <v>129</v>
      </c>
      <c r="B1013">
        <v>3693698</v>
      </c>
      <c r="C1013">
        <v>21883</v>
      </c>
      <c r="F1013">
        <v>1079</v>
      </c>
    </row>
    <row r="1014" spans="1:6" x14ac:dyDescent="0.2">
      <c r="A1014">
        <v>129</v>
      </c>
      <c r="B1014">
        <v>3693699</v>
      </c>
      <c r="C1014">
        <v>21883</v>
      </c>
      <c r="F1014">
        <v>1087</v>
      </c>
    </row>
    <row r="1015" spans="1:6" x14ac:dyDescent="0.2">
      <c r="A1015">
        <v>129</v>
      </c>
      <c r="B1015">
        <v>3693700</v>
      </c>
      <c r="C1015">
        <v>21883</v>
      </c>
      <c r="F1015">
        <v>1084</v>
      </c>
    </row>
    <row r="1016" spans="1:6" x14ac:dyDescent="0.2">
      <c r="A1016">
        <v>129</v>
      </c>
      <c r="B1016">
        <v>3693701</v>
      </c>
      <c r="C1016">
        <v>21883</v>
      </c>
      <c r="F1016">
        <v>1086</v>
      </c>
    </row>
    <row r="1017" spans="1:6" x14ac:dyDescent="0.2">
      <c r="A1017">
        <v>129</v>
      </c>
      <c r="B1017">
        <v>3693702</v>
      </c>
      <c r="C1017">
        <v>21883</v>
      </c>
      <c r="F1017">
        <v>1085</v>
      </c>
    </row>
    <row r="1018" spans="1:6" x14ac:dyDescent="0.2">
      <c r="A1018">
        <v>129</v>
      </c>
      <c r="B1018">
        <v>3693703</v>
      </c>
      <c r="C1018">
        <v>21883</v>
      </c>
      <c r="F1018">
        <v>1083</v>
      </c>
    </row>
    <row r="1019" spans="1:6" x14ac:dyDescent="0.2">
      <c r="A1019">
        <v>129</v>
      </c>
      <c r="B1019">
        <v>3693704</v>
      </c>
      <c r="C1019">
        <v>21883</v>
      </c>
      <c r="F1019">
        <v>839</v>
      </c>
    </row>
    <row r="1020" spans="1:6" x14ac:dyDescent="0.2">
      <c r="A1020">
        <v>129</v>
      </c>
      <c r="B1020">
        <v>3693705</v>
      </c>
      <c r="C1020">
        <v>21883</v>
      </c>
      <c r="F1020">
        <v>1073</v>
      </c>
    </row>
    <row r="1021" spans="1:6" x14ac:dyDescent="0.2">
      <c r="A1021">
        <v>129</v>
      </c>
      <c r="B1021">
        <v>3693706</v>
      </c>
      <c r="C1021">
        <v>21883</v>
      </c>
      <c r="F1021">
        <v>1081</v>
      </c>
    </row>
    <row r="1022" spans="1:6" x14ac:dyDescent="0.2">
      <c r="A1022">
        <v>129</v>
      </c>
      <c r="B1022">
        <v>3693707</v>
      </c>
      <c r="C1022">
        <v>21883</v>
      </c>
      <c r="F1022">
        <v>1080</v>
      </c>
    </row>
    <row r="1023" spans="1:6" x14ac:dyDescent="0.2">
      <c r="A1023">
        <v>129</v>
      </c>
      <c r="B1023">
        <v>3693708</v>
      </c>
      <c r="C1023">
        <v>21883</v>
      </c>
      <c r="F1023">
        <v>1078</v>
      </c>
    </row>
    <row r="1024" spans="1:6" x14ac:dyDescent="0.2">
      <c r="A1024">
        <v>129</v>
      </c>
      <c r="B1024">
        <v>3693709</v>
      </c>
      <c r="C1024">
        <v>21883</v>
      </c>
      <c r="F1024">
        <v>1077</v>
      </c>
    </row>
    <row r="1025" spans="1:6" x14ac:dyDescent="0.2">
      <c r="A1025">
        <v>129</v>
      </c>
      <c r="B1025">
        <v>3693710</v>
      </c>
      <c r="C1025">
        <v>21883</v>
      </c>
      <c r="F1025">
        <v>1475</v>
      </c>
    </row>
    <row r="1026" spans="1:6" x14ac:dyDescent="0.2">
      <c r="A1026">
        <v>129</v>
      </c>
      <c r="B1026">
        <v>3693711</v>
      </c>
      <c r="C1026">
        <v>21883</v>
      </c>
      <c r="F1026">
        <v>1474</v>
      </c>
    </row>
    <row r="1027" spans="1:6" x14ac:dyDescent="0.2">
      <c r="A1027">
        <v>129</v>
      </c>
      <c r="B1027">
        <v>3693712</v>
      </c>
      <c r="C1027">
        <v>21883</v>
      </c>
      <c r="F1027">
        <v>1472</v>
      </c>
    </row>
    <row r="1028" spans="1:6" x14ac:dyDescent="0.2">
      <c r="A1028">
        <v>129</v>
      </c>
      <c r="B1028">
        <v>3693713</v>
      </c>
      <c r="C1028">
        <v>21883</v>
      </c>
      <c r="F1028">
        <v>1470</v>
      </c>
    </row>
    <row r="1029" spans="1:6" x14ac:dyDescent="0.2">
      <c r="A1029">
        <v>129</v>
      </c>
      <c r="B1029">
        <v>3693714</v>
      </c>
      <c r="C1029">
        <v>21883</v>
      </c>
      <c r="F1029">
        <v>1468</v>
      </c>
    </row>
    <row r="1030" spans="1:6" x14ac:dyDescent="0.2">
      <c r="A1030">
        <v>129</v>
      </c>
      <c r="B1030">
        <v>3693715</v>
      </c>
      <c r="C1030">
        <v>21883</v>
      </c>
      <c r="F1030">
        <v>1467</v>
      </c>
    </row>
    <row r="1031" spans="1:6" x14ac:dyDescent="0.2">
      <c r="A1031">
        <v>129</v>
      </c>
      <c r="B1031">
        <v>3693716</v>
      </c>
      <c r="C1031">
        <v>21883</v>
      </c>
      <c r="F1031">
        <v>1466</v>
      </c>
    </row>
    <row r="1032" spans="1:6" x14ac:dyDescent="0.2">
      <c r="A1032">
        <v>129</v>
      </c>
      <c r="B1032">
        <v>3693717</v>
      </c>
      <c r="C1032">
        <v>21883</v>
      </c>
      <c r="F1032">
        <v>1465</v>
      </c>
    </row>
    <row r="1033" spans="1:6" x14ac:dyDescent="0.2">
      <c r="A1033">
        <v>129</v>
      </c>
      <c r="B1033">
        <v>3693718</v>
      </c>
      <c r="C1033">
        <v>21883</v>
      </c>
      <c r="F1033">
        <v>1464</v>
      </c>
    </row>
    <row r="1034" spans="1:6" x14ac:dyDescent="0.2">
      <c r="A1034">
        <v>129</v>
      </c>
      <c r="B1034">
        <v>3693719</v>
      </c>
      <c r="C1034">
        <v>21883</v>
      </c>
      <c r="F1034">
        <v>1463</v>
      </c>
    </row>
    <row r="1035" spans="1:6" x14ac:dyDescent="0.2">
      <c r="A1035">
        <v>129</v>
      </c>
      <c r="B1035">
        <v>3693720</v>
      </c>
      <c r="C1035">
        <v>21883</v>
      </c>
      <c r="F1035">
        <v>1462</v>
      </c>
    </row>
    <row r="1036" spans="1:6" x14ac:dyDescent="0.2">
      <c r="A1036">
        <v>129</v>
      </c>
      <c r="B1036">
        <v>3693721</v>
      </c>
      <c r="C1036">
        <v>21883</v>
      </c>
      <c r="F1036">
        <v>128</v>
      </c>
    </row>
    <row r="1037" spans="1:6" x14ac:dyDescent="0.2">
      <c r="A1037">
        <v>129</v>
      </c>
      <c r="B1037">
        <v>3693722</v>
      </c>
      <c r="C1037">
        <v>21883</v>
      </c>
      <c r="F1037">
        <v>1460</v>
      </c>
    </row>
    <row r="1038" spans="1:6" x14ac:dyDescent="0.2">
      <c r="A1038">
        <v>129</v>
      </c>
      <c r="B1038">
        <v>3693723</v>
      </c>
      <c r="C1038">
        <v>21883</v>
      </c>
      <c r="F1038">
        <v>1459</v>
      </c>
    </row>
    <row r="1039" spans="1:6" x14ac:dyDescent="0.2">
      <c r="A1039">
        <v>129</v>
      </c>
      <c r="B1039">
        <v>3693724</v>
      </c>
      <c r="C1039">
        <v>21883</v>
      </c>
      <c r="F1039">
        <v>1457</v>
      </c>
    </row>
    <row r="1040" spans="1:6" x14ac:dyDescent="0.2">
      <c r="A1040">
        <v>129</v>
      </c>
      <c r="B1040">
        <v>3693725</v>
      </c>
      <c r="C1040">
        <v>21883</v>
      </c>
      <c r="F1040">
        <v>1455</v>
      </c>
    </row>
    <row r="1041" spans="1:6" x14ac:dyDescent="0.2">
      <c r="A1041">
        <v>129</v>
      </c>
      <c r="B1041">
        <v>3693726</v>
      </c>
      <c r="C1041">
        <v>21883</v>
      </c>
      <c r="F1041">
        <v>1453</v>
      </c>
    </row>
    <row r="1042" spans="1:6" x14ac:dyDescent="0.2">
      <c r="A1042">
        <v>129</v>
      </c>
      <c r="B1042">
        <v>3693727</v>
      </c>
      <c r="C1042">
        <v>21883</v>
      </c>
      <c r="F1042">
        <v>1452</v>
      </c>
    </row>
    <row r="1043" spans="1:6" x14ac:dyDescent="0.2">
      <c r="A1043">
        <v>129</v>
      </c>
      <c r="B1043">
        <v>3693728</v>
      </c>
      <c r="C1043">
        <v>21883</v>
      </c>
      <c r="F1043">
        <v>1451</v>
      </c>
    </row>
    <row r="1044" spans="1:6" x14ac:dyDescent="0.2">
      <c r="A1044">
        <v>129</v>
      </c>
      <c r="B1044">
        <v>3693729</v>
      </c>
      <c r="C1044">
        <v>21883</v>
      </c>
      <c r="F1044">
        <v>1450</v>
      </c>
    </row>
    <row r="1045" spans="1:6" x14ac:dyDescent="0.2">
      <c r="A1045">
        <v>129</v>
      </c>
      <c r="B1045">
        <v>3693730</v>
      </c>
      <c r="C1045">
        <v>21883</v>
      </c>
      <c r="F1045">
        <v>1449</v>
      </c>
    </row>
    <row r="1046" spans="1:6" x14ac:dyDescent="0.2">
      <c r="A1046">
        <v>129</v>
      </c>
      <c r="B1046">
        <v>3693731</v>
      </c>
      <c r="C1046">
        <v>21883</v>
      </c>
      <c r="F1046">
        <v>1448</v>
      </c>
    </row>
    <row r="1047" spans="1:6" x14ac:dyDescent="0.2">
      <c r="A1047">
        <v>129</v>
      </c>
      <c r="B1047">
        <v>3693732</v>
      </c>
      <c r="C1047">
        <v>21883</v>
      </c>
      <c r="F1047">
        <v>1447</v>
      </c>
    </row>
    <row r="1048" spans="1:6" x14ac:dyDescent="0.2">
      <c r="A1048">
        <v>129</v>
      </c>
      <c r="B1048">
        <v>3693733</v>
      </c>
      <c r="C1048">
        <v>21883</v>
      </c>
      <c r="F1048">
        <v>127</v>
      </c>
    </row>
    <row r="1049" spans="1:6" x14ac:dyDescent="0.2">
      <c r="A1049">
        <v>129</v>
      </c>
      <c r="B1049">
        <v>3693734</v>
      </c>
      <c r="C1049">
        <v>21883</v>
      </c>
      <c r="F1049">
        <v>1445</v>
      </c>
    </row>
    <row r="1050" spans="1:6" x14ac:dyDescent="0.2">
      <c r="A1050">
        <v>129</v>
      </c>
      <c r="B1050">
        <v>3693735</v>
      </c>
      <c r="C1050">
        <v>21883</v>
      </c>
      <c r="F1050">
        <v>1443</v>
      </c>
    </row>
    <row r="1051" spans="1:6" x14ac:dyDescent="0.2">
      <c r="A1051">
        <v>129</v>
      </c>
      <c r="B1051">
        <v>3693736</v>
      </c>
      <c r="C1051">
        <v>21883</v>
      </c>
      <c r="F1051">
        <v>1442</v>
      </c>
    </row>
    <row r="1052" spans="1:6" x14ac:dyDescent="0.2">
      <c r="A1052">
        <v>129</v>
      </c>
      <c r="B1052">
        <v>3693737</v>
      </c>
      <c r="C1052">
        <v>21883</v>
      </c>
      <c r="F1052">
        <v>1439</v>
      </c>
    </row>
    <row r="1053" spans="1:6" x14ac:dyDescent="0.2">
      <c r="A1053">
        <v>129</v>
      </c>
      <c r="B1053">
        <v>3693738</v>
      </c>
      <c r="C1053">
        <v>21883</v>
      </c>
      <c r="F1053">
        <v>1438</v>
      </c>
    </row>
    <row r="1054" spans="1:6" x14ac:dyDescent="0.2">
      <c r="A1054">
        <v>129</v>
      </c>
      <c r="B1054">
        <v>3693739</v>
      </c>
      <c r="C1054">
        <v>21883</v>
      </c>
      <c r="F1054">
        <v>1437</v>
      </c>
    </row>
    <row r="1055" spans="1:6" x14ac:dyDescent="0.2">
      <c r="A1055">
        <v>129</v>
      </c>
      <c r="B1055">
        <v>3693740</v>
      </c>
      <c r="C1055">
        <v>21883</v>
      </c>
      <c r="F1055">
        <v>1436</v>
      </c>
    </row>
    <row r="1056" spans="1:6" x14ac:dyDescent="0.2">
      <c r="A1056">
        <v>129</v>
      </c>
      <c r="B1056">
        <v>3693741</v>
      </c>
      <c r="C1056">
        <v>21883</v>
      </c>
      <c r="F1056">
        <v>1435</v>
      </c>
    </row>
    <row r="1057" spans="1:6" x14ac:dyDescent="0.2">
      <c r="A1057">
        <v>129</v>
      </c>
      <c r="B1057">
        <v>3693742</v>
      </c>
      <c r="C1057">
        <v>21883</v>
      </c>
      <c r="F1057">
        <v>1434</v>
      </c>
    </row>
    <row r="1058" spans="1:6" x14ac:dyDescent="0.2">
      <c r="A1058">
        <v>129</v>
      </c>
      <c r="B1058">
        <v>3693743</v>
      </c>
      <c r="C1058">
        <v>21883</v>
      </c>
      <c r="F1058">
        <v>1433</v>
      </c>
    </row>
    <row r="1059" spans="1:6" x14ac:dyDescent="0.2">
      <c r="A1059">
        <v>129</v>
      </c>
      <c r="B1059">
        <v>3693744</v>
      </c>
      <c r="C1059">
        <v>21883</v>
      </c>
      <c r="F1059">
        <v>1432</v>
      </c>
    </row>
    <row r="1060" spans="1:6" x14ac:dyDescent="0.2">
      <c r="A1060">
        <v>129</v>
      </c>
      <c r="B1060">
        <v>3693745</v>
      </c>
      <c r="C1060">
        <v>21883</v>
      </c>
      <c r="F1060">
        <v>129</v>
      </c>
    </row>
    <row r="1061" spans="1:6" x14ac:dyDescent="0.2">
      <c r="A1061">
        <v>129</v>
      </c>
      <c r="B1061">
        <v>3693746</v>
      </c>
      <c r="C1061">
        <v>21883</v>
      </c>
      <c r="F1061">
        <v>1158</v>
      </c>
    </row>
    <row r="1062" spans="1:6" x14ac:dyDescent="0.2">
      <c r="A1062">
        <v>129</v>
      </c>
      <c r="B1062">
        <v>3693747</v>
      </c>
      <c r="C1062">
        <v>21883</v>
      </c>
      <c r="F1062">
        <v>1427</v>
      </c>
    </row>
    <row r="1063" spans="1:6" x14ac:dyDescent="0.2">
      <c r="A1063">
        <v>129</v>
      </c>
      <c r="B1063">
        <v>3693748</v>
      </c>
      <c r="C1063">
        <v>21883</v>
      </c>
      <c r="F1063">
        <v>1428</v>
      </c>
    </row>
    <row r="1064" spans="1:6" x14ac:dyDescent="0.2">
      <c r="A1064">
        <v>129</v>
      </c>
      <c r="B1064">
        <v>3693749</v>
      </c>
      <c r="C1064">
        <v>21883</v>
      </c>
      <c r="F1064">
        <v>1155</v>
      </c>
    </row>
    <row r="1065" spans="1:6" x14ac:dyDescent="0.2">
      <c r="A1065">
        <v>129</v>
      </c>
      <c r="B1065">
        <v>3693750</v>
      </c>
      <c r="C1065">
        <v>21883</v>
      </c>
      <c r="F1065">
        <v>108</v>
      </c>
    </row>
    <row r="1066" spans="1:6" x14ac:dyDescent="0.2">
      <c r="A1066">
        <v>129</v>
      </c>
      <c r="B1066">
        <v>3693751</v>
      </c>
      <c r="C1066">
        <v>21883</v>
      </c>
      <c r="F1066">
        <v>1121</v>
      </c>
    </row>
    <row r="1067" spans="1:6" x14ac:dyDescent="0.2">
      <c r="A1067">
        <v>129</v>
      </c>
      <c r="B1067">
        <v>3693752</v>
      </c>
      <c r="C1067">
        <v>21883</v>
      </c>
      <c r="F1067">
        <v>1234</v>
      </c>
    </row>
    <row r="1068" spans="1:6" x14ac:dyDescent="0.2">
      <c r="A1068">
        <v>129</v>
      </c>
      <c r="B1068">
        <v>3693753</v>
      </c>
      <c r="C1068">
        <v>21883</v>
      </c>
      <c r="F1068">
        <v>1230</v>
      </c>
    </row>
    <row r="1069" spans="1:6" x14ac:dyDescent="0.2">
      <c r="A1069">
        <v>129</v>
      </c>
      <c r="B1069">
        <v>3693754</v>
      </c>
      <c r="C1069">
        <v>21883</v>
      </c>
      <c r="F1069">
        <v>1243</v>
      </c>
    </row>
    <row r="1070" spans="1:6" x14ac:dyDescent="0.2">
      <c r="A1070">
        <v>129</v>
      </c>
      <c r="B1070">
        <v>3693755</v>
      </c>
      <c r="C1070">
        <v>21883</v>
      </c>
      <c r="F1070">
        <v>1238</v>
      </c>
    </row>
    <row r="1071" spans="1:6" x14ac:dyDescent="0.2">
      <c r="A1071">
        <v>129</v>
      </c>
      <c r="B1071">
        <v>3693756</v>
      </c>
      <c r="C1071">
        <v>21883</v>
      </c>
      <c r="F1071">
        <v>1240</v>
      </c>
    </row>
    <row r="1072" spans="1:6" x14ac:dyDescent="0.2">
      <c r="A1072">
        <v>129</v>
      </c>
      <c r="B1072">
        <v>3693757</v>
      </c>
      <c r="C1072">
        <v>21883</v>
      </c>
      <c r="F1072">
        <v>1228</v>
      </c>
    </row>
    <row r="1073" spans="1:6" x14ac:dyDescent="0.2">
      <c r="A1073">
        <v>129</v>
      </c>
      <c r="B1073">
        <v>3693758</v>
      </c>
      <c r="C1073">
        <v>21883</v>
      </c>
      <c r="F1073">
        <v>1242</v>
      </c>
    </row>
    <row r="1074" spans="1:6" x14ac:dyDescent="0.2">
      <c r="A1074">
        <v>129</v>
      </c>
      <c r="B1074">
        <v>3693759</v>
      </c>
      <c r="C1074">
        <v>21883</v>
      </c>
      <c r="F1074">
        <v>1241</v>
      </c>
    </row>
    <row r="1075" spans="1:6" x14ac:dyDescent="0.2">
      <c r="A1075">
        <v>129</v>
      </c>
      <c r="B1075">
        <v>3693760</v>
      </c>
      <c r="C1075">
        <v>21883</v>
      </c>
      <c r="F1075">
        <v>1239</v>
      </c>
    </row>
    <row r="1076" spans="1:6" x14ac:dyDescent="0.2">
      <c r="A1076">
        <v>129</v>
      </c>
      <c r="B1076">
        <v>3693761</v>
      </c>
      <c r="C1076">
        <v>21883</v>
      </c>
      <c r="F1076">
        <v>1237</v>
      </c>
    </row>
    <row r="1077" spans="1:6" x14ac:dyDescent="0.2">
      <c r="A1077">
        <v>129</v>
      </c>
      <c r="B1077">
        <v>3693762</v>
      </c>
      <c r="C1077">
        <v>21883</v>
      </c>
      <c r="F1077">
        <v>1236</v>
      </c>
    </row>
    <row r="1078" spans="1:6" x14ac:dyDescent="0.2">
      <c r="A1078">
        <v>129</v>
      </c>
      <c r="B1078">
        <v>3693763</v>
      </c>
      <c r="C1078">
        <v>21883</v>
      </c>
      <c r="F1078">
        <v>1143</v>
      </c>
    </row>
    <row r="1079" spans="1:6" x14ac:dyDescent="0.2">
      <c r="A1079">
        <v>129</v>
      </c>
      <c r="B1079">
        <v>3693764</v>
      </c>
      <c r="C1079">
        <v>21883</v>
      </c>
      <c r="F1079">
        <v>1235</v>
      </c>
    </row>
    <row r="1080" spans="1:6" x14ac:dyDescent="0.2">
      <c r="A1080">
        <v>129</v>
      </c>
      <c r="B1080">
        <v>3693765</v>
      </c>
      <c r="C1080">
        <v>21883</v>
      </c>
      <c r="F1080">
        <v>1232</v>
      </c>
    </row>
    <row r="1081" spans="1:6" x14ac:dyDescent="0.2">
      <c r="A1081">
        <v>129</v>
      </c>
      <c r="B1081">
        <v>3693766</v>
      </c>
      <c r="C1081">
        <v>21883</v>
      </c>
      <c r="F1081">
        <v>1233</v>
      </c>
    </row>
    <row r="1082" spans="1:6" x14ac:dyDescent="0.2">
      <c r="A1082">
        <v>129</v>
      </c>
      <c r="B1082">
        <v>3693767</v>
      </c>
      <c r="C1082">
        <v>21883</v>
      </c>
      <c r="F1082">
        <v>1231</v>
      </c>
    </row>
    <row r="1083" spans="1:6" x14ac:dyDescent="0.2">
      <c r="A1083">
        <v>129</v>
      </c>
      <c r="B1083">
        <v>3693768</v>
      </c>
      <c r="C1083">
        <v>21883</v>
      </c>
      <c r="F1083">
        <v>1229</v>
      </c>
    </row>
    <row r="1084" spans="1:6" x14ac:dyDescent="0.2">
      <c r="A1084">
        <v>129</v>
      </c>
      <c r="B1084">
        <v>3693769</v>
      </c>
      <c r="C1084">
        <v>21883</v>
      </c>
      <c r="F1084">
        <v>1227</v>
      </c>
    </row>
    <row r="1085" spans="1:6" x14ac:dyDescent="0.2">
      <c r="A1085">
        <v>129</v>
      </c>
      <c r="B1085">
        <v>3693770</v>
      </c>
      <c r="C1085">
        <v>21883</v>
      </c>
      <c r="F1085">
        <v>1216</v>
      </c>
    </row>
    <row r="1086" spans="1:6" x14ac:dyDescent="0.2">
      <c r="A1086">
        <v>129</v>
      </c>
      <c r="B1086">
        <v>3693771</v>
      </c>
      <c r="C1086">
        <v>21883</v>
      </c>
      <c r="F1086">
        <v>1212</v>
      </c>
    </row>
    <row r="1087" spans="1:6" x14ac:dyDescent="0.2">
      <c r="A1087">
        <v>129</v>
      </c>
      <c r="B1087">
        <v>3693772</v>
      </c>
      <c r="C1087">
        <v>21883</v>
      </c>
      <c r="F1087">
        <v>1225</v>
      </c>
    </row>
    <row r="1088" spans="1:6" x14ac:dyDescent="0.2">
      <c r="A1088">
        <v>129</v>
      </c>
      <c r="B1088">
        <v>3693773</v>
      </c>
      <c r="C1088">
        <v>21883</v>
      </c>
      <c r="F1088">
        <v>1220</v>
      </c>
    </row>
    <row r="1089" spans="1:6" x14ac:dyDescent="0.2">
      <c r="A1089">
        <v>129</v>
      </c>
      <c r="B1089">
        <v>3693774</v>
      </c>
      <c r="C1089">
        <v>21883</v>
      </c>
      <c r="F1089">
        <v>1222</v>
      </c>
    </row>
    <row r="1090" spans="1:6" x14ac:dyDescent="0.2">
      <c r="A1090">
        <v>129</v>
      </c>
      <c r="B1090">
        <v>3693775</v>
      </c>
      <c r="C1090">
        <v>21883</v>
      </c>
      <c r="F1090">
        <v>1210</v>
      </c>
    </row>
    <row r="1091" spans="1:6" x14ac:dyDescent="0.2">
      <c r="A1091">
        <v>129</v>
      </c>
      <c r="B1091">
        <v>3693776</v>
      </c>
      <c r="C1091">
        <v>21883</v>
      </c>
      <c r="F1091">
        <v>1224</v>
      </c>
    </row>
    <row r="1092" spans="1:6" x14ac:dyDescent="0.2">
      <c r="A1092">
        <v>129</v>
      </c>
      <c r="B1092">
        <v>3693777</v>
      </c>
      <c r="C1092">
        <v>21883</v>
      </c>
      <c r="F1092">
        <v>1223</v>
      </c>
    </row>
    <row r="1093" spans="1:6" x14ac:dyDescent="0.2">
      <c r="A1093">
        <v>129</v>
      </c>
      <c r="B1093">
        <v>3693778</v>
      </c>
      <c r="C1093">
        <v>21883</v>
      </c>
      <c r="F1093">
        <v>1221</v>
      </c>
    </row>
    <row r="1094" spans="1:6" x14ac:dyDescent="0.2">
      <c r="A1094">
        <v>129</v>
      </c>
      <c r="B1094">
        <v>3693779</v>
      </c>
      <c r="C1094">
        <v>21883</v>
      </c>
      <c r="F1094">
        <v>1219</v>
      </c>
    </row>
    <row r="1095" spans="1:6" x14ac:dyDescent="0.2">
      <c r="A1095">
        <v>129</v>
      </c>
      <c r="B1095">
        <v>3693780</v>
      </c>
      <c r="C1095">
        <v>21883</v>
      </c>
      <c r="F1095">
        <v>1218</v>
      </c>
    </row>
    <row r="1096" spans="1:6" x14ac:dyDescent="0.2">
      <c r="A1096">
        <v>129</v>
      </c>
      <c r="B1096">
        <v>3693781</v>
      </c>
      <c r="C1096">
        <v>21883</v>
      </c>
      <c r="F1096">
        <v>1217</v>
      </c>
    </row>
    <row r="1097" spans="1:6" x14ac:dyDescent="0.2">
      <c r="A1097">
        <v>129</v>
      </c>
      <c r="B1097">
        <v>3693782</v>
      </c>
      <c r="C1097">
        <v>21883</v>
      </c>
      <c r="F1097">
        <v>1150</v>
      </c>
    </row>
    <row r="1098" spans="1:6" x14ac:dyDescent="0.2">
      <c r="A1098">
        <v>129</v>
      </c>
      <c r="B1098">
        <v>3693783</v>
      </c>
      <c r="C1098">
        <v>21883</v>
      </c>
      <c r="F1098">
        <v>1215</v>
      </c>
    </row>
    <row r="1099" spans="1:6" x14ac:dyDescent="0.2">
      <c r="A1099">
        <v>129</v>
      </c>
      <c r="B1099">
        <v>3693784</v>
      </c>
      <c r="C1099">
        <v>21883</v>
      </c>
      <c r="F1099">
        <v>1214</v>
      </c>
    </row>
    <row r="1100" spans="1:6" x14ac:dyDescent="0.2">
      <c r="A1100">
        <v>129</v>
      </c>
      <c r="B1100">
        <v>3693785</v>
      </c>
      <c r="C1100">
        <v>21883</v>
      </c>
      <c r="F1100">
        <v>1213</v>
      </c>
    </row>
    <row r="1101" spans="1:6" x14ac:dyDescent="0.2">
      <c r="A1101">
        <v>129</v>
      </c>
      <c r="B1101">
        <v>3693786</v>
      </c>
      <c r="C1101">
        <v>21883</v>
      </c>
      <c r="F1101">
        <v>1211</v>
      </c>
    </row>
    <row r="1102" spans="1:6" x14ac:dyDescent="0.2">
      <c r="A1102">
        <v>129</v>
      </c>
      <c r="B1102">
        <v>3693787</v>
      </c>
      <c r="C1102">
        <v>21883</v>
      </c>
      <c r="F1102">
        <v>1209</v>
      </c>
    </row>
    <row r="1103" spans="1:6" x14ac:dyDescent="0.2">
      <c r="A1103">
        <v>129</v>
      </c>
      <c r="B1103">
        <v>3693788</v>
      </c>
      <c r="C1103">
        <v>21883</v>
      </c>
      <c r="F1103">
        <v>1203</v>
      </c>
    </row>
    <row r="1104" spans="1:6" x14ac:dyDescent="0.2">
      <c r="A1104">
        <v>129</v>
      </c>
      <c r="B1104">
        <v>3693789</v>
      </c>
      <c r="C1104">
        <v>21883</v>
      </c>
      <c r="F1104">
        <v>1198</v>
      </c>
    </row>
    <row r="1105" spans="1:6" x14ac:dyDescent="0.2">
      <c r="A1105">
        <v>129</v>
      </c>
      <c r="B1105">
        <v>3693790</v>
      </c>
      <c r="C1105">
        <v>21883</v>
      </c>
      <c r="F1105">
        <v>1207</v>
      </c>
    </row>
    <row r="1106" spans="1:6" x14ac:dyDescent="0.2">
      <c r="A1106">
        <v>129</v>
      </c>
      <c r="B1106">
        <v>3693791</v>
      </c>
      <c r="C1106">
        <v>21883</v>
      </c>
      <c r="F1106">
        <v>1200</v>
      </c>
    </row>
    <row r="1107" spans="1:6" x14ac:dyDescent="0.2">
      <c r="A1107">
        <v>129</v>
      </c>
      <c r="B1107">
        <v>3693792</v>
      </c>
      <c r="C1107">
        <v>21883</v>
      </c>
      <c r="F1107">
        <v>1206</v>
      </c>
    </row>
    <row r="1108" spans="1:6" x14ac:dyDescent="0.2">
      <c r="A1108">
        <v>129</v>
      </c>
      <c r="B1108">
        <v>3693793</v>
      </c>
      <c r="C1108">
        <v>21883</v>
      </c>
      <c r="F1108">
        <v>1205</v>
      </c>
    </row>
    <row r="1109" spans="1:6" x14ac:dyDescent="0.2">
      <c r="A1109">
        <v>129</v>
      </c>
      <c r="B1109">
        <v>3693794</v>
      </c>
      <c r="C1109">
        <v>21883</v>
      </c>
      <c r="F1109">
        <v>1204</v>
      </c>
    </row>
    <row r="1110" spans="1:6" x14ac:dyDescent="0.2">
      <c r="A1110">
        <v>129</v>
      </c>
      <c r="B1110">
        <v>3693795</v>
      </c>
      <c r="C1110">
        <v>21883</v>
      </c>
      <c r="F1110">
        <v>1202</v>
      </c>
    </row>
    <row r="1111" spans="1:6" x14ac:dyDescent="0.2">
      <c r="A1111">
        <v>129</v>
      </c>
      <c r="B1111">
        <v>3693796</v>
      </c>
      <c r="C1111">
        <v>21883</v>
      </c>
      <c r="F1111">
        <v>1201</v>
      </c>
    </row>
    <row r="1112" spans="1:6" x14ac:dyDescent="0.2">
      <c r="A1112">
        <v>129</v>
      </c>
      <c r="B1112">
        <v>3693797</v>
      </c>
      <c r="C1112">
        <v>21883</v>
      </c>
      <c r="F1112">
        <v>1199</v>
      </c>
    </row>
    <row r="1113" spans="1:6" x14ac:dyDescent="0.2">
      <c r="A1113">
        <v>129</v>
      </c>
      <c r="B1113">
        <v>3693798</v>
      </c>
      <c r="C1113">
        <v>21883</v>
      </c>
      <c r="F1113">
        <v>1154</v>
      </c>
    </row>
    <row r="1114" spans="1:6" x14ac:dyDescent="0.2">
      <c r="A1114">
        <v>129</v>
      </c>
      <c r="B1114">
        <v>3693799</v>
      </c>
      <c r="C1114">
        <v>21883</v>
      </c>
      <c r="F1114">
        <v>1197</v>
      </c>
    </row>
    <row r="1115" spans="1:6" x14ac:dyDescent="0.2">
      <c r="A1115">
        <v>129</v>
      </c>
      <c r="B1115">
        <v>3693800</v>
      </c>
      <c r="C1115">
        <v>21883</v>
      </c>
      <c r="F1115">
        <v>1191</v>
      </c>
    </row>
    <row r="1116" spans="1:6" x14ac:dyDescent="0.2">
      <c r="A1116">
        <v>129</v>
      </c>
      <c r="B1116">
        <v>3693801</v>
      </c>
      <c r="C1116">
        <v>21883</v>
      </c>
      <c r="F1116">
        <v>1188</v>
      </c>
    </row>
    <row r="1117" spans="1:6" x14ac:dyDescent="0.2">
      <c r="A1117">
        <v>129</v>
      </c>
      <c r="B1117">
        <v>3693802</v>
      </c>
      <c r="C1117">
        <v>21883</v>
      </c>
      <c r="F1117">
        <v>1195</v>
      </c>
    </row>
    <row r="1118" spans="1:6" x14ac:dyDescent="0.2">
      <c r="A1118">
        <v>129</v>
      </c>
      <c r="B1118">
        <v>3693803</v>
      </c>
      <c r="C1118">
        <v>21883</v>
      </c>
      <c r="F1118">
        <v>1186</v>
      </c>
    </row>
    <row r="1119" spans="1:6" x14ac:dyDescent="0.2">
      <c r="A1119">
        <v>129</v>
      </c>
      <c r="B1119">
        <v>3693804</v>
      </c>
      <c r="C1119">
        <v>21883</v>
      </c>
      <c r="F1119">
        <v>1194</v>
      </c>
    </row>
    <row r="1120" spans="1:6" x14ac:dyDescent="0.2">
      <c r="A1120">
        <v>129</v>
      </c>
      <c r="B1120">
        <v>3693805</v>
      </c>
      <c r="C1120">
        <v>21883</v>
      </c>
      <c r="F1120">
        <v>1193</v>
      </c>
    </row>
    <row r="1121" spans="1:6" x14ac:dyDescent="0.2">
      <c r="A1121">
        <v>129</v>
      </c>
      <c r="B1121">
        <v>3693806</v>
      </c>
      <c r="C1121">
        <v>21883</v>
      </c>
      <c r="F1121">
        <v>1192</v>
      </c>
    </row>
    <row r="1122" spans="1:6" x14ac:dyDescent="0.2">
      <c r="A1122">
        <v>129</v>
      </c>
      <c r="B1122">
        <v>3693807</v>
      </c>
      <c r="C1122">
        <v>21883</v>
      </c>
      <c r="F1122">
        <v>1190</v>
      </c>
    </row>
    <row r="1123" spans="1:6" x14ac:dyDescent="0.2">
      <c r="A1123">
        <v>129</v>
      </c>
      <c r="B1123">
        <v>3693808</v>
      </c>
      <c r="C1123">
        <v>21883</v>
      </c>
      <c r="F1123">
        <v>1189</v>
      </c>
    </row>
    <row r="1124" spans="1:6" x14ac:dyDescent="0.2">
      <c r="A1124">
        <v>129</v>
      </c>
      <c r="B1124">
        <v>3693809</v>
      </c>
      <c r="C1124">
        <v>21883</v>
      </c>
      <c r="F1124">
        <v>1151</v>
      </c>
    </row>
    <row r="1125" spans="1:6" x14ac:dyDescent="0.2">
      <c r="A1125">
        <v>129</v>
      </c>
      <c r="B1125">
        <v>3693810</v>
      </c>
      <c r="C1125">
        <v>21883</v>
      </c>
      <c r="F1125">
        <v>1187</v>
      </c>
    </row>
    <row r="1126" spans="1:6" x14ac:dyDescent="0.2">
      <c r="A1126">
        <v>129</v>
      </c>
      <c r="B1126">
        <v>3693811</v>
      </c>
      <c r="C1126">
        <v>21883</v>
      </c>
      <c r="F1126">
        <v>1179</v>
      </c>
    </row>
    <row r="1127" spans="1:6" x14ac:dyDescent="0.2">
      <c r="A1127">
        <v>129</v>
      </c>
      <c r="B1127">
        <v>3693812</v>
      </c>
      <c r="C1127">
        <v>21883</v>
      </c>
      <c r="F1127">
        <v>1176</v>
      </c>
    </row>
    <row r="1128" spans="1:6" x14ac:dyDescent="0.2">
      <c r="A1128">
        <v>129</v>
      </c>
      <c r="B1128">
        <v>3693813</v>
      </c>
      <c r="C1128">
        <v>21883</v>
      </c>
      <c r="F1128">
        <v>1183</v>
      </c>
    </row>
    <row r="1129" spans="1:6" x14ac:dyDescent="0.2">
      <c r="A1129">
        <v>129</v>
      </c>
      <c r="B1129">
        <v>3693814</v>
      </c>
      <c r="C1129">
        <v>21883</v>
      </c>
      <c r="F1129">
        <v>1174</v>
      </c>
    </row>
    <row r="1130" spans="1:6" x14ac:dyDescent="0.2">
      <c r="A1130">
        <v>129</v>
      </c>
      <c r="B1130">
        <v>3693815</v>
      </c>
      <c r="C1130">
        <v>21883</v>
      </c>
      <c r="F1130">
        <v>1182</v>
      </c>
    </row>
    <row r="1131" spans="1:6" x14ac:dyDescent="0.2">
      <c r="A1131">
        <v>129</v>
      </c>
      <c r="B1131">
        <v>3693816</v>
      </c>
      <c r="C1131">
        <v>21883</v>
      </c>
      <c r="F1131">
        <v>1181</v>
      </c>
    </row>
    <row r="1132" spans="1:6" x14ac:dyDescent="0.2">
      <c r="A1132">
        <v>129</v>
      </c>
      <c r="B1132">
        <v>3693817</v>
      </c>
      <c r="C1132">
        <v>21883</v>
      </c>
      <c r="F1132">
        <v>1180</v>
      </c>
    </row>
    <row r="1133" spans="1:6" x14ac:dyDescent="0.2">
      <c r="A1133">
        <v>129</v>
      </c>
      <c r="B1133">
        <v>3693818</v>
      </c>
      <c r="C1133">
        <v>21883</v>
      </c>
      <c r="F1133">
        <v>1178</v>
      </c>
    </row>
    <row r="1134" spans="1:6" x14ac:dyDescent="0.2">
      <c r="A1134">
        <v>129</v>
      </c>
      <c r="B1134">
        <v>3693819</v>
      </c>
      <c r="C1134">
        <v>21883</v>
      </c>
      <c r="F1134">
        <v>1177</v>
      </c>
    </row>
    <row r="1135" spans="1:6" x14ac:dyDescent="0.2">
      <c r="A1135">
        <v>129</v>
      </c>
      <c r="B1135">
        <v>3693820</v>
      </c>
      <c r="C1135">
        <v>21883</v>
      </c>
      <c r="F1135">
        <v>1146</v>
      </c>
    </row>
    <row r="1136" spans="1:6" x14ac:dyDescent="0.2">
      <c r="A1136">
        <v>129</v>
      </c>
      <c r="B1136">
        <v>3693821</v>
      </c>
      <c r="C1136">
        <v>21883</v>
      </c>
      <c r="F1136">
        <v>1175</v>
      </c>
    </row>
    <row r="1137" spans="1:6" x14ac:dyDescent="0.2">
      <c r="A1137">
        <v>129</v>
      </c>
      <c r="B1137">
        <v>3693822</v>
      </c>
      <c r="C1137">
        <v>21883</v>
      </c>
      <c r="F1137">
        <v>1167</v>
      </c>
    </row>
    <row r="1138" spans="1:6" x14ac:dyDescent="0.2">
      <c r="A1138">
        <v>129</v>
      </c>
      <c r="B1138">
        <v>3693823</v>
      </c>
      <c r="C1138">
        <v>21883</v>
      </c>
      <c r="F1138">
        <v>1164</v>
      </c>
    </row>
    <row r="1139" spans="1:6" x14ac:dyDescent="0.2">
      <c r="A1139">
        <v>129</v>
      </c>
      <c r="B1139">
        <v>3693824</v>
      </c>
      <c r="C1139">
        <v>21883</v>
      </c>
      <c r="F1139">
        <v>1171</v>
      </c>
    </row>
    <row r="1140" spans="1:6" x14ac:dyDescent="0.2">
      <c r="A1140">
        <v>129</v>
      </c>
      <c r="B1140">
        <v>3693825</v>
      </c>
      <c r="C1140">
        <v>21883</v>
      </c>
      <c r="F1140">
        <v>1162</v>
      </c>
    </row>
    <row r="1141" spans="1:6" x14ac:dyDescent="0.2">
      <c r="A1141">
        <v>129</v>
      </c>
      <c r="B1141">
        <v>3693826</v>
      </c>
      <c r="C1141">
        <v>21883</v>
      </c>
      <c r="F1141">
        <v>1170</v>
      </c>
    </row>
    <row r="1142" spans="1:6" x14ac:dyDescent="0.2">
      <c r="A1142">
        <v>129</v>
      </c>
      <c r="B1142">
        <v>3693827</v>
      </c>
      <c r="C1142">
        <v>21883</v>
      </c>
      <c r="F1142">
        <v>1169</v>
      </c>
    </row>
    <row r="1143" spans="1:6" x14ac:dyDescent="0.2">
      <c r="A1143">
        <v>129</v>
      </c>
      <c r="B1143">
        <v>3693828</v>
      </c>
      <c r="C1143">
        <v>21883</v>
      </c>
      <c r="F1143">
        <v>1168</v>
      </c>
    </row>
    <row r="1144" spans="1:6" x14ac:dyDescent="0.2">
      <c r="A1144">
        <v>129</v>
      </c>
      <c r="B1144">
        <v>3693829</v>
      </c>
      <c r="C1144">
        <v>21883</v>
      </c>
      <c r="F1144">
        <v>1166</v>
      </c>
    </row>
    <row r="1145" spans="1:6" x14ac:dyDescent="0.2">
      <c r="A1145">
        <v>129</v>
      </c>
      <c r="B1145">
        <v>3693830</v>
      </c>
      <c r="C1145">
        <v>21883</v>
      </c>
      <c r="F1145">
        <v>1165</v>
      </c>
    </row>
    <row r="1146" spans="1:6" x14ac:dyDescent="0.2">
      <c r="A1146">
        <v>129</v>
      </c>
      <c r="B1146">
        <v>3693831</v>
      </c>
      <c r="C1146">
        <v>21883</v>
      </c>
      <c r="F1146">
        <v>1163</v>
      </c>
    </row>
    <row r="1147" spans="1:6" x14ac:dyDescent="0.2">
      <c r="A1147">
        <v>129</v>
      </c>
      <c r="B1147">
        <v>3693832</v>
      </c>
      <c r="C1147">
        <v>21883</v>
      </c>
      <c r="F1147">
        <v>1148</v>
      </c>
    </row>
    <row r="1148" spans="1:6" x14ac:dyDescent="0.2">
      <c r="A1148">
        <v>129</v>
      </c>
      <c r="B1148">
        <v>3693833</v>
      </c>
      <c r="C1148">
        <v>21883</v>
      </c>
      <c r="F1148">
        <v>1251</v>
      </c>
    </row>
    <row r="1149" spans="1:6" x14ac:dyDescent="0.2">
      <c r="A1149">
        <v>129</v>
      </c>
      <c r="B1149">
        <v>3693834</v>
      </c>
      <c r="C1149">
        <v>21883</v>
      </c>
      <c r="F1149">
        <v>1260</v>
      </c>
    </row>
    <row r="1150" spans="1:6" x14ac:dyDescent="0.2">
      <c r="A1150">
        <v>129</v>
      </c>
      <c r="B1150">
        <v>3693835</v>
      </c>
      <c r="C1150">
        <v>21883</v>
      </c>
      <c r="F1150">
        <v>1246</v>
      </c>
    </row>
    <row r="1151" spans="1:6" x14ac:dyDescent="0.2">
      <c r="A1151">
        <v>129</v>
      </c>
      <c r="B1151">
        <v>3693836</v>
      </c>
      <c r="C1151">
        <v>21883</v>
      </c>
      <c r="F1151">
        <v>1256</v>
      </c>
    </row>
    <row r="1152" spans="1:6" x14ac:dyDescent="0.2">
      <c r="A1152">
        <v>129</v>
      </c>
      <c r="B1152">
        <v>3693837</v>
      </c>
      <c r="C1152">
        <v>21883</v>
      </c>
      <c r="F1152">
        <v>1248</v>
      </c>
    </row>
    <row r="1153" spans="1:6" x14ac:dyDescent="0.2">
      <c r="A1153">
        <v>129</v>
      </c>
      <c r="B1153">
        <v>3693838</v>
      </c>
      <c r="C1153">
        <v>21883</v>
      </c>
      <c r="F1153">
        <v>1259</v>
      </c>
    </row>
    <row r="1154" spans="1:6" x14ac:dyDescent="0.2">
      <c r="A1154">
        <v>129</v>
      </c>
      <c r="B1154">
        <v>3693839</v>
      </c>
      <c r="C1154">
        <v>21883</v>
      </c>
      <c r="F1154">
        <v>1258</v>
      </c>
    </row>
    <row r="1155" spans="1:6" x14ac:dyDescent="0.2">
      <c r="A1155">
        <v>129</v>
      </c>
      <c r="B1155">
        <v>3693840</v>
      </c>
      <c r="C1155">
        <v>21883</v>
      </c>
      <c r="F1155">
        <v>1257</v>
      </c>
    </row>
    <row r="1156" spans="1:6" x14ac:dyDescent="0.2">
      <c r="A1156">
        <v>129</v>
      </c>
      <c r="B1156">
        <v>3693841</v>
      </c>
      <c r="C1156">
        <v>21883</v>
      </c>
      <c r="F1156">
        <v>1255</v>
      </c>
    </row>
    <row r="1157" spans="1:6" x14ac:dyDescent="0.2">
      <c r="A1157">
        <v>129</v>
      </c>
      <c r="B1157">
        <v>3693842</v>
      </c>
      <c r="C1157">
        <v>21883</v>
      </c>
      <c r="F1157">
        <v>1254</v>
      </c>
    </row>
    <row r="1158" spans="1:6" x14ac:dyDescent="0.2">
      <c r="A1158">
        <v>129</v>
      </c>
      <c r="B1158">
        <v>3693843</v>
      </c>
      <c r="C1158">
        <v>21883</v>
      </c>
      <c r="F1158">
        <v>1252</v>
      </c>
    </row>
    <row r="1159" spans="1:6" x14ac:dyDescent="0.2">
      <c r="A1159">
        <v>129</v>
      </c>
      <c r="B1159">
        <v>3693844</v>
      </c>
      <c r="C1159">
        <v>21883</v>
      </c>
      <c r="F1159">
        <v>1250</v>
      </c>
    </row>
    <row r="1160" spans="1:6" x14ac:dyDescent="0.2">
      <c r="A1160">
        <v>129</v>
      </c>
      <c r="B1160">
        <v>3693845</v>
      </c>
      <c r="C1160">
        <v>21883</v>
      </c>
      <c r="F1160">
        <v>1249</v>
      </c>
    </row>
    <row r="1161" spans="1:6" x14ac:dyDescent="0.2">
      <c r="A1161">
        <v>129</v>
      </c>
      <c r="B1161">
        <v>3693846</v>
      </c>
      <c r="C1161">
        <v>21883</v>
      </c>
      <c r="F1161">
        <v>1247</v>
      </c>
    </row>
    <row r="1162" spans="1:6" x14ac:dyDescent="0.2">
      <c r="A1162">
        <v>129</v>
      </c>
      <c r="B1162">
        <v>3693847</v>
      </c>
      <c r="C1162">
        <v>21883</v>
      </c>
      <c r="F1162">
        <v>1270</v>
      </c>
    </row>
    <row r="1163" spans="1:6" x14ac:dyDescent="0.2">
      <c r="A1163">
        <v>129</v>
      </c>
      <c r="B1163">
        <v>3693848</v>
      </c>
      <c r="C1163">
        <v>21883</v>
      </c>
      <c r="F1163">
        <v>1277</v>
      </c>
    </row>
    <row r="1164" spans="1:6" x14ac:dyDescent="0.2">
      <c r="A1164">
        <v>129</v>
      </c>
      <c r="B1164">
        <v>3693849</v>
      </c>
      <c r="C1164">
        <v>21883</v>
      </c>
      <c r="F1164">
        <v>1263</v>
      </c>
    </row>
    <row r="1165" spans="1:6" x14ac:dyDescent="0.2">
      <c r="A1165">
        <v>129</v>
      </c>
      <c r="B1165">
        <v>3693850</v>
      </c>
      <c r="C1165">
        <v>21883</v>
      </c>
      <c r="F1165">
        <v>1274</v>
      </c>
    </row>
    <row r="1166" spans="1:6" x14ac:dyDescent="0.2">
      <c r="A1166">
        <v>129</v>
      </c>
      <c r="B1166">
        <v>3693851</v>
      </c>
      <c r="C1166">
        <v>21883</v>
      </c>
      <c r="F1166">
        <v>1268</v>
      </c>
    </row>
    <row r="1167" spans="1:6" x14ac:dyDescent="0.2">
      <c r="A1167">
        <v>129</v>
      </c>
      <c r="B1167">
        <v>3693852</v>
      </c>
      <c r="C1167">
        <v>21883</v>
      </c>
      <c r="F1167">
        <v>1276</v>
      </c>
    </row>
    <row r="1168" spans="1:6" x14ac:dyDescent="0.2">
      <c r="A1168">
        <v>129</v>
      </c>
      <c r="B1168">
        <v>3693853</v>
      </c>
      <c r="C1168">
        <v>21883</v>
      </c>
      <c r="F1168">
        <v>1275</v>
      </c>
    </row>
    <row r="1169" spans="1:6" x14ac:dyDescent="0.2">
      <c r="A1169">
        <v>129</v>
      </c>
      <c r="B1169">
        <v>3693854</v>
      </c>
      <c r="C1169">
        <v>21883</v>
      </c>
      <c r="F1169">
        <v>1273</v>
      </c>
    </row>
    <row r="1170" spans="1:6" x14ac:dyDescent="0.2">
      <c r="A1170">
        <v>129</v>
      </c>
      <c r="B1170">
        <v>3693855</v>
      </c>
      <c r="C1170">
        <v>21883</v>
      </c>
      <c r="F1170">
        <v>1272</v>
      </c>
    </row>
    <row r="1171" spans="1:6" x14ac:dyDescent="0.2">
      <c r="A1171">
        <v>129</v>
      </c>
      <c r="B1171">
        <v>3693856</v>
      </c>
      <c r="C1171">
        <v>21883</v>
      </c>
      <c r="F1171">
        <v>1271</v>
      </c>
    </row>
    <row r="1172" spans="1:6" x14ac:dyDescent="0.2">
      <c r="A1172">
        <v>129</v>
      </c>
      <c r="B1172">
        <v>3693857</v>
      </c>
      <c r="C1172">
        <v>21883</v>
      </c>
      <c r="F1172">
        <v>1269</v>
      </c>
    </row>
    <row r="1173" spans="1:6" x14ac:dyDescent="0.2">
      <c r="A1173">
        <v>129</v>
      </c>
      <c r="B1173">
        <v>3693858</v>
      </c>
      <c r="C1173">
        <v>21883</v>
      </c>
      <c r="F1173">
        <v>1266</v>
      </c>
    </row>
    <row r="1174" spans="1:6" x14ac:dyDescent="0.2">
      <c r="A1174">
        <v>129</v>
      </c>
      <c r="B1174">
        <v>3693859</v>
      </c>
      <c r="C1174">
        <v>21883</v>
      </c>
      <c r="F1174">
        <v>1265</v>
      </c>
    </row>
    <row r="1175" spans="1:6" x14ac:dyDescent="0.2">
      <c r="A1175">
        <v>129</v>
      </c>
      <c r="B1175">
        <v>3693860</v>
      </c>
      <c r="C1175">
        <v>21883</v>
      </c>
      <c r="F1175">
        <v>1264</v>
      </c>
    </row>
    <row r="1176" spans="1:6" x14ac:dyDescent="0.2">
      <c r="A1176">
        <v>129</v>
      </c>
      <c r="B1176">
        <v>3693861</v>
      </c>
      <c r="C1176">
        <v>21883</v>
      </c>
      <c r="F1176">
        <v>1286</v>
      </c>
    </row>
    <row r="1177" spans="1:6" x14ac:dyDescent="0.2">
      <c r="A1177">
        <v>129</v>
      </c>
      <c r="B1177">
        <v>3693862</v>
      </c>
      <c r="C1177">
        <v>21883</v>
      </c>
      <c r="F1177">
        <v>1280</v>
      </c>
    </row>
    <row r="1178" spans="1:6" x14ac:dyDescent="0.2">
      <c r="A1178">
        <v>129</v>
      </c>
      <c r="B1178">
        <v>3693863</v>
      </c>
      <c r="C1178">
        <v>21883</v>
      </c>
      <c r="F1178">
        <v>1293</v>
      </c>
    </row>
    <row r="1179" spans="1:6" x14ac:dyDescent="0.2">
      <c r="A1179">
        <v>129</v>
      </c>
      <c r="B1179">
        <v>3693864</v>
      </c>
      <c r="C1179">
        <v>21883</v>
      </c>
      <c r="F1179">
        <v>1290</v>
      </c>
    </row>
    <row r="1180" spans="1:6" x14ac:dyDescent="0.2">
      <c r="A1180">
        <v>129</v>
      </c>
      <c r="B1180">
        <v>3693865</v>
      </c>
      <c r="C1180">
        <v>21883</v>
      </c>
      <c r="F1180">
        <v>1284</v>
      </c>
    </row>
    <row r="1181" spans="1:6" x14ac:dyDescent="0.2">
      <c r="A1181">
        <v>129</v>
      </c>
      <c r="B1181">
        <v>3693866</v>
      </c>
      <c r="C1181">
        <v>21883</v>
      </c>
      <c r="F1181">
        <v>1292</v>
      </c>
    </row>
    <row r="1182" spans="1:6" x14ac:dyDescent="0.2">
      <c r="A1182">
        <v>129</v>
      </c>
      <c r="B1182">
        <v>3693867</v>
      </c>
      <c r="C1182">
        <v>21883</v>
      </c>
      <c r="F1182">
        <v>1291</v>
      </c>
    </row>
    <row r="1183" spans="1:6" x14ac:dyDescent="0.2">
      <c r="A1183">
        <v>129</v>
      </c>
      <c r="B1183">
        <v>3693868</v>
      </c>
      <c r="C1183">
        <v>21883</v>
      </c>
      <c r="F1183">
        <v>1289</v>
      </c>
    </row>
    <row r="1184" spans="1:6" x14ac:dyDescent="0.2">
      <c r="A1184">
        <v>129</v>
      </c>
      <c r="B1184">
        <v>3693869</v>
      </c>
      <c r="C1184">
        <v>21883</v>
      </c>
      <c r="F1184">
        <v>1288</v>
      </c>
    </row>
    <row r="1185" spans="1:6" x14ac:dyDescent="0.2">
      <c r="A1185">
        <v>129</v>
      </c>
      <c r="B1185">
        <v>3693870</v>
      </c>
      <c r="C1185">
        <v>21883</v>
      </c>
      <c r="F1185">
        <v>1287</v>
      </c>
    </row>
    <row r="1186" spans="1:6" x14ac:dyDescent="0.2">
      <c r="A1186">
        <v>129</v>
      </c>
      <c r="B1186">
        <v>3693871</v>
      </c>
      <c r="C1186">
        <v>21883</v>
      </c>
      <c r="F1186">
        <v>1285</v>
      </c>
    </row>
    <row r="1187" spans="1:6" x14ac:dyDescent="0.2">
      <c r="A1187">
        <v>129</v>
      </c>
      <c r="B1187">
        <v>3693872</v>
      </c>
      <c r="C1187">
        <v>21883</v>
      </c>
      <c r="F1187">
        <v>1283</v>
      </c>
    </row>
    <row r="1188" spans="1:6" x14ac:dyDescent="0.2">
      <c r="A1188">
        <v>129</v>
      </c>
      <c r="B1188">
        <v>3693873</v>
      </c>
      <c r="C1188">
        <v>21883</v>
      </c>
      <c r="F1188">
        <v>1282</v>
      </c>
    </row>
    <row r="1189" spans="1:6" x14ac:dyDescent="0.2">
      <c r="A1189">
        <v>129</v>
      </c>
      <c r="B1189">
        <v>3693874</v>
      </c>
      <c r="C1189">
        <v>21883</v>
      </c>
      <c r="F1189">
        <v>1281</v>
      </c>
    </row>
    <row r="1190" spans="1:6" x14ac:dyDescent="0.2">
      <c r="A1190">
        <v>129</v>
      </c>
      <c r="B1190">
        <v>3693875</v>
      </c>
      <c r="C1190">
        <v>21883</v>
      </c>
      <c r="F1190">
        <v>1309</v>
      </c>
    </row>
    <row r="1191" spans="1:6" x14ac:dyDescent="0.2">
      <c r="A1191">
        <v>129</v>
      </c>
      <c r="B1191">
        <v>3693876</v>
      </c>
      <c r="C1191">
        <v>21883</v>
      </c>
      <c r="F1191">
        <v>1304</v>
      </c>
    </row>
    <row r="1192" spans="1:6" x14ac:dyDescent="0.2">
      <c r="A1192">
        <v>129</v>
      </c>
      <c r="B1192">
        <v>3693877</v>
      </c>
      <c r="C1192">
        <v>21883</v>
      </c>
      <c r="F1192">
        <v>1308</v>
      </c>
    </row>
    <row r="1193" spans="1:6" x14ac:dyDescent="0.2">
      <c r="A1193">
        <v>129</v>
      </c>
      <c r="B1193">
        <v>3693878</v>
      </c>
      <c r="C1193">
        <v>21883</v>
      </c>
      <c r="F1193">
        <v>1300</v>
      </c>
    </row>
    <row r="1194" spans="1:6" x14ac:dyDescent="0.2">
      <c r="A1194">
        <v>129</v>
      </c>
      <c r="B1194">
        <v>3693879</v>
      </c>
      <c r="C1194">
        <v>21883</v>
      </c>
      <c r="F1194">
        <v>1307</v>
      </c>
    </row>
    <row r="1195" spans="1:6" x14ac:dyDescent="0.2">
      <c r="A1195">
        <v>129</v>
      </c>
      <c r="B1195">
        <v>3693880</v>
      </c>
      <c r="C1195">
        <v>21883</v>
      </c>
      <c r="F1195">
        <v>1297</v>
      </c>
    </row>
    <row r="1196" spans="1:6" x14ac:dyDescent="0.2">
      <c r="A1196">
        <v>129</v>
      </c>
      <c r="B1196">
        <v>3693881</v>
      </c>
      <c r="C1196">
        <v>21883</v>
      </c>
      <c r="F1196">
        <v>1306</v>
      </c>
    </row>
    <row r="1197" spans="1:6" x14ac:dyDescent="0.2">
      <c r="A1197">
        <v>129</v>
      </c>
      <c r="B1197">
        <v>3693882</v>
      </c>
      <c r="C1197">
        <v>21883</v>
      </c>
      <c r="F1197">
        <v>1305</v>
      </c>
    </row>
    <row r="1198" spans="1:6" x14ac:dyDescent="0.2">
      <c r="A1198">
        <v>129</v>
      </c>
      <c r="B1198">
        <v>3693883</v>
      </c>
      <c r="C1198">
        <v>21883</v>
      </c>
      <c r="F1198">
        <v>1303</v>
      </c>
    </row>
    <row r="1199" spans="1:6" x14ac:dyDescent="0.2">
      <c r="A1199">
        <v>129</v>
      </c>
      <c r="B1199">
        <v>3693884</v>
      </c>
      <c r="C1199">
        <v>21883</v>
      </c>
      <c r="F1199">
        <v>1302</v>
      </c>
    </row>
    <row r="1200" spans="1:6" x14ac:dyDescent="0.2">
      <c r="A1200">
        <v>129</v>
      </c>
      <c r="B1200">
        <v>3693885</v>
      </c>
      <c r="C1200">
        <v>21883</v>
      </c>
      <c r="F1200">
        <v>1301</v>
      </c>
    </row>
    <row r="1201" spans="1:6" x14ac:dyDescent="0.2">
      <c r="A1201">
        <v>129</v>
      </c>
      <c r="B1201">
        <v>3693886</v>
      </c>
      <c r="C1201">
        <v>21883</v>
      </c>
      <c r="F1201">
        <v>1299</v>
      </c>
    </row>
    <row r="1202" spans="1:6" x14ac:dyDescent="0.2">
      <c r="A1202">
        <v>129</v>
      </c>
      <c r="B1202">
        <v>3693887</v>
      </c>
      <c r="C1202">
        <v>21883</v>
      </c>
      <c r="F1202">
        <v>1298</v>
      </c>
    </row>
    <row r="1203" spans="1:6" x14ac:dyDescent="0.2">
      <c r="A1203">
        <v>129</v>
      </c>
      <c r="B1203">
        <v>3693888</v>
      </c>
      <c r="C1203">
        <v>21883</v>
      </c>
      <c r="F1203">
        <v>1296</v>
      </c>
    </row>
    <row r="1204" spans="1:6" x14ac:dyDescent="0.2">
      <c r="A1204">
        <v>129</v>
      </c>
      <c r="B1204">
        <v>3693889</v>
      </c>
      <c r="C1204">
        <v>21883</v>
      </c>
      <c r="F1204">
        <v>1149</v>
      </c>
    </row>
    <row r="1205" spans="1:6" x14ac:dyDescent="0.2">
      <c r="A1205">
        <v>129</v>
      </c>
      <c r="B1205">
        <v>3693890</v>
      </c>
      <c r="C1205">
        <v>21883</v>
      </c>
      <c r="F1205">
        <v>1310</v>
      </c>
    </row>
    <row r="1206" spans="1:6" x14ac:dyDescent="0.2">
      <c r="A1206">
        <v>129</v>
      </c>
      <c r="B1206">
        <v>3693891</v>
      </c>
      <c r="C1206">
        <v>21883</v>
      </c>
      <c r="F1206">
        <v>1320</v>
      </c>
    </row>
    <row r="1207" spans="1:6" x14ac:dyDescent="0.2">
      <c r="A1207">
        <v>129</v>
      </c>
      <c r="B1207">
        <v>3693892</v>
      </c>
      <c r="C1207">
        <v>21883</v>
      </c>
      <c r="F1207">
        <v>1324</v>
      </c>
    </row>
    <row r="1208" spans="1:6" x14ac:dyDescent="0.2">
      <c r="A1208">
        <v>129</v>
      </c>
      <c r="B1208">
        <v>3693893</v>
      </c>
      <c r="C1208">
        <v>21883</v>
      </c>
      <c r="F1208">
        <v>1316</v>
      </c>
    </row>
    <row r="1209" spans="1:6" x14ac:dyDescent="0.2">
      <c r="A1209">
        <v>129</v>
      </c>
      <c r="B1209">
        <v>3693894</v>
      </c>
      <c r="C1209">
        <v>21883</v>
      </c>
      <c r="F1209">
        <v>1323</v>
      </c>
    </row>
    <row r="1210" spans="1:6" x14ac:dyDescent="0.2">
      <c r="A1210">
        <v>129</v>
      </c>
      <c r="B1210">
        <v>3693895</v>
      </c>
      <c r="C1210">
        <v>21883</v>
      </c>
      <c r="F1210">
        <v>1313</v>
      </c>
    </row>
    <row r="1211" spans="1:6" x14ac:dyDescent="0.2">
      <c r="A1211">
        <v>129</v>
      </c>
      <c r="B1211">
        <v>3693896</v>
      </c>
      <c r="C1211">
        <v>21883</v>
      </c>
      <c r="F1211">
        <v>1322</v>
      </c>
    </row>
    <row r="1212" spans="1:6" x14ac:dyDescent="0.2">
      <c r="A1212">
        <v>129</v>
      </c>
      <c r="B1212">
        <v>3693897</v>
      </c>
      <c r="C1212">
        <v>21883</v>
      </c>
      <c r="F1212">
        <v>1321</v>
      </c>
    </row>
    <row r="1213" spans="1:6" x14ac:dyDescent="0.2">
      <c r="A1213">
        <v>129</v>
      </c>
      <c r="B1213">
        <v>3693898</v>
      </c>
      <c r="C1213">
        <v>21883</v>
      </c>
      <c r="F1213">
        <v>1319</v>
      </c>
    </row>
    <row r="1214" spans="1:6" x14ac:dyDescent="0.2">
      <c r="A1214">
        <v>129</v>
      </c>
      <c r="B1214">
        <v>3693899</v>
      </c>
      <c r="C1214">
        <v>21883</v>
      </c>
      <c r="F1214">
        <v>1318</v>
      </c>
    </row>
    <row r="1215" spans="1:6" x14ac:dyDescent="0.2">
      <c r="A1215">
        <v>129</v>
      </c>
      <c r="B1215">
        <v>3693900</v>
      </c>
      <c r="C1215">
        <v>21883</v>
      </c>
      <c r="F1215">
        <v>1317</v>
      </c>
    </row>
    <row r="1216" spans="1:6" x14ac:dyDescent="0.2">
      <c r="A1216">
        <v>129</v>
      </c>
      <c r="B1216">
        <v>3693901</v>
      </c>
      <c r="C1216">
        <v>21883</v>
      </c>
      <c r="F1216">
        <v>1315</v>
      </c>
    </row>
    <row r="1217" spans="1:6" x14ac:dyDescent="0.2">
      <c r="A1217">
        <v>129</v>
      </c>
      <c r="B1217">
        <v>3693902</v>
      </c>
      <c r="C1217">
        <v>21883</v>
      </c>
      <c r="F1217">
        <v>1314</v>
      </c>
    </row>
    <row r="1218" spans="1:6" x14ac:dyDescent="0.2">
      <c r="A1218">
        <v>129</v>
      </c>
      <c r="B1218">
        <v>3693903</v>
      </c>
      <c r="C1218">
        <v>21883</v>
      </c>
      <c r="F1218">
        <v>1312</v>
      </c>
    </row>
    <row r="1219" spans="1:6" x14ac:dyDescent="0.2">
      <c r="A1219">
        <v>129</v>
      </c>
      <c r="B1219">
        <v>3693904</v>
      </c>
      <c r="C1219">
        <v>21883</v>
      </c>
      <c r="F1219">
        <v>1157</v>
      </c>
    </row>
    <row r="1220" spans="1:6" x14ac:dyDescent="0.2">
      <c r="A1220">
        <v>129</v>
      </c>
      <c r="B1220">
        <v>3693905</v>
      </c>
      <c r="C1220">
        <v>21883</v>
      </c>
      <c r="F1220">
        <v>1325</v>
      </c>
    </row>
    <row r="1221" spans="1:6" x14ac:dyDescent="0.2">
      <c r="A1221">
        <v>129</v>
      </c>
      <c r="B1221">
        <v>3693906</v>
      </c>
      <c r="C1221">
        <v>21883</v>
      </c>
      <c r="F1221">
        <v>1335</v>
      </c>
    </row>
    <row r="1222" spans="1:6" x14ac:dyDescent="0.2">
      <c r="A1222">
        <v>129</v>
      </c>
      <c r="B1222">
        <v>3693907</v>
      </c>
      <c r="C1222">
        <v>21883</v>
      </c>
      <c r="F1222">
        <v>1339</v>
      </c>
    </row>
    <row r="1223" spans="1:6" x14ac:dyDescent="0.2">
      <c r="A1223">
        <v>129</v>
      </c>
      <c r="B1223">
        <v>3693908</v>
      </c>
      <c r="C1223">
        <v>21883</v>
      </c>
      <c r="F1223">
        <v>1331</v>
      </c>
    </row>
    <row r="1224" spans="1:6" x14ac:dyDescent="0.2">
      <c r="A1224">
        <v>129</v>
      </c>
      <c r="B1224">
        <v>3693909</v>
      </c>
      <c r="C1224">
        <v>21883</v>
      </c>
      <c r="F1224">
        <v>1338</v>
      </c>
    </row>
    <row r="1225" spans="1:6" x14ac:dyDescent="0.2">
      <c r="A1225">
        <v>129</v>
      </c>
      <c r="B1225">
        <v>3693910</v>
      </c>
      <c r="C1225">
        <v>21883</v>
      </c>
      <c r="F1225">
        <v>1328</v>
      </c>
    </row>
    <row r="1226" spans="1:6" x14ac:dyDescent="0.2">
      <c r="A1226">
        <v>129</v>
      </c>
      <c r="B1226">
        <v>3693911</v>
      </c>
      <c r="C1226">
        <v>21883</v>
      </c>
      <c r="F1226">
        <v>1337</v>
      </c>
    </row>
    <row r="1227" spans="1:6" x14ac:dyDescent="0.2">
      <c r="A1227">
        <v>129</v>
      </c>
      <c r="B1227">
        <v>3693912</v>
      </c>
      <c r="C1227">
        <v>21883</v>
      </c>
      <c r="F1227">
        <v>1336</v>
      </c>
    </row>
    <row r="1228" spans="1:6" x14ac:dyDescent="0.2">
      <c r="A1228">
        <v>129</v>
      </c>
      <c r="B1228">
        <v>3693913</v>
      </c>
      <c r="C1228">
        <v>21883</v>
      </c>
      <c r="F1228">
        <v>1334</v>
      </c>
    </row>
    <row r="1229" spans="1:6" x14ac:dyDescent="0.2">
      <c r="A1229">
        <v>129</v>
      </c>
      <c r="B1229">
        <v>3693914</v>
      </c>
      <c r="C1229">
        <v>21883</v>
      </c>
      <c r="F1229">
        <v>1333</v>
      </c>
    </row>
    <row r="1230" spans="1:6" x14ac:dyDescent="0.2">
      <c r="A1230">
        <v>129</v>
      </c>
      <c r="B1230">
        <v>3693915</v>
      </c>
      <c r="C1230">
        <v>21883</v>
      </c>
      <c r="F1230">
        <v>1332</v>
      </c>
    </row>
    <row r="1231" spans="1:6" x14ac:dyDescent="0.2">
      <c r="A1231">
        <v>129</v>
      </c>
      <c r="B1231">
        <v>3693916</v>
      </c>
      <c r="C1231">
        <v>21883</v>
      </c>
      <c r="F1231">
        <v>1330</v>
      </c>
    </row>
    <row r="1232" spans="1:6" x14ac:dyDescent="0.2">
      <c r="A1232">
        <v>129</v>
      </c>
      <c r="B1232">
        <v>3693917</v>
      </c>
      <c r="C1232">
        <v>21883</v>
      </c>
      <c r="F1232">
        <v>1329</v>
      </c>
    </row>
    <row r="1233" spans="1:6" x14ac:dyDescent="0.2">
      <c r="A1233">
        <v>129</v>
      </c>
      <c r="B1233">
        <v>3693918</v>
      </c>
      <c r="C1233">
        <v>21883</v>
      </c>
      <c r="F1233">
        <v>1327</v>
      </c>
    </row>
    <row r="1234" spans="1:6" x14ac:dyDescent="0.2">
      <c r="A1234">
        <v>129</v>
      </c>
      <c r="B1234">
        <v>3693919</v>
      </c>
      <c r="C1234">
        <v>21883</v>
      </c>
      <c r="F1234">
        <v>1145</v>
      </c>
    </row>
    <row r="1235" spans="1:6" x14ac:dyDescent="0.2">
      <c r="A1235">
        <v>129</v>
      </c>
      <c r="B1235">
        <v>3693920</v>
      </c>
      <c r="C1235">
        <v>21883</v>
      </c>
      <c r="F1235">
        <v>1340</v>
      </c>
    </row>
    <row r="1236" spans="1:6" x14ac:dyDescent="0.2">
      <c r="A1236">
        <v>129</v>
      </c>
      <c r="B1236">
        <v>3693921</v>
      </c>
      <c r="C1236">
        <v>21883</v>
      </c>
      <c r="F1236">
        <v>1350</v>
      </c>
    </row>
    <row r="1237" spans="1:6" x14ac:dyDescent="0.2">
      <c r="A1237">
        <v>129</v>
      </c>
      <c r="B1237">
        <v>3693922</v>
      </c>
      <c r="C1237">
        <v>21883</v>
      </c>
      <c r="F1237">
        <v>1354</v>
      </c>
    </row>
    <row r="1238" spans="1:6" x14ac:dyDescent="0.2">
      <c r="A1238">
        <v>129</v>
      </c>
      <c r="B1238">
        <v>3693923</v>
      </c>
      <c r="C1238">
        <v>21883</v>
      </c>
      <c r="F1238">
        <v>1346</v>
      </c>
    </row>
    <row r="1239" spans="1:6" x14ac:dyDescent="0.2">
      <c r="A1239">
        <v>129</v>
      </c>
      <c r="B1239">
        <v>3693924</v>
      </c>
      <c r="C1239">
        <v>21883</v>
      </c>
      <c r="F1239">
        <v>1353</v>
      </c>
    </row>
    <row r="1240" spans="1:6" x14ac:dyDescent="0.2">
      <c r="A1240">
        <v>129</v>
      </c>
      <c r="B1240">
        <v>3693925</v>
      </c>
      <c r="C1240">
        <v>21883</v>
      </c>
      <c r="F1240">
        <v>1343</v>
      </c>
    </row>
    <row r="1241" spans="1:6" x14ac:dyDescent="0.2">
      <c r="A1241">
        <v>129</v>
      </c>
      <c r="B1241">
        <v>3693926</v>
      </c>
      <c r="C1241">
        <v>21883</v>
      </c>
      <c r="F1241">
        <v>1352</v>
      </c>
    </row>
    <row r="1242" spans="1:6" x14ac:dyDescent="0.2">
      <c r="A1242">
        <v>129</v>
      </c>
      <c r="B1242">
        <v>3693927</v>
      </c>
      <c r="C1242">
        <v>21883</v>
      </c>
      <c r="F1242">
        <v>1351</v>
      </c>
    </row>
    <row r="1243" spans="1:6" x14ac:dyDescent="0.2">
      <c r="A1243">
        <v>129</v>
      </c>
      <c r="B1243">
        <v>3693928</v>
      </c>
      <c r="C1243">
        <v>21883</v>
      </c>
      <c r="F1243">
        <v>1349</v>
      </c>
    </row>
    <row r="1244" spans="1:6" x14ac:dyDescent="0.2">
      <c r="A1244">
        <v>129</v>
      </c>
      <c r="B1244">
        <v>3693929</v>
      </c>
      <c r="C1244">
        <v>21883</v>
      </c>
      <c r="F1244">
        <v>1348</v>
      </c>
    </row>
    <row r="1245" spans="1:6" x14ac:dyDescent="0.2">
      <c r="A1245">
        <v>129</v>
      </c>
      <c r="B1245">
        <v>3693930</v>
      </c>
      <c r="C1245">
        <v>21883</v>
      </c>
      <c r="F1245">
        <v>1347</v>
      </c>
    </row>
    <row r="1246" spans="1:6" x14ac:dyDescent="0.2">
      <c r="A1246">
        <v>129</v>
      </c>
      <c r="B1246">
        <v>3693931</v>
      </c>
      <c r="C1246">
        <v>21883</v>
      </c>
      <c r="F1246">
        <v>1345</v>
      </c>
    </row>
    <row r="1247" spans="1:6" x14ac:dyDescent="0.2">
      <c r="A1247">
        <v>129</v>
      </c>
      <c r="B1247">
        <v>3693932</v>
      </c>
      <c r="C1247">
        <v>21883</v>
      </c>
      <c r="F1247">
        <v>1344</v>
      </c>
    </row>
    <row r="1248" spans="1:6" x14ac:dyDescent="0.2">
      <c r="A1248">
        <v>129</v>
      </c>
      <c r="B1248">
        <v>3693933</v>
      </c>
      <c r="C1248">
        <v>21883</v>
      </c>
      <c r="F1248">
        <v>1342</v>
      </c>
    </row>
    <row r="1249" spans="1:6" x14ac:dyDescent="0.2">
      <c r="A1249">
        <v>129</v>
      </c>
      <c r="B1249">
        <v>3693934</v>
      </c>
      <c r="C1249">
        <v>21883</v>
      </c>
      <c r="F1249">
        <v>1144</v>
      </c>
    </row>
    <row r="1250" spans="1:6" x14ac:dyDescent="0.2">
      <c r="A1250">
        <v>129</v>
      </c>
      <c r="B1250">
        <v>3693935</v>
      </c>
      <c r="C1250">
        <v>21883</v>
      </c>
      <c r="F1250">
        <v>1355</v>
      </c>
    </row>
    <row r="1251" spans="1:6" x14ac:dyDescent="0.2">
      <c r="A1251">
        <v>129</v>
      </c>
      <c r="B1251">
        <v>3693936</v>
      </c>
      <c r="C1251">
        <v>21883</v>
      </c>
      <c r="F1251">
        <v>1365</v>
      </c>
    </row>
    <row r="1252" spans="1:6" x14ac:dyDescent="0.2">
      <c r="A1252">
        <v>129</v>
      </c>
      <c r="B1252">
        <v>3693937</v>
      </c>
      <c r="C1252">
        <v>21883</v>
      </c>
      <c r="F1252">
        <v>1369</v>
      </c>
    </row>
    <row r="1253" spans="1:6" x14ac:dyDescent="0.2">
      <c r="A1253">
        <v>129</v>
      </c>
      <c r="B1253">
        <v>3693938</v>
      </c>
      <c r="C1253">
        <v>21883</v>
      </c>
      <c r="F1253">
        <v>1361</v>
      </c>
    </row>
    <row r="1254" spans="1:6" x14ac:dyDescent="0.2">
      <c r="A1254">
        <v>129</v>
      </c>
      <c r="B1254">
        <v>3693939</v>
      </c>
      <c r="C1254">
        <v>21883</v>
      </c>
      <c r="F1254">
        <v>1368</v>
      </c>
    </row>
    <row r="1255" spans="1:6" x14ac:dyDescent="0.2">
      <c r="A1255">
        <v>129</v>
      </c>
      <c r="B1255">
        <v>3693940</v>
      </c>
      <c r="C1255">
        <v>21883</v>
      </c>
      <c r="F1255">
        <v>1358</v>
      </c>
    </row>
    <row r="1256" spans="1:6" x14ac:dyDescent="0.2">
      <c r="A1256">
        <v>129</v>
      </c>
      <c r="B1256">
        <v>3693941</v>
      </c>
      <c r="C1256">
        <v>21883</v>
      </c>
      <c r="F1256">
        <v>1367</v>
      </c>
    </row>
    <row r="1257" spans="1:6" x14ac:dyDescent="0.2">
      <c r="A1257">
        <v>129</v>
      </c>
      <c r="B1257">
        <v>3693942</v>
      </c>
      <c r="C1257">
        <v>21883</v>
      </c>
      <c r="F1257">
        <v>1366</v>
      </c>
    </row>
    <row r="1258" spans="1:6" x14ac:dyDescent="0.2">
      <c r="A1258">
        <v>129</v>
      </c>
      <c r="B1258">
        <v>3693943</v>
      </c>
      <c r="C1258">
        <v>21883</v>
      </c>
      <c r="F1258">
        <v>1364</v>
      </c>
    </row>
    <row r="1259" spans="1:6" x14ac:dyDescent="0.2">
      <c r="A1259">
        <v>129</v>
      </c>
      <c r="B1259">
        <v>3693944</v>
      </c>
      <c r="C1259">
        <v>21883</v>
      </c>
      <c r="F1259">
        <v>1363</v>
      </c>
    </row>
    <row r="1260" spans="1:6" x14ac:dyDescent="0.2">
      <c r="A1260">
        <v>129</v>
      </c>
      <c r="B1260">
        <v>3693945</v>
      </c>
      <c r="C1260">
        <v>21883</v>
      </c>
      <c r="F1260">
        <v>1362</v>
      </c>
    </row>
    <row r="1261" spans="1:6" x14ac:dyDescent="0.2">
      <c r="A1261">
        <v>129</v>
      </c>
      <c r="B1261">
        <v>3693946</v>
      </c>
      <c r="C1261">
        <v>21883</v>
      </c>
      <c r="F1261">
        <v>1360</v>
      </c>
    </row>
    <row r="1262" spans="1:6" x14ac:dyDescent="0.2">
      <c r="A1262">
        <v>129</v>
      </c>
      <c r="B1262">
        <v>3693947</v>
      </c>
      <c r="C1262">
        <v>21883</v>
      </c>
      <c r="F1262">
        <v>1359</v>
      </c>
    </row>
    <row r="1263" spans="1:6" x14ac:dyDescent="0.2">
      <c r="A1263">
        <v>129</v>
      </c>
      <c r="B1263">
        <v>3693948</v>
      </c>
      <c r="C1263">
        <v>21883</v>
      </c>
      <c r="F1263">
        <v>1357</v>
      </c>
    </row>
    <row r="1264" spans="1:6" x14ac:dyDescent="0.2">
      <c r="A1264">
        <v>129</v>
      </c>
      <c r="B1264">
        <v>3693949</v>
      </c>
      <c r="C1264">
        <v>21883</v>
      </c>
      <c r="F1264">
        <v>1153</v>
      </c>
    </row>
    <row r="1265" spans="1:6" x14ac:dyDescent="0.2">
      <c r="A1265">
        <v>129</v>
      </c>
      <c r="B1265">
        <v>3693950</v>
      </c>
      <c r="C1265">
        <v>21883</v>
      </c>
      <c r="F1265">
        <v>1385</v>
      </c>
    </row>
    <row r="1266" spans="1:6" x14ac:dyDescent="0.2">
      <c r="A1266">
        <v>129</v>
      </c>
      <c r="B1266">
        <v>3693951</v>
      </c>
      <c r="C1266">
        <v>21883</v>
      </c>
      <c r="F1266">
        <v>1378</v>
      </c>
    </row>
    <row r="1267" spans="1:6" x14ac:dyDescent="0.2">
      <c r="A1267">
        <v>129</v>
      </c>
      <c r="B1267">
        <v>3693952</v>
      </c>
      <c r="C1267">
        <v>21883</v>
      </c>
      <c r="F1267">
        <v>1384</v>
      </c>
    </row>
    <row r="1268" spans="1:6" x14ac:dyDescent="0.2">
      <c r="A1268">
        <v>129</v>
      </c>
      <c r="B1268">
        <v>3693953</v>
      </c>
      <c r="C1268">
        <v>21883</v>
      </c>
      <c r="F1268">
        <v>1374</v>
      </c>
    </row>
    <row r="1269" spans="1:6" x14ac:dyDescent="0.2">
      <c r="A1269">
        <v>129</v>
      </c>
      <c r="B1269">
        <v>3693954</v>
      </c>
      <c r="C1269">
        <v>21883</v>
      </c>
      <c r="F1269">
        <v>1383</v>
      </c>
    </row>
    <row r="1270" spans="1:6" x14ac:dyDescent="0.2">
      <c r="A1270">
        <v>129</v>
      </c>
      <c r="B1270">
        <v>3693955</v>
      </c>
      <c r="C1270">
        <v>21883</v>
      </c>
      <c r="F1270">
        <v>1380</v>
      </c>
    </row>
    <row r="1271" spans="1:6" x14ac:dyDescent="0.2">
      <c r="A1271">
        <v>129</v>
      </c>
      <c r="B1271">
        <v>3693956</v>
      </c>
      <c r="C1271">
        <v>21883</v>
      </c>
      <c r="F1271">
        <v>1382</v>
      </c>
    </row>
    <row r="1272" spans="1:6" x14ac:dyDescent="0.2">
      <c r="A1272">
        <v>129</v>
      </c>
      <c r="B1272">
        <v>3693957</v>
      </c>
      <c r="C1272">
        <v>21883</v>
      </c>
      <c r="F1272">
        <v>1381</v>
      </c>
    </row>
    <row r="1273" spans="1:6" x14ac:dyDescent="0.2">
      <c r="A1273">
        <v>129</v>
      </c>
      <c r="B1273">
        <v>3693958</v>
      </c>
      <c r="C1273">
        <v>21883</v>
      </c>
      <c r="F1273">
        <v>1379</v>
      </c>
    </row>
    <row r="1274" spans="1:6" x14ac:dyDescent="0.2">
      <c r="A1274">
        <v>129</v>
      </c>
      <c r="B1274">
        <v>3693959</v>
      </c>
      <c r="C1274">
        <v>21883</v>
      </c>
      <c r="F1274">
        <v>1147</v>
      </c>
    </row>
    <row r="1275" spans="1:6" x14ac:dyDescent="0.2">
      <c r="A1275">
        <v>129</v>
      </c>
      <c r="B1275">
        <v>3693960</v>
      </c>
      <c r="C1275">
        <v>21883</v>
      </c>
      <c r="F1275">
        <v>1377</v>
      </c>
    </row>
    <row r="1276" spans="1:6" x14ac:dyDescent="0.2">
      <c r="A1276">
        <v>129</v>
      </c>
      <c r="B1276">
        <v>3693961</v>
      </c>
      <c r="C1276">
        <v>21883</v>
      </c>
      <c r="F1276">
        <v>1376</v>
      </c>
    </row>
    <row r="1277" spans="1:6" x14ac:dyDescent="0.2">
      <c r="A1277">
        <v>129</v>
      </c>
      <c r="B1277">
        <v>3693962</v>
      </c>
      <c r="C1277">
        <v>21883</v>
      </c>
      <c r="F1277">
        <v>1375</v>
      </c>
    </row>
    <row r="1278" spans="1:6" x14ac:dyDescent="0.2">
      <c r="A1278">
        <v>129</v>
      </c>
      <c r="B1278">
        <v>3693963</v>
      </c>
      <c r="C1278">
        <v>21883</v>
      </c>
      <c r="F1278">
        <v>1373</v>
      </c>
    </row>
    <row r="1279" spans="1:6" x14ac:dyDescent="0.2">
      <c r="A1279">
        <v>129</v>
      </c>
      <c r="B1279">
        <v>3693964</v>
      </c>
      <c r="C1279">
        <v>21883</v>
      </c>
      <c r="F1279">
        <v>1372</v>
      </c>
    </row>
    <row r="1280" spans="1:6" x14ac:dyDescent="0.2">
      <c r="A1280">
        <v>129</v>
      </c>
      <c r="B1280">
        <v>3693965</v>
      </c>
      <c r="C1280">
        <v>21883</v>
      </c>
      <c r="F1280">
        <v>1370</v>
      </c>
    </row>
    <row r="1281" spans="1:6" x14ac:dyDescent="0.2">
      <c r="A1281">
        <v>129</v>
      </c>
      <c r="B1281">
        <v>3693966</v>
      </c>
      <c r="C1281">
        <v>21883</v>
      </c>
      <c r="F1281">
        <v>1391</v>
      </c>
    </row>
    <row r="1282" spans="1:6" x14ac:dyDescent="0.2">
      <c r="A1282">
        <v>129</v>
      </c>
      <c r="B1282">
        <v>3693967</v>
      </c>
      <c r="C1282">
        <v>21883</v>
      </c>
      <c r="F1282">
        <v>1400</v>
      </c>
    </row>
    <row r="1283" spans="1:6" x14ac:dyDescent="0.2">
      <c r="A1283">
        <v>129</v>
      </c>
      <c r="B1283">
        <v>3693968</v>
      </c>
      <c r="C1283">
        <v>21883</v>
      </c>
      <c r="F1283">
        <v>1394</v>
      </c>
    </row>
    <row r="1284" spans="1:6" x14ac:dyDescent="0.2">
      <c r="A1284">
        <v>129</v>
      </c>
      <c r="B1284">
        <v>3693969</v>
      </c>
      <c r="C1284">
        <v>21883</v>
      </c>
      <c r="F1284">
        <v>1399</v>
      </c>
    </row>
    <row r="1285" spans="1:6" x14ac:dyDescent="0.2">
      <c r="A1285">
        <v>129</v>
      </c>
      <c r="B1285">
        <v>3693970</v>
      </c>
      <c r="C1285">
        <v>21883</v>
      </c>
      <c r="F1285">
        <v>1396</v>
      </c>
    </row>
    <row r="1286" spans="1:6" x14ac:dyDescent="0.2">
      <c r="A1286">
        <v>129</v>
      </c>
      <c r="B1286">
        <v>3693971</v>
      </c>
      <c r="C1286">
        <v>21883</v>
      </c>
      <c r="F1286">
        <v>1398</v>
      </c>
    </row>
    <row r="1287" spans="1:6" x14ac:dyDescent="0.2">
      <c r="A1287">
        <v>129</v>
      </c>
      <c r="B1287">
        <v>3693972</v>
      </c>
      <c r="C1287">
        <v>21883</v>
      </c>
      <c r="F1287">
        <v>1397</v>
      </c>
    </row>
    <row r="1288" spans="1:6" x14ac:dyDescent="0.2">
      <c r="A1288">
        <v>129</v>
      </c>
      <c r="B1288">
        <v>3693973</v>
      </c>
      <c r="C1288">
        <v>21883</v>
      </c>
      <c r="F1288">
        <v>1395</v>
      </c>
    </row>
    <row r="1289" spans="1:6" x14ac:dyDescent="0.2">
      <c r="A1289">
        <v>129</v>
      </c>
      <c r="B1289">
        <v>3693974</v>
      </c>
      <c r="C1289">
        <v>21883</v>
      </c>
      <c r="F1289">
        <v>1152</v>
      </c>
    </row>
    <row r="1290" spans="1:6" x14ac:dyDescent="0.2">
      <c r="A1290">
        <v>129</v>
      </c>
      <c r="B1290">
        <v>3693975</v>
      </c>
      <c r="C1290">
        <v>21883</v>
      </c>
      <c r="F1290">
        <v>1393</v>
      </c>
    </row>
    <row r="1291" spans="1:6" x14ac:dyDescent="0.2">
      <c r="A1291">
        <v>129</v>
      </c>
      <c r="B1291">
        <v>3693976</v>
      </c>
      <c r="C1291">
        <v>21883</v>
      </c>
      <c r="F1291">
        <v>1392</v>
      </c>
    </row>
    <row r="1292" spans="1:6" x14ac:dyDescent="0.2">
      <c r="A1292">
        <v>129</v>
      </c>
      <c r="B1292">
        <v>3693977</v>
      </c>
      <c r="C1292">
        <v>21883</v>
      </c>
      <c r="F1292">
        <v>1390</v>
      </c>
    </row>
    <row r="1293" spans="1:6" x14ac:dyDescent="0.2">
      <c r="A1293">
        <v>129</v>
      </c>
      <c r="B1293">
        <v>3693978</v>
      </c>
      <c r="C1293">
        <v>21883</v>
      </c>
      <c r="F1293">
        <v>1389</v>
      </c>
    </row>
    <row r="1294" spans="1:6" x14ac:dyDescent="0.2">
      <c r="A1294">
        <v>129</v>
      </c>
      <c r="B1294">
        <v>3693979</v>
      </c>
      <c r="C1294">
        <v>21883</v>
      </c>
      <c r="F1294">
        <v>1388</v>
      </c>
    </row>
    <row r="1295" spans="1:6" x14ac:dyDescent="0.2">
      <c r="A1295">
        <v>129</v>
      </c>
      <c r="B1295">
        <v>3693980</v>
      </c>
      <c r="C1295">
        <v>21883</v>
      </c>
      <c r="F1295">
        <v>1386</v>
      </c>
    </row>
    <row r="1296" spans="1:6" x14ac:dyDescent="0.2">
      <c r="A1296">
        <v>129</v>
      </c>
      <c r="B1296">
        <v>3693981</v>
      </c>
      <c r="C1296">
        <v>21883</v>
      </c>
      <c r="F1296">
        <v>1408</v>
      </c>
    </row>
    <row r="1297" spans="1:6" x14ac:dyDescent="0.2">
      <c r="A1297">
        <v>129</v>
      </c>
      <c r="B1297">
        <v>3693982</v>
      </c>
      <c r="C1297">
        <v>21883</v>
      </c>
      <c r="F1297">
        <v>1414</v>
      </c>
    </row>
    <row r="1298" spans="1:6" x14ac:dyDescent="0.2">
      <c r="A1298">
        <v>129</v>
      </c>
      <c r="B1298">
        <v>3693983</v>
      </c>
      <c r="C1298">
        <v>21883</v>
      </c>
      <c r="F1298">
        <v>1404</v>
      </c>
    </row>
    <row r="1299" spans="1:6" x14ac:dyDescent="0.2">
      <c r="A1299">
        <v>129</v>
      </c>
      <c r="B1299">
        <v>3693984</v>
      </c>
      <c r="C1299">
        <v>21883</v>
      </c>
      <c r="F1299">
        <v>1413</v>
      </c>
    </row>
    <row r="1300" spans="1:6" x14ac:dyDescent="0.2">
      <c r="A1300">
        <v>129</v>
      </c>
      <c r="B1300">
        <v>3693985</v>
      </c>
      <c r="C1300">
        <v>21883</v>
      </c>
      <c r="F1300">
        <v>1410</v>
      </c>
    </row>
    <row r="1301" spans="1:6" x14ac:dyDescent="0.2">
      <c r="A1301">
        <v>129</v>
      </c>
      <c r="B1301">
        <v>3693986</v>
      </c>
      <c r="C1301">
        <v>21883</v>
      </c>
      <c r="F1301">
        <v>1412</v>
      </c>
    </row>
    <row r="1302" spans="1:6" x14ac:dyDescent="0.2">
      <c r="A1302">
        <v>129</v>
      </c>
      <c r="B1302">
        <v>3693987</v>
      </c>
      <c r="C1302">
        <v>21883</v>
      </c>
      <c r="F1302">
        <v>1411</v>
      </c>
    </row>
    <row r="1303" spans="1:6" x14ac:dyDescent="0.2">
      <c r="A1303">
        <v>129</v>
      </c>
      <c r="B1303">
        <v>3693988</v>
      </c>
      <c r="C1303">
        <v>21883</v>
      </c>
      <c r="F1303">
        <v>1409</v>
      </c>
    </row>
    <row r="1304" spans="1:6" x14ac:dyDescent="0.2">
      <c r="A1304">
        <v>129</v>
      </c>
      <c r="B1304">
        <v>3693989</v>
      </c>
      <c r="C1304">
        <v>21883</v>
      </c>
      <c r="F1304">
        <v>1156</v>
      </c>
    </row>
    <row r="1305" spans="1:6" x14ac:dyDescent="0.2">
      <c r="A1305">
        <v>129</v>
      </c>
      <c r="B1305">
        <v>3693990</v>
      </c>
      <c r="C1305">
        <v>21883</v>
      </c>
      <c r="F1305">
        <v>1407</v>
      </c>
    </row>
    <row r="1306" spans="1:6" x14ac:dyDescent="0.2">
      <c r="A1306">
        <v>129</v>
      </c>
      <c r="B1306">
        <v>3693991</v>
      </c>
      <c r="C1306">
        <v>21883</v>
      </c>
      <c r="F1306">
        <v>1406</v>
      </c>
    </row>
    <row r="1307" spans="1:6" x14ac:dyDescent="0.2">
      <c r="A1307">
        <v>129</v>
      </c>
      <c r="B1307">
        <v>3693992</v>
      </c>
      <c r="C1307">
        <v>21883</v>
      </c>
      <c r="F1307">
        <v>1405</v>
      </c>
    </row>
    <row r="1308" spans="1:6" x14ac:dyDescent="0.2">
      <c r="A1308">
        <v>129</v>
      </c>
      <c r="B1308">
        <v>3693993</v>
      </c>
      <c r="C1308">
        <v>21883</v>
      </c>
      <c r="F1308">
        <v>1403</v>
      </c>
    </row>
    <row r="1309" spans="1:6" x14ac:dyDescent="0.2">
      <c r="A1309">
        <v>129</v>
      </c>
      <c r="B1309">
        <v>3693994</v>
      </c>
      <c r="C1309">
        <v>21883</v>
      </c>
      <c r="F1309">
        <v>1402</v>
      </c>
    </row>
    <row r="1310" spans="1:6" x14ac:dyDescent="0.2">
      <c r="A1310">
        <v>129</v>
      </c>
      <c r="B1310">
        <v>3693995</v>
      </c>
      <c r="C1310">
        <v>21883</v>
      </c>
      <c r="F1310">
        <v>1426</v>
      </c>
    </row>
    <row r="1311" spans="1:6" x14ac:dyDescent="0.2">
      <c r="A1311">
        <v>129</v>
      </c>
      <c r="B1311">
        <v>3693996</v>
      </c>
      <c r="C1311">
        <v>21883</v>
      </c>
      <c r="F1311">
        <v>1142</v>
      </c>
    </row>
    <row r="1312" spans="1:6" x14ac:dyDescent="0.2">
      <c r="A1312">
        <v>129</v>
      </c>
      <c r="B1312">
        <v>3693997</v>
      </c>
      <c r="C1312">
        <v>21883</v>
      </c>
      <c r="F1312">
        <v>1185</v>
      </c>
    </row>
    <row r="1313" spans="1:6" x14ac:dyDescent="0.2">
      <c r="A1313">
        <v>129</v>
      </c>
      <c r="B1313">
        <v>3693998</v>
      </c>
      <c r="C1313">
        <v>21883</v>
      </c>
      <c r="F1313">
        <v>1173</v>
      </c>
    </row>
    <row r="1314" spans="1:6" x14ac:dyDescent="0.2">
      <c r="A1314">
        <v>129</v>
      </c>
      <c r="B1314">
        <v>3693999</v>
      </c>
      <c r="C1314">
        <v>21883</v>
      </c>
      <c r="F1314">
        <v>1161</v>
      </c>
    </row>
    <row r="1315" spans="1:6" x14ac:dyDescent="0.2">
      <c r="A1315">
        <v>129</v>
      </c>
      <c r="B1315">
        <v>3694000</v>
      </c>
      <c r="C1315">
        <v>21883</v>
      </c>
      <c r="F1315">
        <v>1116</v>
      </c>
    </row>
    <row r="1316" spans="1:6" x14ac:dyDescent="0.2">
      <c r="A1316">
        <v>129</v>
      </c>
      <c r="B1316">
        <v>3694001</v>
      </c>
      <c r="C1316">
        <v>21883</v>
      </c>
      <c r="F1316">
        <v>1115</v>
      </c>
    </row>
    <row r="1317" spans="1:6" x14ac:dyDescent="0.2">
      <c r="A1317">
        <v>129</v>
      </c>
      <c r="B1317">
        <v>3694002</v>
      </c>
      <c r="C1317">
        <v>21883</v>
      </c>
      <c r="F1317">
        <v>1114</v>
      </c>
    </row>
    <row r="1318" spans="1:6" x14ac:dyDescent="0.2">
      <c r="A1318">
        <v>129</v>
      </c>
      <c r="B1318">
        <v>3694003</v>
      </c>
      <c r="C1318">
        <v>21883</v>
      </c>
      <c r="F1318">
        <v>1113</v>
      </c>
    </row>
    <row r="1319" spans="1:6" x14ac:dyDescent="0.2">
      <c r="A1319">
        <v>129</v>
      </c>
      <c r="B1319">
        <v>3694004</v>
      </c>
      <c r="C1319">
        <v>21883</v>
      </c>
      <c r="F1319">
        <v>1108</v>
      </c>
    </row>
    <row r="1320" spans="1:6" x14ac:dyDescent="0.2">
      <c r="A1320">
        <v>129</v>
      </c>
      <c r="B1320">
        <v>3694005</v>
      </c>
      <c r="C1320">
        <v>21883</v>
      </c>
      <c r="F1320">
        <v>1112</v>
      </c>
    </row>
    <row r="1321" spans="1:6" x14ac:dyDescent="0.2">
      <c r="A1321">
        <v>129</v>
      </c>
      <c r="B1321">
        <v>3694006</v>
      </c>
      <c r="C1321">
        <v>21883</v>
      </c>
      <c r="F1321">
        <v>1111</v>
      </c>
    </row>
    <row r="1322" spans="1:6" x14ac:dyDescent="0.2">
      <c r="A1322">
        <v>129</v>
      </c>
      <c r="B1322">
        <v>3694007</v>
      </c>
      <c r="C1322">
        <v>21883</v>
      </c>
      <c r="F1322">
        <v>1110</v>
      </c>
    </row>
    <row r="1323" spans="1:6" x14ac:dyDescent="0.2">
      <c r="A1323">
        <v>129</v>
      </c>
      <c r="B1323">
        <v>3694008</v>
      </c>
      <c r="C1323">
        <v>21883</v>
      </c>
      <c r="F1323">
        <v>1109</v>
      </c>
    </row>
    <row r="1324" spans="1:6" x14ac:dyDescent="0.2">
      <c r="A1324">
        <v>129</v>
      </c>
      <c r="B1324">
        <v>3694009</v>
      </c>
      <c r="C1324">
        <v>21883</v>
      </c>
      <c r="F1324">
        <v>1107</v>
      </c>
    </row>
    <row r="1325" spans="1:6" x14ac:dyDescent="0.2">
      <c r="A1325">
        <v>129</v>
      </c>
      <c r="B1325">
        <v>3694010</v>
      </c>
      <c r="C1325">
        <v>21883</v>
      </c>
      <c r="F1325">
        <v>1106</v>
      </c>
    </row>
    <row r="1326" spans="1:6" x14ac:dyDescent="0.2">
      <c r="A1326">
        <v>129</v>
      </c>
      <c r="B1326">
        <v>3694011</v>
      </c>
      <c r="C1326">
        <v>21883</v>
      </c>
      <c r="F1326">
        <v>1425</v>
      </c>
    </row>
    <row r="1327" spans="1:6" x14ac:dyDescent="0.2">
      <c r="A1327">
        <v>129</v>
      </c>
      <c r="B1327">
        <v>3694012</v>
      </c>
      <c r="C1327">
        <v>21883</v>
      </c>
      <c r="F1327">
        <v>1424</v>
      </c>
    </row>
    <row r="1328" spans="1:6" x14ac:dyDescent="0.2">
      <c r="A1328">
        <v>129</v>
      </c>
      <c r="B1328">
        <v>3694013</v>
      </c>
      <c r="C1328">
        <v>21883</v>
      </c>
      <c r="F1328">
        <v>1423</v>
      </c>
    </row>
    <row r="1329" spans="1:6" x14ac:dyDescent="0.2">
      <c r="A1329">
        <v>129</v>
      </c>
      <c r="B1329">
        <v>3694014</v>
      </c>
      <c r="C1329">
        <v>21883</v>
      </c>
      <c r="F1329">
        <v>1422</v>
      </c>
    </row>
    <row r="1330" spans="1:6" x14ac:dyDescent="0.2">
      <c r="A1330">
        <v>129</v>
      </c>
      <c r="B1330">
        <v>3694015</v>
      </c>
      <c r="C1330">
        <v>21883</v>
      </c>
      <c r="F1330">
        <v>1421</v>
      </c>
    </row>
    <row r="1331" spans="1:6" x14ac:dyDescent="0.2">
      <c r="A1331">
        <v>129</v>
      </c>
      <c r="B1331">
        <v>3694016</v>
      </c>
      <c r="C1331">
        <v>21883</v>
      </c>
      <c r="F1331">
        <v>1420</v>
      </c>
    </row>
    <row r="1332" spans="1:6" x14ac:dyDescent="0.2">
      <c r="A1332">
        <v>129</v>
      </c>
      <c r="B1332">
        <v>3694017</v>
      </c>
      <c r="C1332">
        <v>21883</v>
      </c>
      <c r="F1332">
        <v>1419</v>
      </c>
    </row>
    <row r="1333" spans="1:6" x14ac:dyDescent="0.2">
      <c r="A1333">
        <v>129</v>
      </c>
      <c r="B1333">
        <v>3694018</v>
      </c>
      <c r="C1333">
        <v>21883</v>
      </c>
      <c r="F1333">
        <v>1418</v>
      </c>
    </row>
    <row r="1334" spans="1:6" x14ac:dyDescent="0.2">
      <c r="A1334">
        <v>129</v>
      </c>
      <c r="B1334">
        <v>3694019</v>
      </c>
      <c r="C1334">
        <v>21883</v>
      </c>
      <c r="F1334">
        <v>1417</v>
      </c>
    </row>
    <row r="1335" spans="1:6" x14ac:dyDescent="0.2">
      <c r="A1335">
        <v>129</v>
      </c>
      <c r="B1335">
        <v>3694020</v>
      </c>
      <c r="C1335">
        <v>21883</v>
      </c>
      <c r="F1335">
        <v>1416</v>
      </c>
    </row>
    <row r="1336" spans="1:6" x14ac:dyDescent="0.2">
      <c r="A1336">
        <v>129</v>
      </c>
      <c r="B1336">
        <v>3694021</v>
      </c>
      <c r="C1336">
        <v>21883</v>
      </c>
      <c r="F1336">
        <v>1492</v>
      </c>
    </row>
    <row r="1337" spans="1:6" x14ac:dyDescent="0.2">
      <c r="A1337">
        <v>129</v>
      </c>
      <c r="B1337">
        <v>3694022</v>
      </c>
      <c r="C1337">
        <v>21883</v>
      </c>
      <c r="F1337">
        <v>1491</v>
      </c>
    </row>
    <row r="1338" spans="1:6" x14ac:dyDescent="0.2">
      <c r="A1338">
        <v>129</v>
      </c>
      <c r="B1338">
        <v>3694023</v>
      </c>
      <c r="C1338">
        <v>21883</v>
      </c>
      <c r="F1338">
        <v>35</v>
      </c>
    </row>
    <row r="1339" spans="1:6" x14ac:dyDescent="0.2">
      <c r="A1339">
        <v>129</v>
      </c>
      <c r="B1339">
        <v>3694024</v>
      </c>
      <c r="C1339">
        <v>21883</v>
      </c>
      <c r="F1339">
        <v>34</v>
      </c>
    </row>
    <row r="1340" spans="1:6" x14ac:dyDescent="0.2">
      <c r="A1340">
        <v>129</v>
      </c>
      <c r="B1340">
        <v>3694025</v>
      </c>
      <c r="C1340">
        <v>21883</v>
      </c>
      <c r="F1340">
        <v>44</v>
      </c>
    </row>
    <row r="1341" spans="1:6" x14ac:dyDescent="0.2">
      <c r="A1341">
        <v>129</v>
      </c>
      <c r="B1341">
        <v>3694026</v>
      </c>
      <c r="C1341">
        <v>21883</v>
      </c>
      <c r="F1341">
        <v>21</v>
      </c>
    </row>
    <row r="1342" spans="1:6" x14ac:dyDescent="0.2">
      <c r="A1342">
        <v>129</v>
      </c>
      <c r="B1342">
        <v>3694027</v>
      </c>
      <c r="C1342">
        <v>21883</v>
      </c>
      <c r="F1342">
        <v>40</v>
      </c>
    </row>
    <row r="1343" spans="1:6" x14ac:dyDescent="0.2">
      <c r="A1343">
        <v>129</v>
      </c>
      <c r="B1343">
        <v>3694028</v>
      </c>
      <c r="C1343">
        <v>21883</v>
      </c>
      <c r="F1343">
        <v>65</v>
      </c>
    </row>
    <row r="1344" spans="1:6" x14ac:dyDescent="0.2">
      <c r="A1344">
        <v>129</v>
      </c>
      <c r="B1344">
        <v>3694029</v>
      </c>
      <c r="C1344">
        <v>21883</v>
      </c>
      <c r="F1344">
        <v>1490</v>
      </c>
    </row>
    <row r="1345" spans="1:6" x14ac:dyDescent="0.2">
      <c r="A1345">
        <v>129</v>
      </c>
      <c r="B1345">
        <v>3694030</v>
      </c>
      <c r="C1345">
        <v>21883</v>
      </c>
      <c r="F1345">
        <v>1489</v>
      </c>
    </row>
    <row r="1346" spans="1:6" x14ac:dyDescent="0.2">
      <c r="A1346">
        <v>129</v>
      </c>
      <c r="B1346">
        <v>3694031</v>
      </c>
      <c r="C1346">
        <v>21883</v>
      </c>
      <c r="F1346">
        <v>1488</v>
      </c>
    </row>
    <row r="1347" spans="1:6" x14ac:dyDescent="0.2">
      <c r="A1347">
        <v>129</v>
      </c>
      <c r="B1347">
        <v>3694032</v>
      </c>
      <c r="C1347">
        <v>21883</v>
      </c>
      <c r="F1347">
        <v>1480</v>
      </c>
    </row>
    <row r="1348" spans="1:6" x14ac:dyDescent="0.2">
      <c r="A1348">
        <v>129</v>
      </c>
      <c r="B1348">
        <v>3694033</v>
      </c>
      <c r="C1348">
        <v>21883</v>
      </c>
      <c r="F1348">
        <v>1486</v>
      </c>
    </row>
    <row r="1349" spans="1:6" x14ac:dyDescent="0.2">
      <c r="A1349">
        <v>129</v>
      </c>
      <c r="B1349">
        <v>3694034</v>
      </c>
      <c r="C1349">
        <v>21883</v>
      </c>
      <c r="F1349">
        <v>1485</v>
      </c>
    </row>
    <row r="1350" spans="1:6" x14ac:dyDescent="0.2">
      <c r="A1350">
        <v>129</v>
      </c>
      <c r="B1350">
        <v>3694035</v>
      </c>
      <c r="C1350">
        <v>21883</v>
      </c>
      <c r="F1350">
        <v>20</v>
      </c>
    </row>
    <row r="1351" spans="1:6" x14ac:dyDescent="0.2">
      <c r="A1351">
        <v>129</v>
      </c>
      <c r="B1351">
        <v>3694036</v>
      </c>
      <c r="C1351">
        <v>21883</v>
      </c>
      <c r="F1351">
        <v>49</v>
      </c>
    </row>
    <row r="1352" spans="1:6" x14ac:dyDescent="0.2">
      <c r="A1352">
        <v>129</v>
      </c>
      <c r="B1352">
        <v>3694037</v>
      </c>
      <c r="C1352">
        <v>21883</v>
      </c>
      <c r="F1352">
        <v>60</v>
      </c>
    </row>
    <row r="1353" spans="1:6" x14ac:dyDescent="0.2">
      <c r="A1353">
        <v>129</v>
      </c>
      <c r="B1353">
        <v>3694038</v>
      </c>
      <c r="C1353">
        <v>21883</v>
      </c>
      <c r="F1353">
        <v>33</v>
      </c>
    </row>
    <row r="1354" spans="1:6" x14ac:dyDescent="0.2">
      <c r="A1354">
        <v>129</v>
      </c>
      <c r="B1354">
        <v>3694039</v>
      </c>
      <c r="C1354">
        <v>21883</v>
      </c>
      <c r="F1354">
        <v>29</v>
      </c>
    </row>
    <row r="1355" spans="1:6" x14ac:dyDescent="0.2">
      <c r="A1355">
        <v>129</v>
      </c>
      <c r="B1355">
        <v>3694040</v>
      </c>
      <c r="C1355">
        <v>21883</v>
      </c>
      <c r="F1355">
        <v>45</v>
      </c>
    </row>
    <row r="1356" spans="1:6" x14ac:dyDescent="0.2">
      <c r="A1356">
        <v>129</v>
      </c>
      <c r="B1356">
        <v>3694041</v>
      </c>
      <c r="C1356">
        <v>21883</v>
      </c>
      <c r="F1356">
        <v>1484</v>
      </c>
    </row>
    <row r="1357" spans="1:6" x14ac:dyDescent="0.2">
      <c r="A1357">
        <v>129</v>
      </c>
      <c r="B1357">
        <v>3694042</v>
      </c>
      <c r="C1357">
        <v>21883</v>
      </c>
      <c r="F1357">
        <v>1483</v>
      </c>
    </row>
    <row r="1358" spans="1:6" x14ac:dyDescent="0.2">
      <c r="A1358">
        <v>129</v>
      </c>
      <c r="B1358">
        <v>3694043</v>
      </c>
      <c r="C1358">
        <v>21883</v>
      </c>
      <c r="F1358">
        <v>1482</v>
      </c>
    </row>
    <row r="1359" spans="1:6" x14ac:dyDescent="0.2">
      <c r="A1359">
        <v>129</v>
      </c>
      <c r="B1359">
        <v>3694044</v>
      </c>
      <c r="C1359">
        <v>21883</v>
      </c>
      <c r="F1359">
        <v>1479</v>
      </c>
    </row>
    <row r="1360" spans="1:6" x14ac:dyDescent="0.2">
      <c r="A1360">
        <v>129</v>
      </c>
      <c r="B1360">
        <v>3694045</v>
      </c>
      <c r="C1360">
        <v>21883</v>
      </c>
      <c r="F1360">
        <v>460</v>
      </c>
    </row>
    <row r="1361" spans="1:6" x14ac:dyDescent="0.2">
      <c r="A1361">
        <v>129</v>
      </c>
      <c r="B1361">
        <v>3694046</v>
      </c>
      <c r="C1361">
        <v>21883</v>
      </c>
      <c r="F1361">
        <v>473</v>
      </c>
    </row>
    <row r="1362" spans="1:6" x14ac:dyDescent="0.2">
      <c r="A1362">
        <v>129</v>
      </c>
      <c r="B1362">
        <v>3694047</v>
      </c>
      <c r="C1362">
        <v>21883</v>
      </c>
      <c r="F1362">
        <v>485</v>
      </c>
    </row>
    <row r="1363" spans="1:6" x14ac:dyDescent="0.2">
      <c r="A1363">
        <v>129</v>
      </c>
      <c r="B1363">
        <v>3694048</v>
      </c>
      <c r="C1363">
        <v>21883</v>
      </c>
      <c r="F1363">
        <v>881</v>
      </c>
    </row>
    <row r="1364" spans="1:6" x14ac:dyDescent="0.2">
      <c r="A1364">
        <v>129</v>
      </c>
      <c r="B1364">
        <v>3694049</v>
      </c>
      <c r="C1364">
        <v>21883</v>
      </c>
      <c r="F1364">
        <v>893</v>
      </c>
    </row>
    <row r="1365" spans="1:6" x14ac:dyDescent="0.2">
      <c r="A1365">
        <v>129</v>
      </c>
      <c r="B1365">
        <v>3694050</v>
      </c>
      <c r="C1365">
        <v>21883</v>
      </c>
      <c r="F1365">
        <v>905</v>
      </c>
    </row>
    <row r="1366" spans="1:6" x14ac:dyDescent="0.2">
      <c r="A1366">
        <v>129</v>
      </c>
      <c r="B1366">
        <v>3694051</v>
      </c>
      <c r="C1366">
        <v>21883</v>
      </c>
      <c r="F1366">
        <v>1245</v>
      </c>
    </row>
    <row r="1367" spans="1:6" x14ac:dyDescent="0.2">
      <c r="A1367">
        <v>129</v>
      </c>
      <c r="B1367">
        <v>3694052</v>
      </c>
      <c r="C1367">
        <v>21883</v>
      </c>
      <c r="F1367">
        <v>1262</v>
      </c>
    </row>
    <row r="1368" spans="1:6" x14ac:dyDescent="0.2">
      <c r="A1368">
        <v>129</v>
      </c>
      <c r="B1368">
        <v>3694053</v>
      </c>
      <c r="C1368">
        <v>21883</v>
      </c>
      <c r="F1368">
        <v>1279</v>
      </c>
    </row>
    <row r="1369" spans="1:6" x14ac:dyDescent="0.2">
      <c r="A1369">
        <v>129</v>
      </c>
      <c r="B1369">
        <v>3694054</v>
      </c>
      <c r="C1369">
        <v>21883</v>
      </c>
      <c r="F1369">
        <v>746</v>
      </c>
    </row>
    <row r="1370" spans="1:6" x14ac:dyDescent="0.2">
      <c r="A1370">
        <v>129</v>
      </c>
      <c r="B1370">
        <v>3694055</v>
      </c>
      <c r="C1370">
        <v>21883</v>
      </c>
      <c r="F1370">
        <v>333</v>
      </c>
    </row>
    <row r="1371" spans="1:6" x14ac:dyDescent="0.2">
      <c r="A1371">
        <v>129</v>
      </c>
      <c r="B1371">
        <v>3694056</v>
      </c>
      <c r="C1371">
        <v>21883</v>
      </c>
      <c r="F1371">
        <v>352</v>
      </c>
    </row>
    <row r="1372" spans="1:6" x14ac:dyDescent="0.2">
      <c r="A1372">
        <v>129</v>
      </c>
      <c r="B1372">
        <v>3694057</v>
      </c>
      <c r="C1372">
        <v>21883</v>
      </c>
      <c r="F1372">
        <v>393</v>
      </c>
    </row>
    <row r="1373" spans="1:6" x14ac:dyDescent="0.2">
      <c r="A1373">
        <v>129</v>
      </c>
      <c r="B1373">
        <v>3694058</v>
      </c>
      <c r="C1373">
        <v>21883</v>
      </c>
      <c r="F1373">
        <v>78</v>
      </c>
    </row>
    <row r="1374" spans="1:6" x14ac:dyDescent="0.2">
      <c r="A1374">
        <v>129</v>
      </c>
      <c r="B1374">
        <v>3694059</v>
      </c>
      <c r="C1374">
        <v>21883</v>
      </c>
      <c r="F1374">
        <v>296</v>
      </c>
    </row>
    <row r="1375" spans="1:6" x14ac:dyDescent="0.2">
      <c r="A1375">
        <v>129</v>
      </c>
      <c r="B1375">
        <v>3694060</v>
      </c>
      <c r="C1375">
        <v>21883</v>
      </c>
      <c r="F1375">
        <v>68</v>
      </c>
    </row>
    <row r="1376" spans="1:6" x14ac:dyDescent="0.2">
      <c r="A1376">
        <v>129</v>
      </c>
      <c r="B1376">
        <v>3694061</v>
      </c>
      <c r="C1376">
        <v>21883</v>
      </c>
      <c r="F1376">
        <v>214</v>
      </c>
    </row>
    <row r="1377" spans="1:6" x14ac:dyDescent="0.2">
      <c r="A1377">
        <v>129</v>
      </c>
      <c r="B1377">
        <v>3694062</v>
      </c>
      <c r="C1377">
        <v>21883</v>
      </c>
      <c r="F1377">
        <v>37</v>
      </c>
    </row>
    <row r="1378" spans="1:6" x14ac:dyDescent="0.2">
      <c r="A1378">
        <v>129</v>
      </c>
      <c r="B1378">
        <v>3694063</v>
      </c>
      <c r="C1378">
        <v>21883</v>
      </c>
      <c r="F1378">
        <v>350</v>
      </c>
    </row>
    <row r="1379" spans="1:6" x14ac:dyDescent="0.2">
      <c r="A1379">
        <v>129</v>
      </c>
      <c r="B1379">
        <v>3694064</v>
      </c>
      <c r="C1379">
        <v>21883</v>
      </c>
      <c r="F1379">
        <v>186</v>
      </c>
    </row>
    <row r="1380" spans="1:6" x14ac:dyDescent="0.2">
      <c r="A1380">
        <v>129</v>
      </c>
      <c r="B1380">
        <v>3694065</v>
      </c>
      <c r="C1380">
        <v>21883</v>
      </c>
      <c r="F1380">
        <v>185</v>
      </c>
    </row>
    <row r="1381" spans="1:6" x14ac:dyDescent="0.2">
      <c r="A1381">
        <v>129</v>
      </c>
      <c r="B1381">
        <v>3694066</v>
      </c>
      <c r="C1381">
        <v>21883</v>
      </c>
      <c r="F1381">
        <v>264</v>
      </c>
    </row>
    <row r="1382" spans="1:6" x14ac:dyDescent="0.2">
      <c r="A1382">
        <v>129</v>
      </c>
      <c r="B1382">
        <v>3694067</v>
      </c>
      <c r="C1382">
        <v>21883</v>
      </c>
      <c r="F1382">
        <v>331</v>
      </c>
    </row>
    <row r="1383" spans="1:6" x14ac:dyDescent="0.2">
      <c r="A1383">
        <v>129</v>
      </c>
      <c r="B1383">
        <v>3694068</v>
      </c>
      <c r="C1383">
        <v>21883</v>
      </c>
      <c r="F1383">
        <v>330</v>
      </c>
    </row>
    <row r="1384" spans="1:6" x14ac:dyDescent="0.2">
      <c r="A1384">
        <v>129</v>
      </c>
      <c r="B1384">
        <v>3694069</v>
      </c>
      <c r="C1384">
        <v>21883</v>
      </c>
      <c r="F1384">
        <v>696</v>
      </c>
    </row>
    <row r="1385" spans="1:6" x14ac:dyDescent="0.2">
      <c r="A1385">
        <v>129</v>
      </c>
      <c r="B1385">
        <v>3694070</v>
      </c>
      <c r="C1385">
        <v>21883</v>
      </c>
      <c r="F1385">
        <v>695</v>
      </c>
    </row>
    <row r="1386" spans="1:6" x14ac:dyDescent="0.2">
      <c r="A1386">
        <v>129</v>
      </c>
      <c r="B1386">
        <v>3694071</v>
      </c>
      <c r="C1386">
        <v>21883</v>
      </c>
      <c r="F1386">
        <v>717</v>
      </c>
    </row>
    <row r="1387" spans="1:6" x14ac:dyDescent="0.2">
      <c r="A1387">
        <v>129</v>
      </c>
      <c r="B1387">
        <v>3694072</v>
      </c>
      <c r="C1387">
        <v>21883</v>
      </c>
      <c r="F1387">
        <v>726</v>
      </c>
    </row>
    <row r="1388" spans="1:6" x14ac:dyDescent="0.2">
      <c r="A1388">
        <v>129</v>
      </c>
      <c r="B1388">
        <v>3694073</v>
      </c>
      <c r="C1388">
        <v>21883</v>
      </c>
      <c r="F1388">
        <v>743</v>
      </c>
    </row>
    <row r="1389" spans="1:6" x14ac:dyDescent="0.2">
      <c r="A1389">
        <v>129</v>
      </c>
      <c r="B1389">
        <v>3694074</v>
      </c>
      <c r="C1389">
        <v>21883</v>
      </c>
      <c r="F1389">
        <v>719</v>
      </c>
    </row>
    <row r="1390" spans="1:6" x14ac:dyDescent="0.2">
      <c r="A1390">
        <v>129</v>
      </c>
      <c r="B1390">
        <v>3694075</v>
      </c>
      <c r="C1390">
        <v>21883</v>
      </c>
      <c r="F1390">
        <v>760</v>
      </c>
    </row>
    <row r="1391" spans="1:6" x14ac:dyDescent="0.2">
      <c r="A1391">
        <v>129</v>
      </c>
      <c r="B1391">
        <v>3694076</v>
      </c>
      <c r="C1391">
        <v>21883</v>
      </c>
      <c r="F1391">
        <v>718</v>
      </c>
    </row>
    <row r="1392" spans="1:6" x14ac:dyDescent="0.2">
      <c r="A1392">
        <v>129</v>
      </c>
      <c r="B1392">
        <v>3694077</v>
      </c>
      <c r="C1392">
        <v>21883</v>
      </c>
      <c r="F1392">
        <v>375</v>
      </c>
    </row>
    <row r="1393" spans="1:6" x14ac:dyDescent="0.2">
      <c r="A1393">
        <v>129</v>
      </c>
      <c r="B1393">
        <v>3694078</v>
      </c>
      <c r="C1393">
        <v>21883</v>
      </c>
      <c r="F1393">
        <v>374</v>
      </c>
    </row>
    <row r="1394" spans="1:6" x14ac:dyDescent="0.2">
      <c r="A1394">
        <v>129</v>
      </c>
      <c r="B1394">
        <v>3694079</v>
      </c>
      <c r="C1394">
        <v>21883</v>
      </c>
      <c r="F1394">
        <v>372</v>
      </c>
    </row>
    <row r="1395" spans="1:6" x14ac:dyDescent="0.2">
      <c r="A1395">
        <v>129</v>
      </c>
      <c r="B1395">
        <v>3694080</v>
      </c>
      <c r="C1395">
        <v>21883</v>
      </c>
      <c r="F1395">
        <v>371</v>
      </c>
    </row>
    <row r="1396" spans="1:6" x14ac:dyDescent="0.2">
      <c r="A1396">
        <v>129</v>
      </c>
      <c r="B1396">
        <v>3694081</v>
      </c>
      <c r="C1396">
        <v>21883</v>
      </c>
      <c r="F1396">
        <v>370</v>
      </c>
    </row>
    <row r="1397" spans="1:6" x14ac:dyDescent="0.2">
      <c r="A1397">
        <v>129</v>
      </c>
      <c r="B1397">
        <v>3694082</v>
      </c>
      <c r="C1397">
        <v>21883</v>
      </c>
      <c r="F1397">
        <v>759</v>
      </c>
    </row>
    <row r="1398" spans="1:6" x14ac:dyDescent="0.2">
      <c r="A1398">
        <v>129</v>
      </c>
      <c r="B1398">
        <v>3694083</v>
      </c>
      <c r="C1398">
        <v>21883</v>
      </c>
      <c r="F1398">
        <v>693</v>
      </c>
    </row>
    <row r="1399" spans="1:6" x14ac:dyDescent="0.2">
      <c r="A1399">
        <v>129</v>
      </c>
      <c r="B1399">
        <v>3694084</v>
      </c>
      <c r="C1399">
        <v>21883</v>
      </c>
      <c r="F1399">
        <v>349</v>
      </c>
    </row>
    <row r="1400" spans="1:6" x14ac:dyDescent="0.2">
      <c r="A1400">
        <v>129</v>
      </c>
      <c r="B1400">
        <v>3694085</v>
      </c>
      <c r="C1400">
        <v>21883</v>
      </c>
      <c r="F1400">
        <v>691</v>
      </c>
    </row>
    <row r="1401" spans="1:6" x14ac:dyDescent="0.2">
      <c r="A1401">
        <v>129</v>
      </c>
      <c r="B1401">
        <v>3694086</v>
      </c>
      <c r="C1401">
        <v>21883</v>
      </c>
      <c r="F1401">
        <v>329</v>
      </c>
    </row>
    <row r="1402" spans="1:6" x14ac:dyDescent="0.2">
      <c r="A1402">
        <v>129</v>
      </c>
      <c r="B1402">
        <v>3694087</v>
      </c>
      <c r="C1402">
        <v>21883</v>
      </c>
      <c r="F1402">
        <v>348</v>
      </c>
    </row>
    <row r="1403" spans="1:6" x14ac:dyDescent="0.2">
      <c r="A1403">
        <v>129</v>
      </c>
      <c r="B1403">
        <v>3694088</v>
      </c>
      <c r="C1403">
        <v>21883</v>
      </c>
      <c r="F1403">
        <v>347</v>
      </c>
    </row>
    <row r="1404" spans="1:6" x14ac:dyDescent="0.2">
      <c r="A1404">
        <v>129</v>
      </c>
      <c r="B1404">
        <v>3694089</v>
      </c>
      <c r="C1404">
        <v>21883</v>
      </c>
      <c r="F1404">
        <v>2</v>
      </c>
    </row>
    <row r="1405" spans="1:6" x14ac:dyDescent="0.2">
      <c r="A1405">
        <v>129</v>
      </c>
      <c r="B1405">
        <v>3694090</v>
      </c>
      <c r="C1405">
        <v>21883</v>
      </c>
      <c r="F1405">
        <v>363</v>
      </c>
    </row>
    <row r="1406" spans="1:6" x14ac:dyDescent="0.2">
      <c r="A1406">
        <v>129</v>
      </c>
      <c r="B1406">
        <v>3694091</v>
      </c>
      <c r="C1406">
        <v>21883</v>
      </c>
      <c r="F1406">
        <v>443</v>
      </c>
    </row>
    <row r="1407" spans="1:6" x14ac:dyDescent="0.2">
      <c r="A1407">
        <v>129</v>
      </c>
      <c r="B1407">
        <v>3694092</v>
      </c>
      <c r="C1407">
        <v>21883</v>
      </c>
      <c r="F1407">
        <v>445</v>
      </c>
    </row>
    <row r="1408" spans="1:6" x14ac:dyDescent="0.2">
      <c r="A1408">
        <v>129</v>
      </c>
      <c r="B1408">
        <v>3694093</v>
      </c>
      <c r="C1408">
        <v>21883</v>
      </c>
      <c r="F1408">
        <v>472</v>
      </c>
    </row>
    <row r="1409" spans="1:6" x14ac:dyDescent="0.2">
      <c r="A1409">
        <v>129</v>
      </c>
      <c r="B1409">
        <v>3694094</v>
      </c>
      <c r="C1409">
        <v>21883</v>
      </c>
      <c r="F1409">
        <v>483</v>
      </c>
    </row>
    <row r="1410" spans="1:6" x14ac:dyDescent="0.2">
      <c r="A1410">
        <v>129</v>
      </c>
      <c r="B1410">
        <v>3694095</v>
      </c>
      <c r="C1410">
        <v>21883</v>
      </c>
      <c r="F1410">
        <v>263</v>
      </c>
    </row>
    <row r="1411" spans="1:6" x14ac:dyDescent="0.2">
      <c r="A1411">
        <v>129</v>
      </c>
      <c r="B1411">
        <v>3694096</v>
      </c>
      <c r="C1411">
        <v>21883</v>
      </c>
      <c r="F1411">
        <v>521</v>
      </c>
    </row>
    <row r="1412" spans="1:6" x14ac:dyDescent="0.2">
      <c r="A1412">
        <v>129</v>
      </c>
      <c r="B1412">
        <v>3694097</v>
      </c>
      <c r="C1412">
        <v>21883</v>
      </c>
      <c r="F1412">
        <v>520</v>
      </c>
    </row>
    <row r="1413" spans="1:6" x14ac:dyDescent="0.2">
      <c r="A1413">
        <v>129</v>
      </c>
      <c r="B1413">
        <v>3694098</v>
      </c>
      <c r="C1413">
        <v>21883</v>
      </c>
      <c r="F1413">
        <v>346</v>
      </c>
    </row>
    <row r="1414" spans="1:6" x14ac:dyDescent="0.2">
      <c r="A1414">
        <v>129</v>
      </c>
      <c r="B1414">
        <v>3694099</v>
      </c>
      <c r="C1414">
        <v>21883</v>
      </c>
      <c r="F1414">
        <v>284</v>
      </c>
    </row>
    <row r="1415" spans="1:6" x14ac:dyDescent="0.2">
      <c r="A1415">
        <v>129</v>
      </c>
      <c r="B1415">
        <v>3694100</v>
      </c>
      <c r="C1415">
        <v>21883</v>
      </c>
      <c r="F1415">
        <v>282</v>
      </c>
    </row>
    <row r="1416" spans="1:6" x14ac:dyDescent="0.2">
      <c r="A1416">
        <v>129</v>
      </c>
      <c r="B1416">
        <v>3694101</v>
      </c>
      <c r="C1416">
        <v>21883</v>
      </c>
      <c r="F1416">
        <v>518</v>
      </c>
    </row>
    <row r="1417" spans="1:6" x14ac:dyDescent="0.2">
      <c r="A1417">
        <v>129</v>
      </c>
      <c r="B1417">
        <v>3694102</v>
      </c>
      <c r="C1417">
        <v>21883</v>
      </c>
      <c r="F1417">
        <v>517</v>
      </c>
    </row>
    <row r="1418" spans="1:6" x14ac:dyDescent="0.2">
      <c r="A1418">
        <v>129</v>
      </c>
      <c r="B1418">
        <v>3694103</v>
      </c>
      <c r="C1418">
        <v>21883</v>
      </c>
      <c r="F1418">
        <v>516</v>
      </c>
    </row>
    <row r="1419" spans="1:6" x14ac:dyDescent="0.2">
      <c r="A1419">
        <v>129</v>
      </c>
      <c r="B1419">
        <v>3694104</v>
      </c>
      <c r="C1419">
        <v>21883</v>
      </c>
      <c r="F1419">
        <v>515</v>
      </c>
    </row>
    <row r="1420" spans="1:6" x14ac:dyDescent="0.2">
      <c r="A1420">
        <v>129</v>
      </c>
      <c r="B1420">
        <v>3694105</v>
      </c>
      <c r="C1420">
        <v>21883</v>
      </c>
      <c r="F1420">
        <v>514</v>
      </c>
    </row>
    <row r="1421" spans="1:6" x14ac:dyDescent="0.2">
      <c r="A1421">
        <v>129</v>
      </c>
      <c r="B1421">
        <v>3694106</v>
      </c>
      <c r="C1421">
        <v>21883</v>
      </c>
      <c r="F1421">
        <v>280</v>
      </c>
    </row>
    <row r="1422" spans="1:6" x14ac:dyDescent="0.2">
      <c r="A1422">
        <v>129</v>
      </c>
      <c r="B1422">
        <v>3694107</v>
      </c>
      <c r="C1422">
        <v>21883</v>
      </c>
      <c r="F1422">
        <v>513</v>
      </c>
    </row>
    <row r="1423" spans="1:6" x14ac:dyDescent="0.2">
      <c r="A1423">
        <v>129</v>
      </c>
      <c r="B1423">
        <v>3694108</v>
      </c>
      <c r="C1423">
        <v>21883</v>
      </c>
      <c r="F1423">
        <v>345</v>
      </c>
    </row>
    <row r="1424" spans="1:6" x14ac:dyDescent="0.2">
      <c r="A1424">
        <v>129</v>
      </c>
      <c r="B1424">
        <v>3694109</v>
      </c>
      <c r="C1424">
        <v>21883</v>
      </c>
      <c r="F1424">
        <v>328</v>
      </c>
    </row>
    <row r="1425" spans="1:6" x14ac:dyDescent="0.2">
      <c r="A1425">
        <v>129</v>
      </c>
      <c r="B1425">
        <v>3694110</v>
      </c>
      <c r="C1425">
        <v>21883</v>
      </c>
      <c r="F1425">
        <v>279</v>
      </c>
    </row>
    <row r="1426" spans="1:6" x14ac:dyDescent="0.2">
      <c r="A1426">
        <v>129</v>
      </c>
      <c r="B1426">
        <v>3694111</v>
      </c>
      <c r="C1426">
        <v>21883</v>
      </c>
      <c r="F1426">
        <v>327</v>
      </c>
    </row>
    <row r="1427" spans="1:6" x14ac:dyDescent="0.2">
      <c r="A1427">
        <v>129</v>
      </c>
      <c r="B1427">
        <v>3694112</v>
      </c>
      <c r="C1427">
        <v>21883</v>
      </c>
      <c r="F1427">
        <v>326</v>
      </c>
    </row>
    <row r="1428" spans="1:6" x14ac:dyDescent="0.2">
      <c r="A1428">
        <v>129</v>
      </c>
      <c r="B1428">
        <v>3694113</v>
      </c>
      <c r="C1428">
        <v>21883</v>
      </c>
      <c r="F1428">
        <v>325</v>
      </c>
    </row>
    <row r="1429" spans="1:6" x14ac:dyDescent="0.2">
      <c r="A1429">
        <v>129</v>
      </c>
      <c r="B1429">
        <v>3694114</v>
      </c>
      <c r="C1429">
        <v>21883</v>
      </c>
      <c r="F1429">
        <v>324</v>
      </c>
    </row>
    <row r="1430" spans="1:6" x14ac:dyDescent="0.2">
      <c r="A1430">
        <v>129</v>
      </c>
      <c r="B1430">
        <v>3694115</v>
      </c>
      <c r="C1430">
        <v>21883</v>
      </c>
      <c r="F1430">
        <v>323</v>
      </c>
    </row>
    <row r="1431" spans="1:6" x14ac:dyDescent="0.2">
      <c r="A1431">
        <v>129</v>
      </c>
      <c r="B1431">
        <v>3694116</v>
      </c>
      <c r="C1431">
        <v>21883</v>
      </c>
      <c r="F1431">
        <v>322</v>
      </c>
    </row>
    <row r="1432" spans="1:6" x14ac:dyDescent="0.2">
      <c r="A1432">
        <v>129</v>
      </c>
      <c r="B1432">
        <v>3694117</v>
      </c>
      <c r="C1432">
        <v>21883</v>
      </c>
      <c r="F1432">
        <v>321</v>
      </c>
    </row>
    <row r="1433" spans="1:6" x14ac:dyDescent="0.2">
      <c r="A1433">
        <v>129</v>
      </c>
      <c r="B1433">
        <v>3694118</v>
      </c>
      <c r="C1433">
        <v>21883</v>
      </c>
      <c r="F1433">
        <v>318</v>
      </c>
    </row>
    <row r="1434" spans="1:6" x14ac:dyDescent="0.2">
      <c r="A1434">
        <v>129</v>
      </c>
      <c r="B1434">
        <v>3694119</v>
      </c>
      <c r="C1434">
        <v>21883</v>
      </c>
      <c r="F1434">
        <v>320</v>
      </c>
    </row>
    <row r="1435" spans="1:6" x14ac:dyDescent="0.2">
      <c r="A1435">
        <v>129</v>
      </c>
      <c r="B1435">
        <v>3694120</v>
      </c>
      <c r="C1435">
        <v>21883</v>
      </c>
      <c r="F1435">
        <v>316</v>
      </c>
    </row>
    <row r="1436" spans="1:6" x14ac:dyDescent="0.2">
      <c r="A1436">
        <v>129</v>
      </c>
      <c r="B1436">
        <v>3694121</v>
      </c>
      <c r="C1436">
        <v>21883</v>
      </c>
      <c r="F1436">
        <v>289</v>
      </c>
    </row>
    <row r="1437" spans="1:6" x14ac:dyDescent="0.2">
      <c r="A1437">
        <v>129</v>
      </c>
      <c r="B1437">
        <v>3694122</v>
      </c>
      <c r="C1437">
        <v>21883</v>
      </c>
      <c r="F1437">
        <v>315</v>
      </c>
    </row>
    <row r="1438" spans="1:6" x14ac:dyDescent="0.2">
      <c r="A1438">
        <v>979</v>
      </c>
      <c r="B1438">
        <v>3692904</v>
      </c>
      <c r="C1438">
        <v>21883</v>
      </c>
      <c r="F1438" t="s">
        <v>1105</v>
      </c>
    </row>
    <row r="1439" spans="1:6" x14ac:dyDescent="0.2">
      <c r="A1439">
        <v>979</v>
      </c>
      <c r="B1439">
        <v>3692905</v>
      </c>
      <c r="C1439">
        <v>21883</v>
      </c>
      <c r="F1439" t="s">
        <v>1105</v>
      </c>
    </row>
    <row r="1440" spans="1:6" x14ac:dyDescent="0.2">
      <c r="A1440">
        <v>979</v>
      </c>
      <c r="B1440">
        <v>3692906</v>
      </c>
      <c r="C1440">
        <v>21883</v>
      </c>
      <c r="F1440" t="s">
        <v>1105</v>
      </c>
    </row>
    <row r="1441" spans="1:6" x14ac:dyDescent="0.2">
      <c r="A1441">
        <v>979</v>
      </c>
      <c r="B1441">
        <v>3692907</v>
      </c>
      <c r="C1441">
        <v>21883</v>
      </c>
      <c r="F1441" t="s">
        <v>6748</v>
      </c>
    </row>
    <row r="1442" spans="1:6" x14ac:dyDescent="0.2">
      <c r="A1442">
        <v>979</v>
      </c>
      <c r="B1442">
        <v>3692908</v>
      </c>
      <c r="C1442">
        <v>21883</v>
      </c>
      <c r="F1442" t="s">
        <v>1105</v>
      </c>
    </row>
    <row r="1443" spans="1:6" x14ac:dyDescent="0.2">
      <c r="A1443">
        <v>979</v>
      </c>
      <c r="B1443">
        <v>3692909</v>
      </c>
      <c r="C1443">
        <v>21883</v>
      </c>
      <c r="F1443" t="s">
        <v>1105</v>
      </c>
    </row>
    <row r="1444" spans="1:6" x14ac:dyDescent="0.2">
      <c r="A1444">
        <v>979</v>
      </c>
      <c r="B1444">
        <v>3692910</v>
      </c>
      <c r="C1444">
        <v>21883</v>
      </c>
      <c r="F1444" t="s">
        <v>6748</v>
      </c>
    </row>
    <row r="1445" spans="1:6" x14ac:dyDescent="0.2">
      <c r="A1445">
        <v>979</v>
      </c>
      <c r="B1445">
        <v>3692911</v>
      </c>
      <c r="C1445">
        <v>21883</v>
      </c>
      <c r="F1445" t="s">
        <v>1105</v>
      </c>
    </row>
    <row r="1446" spans="1:6" x14ac:dyDescent="0.2">
      <c r="A1446">
        <v>979</v>
      </c>
      <c r="B1446">
        <v>3692912</v>
      </c>
      <c r="C1446">
        <v>21883</v>
      </c>
      <c r="F1446" t="s">
        <v>1105</v>
      </c>
    </row>
    <row r="1447" spans="1:6" x14ac:dyDescent="0.2">
      <c r="A1447">
        <v>979</v>
      </c>
      <c r="B1447">
        <v>3692913</v>
      </c>
      <c r="C1447">
        <v>21883</v>
      </c>
      <c r="F1447" t="s">
        <v>6748</v>
      </c>
    </row>
    <row r="1448" spans="1:6" x14ac:dyDescent="0.2">
      <c r="A1448">
        <v>979</v>
      </c>
      <c r="B1448">
        <v>3692914</v>
      </c>
      <c r="C1448">
        <v>21883</v>
      </c>
      <c r="F1448" t="s">
        <v>1105</v>
      </c>
    </row>
    <row r="1449" spans="1:6" x14ac:dyDescent="0.2">
      <c r="A1449">
        <v>979</v>
      </c>
      <c r="B1449">
        <v>3692915</v>
      </c>
      <c r="C1449">
        <v>21883</v>
      </c>
      <c r="F1449" t="s">
        <v>1105</v>
      </c>
    </row>
    <row r="1450" spans="1:6" x14ac:dyDescent="0.2">
      <c r="A1450">
        <v>979</v>
      </c>
      <c r="B1450">
        <v>3692916</v>
      </c>
      <c r="C1450">
        <v>21883</v>
      </c>
      <c r="F1450" t="s">
        <v>6748</v>
      </c>
    </row>
    <row r="1451" spans="1:6" x14ac:dyDescent="0.2">
      <c r="A1451">
        <v>979</v>
      </c>
      <c r="B1451">
        <v>3692917</v>
      </c>
      <c r="C1451">
        <v>21883</v>
      </c>
      <c r="F1451" t="s">
        <v>1105</v>
      </c>
    </row>
    <row r="1452" spans="1:6" x14ac:dyDescent="0.2">
      <c r="A1452">
        <v>979</v>
      </c>
      <c r="B1452">
        <v>3692918</v>
      </c>
      <c r="C1452">
        <v>21883</v>
      </c>
      <c r="F1452" t="s">
        <v>1105</v>
      </c>
    </row>
    <row r="1453" spans="1:6" x14ac:dyDescent="0.2">
      <c r="A1453">
        <v>979</v>
      </c>
      <c r="B1453">
        <v>3692919</v>
      </c>
      <c r="C1453">
        <v>21883</v>
      </c>
      <c r="F1453" t="s">
        <v>6748</v>
      </c>
    </row>
    <row r="1454" spans="1:6" x14ac:dyDescent="0.2">
      <c r="A1454">
        <v>979</v>
      </c>
      <c r="B1454">
        <v>3692920</v>
      </c>
      <c r="C1454">
        <v>21883</v>
      </c>
      <c r="F1454" t="s">
        <v>1105</v>
      </c>
    </row>
    <row r="1455" spans="1:6" x14ac:dyDescent="0.2">
      <c r="A1455">
        <v>979</v>
      </c>
      <c r="B1455">
        <v>3692921</v>
      </c>
      <c r="C1455">
        <v>21883</v>
      </c>
      <c r="F1455" t="s">
        <v>6749</v>
      </c>
    </row>
    <row r="1456" spans="1:6" x14ac:dyDescent="0.2">
      <c r="A1456">
        <v>979</v>
      </c>
      <c r="B1456">
        <v>3692922</v>
      </c>
      <c r="C1456">
        <v>21883</v>
      </c>
      <c r="F1456" t="s">
        <v>1105</v>
      </c>
    </row>
    <row r="1457" spans="1:6" x14ac:dyDescent="0.2">
      <c r="A1457">
        <v>979</v>
      </c>
      <c r="B1457">
        <v>3692923</v>
      </c>
      <c r="C1457">
        <v>21883</v>
      </c>
      <c r="F1457" t="s">
        <v>6748</v>
      </c>
    </row>
    <row r="1458" spans="1:6" x14ac:dyDescent="0.2">
      <c r="A1458">
        <v>979</v>
      </c>
      <c r="B1458">
        <v>3692924</v>
      </c>
      <c r="C1458">
        <v>21883</v>
      </c>
      <c r="F1458" t="s">
        <v>1105</v>
      </c>
    </row>
    <row r="1459" spans="1:6" x14ac:dyDescent="0.2">
      <c r="A1459">
        <v>979</v>
      </c>
      <c r="B1459">
        <v>3692925</v>
      </c>
      <c r="C1459">
        <v>21883</v>
      </c>
      <c r="F1459" t="s">
        <v>6748</v>
      </c>
    </row>
    <row r="1460" spans="1:6" x14ac:dyDescent="0.2">
      <c r="A1460">
        <v>979</v>
      </c>
      <c r="B1460">
        <v>3692926</v>
      </c>
      <c r="C1460">
        <v>21883</v>
      </c>
      <c r="F1460" t="s">
        <v>6749</v>
      </c>
    </row>
    <row r="1461" spans="1:6" x14ac:dyDescent="0.2">
      <c r="A1461">
        <v>979</v>
      </c>
      <c r="B1461">
        <v>3692927</v>
      </c>
      <c r="C1461">
        <v>21883</v>
      </c>
      <c r="F1461" t="s">
        <v>1105</v>
      </c>
    </row>
    <row r="1462" spans="1:6" x14ac:dyDescent="0.2">
      <c r="A1462">
        <v>979</v>
      </c>
      <c r="B1462">
        <v>3692928</v>
      </c>
      <c r="C1462">
        <v>21883</v>
      </c>
      <c r="F1462" t="s">
        <v>6748</v>
      </c>
    </row>
    <row r="1463" spans="1:6" x14ac:dyDescent="0.2">
      <c r="A1463">
        <v>979</v>
      </c>
      <c r="B1463">
        <v>3692929</v>
      </c>
      <c r="C1463">
        <v>21883</v>
      </c>
      <c r="F1463" t="s">
        <v>1105</v>
      </c>
    </row>
    <row r="1464" spans="1:6" x14ac:dyDescent="0.2">
      <c r="A1464">
        <v>979</v>
      </c>
      <c r="B1464">
        <v>3692930</v>
      </c>
      <c r="C1464">
        <v>21883</v>
      </c>
      <c r="F1464" t="s">
        <v>6748</v>
      </c>
    </row>
    <row r="1465" spans="1:6" x14ac:dyDescent="0.2">
      <c r="A1465">
        <v>979</v>
      </c>
      <c r="B1465">
        <v>3692931</v>
      </c>
      <c r="C1465">
        <v>21883</v>
      </c>
      <c r="F1465" t="s">
        <v>6749</v>
      </c>
    </row>
    <row r="1466" spans="1:6" x14ac:dyDescent="0.2">
      <c r="A1466">
        <v>979</v>
      </c>
      <c r="B1466">
        <v>3692932</v>
      </c>
      <c r="C1466">
        <v>21883</v>
      </c>
      <c r="F1466" t="s">
        <v>6748</v>
      </c>
    </row>
    <row r="1467" spans="1:6" x14ac:dyDescent="0.2">
      <c r="A1467">
        <v>979</v>
      </c>
      <c r="B1467">
        <v>3692933</v>
      </c>
      <c r="C1467">
        <v>21883</v>
      </c>
      <c r="F1467" t="s">
        <v>1105</v>
      </c>
    </row>
    <row r="1468" spans="1:6" x14ac:dyDescent="0.2">
      <c r="A1468">
        <v>979</v>
      </c>
      <c r="B1468">
        <v>3692934</v>
      </c>
      <c r="C1468">
        <v>21883</v>
      </c>
      <c r="F1468" t="s">
        <v>1105</v>
      </c>
    </row>
    <row r="1469" spans="1:6" x14ac:dyDescent="0.2">
      <c r="A1469">
        <v>979</v>
      </c>
      <c r="B1469">
        <v>3692935</v>
      </c>
      <c r="C1469">
        <v>21883</v>
      </c>
      <c r="F1469" t="s">
        <v>6748</v>
      </c>
    </row>
    <row r="1470" spans="1:6" x14ac:dyDescent="0.2">
      <c r="A1470">
        <v>979</v>
      </c>
      <c r="B1470">
        <v>3692936</v>
      </c>
      <c r="C1470">
        <v>21883</v>
      </c>
      <c r="F1470" t="s">
        <v>1105</v>
      </c>
    </row>
    <row r="1471" spans="1:6" x14ac:dyDescent="0.2">
      <c r="A1471">
        <v>979</v>
      </c>
      <c r="B1471">
        <v>3692937</v>
      </c>
      <c r="C1471">
        <v>21883</v>
      </c>
      <c r="F1471" t="s">
        <v>1105</v>
      </c>
    </row>
    <row r="1472" spans="1:6" x14ac:dyDescent="0.2">
      <c r="A1472">
        <v>979</v>
      </c>
      <c r="B1472">
        <v>3692938</v>
      </c>
      <c r="C1472">
        <v>21883</v>
      </c>
      <c r="F1472" t="s">
        <v>1105</v>
      </c>
    </row>
    <row r="1473" spans="1:6" x14ac:dyDescent="0.2">
      <c r="A1473">
        <v>979</v>
      </c>
      <c r="B1473">
        <v>3692939</v>
      </c>
      <c r="C1473">
        <v>21883</v>
      </c>
      <c r="F1473" t="s">
        <v>6748</v>
      </c>
    </row>
    <row r="1474" spans="1:6" x14ac:dyDescent="0.2">
      <c r="A1474">
        <v>979</v>
      </c>
      <c r="B1474">
        <v>3692940</v>
      </c>
      <c r="C1474">
        <v>21883</v>
      </c>
      <c r="F1474" t="s">
        <v>1105</v>
      </c>
    </row>
    <row r="1475" spans="1:6" x14ac:dyDescent="0.2">
      <c r="A1475">
        <v>979</v>
      </c>
      <c r="B1475">
        <v>3692941</v>
      </c>
      <c r="C1475">
        <v>21883</v>
      </c>
      <c r="F1475" t="s">
        <v>1105</v>
      </c>
    </row>
    <row r="1476" spans="1:6" x14ac:dyDescent="0.2">
      <c r="A1476">
        <v>979</v>
      </c>
      <c r="B1476">
        <v>3692942</v>
      </c>
      <c r="C1476">
        <v>21883</v>
      </c>
      <c r="F1476" t="s">
        <v>1105</v>
      </c>
    </row>
    <row r="1477" spans="1:6" x14ac:dyDescent="0.2">
      <c r="A1477">
        <v>979</v>
      </c>
      <c r="B1477">
        <v>3692944</v>
      </c>
      <c r="C1477">
        <v>21883</v>
      </c>
      <c r="F1477" t="s">
        <v>6750</v>
      </c>
    </row>
    <row r="1478" spans="1:6" x14ac:dyDescent="0.2">
      <c r="A1478">
        <v>979</v>
      </c>
      <c r="B1478">
        <v>3692945</v>
      </c>
      <c r="C1478">
        <v>21883</v>
      </c>
      <c r="F1478" t="s">
        <v>1105</v>
      </c>
    </row>
    <row r="1479" spans="1:6" x14ac:dyDescent="0.2">
      <c r="A1479">
        <v>979</v>
      </c>
      <c r="B1479">
        <v>3692946</v>
      </c>
      <c r="C1479">
        <v>21883</v>
      </c>
      <c r="F1479" t="s">
        <v>6748</v>
      </c>
    </row>
    <row r="1480" spans="1:6" x14ac:dyDescent="0.2">
      <c r="A1480">
        <v>979</v>
      </c>
      <c r="B1480">
        <v>3692947</v>
      </c>
      <c r="C1480">
        <v>21883</v>
      </c>
      <c r="F1480" t="s">
        <v>1105</v>
      </c>
    </row>
    <row r="1481" spans="1:6" x14ac:dyDescent="0.2">
      <c r="A1481">
        <v>979</v>
      </c>
      <c r="B1481">
        <v>3692948</v>
      </c>
      <c r="C1481">
        <v>21883</v>
      </c>
      <c r="F1481" t="s">
        <v>1105</v>
      </c>
    </row>
    <row r="1482" spans="1:6" x14ac:dyDescent="0.2">
      <c r="A1482">
        <v>979</v>
      </c>
      <c r="B1482">
        <v>3692950</v>
      </c>
      <c r="C1482">
        <v>21883</v>
      </c>
      <c r="F1482" t="s">
        <v>6750</v>
      </c>
    </row>
    <row r="1483" spans="1:6" x14ac:dyDescent="0.2">
      <c r="A1483">
        <v>979</v>
      </c>
      <c r="B1483">
        <v>3692951</v>
      </c>
      <c r="C1483">
        <v>21883</v>
      </c>
      <c r="F1483" t="s">
        <v>1105</v>
      </c>
    </row>
    <row r="1484" spans="1:6" x14ac:dyDescent="0.2">
      <c r="A1484">
        <v>979</v>
      </c>
      <c r="B1484">
        <v>3692952</v>
      </c>
      <c r="C1484">
        <v>21883</v>
      </c>
      <c r="F1484" t="s">
        <v>6748</v>
      </c>
    </row>
    <row r="1485" spans="1:6" x14ac:dyDescent="0.2">
      <c r="A1485">
        <v>979</v>
      </c>
      <c r="B1485">
        <v>3692953</v>
      </c>
      <c r="C1485">
        <v>21883</v>
      </c>
      <c r="F1485" t="s">
        <v>1105</v>
      </c>
    </row>
    <row r="1486" spans="1:6" x14ac:dyDescent="0.2">
      <c r="A1486">
        <v>979</v>
      </c>
      <c r="B1486">
        <v>3692954</v>
      </c>
      <c r="C1486">
        <v>21883</v>
      </c>
      <c r="F1486" t="s">
        <v>1105</v>
      </c>
    </row>
    <row r="1487" spans="1:6" x14ac:dyDescent="0.2">
      <c r="A1487">
        <v>979</v>
      </c>
      <c r="B1487">
        <v>3692956</v>
      </c>
      <c r="C1487">
        <v>21883</v>
      </c>
      <c r="F1487" t="s">
        <v>6750</v>
      </c>
    </row>
    <row r="1488" spans="1:6" x14ac:dyDescent="0.2">
      <c r="A1488">
        <v>979</v>
      </c>
      <c r="B1488">
        <v>3692957</v>
      </c>
      <c r="C1488">
        <v>21883</v>
      </c>
      <c r="F1488" t="s">
        <v>1105</v>
      </c>
    </row>
    <row r="1489" spans="1:6" x14ac:dyDescent="0.2">
      <c r="A1489">
        <v>979</v>
      </c>
      <c r="B1489">
        <v>3692958</v>
      </c>
      <c r="C1489">
        <v>21883</v>
      </c>
      <c r="F1489" t="s">
        <v>6748</v>
      </c>
    </row>
    <row r="1490" spans="1:6" x14ac:dyDescent="0.2">
      <c r="A1490">
        <v>979</v>
      </c>
      <c r="B1490">
        <v>3692959</v>
      </c>
      <c r="C1490">
        <v>21883</v>
      </c>
      <c r="F1490" t="s">
        <v>1105</v>
      </c>
    </row>
    <row r="1491" spans="1:6" x14ac:dyDescent="0.2">
      <c r="A1491">
        <v>979</v>
      </c>
      <c r="B1491">
        <v>3692960</v>
      </c>
      <c r="C1491">
        <v>21883</v>
      </c>
      <c r="F1491" t="s">
        <v>1105</v>
      </c>
    </row>
    <row r="1492" spans="1:6" x14ac:dyDescent="0.2">
      <c r="A1492">
        <v>979</v>
      </c>
      <c r="B1492">
        <v>3692962</v>
      </c>
      <c r="C1492">
        <v>21883</v>
      </c>
      <c r="F1492" t="s">
        <v>6750</v>
      </c>
    </row>
    <row r="1493" spans="1:6" x14ac:dyDescent="0.2">
      <c r="A1493">
        <v>979</v>
      </c>
      <c r="B1493">
        <v>3692963</v>
      </c>
      <c r="C1493">
        <v>21883</v>
      </c>
      <c r="F1493" t="s">
        <v>1105</v>
      </c>
    </row>
    <row r="1494" spans="1:6" x14ac:dyDescent="0.2">
      <c r="A1494">
        <v>979</v>
      </c>
      <c r="B1494">
        <v>3692964</v>
      </c>
      <c r="C1494">
        <v>21883</v>
      </c>
      <c r="F1494" t="s">
        <v>6748</v>
      </c>
    </row>
    <row r="1495" spans="1:6" x14ac:dyDescent="0.2">
      <c r="A1495">
        <v>979</v>
      </c>
      <c r="B1495">
        <v>3692965</v>
      </c>
      <c r="C1495">
        <v>21883</v>
      </c>
      <c r="F1495" t="s">
        <v>1105</v>
      </c>
    </row>
    <row r="1496" spans="1:6" x14ac:dyDescent="0.2">
      <c r="A1496">
        <v>979</v>
      </c>
      <c r="B1496">
        <v>3692966</v>
      </c>
      <c r="C1496">
        <v>21883</v>
      </c>
      <c r="F1496" t="s">
        <v>1105</v>
      </c>
    </row>
    <row r="1497" spans="1:6" x14ac:dyDescent="0.2">
      <c r="A1497">
        <v>979</v>
      </c>
      <c r="B1497">
        <v>3692968</v>
      </c>
      <c r="C1497">
        <v>21883</v>
      </c>
      <c r="F1497" t="s">
        <v>6750</v>
      </c>
    </row>
    <row r="1498" spans="1:6" x14ac:dyDescent="0.2">
      <c r="A1498">
        <v>979</v>
      </c>
      <c r="B1498">
        <v>3692969</v>
      </c>
      <c r="C1498">
        <v>21883</v>
      </c>
      <c r="F1498" t="s">
        <v>1105</v>
      </c>
    </row>
    <row r="1499" spans="1:6" x14ac:dyDescent="0.2">
      <c r="A1499">
        <v>979</v>
      </c>
      <c r="B1499">
        <v>3692970</v>
      </c>
      <c r="C1499">
        <v>21883</v>
      </c>
      <c r="F1499" t="s">
        <v>6748</v>
      </c>
    </row>
    <row r="1500" spans="1:6" x14ac:dyDescent="0.2">
      <c r="A1500">
        <v>979</v>
      </c>
      <c r="B1500">
        <v>3692971</v>
      </c>
      <c r="C1500">
        <v>21883</v>
      </c>
      <c r="F1500" t="s">
        <v>1105</v>
      </c>
    </row>
    <row r="1501" spans="1:6" x14ac:dyDescent="0.2">
      <c r="A1501">
        <v>979</v>
      </c>
      <c r="B1501">
        <v>3692972</v>
      </c>
      <c r="C1501">
        <v>21883</v>
      </c>
      <c r="F1501" t="s">
        <v>1105</v>
      </c>
    </row>
    <row r="1502" spans="1:6" x14ac:dyDescent="0.2">
      <c r="A1502">
        <v>979</v>
      </c>
      <c r="B1502">
        <v>3692974</v>
      </c>
      <c r="C1502">
        <v>21883</v>
      </c>
      <c r="F1502" t="s">
        <v>6750</v>
      </c>
    </row>
    <row r="1503" spans="1:6" x14ac:dyDescent="0.2">
      <c r="A1503">
        <v>979</v>
      </c>
      <c r="B1503">
        <v>3692975</v>
      </c>
      <c r="C1503">
        <v>21883</v>
      </c>
      <c r="F1503" t="s">
        <v>1105</v>
      </c>
    </row>
    <row r="1504" spans="1:6" x14ac:dyDescent="0.2">
      <c r="A1504">
        <v>979</v>
      </c>
      <c r="B1504">
        <v>3692976</v>
      </c>
      <c r="C1504">
        <v>21883</v>
      </c>
      <c r="F1504" t="s">
        <v>6748</v>
      </c>
    </row>
    <row r="1505" spans="1:6" x14ac:dyDescent="0.2">
      <c r="A1505">
        <v>979</v>
      </c>
      <c r="B1505">
        <v>3692977</v>
      </c>
      <c r="C1505">
        <v>21883</v>
      </c>
      <c r="F1505" t="s">
        <v>1105</v>
      </c>
    </row>
    <row r="1506" spans="1:6" x14ac:dyDescent="0.2">
      <c r="A1506">
        <v>979</v>
      </c>
      <c r="B1506">
        <v>3692978</v>
      </c>
      <c r="C1506">
        <v>21883</v>
      </c>
      <c r="F1506" t="s">
        <v>1105</v>
      </c>
    </row>
    <row r="1507" spans="1:6" x14ac:dyDescent="0.2">
      <c r="A1507">
        <v>979</v>
      </c>
      <c r="B1507">
        <v>3692980</v>
      </c>
      <c r="C1507">
        <v>21883</v>
      </c>
      <c r="F1507" t="s">
        <v>6750</v>
      </c>
    </row>
    <row r="1508" spans="1:6" x14ac:dyDescent="0.2">
      <c r="A1508">
        <v>979</v>
      </c>
      <c r="B1508">
        <v>3692981</v>
      </c>
      <c r="C1508">
        <v>21883</v>
      </c>
      <c r="F1508" t="s">
        <v>1105</v>
      </c>
    </row>
    <row r="1509" spans="1:6" x14ac:dyDescent="0.2">
      <c r="A1509">
        <v>979</v>
      </c>
      <c r="B1509">
        <v>3692982</v>
      </c>
      <c r="C1509">
        <v>21883</v>
      </c>
      <c r="F1509" t="s">
        <v>6748</v>
      </c>
    </row>
    <row r="1510" spans="1:6" x14ac:dyDescent="0.2">
      <c r="A1510">
        <v>979</v>
      </c>
      <c r="B1510">
        <v>3692983</v>
      </c>
      <c r="C1510">
        <v>21883</v>
      </c>
      <c r="F1510" t="s">
        <v>1105</v>
      </c>
    </row>
    <row r="1511" spans="1:6" x14ac:dyDescent="0.2">
      <c r="A1511">
        <v>979</v>
      </c>
      <c r="B1511">
        <v>3692984</v>
      </c>
      <c r="C1511">
        <v>21883</v>
      </c>
      <c r="F1511" t="s">
        <v>1105</v>
      </c>
    </row>
    <row r="1512" spans="1:6" x14ac:dyDescent="0.2">
      <c r="A1512">
        <v>979</v>
      </c>
      <c r="B1512">
        <v>3692986</v>
      </c>
      <c r="C1512">
        <v>21883</v>
      </c>
      <c r="F1512" t="s">
        <v>6750</v>
      </c>
    </row>
    <row r="1513" spans="1:6" x14ac:dyDescent="0.2">
      <c r="A1513">
        <v>979</v>
      </c>
      <c r="B1513">
        <v>3692987</v>
      </c>
      <c r="C1513">
        <v>21883</v>
      </c>
      <c r="F1513" t="s">
        <v>1105</v>
      </c>
    </row>
    <row r="1514" spans="1:6" x14ac:dyDescent="0.2">
      <c r="A1514">
        <v>979</v>
      </c>
      <c r="B1514">
        <v>3692988</v>
      </c>
      <c r="C1514">
        <v>21883</v>
      </c>
      <c r="F1514" t="s">
        <v>6748</v>
      </c>
    </row>
    <row r="1515" spans="1:6" x14ac:dyDescent="0.2">
      <c r="A1515">
        <v>979</v>
      </c>
      <c r="B1515">
        <v>3693009</v>
      </c>
      <c r="C1515">
        <v>21883</v>
      </c>
      <c r="F1515" t="s">
        <v>1105</v>
      </c>
    </row>
    <row r="1516" spans="1:6" x14ac:dyDescent="0.2">
      <c r="A1516">
        <v>979</v>
      </c>
      <c r="B1516">
        <v>3693010</v>
      </c>
      <c r="C1516">
        <v>21883</v>
      </c>
      <c r="F1516" t="s">
        <v>1105</v>
      </c>
    </row>
    <row r="1517" spans="1:6" x14ac:dyDescent="0.2">
      <c r="A1517">
        <v>979</v>
      </c>
      <c r="B1517">
        <v>3693011</v>
      </c>
      <c r="C1517">
        <v>21883</v>
      </c>
      <c r="F1517" t="s">
        <v>1105</v>
      </c>
    </row>
    <row r="1518" spans="1:6" x14ac:dyDescent="0.2">
      <c r="A1518">
        <v>979</v>
      </c>
      <c r="B1518">
        <v>3693012</v>
      </c>
      <c r="C1518">
        <v>21883</v>
      </c>
      <c r="F1518" t="s">
        <v>1105</v>
      </c>
    </row>
    <row r="1519" spans="1:6" x14ac:dyDescent="0.2">
      <c r="A1519">
        <v>979</v>
      </c>
      <c r="B1519">
        <v>3693019</v>
      </c>
      <c r="C1519">
        <v>21883</v>
      </c>
      <c r="F1519" t="s">
        <v>6751</v>
      </c>
    </row>
    <row r="1520" spans="1:6" x14ac:dyDescent="0.2">
      <c r="A1520">
        <v>979</v>
      </c>
      <c r="B1520">
        <v>3693020</v>
      </c>
      <c r="C1520">
        <v>21883</v>
      </c>
      <c r="F1520" t="s">
        <v>6751</v>
      </c>
    </row>
    <row r="1521" spans="1:6" x14ac:dyDescent="0.2">
      <c r="A1521">
        <v>979</v>
      </c>
      <c r="B1521">
        <v>3693021</v>
      </c>
      <c r="C1521">
        <v>21883</v>
      </c>
      <c r="F1521" t="s">
        <v>6751</v>
      </c>
    </row>
    <row r="1522" spans="1:6" x14ac:dyDescent="0.2">
      <c r="A1522">
        <v>979</v>
      </c>
      <c r="B1522">
        <v>3693022</v>
      </c>
      <c r="C1522">
        <v>21883</v>
      </c>
      <c r="F1522" t="s">
        <v>6751</v>
      </c>
    </row>
    <row r="1523" spans="1:6" x14ac:dyDescent="0.2">
      <c r="A1523">
        <v>979</v>
      </c>
      <c r="B1523">
        <v>3693023</v>
      </c>
      <c r="C1523">
        <v>21883</v>
      </c>
      <c r="F1523" t="s">
        <v>6751</v>
      </c>
    </row>
    <row r="1524" spans="1:6" x14ac:dyDescent="0.2">
      <c r="A1524">
        <v>979</v>
      </c>
      <c r="B1524">
        <v>3693024</v>
      </c>
      <c r="C1524">
        <v>21883</v>
      </c>
      <c r="F1524" t="s">
        <v>6751</v>
      </c>
    </row>
    <row r="1525" spans="1:6" x14ac:dyDescent="0.2">
      <c r="A1525">
        <v>979</v>
      </c>
      <c r="B1525">
        <v>3693025</v>
      </c>
      <c r="C1525">
        <v>21883</v>
      </c>
      <c r="F1525" t="s">
        <v>6751</v>
      </c>
    </row>
    <row r="1526" spans="1:6" x14ac:dyDescent="0.2">
      <c r="A1526">
        <v>979</v>
      </c>
      <c r="B1526">
        <v>3693026</v>
      </c>
      <c r="C1526">
        <v>21883</v>
      </c>
      <c r="F1526" t="s">
        <v>6751</v>
      </c>
    </row>
    <row r="1527" spans="1:6" x14ac:dyDescent="0.2">
      <c r="A1527">
        <v>979</v>
      </c>
      <c r="B1527">
        <v>3693029</v>
      </c>
      <c r="C1527">
        <v>21883</v>
      </c>
      <c r="F1527" t="s">
        <v>1105</v>
      </c>
    </row>
    <row r="1528" spans="1:6" x14ac:dyDescent="0.2">
      <c r="A1528">
        <v>979</v>
      </c>
      <c r="B1528">
        <v>3693039</v>
      </c>
      <c r="C1528">
        <v>21883</v>
      </c>
      <c r="F1528" t="s">
        <v>6751</v>
      </c>
    </row>
    <row r="1529" spans="1:6" x14ac:dyDescent="0.2">
      <c r="A1529">
        <v>979</v>
      </c>
      <c r="B1529">
        <v>3693040</v>
      </c>
      <c r="C1529">
        <v>21883</v>
      </c>
      <c r="F1529" t="s">
        <v>6751</v>
      </c>
    </row>
    <row r="1530" spans="1:6" x14ac:dyDescent="0.2">
      <c r="A1530">
        <v>979</v>
      </c>
      <c r="B1530">
        <v>3693041</v>
      </c>
      <c r="C1530">
        <v>21883</v>
      </c>
      <c r="F1530" t="s">
        <v>6751</v>
      </c>
    </row>
    <row r="1531" spans="1:6" x14ac:dyDescent="0.2">
      <c r="A1531">
        <v>979</v>
      </c>
      <c r="B1531">
        <v>3693042</v>
      </c>
      <c r="C1531">
        <v>21883</v>
      </c>
      <c r="F1531" t="s">
        <v>6751</v>
      </c>
    </row>
    <row r="1532" spans="1:6" x14ac:dyDescent="0.2">
      <c r="A1532">
        <v>979</v>
      </c>
      <c r="B1532">
        <v>3693043</v>
      </c>
      <c r="C1532">
        <v>21883</v>
      </c>
      <c r="F1532" t="s">
        <v>6751</v>
      </c>
    </row>
    <row r="1533" spans="1:6" x14ac:dyDescent="0.2">
      <c r="A1533">
        <v>979</v>
      </c>
      <c r="B1533">
        <v>3693044</v>
      </c>
      <c r="C1533">
        <v>21883</v>
      </c>
      <c r="F1533" t="s">
        <v>6751</v>
      </c>
    </row>
    <row r="1534" spans="1:6" x14ac:dyDescent="0.2">
      <c r="A1534">
        <v>979</v>
      </c>
      <c r="B1534">
        <v>3693045</v>
      </c>
      <c r="C1534">
        <v>21883</v>
      </c>
      <c r="F1534" t="s">
        <v>6751</v>
      </c>
    </row>
    <row r="1535" spans="1:6" x14ac:dyDescent="0.2">
      <c r="A1535">
        <v>979</v>
      </c>
      <c r="B1535">
        <v>3693046</v>
      </c>
      <c r="C1535">
        <v>21883</v>
      </c>
      <c r="F1535" t="s">
        <v>6751</v>
      </c>
    </row>
    <row r="1536" spans="1:6" x14ac:dyDescent="0.2">
      <c r="A1536">
        <v>979</v>
      </c>
      <c r="B1536">
        <v>3693048</v>
      </c>
      <c r="C1536">
        <v>21883</v>
      </c>
      <c r="F1536" t="s">
        <v>1105</v>
      </c>
    </row>
    <row r="1537" spans="1:6" x14ac:dyDescent="0.2">
      <c r="A1537">
        <v>979</v>
      </c>
      <c r="B1537">
        <v>3693049</v>
      </c>
      <c r="C1537">
        <v>21883</v>
      </c>
      <c r="F1537" t="s">
        <v>1105</v>
      </c>
    </row>
    <row r="1538" spans="1:6" x14ac:dyDescent="0.2">
      <c r="A1538">
        <v>979</v>
      </c>
      <c r="B1538">
        <v>3693131</v>
      </c>
      <c r="C1538">
        <v>21883</v>
      </c>
      <c r="F1538" t="s">
        <v>1105</v>
      </c>
    </row>
    <row r="1539" spans="1:6" x14ac:dyDescent="0.2">
      <c r="A1539">
        <v>979</v>
      </c>
      <c r="B1539">
        <v>3693132</v>
      </c>
      <c r="C1539">
        <v>21883</v>
      </c>
      <c r="F1539" t="s">
        <v>1105</v>
      </c>
    </row>
    <row r="1540" spans="1:6" x14ac:dyDescent="0.2">
      <c r="A1540">
        <v>979</v>
      </c>
      <c r="B1540">
        <v>3693133</v>
      </c>
      <c r="C1540">
        <v>21883</v>
      </c>
      <c r="F1540" t="s">
        <v>6748</v>
      </c>
    </row>
    <row r="1541" spans="1:6" x14ac:dyDescent="0.2">
      <c r="A1541">
        <v>979</v>
      </c>
      <c r="B1541">
        <v>3693134</v>
      </c>
      <c r="C1541">
        <v>21883</v>
      </c>
      <c r="F1541" t="s">
        <v>1105</v>
      </c>
    </row>
    <row r="1542" spans="1:6" x14ac:dyDescent="0.2">
      <c r="A1542">
        <v>979</v>
      </c>
      <c r="B1542">
        <v>3693135</v>
      </c>
      <c r="C1542">
        <v>21883</v>
      </c>
      <c r="F1542" t="s">
        <v>6750</v>
      </c>
    </row>
    <row r="1543" spans="1:6" x14ac:dyDescent="0.2">
      <c r="A1543">
        <v>979</v>
      </c>
      <c r="B1543">
        <v>3693136</v>
      </c>
      <c r="C1543">
        <v>21883</v>
      </c>
      <c r="F1543" t="s">
        <v>1105</v>
      </c>
    </row>
    <row r="1544" spans="1:6" x14ac:dyDescent="0.2">
      <c r="A1544">
        <v>979</v>
      </c>
      <c r="B1544">
        <v>3693137</v>
      </c>
      <c r="C1544">
        <v>21883</v>
      </c>
      <c r="F1544" t="s">
        <v>6748</v>
      </c>
    </row>
    <row r="1545" spans="1:6" x14ac:dyDescent="0.2">
      <c r="A1545">
        <v>979</v>
      </c>
      <c r="B1545">
        <v>3693138</v>
      </c>
      <c r="C1545">
        <v>21883</v>
      </c>
      <c r="F1545" t="s">
        <v>1105</v>
      </c>
    </row>
    <row r="1546" spans="1:6" x14ac:dyDescent="0.2">
      <c r="A1546">
        <v>979</v>
      </c>
      <c r="B1546">
        <v>3693139</v>
      </c>
      <c r="C1546">
        <v>21883</v>
      </c>
      <c r="F1546" t="s">
        <v>6750</v>
      </c>
    </row>
    <row r="1547" spans="1:6" x14ac:dyDescent="0.2">
      <c r="A1547">
        <v>979</v>
      </c>
      <c r="B1547">
        <v>3693140</v>
      </c>
      <c r="C1547">
        <v>21883</v>
      </c>
      <c r="F1547" t="s">
        <v>1105</v>
      </c>
    </row>
    <row r="1548" spans="1:6" x14ac:dyDescent="0.2">
      <c r="A1548">
        <v>979</v>
      </c>
      <c r="B1548">
        <v>3693141</v>
      </c>
      <c r="C1548">
        <v>21883</v>
      </c>
      <c r="F1548" t="s">
        <v>6750</v>
      </c>
    </row>
    <row r="1549" spans="1:6" x14ac:dyDescent="0.2">
      <c r="A1549">
        <v>979</v>
      </c>
      <c r="B1549">
        <v>3693142</v>
      </c>
      <c r="C1549">
        <v>21883</v>
      </c>
      <c r="F1549" t="s">
        <v>1105</v>
      </c>
    </row>
    <row r="1550" spans="1:6" x14ac:dyDescent="0.2">
      <c r="A1550">
        <v>979</v>
      </c>
      <c r="B1550">
        <v>3693143</v>
      </c>
      <c r="C1550">
        <v>21883</v>
      </c>
      <c r="F1550" t="s">
        <v>6750</v>
      </c>
    </row>
    <row r="1551" spans="1:6" x14ac:dyDescent="0.2">
      <c r="A1551">
        <v>979</v>
      </c>
      <c r="B1551">
        <v>3693144</v>
      </c>
      <c r="C1551">
        <v>21883</v>
      </c>
      <c r="F1551" t="s">
        <v>1105</v>
      </c>
    </row>
    <row r="1552" spans="1:6" x14ac:dyDescent="0.2">
      <c r="A1552">
        <v>979</v>
      </c>
      <c r="B1552">
        <v>3693145</v>
      </c>
      <c r="C1552">
        <v>21883</v>
      </c>
      <c r="F1552" t="s">
        <v>6750</v>
      </c>
    </row>
    <row r="1553" spans="1:6" x14ac:dyDescent="0.2">
      <c r="A1553">
        <v>979</v>
      </c>
      <c r="B1553">
        <v>3693146</v>
      </c>
      <c r="C1553">
        <v>21883</v>
      </c>
      <c r="F1553" t="s">
        <v>1105</v>
      </c>
    </row>
    <row r="1554" spans="1:6" x14ac:dyDescent="0.2">
      <c r="A1554">
        <v>979</v>
      </c>
      <c r="B1554">
        <v>3693147</v>
      </c>
      <c r="C1554">
        <v>21883</v>
      </c>
      <c r="F1554" t="s">
        <v>6750</v>
      </c>
    </row>
    <row r="1555" spans="1:6" x14ac:dyDescent="0.2">
      <c r="A1555">
        <v>979</v>
      </c>
      <c r="B1555">
        <v>3693148</v>
      </c>
      <c r="C1555">
        <v>21883</v>
      </c>
      <c r="F1555" t="s">
        <v>1105</v>
      </c>
    </row>
    <row r="1556" spans="1:6" x14ac:dyDescent="0.2">
      <c r="A1556">
        <v>979</v>
      </c>
      <c r="B1556">
        <v>3693149</v>
      </c>
      <c r="C1556">
        <v>21883</v>
      </c>
      <c r="F1556" t="s">
        <v>6750</v>
      </c>
    </row>
    <row r="1557" spans="1:6" x14ac:dyDescent="0.2">
      <c r="A1557">
        <v>979</v>
      </c>
      <c r="B1557">
        <v>3693150</v>
      </c>
      <c r="C1557">
        <v>21883</v>
      </c>
      <c r="F1557" t="s">
        <v>1105</v>
      </c>
    </row>
    <row r="1558" spans="1:6" x14ac:dyDescent="0.2">
      <c r="A1558">
        <v>979</v>
      </c>
      <c r="B1558">
        <v>3693151</v>
      </c>
      <c r="C1558">
        <v>21883</v>
      </c>
      <c r="F1558" t="s">
        <v>6750</v>
      </c>
    </row>
    <row r="1559" spans="1:6" x14ac:dyDescent="0.2">
      <c r="A1559">
        <v>979</v>
      </c>
      <c r="B1559">
        <v>3693152</v>
      </c>
      <c r="C1559">
        <v>21883</v>
      </c>
      <c r="F1559" t="s">
        <v>1105</v>
      </c>
    </row>
    <row r="1560" spans="1:6" x14ac:dyDescent="0.2">
      <c r="A1560">
        <v>979</v>
      </c>
      <c r="B1560">
        <v>3693153</v>
      </c>
      <c r="C1560">
        <v>21883</v>
      </c>
      <c r="F1560" t="s">
        <v>6750</v>
      </c>
    </row>
    <row r="1561" spans="1:6" x14ac:dyDescent="0.2">
      <c r="A1561">
        <v>979</v>
      </c>
      <c r="B1561">
        <v>3693154</v>
      </c>
      <c r="C1561">
        <v>21883</v>
      </c>
      <c r="F1561" t="s">
        <v>1105</v>
      </c>
    </row>
    <row r="1562" spans="1:6" x14ac:dyDescent="0.2">
      <c r="A1562">
        <v>979</v>
      </c>
      <c r="B1562">
        <v>3693155</v>
      </c>
      <c r="C1562">
        <v>21883</v>
      </c>
      <c r="F1562" t="s">
        <v>6750</v>
      </c>
    </row>
    <row r="1563" spans="1:6" x14ac:dyDescent="0.2">
      <c r="A1563">
        <v>979</v>
      </c>
      <c r="B1563">
        <v>3693156</v>
      </c>
      <c r="C1563">
        <v>21883</v>
      </c>
      <c r="F1563" t="s">
        <v>1105</v>
      </c>
    </row>
    <row r="1564" spans="1:6" x14ac:dyDescent="0.2">
      <c r="A1564">
        <v>979</v>
      </c>
      <c r="B1564">
        <v>3693157</v>
      </c>
      <c r="C1564">
        <v>21883</v>
      </c>
      <c r="F1564" t="s">
        <v>6750</v>
      </c>
    </row>
    <row r="1565" spans="1:6" x14ac:dyDescent="0.2">
      <c r="A1565">
        <v>979</v>
      </c>
      <c r="B1565">
        <v>3693158</v>
      </c>
      <c r="C1565">
        <v>21883</v>
      </c>
      <c r="F1565" t="s">
        <v>1105</v>
      </c>
    </row>
    <row r="1566" spans="1:6" x14ac:dyDescent="0.2">
      <c r="A1566">
        <v>979</v>
      </c>
      <c r="B1566">
        <v>3693215</v>
      </c>
      <c r="C1566">
        <v>21883</v>
      </c>
      <c r="F1566">
        <v>2</v>
      </c>
    </row>
    <row r="1567" spans="1:6" x14ac:dyDescent="0.2">
      <c r="A1567">
        <v>979</v>
      </c>
      <c r="B1567">
        <v>3693249</v>
      </c>
      <c r="C1567">
        <v>21883</v>
      </c>
      <c r="F1567" t="s">
        <v>1105</v>
      </c>
    </row>
    <row r="1568" spans="1:6" x14ac:dyDescent="0.2">
      <c r="A1568">
        <v>979</v>
      </c>
      <c r="B1568">
        <v>3693250</v>
      </c>
      <c r="C1568">
        <v>21883</v>
      </c>
      <c r="F1568" t="s">
        <v>1105</v>
      </c>
    </row>
    <row r="1569" spans="1:6" x14ac:dyDescent="0.2">
      <c r="A1569">
        <v>979</v>
      </c>
      <c r="B1569">
        <v>3693251</v>
      </c>
      <c r="C1569">
        <v>21883</v>
      </c>
      <c r="F1569" t="s">
        <v>1105</v>
      </c>
    </row>
    <row r="1570" spans="1:6" x14ac:dyDescent="0.2">
      <c r="A1570">
        <v>979</v>
      </c>
      <c r="B1570">
        <v>3693252</v>
      </c>
      <c r="C1570">
        <v>21883</v>
      </c>
      <c r="F1570" t="s">
        <v>1105</v>
      </c>
    </row>
    <row r="1571" spans="1:6" x14ac:dyDescent="0.2">
      <c r="A1571">
        <v>979</v>
      </c>
      <c r="B1571">
        <v>3693253</v>
      </c>
      <c r="C1571">
        <v>21883</v>
      </c>
      <c r="F1571" t="s">
        <v>1105</v>
      </c>
    </row>
    <row r="1572" spans="1:6" x14ac:dyDescent="0.2">
      <c r="A1572">
        <v>979</v>
      </c>
      <c r="B1572">
        <v>3693254</v>
      </c>
      <c r="C1572">
        <v>21883</v>
      </c>
      <c r="F1572" t="s">
        <v>1105</v>
      </c>
    </row>
    <row r="1573" spans="1:6" x14ac:dyDescent="0.2">
      <c r="A1573">
        <v>979</v>
      </c>
      <c r="B1573">
        <v>3693255</v>
      </c>
      <c r="C1573">
        <v>21883</v>
      </c>
      <c r="F1573" t="s">
        <v>1105</v>
      </c>
    </row>
    <row r="1574" spans="1:6" x14ac:dyDescent="0.2">
      <c r="A1574">
        <v>979</v>
      </c>
      <c r="B1574">
        <v>3693256</v>
      </c>
      <c r="C1574">
        <v>21883</v>
      </c>
      <c r="F1574" t="s">
        <v>1105</v>
      </c>
    </row>
    <row r="1575" spans="1:6" x14ac:dyDescent="0.2">
      <c r="A1575">
        <v>979</v>
      </c>
      <c r="B1575">
        <v>3693257</v>
      </c>
      <c r="C1575">
        <v>21883</v>
      </c>
      <c r="F1575" t="s">
        <v>1105</v>
      </c>
    </row>
    <row r="1576" spans="1:6" x14ac:dyDescent="0.2">
      <c r="A1576">
        <v>979</v>
      </c>
      <c r="B1576">
        <v>3693258</v>
      </c>
      <c r="C1576">
        <v>21883</v>
      </c>
      <c r="F1576" t="s">
        <v>1105</v>
      </c>
    </row>
    <row r="1577" spans="1:6" x14ac:dyDescent="0.2">
      <c r="A1577">
        <v>979</v>
      </c>
      <c r="B1577">
        <v>3693259</v>
      </c>
      <c r="C1577">
        <v>21883</v>
      </c>
      <c r="F1577" t="s">
        <v>1105</v>
      </c>
    </row>
    <row r="1578" spans="1:6" x14ac:dyDescent="0.2">
      <c r="A1578">
        <v>979</v>
      </c>
      <c r="B1578">
        <v>3693260</v>
      </c>
      <c r="C1578">
        <v>21883</v>
      </c>
      <c r="F1578" t="s">
        <v>1105</v>
      </c>
    </row>
    <row r="1579" spans="1:6" x14ac:dyDescent="0.2">
      <c r="A1579">
        <v>979</v>
      </c>
      <c r="B1579">
        <v>3693261</v>
      </c>
      <c r="C1579">
        <v>21883</v>
      </c>
      <c r="F1579" t="s">
        <v>1105</v>
      </c>
    </row>
    <row r="1580" spans="1:6" x14ac:dyDescent="0.2">
      <c r="A1580">
        <v>979</v>
      </c>
      <c r="B1580">
        <v>3693287</v>
      </c>
      <c r="C1580">
        <v>21883</v>
      </c>
      <c r="F1580" t="s">
        <v>1105</v>
      </c>
    </row>
    <row r="1581" spans="1:6" x14ac:dyDescent="0.2">
      <c r="A1581">
        <v>979</v>
      </c>
      <c r="B1581">
        <v>3693288</v>
      </c>
      <c r="C1581">
        <v>21883</v>
      </c>
      <c r="F1581" t="s">
        <v>6750</v>
      </c>
    </row>
    <row r="1582" spans="1:6" x14ac:dyDescent="0.2">
      <c r="A1582">
        <v>979</v>
      </c>
      <c r="B1582">
        <v>3693289</v>
      </c>
      <c r="C1582">
        <v>21883</v>
      </c>
      <c r="F1582" t="s">
        <v>1105</v>
      </c>
    </row>
    <row r="1583" spans="1:6" x14ac:dyDescent="0.2">
      <c r="A1583">
        <v>979</v>
      </c>
      <c r="B1583">
        <v>3693290</v>
      </c>
      <c r="C1583">
        <v>21883</v>
      </c>
      <c r="F1583" t="s">
        <v>6748</v>
      </c>
    </row>
    <row r="1584" spans="1:6" x14ac:dyDescent="0.2">
      <c r="A1584">
        <v>979</v>
      </c>
      <c r="B1584">
        <v>3693291</v>
      </c>
      <c r="C1584">
        <v>21883</v>
      </c>
      <c r="F1584" t="s">
        <v>1105</v>
      </c>
    </row>
    <row r="1585" spans="1:6" x14ac:dyDescent="0.2">
      <c r="A1585">
        <v>979</v>
      </c>
      <c r="B1585">
        <v>3693292</v>
      </c>
      <c r="C1585">
        <v>21883</v>
      </c>
      <c r="F1585" t="s">
        <v>1105</v>
      </c>
    </row>
    <row r="1586" spans="1:6" x14ac:dyDescent="0.2">
      <c r="A1586">
        <v>979</v>
      </c>
      <c r="B1586">
        <v>3693293</v>
      </c>
      <c r="C1586">
        <v>21883</v>
      </c>
      <c r="F1586" t="s">
        <v>6750</v>
      </c>
    </row>
    <row r="1587" spans="1:6" x14ac:dyDescent="0.2">
      <c r="A1587">
        <v>979</v>
      </c>
      <c r="B1587">
        <v>3693294</v>
      </c>
      <c r="C1587">
        <v>21883</v>
      </c>
      <c r="F1587" t="s">
        <v>1105</v>
      </c>
    </row>
    <row r="1588" spans="1:6" x14ac:dyDescent="0.2">
      <c r="A1588">
        <v>979</v>
      </c>
      <c r="B1588">
        <v>3693295</v>
      </c>
      <c r="C1588">
        <v>21883</v>
      </c>
      <c r="F1588" t="s">
        <v>6748</v>
      </c>
    </row>
    <row r="1589" spans="1:6" x14ac:dyDescent="0.2">
      <c r="A1589">
        <v>979</v>
      </c>
      <c r="B1589">
        <v>3693296</v>
      </c>
      <c r="C1589">
        <v>21883</v>
      </c>
      <c r="F1589" t="s">
        <v>1105</v>
      </c>
    </row>
    <row r="1590" spans="1:6" x14ac:dyDescent="0.2">
      <c r="A1590">
        <v>979</v>
      </c>
      <c r="B1590">
        <v>3693297</v>
      </c>
      <c r="C1590">
        <v>21883</v>
      </c>
      <c r="F1590" t="s">
        <v>1105</v>
      </c>
    </row>
    <row r="1591" spans="1:6" x14ac:dyDescent="0.2">
      <c r="A1591">
        <v>979</v>
      </c>
      <c r="B1591">
        <v>3693299</v>
      </c>
      <c r="C1591">
        <v>21883</v>
      </c>
      <c r="F1591" t="s">
        <v>1105</v>
      </c>
    </row>
    <row r="1592" spans="1:6" x14ac:dyDescent="0.2">
      <c r="A1592">
        <v>979</v>
      </c>
      <c r="B1592">
        <v>3693319</v>
      </c>
      <c r="C1592">
        <v>21883</v>
      </c>
      <c r="F1592">
        <v>1</v>
      </c>
    </row>
    <row r="1593" spans="1:6" x14ac:dyDescent="0.2">
      <c r="A1593">
        <v>979</v>
      </c>
      <c r="B1593">
        <v>3693320</v>
      </c>
      <c r="C1593">
        <v>21883</v>
      </c>
      <c r="F1593">
        <v>1</v>
      </c>
    </row>
    <row r="1594" spans="1:6" x14ac:dyDescent="0.2">
      <c r="A1594">
        <v>979</v>
      </c>
      <c r="B1594">
        <v>3693321</v>
      </c>
      <c r="C1594">
        <v>21883</v>
      </c>
      <c r="F1594">
        <v>2</v>
      </c>
    </row>
    <row r="1595" spans="1:6" x14ac:dyDescent="0.2">
      <c r="A1595">
        <v>979</v>
      </c>
      <c r="B1595">
        <v>3693348</v>
      </c>
      <c r="C1595">
        <v>21883</v>
      </c>
      <c r="F1595" t="s">
        <v>1105</v>
      </c>
    </row>
    <row r="1596" spans="1:6" x14ac:dyDescent="0.2">
      <c r="A1596">
        <v>979</v>
      </c>
      <c r="B1596">
        <v>3693349</v>
      </c>
      <c r="C1596">
        <v>21883</v>
      </c>
      <c r="F1596" t="s">
        <v>1105</v>
      </c>
    </row>
    <row r="1597" spans="1:6" x14ac:dyDescent="0.2">
      <c r="A1597">
        <v>979</v>
      </c>
      <c r="B1597">
        <v>3693350</v>
      </c>
      <c r="C1597">
        <v>21883</v>
      </c>
      <c r="F1597" t="s">
        <v>1105</v>
      </c>
    </row>
    <row r="1598" spans="1:6" x14ac:dyDescent="0.2">
      <c r="A1598">
        <v>979</v>
      </c>
      <c r="B1598">
        <v>3693351</v>
      </c>
      <c r="C1598">
        <v>21883</v>
      </c>
      <c r="F1598" t="s">
        <v>1105</v>
      </c>
    </row>
    <row r="1599" spans="1:6" x14ac:dyDescent="0.2">
      <c r="A1599">
        <v>979</v>
      </c>
      <c r="B1599">
        <v>3693352</v>
      </c>
      <c r="C1599">
        <v>21883</v>
      </c>
      <c r="F1599" t="s">
        <v>1105</v>
      </c>
    </row>
    <row r="1600" spans="1:6" x14ac:dyDescent="0.2">
      <c r="A1600">
        <v>979</v>
      </c>
      <c r="B1600">
        <v>3693353</v>
      </c>
      <c r="C1600">
        <v>21883</v>
      </c>
      <c r="F1600" t="s">
        <v>1105</v>
      </c>
    </row>
    <row r="1601" spans="1:6" x14ac:dyDescent="0.2">
      <c r="A1601">
        <v>979</v>
      </c>
      <c r="B1601">
        <v>3693354</v>
      </c>
      <c r="C1601">
        <v>21883</v>
      </c>
      <c r="F1601" t="s">
        <v>1105</v>
      </c>
    </row>
    <row r="1602" spans="1:6" x14ac:dyDescent="0.2">
      <c r="A1602">
        <v>979</v>
      </c>
      <c r="B1602">
        <v>3693355</v>
      </c>
      <c r="C1602">
        <v>21883</v>
      </c>
      <c r="F1602" t="s">
        <v>1105</v>
      </c>
    </row>
    <row r="1603" spans="1:6" x14ac:dyDescent="0.2">
      <c r="A1603">
        <v>979</v>
      </c>
      <c r="B1603">
        <v>3693358</v>
      </c>
      <c r="C1603">
        <v>21883</v>
      </c>
      <c r="F1603" t="s">
        <v>1105</v>
      </c>
    </row>
    <row r="1604" spans="1:6" x14ac:dyDescent="0.2">
      <c r="A1604">
        <v>979</v>
      </c>
      <c r="B1604">
        <v>3693359</v>
      </c>
      <c r="C1604">
        <v>21883</v>
      </c>
      <c r="F1604" t="s">
        <v>1105</v>
      </c>
    </row>
    <row r="1605" spans="1:6" x14ac:dyDescent="0.2">
      <c r="A1605">
        <v>979</v>
      </c>
      <c r="B1605">
        <v>3693360</v>
      </c>
      <c r="C1605">
        <v>21883</v>
      </c>
      <c r="F1605" t="s">
        <v>1105</v>
      </c>
    </row>
    <row r="1606" spans="1:6" x14ac:dyDescent="0.2">
      <c r="A1606">
        <v>979</v>
      </c>
      <c r="B1606">
        <v>3693361</v>
      </c>
      <c r="C1606">
        <v>21883</v>
      </c>
      <c r="F1606" t="s">
        <v>1105</v>
      </c>
    </row>
    <row r="1607" spans="1:6" x14ac:dyDescent="0.2">
      <c r="A1607">
        <v>979</v>
      </c>
      <c r="B1607">
        <v>3693362</v>
      </c>
      <c r="C1607">
        <v>21883</v>
      </c>
      <c r="F1607" t="s">
        <v>1105</v>
      </c>
    </row>
    <row r="1608" spans="1:6" x14ac:dyDescent="0.2">
      <c r="A1608">
        <v>979</v>
      </c>
      <c r="B1608">
        <v>3693363</v>
      </c>
      <c r="C1608">
        <v>21883</v>
      </c>
      <c r="F1608" t="s">
        <v>1105</v>
      </c>
    </row>
    <row r="1609" spans="1:6" x14ac:dyDescent="0.2">
      <c r="A1609">
        <v>979</v>
      </c>
      <c r="B1609">
        <v>3693364</v>
      </c>
      <c r="C1609">
        <v>21883</v>
      </c>
      <c r="F1609" t="s">
        <v>1105</v>
      </c>
    </row>
    <row r="1610" spans="1:6" x14ac:dyDescent="0.2">
      <c r="A1610">
        <v>979</v>
      </c>
      <c r="B1610">
        <v>3693365</v>
      </c>
      <c r="C1610">
        <v>21883</v>
      </c>
      <c r="F1610" t="s">
        <v>1105</v>
      </c>
    </row>
    <row r="1611" spans="1:6" x14ac:dyDescent="0.2">
      <c r="A1611">
        <v>979</v>
      </c>
      <c r="B1611">
        <v>3693366</v>
      </c>
      <c r="C1611">
        <v>21883</v>
      </c>
      <c r="F1611" t="s">
        <v>1105</v>
      </c>
    </row>
    <row r="1612" spans="1:6" x14ac:dyDescent="0.2">
      <c r="A1612">
        <v>979</v>
      </c>
      <c r="B1612">
        <v>3693367</v>
      </c>
      <c r="C1612">
        <v>21883</v>
      </c>
      <c r="F1612" t="s">
        <v>1105</v>
      </c>
    </row>
    <row r="1613" spans="1:6" x14ac:dyDescent="0.2">
      <c r="A1613">
        <v>979</v>
      </c>
      <c r="B1613">
        <v>3693368</v>
      </c>
      <c r="C1613">
        <v>21883</v>
      </c>
      <c r="F1613" t="s">
        <v>1105</v>
      </c>
    </row>
    <row r="1614" spans="1:6" x14ac:dyDescent="0.2">
      <c r="A1614">
        <v>979</v>
      </c>
      <c r="B1614">
        <v>3693369</v>
      </c>
      <c r="C1614">
        <v>21883</v>
      </c>
      <c r="F1614" t="s">
        <v>1105</v>
      </c>
    </row>
    <row r="1615" spans="1:6" x14ac:dyDescent="0.2">
      <c r="A1615">
        <v>979</v>
      </c>
      <c r="B1615">
        <v>3693370</v>
      </c>
      <c r="C1615">
        <v>21883</v>
      </c>
      <c r="F1615" t="s">
        <v>1105</v>
      </c>
    </row>
    <row r="1616" spans="1:6" x14ac:dyDescent="0.2">
      <c r="A1616">
        <v>979</v>
      </c>
      <c r="B1616">
        <v>3693371</v>
      </c>
      <c r="C1616">
        <v>21883</v>
      </c>
      <c r="F1616" t="s">
        <v>1105</v>
      </c>
    </row>
    <row r="1617" spans="1:6" x14ac:dyDescent="0.2">
      <c r="A1617">
        <v>979</v>
      </c>
      <c r="B1617">
        <v>3693372</v>
      </c>
      <c r="C1617">
        <v>21883</v>
      </c>
      <c r="F1617" t="s">
        <v>1105</v>
      </c>
    </row>
    <row r="1618" spans="1:6" x14ac:dyDescent="0.2">
      <c r="A1618">
        <v>979</v>
      </c>
      <c r="B1618">
        <v>3693373</v>
      </c>
      <c r="C1618">
        <v>21883</v>
      </c>
      <c r="F1618" t="s">
        <v>1105</v>
      </c>
    </row>
    <row r="1619" spans="1:6" x14ac:dyDescent="0.2">
      <c r="A1619">
        <v>979</v>
      </c>
      <c r="B1619">
        <v>3693374</v>
      </c>
      <c r="C1619">
        <v>21883</v>
      </c>
      <c r="F1619" t="s">
        <v>1105</v>
      </c>
    </row>
    <row r="1620" spans="1:6" x14ac:dyDescent="0.2">
      <c r="A1620">
        <v>979</v>
      </c>
      <c r="B1620">
        <v>3693375</v>
      </c>
      <c r="C1620">
        <v>21883</v>
      </c>
      <c r="F1620" t="s">
        <v>1105</v>
      </c>
    </row>
    <row r="1621" spans="1:6" x14ac:dyDescent="0.2">
      <c r="A1621">
        <v>979</v>
      </c>
      <c r="B1621">
        <v>3693376</v>
      </c>
      <c r="C1621">
        <v>21883</v>
      </c>
      <c r="F1621" t="s">
        <v>1105</v>
      </c>
    </row>
    <row r="1622" spans="1:6" x14ac:dyDescent="0.2">
      <c r="A1622">
        <v>979</v>
      </c>
      <c r="B1622">
        <v>3693377</v>
      </c>
      <c r="C1622">
        <v>21883</v>
      </c>
      <c r="F1622" t="s">
        <v>1105</v>
      </c>
    </row>
    <row r="1623" spans="1:6" x14ac:dyDescent="0.2">
      <c r="A1623">
        <v>979</v>
      </c>
      <c r="B1623">
        <v>3693378</v>
      </c>
      <c r="C1623">
        <v>21883</v>
      </c>
      <c r="F1623" t="s">
        <v>1105</v>
      </c>
    </row>
    <row r="1624" spans="1:6" x14ac:dyDescent="0.2">
      <c r="A1624">
        <v>979</v>
      </c>
      <c r="B1624">
        <v>3693379</v>
      </c>
      <c r="C1624">
        <v>21883</v>
      </c>
      <c r="F1624" t="s">
        <v>1105</v>
      </c>
    </row>
    <row r="1625" spans="1:6" x14ac:dyDescent="0.2">
      <c r="A1625">
        <v>979</v>
      </c>
      <c r="B1625">
        <v>3693380</v>
      </c>
      <c r="C1625">
        <v>21883</v>
      </c>
      <c r="F1625" t="s">
        <v>1105</v>
      </c>
    </row>
    <row r="1626" spans="1:6" x14ac:dyDescent="0.2">
      <c r="A1626">
        <v>979</v>
      </c>
      <c r="B1626">
        <v>3693381</v>
      </c>
      <c r="C1626">
        <v>21883</v>
      </c>
      <c r="F1626" t="s">
        <v>1105</v>
      </c>
    </row>
    <row r="1627" spans="1:6" x14ac:dyDescent="0.2">
      <c r="A1627">
        <v>979</v>
      </c>
      <c r="B1627">
        <v>3693382</v>
      </c>
      <c r="C1627">
        <v>21883</v>
      </c>
      <c r="F1627" t="s">
        <v>1105</v>
      </c>
    </row>
    <row r="1628" spans="1:6" x14ac:dyDescent="0.2">
      <c r="A1628">
        <v>979</v>
      </c>
      <c r="B1628">
        <v>3693383</v>
      </c>
      <c r="C1628">
        <v>21883</v>
      </c>
      <c r="F1628" t="s">
        <v>1105</v>
      </c>
    </row>
    <row r="1629" spans="1:6" x14ac:dyDescent="0.2">
      <c r="A1629">
        <v>979</v>
      </c>
      <c r="B1629">
        <v>3693384</v>
      </c>
      <c r="C1629">
        <v>21883</v>
      </c>
      <c r="F1629" t="s">
        <v>1105</v>
      </c>
    </row>
    <row r="1630" spans="1:6" x14ac:dyDescent="0.2">
      <c r="A1630">
        <v>979</v>
      </c>
      <c r="B1630">
        <v>3693385</v>
      </c>
      <c r="C1630">
        <v>21883</v>
      </c>
      <c r="F1630" t="s">
        <v>1105</v>
      </c>
    </row>
    <row r="1631" spans="1:6" x14ac:dyDescent="0.2">
      <c r="A1631">
        <v>979</v>
      </c>
      <c r="B1631">
        <v>3693386</v>
      </c>
      <c r="C1631">
        <v>21883</v>
      </c>
      <c r="F1631" t="s">
        <v>1105</v>
      </c>
    </row>
    <row r="1632" spans="1:6" x14ac:dyDescent="0.2">
      <c r="A1632">
        <v>979</v>
      </c>
      <c r="B1632">
        <v>3693387</v>
      </c>
      <c r="C1632">
        <v>21883</v>
      </c>
      <c r="F1632" t="s">
        <v>1105</v>
      </c>
    </row>
    <row r="1633" spans="1:6" x14ac:dyDescent="0.2">
      <c r="A1633">
        <v>979</v>
      </c>
      <c r="B1633">
        <v>3693388</v>
      </c>
      <c r="C1633">
        <v>21883</v>
      </c>
      <c r="F1633" t="s">
        <v>1105</v>
      </c>
    </row>
    <row r="1634" spans="1:6" x14ac:dyDescent="0.2">
      <c r="A1634">
        <v>979</v>
      </c>
      <c r="B1634">
        <v>3693390</v>
      </c>
      <c r="C1634">
        <v>21883</v>
      </c>
      <c r="F1634" t="s">
        <v>1105</v>
      </c>
    </row>
    <row r="1635" spans="1:6" x14ac:dyDescent="0.2">
      <c r="A1635">
        <v>979</v>
      </c>
      <c r="B1635">
        <v>3693392</v>
      </c>
      <c r="C1635">
        <v>21883</v>
      </c>
      <c r="F1635" t="s">
        <v>1105</v>
      </c>
    </row>
    <row r="1636" spans="1:6" x14ac:dyDescent="0.2">
      <c r="A1636">
        <v>979</v>
      </c>
      <c r="B1636">
        <v>3693393</v>
      </c>
      <c r="C1636">
        <v>21883</v>
      </c>
      <c r="F1636" t="s">
        <v>1105</v>
      </c>
    </row>
    <row r="1637" spans="1:6" x14ac:dyDescent="0.2">
      <c r="A1637">
        <v>979</v>
      </c>
      <c r="B1637">
        <v>3693396</v>
      </c>
      <c r="C1637">
        <v>21883</v>
      </c>
      <c r="F1637" t="s">
        <v>1105</v>
      </c>
    </row>
    <row r="1638" spans="1:6" x14ac:dyDescent="0.2">
      <c r="A1638">
        <v>979</v>
      </c>
      <c r="B1638">
        <v>3693397</v>
      </c>
      <c r="C1638">
        <v>21883</v>
      </c>
      <c r="F1638" t="s">
        <v>1105</v>
      </c>
    </row>
    <row r="1639" spans="1:6" x14ac:dyDescent="0.2">
      <c r="A1639">
        <v>979</v>
      </c>
      <c r="B1639">
        <v>3693398</v>
      </c>
      <c r="C1639">
        <v>21883</v>
      </c>
      <c r="F1639" t="s">
        <v>1105</v>
      </c>
    </row>
    <row r="1640" spans="1:6" x14ac:dyDescent="0.2">
      <c r="A1640">
        <v>979</v>
      </c>
      <c r="B1640">
        <v>3693401</v>
      </c>
      <c r="C1640">
        <v>21883</v>
      </c>
      <c r="F1640" t="s">
        <v>1105</v>
      </c>
    </row>
    <row r="1641" spans="1:6" x14ac:dyDescent="0.2">
      <c r="A1641">
        <v>979</v>
      </c>
      <c r="B1641">
        <v>3693402</v>
      </c>
      <c r="C1641">
        <v>21883</v>
      </c>
      <c r="F1641" t="s">
        <v>1105</v>
      </c>
    </row>
    <row r="1642" spans="1:6" x14ac:dyDescent="0.2">
      <c r="A1642">
        <v>979</v>
      </c>
      <c r="B1642">
        <v>3693403</v>
      </c>
      <c r="C1642">
        <v>21883</v>
      </c>
      <c r="F1642" t="s">
        <v>1105</v>
      </c>
    </row>
    <row r="1643" spans="1:6" x14ac:dyDescent="0.2">
      <c r="A1643">
        <v>979</v>
      </c>
      <c r="B1643">
        <v>3693404</v>
      </c>
      <c r="C1643">
        <v>21883</v>
      </c>
      <c r="F1643" t="s">
        <v>1105</v>
      </c>
    </row>
    <row r="1644" spans="1:6" x14ac:dyDescent="0.2">
      <c r="A1644">
        <v>979</v>
      </c>
      <c r="B1644">
        <v>3693405</v>
      </c>
      <c r="C1644">
        <v>21883</v>
      </c>
      <c r="F1644" t="s">
        <v>1105</v>
      </c>
    </row>
    <row r="1645" spans="1:6" x14ac:dyDescent="0.2">
      <c r="A1645">
        <v>979</v>
      </c>
      <c r="B1645">
        <v>3693406</v>
      </c>
      <c r="C1645">
        <v>21883</v>
      </c>
      <c r="F1645" t="s">
        <v>1105</v>
      </c>
    </row>
    <row r="1646" spans="1:6" x14ac:dyDescent="0.2">
      <c r="A1646">
        <v>979</v>
      </c>
      <c r="B1646">
        <v>3693407</v>
      </c>
      <c r="C1646">
        <v>21883</v>
      </c>
      <c r="F1646" t="s">
        <v>1105</v>
      </c>
    </row>
    <row r="1647" spans="1:6" x14ac:dyDescent="0.2">
      <c r="A1647">
        <v>979</v>
      </c>
      <c r="B1647">
        <v>3693408</v>
      </c>
      <c r="C1647">
        <v>21883</v>
      </c>
      <c r="F1647" t="s">
        <v>1105</v>
      </c>
    </row>
    <row r="1648" spans="1:6" x14ac:dyDescent="0.2">
      <c r="A1648">
        <v>979</v>
      </c>
      <c r="B1648">
        <v>3693409</v>
      </c>
      <c r="C1648">
        <v>21883</v>
      </c>
      <c r="F1648" t="s">
        <v>1105</v>
      </c>
    </row>
    <row r="1649" spans="1:6" x14ac:dyDescent="0.2">
      <c r="A1649">
        <v>979</v>
      </c>
      <c r="B1649">
        <v>3693410</v>
      </c>
      <c r="C1649">
        <v>21883</v>
      </c>
      <c r="F1649" t="s">
        <v>1105</v>
      </c>
    </row>
    <row r="1650" spans="1:6" x14ac:dyDescent="0.2">
      <c r="A1650">
        <v>979</v>
      </c>
      <c r="B1650">
        <v>3693411</v>
      </c>
      <c r="C1650">
        <v>21883</v>
      </c>
      <c r="F1650" t="s">
        <v>1105</v>
      </c>
    </row>
    <row r="1651" spans="1:6" x14ac:dyDescent="0.2">
      <c r="A1651">
        <v>979</v>
      </c>
      <c r="B1651">
        <v>3693412</v>
      </c>
      <c r="C1651">
        <v>21883</v>
      </c>
      <c r="F1651" t="s">
        <v>1105</v>
      </c>
    </row>
    <row r="1652" spans="1:6" x14ac:dyDescent="0.2">
      <c r="A1652">
        <v>979</v>
      </c>
      <c r="B1652">
        <v>3693413</v>
      </c>
      <c r="C1652">
        <v>21883</v>
      </c>
      <c r="F1652" t="s">
        <v>1105</v>
      </c>
    </row>
    <row r="1653" spans="1:6" x14ac:dyDescent="0.2">
      <c r="A1653">
        <v>979</v>
      </c>
      <c r="B1653">
        <v>3693414</v>
      </c>
      <c r="C1653">
        <v>21883</v>
      </c>
      <c r="F1653" t="s">
        <v>1105</v>
      </c>
    </row>
    <row r="1654" spans="1:6" x14ac:dyDescent="0.2">
      <c r="A1654">
        <v>979</v>
      </c>
      <c r="B1654">
        <v>3693415</v>
      </c>
      <c r="C1654">
        <v>21883</v>
      </c>
      <c r="F1654" t="s">
        <v>1105</v>
      </c>
    </row>
    <row r="1655" spans="1:6" x14ac:dyDescent="0.2">
      <c r="A1655">
        <v>979</v>
      </c>
      <c r="B1655">
        <v>3693416</v>
      </c>
      <c r="C1655">
        <v>21883</v>
      </c>
      <c r="F1655" t="s">
        <v>1105</v>
      </c>
    </row>
    <row r="1656" spans="1:6" x14ac:dyDescent="0.2">
      <c r="A1656">
        <v>979</v>
      </c>
      <c r="B1656">
        <v>3693417</v>
      </c>
      <c r="C1656">
        <v>21883</v>
      </c>
      <c r="F1656" t="s">
        <v>1105</v>
      </c>
    </row>
    <row r="1657" spans="1:6" x14ac:dyDescent="0.2">
      <c r="A1657">
        <v>979</v>
      </c>
      <c r="B1657">
        <v>3693418</v>
      </c>
      <c r="C1657">
        <v>21883</v>
      </c>
      <c r="F1657" t="s">
        <v>1105</v>
      </c>
    </row>
    <row r="1658" spans="1:6" x14ac:dyDescent="0.2">
      <c r="A1658">
        <v>979</v>
      </c>
      <c r="B1658">
        <v>3693419</v>
      </c>
      <c r="C1658">
        <v>21883</v>
      </c>
      <c r="F1658" t="s">
        <v>1105</v>
      </c>
    </row>
    <row r="1659" spans="1:6" x14ac:dyDescent="0.2">
      <c r="A1659">
        <v>979</v>
      </c>
      <c r="B1659">
        <v>3693420</v>
      </c>
      <c r="C1659">
        <v>21883</v>
      </c>
      <c r="F1659" t="s">
        <v>1105</v>
      </c>
    </row>
    <row r="1660" spans="1:6" x14ac:dyDescent="0.2">
      <c r="A1660">
        <v>979</v>
      </c>
      <c r="B1660">
        <v>3693421</v>
      </c>
      <c r="C1660">
        <v>21883</v>
      </c>
      <c r="F1660" t="s">
        <v>1105</v>
      </c>
    </row>
    <row r="1661" spans="1:6" x14ac:dyDescent="0.2">
      <c r="A1661">
        <v>979</v>
      </c>
      <c r="B1661">
        <v>3693422</v>
      </c>
      <c r="C1661">
        <v>21883</v>
      </c>
      <c r="F1661" t="s">
        <v>1105</v>
      </c>
    </row>
    <row r="1662" spans="1:6" x14ac:dyDescent="0.2">
      <c r="A1662">
        <v>979</v>
      </c>
      <c r="B1662">
        <v>3693423</v>
      </c>
      <c r="C1662">
        <v>21883</v>
      </c>
      <c r="F1662" t="s">
        <v>1105</v>
      </c>
    </row>
    <row r="1663" spans="1:6" x14ac:dyDescent="0.2">
      <c r="A1663">
        <v>979</v>
      </c>
      <c r="B1663">
        <v>3693424</v>
      </c>
      <c r="C1663">
        <v>21883</v>
      </c>
      <c r="F1663" t="s">
        <v>1105</v>
      </c>
    </row>
    <row r="1664" spans="1:6" x14ac:dyDescent="0.2">
      <c r="A1664">
        <v>979</v>
      </c>
      <c r="B1664">
        <v>3693425</v>
      </c>
      <c r="C1664">
        <v>21883</v>
      </c>
      <c r="F1664" t="s">
        <v>1105</v>
      </c>
    </row>
    <row r="1665" spans="1:6" x14ac:dyDescent="0.2">
      <c r="A1665">
        <v>979</v>
      </c>
      <c r="B1665">
        <v>3693426</v>
      </c>
      <c r="C1665">
        <v>21883</v>
      </c>
      <c r="F1665" t="s">
        <v>1105</v>
      </c>
    </row>
    <row r="1666" spans="1:6" x14ac:dyDescent="0.2">
      <c r="A1666">
        <v>979</v>
      </c>
      <c r="B1666">
        <v>3693427</v>
      </c>
      <c r="C1666">
        <v>21883</v>
      </c>
      <c r="F1666" t="s">
        <v>1105</v>
      </c>
    </row>
    <row r="1667" spans="1:6" x14ac:dyDescent="0.2">
      <c r="A1667">
        <v>979</v>
      </c>
      <c r="B1667">
        <v>3693428</v>
      </c>
      <c r="C1667">
        <v>21883</v>
      </c>
      <c r="F1667" t="s">
        <v>1105</v>
      </c>
    </row>
    <row r="1668" spans="1:6" x14ac:dyDescent="0.2">
      <c r="A1668">
        <v>979</v>
      </c>
      <c r="B1668">
        <v>3693429</v>
      </c>
      <c r="C1668">
        <v>21883</v>
      </c>
      <c r="F1668" t="s">
        <v>1105</v>
      </c>
    </row>
    <row r="1669" spans="1:6" x14ac:dyDescent="0.2">
      <c r="A1669">
        <v>979</v>
      </c>
      <c r="B1669">
        <v>3693430</v>
      </c>
      <c r="C1669">
        <v>21883</v>
      </c>
      <c r="F1669" t="s">
        <v>1105</v>
      </c>
    </row>
    <row r="1670" spans="1:6" x14ac:dyDescent="0.2">
      <c r="A1670">
        <v>979</v>
      </c>
      <c r="B1670">
        <v>3693431</v>
      </c>
      <c r="C1670">
        <v>21883</v>
      </c>
      <c r="F1670" t="s">
        <v>1105</v>
      </c>
    </row>
    <row r="1671" spans="1:6" x14ac:dyDescent="0.2">
      <c r="A1671">
        <v>979</v>
      </c>
      <c r="B1671">
        <v>3693432</v>
      </c>
      <c r="C1671">
        <v>21883</v>
      </c>
      <c r="F1671" t="s">
        <v>1105</v>
      </c>
    </row>
    <row r="1672" spans="1:6" x14ac:dyDescent="0.2">
      <c r="A1672">
        <v>979</v>
      </c>
      <c r="B1672">
        <v>3693433</v>
      </c>
      <c r="C1672">
        <v>21883</v>
      </c>
      <c r="F1672" t="s">
        <v>1105</v>
      </c>
    </row>
    <row r="1673" spans="1:6" x14ac:dyDescent="0.2">
      <c r="A1673">
        <v>979</v>
      </c>
      <c r="B1673">
        <v>3693434</v>
      </c>
      <c r="C1673">
        <v>21883</v>
      </c>
      <c r="F1673" t="s">
        <v>1105</v>
      </c>
    </row>
    <row r="1674" spans="1:6" x14ac:dyDescent="0.2">
      <c r="A1674">
        <v>979</v>
      </c>
      <c r="B1674">
        <v>3693435</v>
      </c>
      <c r="C1674">
        <v>21883</v>
      </c>
      <c r="F1674" t="s">
        <v>1105</v>
      </c>
    </row>
    <row r="1675" spans="1:6" x14ac:dyDescent="0.2">
      <c r="A1675">
        <v>979</v>
      </c>
      <c r="B1675">
        <v>3693436</v>
      </c>
      <c r="C1675">
        <v>21883</v>
      </c>
      <c r="F1675" t="s">
        <v>1105</v>
      </c>
    </row>
    <row r="1676" spans="1:6" x14ac:dyDescent="0.2">
      <c r="A1676">
        <v>979</v>
      </c>
      <c r="B1676">
        <v>3693437</v>
      </c>
      <c r="C1676">
        <v>21883</v>
      </c>
      <c r="F1676" t="s">
        <v>1105</v>
      </c>
    </row>
    <row r="1677" spans="1:6" x14ac:dyDescent="0.2">
      <c r="A1677">
        <v>979</v>
      </c>
      <c r="B1677">
        <v>3693438</v>
      </c>
      <c r="C1677">
        <v>21883</v>
      </c>
      <c r="F1677" t="s">
        <v>1105</v>
      </c>
    </row>
    <row r="1678" spans="1:6" x14ac:dyDescent="0.2">
      <c r="A1678">
        <v>979</v>
      </c>
      <c r="B1678">
        <v>3693439</v>
      </c>
      <c r="C1678">
        <v>21883</v>
      </c>
      <c r="F1678" t="s">
        <v>1105</v>
      </c>
    </row>
    <row r="1679" spans="1:6" x14ac:dyDescent="0.2">
      <c r="A1679">
        <v>979</v>
      </c>
      <c r="B1679">
        <v>3693440</v>
      </c>
      <c r="C1679">
        <v>21883</v>
      </c>
      <c r="F1679" t="s">
        <v>1105</v>
      </c>
    </row>
    <row r="1680" spans="1:6" x14ac:dyDescent="0.2">
      <c r="A1680">
        <v>979</v>
      </c>
      <c r="B1680">
        <v>3693441</v>
      </c>
      <c r="C1680">
        <v>21883</v>
      </c>
      <c r="F1680" t="s">
        <v>1105</v>
      </c>
    </row>
    <row r="1681" spans="1:6" x14ac:dyDescent="0.2">
      <c r="A1681">
        <v>979</v>
      </c>
      <c r="B1681">
        <v>3693442</v>
      </c>
      <c r="C1681">
        <v>21883</v>
      </c>
      <c r="F1681" t="s">
        <v>1105</v>
      </c>
    </row>
    <row r="1682" spans="1:6" x14ac:dyDescent="0.2">
      <c r="A1682">
        <v>979</v>
      </c>
      <c r="B1682">
        <v>3693443</v>
      </c>
      <c r="C1682">
        <v>21883</v>
      </c>
      <c r="F1682" t="s">
        <v>1105</v>
      </c>
    </row>
    <row r="1683" spans="1:6" x14ac:dyDescent="0.2">
      <c r="A1683">
        <v>979</v>
      </c>
      <c r="B1683">
        <v>3693444</v>
      </c>
      <c r="C1683">
        <v>21883</v>
      </c>
      <c r="F1683" t="s">
        <v>1105</v>
      </c>
    </row>
    <row r="1684" spans="1:6" x14ac:dyDescent="0.2">
      <c r="A1684">
        <v>979</v>
      </c>
      <c r="B1684">
        <v>3693445</v>
      </c>
      <c r="C1684">
        <v>21883</v>
      </c>
      <c r="F1684" t="s">
        <v>1105</v>
      </c>
    </row>
    <row r="1685" spans="1:6" x14ac:dyDescent="0.2">
      <c r="A1685">
        <v>979</v>
      </c>
      <c r="B1685">
        <v>3693446</v>
      </c>
      <c r="C1685">
        <v>21883</v>
      </c>
      <c r="F1685" t="s">
        <v>1105</v>
      </c>
    </row>
    <row r="1686" spans="1:6" x14ac:dyDescent="0.2">
      <c r="A1686">
        <v>979</v>
      </c>
      <c r="B1686">
        <v>3693447</v>
      </c>
      <c r="C1686">
        <v>21883</v>
      </c>
      <c r="F1686" t="s">
        <v>1105</v>
      </c>
    </row>
    <row r="1687" spans="1:6" x14ac:dyDescent="0.2">
      <c r="A1687">
        <v>979</v>
      </c>
      <c r="B1687">
        <v>3693448</v>
      </c>
      <c r="C1687">
        <v>21883</v>
      </c>
      <c r="F1687" t="s">
        <v>1105</v>
      </c>
    </row>
    <row r="1688" spans="1:6" x14ac:dyDescent="0.2">
      <c r="A1688">
        <v>979</v>
      </c>
      <c r="B1688">
        <v>3693449</v>
      </c>
      <c r="C1688">
        <v>21883</v>
      </c>
      <c r="F1688" t="s">
        <v>1105</v>
      </c>
    </row>
    <row r="1689" spans="1:6" x14ac:dyDescent="0.2">
      <c r="A1689">
        <v>979</v>
      </c>
      <c r="B1689">
        <v>3693450</v>
      </c>
      <c r="C1689">
        <v>21883</v>
      </c>
      <c r="F1689" t="s">
        <v>1105</v>
      </c>
    </row>
    <row r="1690" spans="1:6" x14ac:dyDescent="0.2">
      <c r="A1690">
        <v>979</v>
      </c>
      <c r="B1690">
        <v>3693451</v>
      </c>
      <c r="C1690">
        <v>21883</v>
      </c>
      <c r="F1690" t="s">
        <v>1105</v>
      </c>
    </row>
    <row r="1691" spans="1:6" x14ac:dyDescent="0.2">
      <c r="A1691">
        <v>979</v>
      </c>
      <c r="B1691">
        <v>3693452</v>
      </c>
      <c r="C1691">
        <v>21883</v>
      </c>
      <c r="F1691" t="s">
        <v>1105</v>
      </c>
    </row>
    <row r="1692" spans="1:6" x14ac:dyDescent="0.2">
      <c r="A1692">
        <v>979</v>
      </c>
      <c r="B1692">
        <v>3693453</v>
      </c>
      <c r="C1692">
        <v>21883</v>
      </c>
      <c r="F1692" t="s">
        <v>1105</v>
      </c>
    </row>
    <row r="1693" spans="1:6" x14ac:dyDescent="0.2">
      <c r="A1693">
        <v>979</v>
      </c>
      <c r="B1693">
        <v>3693454</v>
      </c>
      <c r="C1693">
        <v>21883</v>
      </c>
      <c r="F1693" t="s">
        <v>1105</v>
      </c>
    </row>
    <row r="1694" spans="1:6" x14ac:dyDescent="0.2">
      <c r="A1694">
        <v>979</v>
      </c>
      <c r="B1694">
        <v>3693455</v>
      </c>
      <c r="C1694">
        <v>21883</v>
      </c>
      <c r="F1694" t="s">
        <v>1105</v>
      </c>
    </row>
    <row r="1695" spans="1:6" x14ac:dyDescent="0.2">
      <c r="A1695">
        <v>979</v>
      </c>
      <c r="B1695">
        <v>3693456</v>
      </c>
      <c r="C1695">
        <v>21883</v>
      </c>
      <c r="F1695" t="s">
        <v>1105</v>
      </c>
    </row>
    <row r="1696" spans="1:6" x14ac:dyDescent="0.2">
      <c r="A1696">
        <v>979</v>
      </c>
      <c r="B1696">
        <v>3693457</v>
      </c>
      <c r="C1696">
        <v>21883</v>
      </c>
      <c r="F1696" t="s">
        <v>1105</v>
      </c>
    </row>
    <row r="1697" spans="1:6" x14ac:dyDescent="0.2">
      <c r="A1697">
        <v>979</v>
      </c>
      <c r="B1697">
        <v>3693458</v>
      </c>
      <c r="C1697">
        <v>21883</v>
      </c>
      <c r="F1697" t="s">
        <v>1105</v>
      </c>
    </row>
    <row r="1698" spans="1:6" x14ac:dyDescent="0.2">
      <c r="A1698">
        <v>979</v>
      </c>
      <c r="B1698">
        <v>3693459</v>
      </c>
      <c r="C1698">
        <v>21883</v>
      </c>
      <c r="F1698" t="s">
        <v>1105</v>
      </c>
    </row>
    <row r="1699" spans="1:6" x14ac:dyDescent="0.2">
      <c r="A1699">
        <v>979</v>
      </c>
      <c r="B1699">
        <v>3693460</v>
      </c>
      <c r="C1699">
        <v>21883</v>
      </c>
      <c r="F1699" t="s">
        <v>1105</v>
      </c>
    </row>
    <row r="1700" spans="1:6" x14ac:dyDescent="0.2">
      <c r="A1700">
        <v>979</v>
      </c>
      <c r="B1700">
        <v>3693461</v>
      </c>
      <c r="C1700">
        <v>21883</v>
      </c>
      <c r="F1700" t="s">
        <v>1105</v>
      </c>
    </row>
    <row r="1701" spans="1:6" x14ac:dyDescent="0.2">
      <c r="A1701">
        <v>979</v>
      </c>
      <c r="B1701">
        <v>3693462</v>
      </c>
      <c r="C1701">
        <v>21883</v>
      </c>
      <c r="F1701" t="s">
        <v>1105</v>
      </c>
    </row>
    <row r="1702" spans="1:6" x14ac:dyDescent="0.2">
      <c r="A1702">
        <v>979</v>
      </c>
      <c r="B1702">
        <v>3693463</v>
      </c>
      <c r="C1702">
        <v>21883</v>
      </c>
      <c r="F1702" t="s">
        <v>1105</v>
      </c>
    </row>
    <row r="1703" spans="1:6" x14ac:dyDescent="0.2">
      <c r="A1703">
        <v>979</v>
      </c>
      <c r="B1703">
        <v>3693464</v>
      </c>
      <c r="C1703">
        <v>21883</v>
      </c>
      <c r="F1703" t="s">
        <v>1105</v>
      </c>
    </row>
    <row r="1704" spans="1:6" x14ac:dyDescent="0.2">
      <c r="A1704">
        <v>979</v>
      </c>
      <c r="B1704">
        <v>3693465</v>
      </c>
      <c r="C1704">
        <v>21883</v>
      </c>
      <c r="F1704" t="s">
        <v>1105</v>
      </c>
    </row>
    <row r="1705" spans="1:6" x14ac:dyDescent="0.2">
      <c r="A1705">
        <v>979</v>
      </c>
      <c r="B1705">
        <v>3693466</v>
      </c>
      <c r="C1705">
        <v>21883</v>
      </c>
      <c r="F1705" t="s">
        <v>1105</v>
      </c>
    </row>
    <row r="1706" spans="1:6" x14ac:dyDescent="0.2">
      <c r="A1706">
        <v>979</v>
      </c>
      <c r="B1706">
        <v>3693467</v>
      </c>
      <c r="C1706">
        <v>21883</v>
      </c>
      <c r="F1706" t="s">
        <v>1105</v>
      </c>
    </row>
    <row r="1707" spans="1:6" x14ac:dyDescent="0.2">
      <c r="A1707">
        <v>979</v>
      </c>
      <c r="B1707">
        <v>3693468</v>
      </c>
      <c r="C1707">
        <v>21883</v>
      </c>
      <c r="F1707" t="s">
        <v>1105</v>
      </c>
    </row>
    <row r="1708" spans="1:6" x14ac:dyDescent="0.2">
      <c r="A1708">
        <v>979</v>
      </c>
      <c r="B1708">
        <v>3693469</v>
      </c>
      <c r="C1708">
        <v>21883</v>
      </c>
      <c r="F1708" t="s">
        <v>1105</v>
      </c>
    </row>
    <row r="1709" spans="1:6" x14ac:dyDescent="0.2">
      <c r="A1709">
        <v>979</v>
      </c>
      <c r="B1709">
        <v>3693470</v>
      </c>
      <c r="C1709">
        <v>21883</v>
      </c>
      <c r="F1709" t="s">
        <v>6748</v>
      </c>
    </row>
    <row r="1710" spans="1:6" x14ac:dyDescent="0.2">
      <c r="A1710">
        <v>979</v>
      </c>
      <c r="B1710">
        <v>3693471</v>
      </c>
      <c r="C1710">
        <v>21883</v>
      </c>
      <c r="F1710" t="s">
        <v>1105</v>
      </c>
    </row>
    <row r="1711" spans="1:6" x14ac:dyDescent="0.2">
      <c r="A1711">
        <v>979</v>
      </c>
      <c r="B1711">
        <v>3693472</v>
      </c>
      <c r="C1711">
        <v>21883</v>
      </c>
      <c r="F1711" t="s">
        <v>6750</v>
      </c>
    </row>
    <row r="1712" spans="1:6" x14ac:dyDescent="0.2">
      <c r="A1712">
        <v>979</v>
      </c>
      <c r="B1712">
        <v>3693473</v>
      </c>
      <c r="C1712">
        <v>21883</v>
      </c>
      <c r="F1712" t="s">
        <v>1105</v>
      </c>
    </row>
    <row r="1713" spans="1:6" x14ac:dyDescent="0.2">
      <c r="A1713">
        <v>979</v>
      </c>
      <c r="B1713">
        <v>3693474</v>
      </c>
      <c r="C1713">
        <v>21883</v>
      </c>
      <c r="F1713" t="s">
        <v>6748</v>
      </c>
    </row>
    <row r="1714" spans="1:6" x14ac:dyDescent="0.2">
      <c r="A1714">
        <v>979</v>
      </c>
      <c r="B1714">
        <v>3693475</v>
      </c>
      <c r="C1714">
        <v>21883</v>
      </c>
      <c r="F1714" t="s">
        <v>1105</v>
      </c>
    </row>
    <row r="1715" spans="1:6" x14ac:dyDescent="0.2">
      <c r="A1715">
        <v>979</v>
      </c>
      <c r="B1715">
        <v>3693476</v>
      </c>
      <c r="C1715">
        <v>21883</v>
      </c>
      <c r="F1715" t="s">
        <v>1105</v>
      </c>
    </row>
    <row r="1716" spans="1:6" x14ac:dyDescent="0.2">
      <c r="A1716">
        <v>979</v>
      </c>
      <c r="B1716">
        <v>3693477</v>
      </c>
      <c r="C1716">
        <v>21883</v>
      </c>
      <c r="F1716" t="s">
        <v>1105</v>
      </c>
    </row>
    <row r="1717" spans="1:6" x14ac:dyDescent="0.2">
      <c r="A1717">
        <v>979</v>
      </c>
      <c r="B1717">
        <v>3693478</v>
      </c>
      <c r="C1717">
        <v>21883</v>
      </c>
      <c r="F1717" t="s">
        <v>1105</v>
      </c>
    </row>
    <row r="1718" spans="1:6" x14ac:dyDescent="0.2">
      <c r="A1718">
        <v>979</v>
      </c>
      <c r="B1718">
        <v>3693480</v>
      </c>
      <c r="C1718">
        <v>21883</v>
      </c>
      <c r="F1718" t="s">
        <v>1105</v>
      </c>
    </row>
    <row r="1719" spans="1:6" x14ac:dyDescent="0.2">
      <c r="A1719">
        <v>979</v>
      </c>
      <c r="B1719">
        <v>3693481</v>
      </c>
      <c r="C1719">
        <v>21883</v>
      </c>
      <c r="F1719" t="s">
        <v>1105</v>
      </c>
    </row>
    <row r="1720" spans="1:6" x14ac:dyDescent="0.2">
      <c r="A1720">
        <v>979</v>
      </c>
      <c r="B1720">
        <v>3693482</v>
      </c>
      <c r="C1720">
        <v>21883</v>
      </c>
      <c r="F1720" t="s">
        <v>1105</v>
      </c>
    </row>
    <row r="1721" spans="1:6" x14ac:dyDescent="0.2">
      <c r="A1721">
        <v>979</v>
      </c>
      <c r="B1721">
        <v>3693484</v>
      </c>
      <c r="C1721">
        <v>21883</v>
      </c>
      <c r="F1721" t="s">
        <v>1105</v>
      </c>
    </row>
    <row r="1722" spans="1:6" x14ac:dyDescent="0.2">
      <c r="A1722">
        <v>979</v>
      </c>
      <c r="B1722">
        <v>3693485</v>
      </c>
      <c r="C1722">
        <v>21883</v>
      </c>
      <c r="F1722" t="s">
        <v>1105</v>
      </c>
    </row>
    <row r="1723" spans="1:6" x14ac:dyDescent="0.2">
      <c r="A1723">
        <v>979</v>
      </c>
      <c r="B1723">
        <v>3693486</v>
      </c>
      <c r="C1723">
        <v>21883</v>
      </c>
      <c r="F1723" t="s">
        <v>1105</v>
      </c>
    </row>
    <row r="1724" spans="1:6" x14ac:dyDescent="0.2">
      <c r="A1724">
        <v>979</v>
      </c>
      <c r="B1724">
        <v>3693487</v>
      </c>
      <c r="C1724">
        <v>21883</v>
      </c>
      <c r="F1724" t="s">
        <v>1105</v>
      </c>
    </row>
    <row r="1725" spans="1:6" x14ac:dyDescent="0.2">
      <c r="A1725">
        <v>979</v>
      </c>
      <c r="B1725">
        <v>3693488</v>
      </c>
      <c r="C1725">
        <v>21883</v>
      </c>
      <c r="F1725" t="s">
        <v>6748</v>
      </c>
    </row>
    <row r="1726" spans="1:6" x14ac:dyDescent="0.2">
      <c r="A1726">
        <v>979</v>
      </c>
      <c r="B1726">
        <v>3693489</v>
      </c>
      <c r="C1726">
        <v>21883</v>
      </c>
      <c r="F1726" t="s">
        <v>1105</v>
      </c>
    </row>
    <row r="1727" spans="1:6" x14ac:dyDescent="0.2">
      <c r="A1727">
        <v>979</v>
      </c>
      <c r="B1727">
        <v>3693490</v>
      </c>
      <c r="C1727">
        <v>21883</v>
      </c>
      <c r="F1727" t="s">
        <v>6750</v>
      </c>
    </row>
    <row r="1728" spans="1:6" x14ac:dyDescent="0.2">
      <c r="A1728">
        <v>979</v>
      </c>
      <c r="B1728">
        <v>3693491</v>
      </c>
      <c r="C1728">
        <v>21883</v>
      </c>
      <c r="F1728" t="s">
        <v>1105</v>
      </c>
    </row>
    <row r="1729" spans="1:6" x14ac:dyDescent="0.2">
      <c r="A1729">
        <v>979</v>
      </c>
      <c r="B1729">
        <v>3693492</v>
      </c>
      <c r="C1729">
        <v>21883</v>
      </c>
      <c r="F1729" t="s">
        <v>6748</v>
      </c>
    </row>
    <row r="1730" spans="1:6" x14ac:dyDescent="0.2">
      <c r="A1730">
        <v>979</v>
      </c>
      <c r="B1730">
        <v>3693493</v>
      </c>
      <c r="C1730">
        <v>21883</v>
      </c>
      <c r="F1730" t="s">
        <v>1105</v>
      </c>
    </row>
    <row r="1731" spans="1:6" x14ac:dyDescent="0.2">
      <c r="A1731">
        <v>979</v>
      </c>
      <c r="B1731">
        <v>3693494</v>
      </c>
      <c r="C1731">
        <v>21883</v>
      </c>
      <c r="F1731" t="s">
        <v>1105</v>
      </c>
    </row>
    <row r="1732" spans="1:6" x14ac:dyDescent="0.2">
      <c r="A1732">
        <v>979</v>
      </c>
      <c r="B1732">
        <v>3693495</v>
      </c>
      <c r="C1732">
        <v>21883</v>
      </c>
      <c r="F1732" t="s">
        <v>1105</v>
      </c>
    </row>
    <row r="1733" spans="1:6" x14ac:dyDescent="0.2">
      <c r="A1733">
        <v>979</v>
      </c>
      <c r="B1733">
        <v>3693497</v>
      </c>
      <c r="C1733">
        <v>21883</v>
      </c>
      <c r="F1733" t="s">
        <v>1105</v>
      </c>
    </row>
    <row r="1734" spans="1:6" x14ac:dyDescent="0.2">
      <c r="A1734">
        <v>979</v>
      </c>
      <c r="B1734">
        <v>3693498</v>
      </c>
      <c r="C1734">
        <v>21883</v>
      </c>
      <c r="F1734" t="s">
        <v>1105</v>
      </c>
    </row>
    <row r="1735" spans="1:6" x14ac:dyDescent="0.2">
      <c r="A1735">
        <v>979</v>
      </c>
      <c r="B1735">
        <v>3693499</v>
      </c>
      <c r="C1735">
        <v>21883</v>
      </c>
      <c r="F1735" t="s">
        <v>1105</v>
      </c>
    </row>
    <row r="1736" spans="1:6" x14ac:dyDescent="0.2">
      <c r="A1736">
        <v>979</v>
      </c>
      <c r="B1736">
        <v>3693500</v>
      </c>
      <c r="C1736">
        <v>21883</v>
      </c>
      <c r="F1736" t="s">
        <v>1105</v>
      </c>
    </row>
    <row r="1737" spans="1:6" x14ac:dyDescent="0.2">
      <c r="A1737">
        <v>979</v>
      </c>
      <c r="B1737">
        <v>3693502</v>
      </c>
      <c r="C1737">
        <v>21883</v>
      </c>
      <c r="F1737" t="s">
        <v>1105</v>
      </c>
    </row>
    <row r="1738" spans="1:6" x14ac:dyDescent="0.2">
      <c r="A1738">
        <v>979</v>
      </c>
      <c r="B1738">
        <v>3693503</v>
      </c>
      <c r="C1738">
        <v>21883</v>
      </c>
      <c r="F1738" t="s">
        <v>1105</v>
      </c>
    </row>
    <row r="1739" spans="1:6" x14ac:dyDescent="0.2">
      <c r="A1739">
        <v>979</v>
      </c>
      <c r="B1739">
        <v>3693504</v>
      </c>
      <c r="C1739">
        <v>21883</v>
      </c>
      <c r="F1739" t="s">
        <v>6748</v>
      </c>
    </row>
    <row r="1740" spans="1:6" x14ac:dyDescent="0.2">
      <c r="A1740">
        <v>979</v>
      </c>
      <c r="B1740">
        <v>3693505</v>
      </c>
      <c r="C1740">
        <v>21883</v>
      </c>
      <c r="F1740" t="s">
        <v>1105</v>
      </c>
    </row>
    <row r="1741" spans="1:6" x14ac:dyDescent="0.2">
      <c r="A1741">
        <v>979</v>
      </c>
      <c r="B1741">
        <v>3693506</v>
      </c>
      <c r="C1741">
        <v>21883</v>
      </c>
      <c r="F1741" t="s">
        <v>6750</v>
      </c>
    </row>
    <row r="1742" spans="1:6" x14ac:dyDescent="0.2">
      <c r="A1742">
        <v>979</v>
      </c>
      <c r="B1742">
        <v>3693507</v>
      </c>
      <c r="C1742">
        <v>21883</v>
      </c>
      <c r="F1742" t="s">
        <v>1105</v>
      </c>
    </row>
    <row r="1743" spans="1:6" x14ac:dyDescent="0.2">
      <c r="A1743">
        <v>979</v>
      </c>
      <c r="B1743">
        <v>3693508</v>
      </c>
      <c r="C1743">
        <v>21883</v>
      </c>
      <c r="F1743" t="s">
        <v>1105</v>
      </c>
    </row>
    <row r="1744" spans="1:6" x14ac:dyDescent="0.2">
      <c r="A1744">
        <v>979</v>
      </c>
      <c r="B1744">
        <v>3693509</v>
      </c>
      <c r="C1744">
        <v>21883</v>
      </c>
      <c r="F1744" t="s">
        <v>1105</v>
      </c>
    </row>
    <row r="1745" spans="1:6" x14ac:dyDescent="0.2">
      <c r="A1745">
        <v>979</v>
      </c>
      <c r="B1745">
        <v>3693510</v>
      </c>
      <c r="C1745">
        <v>21883</v>
      </c>
      <c r="F1745" t="s">
        <v>1105</v>
      </c>
    </row>
    <row r="1746" spans="1:6" x14ac:dyDescent="0.2">
      <c r="A1746">
        <v>979</v>
      </c>
      <c r="B1746">
        <v>3693511</v>
      </c>
      <c r="C1746">
        <v>21883</v>
      </c>
      <c r="F1746" t="s">
        <v>1105</v>
      </c>
    </row>
    <row r="1747" spans="1:6" x14ac:dyDescent="0.2">
      <c r="A1747">
        <v>979</v>
      </c>
      <c r="B1747">
        <v>3693512</v>
      </c>
      <c r="C1747">
        <v>21883</v>
      </c>
      <c r="F1747" t="s">
        <v>1105</v>
      </c>
    </row>
    <row r="1748" spans="1:6" x14ac:dyDescent="0.2">
      <c r="A1748">
        <v>979</v>
      </c>
      <c r="B1748">
        <v>3693513</v>
      </c>
      <c r="C1748">
        <v>21883</v>
      </c>
      <c r="F1748" t="s">
        <v>1105</v>
      </c>
    </row>
    <row r="1749" spans="1:6" x14ac:dyDescent="0.2">
      <c r="A1749">
        <v>979</v>
      </c>
      <c r="B1749">
        <v>3693514</v>
      </c>
      <c r="C1749">
        <v>21883</v>
      </c>
      <c r="F1749" t="s">
        <v>1105</v>
      </c>
    </row>
    <row r="1750" spans="1:6" x14ac:dyDescent="0.2">
      <c r="A1750">
        <v>979</v>
      </c>
      <c r="B1750">
        <v>3693515</v>
      </c>
      <c r="C1750">
        <v>21883</v>
      </c>
      <c r="F1750" t="s">
        <v>1105</v>
      </c>
    </row>
    <row r="1751" spans="1:6" x14ac:dyDescent="0.2">
      <c r="A1751">
        <v>979</v>
      </c>
      <c r="B1751">
        <v>3693516</v>
      </c>
      <c r="C1751">
        <v>21883</v>
      </c>
      <c r="F1751" t="s">
        <v>6748</v>
      </c>
    </row>
    <row r="1752" spans="1:6" x14ac:dyDescent="0.2">
      <c r="A1752">
        <v>979</v>
      </c>
      <c r="B1752">
        <v>3693517</v>
      </c>
      <c r="C1752">
        <v>21883</v>
      </c>
      <c r="F1752" t="s">
        <v>1105</v>
      </c>
    </row>
    <row r="1753" spans="1:6" x14ac:dyDescent="0.2">
      <c r="A1753">
        <v>979</v>
      </c>
      <c r="B1753">
        <v>3693518</v>
      </c>
      <c r="C1753">
        <v>21883</v>
      </c>
      <c r="F1753" t="s">
        <v>6750</v>
      </c>
    </row>
    <row r="1754" spans="1:6" x14ac:dyDescent="0.2">
      <c r="A1754">
        <v>979</v>
      </c>
      <c r="B1754">
        <v>3693519</v>
      </c>
      <c r="C1754">
        <v>21883</v>
      </c>
      <c r="F1754" t="s">
        <v>1105</v>
      </c>
    </row>
    <row r="1755" spans="1:6" x14ac:dyDescent="0.2">
      <c r="A1755">
        <v>979</v>
      </c>
      <c r="B1755">
        <v>3693520</v>
      </c>
      <c r="C1755">
        <v>21883</v>
      </c>
      <c r="F1755" t="s">
        <v>1105</v>
      </c>
    </row>
    <row r="1756" spans="1:6" x14ac:dyDescent="0.2">
      <c r="A1756">
        <v>979</v>
      </c>
      <c r="B1756">
        <v>3693521</v>
      </c>
      <c r="C1756">
        <v>21883</v>
      </c>
      <c r="F1756" t="s">
        <v>1105</v>
      </c>
    </row>
    <row r="1757" spans="1:6" x14ac:dyDescent="0.2">
      <c r="A1757">
        <v>979</v>
      </c>
      <c r="B1757">
        <v>3693522</v>
      </c>
      <c r="C1757">
        <v>21883</v>
      </c>
      <c r="F1757" t="s">
        <v>1105</v>
      </c>
    </row>
    <row r="1758" spans="1:6" x14ac:dyDescent="0.2">
      <c r="A1758">
        <v>979</v>
      </c>
      <c r="B1758">
        <v>3693523</v>
      </c>
      <c r="C1758">
        <v>21883</v>
      </c>
      <c r="F1758" t="s">
        <v>1105</v>
      </c>
    </row>
    <row r="1759" spans="1:6" x14ac:dyDescent="0.2">
      <c r="A1759">
        <v>979</v>
      </c>
      <c r="B1759">
        <v>3693524</v>
      </c>
      <c r="C1759">
        <v>21883</v>
      </c>
      <c r="F1759" t="s">
        <v>1105</v>
      </c>
    </row>
    <row r="1760" spans="1:6" x14ac:dyDescent="0.2">
      <c r="A1760">
        <v>979</v>
      </c>
      <c r="B1760">
        <v>3693525</v>
      </c>
      <c r="C1760">
        <v>21883</v>
      </c>
      <c r="F1760" t="s">
        <v>1105</v>
      </c>
    </row>
    <row r="1761" spans="1:6" x14ac:dyDescent="0.2">
      <c r="A1761">
        <v>979</v>
      </c>
      <c r="B1761">
        <v>3693526</v>
      </c>
      <c r="C1761">
        <v>21883</v>
      </c>
      <c r="F1761" t="s">
        <v>1105</v>
      </c>
    </row>
    <row r="1762" spans="1:6" x14ac:dyDescent="0.2">
      <c r="A1762">
        <v>979</v>
      </c>
      <c r="B1762">
        <v>3693527</v>
      </c>
      <c r="C1762">
        <v>21883</v>
      </c>
      <c r="F1762" t="s">
        <v>6748</v>
      </c>
    </row>
    <row r="1763" spans="1:6" x14ac:dyDescent="0.2">
      <c r="A1763">
        <v>979</v>
      </c>
      <c r="B1763">
        <v>3693528</v>
      </c>
      <c r="C1763">
        <v>21883</v>
      </c>
      <c r="F1763" t="s">
        <v>1105</v>
      </c>
    </row>
    <row r="1764" spans="1:6" x14ac:dyDescent="0.2">
      <c r="A1764">
        <v>979</v>
      </c>
      <c r="B1764">
        <v>3693529</v>
      </c>
      <c r="C1764">
        <v>21883</v>
      </c>
      <c r="F1764" t="s">
        <v>6750</v>
      </c>
    </row>
    <row r="1765" spans="1:6" x14ac:dyDescent="0.2">
      <c r="A1765">
        <v>979</v>
      </c>
      <c r="B1765">
        <v>3693530</v>
      </c>
      <c r="C1765">
        <v>21883</v>
      </c>
      <c r="F1765" t="s">
        <v>1105</v>
      </c>
    </row>
    <row r="1766" spans="1:6" x14ac:dyDescent="0.2">
      <c r="A1766">
        <v>979</v>
      </c>
      <c r="B1766">
        <v>3693531</v>
      </c>
      <c r="C1766">
        <v>21883</v>
      </c>
      <c r="F1766" t="s">
        <v>1105</v>
      </c>
    </row>
    <row r="1767" spans="1:6" x14ac:dyDescent="0.2">
      <c r="A1767">
        <v>979</v>
      </c>
      <c r="B1767">
        <v>3693532</v>
      </c>
      <c r="C1767">
        <v>21883</v>
      </c>
      <c r="F1767" t="s">
        <v>1105</v>
      </c>
    </row>
    <row r="1768" spans="1:6" x14ac:dyDescent="0.2">
      <c r="A1768">
        <v>979</v>
      </c>
      <c r="B1768">
        <v>3693533</v>
      </c>
      <c r="C1768">
        <v>21883</v>
      </c>
      <c r="F1768" t="s">
        <v>1105</v>
      </c>
    </row>
    <row r="1769" spans="1:6" x14ac:dyDescent="0.2">
      <c r="A1769">
        <v>979</v>
      </c>
      <c r="B1769">
        <v>3693534</v>
      </c>
      <c r="C1769">
        <v>21883</v>
      </c>
      <c r="F1769" t="s">
        <v>1105</v>
      </c>
    </row>
    <row r="1770" spans="1:6" x14ac:dyDescent="0.2">
      <c r="A1770">
        <v>979</v>
      </c>
      <c r="B1770">
        <v>3693535</v>
      </c>
      <c r="C1770">
        <v>21883</v>
      </c>
      <c r="F1770" t="s">
        <v>1105</v>
      </c>
    </row>
    <row r="1771" spans="1:6" x14ac:dyDescent="0.2">
      <c r="A1771">
        <v>979</v>
      </c>
      <c r="B1771">
        <v>3693536</v>
      </c>
      <c r="C1771">
        <v>21883</v>
      </c>
      <c r="F1771" t="s">
        <v>1105</v>
      </c>
    </row>
    <row r="1772" spans="1:6" x14ac:dyDescent="0.2">
      <c r="A1772">
        <v>979</v>
      </c>
      <c r="B1772">
        <v>3693537</v>
      </c>
      <c r="C1772">
        <v>21883</v>
      </c>
      <c r="F1772" t="s">
        <v>1105</v>
      </c>
    </row>
    <row r="1773" spans="1:6" x14ac:dyDescent="0.2">
      <c r="A1773">
        <v>979</v>
      </c>
      <c r="B1773">
        <v>3693538</v>
      </c>
      <c r="C1773">
        <v>21883</v>
      </c>
      <c r="F1773" t="s">
        <v>6748</v>
      </c>
    </row>
    <row r="1774" spans="1:6" x14ac:dyDescent="0.2">
      <c r="A1774">
        <v>979</v>
      </c>
      <c r="B1774">
        <v>3693539</v>
      </c>
      <c r="C1774">
        <v>21883</v>
      </c>
      <c r="F1774" t="s">
        <v>1105</v>
      </c>
    </row>
    <row r="1775" spans="1:6" x14ac:dyDescent="0.2">
      <c r="A1775">
        <v>979</v>
      </c>
      <c r="B1775">
        <v>3693540</v>
      </c>
      <c r="C1775">
        <v>21883</v>
      </c>
      <c r="F1775" t="s">
        <v>6750</v>
      </c>
    </row>
    <row r="1776" spans="1:6" x14ac:dyDescent="0.2">
      <c r="A1776">
        <v>979</v>
      </c>
      <c r="B1776">
        <v>3693541</v>
      </c>
      <c r="C1776">
        <v>21883</v>
      </c>
      <c r="F1776" t="s">
        <v>1105</v>
      </c>
    </row>
    <row r="1777" spans="1:6" x14ac:dyDescent="0.2">
      <c r="A1777">
        <v>979</v>
      </c>
      <c r="B1777">
        <v>3693542</v>
      </c>
      <c r="C1777">
        <v>21883</v>
      </c>
      <c r="F1777" t="s">
        <v>1105</v>
      </c>
    </row>
    <row r="1778" spans="1:6" x14ac:dyDescent="0.2">
      <c r="A1778">
        <v>979</v>
      </c>
      <c r="B1778">
        <v>3693543</v>
      </c>
      <c r="C1778">
        <v>21883</v>
      </c>
      <c r="F1778" t="s">
        <v>1105</v>
      </c>
    </row>
    <row r="1779" spans="1:6" x14ac:dyDescent="0.2">
      <c r="A1779">
        <v>979</v>
      </c>
      <c r="B1779">
        <v>3693544</v>
      </c>
      <c r="C1779">
        <v>21883</v>
      </c>
      <c r="F1779" t="s">
        <v>1105</v>
      </c>
    </row>
    <row r="1780" spans="1:6" x14ac:dyDescent="0.2">
      <c r="A1780">
        <v>979</v>
      </c>
      <c r="B1780">
        <v>3693545</v>
      </c>
      <c r="C1780">
        <v>21883</v>
      </c>
      <c r="F1780" t="s">
        <v>1105</v>
      </c>
    </row>
    <row r="1781" spans="1:6" x14ac:dyDescent="0.2">
      <c r="A1781">
        <v>979</v>
      </c>
      <c r="B1781">
        <v>3693546</v>
      </c>
      <c r="C1781">
        <v>21883</v>
      </c>
      <c r="F1781" t="s">
        <v>1105</v>
      </c>
    </row>
    <row r="1782" spans="1:6" x14ac:dyDescent="0.2">
      <c r="A1782">
        <v>979</v>
      </c>
      <c r="B1782">
        <v>3693547</v>
      </c>
      <c r="C1782">
        <v>21883</v>
      </c>
      <c r="F1782" t="s">
        <v>1105</v>
      </c>
    </row>
    <row r="1783" spans="1:6" x14ac:dyDescent="0.2">
      <c r="A1783">
        <v>979</v>
      </c>
      <c r="B1783">
        <v>3693548</v>
      </c>
      <c r="C1783">
        <v>21883</v>
      </c>
      <c r="F1783" t="s">
        <v>6749</v>
      </c>
    </row>
    <row r="1784" spans="1:6" x14ac:dyDescent="0.2">
      <c r="A1784">
        <v>979</v>
      </c>
      <c r="B1784">
        <v>3693549</v>
      </c>
      <c r="C1784">
        <v>21883</v>
      </c>
      <c r="F1784" t="s">
        <v>1105</v>
      </c>
    </row>
    <row r="1785" spans="1:6" x14ac:dyDescent="0.2">
      <c r="A1785">
        <v>979</v>
      </c>
      <c r="B1785">
        <v>3693550</v>
      </c>
      <c r="C1785">
        <v>21883</v>
      </c>
      <c r="F1785" t="s">
        <v>6748</v>
      </c>
    </row>
    <row r="1786" spans="1:6" x14ac:dyDescent="0.2">
      <c r="A1786">
        <v>979</v>
      </c>
      <c r="B1786">
        <v>3693551</v>
      </c>
      <c r="C1786">
        <v>21883</v>
      </c>
      <c r="F1786" t="s">
        <v>1105</v>
      </c>
    </row>
    <row r="1787" spans="1:6" x14ac:dyDescent="0.2">
      <c r="A1787">
        <v>979</v>
      </c>
      <c r="B1787">
        <v>3693552</v>
      </c>
      <c r="C1787">
        <v>21883</v>
      </c>
      <c r="F1787" t="s">
        <v>6748</v>
      </c>
    </row>
    <row r="1788" spans="1:6" x14ac:dyDescent="0.2">
      <c r="A1788">
        <v>979</v>
      </c>
      <c r="B1788">
        <v>3693553</v>
      </c>
      <c r="C1788">
        <v>21883</v>
      </c>
      <c r="F1788" t="s">
        <v>6750</v>
      </c>
    </row>
    <row r="1789" spans="1:6" x14ac:dyDescent="0.2">
      <c r="A1789">
        <v>979</v>
      </c>
      <c r="B1789">
        <v>3693554</v>
      </c>
      <c r="C1789">
        <v>21883</v>
      </c>
      <c r="F1789" t="s">
        <v>1105</v>
      </c>
    </row>
    <row r="1790" spans="1:6" x14ac:dyDescent="0.2">
      <c r="A1790">
        <v>979</v>
      </c>
      <c r="B1790">
        <v>3693555</v>
      </c>
      <c r="C1790">
        <v>21883</v>
      </c>
      <c r="F1790" t="s">
        <v>6750</v>
      </c>
    </row>
    <row r="1791" spans="1:6" x14ac:dyDescent="0.2">
      <c r="A1791">
        <v>979</v>
      </c>
      <c r="B1791">
        <v>3693556</v>
      </c>
      <c r="C1791">
        <v>21883</v>
      </c>
      <c r="F1791" t="s">
        <v>1105</v>
      </c>
    </row>
    <row r="1792" spans="1:6" x14ac:dyDescent="0.2">
      <c r="A1792">
        <v>979</v>
      </c>
      <c r="B1792">
        <v>3693558</v>
      </c>
      <c r="C1792">
        <v>21883</v>
      </c>
      <c r="F1792" t="s">
        <v>1105</v>
      </c>
    </row>
    <row r="1793" spans="1:6" x14ac:dyDescent="0.2">
      <c r="A1793">
        <v>979</v>
      </c>
      <c r="B1793">
        <v>3693560</v>
      </c>
      <c r="C1793">
        <v>21883</v>
      </c>
      <c r="F1793" t="s">
        <v>1105</v>
      </c>
    </row>
    <row r="1794" spans="1:6" x14ac:dyDescent="0.2">
      <c r="A1794">
        <v>979</v>
      </c>
      <c r="B1794">
        <v>3693561</v>
      </c>
      <c r="C1794">
        <v>21883</v>
      </c>
      <c r="F1794" t="s">
        <v>1105</v>
      </c>
    </row>
    <row r="1795" spans="1:6" x14ac:dyDescent="0.2">
      <c r="A1795">
        <v>979</v>
      </c>
      <c r="B1795">
        <v>3693562</v>
      </c>
      <c r="C1795">
        <v>21883</v>
      </c>
      <c r="F1795" t="s">
        <v>6749</v>
      </c>
    </row>
    <row r="1796" spans="1:6" x14ac:dyDescent="0.2">
      <c r="A1796">
        <v>979</v>
      </c>
      <c r="B1796">
        <v>3693563</v>
      </c>
      <c r="C1796">
        <v>21883</v>
      </c>
      <c r="F1796" t="s">
        <v>1105</v>
      </c>
    </row>
    <row r="1797" spans="1:6" x14ac:dyDescent="0.2">
      <c r="A1797">
        <v>979</v>
      </c>
      <c r="B1797">
        <v>3693564</v>
      </c>
      <c r="C1797">
        <v>21883</v>
      </c>
      <c r="F1797" t="s">
        <v>6748</v>
      </c>
    </row>
    <row r="1798" spans="1:6" x14ac:dyDescent="0.2">
      <c r="A1798">
        <v>979</v>
      </c>
      <c r="B1798">
        <v>3693565</v>
      </c>
      <c r="C1798">
        <v>21883</v>
      </c>
      <c r="F1798" t="s">
        <v>1105</v>
      </c>
    </row>
    <row r="1799" spans="1:6" x14ac:dyDescent="0.2">
      <c r="A1799">
        <v>979</v>
      </c>
      <c r="B1799">
        <v>3693566</v>
      </c>
      <c r="C1799">
        <v>21883</v>
      </c>
      <c r="F1799" t="s">
        <v>6748</v>
      </c>
    </row>
    <row r="1800" spans="1:6" x14ac:dyDescent="0.2">
      <c r="A1800">
        <v>979</v>
      </c>
      <c r="B1800">
        <v>3693567</v>
      </c>
      <c r="C1800">
        <v>21883</v>
      </c>
      <c r="F1800" t="s">
        <v>6750</v>
      </c>
    </row>
    <row r="1801" spans="1:6" x14ac:dyDescent="0.2">
      <c r="A1801">
        <v>979</v>
      </c>
      <c r="B1801">
        <v>3693568</v>
      </c>
      <c r="C1801">
        <v>21883</v>
      </c>
      <c r="F1801" t="s">
        <v>1105</v>
      </c>
    </row>
    <row r="1802" spans="1:6" x14ac:dyDescent="0.2">
      <c r="A1802">
        <v>979</v>
      </c>
      <c r="B1802">
        <v>3693569</v>
      </c>
      <c r="C1802">
        <v>21883</v>
      </c>
      <c r="F1802" t="s">
        <v>6750</v>
      </c>
    </row>
    <row r="1803" spans="1:6" x14ac:dyDescent="0.2">
      <c r="A1803">
        <v>979</v>
      </c>
      <c r="B1803">
        <v>3693570</v>
      </c>
      <c r="C1803">
        <v>21883</v>
      </c>
      <c r="F1803" t="s">
        <v>1105</v>
      </c>
    </row>
    <row r="1804" spans="1:6" x14ac:dyDescent="0.2">
      <c r="A1804">
        <v>979</v>
      </c>
      <c r="B1804">
        <v>3693573</v>
      </c>
      <c r="C1804">
        <v>21883</v>
      </c>
      <c r="F1804" t="s">
        <v>1105</v>
      </c>
    </row>
    <row r="1805" spans="1:6" x14ac:dyDescent="0.2">
      <c r="A1805">
        <v>979</v>
      </c>
      <c r="B1805">
        <v>3693574</v>
      </c>
      <c r="C1805">
        <v>21883</v>
      </c>
      <c r="F1805" t="s">
        <v>1105</v>
      </c>
    </row>
    <row r="1806" spans="1:6" x14ac:dyDescent="0.2">
      <c r="A1806">
        <v>979</v>
      </c>
      <c r="B1806">
        <v>3693575</v>
      </c>
      <c r="C1806">
        <v>21883</v>
      </c>
      <c r="F1806" t="s">
        <v>1105</v>
      </c>
    </row>
    <row r="1807" spans="1:6" x14ac:dyDescent="0.2">
      <c r="A1807">
        <v>979</v>
      </c>
      <c r="B1807">
        <v>3693576</v>
      </c>
      <c r="C1807">
        <v>21883</v>
      </c>
      <c r="F1807" t="s">
        <v>6749</v>
      </c>
    </row>
    <row r="1808" spans="1:6" x14ac:dyDescent="0.2">
      <c r="A1808">
        <v>979</v>
      </c>
      <c r="B1808">
        <v>3693577</v>
      </c>
      <c r="C1808">
        <v>21883</v>
      </c>
      <c r="F1808" t="s">
        <v>6748</v>
      </c>
    </row>
    <row r="1809" spans="1:6" x14ac:dyDescent="0.2">
      <c r="A1809">
        <v>979</v>
      </c>
      <c r="B1809">
        <v>3693578</v>
      </c>
      <c r="C1809">
        <v>21883</v>
      </c>
      <c r="F1809" t="s">
        <v>1105</v>
      </c>
    </row>
    <row r="1810" spans="1:6" x14ac:dyDescent="0.2">
      <c r="A1810">
        <v>979</v>
      </c>
      <c r="B1810">
        <v>3693579</v>
      </c>
      <c r="C1810">
        <v>21883</v>
      </c>
      <c r="F1810" t="s">
        <v>1105</v>
      </c>
    </row>
    <row r="1811" spans="1:6" x14ac:dyDescent="0.2">
      <c r="A1811">
        <v>979</v>
      </c>
      <c r="B1811">
        <v>3693580</v>
      </c>
      <c r="C1811">
        <v>21883</v>
      </c>
      <c r="F1811" t="s">
        <v>6748</v>
      </c>
    </row>
    <row r="1812" spans="1:6" x14ac:dyDescent="0.2">
      <c r="A1812">
        <v>979</v>
      </c>
      <c r="B1812">
        <v>3693581</v>
      </c>
      <c r="C1812">
        <v>21883</v>
      </c>
      <c r="F1812" t="s">
        <v>6750</v>
      </c>
    </row>
    <row r="1813" spans="1:6" x14ac:dyDescent="0.2">
      <c r="A1813">
        <v>979</v>
      </c>
      <c r="B1813">
        <v>3693582</v>
      </c>
      <c r="C1813">
        <v>21883</v>
      </c>
      <c r="F1813" t="s">
        <v>1105</v>
      </c>
    </row>
    <row r="1814" spans="1:6" x14ac:dyDescent="0.2">
      <c r="A1814">
        <v>979</v>
      </c>
      <c r="B1814">
        <v>3693583</v>
      </c>
      <c r="C1814">
        <v>21883</v>
      </c>
      <c r="F1814" t="s">
        <v>6750</v>
      </c>
    </row>
    <row r="1815" spans="1:6" x14ac:dyDescent="0.2">
      <c r="A1815">
        <v>979</v>
      </c>
      <c r="B1815">
        <v>3693584</v>
      </c>
      <c r="C1815">
        <v>21883</v>
      </c>
      <c r="F1815" t="s">
        <v>1105</v>
      </c>
    </row>
    <row r="1816" spans="1:6" x14ac:dyDescent="0.2">
      <c r="A1816">
        <v>979</v>
      </c>
      <c r="B1816">
        <v>3693587</v>
      </c>
      <c r="C1816">
        <v>21883</v>
      </c>
      <c r="F1816" t="s">
        <v>1105</v>
      </c>
    </row>
    <row r="1817" spans="1:6" x14ac:dyDescent="0.2">
      <c r="A1817">
        <v>979</v>
      </c>
      <c r="B1817">
        <v>3693588</v>
      </c>
      <c r="C1817">
        <v>21883</v>
      </c>
      <c r="F1817" t="s">
        <v>1105</v>
      </c>
    </row>
    <row r="1818" spans="1:6" x14ac:dyDescent="0.2">
      <c r="A1818">
        <v>979</v>
      </c>
      <c r="B1818">
        <v>3693589</v>
      </c>
      <c r="C1818">
        <v>21883</v>
      </c>
      <c r="F1818" t="s">
        <v>1105</v>
      </c>
    </row>
    <row r="1819" spans="1:6" x14ac:dyDescent="0.2">
      <c r="A1819">
        <v>979</v>
      </c>
      <c r="B1819">
        <v>3693590</v>
      </c>
      <c r="C1819">
        <v>21883</v>
      </c>
      <c r="F1819" t="s">
        <v>1105</v>
      </c>
    </row>
    <row r="1820" spans="1:6" x14ac:dyDescent="0.2">
      <c r="A1820">
        <v>979</v>
      </c>
      <c r="B1820">
        <v>3693591</v>
      </c>
      <c r="C1820">
        <v>21883</v>
      </c>
      <c r="F1820" t="s">
        <v>1105</v>
      </c>
    </row>
    <row r="1821" spans="1:6" x14ac:dyDescent="0.2">
      <c r="A1821">
        <v>979</v>
      </c>
      <c r="B1821">
        <v>3693593</v>
      </c>
      <c r="C1821">
        <v>21883</v>
      </c>
      <c r="F1821" t="s">
        <v>6750</v>
      </c>
    </row>
    <row r="1822" spans="1:6" x14ac:dyDescent="0.2">
      <c r="A1822">
        <v>979</v>
      </c>
      <c r="B1822">
        <v>3693594</v>
      </c>
      <c r="C1822">
        <v>21883</v>
      </c>
      <c r="F1822" t="s">
        <v>1105</v>
      </c>
    </row>
    <row r="1823" spans="1:6" x14ac:dyDescent="0.2">
      <c r="A1823">
        <v>979</v>
      </c>
      <c r="B1823">
        <v>3693595</v>
      </c>
      <c r="C1823">
        <v>21883</v>
      </c>
      <c r="F1823" t="s">
        <v>6748</v>
      </c>
    </row>
    <row r="1824" spans="1:6" x14ac:dyDescent="0.2">
      <c r="A1824">
        <v>979</v>
      </c>
      <c r="B1824">
        <v>3693596</v>
      </c>
      <c r="C1824">
        <v>21883</v>
      </c>
      <c r="F1824" t="s">
        <v>1105</v>
      </c>
    </row>
    <row r="1825" spans="1:6" x14ac:dyDescent="0.2">
      <c r="A1825">
        <v>979</v>
      </c>
      <c r="B1825">
        <v>3693597</v>
      </c>
      <c r="C1825">
        <v>21883</v>
      </c>
      <c r="F1825" t="s">
        <v>1105</v>
      </c>
    </row>
    <row r="1826" spans="1:6" x14ac:dyDescent="0.2">
      <c r="A1826">
        <v>979</v>
      </c>
      <c r="B1826">
        <v>3693598</v>
      </c>
      <c r="C1826">
        <v>21883</v>
      </c>
      <c r="F1826" t="s">
        <v>1105</v>
      </c>
    </row>
    <row r="1827" spans="1:6" x14ac:dyDescent="0.2">
      <c r="A1827">
        <v>979</v>
      </c>
      <c r="B1827">
        <v>3693599</v>
      </c>
      <c r="C1827">
        <v>21883</v>
      </c>
      <c r="F1827" t="s">
        <v>1105</v>
      </c>
    </row>
    <row r="1828" spans="1:6" x14ac:dyDescent="0.2">
      <c r="A1828">
        <v>979</v>
      </c>
      <c r="B1828">
        <v>3693600</v>
      </c>
      <c r="C1828">
        <v>21883</v>
      </c>
      <c r="F1828" t="s">
        <v>1105</v>
      </c>
    </row>
    <row r="1829" spans="1:6" x14ac:dyDescent="0.2">
      <c r="A1829">
        <v>979</v>
      </c>
      <c r="B1829">
        <v>3693601</v>
      </c>
      <c r="C1829">
        <v>21883</v>
      </c>
      <c r="F1829" t="s">
        <v>1105</v>
      </c>
    </row>
    <row r="1830" spans="1:6" x14ac:dyDescent="0.2">
      <c r="A1830">
        <v>979</v>
      </c>
      <c r="B1830">
        <v>3693602</v>
      </c>
      <c r="C1830">
        <v>21883</v>
      </c>
      <c r="F1830" t="s">
        <v>1105</v>
      </c>
    </row>
    <row r="1831" spans="1:6" x14ac:dyDescent="0.2">
      <c r="A1831">
        <v>979</v>
      </c>
      <c r="B1831">
        <v>3693603</v>
      </c>
      <c r="C1831">
        <v>21883</v>
      </c>
      <c r="F1831" t="s">
        <v>1105</v>
      </c>
    </row>
    <row r="1832" spans="1:6" x14ac:dyDescent="0.2">
      <c r="A1832">
        <v>979</v>
      </c>
      <c r="B1832">
        <v>3693604</v>
      </c>
      <c r="C1832">
        <v>21883</v>
      </c>
      <c r="F1832" t="s">
        <v>1105</v>
      </c>
    </row>
    <row r="1833" spans="1:6" x14ac:dyDescent="0.2">
      <c r="A1833">
        <v>979</v>
      </c>
      <c r="B1833">
        <v>3693605</v>
      </c>
      <c r="C1833">
        <v>21883</v>
      </c>
      <c r="F1833" t="s">
        <v>1105</v>
      </c>
    </row>
    <row r="1834" spans="1:6" x14ac:dyDescent="0.2">
      <c r="A1834">
        <v>979</v>
      </c>
      <c r="B1834">
        <v>3693606</v>
      </c>
      <c r="C1834">
        <v>21883</v>
      </c>
      <c r="F1834" t="s">
        <v>1105</v>
      </c>
    </row>
    <row r="1835" spans="1:6" x14ac:dyDescent="0.2">
      <c r="A1835">
        <v>979</v>
      </c>
      <c r="B1835">
        <v>3693608</v>
      </c>
      <c r="C1835">
        <v>21883</v>
      </c>
      <c r="F1835" t="s">
        <v>6750</v>
      </c>
    </row>
    <row r="1836" spans="1:6" x14ac:dyDescent="0.2">
      <c r="A1836">
        <v>979</v>
      </c>
      <c r="B1836">
        <v>3693609</v>
      </c>
      <c r="C1836">
        <v>21883</v>
      </c>
      <c r="F1836" t="s">
        <v>1105</v>
      </c>
    </row>
    <row r="1837" spans="1:6" x14ac:dyDescent="0.2">
      <c r="A1837">
        <v>979</v>
      </c>
      <c r="B1837">
        <v>3693610</v>
      </c>
      <c r="C1837">
        <v>21883</v>
      </c>
      <c r="F1837" t="s">
        <v>6748</v>
      </c>
    </row>
    <row r="1838" spans="1:6" x14ac:dyDescent="0.2">
      <c r="A1838">
        <v>979</v>
      </c>
      <c r="B1838">
        <v>3693611</v>
      </c>
      <c r="C1838">
        <v>21883</v>
      </c>
      <c r="F1838" t="s">
        <v>1105</v>
      </c>
    </row>
    <row r="1839" spans="1:6" x14ac:dyDescent="0.2">
      <c r="A1839">
        <v>979</v>
      </c>
      <c r="B1839">
        <v>3693612</v>
      </c>
      <c r="C1839">
        <v>21883</v>
      </c>
      <c r="F1839" t="s">
        <v>1105</v>
      </c>
    </row>
    <row r="1840" spans="1:6" x14ac:dyDescent="0.2">
      <c r="A1840">
        <v>979</v>
      </c>
      <c r="B1840">
        <v>3693613</v>
      </c>
      <c r="C1840">
        <v>21883</v>
      </c>
      <c r="F1840" t="s">
        <v>1105</v>
      </c>
    </row>
    <row r="1841" spans="1:6" x14ac:dyDescent="0.2">
      <c r="A1841">
        <v>979</v>
      </c>
      <c r="B1841">
        <v>3693614</v>
      </c>
      <c r="C1841">
        <v>21883</v>
      </c>
      <c r="F1841" t="s">
        <v>1105</v>
      </c>
    </row>
    <row r="1842" spans="1:6" x14ac:dyDescent="0.2">
      <c r="A1842">
        <v>979</v>
      </c>
      <c r="B1842">
        <v>3693615</v>
      </c>
      <c r="C1842">
        <v>21883</v>
      </c>
      <c r="F1842" t="s">
        <v>1105</v>
      </c>
    </row>
    <row r="1843" spans="1:6" x14ac:dyDescent="0.2">
      <c r="A1843">
        <v>979</v>
      </c>
      <c r="B1843">
        <v>3693616</v>
      </c>
      <c r="C1843">
        <v>21883</v>
      </c>
      <c r="F1843" t="s">
        <v>1105</v>
      </c>
    </row>
    <row r="1844" spans="1:6" x14ac:dyDescent="0.2">
      <c r="A1844">
        <v>979</v>
      </c>
      <c r="B1844">
        <v>3693617</v>
      </c>
      <c r="C1844">
        <v>21883</v>
      </c>
      <c r="F1844" t="s">
        <v>1105</v>
      </c>
    </row>
    <row r="1845" spans="1:6" x14ac:dyDescent="0.2">
      <c r="A1845">
        <v>979</v>
      </c>
      <c r="B1845">
        <v>3693618</v>
      </c>
      <c r="C1845">
        <v>21883</v>
      </c>
      <c r="F1845" t="s">
        <v>1105</v>
      </c>
    </row>
    <row r="1846" spans="1:6" x14ac:dyDescent="0.2">
      <c r="A1846">
        <v>979</v>
      </c>
      <c r="B1846">
        <v>3693619</v>
      </c>
      <c r="C1846">
        <v>21883</v>
      </c>
      <c r="F1846" t="s">
        <v>1105</v>
      </c>
    </row>
    <row r="1847" spans="1:6" x14ac:dyDescent="0.2">
      <c r="A1847">
        <v>979</v>
      </c>
      <c r="B1847">
        <v>3693620</v>
      </c>
      <c r="C1847">
        <v>21883</v>
      </c>
      <c r="F1847" t="s">
        <v>1105</v>
      </c>
    </row>
    <row r="1848" spans="1:6" x14ac:dyDescent="0.2">
      <c r="A1848">
        <v>979</v>
      </c>
      <c r="B1848">
        <v>3693621</v>
      </c>
      <c r="C1848">
        <v>21883</v>
      </c>
      <c r="F1848" t="s">
        <v>1105</v>
      </c>
    </row>
    <row r="1849" spans="1:6" x14ac:dyDescent="0.2">
      <c r="A1849">
        <v>979</v>
      </c>
      <c r="B1849">
        <v>3693623</v>
      </c>
      <c r="C1849">
        <v>21883</v>
      </c>
      <c r="F1849" t="s">
        <v>6750</v>
      </c>
    </row>
    <row r="1850" spans="1:6" x14ac:dyDescent="0.2">
      <c r="A1850">
        <v>979</v>
      </c>
      <c r="B1850">
        <v>3693624</v>
      </c>
      <c r="C1850">
        <v>21883</v>
      </c>
      <c r="F1850" t="s">
        <v>1105</v>
      </c>
    </row>
    <row r="1851" spans="1:6" x14ac:dyDescent="0.2">
      <c r="A1851">
        <v>979</v>
      </c>
      <c r="B1851">
        <v>3693625</v>
      </c>
      <c r="C1851">
        <v>21883</v>
      </c>
      <c r="F1851" t="s">
        <v>6748</v>
      </c>
    </row>
    <row r="1852" spans="1:6" x14ac:dyDescent="0.2">
      <c r="A1852">
        <v>979</v>
      </c>
      <c r="B1852">
        <v>3693626</v>
      </c>
      <c r="C1852">
        <v>21883</v>
      </c>
      <c r="F1852" t="s">
        <v>1105</v>
      </c>
    </row>
    <row r="1853" spans="1:6" x14ac:dyDescent="0.2">
      <c r="A1853">
        <v>979</v>
      </c>
      <c r="B1853">
        <v>3693627</v>
      </c>
      <c r="C1853">
        <v>21883</v>
      </c>
      <c r="F1853" t="s">
        <v>1105</v>
      </c>
    </row>
    <row r="1854" spans="1:6" x14ac:dyDescent="0.2">
      <c r="A1854">
        <v>979</v>
      </c>
      <c r="B1854">
        <v>3693628</v>
      </c>
      <c r="C1854">
        <v>21883</v>
      </c>
      <c r="F1854" t="s">
        <v>1105</v>
      </c>
    </row>
    <row r="1855" spans="1:6" x14ac:dyDescent="0.2">
      <c r="A1855">
        <v>979</v>
      </c>
      <c r="B1855">
        <v>3693629</v>
      </c>
      <c r="C1855">
        <v>21883</v>
      </c>
      <c r="F1855" t="s">
        <v>1105</v>
      </c>
    </row>
    <row r="1856" spans="1:6" x14ac:dyDescent="0.2">
      <c r="A1856">
        <v>979</v>
      </c>
      <c r="B1856">
        <v>3693630</v>
      </c>
      <c r="C1856">
        <v>21883</v>
      </c>
      <c r="F1856" t="s">
        <v>1105</v>
      </c>
    </row>
    <row r="1857" spans="1:6" x14ac:dyDescent="0.2">
      <c r="A1857">
        <v>979</v>
      </c>
      <c r="B1857">
        <v>3693631</v>
      </c>
      <c r="C1857">
        <v>21883</v>
      </c>
      <c r="F1857" t="s">
        <v>1105</v>
      </c>
    </row>
    <row r="1858" spans="1:6" x14ac:dyDescent="0.2">
      <c r="A1858">
        <v>979</v>
      </c>
      <c r="B1858">
        <v>3693632</v>
      </c>
      <c r="C1858">
        <v>21883</v>
      </c>
      <c r="F1858" t="s">
        <v>1105</v>
      </c>
    </row>
    <row r="1859" spans="1:6" x14ac:dyDescent="0.2">
      <c r="A1859">
        <v>979</v>
      </c>
      <c r="B1859">
        <v>3693633</v>
      </c>
      <c r="C1859">
        <v>21883</v>
      </c>
      <c r="F1859" t="s">
        <v>1105</v>
      </c>
    </row>
    <row r="1860" spans="1:6" x14ac:dyDescent="0.2">
      <c r="A1860">
        <v>979</v>
      </c>
      <c r="B1860">
        <v>3693634</v>
      </c>
      <c r="C1860">
        <v>21883</v>
      </c>
      <c r="F1860" t="s">
        <v>1105</v>
      </c>
    </row>
    <row r="1861" spans="1:6" x14ac:dyDescent="0.2">
      <c r="A1861">
        <v>979</v>
      </c>
      <c r="B1861">
        <v>3693635</v>
      </c>
      <c r="C1861">
        <v>21883</v>
      </c>
      <c r="F1861" t="s">
        <v>1105</v>
      </c>
    </row>
    <row r="1862" spans="1:6" x14ac:dyDescent="0.2">
      <c r="A1862">
        <v>979</v>
      </c>
      <c r="B1862">
        <v>3693636</v>
      </c>
      <c r="C1862">
        <v>21883</v>
      </c>
      <c r="F1862" t="s">
        <v>1105</v>
      </c>
    </row>
    <row r="1863" spans="1:6" x14ac:dyDescent="0.2">
      <c r="A1863">
        <v>979</v>
      </c>
      <c r="B1863">
        <v>3693638</v>
      </c>
      <c r="C1863">
        <v>21883</v>
      </c>
      <c r="F1863" t="s">
        <v>6750</v>
      </c>
    </row>
    <row r="1864" spans="1:6" x14ac:dyDescent="0.2">
      <c r="A1864">
        <v>979</v>
      </c>
      <c r="B1864">
        <v>3693639</v>
      </c>
      <c r="C1864">
        <v>21883</v>
      </c>
      <c r="F1864" t="s">
        <v>1105</v>
      </c>
    </row>
    <row r="1865" spans="1:6" x14ac:dyDescent="0.2">
      <c r="A1865">
        <v>979</v>
      </c>
      <c r="B1865">
        <v>3693640</v>
      </c>
      <c r="C1865">
        <v>21883</v>
      </c>
      <c r="F1865" t="s">
        <v>6748</v>
      </c>
    </row>
    <row r="1866" spans="1:6" x14ac:dyDescent="0.2">
      <c r="A1866">
        <v>979</v>
      </c>
      <c r="B1866">
        <v>3693641</v>
      </c>
      <c r="C1866">
        <v>21883</v>
      </c>
      <c r="F1866" t="s">
        <v>1105</v>
      </c>
    </row>
    <row r="1867" spans="1:6" x14ac:dyDescent="0.2">
      <c r="A1867">
        <v>979</v>
      </c>
      <c r="B1867">
        <v>3693642</v>
      </c>
      <c r="C1867">
        <v>21883</v>
      </c>
      <c r="F1867" t="s">
        <v>1105</v>
      </c>
    </row>
    <row r="1868" spans="1:6" x14ac:dyDescent="0.2">
      <c r="A1868">
        <v>979</v>
      </c>
      <c r="B1868">
        <v>3693643</v>
      </c>
      <c r="C1868">
        <v>21883</v>
      </c>
      <c r="F1868" t="s">
        <v>1105</v>
      </c>
    </row>
    <row r="1869" spans="1:6" x14ac:dyDescent="0.2">
      <c r="A1869">
        <v>979</v>
      </c>
      <c r="B1869">
        <v>3693644</v>
      </c>
      <c r="C1869">
        <v>21883</v>
      </c>
      <c r="F1869" t="s">
        <v>1105</v>
      </c>
    </row>
    <row r="1870" spans="1:6" x14ac:dyDescent="0.2">
      <c r="A1870">
        <v>979</v>
      </c>
      <c r="B1870">
        <v>3693645</v>
      </c>
      <c r="C1870">
        <v>21883</v>
      </c>
      <c r="F1870" t="s">
        <v>1105</v>
      </c>
    </row>
    <row r="1871" spans="1:6" x14ac:dyDescent="0.2">
      <c r="A1871">
        <v>979</v>
      </c>
      <c r="B1871">
        <v>3693646</v>
      </c>
      <c r="C1871">
        <v>21883</v>
      </c>
      <c r="F1871" t="s">
        <v>1105</v>
      </c>
    </row>
    <row r="1872" spans="1:6" x14ac:dyDescent="0.2">
      <c r="A1872">
        <v>979</v>
      </c>
      <c r="B1872">
        <v>3693647</v>
      </c>
      <c r="C1872">
        <v>21883</v>
      </c>
      <c r="F1872" t="s">
        <v>1105</v>
      </c>
    </row>
    <row r="1873" spans="1:6" x14ac:dyDescent="0.2">
      <c r="A1873">
        <v>979</v>
      </c>
      <c r="B1873">
        <v>3693648</v>
      </c>
      <c r="C1873">
        <v>21883</v>
      </c>
      <c r="F1873" t="s">
        <v>1105</v>
      </c>
    </row>
    <row r="1874" spans="1:6" x14ac:dyDescent="0.2">
      <c r="A1874">
        <v>979</v>
      </c>
      <c r="B1874">
        <v>3693649</v>
      </c>
      <c r="C1874">
        <v>21883</v>
      </c>
      <c r="F1874" t="s">
        <v>1105</v>
      </c>
    </row>
    <row r="1875" spans="1:6" x14ac:dyDescent="0.2">
      <c r="A1875">
        <v>979</v>
      </c>
      <c r="B1875">
        <v>3693650</v>
      </c>
      <c r="C1875">
        <v>21883</v>
      </c>
      <c r="F1875" t="s">
        <v>1105</v>
      </c>
    </row>
    <row r="1876" spans="1:6" x14ac:dyDescent="0.2">
      <c r="A1876">
        <v>979</v>
      </c>
      <c r="B1876">
        <v>3693651</v>
      </c>
      <c r="C1876">
        <v>21883</v>
      </c>
      <c r="F1876" t="s">
        <v>1105</v>
      </c>
    </row>
    <row r="1877" spans="1:6" x14ac:dyDescent="0.2">
      <c r="A1877">
        <v>979</v>
      </c>
      <c r="B1877">
        <v>3693653</v>
      </c>
      <c r="C1877">
        <v>21883</v>
      </c>
      <c r="F1877" t="s">
        <v>6750</v>
      </c>
    </row>
    <row r="1878" spans="1:6" x14ac:dyDescent="0.2">
      <c r="A1878">
        <v>979</v>
      </c>
      <c r="B1878">
        <v>3693654</v>
      </c>
      <c r="C1878">
        <v>21883</v>
      </c>
      <c r="F1878" t="s">
        <v>1105</v>
      </c>
    </row>
    <row r="1879" spans="1:6" x14ac:dyDescent="0.2">
      <c r="A1879">
        <v>979</v>
      </c>
      <c r="B1879">
        <v>3693655</v>
      </c>
      <c r="C1879">
        <v>21883</v>
      </c>
      <c r="F1879" t="s">
        <v>6748</v>
      </c>
    </row>
    <row r="1880" spans="1:6" x14ac:dyDescent="0.2">
      <c r="A1880">
        <v>979</v>
      </c>
      <c r="B1880">
        <v>3693656</v>
      </c>
      <c r="C1880">
        <v>21883</v>
      </c>
      <c r="F1880" t="s">
        <v>1105</v>
      </c>
    </row>
    <row r="1881" spans="1:6" x14ac:dyDescent="0.2">
      <c r="A1881">
        <v>979</v>
      </c>
      <c r="B1881">
        <v>3693657</v>
      </c>
      <c r="C1881">
        <v>21883</v>
      </c>
      <c r="F1881" t="s">
        <v>1105</v>
      </c>
    </row>
    <row r="1882" spans="1:6" x14ac:dyDescent="0.2">
      <c r="A1882">
        <v>979</v>
      </c>
      <c r="B1882">
        <v>3693658</v>
      </c>
      <c r="C1882">
        <v>21883</v>
      </c>
      <c r="F1882" t="s">
        <v>1105</v>
      </c>
    </row>
    <row r="1883" spans="1:6" x14ac:dyDescent="0.2">
      <c r="A1883">
        <v>979</v>
      </c>
      <c r="B1883">
        <v>3693659</v>
      </c>
      <c r="C1883">
        <v>21883</v>
      </c>
      <c r="F1883" t="s">
        <v>1105</v>
      </c>
    </row>
    <row r="1884" spans="1:6" x14ac:dyDescent="0.2">
      <c r="A1884">
        <v>979</v>
      </c>
      <c r="B1884">
        <v>3693660</v>
      </c>
      <c r="C1884">
        <v>21883</v>
      </c>
      <c r="F1884" t="s">
        <v>1105</v>
      </c>
    </row>
    <row r="1885" spans="1:6" x14ac:dyDescent="0.2">
      <c r="A1885">
        <v>979</v>
      </c>
      <c r="B1885">
        <v>3693661</v>
      </c>
      <c r="C1885">
        <v>21883</v>
      </c>
      <c r="F1885" t="s">
        <v>1105</v>
      </c>
    </row>
    <row r="1886" spans="1:6" x14ac:dyDescent="0.2">
      <c r="A1886">
        <v>979</v>
      </c>
      <c r="B1886">
        <v>3693662</v>
      </c>
      <c r="C1886">
        <v>21883</v>
      </c>
      <c r="F1886" t="s">
        <v>1105</v>
      </c>
    </row>
    <row r="1887" spans="1:6" x14ac:dyDescent="0.2">
      <c r="A1887">
        <v>979</v>
      </c>
      <c r="B1887">
        <v>3693663</v>
      </c>
      <c r="C1887">
        <v>21883</v>
      </c>
      <c r="F1887" t="s">
        <v>1105</v>
      </c>
    </row>
    <row r="1888" spans="1:6" x14ac:dyDescent="0.2">
      <c r="A1888">
        <v>979</v>
      </c>
      <c r="B1888">
        <v>3693664</v>
      </c>
      <c r="C1888">
        <v>21883</v>
      </c>
      <c r="F1888" t="s">
        <v>1105</v>
      </c>
    </row>
    <row r="1889" spans="1:6" x14ac:dyDescent="0.2">
      <c r="A1889">
        <v>979</v>
      </c>
      <c r="B1889">
        <v>3693665</v>
      </c>
      <c r="C1889">
        <v>21883</v>
      </c>
      <c r="F1889" t="s">
        <v>1105</v>
      </c>
    </row>
    <row r="1890" spans="1:6" x14ac:dyDescent="0.2">
      <c r="A1890">
        <v>979</v>
      </c>
      <c r="B1890">
        <v>3693666</v>
      </c>
      <c r="C1890">
        <v>21883</v>
      </c>
      <c r="F1890" t="s">
        <v>1105</v>
      </c>
    </row>
    <row r="1891" spans="1:6" x14ac:dyDescent="0.2">
      <c r="A1891">
        <v>979</v>
      </c>
      <c r="B1891">
        <v>3693668</v>
      </c>
      <c r="C1891">
        <v>21883</v>
      </c>
      <c r="F1891" t="s">
        <v>6750</v>
      </c>
    </row>
    <row r="1892" spans="1:6" x14ac:dyDescent="0.2">
      <c r="A1892">
        <v>979</v>
      </c>
      <c r="B1892">
        <v>3693669</v>
      </c>
      <c r="C1892">
        <v>21883</v>
      </c>
      <c r="F1892" t="s">
        <v>1105</v>
      </c>
    </row>
    <row r="1893" spans="1:6" x14ac:dyDescent="0.2">
      <c r="A1893">
        <v>979</v>
      </c>
      <c r="B1893">
        <v>3693670</v>
      </c>
      <c r="C1893">
        <v>21883</v>
      </c>
      <c r="F1893" t="s">
        <v>6748</v>
      </c>
    </row>
    <row r="1894" spans="1:6" x14ac:dyDescent="0.2">
      <c r="A1894">
        <v>979</v>
      </c>
      <c r="B1894">
        <v>3693671</v>
      </c>
      <c r="C1894">
        <v>21883</v>
      </c>
      <c r="F1894" t="s">
        <v>1105</v>
      </c>
    </row>
    <row r="1895" spans="1:6" x14ac:dyDescent="0.2">
      <c r="A1895">
        <v>979</v>
      </c>
      <c r="B1895">
        <v>3693672</v>
      </c>
      <c r="C1895">
        <v>21883</v>
      </c>
      <c r="F1895" t="s">
        <v>1105</v>
      </c>
    </row>
    <row r="1896" spans="1:6" x14ac:dyDescent="0.2">
      <c r="A1896">
        <v>979</v>
      </c>
      <c r="B1896">
        <v>3693673</v>
      </c>
      <c r="C1896">
        <v>21883</v>
      </c>
      <c r="F1896" t="s">
        <v>1105</v>
      </c>
    </row>
    <row r="1897" spans="1:6" x14ac:dyDescent="0.2">
      <c r="A1897">
        <v>979</v>
      </c>
      <c r="B1897">
        <v>3693674</v>
      </c>
      <c r="C1897">
        <v>21883</v>
      </c>
      <c r="F1897" t="s">
        <v>1105</v>
      </c>
    </row>
    <row r="1898" spans="1:6" x14ac:dyDescent="0.2">
      <c r="A1898">
        <v>979</v>
      </c>
      <c r="B1898">
        <v>3693675</v>
      </c>
      <c r="C1898">
        <v>21883</v>
      </c>
      <c r="F1898" t="s">
        <v>1105</v>
      </c>
    </row>
    <row r="1899" spans="1:6" x14ac:dyDescent="0.2">
      <c r="A1899">
        <v>979</v>
      </c>
      <c r="B1899">
        <v>3693676</v>
      </c>
      <c r="C1899">
        <v>21883</v>
      </c>
      <c r="F1899" t="s">
        <v>1105</v>
      </c>
    </row>
    <row r="1900" spans="1:6" x14ac:dyDescent="0.2">
      <c r="A1900">
        <v>979</v>
      </c>
      <c r="B1900">
        <v>3693677</v>
      </c>
      <c r="C1900">
        <v>21883</v>
      </c>
      <c r="F1900" t="s">
        <v>1105</v>
      </c>
    </row>
    <row r="1901" spans="1:6" x14ac:dyDescent="0.2">
      <c r="A1901">
        <v>979</v>
      </c>
      <c r="B1901">
        <v>3693678</v>
      </c>
      <c r="C1901">
        <v>21883</v>
      </c>
      <c r="F1901" t="s">
        <v>1105</v>
      </c>
    </row>
    <row r="1902" spans="1:6" x14ac:dyDescent="0.2">
      <c r="A1902">
        <v>979</v>
      </c>
      <c r="B1902">
        <v>3693679</v>
      </c>
      <c r="C1902">
        <v>21883</v>
      </c>
      <c r="F1902" t="s">
        <v>1105</v>
      </c>
    </row>
    <row r="1903" spans="1:6" x14ac:dyDescent="0.2">
      <c r="A1903">
        <v>979</v>
      </c>
      <c r="B1903">
        <v>3693680</v>
      </c>
      <c r="C1903">
        <v>21883</v>
      </c>
      <c r="F1903" t="s">
        <v>1105</v>
      </c>
    </row>
    <row r="1904" spans="1:6" x14ac:dyDescent="0.2">
      <c r="A1904">
        <v>979</v>
      </c>
      <c r="B1904">
        <v>3693681</v>
      </c>
      <c r="C1904">
        <v>21883</v>
      </c>
      <c r="F1904" t="s">
        <v>1105</v>
      </c>
    </row>
    <row r="1905" spans="1:6" x14ac:dyDescent="0.2">
      <c r="A1905">
        <v>979</v>
      </c>
      <c r="B1905">
        <v>3693683</v>
      </c>
      <c r="C1905">
        <v>21883</v>
      </c>
      <c r="F1905" t="s">
        <v>6750</v>
      </c>
    </row>
    <row r="1906" spans="1:6" x14ac:dyDescent="0.2">
      <c r="A1906">
        <v>979</v>
      </c>
      <c r="B1906">
        <v>3693684</v>
      </c>
      <c r="C1906">
        <v>21883</v>
      </c>
      <c r="F1906" t="s">
        <v>1105</v>
      </c>
    </row>
    <row r="1907" spans="1:6" x14ac:dyDescent="0.2">
      <c r="A1907">
        <v>979</v>
      </c>
      <c r="B1907">
        <v>3693685</v>
      </c>
      <c r="C1907">
        <v>21883</v>
      </c>
      <c r="F1907" t="s">
        <v>6748</v>
      </c>
    </row>
    <row r="1908" spans="1:6" x14ac:dyDescent="0.2">
      <c r="A1908">
        <v>979</v>
      </c>
      <c r="B1908">
        <v>3693686</v>
      </c>
      <c r="C1908">
        <v>21883</v>
      </c>
      <c r="F1908" t="s">
        <v>1105</v>
      </c>
    </row>
    <row r="1909" spans="1:6" x14ac:dyDescent="0.2">
      <c r="A1909">
        <v>979</v>
      </c>
      <c r="B1909">
        <v>3693687</v>
      </c>
      <c r="C1909">
        <v>21883</v>
      </c>
      <c r="F1909" t="s">
        <v>1105</v>
      </c>
    </row>
    <row r="1910" spans="1:6" x14ac:dyDescent="0.2">
      <c r="A1910">
        <v>979</v>
      </c>
      <c r="B1910">
        <v>3693688</v>
      </c>
      <c r="C1910">
        <v>21883</v>
      </c>
      <c r="F1910" t="s">
        <v>1105</v>
      </c>
    </row>
    <row r="1911" spans="1:6" x14ac:dyDescent="0.2">
      <c r="A1911">
        <v>979</v>
      </c>
      <c r="B1911">
        <v>3693689</v>
      </c>
      <c r="C1911">
        <v>21883</v>
      </c>
      <c r="F1911" t="s">
        <v>1105</v>
      </c>
    </row>
    <row r="1912" spans="1:6" x14ac:dyDescent="0.2">
      <c r="A1912">
        <v>979</v>
      </c>
      <c r="B1912">
        <v>3693690</v>
      </c>
      <c r="C1912">
        <v>21883</v>
      </c>
      <c r="F1912" t="s">
        <v>1105</v>
      </c>
    </row>
    <row r="1913" spans="1:6" x14ac:dyDescent="0.2">
      <c r="A1913">
        <v>979</v>
      </c>
      <c r="B1913">
        <v>3693691</v>
      </c>
      <c r="C1913">
        <v>21883</v>
      </c>
      <c r="F1913" t="s">
        <v>1105</v>
      </c>
    </row>
    <row r="1914" spans="1:6" x14ac:dyDescent="0.2">
      <c r="A1914">
        <v>979</v>
      </c>
      <c r="B1914">
        <v>3693692</v>
      </c>
      <c r="C1914">
        <v>21883</v>
      </c>
      <c r="F1914" t="s">
        <v>1105</v>
      </c>
    </row>
    <row r="1915" spans="1:6" x14ac:dyDescent="0.2">
      <c r="A1915">
        <v>979</v>
      </c>
      <c r="B1915">
        <v>3693693</v>
      </c>
      <c r="C1915">
        <v>21883</v>
      </c>
      <c r="F1915" t="s">
        <v>1105</v>
      </c>
    </row>
    <row r="1916" spans="1:6" x14ac:dyDescent="0.2">
      <c r="A1916">
        <v>979</v>
      </c>
      <c r="B1916">
        <v>3693694</v>
      </c>
      <c r="C1916">
        <v>21883</v>
      </c>
      <c r="F1916" t="s">
        <v>1105</v>
      </c>
    </row>
    <row r="1917" spans="1:6" x14ac:dyDescent="0.2">
      <c r="A1917">
        <v>979</v>
      </c>
      <c r="B1917">
        <v>3693695</v>
      </c>
      <c r="C1917">
        <v>21883</v>
      </c>
      <c r="F1917" t="s">
        <v>1105</v>
      </c>
    </row>
    <row r="1918" spans="1:6" x14ac:dyDescent="0.2">
      <c r="A1918">
        <v>979</v>
      </c>
      <c r="B1918">
        <v>3693696</v>
      </c>
      <c r="C1918">
        <v>21883</v>
      </c>
      <c r="F1918" t="s">
        <v>1105</v>
      </c>
    </row>
    <row r="1919" spans="1:6" x14ac:dyDescent="0.2">
      <c r="A1919">
        <v>979</v>
      </c>
      <c r="B1919">
        <v>3693698</v>
      </c>
      <c r="C1919">
        <v>21883</v>
      </c>
      <c r="F1919" t="s">
        <v>6750</v>
      </c>
    </row>
    <row r="1920" spans="1:6" x14ac:dyDescent="0.2">
      <c r="A1920">
        <v>979</v>
      </c>
      <c r="B1920">
        <v>3693699</v>
      </c>
      <c r="C1920">
        <v>21883</v>
      </c>
      <c r="F1920" t="s">
        <v>1105</v>
      </c>
    </row>
    <row r="1921" spans="1:6" x14ac:dyDescent="0.2">
      <c r="A1921">
        <v>979</v>
      </c>
      <c r="B1921">
        <v>3693700</v>
      </c>
      <c r="C1921">
        <v>21883</v>
      </c>
      <c r="F1921" t="s">
        <v>6748</v>
      </c>
    </row>
    <row r="1922" spans="1:6" x14ac:dyDescent="0.2">
      <c r="A1922">
        <v>979</v>
      </c>
      <c r="B1922">
        <v>3693701</v>
      </c>
      <c r="C1922">
        <v>21883</v>
      </c>
      <c r="F1922" t="s">
        <v>1105</v>
      </c>
    </row>
    <row r="1923" spans="1:6" x14ac:dyDescent="0.2">
      <c r="A1923">
        <v>979</v>
      </c>
      <c r="B1923">
        <v>3693702</v>
      </c>
      <c r="C1923">
        <v>21883</v>
      </c>
      <c r="F1923" t="s">
        <v>1105</v>
      </c>
    </row>
    <row r="1924" spans="1:6" x14ac:dyDescent="0.2">
      <c r="A1924">
        <v>979</v>
      </c>
      <c r="B1924">
        <v>3693703</v>
      </c>
      <c r="C1924">
        <v>21883</v>
      </c>
      <c r="F1924" t="s">
        <v>1105</v>
      </c>
    </row>
    <row r="1925" spans="1:6" x14ac:dyDescent="0.2">
      <c r="A1925">
        <v>979</v>
      </c>
      <c r="B1925">
        <v>3693704</v>
      </c>
      <c r="C1925">
        <v>21883</v>
      </c>
      <c r="F1925" t="s">
        <v>1105</v>
      </c>
    </row>
    <row r="1926" spans="1:6" x14ac:dyDescent="0.2">
      <c r="A1926">
        <v>979</v>
      </c>
      <c r="B1926">
        <v>3693705</v>
      </c>
      <c r="C1926">
        <v>21883</v>
      </c>
      <c r="F1926" t="s">
        <v>1105</v>
      </c>
    </row>
    <row r="1927" spans="1:6" x14ac:dyDescent="0.2">
      <c r="A1927">
        <v>979</v>
      </c>
      <c r="B1927">
        <v>3693706</v>
      </c>
      <c r="C1927">
        <v>21883</v>
      </c>
      <c r="F1927" t="s">
        <v>1105</v>
      </c>
    </row>
    <row r="1928" spans="1:6" x14ac:dyDescent="0.2">
      <c r="A1928">
        <v>979</v>
      </c>
      <c r="B1928">
        <v>3693707</v>
      </c>
      <c r="C1928">
        <v>21883</v>
      </c>
      <c r="F1928" t="s">
        <v>1105</v>
      </c>
    </row>
    <row r="1929" spans="1:6" x14ac:dyDescent="0.2">
      <c r="A1929">
        <v>979</v>
      </c>
      <c r="B1929">
        <v>3693708</v>
      </c>
      <c r="C1929">
        <v>21883</v>
      </c>
      <c r="F1929" t="s">
        <v>1105</v>
      </c>
    </row>
    <row r="1930" spans="1:6" x14ac:dyDescent="0.2">
      <c r="A1930">
        <v>979</v>
      </c>
      <c r="B1930">
        <v>3693709</v>
      </c>
      <c r="C1930">
        <v>21883</v>
      </c>
      <c r="F1930" t="s">
        <v>1105</v>
      </c>
    </row>
    <row r="1931" spans="1:6" x14ac:dyDescent="0.2">
      <c r="A1931">
        <v>979</v>
      </c>
      <c r="B1931">
        <v>3693747</v>
      </c>
      <c r="C1931">
        <v>21883</v>
      </c>
      <c r="F1931" t="s">
        <v>1105</v>
      </c>
    </row>
    <row r="1932" spans="1:6" x14ac:dyDescent="0.2">
      <c r="A1932">
        <v>979</v>
      </c>
      <c r="B1932">
        <v>3693749</v>
      </c>
      <c r="C1932">
        <v>21883</v>
      </c>
      <c r="F1932" t="s">
        <v>1105</v>
      </c>
    </row>
    <row r="1933" spans="1:6" x14ac:dyDescent="0.2">
      <c r="A1933">
        <v>979</v>
      </c>
      <c r="B1933">
        <v>3693752</v>
      </c>
      <c r="C1933">
        <v>21883</v>
      </c>
      <c r="F1933" t="s">
        <v>1105</v>
      </c>
    </row>
    <row r="1934" spans="1:6" x14ac:dyDescent="0.2">
      <c r="A1934">
        <v>979</v>
      </c>
      <c r="B1934">
        <v>3693753</v>
      </c>
      <c r="C1934">
        <v>21883</v>
      </c>
      <c r="F1934" t="s">
        <v>1105</v>
      </c>
    </row>
    <row r="1935" spans="1:6" x14ac:dyDescent="0.2">
      <c r="A1935">
        <v>979</v>
      </c>
      <c r="B1935">
        <v>3693754</v>
      </c>
      <c r="C1935">
        <v>21883</v>
      </c>
      <c r="F1935" t="s">
        <v>1105</v>
      </c>
    </row>
    <row r="1936" spans="1:6" x14ac:dyDescent="0.2">
      <c r="A1936">
        <v>979</v>
      </c>
      <c r="B1936">
        <v>3693755</v>
      </c>
      <c r="C1936">
        <v>21883</v>
      </c>
      <c r="F1936" t="s">
        <v>6748</v>
      </c>
    </row>
    <row r="1937" spans="1:6" x14ac:dyDescent="0.2">
      <c r="A1937">
        <v>979</v>
      </c>
      <c r="B1937">
        <v>3693756</v>
      </c>
      <c r="C1937">
        <v>21883</v>
      </c>
      <c r="F1937" t="s">
        <v>1105</v>
      </c>
    </row>
    <row r="1938" spans="1:6" x14ac:dyDescent="0.2">
      <c r="A1938">
        <v>979</v>
      </c>
      <c r="B1938">
        <v>3693757</v>
      </c>
      <c r="C1938">
        <v>21883</v>
      </c>
      <c r="F1938" t="s">
        <v>1105</v>
      </c>
    </row>
    <row r="1939" spans="1:6" x14ac:dyDescent="0.2">
      <c r="A1939">
        <v>979</v>
      </c>
      <c r="B1939">
        <v>3693758</v>
      </c>
      <c r="C1939">
        <v>21883</v>
      </c>
      <c r="F1939" t="s">
        <v>1105</v>
      </c>
    </row>
    <row r="1940" spans="1:6" x14ac:dyDescent="0.2">
      <c r="A1940">
        <v>979</v>
      </c>
      <c r="B1940">
        <v>3693759</v>
      </c>
      <c r="C1940">
        <v>21883</v>
      </c>
      <c r="F1940" t="s">
        <v>6748</v>
      </c>
    </row>
    <row r="1941" spans="1:6" x14ac:dyDescent="0.2">
      <c r="A1941">
        <v>979</v>
      </c>
      <c r="B1941">
        <v>3693760</v>
      </c>
      <c r="C1941">
        <v>21883</v>
      </c>
      <c r="F1941" t="s">
        <v>1105</v>
      </c>
    </row>
    <row r="1942" spans="1:6" x14ac:dyDescent="0.2">
      <c r="A1942">
        <v>979</v>
      </c>
      <c r="B1942">
        <v>3693761</v>
      </c>
      <c r="C1942">
        <v>21883</v>
      </c>
      <c r="F1942" t="s">
        <v>1105</v>
      </c>
    </row>
    <row r="1943" spans="1:6" x14ac:dyDescent="0.2">
      <c r="A1943">
        <v>979</v>
      </c>
      <c r="B1943">
        <v>3693762</v>
      </c>
      <c r="C1943">
        <v>21883</v>
      </c>
      <c r="F1943" t="s">
        <v>1105</v>
      </c>
    </row>
    <row r="1944" spans="1:6" x14ac:dyDescent="0.2">
      <c r="A1944">
        <v>979</v>
      </c>
      <c r="B1944">
        <v>3693763</v>
      </c>
      <c r="C1944">
        <v>21883</v>
      </c>
      <c r="F1944" t="s">
        <v>1105</v>
      </c>
    </row>
    <row r="1945" spans="1:6" x14ac:dyDescent="0.2">
      <c r="A1945">
        <v>979</v>
      </c>
      <c r="B1945">
        <v>3693765</v>
      </c>
      <c r="C1945">
        <v>21883</v>
      </c>
      <c r="F1945" t="s">
        <v>1105</v>
      </c>
    </row>
    <row r="1946" spans="1:6" x14ac:dyDescent="0.2">
      <c r="A1946">
        <v>979</v>
      </c>
      <c r="B1946">
        <v>3693766</v>
      </c>
      <c r="C1946">
        <v>21883</v>
      </c>
      <c r="F1946" t="s">
        <v>1105</v>
      </c>
    </row>
    <row r="1947" spans="1:6" x14ac:dyDescent="0.2">
      <c r="A1947">
        <v>979</v>
      </c>
      <c r="B1947">
        <v>3693767</v>
      </c>
      <c r="C1947">
        <v>21883</v>
      </c>
      <c r="F1947" t="s">
        <v>1105</v>
      </c>
    </row>
    <row r="1948" spans="1:6" x14ac:dyDescent="0.2">
      <c r="A1948">
        <v>979</v>
      </c>
      <c r="B1948">
        <v>3693768</v>
      </c>
      <c r="C1948">
        <v>21883</v>
      </c>
      <c r="F1948" t="s">
        <v>1105</v>
      </c>
    </row>
    <row r="1949" spans="1:6" x14ac:dyDescent="0.2">
      <c r="A1949">
        <v>979</v>
      </c>
      <c r="B1949">
        <v>3693769</v>
      </c>
      <c r="C1949">
        <v>21883</v>
      </c>
      <c r="F1949" t="s">
        <v>1105</v>
      </c>
    </row>
    <row r="1950" spans="1:6" x14ac:dyDescent="0.2">
      <c r="A1950">
        <v>979</v>
      </c>
      <c r="B1950">
        <v>3693770</v>
      </c>
      <c r="C1950">
        <v>21883</v>
      </c>
      <c r="F1950" t="s">
        <v>1105</v>
      </c>
    </row>
    <row r="1951" spans="1:6" x14ac:dyDescent="0.2">
      <c r="A1951">
        <v>979</v>
      </c>
      <c r="B1951">
        <v>3693771</v>
      </c>
      <c r="C1951">
        <v>21883</v>
      </c>
      <c r="F1951" t="s">
        <v>1105</v>
      </c>
    </row>
    <row r="1952" spans="1:6" x14ac:dyDescent="0.2">
      <c r="A1952">
        <v>979</v>
      </c>
      <c r="B1952">
        <v>3693772</v>
      </c>
      <c r="C1952">
        <v>21883</v>
      </c>
      <c r="F1952" t="s">
        <v>1105</v>
      </c>
    </row>
    <row r="1953" spans="1:6" x14ac:dyDescent="0.2">
      <c r="A1953">
        <v>979</v>
      </c>
      <c r="B1953">
        <v>3693773</v>
      </c>
      <c r="C1953">
        <v>21883</v>
      </c>
      <c r="F1953" t="s">
        <v>6748</v>
      </c>
    </row>
    <row r="1954" spans="1:6" x14ac:dyDescent="0.2">
      <c r="A1954">
        <v>979</v>
      </c>
      <c r="B1954">
        <v>3693774</v>
      </c>
      <c r="C1954">
        <v>21883</v>
      </c>
      <c r="F1954" t="s">
        <v>1105</v>
      </c>
    </row>
    <row r="1955" spans="1:6" x14ac:dyDescent="0.2">
      <c r="A1955">
        <v>979</v>
      </c>
      <c r="B1955">
        <v>3693775</v>
      </c>
      <c r="C1955">
        <v>21883</v>
      </c>
      <c r="F1955" t="s">
        <v>6750</v>
      </c>
    </row>
    <row r="1956" spans="1:6" x14ac:dyDescent="0.2">
      <c r="A1956">
        <v>979</v>
      </c>
      <c r="B1956">
        <v>3693776</v>
      </c>
      <c r="C1956">
        <v>21883</v>
      </c>
      <c r="F1956" t="s">
        <v>1105</v>
      </c>
    </row>
    <row r="1957" spans="1:6" x14ac:dyDescent="0.2">
      <c r="A1957">
        <v>979</v>
      </c>
      <c r="B1957">
        <v>3693777</v>
      </c>
      <c r="C1957">
        <v>21883</v>
      </c>
      <c r="F1957" t="s">
        <v>6748</v>
      </c>
    </row>
    <row r="1958" spans="1:6" x14ac:dyDescent="0.2">
      <c r="A1958">
        <v>979</v>
      </c>
      <c r="B1958">
        <v>3693778</v>
      </c>
      <c r="C1958">
        <v>21883</v>
      </c>
      <c r="F1958" t="s">
        <v>1105</v>
      </c>
    </row>
    <row r="1959" spans="1:6" x14ac:dyDescent="0.2">
      <c r="A1959">
        <v>979</v>
      </c>
      <c r="B1959">
        <v>3693779</v>
      </c>
      <c r="C1959">
        <v>21883</v>
      </c>
      <c r="F1959" t="s">
        <v>1105</v>
      </c>
    </row>
    <row r="1960" spans="1:6" x14ac:dyDescent="0.2">
      <c r="A1960">
        <v>979</v>
      </c>
      <c r="B1960">
        <v>3693780</v>
      </c>
      <c r="C1960">
        <v>21883</v>
      </c>
      <c r="F1960" t="s">
        <v>1105</v>
      </c>
    </row>
    <row r="1961" spans="1:6" x14ac:dyDescent="0.2">
      <c r="A1961">
        <v>979</v>
      </c>
      <c r="B1961">
        <v>3693782</v>
      </c>
      <c r="C1961">
        <v>21883</v>
      </c>
      <c r="F1961" t="s">
        <v>1105</v>
      </c>
    </row>
    <row r="1962" spans="1:6" x14ac:dyDescent="0.2">
      <c r="A1962">
        <v>979</v>
      </c>
      <c r="B1962">
        <v>3693783</v>
      </c>
      <c r="C1962">
        <v>21883</v>
      </c>
      <c r="F1962" t="s">
        <v>1105</v>
      </c>
    </row>
    <row r="1963" spans="1:6" x14ac:dyDescent="0.2">
      <c r="A1963">
        <v>979</v>
      </c>
      <c r="B1963">
        <v>3693784</v>
      </c>
      <c r="C1963">
        <v>21883</v>
      </c>
      <c r="F1963" t="s">
        <v>1105</v>
      </c>
    </row>
    <row r="1964" spans="1:6" x14ac:dyDescent="0.2">
      <c r="A1964">
        <v>979</v>
      </c>
      <c r="B1964">
        <v>3693785</v>
      </c>
      <c r="C1964">
        <v>21883</v>
      </c>
      <c r="F1964" t="s">
        <v>1105</v>
      </c>
    </row>
    <row r="1965" spans="1:6" x14ac:dyDescent="0.2">
      <c r="A1965">
        <v>979</v>
      </c>
      <c r="B1965">
        <v>3693786</v>
      </c>
      <c r="C1965">
        <v>21883</v>
      </c>
      <c r="F1965" t="s">
        <v>1105</v>
      </c>
    </row>
    <row r="1966" spans="1:6" x14ac:dyDescent="0.2">
      <c r="A1966">
        <v>979</v>
      </c>
      <c r="B1966">
        <v>3693787</v>
      </c>
      <c r="C1966">
        <v>21883</v>
      </c>
      <c r="F1966" t="s">
        <v>1105</v>
      </c>
    </row>
    <row r="1967" spans="1:6" x14ac:dyDescent="0.2">
      <c r="A1967">
        <v>979</v>
      </c>
      <c r="B1967">
        <v>3693788</v>
      </c>
      <c r="C1967">
        <v>21883</v>
      </c>
      <c r="F1967" t="s">
        <v>1105</v>
      </c>
    </row>
    <row r="1968" spans="1:6" x14ac:dyDescent="0.2">
      <c r="A1968">
        <v>979</v>
      </c>
      <c r="B1968">
        <v>3693789</v>
      </c>
      <c r="C1968">
        <v>21883</v>
      </c>
      <c r="F1968" t="s">
        <v>6748</v>
      </c>
    </row>
    <row r="1969" spans="1:6" x14ac:dyDescent="0.2">
      <c r="A1969">
        <v>979</v>
      </c>
      <c r="B1969">
        <v>3693790</v>
      </c>
      <c r="C1969">
        <v>21883</v>
      </c>
      <c r="F1969" t="s">
        <v>1105</v>
      </c>
    </row>
    <row r="1970" spans="1:6" x14ac:dyDescent="0.2">
      <c r="A1970">
        <v>979</v>
      </c>
      <c r="B1970">
        <v>3693791</v>
      </c>
      <c r="C1970">
        <v>21883</v>
      </c>
      <c r="F1970" t="s">
        <v>6750</v>
      </c>
    </row>
    <row r="1971" spans="1:6" x14ac:dyDescent="0.2">
      <c r="A1971">
        <v>979</v>
      </c>
      <c r="B1971">
        <v>3693792</v>
      </c>
      <c r="C1971">
        <v>21883</v>
      </c>
      <c r="F1971" t="s">
        <v>1105</v>
      </c>
    </row>
    <row r="1972" spans="1:6" x14ac:dyDescent="0.2">
      <c r="A1972">
        <v>979</v>
      </c>
      <c r="B1972">
        <v>3693793</v>
      </c>
      <c r="C1972">
        <v>21883</v>
      </c>
      <c r="F1972" t="s">
        <v>1105</v>
      </c>
    </row>
    <row r="1973" spans="1:6" x14ac:dyDescent="0.2">
      <c r="A1973">
        <v>979</v>
      </c>
      <c r="B1973">
        <v>3693794</v>
      </c>
      <c r="C1973">
        <v>21883</v>
      </c>
      <c r="F1973" t="s">
        <v>1105</v>
      </c>
    </row>
    <row r="1974" spans="1:6" x14ac:dyDescent="0.2">
      <c r="A1974">
        <v>979</v>
      </c>
      <c r="B1974">
        <v>3693795</v>
      </c>
      <c r="C1974">
        <v>21883</v>
      </c>
      <c r="F1974" t="s">
        <v>1105</v>
      </c>
    </row>
    <row r="1975" spans="1:6" x14ac:dyDescent="0.2">
      <c r="A1975">
        <v>979</v>
      </c>
      <c r="B1975">
        <v>3693796</v>
      </c>
      <c r="C1975">
        <v>21883</v>
      </c>
      <c r="F1975" t="s">
        <v>1105</v>
      </c>
    </row>
    <row r="1976" spans="1:6" x14ac:dyDescent="0.2">
      <c r="A1976">
        <v>979</v>
      </c>
      <c r="B1976">
        <v>3693797</v>
      </c>
      <c r="C1976">
        <v>21883</v>
      </c>
      <c r="F1976" t="s">
        <v>1105</v>
      </c>
    </row>
    <row r="1977" spans="1:6" x14ac:dyDescent="0.2">
      <c r="A1977">
        <v>979</v>
      </c>
      <c r="B1977">
        <v>3693798</v>
      </c>
      <c r="C1977">
        <v>21883</v>
      </c>
      <c r="F1977" t="s">
        <v>1105</v>
      </c>
    </row>
    <row r="1978" spans="1:6" x14ac:dyDescent="0.2">
      <c r="A1978">
        <v>979</v>
      </c>
      <c r="B1978">
        <v>3693799</v>
      </c>
      <c r="C1978">
        <v>21883</v>
      </c>
      <c r="F1978" t="s">
        <v>1105</v>
      </c>
    </row>
    <row r="1979" spans="1:6" x14ac:dyDescent="0.2">
      <c r="A1979">
        <v>979</v>
      </c>
      <c r="B1979">
        <v>3693800</v>
      </c>
      <c r="C1979">
        <v>21883</v>
      </c>
      <c r="F1979" t="s">
        <v>1105</v>
      </c>
    </row>
    <row r="1980" spans="1:6" x14ac:dyDescent="0.2">
      <c r="A1980">
        <v>979</v>
      </c>
      <c r="B1980">
        <v>3693801</v>
      </c>
      <c r="C1980">
        <v>21883</v>
      </c>
      <c r="F1980" t="s">
        <v>6748</v>
      </c>
    </row>
    <row r="1981" spans="1:6" x14ac:dyDescent="0.2">
      <c r="A1981">
        <v>979</v>
      </c>
      <c r="B1981">
        <v>3693802</v>
      </c>
      <c r="C1981">
        <v>21883</v>
      </c>
      <c r="F1981" t="s">
        <v>1105</v>
      </c>
    </row>
    <row r="1982" spans="1:6" x14ac:dyDescent="0.2">
      <c r="A1982">
        <v>979</v>
      </c>
      <c r="B1982">
        <v>3693803</v>
      </c>
      <c r="C1982">
        <v>21883</v>
      </c>
      <c r="F1982" t="s">
        <v>6750</v>
      </c>
    </row>
    <row r="1983" spans="1:6" x14ac:dyDescent="0.2">
      <c r="A1983">
        <v>979</v>
      </c>
      <c r="B1983">
        <v>3693804</v>
      </c>
      <c r="C1983">
        <v>21883</v>
      </c>
      <c r="F1983" t="s">
        <v>1105</v>
      </c>
    </row>
    <row r="1984" spans="1:6" x14ac:dyDescent="0.2">
      <c r="A1984">
        <v>979</v>
      </c>
      <c r="B1984">
        <v>3693805</v>
      </c>
      <c r="C1984">
        <v>21883</v>
      </c>
      <c r="F1984" t="s">
        <v>1105</v>
      </c>
    </row>
    <row r="1985" spans="1:6" x14ac:dyDescent="0.2">
      <c r="A1985">
        <v>979</v>
      </c>
      <c r="B1985">
        <v>3693806</v>
      </c>
      <c r="C1985">
        <v>21883</v>
      </c>
      <c r="F1985" t="s">
        <v>1105</v>
      </c>
    </row>
    <row r="1986" spans="1:6" x14ac:dyDescent="0.2">
      <c r="A1986">
        <v>979</v>
      </c>
      <c r="B1986">
        <v>3693807</v>
      </c>
      <c r="C1986">
        <v>21883</v>
      </c>
      <c r="F1986" t="s">
        <v>1105</v>
      </c>
    </row>
    <row r="1987" spans="1:6" x14ac:dyDescent="0.2">
      <c r="A1987">
        <v>979</v>
      </c>
      <c r="B1987">
        <v>3693808</v>
      </c>
      <c r="C1987">
        <v>21883</v>
      </c>
      <c r="F1987" t="s">
        <v>1105</v>
      </c>
    </row>
    <row r="1988" spans="1:6" x14ac:dyDescent="0.2">
      <c r="A1988">
        <v>979</v>
      </c>
      <c r="B1988">
        <v>3693809</v>
      </c>
      <c r="C1988">
        <v>21883</v>
      </c>
      <c r="F1988" t="s">
        <v>1105</v>
      </c>
    </row>
    <row r="1989" spans="1:6" x14ac:dyDescent="0.2">
      <c r="A1989">
        <v>979</v>
      </c>
      <c r="B1989">
        <v>3693810</v>
      </c>
      <c r="C1989">
        <v>21883</v>
      </c>
      <c r="F1989" t="s">
        <v>1105</v>
      </c>
    </row>
    <row r="1990" spans="1:6" x14ac:dyDescent="0.2">
      <c r="A1990">
        <v>979</v>
      </c>
      <c r="B1990">
        <v>3693811</v>
      </c>
      <c r="C1990">
        <v>21883</v>
      </c>
      <c r="F1990" t="s">
        <v>1105</v>
      </c>
    </row>
    <row r="1991" spans="1:6" x14ac:dyDescent="0.2">
      <c r="A1991">
        <v>979</v>
      </c>
      <c r="B1991">
        <v>3693812</v>
      </c>
      <c r="C1991">
        <v>21883</v>
      </c>
      <c r="F1991" t="s">
        <v>6748</v>
      </c>
    </row>
    <row r="1992" spans="1:6" x14ac:dyDescent="0.2">
      <c r="A1992">
        <v>979</v>
      </c>
      <c r="B1992">
        <v>3693813</v>
      </c>
      <c r="C1992">
        <v>21883</v>
      </c>
      <c r="F1992" t="s">
        <v>1105</v>
      </c>
    </row>
    <row r="1993" spans="1:6" x14ac:dyDescent="0.2">
      <c r="A1993">
        <v>979</v>
      </c>
      <c r="B1993">
        <v>3693814</v>
      </c>
      <c r="C1993">
        <v>21883</v>
      </c>
      <c r="F1993" t="s">
        <v>6750</v>
      </c>
    </row>
    <row r="1994" spans="1:6" x14ac:dyDescent="0.2">
      <c r="A1994">
        <v>979</v>
      </c>
      <c r="B1994">
        <v>3693815</v>
      </c>
      <c r="C1994">
        <v>21883</v>
      </c>
      <c r="F1994" t="s">
        <v>1105</v>
      </c>
    </row>
    <row r="1995" spans="1:6" x14ac:dyDescent="0.2">
      <c r="A1995">
        <v>979</v>
      </c>
      <c r="B1995">
        <v>3693816</v>
      </c>
      <c r="C1995">
        <v>21883</v>
      </c>
      <c r="F1995" t="s">
        <v>1105</v>
      </c>
    </row>
    <row r="1996" spans="1:6" x14ac:dyDescent="0.2">
      <c r="A1996">
        <v>979</v>
      </c>
      <c r="B1996">
        <v>3693817</v>
      </c>
      <c r="C1996">
        <v>21883</v>
      </c>
      <c r="F1996" t="s">
        <v>1105</v>
      </c>
    </row>
    <row r="1997" spans="1:6" x14ac:dyDescent="0.2">
      <c r="A1997">
        <v>979</v>
      </c>
      <c r="B1997">
        <v>3693818</v>
      </c>
      <c r="C1997">
        <v>21883</v>
      </c>
      <c r="F1997" t="s">
        <v>1105</v>
      </c>
    </row>
    <row r="1998" spans="1:6" x14ac:dyDescent="0.2">
      <c r="A1998">
        <v>979</v>
      </c>
      <c r="B1998">
        <v>3693819</v>
      </c>
      <c r="C1998">
        <v>21883</v>
      </c>
      <c r="F1998" t="s">
        <v>1105</v>
      </c>
    </row>
    <row r="1999" spans="1:6" x14ac:dyDescent="0.2">
      <c r="A1999">
        <v>979</v>
      </c>
      <c r="B1999">
        <v>3693820</v>
      </c>
      <c r="C1999">
        <v>21883</v>
      </c>
      <c r="F1999" t="s">
        <v>1105</v>
      </c>
    </row>
    <row r="2000" spans="1:6" x14ac:dyDescent="0.2">
      <c r="A2000">
        <v>979</v>
      </c>
      <c r="B2000">
        <v>3693821</v>
      </c>
      <c r="C2000">
        <v>21883</v>
      </c>
      <c r="F2000" t="s">
        <v>1105</v>
      </c>
    </row>
    <row r="2001" spans="1:6" x14ac:dyDescent="0.2">
      <c r="A2001">
        <v>979</v>
      </c>
      <c r="B2001">
        <v>3693822</v>
      </c>
      <c r="C2001">
        <v>21883</v>
      </c>
      <c r="F2001" t="s">
        <v>1105</v>
      </c>
    </row>
    <row r="2002" spans="1:6" x14ac:dyDescent="0.2">
      <c r="A2002">
        <v>979</v>
      </c>
      <c r="B2002">
        <v>3693823</v>
      </c>
      <c r="C2002">
        <v>21883</v>
      </c>
      <c r="F2002" t="s">
        <v>6748</v>
      </c>
    </row>
    <row r="2003" spans="1:6" x14ac:dyDescent="0.2">
      <c r="A2003">
        <v>979</v>
      </c>
      <c r="B2003">
        <v>3693824</v>
      </c>
      <c r="C2003">
        <v>21883</v>
      </c>
      <c r="F2003" t="s">
        <v>1105</v>
      </c>
    </row>
    <row r="2004" spans="1:6" x14ac:dyDescent="0.2">
      <c r="A2004">
        <v>979</v>
      </c>
      <c r="B2004">
        <v>3693825</v>
      </c>
      <c r="C2004">
        <v>21883</v>
      </c>
      <c r="F2004" t="s">
        <v>6750</v>
      </c>
    </row>
    <row r="2005" spans="1:6" x14ac:dyDescent="0.2">
      <c r="A2005">
        <v>979</v>
      </c>
      <c r="B2005">
        <v>3693826</v>
      </c>
      <c r="C2005">
        <v>21883</v>
      </c>
      <c r="F2005" t="s">
        <v>1105</v>
      </c>
    </row>
    <row r="2006" spans="1:6" x14ac:dyDescent="0.2">
      <c r="A2006">
        <v>979</v>
      </c>
      <c r="B2006">
        <v>3693827</v>
      </c>
      <c r="C2006">
        <v>21883</v>
      </c>
      <c r="F2006" t="s">
        <v>1105</v>
      </c>
    </row>
    <row r="2007" spans="1:6" x14ac:dyDescent="0.2">
      <c r="A2007">
        <v>979</v>
      </c>
      <c r="B2007">
        <v>3693828</v>
      </c>
      <c r="C2007">
        <v>21883</v>
      </c>
      <c r="F2007" t="s">
        <v>1105</v>
      </c>
    </row>
    <row r="2008" spans="1:6" x14ac:dyDescent="0.2">
      <c r="A2008">
        <v>979</v>
      </c>
      <c r="B2008">
        <v>3693829</v>
      </c>
      <c r="C2008">
        <v>21883</v>
      </c>
      <c r="F2008" t="s">
        <v>1105</v>
      </c>
    </row>
    <row r="2009" spans="1:6" x14ac:dyDescent="0.2">
      <c r="A2009">
        <v>979</v>
      </c>
      <c r="B2009">
        <v>3693830</v>
      </c>
      <c r="C2009">
        <v>21883</v>
      </c>
      <c r="F2009" t="s">
        <v>1105</v>
      </c>
    </row>
    <row r="2010" spans="1:6" x14ac:dyDescent="0.2">
      <c r="A2010">
        <v>979</v>
      </c>
      <c r="B2010">
        <v>3693831</v>
      </c>
      <c r="C2010">
        <v>21883</v>
      </c>
      <c r="F2010" t="s">
        <v>1105</v>
      </c>
    </row>
    <row r="2011" spans="1:6" x14ac:dyDescent="0.2">
      <c r="A2011">
        <v>979</v>
      </c>
      <c r="B2011">
        <v>3693832</v>
      </c>
      <c r="C2011">
        <v>21883</v>
      </c>
      <c r="F2011" t="s">
        <v>1105</v>
      </c>
    </row>
    <row r="2012" spans="1:6" x14ac:dyDescent="0.2">
      <c r="A2012">
        <v>979</v>
      </c>
      <c r="B2012">
        <v>3693833</v>
      </c>
      <c r="C2012">
        <v>21883</v>
      </c>
      <c r="F2012" t="s">
        <v>6749</v>
      </c>
    </row>
    <row r="2013" spans="1:6" x14ac:dyDescent="0.2">
      <c r="A2013">
        <v>979</v>
      </c>
      <c r="B2013">
        <v>3693834</v>
      </c>
      <c r="C2013">
        <v>21883</v>
      </c>
      <c r="F2013" t="s">
        <v>1105</v>
      </c>
    </row>
    <row r="2014" spans="1:6" x14ac:dyDescent="0.2">
      <c r="A2014">
        <v>979</v>
      </c>
      <c r="B2014">
        <v>3693835</v>
      </c>
      <c r="C2014">
        <v>21883</v>
      </c>
      <c r="F2014" t="s">
        <v>6748</v>
      </c>
    </row>
    <row r="2015" spans="1:6" x14ac:dyDescent="0.2">
      <c r="A2015">
        <v>979</v>
      </c>
      <c r="B2015">
        <v>3693836</v>
      </c>
      <c r="C2015">
        <v>21883</v>
      </c>
      <c r="F2015" t="s">
        <v>1105</v>
      </c>
    </row>
    <row r="2016" spans="1:6" x14ac:dyDescent="0.2">
      <c r="A2016">
        <v>979</v>
      </c>
      <c r="B2016">
        <v>3693837</v>
      </c>
      <c r="C2016">
        <v>21883</v>
      </c>
      <c r="F2016" t="s">
        <v>6748</v>
      </c>
    </row>
    <row r="2017" spans="1:6" x14ac:dyDescent="0.2">
      <c r="A2017">
        <v>979</v>
      </c>
      <c r="B2017">
        <v>3693838</v>
      </c>
      <c r="C2017">
        <v>21883</v>
      </c>
      <c r="F2017" t="s">
        <v>6750</v>
      </c>
    </row>
    <row r="2018" spans="1:6" x14ac:dyDescent="0.2">
      <c r="A2018">
        <v>979</v>
      </c>
      <c r="B2018">
        <v>3693839</v>
      </c>
      <c r="C2018">
        <v>21883</v>
      </c>
      <c r="F2018" t="s">
        <v>1105</v>
      </c>
    </row>
    <row r="2019" spans="1:6" x14ac:dyDescent="0.2">
      <c r="A2019">
        <v>979</v>
      </c>
      <c r="B2019">
        <v>3693840</v>
      </c>
      <c r="C2019">
        <v>21883</v>
      </c>
      <c r="F2019" t="s">
        <v>6750</v>
      </c>
    </row>
    <row r="2020" spans="1:6" x14ac:dyDescent="0.2">
      <c r="A2020">
        <v>979</v>
      </c>
      <c r="B2020">
        <v>3693841</v>
      </c>
      <c r="C2020">
        <v>21883</v>
      </c>
      <c r="F2020" t="s">
        <v>1105</v>
      </c>
    </row>
    <row r="2021" spans="1:6" x14ac:dyDescent="0.2">
      <c r="A2021">
        <v>979</v>
      </c>
      <c r="B2021">
        <v>3693843</v>
      </c>
      <c r="C2021">
        <v>21883</v>
      </c>
      <c r="F2021" t="s">
        <v>1105</v>
      </c>
    </row>
    <row r="2022" spans="1:6" x14ac:dyDescent="0.2">
      <c r="A2022">
        <v>979</v>
      </c>
      <c r="B2022">
        <v>3693845</v>
      </c>
      <c r="C2022">
        <v>21883</v>
      </c>
      <c r="F2022" t="s">
        <v>1105</v>
      </c>
    </row>
    <row r="2023" spans="1:6" x14ac:dyDescent="0.2">
      <c r="A2023">
        <v>979</v>
      </c>
      <c r="B2023">
        <v>3693846</v>
      </c>
      <c r="C2023">
        <v>21883</v>
      </c>
      <c r="F2023" t="s">
        <v>1105</v>
      </c>
    </row>
    <row r="2024" spans="1:6" x14ac:dyDescent="0.2">
      <c r="A2024">
        <v>979</v>
      </c>
      <c r="B2024">
        <v>3693847</v>
      </c>
      <c r="C2024">
        <v>21883</v>
      </c>
      <c r="F2024" t="s">
        <v>6749</v>
      </c>
    </row>
    <row r="2025" spans="1:6" x14ac:dyDescent="0.2">
      <c r="A2025">
        <v>979</v>
      </c>
      <c r="B2025">
        <v>3693848</v>
      </c>
      <c r="C2025">
        <v>21883</v>
      </c>
      <c r="F2025" t="s">
        <v>1105</v>
      </c>
    </row>
    <row r="2026" spans="1:6" x14ac:dyDescent="0.2">
      <c r="A2026">
        <v>979</v>
      </c>
      <c r="B2026">
        <v>3693849</v>
      </c>
      <c r="C2026">
        <v>21883</v>
      </c>
      <c r="F2026" t="s">
        <v>6748</v>
      </c>
    </row>
    <row r="2027" spans="1:6" x14ac:dyDescent="0.2">
      <c r="A2027">
        <v>979</v>
      </c>
      <c r="B2027">
        <v>3693850</v>
      </c>
      <c r="C2027">
        <v>21883</v>
      </c>
      <c r="F2027" t="s">
        <v>1105</v>
      </c>
    </row>
    <row r="2028" spans="1:6" x14ac:dyDescent="0.2">
      <c r="A2028">
        <v>979</v>
      </c>
      <c r="B2028">
        <v>3693851</v>
      </c>
      <c r="C2028">
        <v>21883</v>
      </c>
      <c r="F2028" t="s">
        <v>6748</v>
      </c>
    </row>
    <row r="2029" spans="1:6" x14ac:dyDescent="0.2">
      <c r="A2029">
        <v>979</v>
      </c>
      <c r="B2029">
        <v>3693852</v>
      </c>
      <c r="C2029">
        <v>21883</v>
      </c>
      <c r="F2029" t="s">
        <v>6750</v>
      </c>
    </row>
    <row r="2030" spans="1:6" x14ac:dyDescent="0.2">
      <c r="A2030">
        <v>979</v>
      </c>
      <c r="B2030">
        <v>3693853</v>
      </c>
      <c r="C2030">
        <v>21883</v>
      </c>
      <c r="F2030" t="s">
        <v>1105</v>
      </c>
    </row>
    <row r="2031" spans="1:6" x14ac:dyDescent="0.2">
      <c r="A2031">
        <v>979</v>
      </c>
      <c r="B2031">
        <v>3693854</v>
      </c>
      <c r="C2031">
        <v>21883</v>
      </c>
      <c r="F2031" t="s">
        <v>6750</v>
      </c>
    </row>
    <row r="2032" spans="1:6" x14ac:dyDescent="0.2">
      <c r="A2032">
        <v>979</v>
      </c>
      <c r="B2032">
        <v>3693855</v>
      </c>
      <c r="C2032">
        <v>21883</v>
      </c>
      <c r="F2032" t="s">
        <v>1105</v>
      </c>
    </row>
    <row r="2033" spans="1:6" x14ac:dyDescent="0.2">
      <c r="A2033">
        <v>979</v>
      </c>
      <c r="B2033">
        <v>3693858</v>
      </c>
      <c r="C2033">
        <v>21883</v>
      </c>
      <c r="F2033" t="s">
        <v>1105</v>
      </c>
    </row>
    <row r="2034" spans="1:6" x14ac:dyDescent="0.2">
      <c r="A2034">
        <v>979</v>
      </c>
      <c r="B2034">
        <v>3693859</v>
      </c>
      <c r="C2034">
        <v>21883</v>
      </c>
      <c r="F2034" t="s">
        <v>1105</v>
      </c>
    </row>
    <row r="2035" spans="1:6" x14ac:dyDescent="0.2">
      <c r="A2035">
        <v>979</v>
      </c>
      <c r="B2035">
        <v>3693860</v>
      </c>
      <c r="C2035">
        <v>21883</v>
      </c>
      <c r="F2035" t="s">
        <v>1105</v>
      </c>
    </row>
    <row r="2036" spans="1:6" x14ac:dyDescent="0.2">
      <c r="A2036">
        <v>979</v>
      </c>
      <c r="B2036">
        <v>3693861</v>
      </c>
      <c r="C2036">
        <v>21883</v>
      </c>
      <c r="F2036" t="s">
        <v>6749</v>
      </c>
    </row>
    <row r="2037" spans="1:6" x14ac:dyDescent="0.2">
      <c r="A2037">
        <v>979</v>
      </c>
      <c r="B2037">
        <v>3693862</v>
      </c>
      <c r="C2037">
        <v>21883</v>
      </c>
      <c r="F2037" t="s">
        <v>6748</v>
      </c>
    </row>
    <row r="2038" spans="1:6" x14ac:dyDescent="0.2">
      <c r="A2038">
        <v>979</v>
      </c>
      <c r="B2038">
        <v>3693863</v>
      </c>
      <c r="C2038">
        <v>21883</v>
      </c>
      <c r="F2038" t="s">
        <v>1105</v>
      </c>
    </row>
    <row r="2039" spans="1:6" x14ac:dyDescent="0.2">
      <c r="A2039">
        <v>979</v>
      </c>
      <c r="B2039">
        <v>3693864</v>
      </c>
      <c r="C2039">
        <v>21883</v>
      </c>
      <c r="F2039" t="s">
        <v>1105</v>
      </c>
    </row>
    <row r="2040" spans="1:6" x14ac:dyDescent="0.2">
      <c r="A2040">
        <v>979</v>
      </c>
      <c r="B2040">
        <v>3693865</v>
      </c>
      <c r="C2040">
        <v>21883</v>
      </c>
      <c r="F2040" t="s">
        <v>6748</v>
      </c>
    </row>
    <row r="2041" spans="1:6" x14ac:dyDescent="0.2">
      <c r="A2041">
        <v>979</v>
      </c>
      <c r="B2041">
        <v>3693866</v>
      </c>
      <c r="C2041">
        <v>21883</v>
      </c>
      <c r="F2041" t="s">
        <v>6750</v>
      </c>
    </row>
    <row r="2042" spans="1:6" x14ac:dyDescent="0.2">
      <c r="A2042">
        <v>979</v>
      </c>
      <c r="B2042">
        <v>3693867</v>
      </c>
      <c r="C2042">
        <v>21883</v>
      </c>
      <c r="F2042" t="s">
        <v>1105</v>
      </c>
    </row>
    <row r="2043" spans="1:6" x14ac:dyDescent="0.2">
      <c r="A2043">
        <v>979</v>
      </c>
      <c r="B2043">
        <v>3693868</v>
      </c>
      <c r="C2043">
        <v>21883</v>
      </c>
      <c r="F2043" t="s">
        <v>6750</v>
      </c>
    </row>
    <row r="2044" spans="1:6" x14ac:dyDescent="0.2">
      <c r="A2044">
        <v>979</v>
      </c>
      <c r="B2044">
        <v>3693869</v>
      </c>
      <c r="C2044">
        <v>21883</v>
      </c>
      <c r="F2044" t="s">
        <v>1105</v>
      </c>
    </row>
    <row r="2045" spans="1:6" x14ac:dyDescent="0.2">
      <c r="A2045">
        <v>979</v>
      </c>
      <c r="B2045">
        <v>3693872</v>
      </c>
      <c r="C2045">
        <v>21883</v>
      </c>
      <c r="F2045" t="s">
        <v>1105</v>
      </c>
    </row>
    <row r="2046" spans="1:6" x14ac:dyDescent="0.2">
      <c r="A2046">
        <v>979</v>
      </c>
      <c r="B2046">
        <v>3693873</v>
      </c>
      <c r="C2046">
        <v>21883</v>
      </c>
      <c r="F2046" t="s">
        <v>1105</v>
      </c>
    </row>
    <row r="2047" spans="1:6" x14ac:dyDescent="0.2">
      <c r="A2047">
        <v>979</v>
      </c>
      <c r="B2047">
        <v>3693874</v>
      </c>
      <c r="C2047">
        <v>21883</v>
      </c>
      <c r="F2047" t="s">
        <v>1105</v>
      </c>
    </row>
    <row r="2048" spans="1:6" x14ac:dyDescent="0.2">
      <c r="A2048">
        <v>979</v>
      </c>
      <c r="B2048">
        <v>3693875</v>
      </c>
      <c r="C2048">
        <v>21883</v>
      </c>
      <c r="F2048" t="s">
        <v>1105</v>
      </c>
    </row>
    <row r="2049" spans="1:6" x14ac:dyDescent="0.2">
      <c r="A2049">
        <v>979</v>
      </c>
      <c r="B2049">
        <v>3693876</v>
      </c>
      <c r="C2049">
        <v>21883</v>
      </c>
      <c r="F2049" t="s">
        <v>1105</v>
      </c>
    </row>
    <row r="2050" spans="1:6" x14ac:dyDescent="0.2">
      <c r="A2050">
        <v>979</v>
      </c>
      <c r="B2050">
        <v>3693878</v>
      </c>
      <c r="C2050">
        <v>21883</v>
      </c>
      <c r="F2050" t="s">
        <v>6750</v>
      </c>
    </row>
    <row r="2051" spans="1:6" x14ac:dyDescent="0.2">
      <c r="A2051">
        <v>979</v>
      </c>
      <c r="B2051">
        <v>3693879</v>
      </c>
      <c r="C2051">
        <v>21883</v>
      </c>
      <c r="F2051" t="s">
        <v>1105</v>
      </c>
    </row>
    <row r="2052" spans="1:6" x14ac:dyDescent="0.2">
      <c r="A2052">
        <v>979</v>
      </c>
      <c r="B2052">
        <v>3693880</v>
      </c>
      <c r="C2052">
        <v>21883</v>
      </c>
      <c r="F2052" t="s">
        <v>6748</v>
      </c>
    </row>
    <row r="2053" spans="1:6" x14ac:dyDescent="0.2">
      <c r="A2053">
        <v>979</v>
      </c>
      <c r="B2053">
        <v>3693881</v>
      </c>
      <c r="C2053">
        <v>21883</v>
      </c>
      <c r="F2053" t="s">
        <v>1105</v>
      </c>
    </row>
    <row r="2054" spans="1:6" x14ac:dyDescent="0.2">
      <c r="A2054">
        <v>979</v>
      </c>
      <c r="B2054">
        <v>3693882</v>
      </c>
      <c r="C2054">
        <v>21883</v>
      </c>
      <c r="F2054" t="s">
        <v>1105</v>
      </c>
    </row>
    <row r="2055" spans="1:6" x14ac:dyDescent="0.2">
      <c r="A2055">
        <v>979</v>
      </c>
      <c r="B2055">
        <v>3693883</v>
      </c>
      <c r="C2055">
        <v>21883</v>
      </c>
      <c r="F2055" t="s">
        <v>1105</v>
      </c>
    </row>
    <row r="2056" spans="1:6" x14ac:dyDescent="0.2">
      <c r="A2056">
        <v>979</v>
      </c>
      <c r="B2056">
        <v>3693884</v>
      </c>
      <c r="C2056">
        <v>21883</v>
      </c>
      <c r="F2056" t="s">
        <v>1105</v>
      </c>
    </row>
    <row r="2057" spans="1:6" x14ac:dyDescent="0.2">
      <c r="A2057">
        <v>979</v>
      </c>
      <c r="B2057">
        <v>3693885</v>
      </c>
      <c r="C2057">
        <v>21883</v>
      </c>
      <c r="F2057" t="s">
        <v>1105</v>
      </c>
    </row>
    <row r="2058" spans="1:6" x14ac:dyDescent="0.2">
      <c r="A2058">
        <v>979</v>
      </c>
      <c r="B2058">
        <v>3693886</v>
      </c>
      <c r="C2058">
        <v>21883</v>
      </c>
      <c r="F2058" t="s">
        <v>1105</v>
      </c>
    </row>
    <row r="2059" spans="1:6" x14ac:dyDescent="0.2">
      <c r="A2059">
        <v>979</v>
      </c>
      <c r="B2059">
        <v>3693887</v>
      </c>
      <c r="C2059">
        <v>21883</v>
      </c>
      <c r="F2059" t="s">
        <v>1105</v>
      </c>
    </row>
    <row r="2060" spans="1:6" x14ac:dyDescent="0.2">
      <c r="A2060">
        <v>979</v>
      </c>
      <c r="B2060">
        <v>3693888</v>
      </c>
      <c r="C2060">
        <v>21883</v>
      </c>
      <c r="F2060" t="s">
        <v>1105</v>
      </c>
    </row>
    <row r="2061" spans="1:6" x14ac:dyDescent="0.2">
      <c r="A2061">
        <v>979</v>
      </c>
      <c r="B2061">
        <v>3693889</v>
      </c>
      <c r="C2061">
        <v>21883</v>
      </c>
      <c r="F2061" t="s">
        <v>1105</v>
      </c>
    </row>
    <row r="2062" spans="1:6" x14ac:dyDescent="0.2">
      <c r="A2062">
        <v>979</v>
      </c>
      <c r="B2062">
        <v>3693890</v>
      </c>
      <c r="C2062">
        <v>21883</v>
      </c>
      <c r="F2062" t="s">
        <v>1105</v>
      </c>
    </row>
    <row r="2063" spans="1:6" x14ac:dyDescent="0.2">
      <c r="A2063">
        <v>979</v>
      </c>
      <c r="B2063">
        <v>3693891</v>
      </c>
      <c r="C2063">
        <v>21883</v>
      </c>
      <c r="F2063" t="s">
        <v>1105</v>
      </c>
    </row>
    <row r="2064" spans="1:6" x14ac:dyDescent="0.2">
      <c r="A2064">
        <v>979</v>
      </c>
      <c r="B2064">
        <v>3693893</v>
      </c>
      <c r="C2064">
        <v>21883</v>
      </c>
      <c r="F2064" t="s">
        <v>6750</v>
      </c>
    </row>
    <row r="2065" spans="1:6" x14ac:dyDescent="0.2">
      <c r="A2065">
        <v>979</v>
      </c>
      <c r="B2065">
        <v>3693894</v>
      </c>
      <c r="C2065">
        <v>21883</v>
      </c>
      <c r="F2065" t="s">
        <v>1105</v>
      </c>
    </row>
    <row r="2066" spans="1:6" x14ac:dyDescent="0.2">
      <c r="A2066">
        <v>979</v>
      </c>
      <c r="B2066">
        <v>3693895</v>
      </c>
      <c r="C2066">
        <v>21883</v>
      </c>
      <c r="F2066" t="s">
        <v>6748</v>
      </c>
    </row>
    <row r="2067" spans="1:6" x14ac:dyDescent="0.2">
      <c r="A2067">
        <v>979</v>
      </c>
      <c r="B2067">
        <v>3693896</v>
      </c>
      <c r="C2067">
        <v>21883</v>
      </c>
      <c r="F2067" t="s">
        <v>1105</v>
      </c>
    </row>
    <row r="2068" spans="1:6" x14ac:dyDescent="0.2">
      <c r="A2068">
        <v>979</v>
      </c>
      <c r="B2068">
        <v>3693897</v>
      </c>
      <c r="C2068">
        <v>21883</v>
      </c>
      <c r="F2068" t="s">
        <v>1105</v>
      </c>
    </row>
    <row r="2069" spans="1:6" x14ac:dyDescent="0.2">
      <c r="A2069">
        <v>979</v>
      </c>
      <c r="B2069">
        <v>3693898</v>
      </c>
      <c r="C2069">
        <v>21883</v>
      </c>
      <c r="F2069" t="s">
        <v>1105</v>
      </c>
    </row>
    <row r="2070" spans="1:6" x14ac:dyDescent="0.2">
      <c r="A2070">
        <v>979</v>
      </c>
      <c r="B2070">
        <v>3693899</v>
      </c>
      <c r="C2070">
        <v>21883</v>
      </c>
      <c r="F2070" t="s">
        <v>1105</v>
      </c>
    </row>
    <row r="2071" spans="1:6" x14ac:dyDescent="0.2">
      <c r="A2071">
        <v>979</v>
      </c>
      <c r="B2071">
        <v>3693900</v>
      </c>
      <c r="C2071">
        <v>21883</v>
      </c>
      <c r="F2071" t="s">
        <v>1105</v>
      </c>
    </row>
    <row r="2072" spans="1:6" x14ac:dyDescent="0.2">
      <c r="A2072">
        <v>979</v>
      </c>
      <c r="B2072">
        <v>3693901</v>
      </c>
      <c r="C2072">
        <v>21883</v>
      </c>
      <c r="F2072" t="s">
        <v>1105</v>
      </c>
    </row>
    <row r="2073" spans="1:6" x14ac:dyDescent="0.2">
      <c r="A2073">
        <v>979</v>
      </c>
      <c r="B2073">
        <v>3693902</v>
      </c>
      <c r="C2073">
        <v>21883</v>
      </c>
      <c r="F2073" t="s">
        <v>1105</v>
      </c>
    </row>
    <row r="2074" spans="1:6" x14ac:dyDescent="0.2">
      <c r="A2074">
        <v>979</v>
      </c>
      <c r="B2074">
        <v>3693903</v>
      </c>
      <c r="C2074">
        <v>21883</v>
      </c>
      <c r="F2074" t="s">
        <v>1105</v>
      </c>
    </row>
    <row r="2075" spans="1:6" x14ac:dyDescent="0.2">
      <c r="A2075">
        <v>979</v>
      </c>
      <c r="B2075">
        <v>3693904</v>
      </c>
      <c r="C2075">
        <v>21883</v>
      </c>
      <c r="F2075" t="s">
        <v>1105</v>
      </c>
    </row>
    <row r="2076" spans="1:6" x14ac:dyDescent="0.2">
      <c r="A2076">
        <v>979</v>
      </c>
      <c r="B2076">
        <v>3693905</v>
      </c>
      <c r="C2076">
        <v>21883</v>
      </c>
      <c r="F2076" t="s">
        <v>1105</v>
      </c>
    </row>
    <row r="2077" spans="1:6" x14ac:dyDescent="0.2">
      <c r="A2077">
        <v>979</v>
      </c>
      <c r="B2077">
        <v>3693906</v>
      </c>
      <c r="C2077">
        <v>21883</v>
      </c>
      <c r="F2077" t="s">
        <v>1105</v>
      </c>
    </row>
    <row r="2078" spans="1:6" x14ac:dyDescent="0.2">
      <c r="A2078">
        <v>979</v>
      </c>
      <c r="B2078">
        <v>3693908</v>
      </c>
      <c r="C2078">
        <v>21883</v>
      </c>
      <c r="F2078" t="s">
        <v>6750</v>
      </c>
    </row>
    <row r="2079" spans="1:6" x14ac:dyDescent="0.2">
      <c r="A2079">
        <v>979</v>
      </c>
      <c r="B2079">
        <v>3693909</v>
      </c>
      <c r="C2079">
        <v>21883</v>
      </c>
      <c r="F2079" t="s">
        <v>1105</v>
      </c>
    </row>
    <row r="2080" spans="1:6" x14ac:dyDescent="0.2">
      <c r="A2080">
        <v>979</v>
      </c>
      <c r="B2080">
        <v>3693910</v>
      </c>
      <c r="C2080">
        <v>21883</v>
      </c>
      <c r="F2080" t="s">
        <v>6748</v>
      </c>
    </row>
    <row r="2081" spans="1:6" x14ac:dyDescent="0.2">
      <c r="A2081">
        <v>979</v>
      </c>
      <c r="B2081">
        <v>3693911</v>
      </c>
      <c r="C2081">
        <v>21883</v>
      </c>
      <c r="F2081" t="s">
        <v>1105</v>
      </c>
    </row>
    <row r="2082" spans="1:6" x14ac:dyDescent="0.2">
      <c r="A2082">
        <v>979</v>
      </c>
      <c r="B2082">
        <v>3693912</v>
      </c>
      <c r="C2082">
        <v>21883</v>
      </c>
      <c r="F2082" t="s">
        <v>1105</v>
      </c>
    </row>
    <row r="2083" spans="1:6" x14ac:dyDescent="0.2">
      <c r="A2083">
        <v>979</v>
      </c>
      <c r="B2083">
        <v>3693913</v>
      </c>
      <c r="C2083">
        <v>21883</v>
      </c>
      <c r="F2083" t="s">
        <v>1105</v>
      </c>
    </row>
    <row r="2084" spans="1:6" x14ac:dyDescent="0.2">
      <c r="A2084">
        <v>979</v>
      </c>
      <c r="B2084">
        <v>3693914</v>
      </c>
      <c r="C2084">
        <v>21883</v>
      </c>
      <c r="F2084" t="s">
        <v>1105</v>
      </c>
    </row>
    <row r="2085" spans="1:6" x14ac:dyDescent="0.2">
      <c r="A2085">
        <v>979</v>
      </c>
      <c r="B2085">
        <v>3693915</v>
      </c>
      <c r="C2085">
        <v>21883</v>
      </c>
      <c r="F2085" t="s">
        <v>1105</v>
      </c>
    </row>
    <row r="2086" spans="1:6" x14ac:dyDescent="0.2">
      <c r="A2086">
        <v>979</v>
      </c>
      <c r="B2086">
        <v>3693916</v>
      </c>
      <c r="C2086">
        <v>21883</v>
      </c>
      <c r="F2086" t="s">
        <v>1105</v>
      </c>
    </row>
    <row r="2087" spans="1:6" x14ac:dyDescent="0.2">
      <c r="A2087">
        <v>979</v>
      </c>
      <c r="B2087">
        <v>3693917</v>
      </c>
      <c r="C2087">
        <v>21883</v>
      </c>
      <c r="F2087" t="s">
        <v>1105</v>
      </c>
    </row>
    <row r="2088" spans="1:6" x14ac:dyDescent="0.2">
      <c r="A2088">
        <v>979</v>
      </c>
      <c r="B2088">
        <v>3693918</v>
      </c>
      <c r="C2088">
        <v>21883</v>
      </c>
      <c r="F2088" t="s">
        <v>1105</v>
      </c>
    </row>
    <row r="2089" spans="1:6" x14ac:dyDescent="0.2">
      <c r="A2089">
        <v>979</v>
      </c>
      <c r="B2089">
        <v>3693919</v>
      </c>
      <c r="C2089">
        <v>21883</v>
      </c>
      <c r="F2089" t="s">
        <v>1105</v>
      </c>
    </row>
    <row r="2090" spans="1:6" x14ac:dyDescent="0.2">
      <c r="A2090">
        <v>979</v>
      </c>
      <c r="B2090">
        <v>3693920</v>
      </c>
      <c r="C2090">
        <v>21883</v>
      </c>
      <c r="F2090" t="s">
        <v>1105</v>
      </c>
    </row>
    <row r="2091" spans="1:6" x14ac:dyDescent="0.2">
      <c r="A2091">
        <v>979</v>
      </c>
      <c r="B2091">
        <v>3693921</v>
      </c>
      <c r="C2091">
        <v>21883</v>
      </c>
      <c r="F2091" t="s">
        <v>1105</v>
      </c>
    </row>
    <row r="2092" spans="1:6" x14ac:dyDescent="0.2">
      <c r="A2092">
        <v>979</v>
      </c>
      <c r="B2092">
        <v>3693923</v>
      </c>
      <c r="C2092">
        <v>21883</v>
      </c>
      <c r="F2092" t="s">
        <v>6750</v>
      </c>
    </row>
    <row r="2093" spans="1:6" x14ac:dyDescent="0.2">
      <c r="A2093">
        <v>979</v>
      </c>
      <c r="B2093">
        <v>3693924</v>
      </c>
      <c r="C2093">
        <v>21883</v>
      </c>
      <c r="F2093" t="s">
        <v>1105</v>
      </c>
    </row>
    <row r="2094" spans="1:6" x14ac:dyDescent="0.2">
      <c r="A2094">
        <v>979</v>
      </c>
      <c r="B2094">
        <v>3693925</v>
      </c>
      <c r="C2094">
        <v>21883</v>
      </c>
      <c r="F2094" t="s">
        <v>6748</v>
      </c>
    </row>
    <row r="2095" spans="1:6" x14ac:dyDescent="0.2">
      <c r="A2095">
        <v>979</v>
      </c>
      <c r="B2095">
        <v>3693926</v>
      </c>
      <c r="C2095">
        <v>21883</v>
      </c>
      <c r="F2095" t="s">
        <v>1105</v>
      </c>
    </row>
    <row r="2096" spans="1:6" x14ac:dyDescent="0.2">
      <c r="A2096">
        <v>979</v>
      </c>
      <c r="B2096">
        <v>3693927</v>
      </c>
      <c r="C2096">
        <v>21883</v>
      </c>
      <c r="F2096" t="s">
        <v>1105</v>
      </c>
    </row>
    <row r="2097" spans="1:6" x14ac:dyDescent="0.2">
      <c r="A2097">
        <v>979</v>
      </c>
      <c r="B2097">
        <v>3693928</v>
      </c>
      <c r="C2097">
        <v>21883</v>
      </c>
      <c r="F2097" t="s">
        <v>1105</v>
      </c>
    </row>
    <row r="2098" spans="1:6" x14ac:dyDescent="0.2">
      <c r="A2098">
        <v>979</v>
      </c>
      <c r="B2098">
        <v>3693929</v>
      </c>
      <c r="C2098">
        <v>21883</v>
      </c>
      <c r="F2098" t="s">
        <v>1105</v>
      </c>
    </row>
    <row r="2099" spans="1:6" x14ac:dyDescent="0.2">
      <c r="A2099">
        <v>979</v>
      </c>
      <c r="B2099">
        <v>3693930</v>
      </c>
      <c r="C2099">
        <v>21883</v>
      </c>
      <c r="F2099" t="s">
        <v>1105</v>
      </c>
    </row>
    <row r="2100" spans="1:6" x14ac:dyDescent="0.2">
      <c r="A2100">
        <v>979</v>
      </c>
      <c r="B2100">
        <v>3693931</v>
      </c>
      <c r="C2100">
        <v>21883</v>
      </c>
      <c r="F2100" t="s">
        <v>1105</v>
      </c>
    </row>
    <row r="2101" spans="1:6" x14ac:dyDescent="0.2">
      <c r="A2101">
        <v>979</v>
      </c>
      <c r="B2101">
        <v>3693932</v>
      </c>
      <c r="C2101">
        <v>21883</v>
      </c>
      <c r="F2101" t="s">
        <v>1105</v>
      </c>
    </row>
    <row r="2102" spans="1:6" x14ac:dyDescent="0.2">
      <c r="A2102">
        <v>979</v>
      </c>
      <c r="B2102">
        <v>3693933</v>
      </c>
      <c r="C2102">
        <v>21883</v>
      </c>
      <c r="F2102" t="s">
        <v>1105</v>
      </c>
    </row>
    <row r="2103" spans="1:6" x14ac:dyDescent="0.2">
      <c r="A2103">
        <v>979</v>
      </c>
      <c r="B2103">
        <v>3693934</v>
      </c>
      <c r="C2103">
        <v>21883</v>
      </c>
      <c r="F2103" t="s">
        <v>1105</v>
      </c>
    </row>
    <row r="2104" spans="1:6" x14ac:dyDescent="0.2">
      <c r="A2104">
        <v>979</v>
      </c>
      <c r="B2104">
        <v>3693935</v>
      </c>
      <c r="C2104">
        <v>21883</v>
      </c>
      <c r="F2104" t="s">
        <v>1105</v>
      </c>
    </row>
    <row r="2105" spans="1:6" x14ac:dyDescent="0.2">
      <c r="A2105">
        <v>979</v>
      </c>
      <c r="B2105">
        <v>3693936</v>
      </c>
      <c r="C2105">
        <v>21883</v>
      </c>
      <c r="F2105" t="s">
        <v>1105</v>
      </c>
    </row>
    <row r="2106" spans="1:6" x14ac:dyDescent="0.2">
      <c r="A2106">
        <v>979</v>
      </c>
      <c r="B2106">
        <v>3693938</v>
      </c>
      <c r="C2106">
        <v>21883</v>
      </c>
      <c r="F2106" t="s">
        <v>6750</v>
      </c>
    </row>
    <row r="2107" spans="1:6" x14ac:dyDescent="0.2">
      <c r="A2107">
        <v>979</v>
      </c>
      <c r="B2107">
        <v>3693939</v>
      </c>
      <c r="C2107">
        <v>21883</v>
      </c>
      <c r="F2107" t="s">
        <v>1105</v>
      </c>
    </row>
    <row r="2108" spans="1:6" x14ac:dyDescent="0.2">
      <c r="A2108">
        <v>979</v>
      </c>
      <c r="B2108">
        <v>3693940</v>
      </c>
      <c r="C2108">
        <v>21883</v>
      </c>
      <c r="F2108" t="s">
        <v>6748</v>
      </c>
    </row>
    <row r="2109" spans="1:6" x14ac:dyDescent="0.2">
      <c r="A2109">
        <v>979</v>
      </c>
      <c r="B2109">
        <v>3693941</v>
      </c>
      <c r="C2109">
        <v>21883</v>
      </c>
      <c r="F2109" t="s">
        <v>1105</v>
      </c>
    </row>
    <row r="2110" spans="1:6" x14ac:dyDescent="0.2">
      <c r="A2110">
        <v>979</v>
      </c>
      <c r="B2110">
        <v>3693942</v>
      </c>
      <c r="C2110">
        <v>21883</v>
      </c>
      <c r="F2110" t="s">
        <v>1105</v>
      </c>
    </row>
    <row r="2111" spans="1:6" x14ac:dyDescent="0.2">
      <c r="A2111">
        <v>979</v>
      </c>
      <c r="B2111">
        <v>3693943</v>
      </c>
      <c r="C2111">
        <v>21883</v>
      </c>
      <c r="F2111" t="s">
        <v>1105</v>
      </c>
    </row>
    <row r="2112" spans="1:6" x14ac:dyDescent="0.2">
      <c r="A2112">
        <v>979</v>
      </c>
      <c r="B2112">
        <v>3693944</v>
      </c>
      <c r="C2112">
        <v>21883</v>
      </c>
      <c r="F2112" t="s">
        <v>1105</v>
      </c>
    </row>
    <row r="2113" spans="1:6" x14ac:dyDescent="0.2">
      <c r="A2113">
        <v>979</v>
      </c>
      <c r="B2113">
        <v>3693945</v>
      </c>
      <c r="C2113">
        <v>21883</v>
      </c>
      <c r="F2113" t="s">
        <v>1105</v>
      </c>
    </row>
    <row r="2114" spans="1:6" x14ac:dyDescent="0.2">
      <c r="A2114">
        <v>979</v>
      </c>
      <c r="B2114">
        <v>3693946</v>
      </c>
      <c r="C2114">
        <v>21883</v>
      </c>
      <c r="F2114" t="s">
        <v>1105</v>
      </c>
    </row>
    <row r="2115" spans="1:6" x14ac:dyDescent="0.2">
      <c r="A2115">
        <v>979</v>
      </c>
      <c r="B2115">
        <v>3693947</v>
      </c>
      <c r="C2115">
        <v>21883</v>
      </c>
      <c r="F2115" t="s">
        <v>1105</v>
      </c>
    </row>
    <row r="2116" spans="1:6" x14ac:dyDescent="0.2">
      <c r="A2116">
        <v>979</v>
      </c>
      <c r="B2116">
        <v>3693948</v>
      </c>
      <c r="C2116">
        <v>21883</v>
      </c>
      <c r="F2116" t="s">
        <v>1105</v>
      </c>
    </row>
    <row r="2117" spans="1:6" x14ac:dyDescent="0.2">
      <c r="A2117">
        <v>979</v>
      </c>
      <c r="B2117">
        <v>3693949</v>
      </c>
      <c r="C2117">
        <v>21883</v>
      </c>
      <c r="F2117" t="s">
        <v>1105</v>
      </c>
    </row>
    <row r="2118" spans="1:6" x14ac:dyDescent="0.2">
      <c r="A2118">
        <v>979</v>
      </c>
      <c r="B2118">
        <v>3693950</v>
      </c>
      <c r="C2118">
        <v>21883</v>
      </c>
      <c r="F2118" t="s">
        <v>1105</v>
      </c>
    </row>
    <row r="2119" spans="1:6" x14ac:dyDescent="0.2">
      <c r="A2119">
        <v>979</v>
      </c>
      <c r="B2119">
        <v>3693951</v>
      </c>
      <c r="C2119">
        <v>21883</v>
      </c>
      <c r="F2119" t="s">
        <v>1105</v>
      </c>
    </row>
    <row r="2120" spans="1:6" x14ac:dyDescent="0.2">
      <c r="A2120">
        <v>979</v>
      </c>
      <c r="B2120">
        <v>3693953</v>
      </c>
      <c r="C2120">
        <v>21883</v>
      </c>
      <c r="F2120" t="s">
        <v>6750</v>
      </c>
    </row>
    <row r="2121" spans="1:6" x14ac:dyDescent="0.2">
      <c r="A2121">
        <v>979</v>
      </c>
      <c r="B2121">
        <v>3693954</v>
      </c>
      <c r="C2121">
        <v>21883</v>
      </c>
      <c r="F2121" t="s">
        <v>1105</v>
      </c>
    </row>
    <row r="2122" spans="1:6" x14ac:dyDescent="0.2">
      <c r="A2122">
        <v>979</v>
      </c>
      <c r="B2122">
        <v>3693955</v>
      </c>
      <c r="C2122">
        <v>21883</v>
      </c>
      <c r="F2122" t="s">
        <v>6748</v>
      </c>
    </row>
    <row r="2123" spans="1:6" x14ac:dyDescent="0.2">
      <c r="A2123">
        <v>979</v>
      </c>
      <c r="B2123">
        <v>3693956</v>
      </c>
      <c r="C2123">
        <v>21883</v>
      </c>
      <c r="F2123" t="s">
        <v>1105</v>
      </c>
    </row>
    <row r="2124" spans="1:6" x14ac:dyDescent="0.2">
      <c r="A2124">
        <v>979</v>
      </c>
      <c r="B2124">
        <v>3693957</v>
      </c>
      <c r="C2124">
        <v>21883</v>
      </c>
      <c r="F2124" t="s">
        <v>1105</v>
      </c>
    </row>
    <row r="2125" spans="1:6" x14ac:dyDescent="0.2">
      <c r="A2125">
        <v>979</v>
      </c>
      <c r="B2125">
        <v>3693958</v>
      </c>
      <c r="C2125">
        <v>21883</v>
      </c>
      <c r="F2125" t="s">
        <v>1105</v>
      </c>
    </row>
    <row r="2126" spans="1:6" x14ac:dyDescent="0.2">
      <c r="A2126">
        <v>979</v>
      </c>
      <c r="B2126">
        <v>3693959</v>
      </c>
      <c r="C2126">
        <v>21883</v>
      </c>
      <c r="F2126" t="s">
        <v>1105</v>
      </c>
    </row>
    <row r="2127" spans="1:6" x14ac:dyDescent="0.2">
      <c r="A2127">
        <v>979</v>
      </c>
      <c r="B2127">
        <v>3693960</v>
      </c>
      <c r="C2127">
        <v>21883</v>
      </c>
      <c r="F2127" t="s">
        <v>1105</v>
      </c>
    </row>
    <row r="2128" spans="1:6" x14ac:dyDescent="0.2">
      <c r="A2128">
        <v>979</v>
      </c>
      <c r="B2128">
        <v>3693961</v>
      </c>
      <c r="C2128">
        <v>21883</v>
      </c>
      <c r="F2128" t="s">
        <v>1105</v>
      </c>
    </row>
    <row r="2129" spans="1:6" x14ac:dyDescent="0.2">
      <c r="A2129">
        <v>979</v>
      </c>
      <c r="B2129">
        <v>3693962</v>
      </c>
      <c r="C2129">
        <v>21883</v>
      </c>
      <c r="F2129" t="s">
        <v>1105</v>
      </c>
    </row>
    <row r="2130" spans="1:6" x14ac:dyDescent="0.2">
      <c r="A2130">
        <v>979</v>
      </c>
      <c r="B2130">
        <v>3693963</v>
      </c>
      <c r="C2130">
        <v>21883</v>
      </c>
      <c r="F2130" t="s">
        <v>1105</v>
      </c>
    </row>
    <row r="2131" spans="1:6" x14ac:dyDescent="0.2">
      <c r="A2131">
        <v>979</v>
      </c>
      <c r="B2131">
        <v>3693964</v>
      </c>
      <c r="C2131">
        <v>21883</v>
      </c>
      <c r="F2131" t="s">
        <v>1105</v>
      </c>
    </row>
    <row r="2132" spans="1:6" x14ac:dyDescent="0.2">
      <c r="A2132">
        <v>979</v>
      </c>
      <c r="B2132">
        <v>3693965</v>
      </c>
      <c r="C2132">
        <v>21883</v>
      </c>
      <c r="F2132" t="s">
        <v>1105</v>
      </c>
    </row>
    <row r="2133" spans="1:6" x14ac:dyDescent="0.2">
      <c r="A2133">
        <v>979</v>
      </c>
      <c r="B2133">
        <v>3693966</v>
      </c>
      <c r="C2133">
        <v>21883</v>
      </c>
      <c r="F2133" t="s">
        <v>1105</v>
      </c>
    </row>
    <row r="2134" spans="1:6" x14ac:dyDescent="0.2">
      <c r="A2134">
        <v>979</v>
      </c>
      <c r="B2134">
        <v>3693968</v>
      </c>
      <c r="C2134">
        <v>21883</v>
      </c>
      <c r="F2134" t="s">
        <v>6750</v>
      </c>
    </row>
    <row r="2135" spans="1:6" x14ac:dyDescent="0.2">
      <c r="A2135">
        <v>979</v>
      </c>
      <c r="B2135">
        <v>3693969</v>
      </c>
      <c r="C2135">
        <v>21883</v>
      </c>
      <c r="F2135" t="s">
        <v>1105</v>
      </c>
    </row>
    <row r="2136" spans="1:6" x14ac:dyDescent="0.2">
      <c r="A2136">
        <v>979</v>
      </c>
      <c r="B2136">
        <v>3693970</v>
      </c>
      <c r="C2136">
        <v>21883</v>
      </c>
      <c r="F2136" t="s">
        <v>6748</v>
      </c>
    </row>
    <row r="2137" spans="1:6" x14ac:dyDescent="0.2">
      <c r="A2137">
        <v>979</v>
      </c>
      <c r="B2137">
        <v>3693971</v>
      </c>
      <c r="C2137">
        <v>21883</v>
      </c>
      <c r="F2137" t="s">
        <v>1105</v>
      </c>
    </row>
    <row r="2138" spans="1:6" x14ac:dyDescent="0.2">
      <c r="A2138">
        <v>979</v>
      </c>
      <c r="B2138">
        <v>3693972</v>
      </c>
      <c r="C2138">
        <v>21883</v>
      </c>
      <c r="F2138" t="s">
        <v>1105</v>
      </c>
    </row>
    <row r="2139" spans="1:6" x14ac:dyDescent="0.2">
      <c r="A2139">
        <v>979</v>
      </c>
      <c r="B2139">
        <v>3693973</v>
      </c>
      <c r="C2139">
        <v>21883</v>
      </c>
      <c r="F2139" t="s">
        <v>1105</v>
      </c>
    </row>
    <row r="2140" spans="1:6" x14ac:dyDescent="0.2">
      <c r="A2140">
        <v>979</v>
      </c>
      <c r="B2140">
        <v>3693974</v>
      </c>
      <c r="C2140">
        <v>21883</v>
      </c>
      <c r="F2140" t="s">
        <v>1105</v>
      </c>
    </row>
    <row r="2141" spans="1:6" x14ac:dyDescent="0.2">
      <c r="A2141">
        <v>979</v>
      </c>
      <c r="B2141">
        <v>3693975</v>
      </c>
      <c r="C2141">
        <v>21883</v>
      </c>
      <c r="F2141" t="s">
        <v>1105</v>
      </c>
    </row>
    <row r="2142" spans="1:6" x14ac:dyDescent="0.2">
      <c r="A2142">
        <v>979</v>
      </c>
      <c r="B2142">
        <v>3693976</v>
      </c>
      <c r="C2142">
        <v>21883</v>
      </c>
      <c r="F2142" t="s">
        <v>1105</v>
      </c>
    </row>
    <row r="2143" spans="1:6" x14ac:dyDescent="0.2">
      <c r="A2143">
        <v>979</v>
      </c>
      <c r="B2143">
        <v>3693977</v>
      </c>
      <c r="C2143">
        <v>21883</v>
      </c>
      <c r="F2143" t="s">
        <v>1105</v>
      </c>
    </row>
    <row r="2144" spans="1:6" x14ac:dyDescent="0.2">
      <c r="A2144">
        <v>979</v>
      </c>
      <c r="B2144">
        <v>3693978</v>
      </c>
      <c r="C2144">
        <v>21883</v>
      </c>
      <c r="F2144" t="s">
        <v>1105</v>
      </c>
    </row>
    <row r="2145" spans="1:6" x14ac:dyDescent="0.2">
      <c r="A2145">
        <v>979</v>
      </c>
      <c r="B2145">
        <v>3693979</v>
      </c>
      <c r="C2145">
        <v>21883</v>
      </c>
      <c r="F2145" t="s">
        <v>1105</v>
      </c>
    </row>
    <row r="2146" spans="1:6" x14ac:dyDescent="0.2">
      <c r="A2146">
        <v>979</v>
      </c>
      <c r="B2146">
        <v>3693980</v>
      </c>
      <c r="C2146">
        <v>21883</v>
      </c>
      <c r="F2146" t="s">
        <v>1105</v>
      </c>
    </row>
    <row r="2147" spans="1:6" x14ac:dyDescent="0.2">
      <c r="A2147">
        <v>979</v>
      </c>
      <c r="B2147">
        <v>3693981</v>
      </c>
      <c r="C2147">
        <v>21883</v>
      </c>
      <c r="F2147" t="s">
        <v>1105</v>
      </c>
    </row>
    <row r="2148" spans="1:6" x14ac:dyDescent="0.2">
      <c r="A2148">
        <v>979</v>
      </c>
      <c r="B2148">
        <v>3693983</v>
      </c>
      <c r="C2148">
        <v>21883</v>
      </c>
      <c r="F2148" t="s">
        <v>6750</v>
      </c>
    </row>
    <row r="2149" spans="1:6" x14ac:dyDescent="0.2">
      <c r="A2149">
        <v>979</v>
      </c>
      <c r="B2149">
        <v>3693984</v>
      </c>
      <c r="C2149">
        <v>21883</v>
      </c>
      <c r="F2149" t="s">
        <v>1105</v>
      </c>
    </row>
    <row r="2150" spans="1:6" x14ac:dyDescent="0.2">
      <c r="A2150">
        <v>979</v>
      </c>
      <c r="B2150">
        <v>3693985</v>
      </c>
      <c r="C2150">
        <v>21883</v>
      </c>
      <c r="F2150" t="s">
        <v>6748</v>
      </c>
    </row>
    <row r="2151" spans="1:6" x14ac:dyDescent="0.2">
      <c r="A2151">
        <v>979</v>
      </c>
      <c r="B2151">
        <v>3693986</v>
      </c>
      <c r="C2151">
        <v>21883</v>
      </c>
      <c r="F2151" t="s">
        <v>1105</v>
      </c>
    </row>
    <row r="2152" spans="1:6" x14ac:dyDescent="0.2">
      <c r="A2152">
        <v>979</v>
      </c>
      <c r="B2152">
        <v>3693987</v>
      </c>
      <c r="C2152">
        <v>21883</v>
      </c>
      <c r="F2152" t="s">
        <v>1105</v>
      </c>
    </row>
    <row r="2153" spans="1:6" x14ac:dyDescent="0.2">
      <c r="A2153">
        <v>979</v>
      </c>
      <c r="B2153">
        <v>3693988</v>
      </c>
      <c r="C2153">
        <v>21883</v>
      </c>
      <c r="F2153" t="s">
        <v>1105</v>
      </c>
    </row>
    <row r="2154" spans="1:6" x14ac:dyDescent="0.2">
      <c r="A2154">
        <v>979</v>
      </c>
      <c r="B2154">
        <v>3693989</v>
      </c>
      <c r="C2154">
        <v>21883</v>
      </c>
      <c r="F2154" t="s">
        <v>1105</v>
      </c>
    </row>
    <row r="2155" spans="1:6" x14ac:dyDescent="0.2">
      <c r="A2155">
        <v>979</v>
      </c>
      <c r="B2155">
        <v>3693990</v>
      </c>
      <c r="C2155">
        <v>21883</v>
      </c>
      <c r="F2155" t="s">
        <v>1105</v>
      </c>
    </row>
    <row r="2156" spans="1:6" x14ac:dyDescent="0.2">
      <c r="A2156">
        <v>979</v>
      </c>
      <c r="B2156">
        <v>3693991</v>
      </c>
      <c r="C2156">
        <v>21883</v>
      </c>
      <c r="F2156" t="s">
        <v>1105</v>
      </c>
    </row>
    <row r="2157" spans="1:6" x14ac:dyDescent="0.2">
      <c r="A2157">
        <v>979</v>
      </c>
      <c r="B2157">
        <v>3693992</v>
      </c>
      <c r="C2157">
        <v>21883</v>
      </c>
      <c r="F2157" t="s">
        <v>1105</v>
      </c>
    </row>
    <row r="2158" spans="1:6" x14ac:dyDescent="0.2">
      <c r="A2158">
        <v>979</v>
      </c>
      <c r="B2158">
        <v>3693993</v>
      </c>
      <c r="C2158">
        <v>21883</v>
      </c>
      <c r="F2158" t="s">
        <v>1105</v>
      </c>
    </row>
    <row r="2159" spans="1:6" x14ac:dyDescent="0.2">
      <c r="A2159">
        <v>979</v>
      </c>
      <c r="B2159">
        <v>3693994</v>
      </c>
      <c r="C2159">
        <v>21883</v>
      </c>
      <c r="F2159" t="s">
        <v>1105</v>
      </c>
    </row>
    <row r="2160" spans="1:6" x14ac:dyDescent="0.2">
      <c r="A2160">
        <v>979</v>
      </c>
      <c r="B2160">
        <v>3693997</v>
      </c>
      <c r="C2160">
        <v>21883</v>
      </c>
      <c r="F2160" t="s">
        <v>1105</v>
      </c>
    </row>
    <row r="2161" spans="1:6" x14ac:dyDescent="0.2">
      <c r="A2161">
        <v>979</v>
      </c>
      <c r="B2161">
        <v>3693998</v>
      </c>
      <c r="C2161">
        <v>21883</v>
      </c>
      <c r="F2161" t="s">
        <v>1105</v>
      </c>
    </row>
    <row r="2162" spans="1:6" x14ac:dyDescent="0.2">
      <c r="A2162">
        <v>979</v>
      </c>
      <c r="B2162">
        <v>3693999</v>
      </c>
      <c r="C2162">
        <v>21883</v>
      </c>
      <c r="F2162" t="s">
        <v>1105</v>
      </c>
    </row>
    <row r="2163" spans="1:6" x14ac:dyDescent="0.2">
      <c r="A2163">
        <v>979</v>
      </c>
      <c r="B2163">
        <v>3694000</v>
      </c>
      <c r="C2163">
        <v>21883</v>
      </c>
      <c r="F2163" t="s">
        <v>1105</v>
      </c>
    </row>
    <row r="2164" spans="1:6" x14ac:dyDescent="0.2">
      <c r="A2164">
        <v>979</v>
      </c>
      <c r="B2164">
        <v>3694001</v>
      </c>
      <c r="C2164">
        <v>21883</v>
      </c>
      <c r="F2164" t="s">
        <v>6750</v>
      </c>
    </row>
    <row r="2165" spans="1:6" x14ac:dyDescent="0.2">
      <c r="A2165">
        <v>979</v>
      </c>
      <c r="B2165">
        <v>3694002</v>
      </c>
      <c r="C2165">
        <v>21883</v>
      </c>
      <c r="F2165" t="s">
        <v>1105</v>
      </c>
    </row>
    <row r="2166" spans="1:6" x14ac:dyDescent="0.2">
      <c r="A2166">
        <v>979</v>
      </c>
      <c r="B2166">
        <v>3694003</v>
      </c>
      <c r="C2166">
        <v>21883</v>
      </c>
      <c r="F2166" t="s">
        <v>6748</v>
      </c>
    </row>
    <row r="2167" spans="1:6" x14ac:dyDescent="0.2">
      <c r="A2167">
        <v>979</v>
      </c>
      <c r="B2167">
        <v>3694004</v>
      </c>
      <c r="C2167">
        <v>21883</v>
      </c>
      <c r="F2167" t="s">
        <v>1105</v>
      </c>
    </row>
    <row r="2168" spans="1:6" x14ac:dyDescent="0.2">
      <c r="A2168">
        <v>979</v>
      </c>
      <c r="B2168">
        <v>3694005</v>
      </c>
      <c r="C2168">
        <v>21883</v>
      </c>
      <c r="F2168" t="s">
        <v>1105</v>
      </c>
    </row>
    <row r="2169" spans="1:6" x14ac:dyDescent="0.2">
      <c r="A2169">
        <v>979</v>
      </c>
      <c r="B2169">
        <v>3694006</v>
      </c>
      <c r="C2169">
        <v>21883</v>
      </c>
      <c r="F2169" t="s">
        <v>6750</v>
      </c>
    </row>
    <row r="2170" spans="1:6" x14ac:dyDescent="0.2">
      <c r="A2170">
        <v>979</v>
      </c>
      <c r="B2170">
        <v>3694007</v>
      </c>
      <c r="C2170">
        <v>21883</v>
      </c>
      <c r="F2170" t="s">
        <v>1105</v>
      </c>
    </row>
    <row r="2171" spans="1:6" x14ac:dyDescent="0.2">
      <c r="A2171">
        <v>979</v>
      </c>
      <c r="B2171">
        <v>3694008</v>
      </c>
      <c r="C2171">
        <v>21883</v>
      </c>
      <c r="F2171" t="s">
        <v>6748</v>
      </c>
    </row>
    <row r="2172" spans="1:6" x14ac:dyDescent="0.2">
      <c r="A2172">
        <v>979</v>
      </c>
      <c r="B2172">
        <v>3694009</v>
      </c>
      <c r="C2172">
        <v>21883</v>
      </c>
      <c r="F2172" t="s">
        <v>1105</v>
      </c>
    </row>
    <row r="2173" spans="1:6" x14ac:dyDescent="0.2">
      <c r="A2173">
        <v>979</v>
      </c>
      <c r="B2173">
        <v>3694011</v>
      </c>
      <c r="C2173">
        <v>21883</v>
      </c>
      <c r="F2173" t="s">
        <v>1105</v>
      </c>
    </row>
    <row r="2174" spans="1:6" x14ac:dyDescent="0.2">
      <c r="A2174">
        <v>979</v>
      </c>
      <c r="B2174">
        <v>3694012</v>
      </c>
      <c r="C2174">
        <v>21883</v>
      </c>
      <c r="F2174" t="s">
        <v>6750</v>
      </c>
    </row>
    <row r="2175" spans="1:6" x14ac:dyDescent="0.2">
      <c r="A2175">
        <v>979</v>
      </c>
      <c r="B2175">
        <v>3694013</v>
      </c>
      <c r="C2175">
        <v>21883</v>
      </c>
      <c r="F2175" t="s">
        <v>1105</v>
      </c>
    </row>
    <row r="2176" spans="1:6" x14ac:dyDescent="0.2">
      <c r="A2176">
        <v>979</v>
      </c>
      <c r="B2176">
        <v>3694014</v>
      </c>
      <c r="C2176">
        <v>21883</v>
      </c>
      <c r="F2176" t="s">
        <v>6748</v>
      </c>
    </row>
    <row r="2177" spans="1:6" x14ac:dyDescent="0.2">
      <c r="A2177">
        <v>979</v>
      </c>
      <c r="B2177">
        <v>3694015</v>
      </c>
      <c r="C2177">
        <v>21883</v>
      </c>
      <c r="F2177" t="s">
        <v>1105</v>
      </c>
    </row>
    <row r="2178" spans="1:6" x14ac:dyDescent="0.2">
      <c r="A2178">
        <v>979</v>
      </c>
      <c r="B2178">
        <v>3694016</v>
      </c>
      <c r="C2178">
        <v>21883</v>
      </c>
      <c r="F2178" t="s">
        <v>1105</v>
      </c>
    </row>
    <row r="2179" spans="1:6" x14ac:dyDescent="0.2">
      <c r="A2179">
        <v>979</v>
      </c>
      <c r="B2179">
        <v>3694017</v>
      </c>
      <c r="C2179">
        <v>21883</v>
      </c>
      <c r="F2179" t="s">
        <v>6750</v>
      </c>
    </row>
    <row r="2180" spans="1:6" x14ac:dyDescent="0.2">
      <c r="A2180">
        <v>979</v>
      </c>
      <c r="B2180">
        <v>3694018</v>
      </c>
      <c r="C2180">
        <v>21883</v>
      </c>
      <c r="F2180" t="s">
        <v>1105</v>
      </c>
    </row>
    <row r="2181" spans="1:6" x14ac:dyDescent="0.2">
      <c r="A2181">
        <v>979</v>
      </c>
      <c r="B2181">
        <v>3694019</v>
      </c>
      <c r="C2181">
        <v>21883</v>
      </c>
      <c r="F2181" t="s">
        <v>6748</v>
      </c>
    </row>
    <row r="2182" spans="1:6" x14ac:dyDescent="0.2">
      <c r="A2182">
        <v>979</v>
      </c>
      <c r="B2182">
        <v>3694020</v>
      </c>
      <c r="C2182">
        <v>21883</v>
      </c>
      <c r="F2182" t="s">
        <v>1105</v>
      </c>
    </row>
    <row r="2183" spans="1:6" x14ac:dyDescent="0.2">
      <c r="A2183">
        <v>979</v>
      </c>
      <c r="B2183">
        <v>3694045</v>
      </c>
      <c r="C2183">
        <v>21883</v>
      </c>
      <c r="F2183" t="s">
        <v>1105</v>
      </c>
    </row>
    <row r="2184" spans="1:6" x14ac:dyDescent="0.2">
      <c r="A2184">
        <v>979</v>
      </c>
      <c r="B2184">
        <v>3694046</v>
      </c>
      <c r="C2184">
        <v>21883</v>
      </c>
      <c r="F2184" t="s">
        <v>1105</v>
      </c>
    </row>
    <row r="2185" spans="1:6" x14ac:dyDescent="0.2">
      <c r="A2185">
        <v>979</v>
      </c>
      <c r="B2185">
        <v>3694047</v>
      </c>
      <c r="C2185">
        <v>21883</v>
      </c>
      <c r="F2185" t="s">
        <v>1105</v>
      </c>
    </row>
    <row r="2186" spans="1:6" x14ac:dyDescent="0.2">
      <c r="A2186">
        <v>979</v>
      </c>
      <c r="B2186">
        <v>3694048</v>
      </c>
      <c r="C2186">
        <v>21883</v>
      </c>
      <c r="F2186" t="s">
        <v>1105</v>
      </c>
    </row>
    <row r="2187" spans="1:6" x14ac:dyDescent="0.2">
      <c r="A2187">
        <v>979</v>
      </c>
      <c r="B2187">
        <v>3694049</v>
      </c>
      <c r="C2187">
        <v>21883</v>
      </c>
      <c r="F2187" t="s">
        <v>1105</v>
      </c>
    </row>
    <row r="2188" spans="1:6" x14ac:dyDescent="0.2">
      <c r="A2188">
        <v>979</v>
      </c>
      <c r="B2188">
        <v>3694050</v>
      </c>
      <c r="C2188">
        <v>21883</v>
      </c>
      <c r="F2188" t="s">
        <v>1105</v>
      </c>
    </row>
    <row r="2189" spans="1:6" x14ac:dyDescent="0.2">
      <c r="A2189">
        <v>979</v>
      </c>
      <c r="B2189">
        <v>3694051</v>
      </c>
      <c r="C2189">
        <v>21883</v>
      </c>
      <c r="F2189" t="s">
        <v>1105</v>
      </c>
    </row>
    <row r="2190" spans="1:6" x14ac:dyDescent="0.2">
      <c r="A2190">
        <v>979</v>
      </c>
      <c r="B2190">
        <v>3694052</v>
      </c>
      <c r="C2190">
        <v>21883</v>
      </c>
      <c r="F2190" t="s">
        <v>1105</v>
      </c>
    </row>
    <row r="2191" spans="1:6" x14ac:dyDescent="0.2">
      <c r="A2191">
        <v>979</v>
      </c>
      <c r="B2191">
        <v>3694053</v>
      </c>
      <c r="C2191">
        <v>21883</v>
      </c>
      <c r="F2191" t="s">
        <v>1105</v>
      </c>
    </row>
    <row r="2192" spans="1:6" x14ac:dyDescent="0.2">
      <c r="A2192">
        <v>979</v>
      </c>
      <c r="B2192">
        <v>3694057</v>
      </c>
      <c r="C2192">
        <v>21883</v>
      </c>
      <c r="F2192" t="s">
        <v>1105</v>
      </c>
    </row>
    <row r="2193" spans="1:6" x14ac:dyDescent="0.2">
      <c r="A2193">
        <v>979</v>
      </c>
      <c r="B2193">
        <v>3694083</v>
      </c>
      <c r="C2193">
        <v>21883</v>
      </c>
      <c r="F2193">
        <v>2</v>
      </c>
    </row>
    <row r="2194" spans="1:6" x14ac:dyDescent="0.2">
      <c r="A2194">
        <v>979</v>
      </c>
      <c r="B2194">
        <v>3694084</v>
      </c>
      <c r="C2194">
        <v>21883</v>
      </c>
      <c r="F2194">
        <v>1</v>
      </c>
    </row>
    <row r="2195" spans="1:6" x14ac:dyDescent="0.2">
      <c r="A2195">
        <v>979</v>
      </c>
      <c r="B2195">
        <v>3694085</v>
      </c>
      <c r="C2195">
        <v>21883</v>
      </c>
      <c r="F2195">
        <v>1</v>
      </c>
    </row>
    <row r="2196" spans="1:6" x14ac:dyDescent="0.2">
      <c r="A2196">
        <v>979</v>
      </c>
      <c r="B2196">
        <v>3694086</v>
      </c>
      <c r="C2196">
        <v>21883</v>
      </c>
      <c r="F2196">
        <v>1</v>
      </c>
    </row>
    <row r="2197" spans="1:6" x14ac:dyDescent="0.2">
      <c r="A2197">
        <v>979</v>
      </c>
      <c r="B2197">
        <v>3694087</v>
      </c>
      <c r="C2197">
        <v>21883</v>
      </c>
      <c r="F2197">
        <v>1</v>
      </c>
    </row>
    <row r="2198" spans="1:6" x14ac:dyDescent="0.2">
      <c r="A2198">
        <v>979</v>
      </c>
      <c r="B2198">
        <v>3694088</v>
      </c>
      <c r="C2198">
        <v>21883</v>
      </c>
      <c r="F2198">
        <v>2</v>
      </c>
    </row>
    <row r="2199" spans="1:6" x14ac:dyDescent="0.2">
      <c r="A2199">
        <v>979</v>
      </c>
      <c r="B2199">
        <v>3694097</v>
      </c>
      <c r="C2199">
        <v>21883</v>
      </c>
      <c r="F2199" t="s">
        <v>6749</v>
      </c>
    </row>
    <row r="2200" spans="1:6" x14ac:dyDescent="0.2">
      <c r="A2200">
        <v>979</v>
      </c>
      <c r="B2200">
        <v>3694098</v>
      </c>
      <c r="C2200">
        <v>21883</v>
      </c>
      <c r="F2200">
        <v>1</v>
      </c>
    </row>
    <row r="2201" spans="1:6" x14ac:dyDescent="0.2">
      <c r="A2201">
        <v>979</v>
      </c>
      <c r="B2201">
        <v>3694100</v>
      </c>
      <c r="C2201">
        <v>21883</v>
      </c>
      <c r="F2201" t="s">
        <v>1105</v>
      </c>
    </row>
    <row r="2202" spans="1:6" x14ac:dyDescent="0.2">
      <c r="A2202">
        <v>979</v>
      </c>
      <c r="B2202">
        <v>3694101</v>
      </c>
      <c r="C2202">
        <v>21883</v>
      </c>
      <c r="F2202" t="s">
        <v>6750</v>
      </c>
    </row>
    <row r="2203" spans="1:6" x14ac:dyDescent="0.2">
      <c r="A2203">
        <v>979</v>
      </c>
      <c r="B2203">
        <v>3694102</v>
      </c>
      <c r="C2203">
        <v>21883</v>
      </c>
      <c r="F2203" t="s">
        <v>1105</v>
      </c>
    </row>
    <row r="2204" spans="1:6" x14ac:dyDescent="0.2">
      <c r="A2204">
        <v>979</v>
      </c>
      <c r="B2204">
        <v>3694103</v>
      </c>
      <c r="C2204">
        <v>21883</v>
      </c>
      <c r="F2204" t="s">
        <v>1105</v>
      </c>
    </row>
    <row r="2205" spans="1:6" x14ac:dyDescent="0.2">
      <c r="A2205">
        <v>979</v>
      </c>
      <c r="B2205">
        <v>3694104</v>
      </c>
      <c r="C2205">
        <v>21883</v>
      </c>
      <c r="F2205" t="s">
        <v>6748</v>
      </c>
    </row>
    <row r="2206" spans="1:6" x14ac:dyDescent="0.2">
      <c r="A2206">
        <v>979</v>
      </c>
      <c r="B2206">
        <v>3694105</v>
      </c>
      <c r="C2206">
        <v>21883</v>
      </c>
      <c r="F2206" t="s">
        <v>1105</v>
      </c>
    </row>
    <row r="2207" spans="1:6" x14ac:dyDescent="0.2">
      <c r="A2207">
        <v>2131</v>
      </c>
      <c r="B2207">
        <v>3692904</v>
      </c>
      <c r="C2207">
        <v>21883</v>
      </c>
      <c r="F2207" t="s">
        <v>705</v>
      </c>
    </row>
    <row r="2208" spans="1:6" x14ac:dyDescent="0.2">
      <c r="A2208">
        <v>2131</v>
      </c>
      <c r="B2208">
        <v>3692905</v>
      </c>
      <c r="C2208">
        <v>21883</v>
      </c>
      <c r="F2208" t="s">
        <v>705</v>
      </c>
    </row>
    <row r="2209" spans="1:6" x14ac:dyDescent="0.2">
      <c r="A2209">
        <v>2131</v>
      </c>
      <c r="B2209">
        <v>3692906</v>
      </c>
      <c r="C2209">
        <v>21883</v>
      </c>
      <c r="F2209" t="s">
        <v>705</v>
      </c>
    </row>
    <row r="2210" spans="1:6" x14ac:dyDescent="0.2">
      <c r="A2210">
        <v>2131</v>
      </c>
      <c r="B2210">
        <v>3692907</v>
      </c>
      <c r="C2210">
        <v>21883</v>
      </c>
      <c r="F2210" t="s">
        <v>705</v>
      </c>
    </row>
    <row r="2211" spans="1:6" x14ac:dyDescent="0.2">
      <c r="A2211">
        <v>2131</v>
      </c>
      <c r="B2211">
        <v>3692908</v>
      </c>
      <c r="C2211">
        <v>21883</v>
      </c>
      <c r="F2211" t="s">
        <v>705</v>
      </c>
    </row>
    <row r="2212" spans="1:6" x14ac:dyDescent="0.2">
      <c r="A2212">
        <v>2131</v>
      </c>
      <c r="B2212">
        <v>3692909</v>
      </c>
      <c r="C2212">
        <v>21883</v>
      </c>
      <c r="F2212">
        <v>1</v>
      </c>
    </row>
    <row r="2213" spans="1:6" x14ac:dyDescent="0.2">
      <c r="A2213">
        <v>2131</v>
      </c>
      <c r="B2213">
        <v>3692910</v>
      </c>
      <c r="C2213">
        <v>21883</v>
      </c>
      <c r="F2213">
        <v>1</v>
      </c>
    </row>
    <row r="2214" spans="1:6" x14ac:dyDescent="0.2">
      <c r="A2214">
        <v>2131</v>
      </c>
      <c r="B2214">
        <v>3692911</v>
      </c>
      <c r="C2214">
        <v>21883</v>
      </c>
      <c r="F2214">
        <v>1</v>
      </c>
    </row>
    <row r="2215" spans="1:6" x14ac:dyDescent="0.2">
      <c r="A2215">
        <v>2131</v>
      </c>
      <c r="B2215">
        <v>3692912</v>
      </c>
      <c r="C2215">
        <v>21883</v>
      </c>
      <c r="F2215">
        <v>2</v>
      </c>
    </row>
    <row r="2216" spans="1:6" x14ac:dyDescent="0.2">
      <c r="A2216">
        <v>2131</v>
      </c>
      <c r="B2216">
        <v>3692913</v>
      </c>
      <c r="C2216">
        <v>21883</v>
      </c>
      <c r="F2216">
        <v>2</v>
      </c>
    </row>
    <row r="2217" spans="1:6" x14ac:dyDescent="0.2">
      <c r="A2217">
        <v>2131</v>
      </c>
      <c r="B2217">
        <v>3692914</v>
      </c>
      <c r="C2217">
        <v>21883</v>
      </c>
      <c r="F2217">
        <v>2</v>
      </c>
    </row>
    <row r="2218" spans="1:6" x14ac:dyDescent="0.2">
      <c r="A2218">
        <v>2131</v>
      </c>
      <c r="B2218">
        <v>3692915</v>
      </c>
      <c r="C2218">
        <v>21883</v>
      </c>
      <c r="F2218">
        <v>3</v>
      </c>
    </row>
    <row r="2219" spans="1:6" x14ac:dyDescent="0.2">
      <c r="A2219">
        <v>2131</v>
      </c>
      <c r="B2219">
        <v>3692916</v>
      </c>
      <c r="C2219">
        <v>21883</v>
      </c>
      <c r="F2219">
        <v>3</v>
      </c>
    </row>
    <row r="2220" spans="1:6" x14ac:dyDescent="0.2">
      <c r="A2220">
        <v>2131</v>
      </c>
      <c r="B2220">
        <v>3692917</v>
      </c>
      <c r="C2220">
        <v>21883</v>
      </c>
      <c r="F2220">
        <v>3</v>
      </c>
    </row>
    <row r="2221" spans="1:6" x14ac:dyDescent="0.2">
      <c r="A2221">
        <v>2131</v>
      </c>
      <c r="B2221">
        <v>3692918</v>
      </c>
      <c r="C2221">
        <v>21883</v>
      </c>
      <c r="F2221">
        <v>4</v>
      </c>
    </row>
    <row r="2222" spans="1:6" x14ac:dyDescent="0.2">
      <c r="A2222">
        <v>2131</v>
      </c>
      <c r="B2222">
        <v>3692919</v>
      </c>
      <c r="C2222">
        <v>21883</v>
      </c>
      <c r="F2222">
        <v>4</v>
      </c>
    </row>
    <row r="2223" spans="1:6" x14ac:dyDescent="0.2">
      <c r="A2223">
        <v>2131</v>
      </c>
      <c r="B2223">
        <v>3692920</v>
      </c>
      <c r="C2223">
        <v>21883</v>
      </c>
      <c r="F2223">
        <v>4</v>
      </c>
    </row>
    <row r="2224" spans="1:6" x14ac:dyDescent="0.2">
      <c r="A2224">
        <v>2131</v>
      </c>
      <c r="B2224">
        <v>3692921</v>
      </c>
      <c r="C2224">
        <v>21883</v>
      </c>
      <c r="F2224">
        <v>5</v>
      </c>
    </row>
    <row r="2225" spans="1:6" x14ac:dyDescent="0.2">
      <c r="A2225">
        <v>2131</v>
      </c>
      <c r="B2225">
        <v>3692922</v>
      </c>
      <c r="C2225">
        <v>21883</v>
      </c>
      <c r="F2225">
        <v>5</v>
      </c>
    </row>
    <row r="2226" spans="1:6" x14ac:dyDescent="0.2">
      <c r="A2226">
        <v>2131</v>
      </c>
      <c r="B2226">
        <v>3692923</v>
      </c>
      <c r="C2226">
        <v>21883</v>
      </c>
      <c r="F2226">
        <v>5</v>
      </c>
    </row>
    <row r="2227" spans="1:6" x14ac:dyDescent="0.2">
      <c r="A2227">
        <v>2131</v>
      </c>
      <c r="B2227">
        <v>3692924</v>
      </c>
      <c r="C2227">
        <v>21883</v>
      </c>
      <c r="F2227">
        <v>5</v>
      </c>
    </row>
    <row r="2228" spans="1:6" x14ac:dyDescent="0.2">
      <c r="A2228">
        <v>2131</v>
      </c>
      <c r="B2228">
        <v>3692925</v>
      </c>
      <c r="C2228">
        <v>21883</v>
      </c>
      <c r="F2228">
        <v>5</v>
      </c>
    </row>
    <row r="2229" spans="1:6" x14ac:dyDescent="0.2">
      <c r="A2229">
        <v>2131</v>
      </c>
      <c r="B2229">
        <v>3692926</v>
      </c>
      <c r="C2229">
        <v>21883</v>
      </c>
      <c r="F2229">
        <v>6</v>
      </c>
    </row>
    <row r="2230" spans="1:6" x14ac:dyDescent="0.2">
      <c r="A2230">
        <v>2131</v>
      </c>
      <c r="B2230">
        <v>3692927</v>
      </c>
      <c r="C2230">
        <v>21883</v>
      </c>
      <c r="F2230">
        <v>6</v>
      </c>
    </row>
    <row r="2231" spans="1:6" x14ac:dyDescent="0.2">
      <c r="A2231">
        <v>2131</v>
      </c>
      <c r="B2231">
        <v>3692928</v>
      </c>
      <c r="C2231">
        <v>21883</v>
      </c>
      <c r="F2231">
        <v>6</v>
      </c>
    </row>
    <row r="2232" spans="1:6" x14ac:dyDescent="0.2">
      <c r="A2232">
        <v>2131</v>
      </c>
      <c r="B2232">
        <v>3692929</v>
      </c>
      <c r="C2232">
        <v>21883</v>
      </c>
      <c r="F2232">
        <v>6</v>
      </c>
    </row>
    <row r="2233" spans="1:6" x14ac:dyDescent="0.2">
      <c r="A2233">
        <v>2131</v>
      </c>
      <c r="B2233">
        <v>3692930</v>
      </c>
      <c r="C2233">
        <v>21883</v>
      </c>
      <c r="F2233">
        <v>6</v>
      </c>
    </row>
    <row r="2234" spans="1:6" x14ac:dyDescent="0.2">
      <c r="A2234">
        <v>2131</v>
      </c>
      <c r="B2234">
        <v>3692931</v>
      </c>
      <c r="C2234">
        <v>21883</v>
      </c>
      <c r="F2234">
        <v>7</v>
      </c>
    </row>
    <row r="2235" spans="1:6" x14ac:dyDescent="0.2">
      <c r="A2235">
        <v>2131</v>
      </c>
      <c r="B2235">
        <v>3692932</v>
      </c>
      <c r="C2235">
        <v>21883</v>
      </c>
      <c r="F2235">
        <v>7</v>
      </c>
    </row>
    <row r="2236" spans="1:6" x14ac:dyDescent="0.2">
      <c r="A2236">
        <v>2131</v>
      </c>
      <c r="B2236">
        <v>3692933</v>
      </c>
      <c r="C2236">
        <v>21883</v>
      </c>
      <c r="F2236">
        <v>7</v>
      </c>
    </row>
    <row r="2237" spans="1:6" x14ac:dyDescent="0.2">
      <c r="A2237">
        <v>2131</v>
      </c>
      <c r="B2237">
        <v>3692934</v>
      </c>
      <c r="C2237">
        <v>21883</v>
      </c>
      <c r="F2237">
        <v>7</v>
      </c>
    </row>
    <row r="2238" spans="1:6" x14ac:dyDescent="0.2">
      <c r="A2238">
        <v>2131</v>
      </c>
      <c r="B2238">
        <v>3692935</v>
      </c>
      <c r="C2238">
        <v>21883</v>
      </c>
      <c r="F2238">
        <v>7</v>
      </c>
    </row>
    <row r="2239" spans="1:6" x14ac:dyDescent="0.2">
      <c r="A2239">
        <v>2131</v>
      </c>
      <c r="B2239">
        <v>3692936</v>
      </c>
      <c r="C2239">
        <v>21883</v>
      </c>
      <c r="F2239" t="s">
        <v>707</v>
      </c>
    </row>
    <row r="2240" spans="1:6" x14ac:dyDescent="0.2">
      <c r="A2240">
        <v>2131</v>
      </c>
      <c r="B2240">
        <v>3692937</v>
      </c>
      <c r="C2240">
        <v>21883</v>
      </c>
      <c r="F2240" t="s">
        <v>707</v>
      </c>
    </row>
    <row r="2241" spans="1:6" x14ac:dyDescent="0.2">
      <c r="A2241">
        <v>2131</v>
      </c>
      <c r="B2241">
        <v>3692938</v>
      </c>
      <c r="C2241">
        <v>21883</v>
      </c>
      <c r="F2241" t="s">
        <v>707</v>
      </c>
    </row>
    <row r="2242" spans="1:6" x14ac:dyDescent="0.2">
      <c r="A2242">
        <v>2131</v>
      </c>
      <c r="B2242">
        <v>3692939</v>
      </c>
      <c r="C2242">
        <v>21883</v>
      </c>
      <c r="F2242" t="s">
        <v>707</v>
      </c>
    </row>
    <row r="2243" spans="1:6" x14ac:dyDescent="0.2">
      <c r="A2243">
        <v>2131</v>
      </c>
      <c r="B2243">
        <v>3692940</v>
      </c>
      <c r="C2243">
        <v>21883</v>
      </c>
      <c r="F2243" t="s">
        <v>707</v>
      </c>
    </row>
    <row r="2244" spans="1:6" x14ac:dyDescent="0.2">
      <c r="A2244">
        <v>2131</v>
      </c>
      <c r="B2244">
        <v>3692941</v>
      </c>
      <c r="C2244">
        <v>21883</v>
      </c>
      <c r="F2244" t="s">
        <v>227</v>
      </c>
    </row>
    <row r="2245" spans="1:6" x14ac:dyDescent="0.2">
      <c r="A2245">
        <v>2131</v>
      </c>
      <c r="B2245">
        <v>3692942</v>
      </c>
      <c r="C2245">
        <v>21883</v>
      </c>
      <c r="F2245" t="s">
        <v>227</v>
      </c>
    </row>
    <row r="2246" spans="1:6" x14ac:dyDescent="0.2">
      <c r="A2246">
        <v>2131</v>
      </c>
      <c r="B2246">
        <v>3692943</v>
      </c>
      <c r="C2246">
        <v>21883</v>
      </c>
      <c r="F2246" t="s">
        <v>227</v>
      </c>
    </row>
    <row r="2247" spans="1:6" x14ac:dyDescent="0.2">
      <c r="A2247">
        <v>2131</v>
      </c>
      <c r="B2247">
        <v>3692944</v>
      </c>
      <c r="C2247">
        <v>21883</v>
      </c>
      <c r="F2247" t="s">
        <v>227</v>
      </c>
    </row>
    <row r="2248" spans="1:6" x14ac:dyDescent="0.2">
      <c r="A2248">
        <v>2131</v>
      </c>
      <c r="B2248">
        <v>3692945</v>
      </c>
      <c r="C2248">
        <v>21883</v>
      </c>
      <c r="F2248" t="s">
        <v>227</v>
      </c>
    </row>
    <row r="2249" spans="1:6" x14ac:dyDescent="0.2">
      <c r="A2249">
        <v>2131</v>
      </c>
      <c r="B2249">
        <v>3692946</v>
      </c>
      <c r="C2249">
        <v>21883</v>
      </c>
      <c r="F2249" t="s">
        <v>227</v>
      </c>
    </row>
    <row r="2250" spans="1:6" x14ac:dyDescent="0.2">
      <c r="A2250">
        <v>2131</v>
      </c>
      <c r="B2250">
        <v>3692947</v>
      </c>
      <c r="C2250">
        <v>21883</v>
      </c>
      <c r="F2250" t="s">
        <v>524</v>
      </c>
    </row>
    <row r="2251" spans="1:6" x14ac:dyDescent="0.2">
      <c r="A2251">
        <v>2131</v>
      </c>
      <c r="B2251">
        <v>3692948</v>
      </c>
      <c r="C2251">
        <v>21883</v>
      </c>
      <c r="F2251" t="s">
        <v>524</v>
      </c>
    </row>
    <row r="2252" spans="1:6" x14ac:dyDescent="0.2">
      <c r="A2252">
        <v>2131</v>
      </c>
      <c r="B2252">
        <v>3692949</v>
      </c>
      <c r="C2252">
        <v>21883</v>
      </c>
      <c r="F2252" t="s">
        <v>524</v>
      </c>
    </row>
    <row r="2253" spans="1:6" x14ac:dyDescent="0.2">
      <c r="A2253">
        <v>2131</v>
      </c>
      <c r="B2253">
        <v>3692950</v>
      </c>
      <c r="C2253">
        <v>21883</v>
      </c>
      <c r="F2253" t="s">
        <v>524</v>
      </c>
    </row>
    <row r="2254" spans="1:6" x14ac:dyDescent="0.2">
      <c r="A2254">
        <v>2131</v>
      </c>
      <c r="B2254">
        <v>3692951</v>
      </c>
      <c r="C2254">
        <v>21883</v>
      </c>
      <c r="F2254" t="s">
        <v>524</v>
      </c>
    </row>
    <row r="2255" spans="1:6" x14ac:dyDescent="0.2">
      <c r="A2255">
        <v>2131</v>
      </c>
      <c r="B2255">
        <v>3692952</v>
      </c>
      <c r="C2255">
        <v>21883</v>
      </c>
      <c r="F2255" t="s">
        <v>524</v>
      </c>
    </row>
    <row r="2256" spans="1:6" x14ac:dyDescent="0.2">
      <c r="A2256">
        <v>2131</v>
      </c>
      <c r="B2256">
        <v>3692953</v>
      </c>
      <c r="C2256">
        <v>21883</v>
      </c>
      <c r="F2256" t="s">
        <v>6752</v>
      </c>
    </row>
    <row r="2257" spans="1:6" x14ac:dyDescent="0.2">
      <c r="A2257">
        <v>2131</v>
      </c>
      <c r="B2257">
        <v>3692954</v>
      </c>
      <c r="C2257">
        <v>21883</v>
      </c>
      <c r="F2257" t="s">
        <v>6752</v>
      </c>
    </row>
    <row r="2258" spans="1:6" x14ac:dyDescent="0.2">
      <c r="A2258">
        <v>2131</v>
      </c>
      <c r="B2258">
        <v>3692955</v>
      </c>
      <c r="C2258">
        <v>21883</v>
      </c>
      <c r="F2258" t="s">
        <v>6752</v>
      </c>
    </row>
    <row r="2259" spans="1:6" x14ac:dyDescent="0.2">
      <c r="A2259">
        <v>2131</v>
      </c>
      <c r="B2259">
        <v>3692956</v>
      </c>
      <c r="C2259">
        <v>21883</v>
      </c>
      <c r="F2259" t="s">
        <v>6752</v>
      </c>
    </row>
    <row r="2260" spans="1:6" x14ac:dyDescent="0.2">
      <c r="A2260">
        <v>2131</v>
      </c>
      <c r="B2260">
        <v>3692957</v>
      </c>
      <c r="C2260">
        <v>21883</v>
      </c>
      <c r="F2260" t="s">
        <v>6752</v>
      </c>
    </row>
    <row r="2261" spans="1:6" x14ac:dyDescent="0.2">
      <c r="A2261">
        <v>2131</v>
      </c>
      <c r="B2261">
        <v>3692958</v>
      </c>
      <c r="C2261">
        <v>21883</v>
      </c>
      <c r="F2261" t="s">
        <v>6752</v>
      </c>
    </row>
    <row r="2262" spans="1:6" x14ac:dyDescent="0.2">
      <c r="A2262">
        <v>2131</v>
      </c>
      <c r="B2262">
        <v>3692959</v>
      </c>
      <c r="C2262">
        <v>21883</v>
      </c>
      <c r="F2262" t="s">
        <v>6753</v>
      </c>
    </row>
    <row r="2263" spans="1:6" x14ac:dyDescent="0.2">
      <c r="A2263">
        <v>2131</v>
      </c>
      <c r="B2263">
        <v>3692960</v>
      </c>
      <c r="C2263">
        <v>21883</v>
      </c>
      <c r="F2263" t="s">
        <v>6753</v>
      </c>
    </row>
    <row r="2264" spans="1:6" x14ac:dyDescent="0.2">
      <c r="A2264">
        <v>2131</v>
      </c>
      <c r="B2264">
        <v>3692961</v>
      </c>
      <c r="C2264">
        <v>21883</v>
      </c>
      <c r="F2264" t="s">
        <v>6753</v>
      </c>
    </row>
    <row r="2265" spans="1:6" x14ac:dyDescent="0.2">
      <c r="A2265">
        <v>2131</v>
      </c>
      <c r="B2265">
        <v>3692962</v>
      </c>
      <c r="C2265">
        <v>21883</v>
      </c>
      <c r="F2265" t="s">
        <v>6753</v>
      </c>
    </row>
    <row r="2266" spans="1:6" x14ac:dyDescent="0.2">
      <c r="A2266">
        <v>2131</v>
      </c>
      <c r="B2266">
        <v>3692963</v>
      </c>
      <c r="C2266">
        <v>21883</v>
      </c>
      <c r="F2266" t="s">
        <v>6753</v>
      </c>
    </row>
    <row r="2267" spans="1:6" x14ac:dyDescent="0.2">
      <c r="A2267">
        <v>2131</v>
      </c>
      <c r="B2267">
        <v>3692964</v>
      </c>
      <c r="C2267">
        <v>21883</v>
      </c>
      <c r="F2267" t="s">
        <v>6753</v>
      </c>
    </row>
    <row r="2268" spans="1:6" x14ac:dyDescent="0.2">
      <c r="A2268">
        <v>2131</v>
      </c>
      <c r="B2268">
        <v>3692965</v>
      </c>
      <c r="C2268">
        <v>21883</v>
      </c>
      <c r="F2268" t="s">
        <v>6754</v>
      </c>
    </row>
    <row r="2269" spans="1:6" x14ac:dyDescent="0.2">
      <c r="A2269">
        <v>2131</v>
      </c>
      <c r="B2269">
        <v>3692966</v>
      </c>
      <c r="C2269">
        <v>21883</v>
      </c>
      <c r="F2269" t="s">
        <v>6754</v>
      </c>
    </row>
    <row r="2270" spans="1:6" x14ac:dyDescent="0.2">
      <c r="A2270">
        <v>2131</v>
      </c>
      <c r="B2270">
        <v>3692967</v>
      </c>
      <c r="C2270">
        <v>21883</v>
      </c>
      <c r="F2270" t="s">
        <v>6754</v>
      </c>
    </row>
    <row r="2271" spans="1:6" x14ac:dyDescent="0.2">
      <c r="A2271">
        <v>2131</v>
      </c>
      <c r="B2271">
        <v>3692968</v>
      </c>
      <c r="C2271">
        <v>21883</v>
      </c>
      <c r="F2271" t="s">
        <v>6754</v>
      </c>
    </row>
    <row r="2272" spans="1:6" x14ac:dyDescent="0.2">
      <c r="A2272">
        <v>2131</v>
      </c>
      <c r="B2272">
        <v>3692969</v>
      </c>
      <c r="C2272">
        <v>21883</v>
      </c>
      <c r="F2272" t="s">
        <v>6754</v>
      </c>
    </row>
    <row r="2273" spans="1:6" x14ac:dyDescent="0.2">
      <c r="A2273">
        <v>2131</v>
      </c>
      <c r="B2273">
        <v>3692970</v>
      </c>
      <c r="C2273">
        <v>21883</v>
      </c>
      <c r="F2273" t="s">
        <v>6754</v>
      </c>
    </row>
    <row r="2274" spans="1:6" x14ac:dyDescent="0.2">
      <c r="A2274">
        <v>2131</v>
      </c>
      <c r="B2274">
        <v>3692971</v>
      </c>
      <c r="C2274">
        <v>21883</v>
      </c>
      <c r="F2274" t="s">
        <v>6755</v>
      </c>
    </row>
    <row r="2275" spans="1:6" x14ac:dyDescent="0.2">
      <c r="A2275">
        <v>2131</v>
      </c>
      <c r="B2275">
        <v>3692972</v>
      </c>
      <c r="C2275">
        <v>21883</v>
      </c>
      <c r="F2275" t="s">
        <v>6755</v>
      </c>
    </row>
    <row r="2276" spans="1:6" x14ac:dyDescent="0.2">
      <c r="A2276">
        <v>2131</v>
      </c>
      <c r="B2276">
        <v>3692973</v>
      </c>
      <c r="C2276">
        <v>21883</v>
      </c>
      <c r="F2276" t="s">
        <v>6755</v>
      </c>
    </row>
    <row r="2277" spans="1:6" x14ac:dyDescent="0.2">
      <c r="A2277">
        <v>2131</v>
      </c>
      <c r="B2277">
        <v>3692974</v>
      </c>
      <c r="C2277">
        <v>21883</v>
      </c>
      <c r="F2277" t="s">
        <v>6755</v>
      </c>
    </row>
    <row r="2278" spans="1:6" x14ac:dyDescent="0.2">
      <c r="A2278">
        <v>2131</v>
      </c>
      <c r="B2278">
        <v>3692975</v>
      </c>
      <c r="C2278">
        <v>21883</v>
      </c>
      <c r="F2278" t="s">
        <v>6755</v>
      </c>
    </row>
    <row r="2279" spans="1:6" x14ac:dyDescent="0.2">
      <c r="A2279">
        <v>2131</v>
      </c>
      <c r="B2279">
        <v>3692976</v>
      </c>
      <c r="C2279">
        <v>21883</v>
      </c>
      <c r="F2279" t="s">
        <v>6755</v>
      </c>
    </row>
    <row r="2280" spans="1:6" x14ac:dyDescent="0.2">
      <c r="A2280">
        <v>2131</v>
      </c>
      <c r="B2280">
        <v>3692977</v>
      </c>
      <c r="C2280">
        <v>21883</v>
      </c>
      <c r="F2280" t="s">
        <v>6756</v>
      </c>
    </row>
    <row r="2281" spans="1:6" x14ac:dyDescent="0.2">
      <c r="A2281">
        <v>2131</v>
      </c>
      <c r="B2281">
        <v>3692978</v>
      </c>
      <c r="C2281">
        <v>21883</v>
      </c>
      <c r="F2281" t="s">
        <v>6756</v>
      </c>
    </row>
    <row r="2282" spans="1:6" x14ac:dyDescent="0.2">
      <c r="A2282">
        <v>2131</v>
      </c>
      <c r="B2282">
        <v>3692979</v>
      </c>
      <c r="C2282">
        <v>21883</v>
      </c>
      <c r="F2282" t="s">
        <v>6756</v>
      </c>
    </row>
    <row r="2283" spans="1:6" x14ac:dyDescent="0.2">
      <c r="A2283">
        <v>2131</v>
      </c>
      <c r="B2283">
        <v>3692980</v>
      </c>
      <c r="C2283">
        <v>21883</v>
      </c>
      <c r="F2283" t="s">
        <v>6756</v>
      </c>
    </row>
    <row r="2284" spans="1:6" x14ac:dyDescent="0.2">
      <c r="A2284">
        <v>2131</v>
      </c>
      <c r="B2284">
        <v>3692981</v>
      </c>
      <c r="C2284">
        <v>21883</v>
      </c>
      <c r="F2284" t="s">
        <v>6756</v>
      </c>
    </row>
    <row r="2285" spans="1:6" x14ac:dyDescent="0.2">
      <c r="A2285">
        <v>2131</v>
      </c>
      <c r="B2285">
        <v>3692982</v>
      </c>
      <c r="C2285">
        <v>21883</v>
      </c>
      <c r="F2285" t="s">
        <v>6756</v>
      </c>
    </row>
    <row r="2286" spans="1:6" x14ac:dyDescent="0.2">
      <c r="A2286">
        <v>2131</v>
      </c>
      <c r="B2286">
        <v>3692983</v>
      </c>
      <c r="C2286">
        <v>21883</v>
      </c>
      <c r="F2286" t="s">
        <v>6757</v>
      </c>
    </row>
    <row r="2287" spans="1:6" x14ac:dyDescent="0.2">
      <c r="A2287">
        <v>2131</v>
      </c>
      <c r="B2287">
        <v>3692984</v>
      </c>
      <c r="C2287">
        <v>21883</v>
      </c>
      <c r="F2287" t="s">
        <v>6757</v>
      </c>
    </row>
    <row r="2288" spans="1:6" x14ac:dyDescent="0.2">
      <c r="A2288">
        <v>2131</v>
      </c>
      <c r="B2288">
        <v>3692985</v>
      </c>
      <c r="C2288">
        <v>21883</v>
      </c>
      <c r="F2288" t="s">
        <v>6757</v>
      </c>
    </row>
    <row r="2289" spans="1:6" x14ac:dyDescent="0.2">
      <c r="A2289">
        <v>2131</v>
      </c>
      <c r="B2289">
        <v>3692986</v>
      </c>
      <c r="C2289">
        <v>21883</v>
      </c>
      <c r="F2289" t="s">
        <v>6757</v>
      </c>
    </row>
    <row r="2290" spans="1:6" x14ac:dyDescent="0.2">
      <c r="A2290">
        <v>2131</v>
      </c>
      <c r="B2290">
        <v>3692987</v>
      </c>
      <c r="C2290">
        <v>21883</v>
      </c>
      <c r="F2290" t="s">
        <v>6757</v>
      </c>
    </row>
    <row r="2291" spans="1:6" x14ac:dyDescent="0.2">
      <c r="A2291">
        <v>2131</v>
      </c>
      <c r="B2291">
        <v>3692988</v>
      </c>
      <c r="C2291">
        <v>21883</v>
      </c>
      <c r="F2291" t="s">
        <v>6757</v>
      </c>
    </row>
    <row r="2292" spans="1:6" x14ac:dyDescent="0.2">
      <c r="A2292">
        <v>2131</v>
      </c>
      <c r="B2292">
        <v>3693131</v>
      </c>
      <c r="C2292">
        <v>21883</v>
      </c>
      <c r="F2292" t="s">
        <v>707</v>
      </c>
    </row>
    <row r="2293" spans="1:6" x14ac:dyDescent="0.2">
      <c r="A2293">
        <v>2131</v>
      </c>
      <c r="B2293">
        <v>3693132</v>
      </c>
      <c r="C2293">
        <v>21883</v>
      </c>
      <c r="F2293" t="s">
        <v>707</v>
      </c>
    </row>
    <row r="2294" spans="1:6" x14ac:dyDescent="0.2">
      <c r="A2294">
        <v>2131</v>
      </c>
      <c r="B2294">
        <v>3693133</v>
      </c>
      <c r="C2294">
        <v>21883</v>
      </c>
      <c r="F2294" t="s">
        <v>707</v>
      </c>
    </row>
    <row r="2295" spans="1:6" x14ac:dyDescent="0.2">
      <c r="A2295">
        <v>2131</v>
      </c>
      <c r="B2295">
        <v>3693134</v>
      </c>
      <c r="C2295">
        <v>21883</v>
      </c>
      <c r="F2295" t="s">
        <v>707</v>
      </c>
    </row>
    <row r="2296" spans="1:6" x14ac:dyDescent="0.2">
      <c r="A2296">
        <v>2131</v>
      </c>
      <c r="B2296">
        <v>3693135</v>
      </c>
      <c r="C2296">
        <v>21883</v>
      </c>
      <c r="F2296" t="s">
        <v>705</v>
      </c>
    </row>
    <row r="2297" spans="1:6" x14ac:dyDescent="0.2">
      <c r="A2297">
        <v>2131</v>
      </c>
      <c r="B2297">
        <v>3693136</v>
      </c>
      <c r="C2297">
        <v>21883</v>
      </c>
      <c r="F2297" t="s">
        <v>705</v>
      </c>
    </row>
    <row r="2298" spans="1:6" x14ac:dyDescent="0.2">
      <c r="A2298">
        <v>2131</v>
      </c>
      <c r="B2298">
        <v>3693137</v>
      </c>
      <c r="C2298">
        <v>21883</v>
      </c>
      <c r="F2298" t="s">
        <v>705</v>
      </c>
    </row>
    <row r="2299" spans="1:6" x14ac:dyDescent="0.2">
      <c r="A2299">
        <v>2131</v>
      </c>
      <c r="B2299">
        <v>3693138</v>
      </c>
      <c r="C2299">
        <v>21883</v>
      </c>
      <c r="F2299" t="s">
        <v>705</v>
      </c>
    </row>
    <row r="2300" spans="1:6" x14ac:dyDescent="0.2">
      <c r="A2300">
        <v>2131</v>
      </c>
      <c r="B2300">
        <v>3693139</v>
      </c>
      <c r="C2300">
        <v>21883</v>
      </c>
      <c r="F2300">
        <v>1</v>
      </c>
    </row>
    <row r="2301" spans="1:6" x14ac:dyDescent="0.2">
      <c r="A2301">
        <v>2131</v>
      </c>
      <c r="B2301">
        <v>3693140</v>
      </c>
      <c r="C2301">
        <v>21883</v>
      </c>
      <c r="F2301">
        <v>1</v>
      </c>
    </row>
    <row r="2302" spans="1:6" x14ac:dyDescent="0.2">
      <c r="A2302">
        <v>2131</v>
      </c>
      <c r="B2302">
        <v>3693141</v>
      </c>
      <c r="C2302">
        <v>21883</v>
      </c>
      <c r="F2302">
        <v>2</v>
      </c>
    </row>
    <row r="2303" spans="1:6" x14ac:dyDescent="0.2">
      <c r="A2303">
        <v>2131</v>
      </c>
      <c r="B2303">
        <v>3693142</v>
      </c>
      <c r="C2303">
        <v>21883</v>
      </c>
      <c r="F2303">
        <v>2</v>
      </c>
    </row>
    <row r="2304" spans="1:6" x14ac:dyDescent="0.2">
      <c r="A2304">
        <v>2131</v>
      </c>
      <c r="B2304">
        <v>3693143</v>
      </c>
      <c r="C2304">
        <v>21883</v>
      </c>
      <c r="F2304">
        <v>3</v>
      </c>
    </row>
    <row r="2305" spans="1:6" x14ac:dyDescent="0.2">
      <c r="A2305">
        <v>2131</v>
      </c>
      <c r="B2305">
        <v>3693144</v>
      </c>
      <c r="C2305">
        <v>21883</v>
      </c>
      <c r="F2305">
        <v>3</v>
      </c>
    </row>
    <row r="2306" spans="1:6" x14ac:dyDescent="0.2">
      <c r="A2306">
        <v>2131</v>
      </c>
      <c r="B2306">
        <v>3693145</v>
      </c>
      <c r="C2306">
        <v>21883</v>
      </c>
      <c r="F2306">
        <v>4</v>
      </c>
    </row>
    <row r="2307" spans="1:6" x14ac:dyDescent="0.2">
      <c r="A2307">
        <v>2131</v>
      </c>
      <c r="B2307">
        <v>3693146</v>
      </c>
      <c r="C2307">
        <v>21883</v>
      </c>
      <c r="F2307">
        <v>4</v>
      </c>
    </row>
    <row r="2308" spans="1:6" x14ac:dyDescent="0.2">
      <c r="A2308">
        <v>2131</v>
      </c>
      <c r="B2308">
        <v>3693147</v>
      </c>
      <c r="C2308">
        <v>21883</v>
      </c>
      <c r="F2308">
        <v>7</v>
      </c>
    </row>
    <row r="2309" spans="1:6" x14ac:dyDescent="0.2">
      <c r="A2309">
        <v>2131</v>
      </c>
      <c r="B2309">
        <v>3693148</v>
      </c>
      <c r="C2309">
        <v>21883</v>
      </c>
      <c r="F2309">
        <v>7</v>
      </c>
    </row>
    <row r="2310" spans="1:6" x14ac:dyDescent="0.2">
      <c r="A2310">
        <v>2131</v>
      </c>
      <c r="B2310">
        <v>3693149</v>
      </c>
      <c r="C2310">
        <v>21883</v>
      </c>
      <c r="F2310">
        <v>7</v>
      </c>
    </row>
    <row r="2311" spans="1:6" x14ac:dyDescent="0.2">
      <c r="A2311">
        <v>2131</v>
      </c>
      <c r="B2311">
        <v>3693150</v>
      </c>
      <c r="C2311">
        <v>21883</v>
      </c>
      <c r="F2311">
        <v>7</v>
      </c>
    </row>
    <row r="2312" spans="1:6" x14ac:dyDescent="0.2">
      <c r="A2312">
        <v>2131</v>
      </c>
      <c r="B2312">
        <v>3693151</v>
      </c>
      <c r="C2312">
        <v>21883</v>
      </c>
      <c r="F2312">
        <v>6</v>
      </c>
    </row>
    <row r="2313" spans="1:6" x14ac:dyDescent="0.2">
      <c r="A2313">
        <v>2131</v>
      </c>
      <c r="B2313">
        <v>3693152</v>
      </c>
      <c r="C2313">
        <v>21883</v>
      </c>
      <c r="F2313">
        <v>6</v>
      </c>
    </row>
    <row r="2314" spans="1:6" x14ac:dyDescent="0.2">
      <c r="A2314">
        <v>2131</v>
      </c>
      <c r="B2314">
        <v>3693153</v>
      </c>
      <c r="C2314">
        <v>21883</v>
      </c>
      <c r="F2314">
        <v>6</v>
      </c>
    </row>
    <row r="2315" spans="1:6" x14ac:dyDescent="0.2">
      <c r="A2315">
        <v>2131</v>
      </c>
      <c r="B2315">
        <v>3693154</v>
      </c>
      <c r="C2315">
        <v>21883</v>
      </c>
      <c r="F2315">
        <v>6</v>
      </c>
    </row>
    <row r="2316" spans="1:6" x14ac:dyDescent="0.2">
      <c r="A2316">
        <v>2131</v>
      </c>
      <c r="B2316">
        <v>3693155</v>
      </c>
      <c r="C2316">
        <v>21883</v>
      </c>
      <c r="F2316">
        <v>5</v>
      </c>
    </row>
    <row r="2317" spans="1:6" x14ac:dyDescent="0.2">
      <c r="A2317">
        <v>2131</v>
      </c>
      <c r="B2317">
        <v>3693156</v>
      </c>
      <c r="C2317">
        <v>21883</v>
      </c>
      <c r="F2317">
        <v>5</v>
      </c>
    </row>
    <row r="2318" spans="1:6" x14ac:dyDescent="0.2">
      <c r="A2318">
        <v>2131</v>
      </c>
      <c r="B2318">
        <v>3693157</v>
      </c>
      <c r="C2318">
        <v>21883</v>
      </c>
      <c r="F2318">
        <v>1</v>
      </c>
    </row>
    <row r="2319" spans="1:6" x14ac:dyDescent="0.2">
      <c r="A2319">
        <v>2131</v>
      </c>
      <c r="B2319">
        <v>3693158</v>
      </c>
      <c r="C2319">
        <v>21883</v>
      </c>
      <c r="F2319">
        <v>5</v>
      </c>
    </row>
    <row r="2320" spans="1:6" x14ac:dyDescent="0.2">
      <c r="A2320">
        <v>2131</v>
      </c>
      <c r="B2320">
        <v>3693249</v>
      </c>
      <c r="C2320">
        <v>21883</v>
      </c>
      <c r="F2320" t="s">
        <v>6754</v>
      </c>
    </row>
    <row r="2321" spans="1:6" x14ac:dyDescent="0.2">
      <c r="A2321">
        <v>2131</v>
      </c>
      <c r="B2321">
        <v>3693250</v>
      </c>
      <c r="C2321">
        <v>21883</v>
      </c>
      <c r="F2321" t="s">
        <v>6755</v>
      </c>
    </row>
    <row r="2322" spans="1:6" x14ac:dyDescent="0.2">
      <c r="A2322">
        <v>2131</v>
      </c>
      <c r="B2322">
        <v>3693251</v>
      </c>
      <c r="C2322">
        <v>21883</v>
      </c>
      <c r="F2322" t="s">
        <v>6756</v>
      </c>
    </row>
    <row r="2323" spans="1:6" x14ac:dyDescent="0.2">
      <c r="A2323">
        <v>2131</v>
      </c>
      <c r="B2323">
        <v>3693252</v>
      </c>
      <c r="C2323">
        <v>21883</v>
      </c>
      <c r="F2323" t="s">
        <v>6753</v>
      </c>
    </row>
    <row r="2324" spans="1:6" x14ac:dyDescent="0.2">
      <c r="A2324">
        <v>2131</v>
      </c>
      <c r="B2324">
        <v>3693253</v>
      </c>
      <c r="C2324">
        <v>21883</v>
      </c>
      <c r="F2324" t="s">
        <v>6752</v>
      </c>
    </row>
    <row r="2325" spans="1:6" x14ac:dyDescent="0.2">
      <c r="A2325">
        <v>2131</v>
      </c>
      <c r="B2325">
        <v>3693254</v>
      </c>
      <c r="C2325">
        <v>21883</v>
      </c>
      <c r="F2325" t="s">
        <v>227</v>
      </c>
    </row>
    <row r="2326" spans="1:6" x14ac:dyDescent="0.2">
      <c r="A2326">
        <v>2131</v>
      </c>
      <c r="B2326">
        <v>3693255</v>
      </c>
      <c r="C2326">
        <v>21883</v>
      </c>
      <c r="F2326" t="s">
        <v>524</v>
      </c>
    </row>
    <row r="2327" spans="1:6" x14ac:dyDescent="0.2">
      <c r="A2327">
        <v>2131</v>
      </c>
      <c r="B2327">
        <v>3693256</v>
      </c>
      <c r="C2327">
        <v>21883</v>
      </c>
      <c r="F2327" t="s">
        <v>707</v>
      </c>
    </row>
    <row r="2328" spans="1:6" x14ac:dyDescent="0.2">
      <c r="A2328">
        <v>2131</v>
      </c>
      <c r="B2328">
        <v>3693257</v>
      </c>
      <c r="C2328">
        <v>21883</v>
      </c>
      <c r="F2328" t="s">
        <v>707</v>
      </c>
    </row>
    <row r="2329" spans="1:6" x14ac:dyDescent="0.2">
      <c r="A2329">
        <v>2131</v>
      </c>
      <c r="B2329">
        <v>3693258</v>
      </c>
      <c r="C2329">
        <v>21883</v>
      </c>
      <c r="F2329" t="s">
        <v>6757</v>
      </c>
    </row>
    <row r="2330" spans="1:6" x14ac:dyDescent="0.2">
      <c r="A2330">
        <v>2131</v>
      </c>
      <c r="B2330">
        <v>3693259</v>
      </c>
      <c r="C2330">
        <v>21883</v>
      </c>
      <c r="F2330" t="s">
        <v>705</v>
      </c>
    </row>
    <row r="2331" spans="1:6" x14ac:dyDescent="0.2">
      <c r="A2331">
        <v>2131</v>
      </c>
      <c r="B2331">
        <v>3693260</v>
      </c>
      <c r="C2331">
        <v>21883</v>
      </c>
      <c r="F2331" t="s">
        <v>705</v>
      </c>
    </row>
    <row r="2332" spans="1:6" x14ac:dyDescent="0.2">
      <c r="A2332">
        <v>2131</v>
      </c>
      <c r="B2332">
        <v>3693261</v>
      </c>
      <c r="C2332">
        <v>21883</v>
      </c>
      <c r="F2332" t="s">
        <v>227</v>
      </c>
    </row>
    <row r="2333" spans="1:6" x14ac:dyDescent="0.2">
      <c r="A2333">
        <v>2131</v>
      </c>
      <c r="B2333">
        <v>3693287</v>
      </c>
      <c r="C2333">
        <v>21883</v>
      </c>
      <c r="F2333" t="s">
        <v>705</v>
      </c>
    </row>
    <row r="2334" spans="1:6" x14ac:dyDescent="0.2">
      <c r="A2334">
        <v>2131</v>
      </c>
      <c r="B2334">
        <v>3693288</v>
      </c>
      <c r="C2334">
        <v>21883</v>
      </c>
      <c r="F2334" t="s">
        <v>705</v>
      </c>
    </row>
    <row r="2335" spans="1:6" x14ac:dyDescent="0.2">
      <c r="A2335">
        <v>2131</v>
      </c>
      <c r="B2335">
        <v>3693289</v>
      </c>
      <c r="C2335">
        <v>21883</v>
      </c>
      <c r="F2335" t="s">
        <v>528</v>
      </c>
    </row>
    <row r="2336" spans="1:6" x14ac:dyDescent="0.2">
      <c r="A2336">
        <v>2131</v>
      </c>
      <c r="B2336">
        <v>3693290</v>
      </c>
      <c r="C2336">
        <v>21883</v>
      </c>
      <c r="F2336" t="s">
        <v>705</v>
      </c>
    </row>
    <row r="2337" spans="1:6" x14ac:dyDescent="0.2">
      <c r="A2337">
        <v>2131</v>
      </c>
      <c r="B2337">
        <v>3693291</v>
      </c>
      <c r="C2337">
        <v>21883</v>
      </c>
      <c r="F2337" t="s">
        <v>705</v>
      </c>
    </row>
    <row r="2338" spans="1:6" x14ac:dyDescent="0.2">
      <c r="A2338">
        <v>2131</v>
      </c>
      <c r="B2338">
        <v>3693292</v>
      </c>
      <c r="C2338">
        <v>21883</v>
      </c>
      <c r="F2338" t="s">
        <v>707</v>
      </c>
    </row>
    <row r="2339" spans="1:6" x14ac:dyDescent="0.2">
      <c r="A2339">
        <v>2131</v>
      </c>
      <c r="B2339">
        <v>3693294</v>
      </c>
      <c r="C2339">
        <v>21883</v>
      </c>
      <c r="F2339" t="s">
        <v>707</v>
      </c>
    </row>
    <row r="2340" spans="1:6" x14ac:dyDescent="0.2">
      <c r="A2340">
        <v>2131</v>
      </c>
      <c r="B2340">
        <v>3693295</v>
      </c>
      <c r="C2340">
        <v>21883</v>
      </c>
      <c r="F2340" t="s">
        <v>707</v>
      </c>
    </row>
    <row r="2341" spans="1:6" x14ac:dyDescent="0.2">
      <c r="A2341">
        <v>2131</v>
      </c>
      <c r="B2341">
        <v>3693296</v>
      </c>
      <c r="C2341">
        <v>21883</v>
      </c>
      <c r="F2341" t="s">
        <v>707</v>
      </c>
    </row>
    <row r="2342" spans="1:6" x14ac:dyDescent="0.2">
      <c r="A2342">
        <v>2131</v>
      </c>
      <c r="B2342">
        <v>3693297</v>
      </c>
      <c r="C2342">
        <v>21883</v>
      </c>
      <c r="F2342" t="s">
        <v>707</v>
      </c>
    </row>
    <row r="2343" spans="1:6" x14ac:dyDescent="0.2">
      <c r="A2343">
        <v>2131</v>
      </c>
      <c r="B2343">
        <v>3693298</v>
      </c>
      <c r="C2343">
        <v>21883</v>
      </c>
      <c r="F2343" t="s">
        <v>705</v>
      </c>
    </row>
    <row r="2344" spans="1:6" x14ac:dyDescent="0.2">
      <c r="A2344">
        <v>2131</v>
      </c>
      <c r="B2344">
        <v>3693299</v>
      </c>
      <c r="C2344">
        <v>21883</v>
      </c>
      <c r="F2344" t="s">
        <v>705</v>
      </c>
    </row>
    <row r="2345" spans="1:6" x14ac:dyDescent="0.2">
      <c r="A2345">
        <v>2131</v>
      </c>
      <c r="B2345">
        <v>3693300</v>
      </c>
      <c r="C2345">
        <v>21883</v>
      </c>
      <c r="F2345" t="s">
        <v>707</v>
      </c>
    </row>
    <row r="2346" spans="1:6" x14ac:dyDescent="0.2">
      <c r="A2346">
        <v>2131</v>
      </c>
      <c r="B2346">
        <v>3693348</v>
      </c>
      <c r="C2346">
        <v>21883</v>
      </c>
      <c r="F2346" t="s">
        <v>707</v>
      </c>
    </row>
    <row r="2347" spans="1:6" x14ac:dyDescent="0.2">
      <c r="A2347">
        <v>2131</v>
      </c>
      <c r="B2347">
        <v>3693349</v>
      </c>
      <c r="C2347">
        <v>21883</v>
      </c>
      <c r="F2347" t="s">
        <v>707</v>
      </c>
    </row>
    <row r="2348" spans="1:6" x14ac:dyDescent="0.2">
      <c r="A2348">
        <v>2131</v>
      </c>
      <c r="B2348">
        <v>3693350</v>
      </c>
      <c r="C2348">
        <v>21883</v>
      </c>
      <c r="F2348" t="s">
        <v>707</v>
      </c>
    </row>
    <row r="2349" spans="1:6" x14ac:dyDescent="0.2">
      <c r="A2349">
        <v>2131</v>
      </c>
      <c r="B2349">
        <v>3693351</v>
      </c>
      <c r="C2349">
        <v>21883</v>
      </c>
      <c r="F2349" t="s">
        <v>707</v>
      </c>
    </row>
    <row r="2350" spans="1:6" x14ac:dyDescent="0.2">
      <c r="A2350">
        <v>2131</v>
      </c>
      <c r="B2350">
        <v>3693352</v>
      </c>
      <c r="C2350">
        <v>21883</v>
      </c>
      <c r="F2350" t="s">
        <v>707</v>
      </c>
    </row>
    <row r="2351" spans="1:6" x14ac:dyDescent="0.2">
      <c r="A2351">
        <v>2131</v>
      </c>
      <c r="B2351">
        <v>3693353</v>
      </c>
      <c r="C2351">
        <v>21883</v>
      </c>
      <c r="F2351" t="s">
        <v>705</v>
      </c>
    </row>
    <row r="2352" spans="1:6" x14ac:dyDescent="0.2">
      <c r="A2352">
        <v>2131</v>
      </c>
      <c r="B2352">
        <v>3693354</v>
      </c>
      <c r="C2352">
        <v>21883</v>
      </c>
      <c r="F2352" t="s">
        <v>705</v>
      </c>
    </row>
    <row r="2353" spans="1:6" x14ac:dyDescent="0.2">
      <c r="A2353">
        <v>2131</v>
      </c>
      <c r="B2353">
        <v>3693355</v>
      </c>
      <c r="C2353">
        <v>21883</v>
      </c>
      <c r="F2353" t="s">
        <v>705</v>
      </c>
    </row>
    <row r="2354" spans="1:6" x14ac:dyDescent="0.2">
      <c r="A2354">
        <v>2131</v>
      </c>
      <c r="B2354">
        <v>3693358</v>
      </c>
      <c r="C2354">
        <v>21883</v>
      </c>
      <c r="F2354" t="s">
        <v>705</v>
      </c>
    </row>
    <row r="2355" spans="1:6" x14ac:dyDescent="0.2">
      <c r="A2355">
        <v>2131</v>
      </c>
      <c r="B2355">
        <v>3693359</v>
      </c>
      <c r="C2355">
        <v>21883</v>
      </c>
      <c r="F2355" t="s">
        <v>705</v>
      </c>
    </row>
    <row r="2356" spans="1:6" x14ac:dyDescent="0.2">
      <c r="A2356">
        <v>2131</v>
      </c>
      <c r="B2356">
        <v>3693360</v>
      </c>
      <c r="C2356">
        <v>21883</v>
      </c>
      <c r="F2356">
        <v>1</v>
      </c>
    </row>
    <row r="2357" spans="1:6" x14ac:dyDescent="0.2">
      <c r="A2357">
        <v>2131</v>
      </c>
      <c r="B2357">
        <v>3693361</v>
      </c>
      <c r="C2357">
        <v>21883</v>
      </c>
      <c r="F2357">
        <v>1</v>
      </c>
    </row>
    <row r="2358" spans="1:6" x14ac:dyDescent="0.2">
      <c r="A2358">
        <v>2131</v>
      </c>
      <c r="B2358">
        <v>3693362</v>
      </c>
      <c r="C2358">
        <v>21883</v>
      </c>
      <c r="F2358">
        <v>1</v>
      </c>
    </row>
    <row r="2359" spans="1:6" x14ac:dyDescent="0.2">
      <c r="A2359">
        <v>2131</v>
      </c>
      <c r="B2359">
        <v>3693363</v>
      </c>
      <c r="C2359">
        <v>21883</v>
      </c>
      <c r="F2359">
        <v>1</v>
      </c>
    </row>
    <row r="2360" spans="1:6" x14ac:dyDescent="0.2">
      <c r="A2360">
        <v>2131</v>
      </c>
      <c r="B2360">
        <v>3693364</v>
      </c>
      <c r="C2360">
        <v>21883</v>
      </c>
      <c r="F2360">
        <v>1</v>
      </c>
    </row>
    <row r="2361" spans="1:6" x14ac:dyDescent="0.2">
      <c r="A2361">
        <v>2131</v>
      </c>
      <c r="B2361">
        <v>3693365</v>
      </c>
      <c r="C2361">
        <v>21883</v>
      </c>
      <c r="F2361">
        <v>1</v>
      </c>
    </row>
    <row r="2362" spans="1:6" x14ac:dyDescent="0.2">
      <c r="A2362">
        <v>2131</v>
      </c>
      <c r="B2362">
        <v>3693366</v>
      </c>
      <c r="C2362">
        <v>21883</v>
      </c>
      <c r="F2362">
        <v>1</v>
      </c>
    </row>
    <row r="2363" spans="1:6" x14ac:dyDescent="0.2">
      <c r="A2363">
        <v>2131</v>
      </c>
      <c r="B2363">
        <v>3693367</v>
      </c>
      <c r="C2363">
        <v>21883</v>
      </c>
      <c r="F2363">
        <v>2</v>
      </c>
    </row>
    <row r="2364" spans="1:6" x14ac:dyDescent="0.2">
      <c r="A2364">
        <v>2131</v>
      </c>
      <c r="B2364">
        <v>3693368</v>
      </c>
      <c r="C2364">
        <v>21883</v>
      </c>
      <c r="F2364">
        <v>2</v>
      </c>
    </row>
    <row r="2365" spans="1:6" x14ac:dyDescent="0.2">
      <c r="A2365">
        <v>2131</v>
      </c>
      <c r="B2365">
        <v>3693369</v>
      </c>
      <c r="C2365">
        <v>21883</v>
      </c>
      <c r="F2365">
        <v>2</v>
      </c>
    </row>
    <row r="2366" spans="1:6" x14ac:dyDescent="0.2">
      <c r="A2366">
        <v>2131</v>
      </c>
      <c r="B2366">
        <v>3693370</v>
      </c>
      <c r="C2366">
        <v>21883</v>
      </c>
      <c r="F2366">
        <v>2</v>
      </c>
    </row>
    <row r="2367" spans="1:6" x14ac:dyDescent="0.2">
      <c r="A2367">
        <v>2131</v>
      </c>
      <c r="B2367">
        <v>3693371</v>
      </c>
      <c r="C2367">
        <v>21883</v>
      </c>
      <c r="F2367">
        <v>2</v>
      </c>
    </row>
    <row r="2368" spans="1:6" x14ac:dyDescent="0.2">
      <c r="A2368">
        <v>2131</v>
      </c>
      <c r="B2368">
        <v>3693372</v>
      </c>
      <c r="C2368">
        <v>21883</v>
      </c>
      <c r="F2368">
        <v>2</v>
      </c>
    </row>
    <row r="2369" spans="1:6" x14ac:dyDescent="0.2">
      <c r="A2369">
        <v>2131</v>
      </c>
      <c r="B2369">
        <v>3693373</v>
      </c>
      <c r="C2369">
        <v>21883</v>
      </c>
      <c r="F2369">
        <v>3</v>
      </c>
    </row>
    <row r="2370" spans="1:6" x14ac:dyDescent="0.2">
      <c r="A2370">
        <v>2131</v>
      </c>
      <c r="B2370">
        <v>3693374</v>
      </c>
      <c r="C2370">
        <v>21883</v>
      </c>
      <c r="F2370">
        <v>3</v>
      </c>
    </row>
    <row r="2371" spans="1:6" x14ac:dyDescent="0.2">
      <c r="A2371">
        <v>2131</v>
      </c>
      <c r="B2371">
        <v>3693375</v>
      </c>
      <c r="C2371">
        <v>21883</v>
      </c>
      <c r="F2371">
        <v>3</v>
      </c>
    </row>
    <row r="2372" spans="1:6" x14ac:dyDescent="0.2">
      <c r="A2372">
        <v>2131</v>
      </c>
      <c r="B2372">
        <v>3693376</v>
      </c>
      <c r="C2372">
        <v>21883</v>
      </c>
      <c r="F2372">
        <v>3</v>
      </c>
    </row>
    <row r="2373" spans="1:6" x14ac:dyDescent="0.2">
      <c r="A2373">
        <v>2131</v>
      </c>
      <c r="B2373">
        <v>3693377</v>
      </c>
      <c r="C2373">
        <v>21883</v>
      </c>
      <c r="F2373">
        <v>3</v>
      </c>
    </row>
    <row r="2374" spans="1:6" x14ac:dyDescent="0.2">
      <c r="A2374">
        <v>2131</v>
      </c>
      <c r="B2374">
        <v>3693378</v>
      </c>
      <c r="C2374">
        <v>21883</v>
      </c>
      <c r="F2374">
        <v>3</v>
      </c>
    </row>
    <row r="2375" spans="1:6" x14ac:dyDescent="0.2">
      <c r="A2375">
        <v>2131</v>
      </c>
      <c r="B2375">
        <v>3693379</v>
      </c>
      <c r="C2375">
        <v>21883</v>
      </c>
      <c r="F2375">
        <v>4</v>
      </c>
    </row>
    <row r="2376" spans="1:6" x14ac:dyDescent="0.2">
      <c r="A2376">
        <v>2131</v>
      </c>
      <c r="B2376">
        <v>3693380</v>
      </c>
      <c r="C2376">
        <v>21883</v>
      </c>
      <c r="F2376">
        <v>4</v>
      </c>
    </row>
    <row r="2377" spans="1:6" x14ac:dyDescent="0.2">
      <c r="A2377">
        <v>2131</v>
      </c>
      <c r="B2377">
        <v>3693381</v>
      </c>
      <c r="C2377">
        <v>21883</v>
      </c>
      <c r="F2377">
        <v>4</v>
      </c>
    </row>
    <row r="2378" spans="1:6" x14ac:dyDescent="0.2">
      <c r="A2378">
        <v>2131</v>
      </c>
      <c r="B2378">
        <v>3693382</v>
      </c>
      <c r="C2378">
        <v>21883</v>
      </c>
      <c r="F2378">
        <v>4</v>
      </c>
    </row>
    <row r="2379" spans="1:6" x14ac:dyDescent="0.2">
      <c r="A2379">
        <v>2131</v>
      </c>
      <c r="B2379">
        <v>3693383</v>
      </c>
      <c r="C2379">
        <v>21883</v>
      </c>
      <c r="F2379">
        <v>4</v>
      </c>
    </row>
    <row r="2380" spans="1:6" x14ac:dyDescent="0.2">
      <c r="A2380">
        <v>2131</v>
      </c>
      <c r="B2380">
        <v>3693384</v>
      </c>
      <c r="C2380">
        <v>21883</v>
      </c>
      <c r="F2380">
        <v>4</v>
      </c>
    </row>
    <row r="2381" spans="1:6" x14ac:dyDescent="0.2">
      <c r="A2381">
        <v>2131</v>
      </c>
      <c r="B2381">
        <v>3693385</v>
      </c>
      <c r="C2381">
        <v>21883</v>
      </c>
      <c r="F2381" t="s">
        <v>524</v>
      </c>
    </row>
    <row r="2382" spans="1:6" x14ac:dyDescent="0.2">
      <c r="A2382">
        <v>2131</v>
      </c>
      <c r="B2382">
        <v>3693386</v>
      </c>
      <c r="C2382">
        <v>21883</v>
      </c>
      <c r="F2382" t="s">
        <v>6752</v>
      </c>
    </row>
    <row r="2383" spans="1:6" x14ac:dyDescent="0.2">
      <c r="A2383">
        <v>2131</v>
      </c>
      <c r="B2383">
        <v>3693387</v>
      </c>
      <c r="C2383">
        <v>21883</v>
      </c>
      <c r="F2383" t="s">
        <v>6753</v>
      </c>
    </row>
    <row r="2384" spans="1:6" x14ac:dyDescent="0.2">
      <c r="A2384">
        <v>2131</v>
      </c>
      <c r="B2384">
        <v>3693388</v>
      </c>
      <c r="C2384">
        <v>21883</v>
      </c>
      <c r="F2384" t="s">
        <v>6754</v>
      </c>
    </row>
    <row r="2385" spans="1:6" x14ac:dyDescent="0.2">
      <c r="A2385">
        <v>2131</v>
      </c>
      <c r="B2385">
        <v>3693389</v>
      </c>
      <c r="C2385">
        <v>21883</v>
      </c>
      <c r="F2385">
        <v>5</v>
      </c>
    </row>
    <row r="2386" spans="1:6" x14ac:dyDescent="0.2">
      <c r="A2386">
        <v>2131</v>
      </c>
      <c r="B2386">
        <v>3693390</v>
      </c>
      <c r="C2386">
        <v>21883</v>
      </c>
      <c r="F2386">
        <v>5</v>
      </c>
    </row>
    <row r="2387" spans="1:6" x14ac:dyDescent="0.2">
      <c r="A2387">
        <v>2131</v>
      </c>
      <c r="B2387">
        <v>3693391</v>
      </c>
      <c r="C2387">
        <v>21883</v>
      </c>
      <c r="F2387">
        <v>5</v>
      </c>
    </row>
    <row r="2388" spans="1:6" x14ac:dyDescent="0.2">
      <c r="A2388">
        <v>2131</v>
      </c>
      <c r="B2388">
        <v>3693392</v>
      </c>
      <c r="C2388">
        <v>21883</v>
      </c>
      <c r="F2388">
        <v>5</v>
      </c>
    </row>
    <row r="2389" spans="1:6" x14ac:dyDescent="0.2">
      <c r="A2389">
        <v>2131</v>
      </c>
      <c r="B2389">
        <v>3693393</v>
      </c>
      <c r="C2389">
        <v>21883</v>
      </c>
      <c r="F2389">
        <v>5</v>
      </c>
    </row>
    <row r="2390" spans="1:6" x14ac:dyDescent="0.2">
      <c r="A2390">
        <v>2131</v>
      </c>
      <c r="B2390">
        <v>3693394</v>
      </c>
      <c r="C2390">
        <v>21883</v>
      </c>
      <c r="F2390">
        <v>6</v>
      </c>
    </row>
    <row r="2391" spans="1:6" x14ac:dyDescent="0.2">
      <c r="A2391">
        <v>2131</v>
      </c>
      <c r="B2391">
        <v>3693395</v>
      </c>
      <c r="C2391">
        <v>21883</v>
      </c>
      <c r="F2391">
        <v>6</v>
      </c>
    </row>
    <row r="2392" spans="1:6" x14ac:dyDescent="0.2">
      <c r="A2392">
        <v>2131</v>
      </c>
      <c r="B2392">
        <v>3693396</v>
      </c>
      <c r="C2392">
        <v>21883</v>
      </c>
      <c r="F2392">
        <v>6</v>
      </c>
    </row>
    <row r="2393" spans="1:6" x14ac:dyDescent="0.2">
      <c r="A2393">
        <v>2131</v>
      </c>
      <c r="B2393">
        <v>3693397</v>
      </c>
      <c r="C2393">
        <v>21883</v>
      </c>
      <c r="F2393">
        <v>6</v>
      </c>
    </row>
    <row r="2394" spans="1:6" x14ac:dyDescent="0.2">
      <c r="A2394">
        <v>2131</v>
      </c>
      <c r="B2394">
        <v>3693398</v>
      </c>
      <c r="C2394">
        <v>21883</v>
      </c>
      <c r="F2394">
        <v>7</v>
      </c>
    </row>
    <row r="2395" spans="1:6" x14ac:dyDescent="0.2">
      <c r="A2395">
        <v>2131</v>
      </c>
      <c r="B2395">
        <v>3693399</v>
      </c>
      <c r="C2395">
        <v>21883</v>
      </c>
      <c r="F2395">
        <v>7</v>
      </c>
    </row>
    <row r="2396" spans="1:6" x14ac:dyDescent="0.2">
      <c r="A2396">
        <v>2131</v>
      </c>
      <c r="B2396">
        <v>3693400</v>
      </c>
      <c r="C2396">
        <v>21883</v>
      </c>
      <c r="F2396">
        <v>7</v>
      </c>
    </row>
    <row r="2397" spans="1:6" x14ac:dyDescent="0.2">
      <c r="A2397">
        <v>2131</v>
      </c>
      <c r="B2397">
        <v>3693401</v>
      </c>
      <c r="C2397">
        <v>21883</v>
      </c>
      <c r="F2397">
        <v>7</v>
      </c>
    </row>
    <row r="2398" spans="1:6" x14ac:dyDescent="0.2">
      <c r="A2398">
        <v>2131</v>
      </c>
      <c r="B2398">
        <v>3693402</v>
      </c>
      <c r="C2398">
        <v>21883</v>
      </c>
      <c r="F2398">
        <v>7</v>
      </c>
    </row>
    <row r="2399" spans="1:6" x14ac:dyDescent="0.2">
      <c r="A2399">
        <v>2131</v>
      </c>
      <c r="B2399">
        <v>3693403</v>
      </c>
      <c r="C2399">
        <v>21883</v>
      </c>
      <c r="F2399">
        <v>7</v>
      </c>
    </row>
    <row r="2400" spans="1:6" x14ac:dyDescent="0.2">
      <c r="A2400">
        <v>2131</v>
      </c>
      <c r="B2400">
        <v>3693404</v>
      </c>
      <c r="C2400">
        <v>21883</v>
      </c>
      <c r="F2400" t="s">
        <v>6755</v>
      </c>
    </row>
    <row r="2401" spans="1:6" x14ac:dyDescent="0.2">
      <c r="A2401">
        <v>2131</v>
      </c>
      <c r="B2401">
        <v>3693405</v>
      </c>
      <c r="C2401">
        <v>21883</v>
      </c>
      <c r="F2401" t="s">
        <v>6756</v>
      </c>
    </row>
    <row r="2402" spans="1:6" x14ac:dyDescent="0.2">
      <c r="A2402">
        <v>2131</v>
      </c>
      <c r="B2402">
        <v>3693406</v>
      </c>
      <c r="C2402">
        <v>21883</v>
      </c>
      <c r="F2402" t="s">
        <v>6757</v>
      </c>
    </row>
    <row r="2403" spans="1:6" x14ac:dyDescent="0.2">
      <c r="A2403">
        <v>2131</v>
      </c>
      <c r="B2403">
        <v>3693407</v>
      </c>
      <c r="C2403">
        <v>21883</v>
      </c>
      <c r="F2403" t="s">
        <v>227</v>
      </c>
    </row>
    <row r="2404" spans="1:6" x14ac:dyDescent="0.2">
      <c r="A2404">
        <v>2131</v>
      </c>
      <c r="B2404">
        <v>3693408</v>
      </c>
      <c r="C2404">
        <v>21883</v>
      </c>
      <c r="F2404" t="s">
        <v>227</v>
      </c>
    </row>
    <row r="2405" spans="1:6" x14ac:dyDescent="0.2">
      <c r="A2405">
        <v>2131</v>
      </c>
      <c r="B2405">
        <v>3693409</v>
      </c>
      <c r="C2405">
        <v>21883</v>
      </c>
      <c r="F2405" t="s">
        <v>227</v>
      </c>
    </row>
    <row r="2406" spans="1:6" x14ac:dyDescent="0.2">
      <c r="A2406">
        <v>2131</v>
      </c>
      <c r="B2406">
        <v>3693410</v>
      </c>
      <c r="C2406">
        <v>21883</v>
      </c>
      <c r="F2406" t="s">
        <v>227</v>
      </c>
    </row>
    <row r="2407" spans="1:6" x14ac:dyDescent="0.2">
      <c r="A2407">
        <v>2131</v>
      </c>
      <c r="B2407">
        <v>3693411</v>
      </c>
      <c r="C2407">
        <v>21883</v>
      </c>
      <c r="F2407" t="s">
        <v>227</v>
      </c>
    </row>
    <row r="2408" spans="1:6" x14ac:dyDescent="0.2">
      <c r="A2408">
        <v>2131</v>
      </c>
      <c r="B2408">
        <v>3693412</v>
      </c>
      <c r="C2408">
        <v>21883</v>
      </c>
      <c r="F2408" t="s">
        <v>227</v>
      </c>
    </row>
    <row r="2409" spans="1:6" x14ac:dyDescent="0.2">
      <c r="A2409">
        <v>2131</v>
      </c>
      <c r="B2409">
        <v>3693413</v>
      </c>
      <c r="C2409">
        <v>21883</v>
      </c>
      <c r="F2409" t="s">
        <v>227</v>
      </c>
    </row>
    <row r="2410" spans="1:6" x14ac:dyDescent="0.2">
      <c r="A2410">
        <v>2131</v>
      </c>
      <c r="B2410">
        <v>3693414</v>
      </c>
      <c r="C2410">
        <v>21883</v>
      </c>
      <c r="F2410" t="s">
        <v>524</v>
      </c>
    </row>
    <row r="2411" spans="1:6" x14ac:dyDescent="0.2">
      <c r="A2411">
        <v>2131</v>
      </c>
      <c r="B2411">
        <v>3693415</v>
      </c>
      <c r="C2411">
        <v>21883</v>
      </c>
      <c r="F2411" t="s">
        <v>524</v>
      </c>
    </row>
    <row r="2412" spans="1:6" x14ac:dyDescent="0.2">
      <c r="A2412">
        <v>2131</v>
      </c>
      <c r="B2412">
        <v>3693416</v>
      </c>
      <c r="C2412">
        <v>21883</v>
      </c>
      <c r="F2412" t="s">
        <v>524</v>
      </c>
    </row>
    <row r="2413" spans="1:6" x14ac:dyDescent="0.2">
      <c r="A2413">
        <v>2131</v>
      </c>
      <c r="B2413">
        <v>3693417</v>
      </c>
      <c r="C2413">
        <v>21883</v>
      </c>
      <c r="F2413" t="s">
        <v>524</v>
      </c>
    </row>
    <row r="2414" spans="1:6" x14ac:dyDescent="0.2">
      <c r="A2414">
        <v>2131</v>
      </c>
      <c r="B2414">
        <v>3693418</v>
      </c>
      <c r="C2414">
        <v>21883</v>
      </c>
      <c r="F2414" t="s">
        <v>524</v>
      </c>
    </row>
    <row r="2415" spans="1:6" x14ac:dyDescent="0.2">
      <c r="A2415">
        <v>2131</v>
      </c>
      <c r="B2415">
        <v>3693419</v>
      </c>
      <c r="C2415">
        <v>21883</v>
      </c>
      <c r="F2415" t="s">
        <v>524</v>
      </c>
    </row>
    <row r="2416" spans="1:6" x14ac:dyDescent="0.2">
      <c r="A2416">
        <v>2131</v>
      </c>
      <c r="B2416">
        <v>3693420</v>
      </c>
      <c r="C2416">
        <v>21883</v>
      </c>
      <c r="F2416" t="s">
        <v>524</v>
      </c>
    </row>
    <row r="2417" spans="1:6" x14ac:dyDescent="0.2">
      <c r="A2417">
        <v>2131</v>
      </c>
      <c r="B2417">
        <v>3693421</v>
      </c>
      <c r="C2417">
        <v>21883</v>
      </c>
      <c r="F2417" t="s">
        <v>6752</v>
      </c>
    </row>
    <row r="2418" spans="1:6" x14ac:dyDescent="0.2">
      <c r="A2418">
        <v>2131</v>
      </c>
      <c r="B2418">
        <v>3693422</v>
      </c>
      <c r="C2418">
        <v>21883</v>
      </c>
      <c r="F2418" t="s">
        <v>6752</v>
      </c>
    </row>
    <row r="2419" spans="1:6" x14ac:dyDescent="0.2">
      <c r="A2419">
        <v>2131</v>
      </c>
      <c r="B2419">
        <v>3693423</v>
      </c>
      <c r="C2419">
        <v>21883</v>
      </c>
      <c r="F2419" t="s">
        <v>6752</v>
      </c>
    </row>
    <row r="2420" spans="1:6" x14ac:dyDescent="0.2">
      <c r="A2420">
        <v>2131</v>
      </c>
      <c r="B2420">
        <v>3693424</v>
      </c>
      <c r="C2420">
        <v>21883</v>
      </c>
      <c r="F2420" t="s">
        <v>6752</v>
      </c>
    </row>
    <row r="2421" spans="1:6" x14ac:dyDescent="0.2">
      <c r="A2421">
        <v>2131</v>
      </c>
      <c r="B2421">
        <v>3693425</v>
      </c>
      <c r="C2421">
        <v>21883</v>
      </c>
      <c r="F2421" t="s">
        <v>6752</v>
      </c>
    </row>
    <row r="2422" spans="1:6" x14ac:dyDescent="0.2">
      <c r="A2422">
        <v>2131</v>
      </c>
      <c r="B2422">
        <v>3693426</v>
      </c>
      <c r="C2422">
        <v>21883</v>
      </c>
      <c r="F2422" t="s">
        <v>6752</v>
      </c>
    </row>
    <row r="2423" spans="1:6" x14ac:dyDescent="0.2">
      <c r="A2423">
        <v>2131</v>
      </c>
      <c r="B2423">
        <v>3693427</v>
      </c>
      <c r="C2423">
        <v>21883</v>
      </c>
      <c r="F2423" t="s">
        <v>6752</v>
      </c>
    </row>
    <row r="2424" spans="1:6" x14ac:dyDescent="0.2">
      <c r="A2424">
        <v>2131</v>
      </c>
      <c r="B2424">
        <v>3693428</v>
      </c>
      <c r="C2424">
        <v>21883</v>
      </c>
      <c r="F2424" t="s">
        <v>6753</v>
      </c>
    </row>
    <row r="2425" spans="1:6" x14ac:dyDescent="0.2">
      <c r="A2425">
        <v>2131</v>
      </c>
      <c r="B2425">
        <v>3693429</v>
      </c>
      <c r="C2425">
        <v>21883</v>
      </c>
      <c r="F2425" t="s">
        <v>6753</v>
      </c>
    </row>
    <row r="2426" spans="1:6" x14ac:dyDescent="0.2">
      <c r="A2426">
        <v>2131</v>
      </c>
      <c r="B2426">
        <v>3693430</v>
      </c>
      <c r="C2426">
        <v>21883</v>
      </c>
      <c r="F2426" t="s">
        <v>6753</v>
      </c>
    </row>
    <row r="2427" spans="1:6" x14ac:dyDescent="0.2">
      <c r="A2427">
        <v>2131</v>
      </c>
      <c r="B2427">
        <v>3693431</v>
      </c>
      <c r="C2427">
        <v>21883</v>
      </c>
      <c r="F2427" t="s">
        <v>6753</v>
      </c>
    </row>
    <row r="2428" spans="1:6" x14ac:dyDescent="0.2">
      <c r="A2428">
        <v>2131</v>
      </c>
      <c r="B2428">
        <v>3693432</v>
      </c>
      <c r="C2428">
        <v>21883</v>
      </c>
      <c r="F2428" t="s">
        <v>6753</v>
      </c>
    </row>
    <row r="2429" spans="1:6" x14ac:dyDescent="0.2">
      <c r="A2429">
        <v>2131</v>
      </c>
      <c r="B2429">
        <v>3693433</v>
      </c>
      <c r="C2429">
        <v>21883</v>
      </c>
      <c r="F2429" t="s">
        <v>6753</v>
      </c>
    </row>
    <row r="2430" spans="1:6" x14ac:dyDescent="0.2">
      <c r="A2430">
        <v>2131</v>
      </c>
      <c r="B2430">
        <v>3693434</v>
      </c>
      <c r="C2430">
        <v>21883</v>
      </c>
      <c r="F2430" t="s">
        <v>6753</v>
      </c>
    </row>
    <row r="2431" spans="1:6" x14ac:dyDescent="0.2">
      <c r="A2431">
        <v>2131</v>
      </c>
      <c r="B2431">
        <v>3693435</v>
      </c>
      <c r="C2431">
        <v>21883</v>
      </c>
      <c r="F2431" t="s">
        <v>6754</v>
      </c>
    </row>
    <row r="2432" spans="1:6" x14ac:dyDescent="0.2">
      <c r="A2432">
        <v>2131</v>
      </c>
      <c r="B2432">
        <v>3693436</v>
      </c>
      <c r="C2432">
        <v>21883</v>
      </c>
      <c r="F2432" t="s">
        <v>6754</v>
      </c>
    </row>
    <row r="2433" spans="1:6" x14ac:dyDescent="0.2">
      <c r="A2433">
        <v>2131</v>
      </c>
      <c r="B2433">
        <v>3693437</v>
      </c>
      <c r="C2433">
        <v>21883</v>
      </c>
      <c r="F2433" t="s">
        <v>6754</v>
      </c>
    </row>
    <row r="2434" spans="1:6" x14ac:dyDescent="0.2">
      <c r="A2434">
        <v>2131</v>
      </c>
      <c r="B2434">
        <v>3693438</v>
      </c>
      <c r="C2434">
        <v>21883</v>
      </c>
      <c r="F2434" t="s">
        <v>6754</v>
      </c>
    </row>
    <row r="2435" spans="1:6" x14ac:dyDescent="0.2">
      <c r="A2435">
        <v>2131</v>
      </c>
      <c r="B2435">
        <v>3693439</v>
      </c>
      <c r="C2435">
        <v>21883</v>
      </c>
      <c r="F2435" t="s">
        <v>6754</v>
      </c>
    </row>
    <row r="2436" spans="1:6" x14ac:dyDescent="0.2">
      <c r="A2436">
        <v>2131</v>
      </c>
      <c r="B2436">
        <v>3693440</v>
      </c>
      <c r="C2436">
        <v>21883</v>
      </c>
      <c r="F2436" t="s">
        <v>6754</v>
      </c>
    </row>
    <row r="2437" spans="1:6" x14ac:dyDescent="0.2">
      <c r="A2437">
        <v>2131</v>
      </c>
      <c r="B2437">
        <v>3693441</v>
      </c>
      <c r="C2437">
        <v>21883</v>
      </c>
      <c r="F2437" t="s">
        <v>6754</v>
      </c>
    </row>
    <row r="2438" spans="1:6" x14ac:dyDescent="0.2">
      <c r="A2438">
        <v>2131</v>
      </c>
      <c r="B2438">
        <v>3693442</v>
      </c>
      <c r="C2438">
        <v>21883</v>
      </c>
      <c r="F2438" t="s">
        <v>6755</v>
      </c>
    </row>
    <row r="2439" spans="1:6" x14ac:dyDescent="0.2">
      <c r="A2439">
        <v>2131</v>
      </c>
      <c r="B2439">
        <v>3693443</v>
      </c>
      <c r="C2439">
        <v>21883</v>
      </c>
      <c r="F2439" t="s">
        <v>6755</v>
      </c>
    </row>
    <row r="2440" spans="1:6" x14ac:dyDescent="0.2">
      <c r="A2440">
        <v>2131</v>
      </c>
      <c r="B2440">
        <v>3693444</v>
      </c>
      <c r="C2440">
        <v>21883</v>
      </c>
      <c r="F2440" t="s">
        <v>6755</v>
      </c>
    </row>
    <row r="2441" spans="1:6" x14ac:dyDescent="0.2">
      <c r="A2441">
        <v>2131</v>
      </c>
      <c r="B2441">
        <v>3693445</v>
      </c>
      <c r="C2441">
        <v>21883</v>
      </c>
      <c r="F2441" t="s">
        <v>6755</v>
      </c>
    </row>
    <row r="2442" spans="1:6" x14ac:dyDescent="0.2">
      <c r="A2442">
        <v>2131</v>
      </c>
      <c r="B2442">
        <v>3693446</v>
      </c>
      <c r="C2442">
        <v>21883</v>
      </c>
      <c r="F2442" t="s">
        <v>6755</v>
      </c>
    </row>
    <row r="2443" spans="1:6" x14ac:dyDescent="0.2">
      <c r="A2443">
        <v>2131</v>
      </c>
      <c r="B2443">
        <v>3693447</v>
      </c>
      <c r="C2443">
        <v>21883</v>
      </c>
      <c r="F2443" t="s">
        <v>6755</v>
      </c>
    </row>
    <row r="2444" spans="1:6" x14ac:dyDescent="0.2">
      <c r="A2444">
        <v>2131</v>
      </c>
      <c r="B2444">
        <v>3693448</v>
      </c>
      <c r="C2444">
        <v>21883</v>
      </c>
      <c r="F2444" t="s">
        <v>6755</v>
      </c>
    </row>
    <row r="2445" spans="1:6" x14ac:dyDescent="0.2">
      <c r="A2445">
        <v>2131</v>
      </c>
      <c r="B2445">
        <v>3693449</v>
      </c>
      <c r="C2445">
        <v>21883</v>
      </c>
      <c r="F2445" t="s">
        <v>6756</v>
      </c>
    </row>
    <row r="2446" spans="1:6" x14ac:dyDescent="0.2">
      <c r="A2446">
        <v>2131</v>
      </c>
      <c r="B2446">
        <v>3693450</v>
      </c>
      <c r="C2446">
        <v>21883</v>
      </c>
      <c r="F2446" t="s">
        <v>6756</v>
      </c>
    </row>
    <row r="2447" spans="1:6" x14ac:dyDescent="0.2">
      <c r="A2447">
        <v>2131</v>
      </c>
      <c r="B2447">
        <v>3693451</v>
      </c>
      <c r="C2447">
        <v>21883</v>
      </c>
      <c r="F2447" t="s">
        <v>6756</v>
      </c>
    </row>
    <row r="2448" spans="1:6" x14ac:dyDescent="0.2">
      <c r="A2448">
        <v>2131</v>
      </c>
      <c r="B2448">
        <v>3693452</v>
      </c>
      <c r="C2448">
        <v>21883</v>
      </c>
      <c r="F2448" t="s">
        <v>6756</v>
      </c>
    </row>
    <row r="2449" spans="1:6" x14ac:dyDescent="0.2">
      <c r="A2449">
        <v>2131</v>
      </c>
      <c r="B2449">
        <v>3693453</v>
      </c>
      <c r="C2449">
        <v>21883</v>
      </c>
      <c r="F2449" t="s">
        <v>6756</v>
      </c>
    </row>
    <row r="2450" spans="1:6" x14ac:dyDescent="0.2">
      <c r="A2450">
        <v>2131</v>
      </c>
      <c r="B2450">
        <v>3693454</v>
      </c>
      <c r="C2450">
        <v>21883</v>
      </c>
      <c r="F2450" t="s">
        <v>6756</v>
      </c>
    </row>
    <row r="2451" spans="1:6" x14ac:dyDescent="0.2">
      <c r="A2451">
        <v>2131</v>
      </c>
      <c r="B2451">
        <v>3693455</v>
      </c>
      <c r="C2451">
        <v>21883</v>
      </c>
      <c r="F2451" t="s">
        <v>6756</v>
      </c>
    </row>
    <row r="2452" spans="1:6" x14ac:dyDescent="0.2">
      <c r="A2452">
        <v>2131</v>
      </c>
      <c r="B2452">
        <v>3693456</v>
      </c>
      <c r="C2452">
        <v>21883</v>
      </c>
      <c r="F2452" t="s">
        <v>6757</v>
      </c>
    </row>
    <row r="2453" spans="1:6" x14ac:dyDescent="0.2">
      <c r="A2453">
        <v>2131</v>
      </c>
      <c r="B2453">
        <v>3693457</v>
      </c>
      <c r="C2453">
        <v>21883</v>
      </c>
      <c r="F2453" t="s">
        <v>6757</v>
      </c>
    </row>
    <row r="2454" spans="1:6" x14ac:dyDescent="0.2">
      <c r="A2454">
        <v>2131</v>
      </c>
      <c r="B2454">
        <v>3693458</v>
      </c>
      <c r="C2454">
        <v>21883</v>
      </c>
      <c r="F2454" t="s">
        <v>6757</v>
      </c>
    </row>
    <row r="2455" spans="1:6" x14ac:dyDescent="0.2">
      <c r="A2455">
        <v>2131</v>
      </c>
      <c r="B2455">
        <v>3693459</v>
      </c>
      <c r="C2455">
        <v>21883</v>
      </c>
      <c r="F2455" t="s">
        <v>6757</v>
      </c>
    </row>
    <row r="2456" spans="1:6" x14ac:dyDescent="0.2">
      <c r="A2456">
        <v>2131</v>
      </c>
      <c r="B2456">
        <v>3693460</v>
      </c>
      <c r="C2456">
        <v>21883</v>
      </c>
      <c r="F2456" t="s">
        <v>6757</v>
      </c>
    </row>
    <row r="2457" spans="1:6" x14ac:dyDescent="0.2">
      <c r="A2457">
        <v>2131</v>
      </c>
      <c r="B2457">
        <v>3693461</v>
      </c>
      <c r="C2457">
        <v>21883</v>
      </c>
      <c r="F2457" t="s">
        <v>6757</v>
      </c>
    </row>
    <row r="2458" spans="1:6" x14ac:dyDescent="0.2">
      <c r="A2458">
        <v>2131</v>
      </c>
      <c r="B2458">
        <v>3693462</v>
      </c>
      <c r="C2458">
        <v>21883</v>
      </c>
      <c r="F2458" t="s">
        <v>6757</v>
      </c>
    </row>
    <row r="2459" spans="1:6" x14ac:dyDescent="0.2">
      <c r="A2459">
        <v>2131</v>
      </c>
      <c r="B2459">
        <v>3694045</v>
      </c>
      <c r="C2459">
        <v>21883</v>
      </c>
      <c r="F2459">
        <v>2</v>
      </c>
    </row>
    <row r="2460" spans="1:6" x14ac:dyDescent="0.2">
      <c r="A2460">
        <v>2131</v>
      </c>
      <c r="B2460">
        <v>3694046</v>
      </c>
      <c r="C2460">
        <v>21883</v>
      </c>
      <c r="F2460">
        <v>3</v>
      </c>
    </row>
    <row r="2461" spans="1:6" x14ac:dyDescent="0.2">
      <c r="A2461">
        <v>2131</v>
      </c>
      <c r="B2461">
        <v>3694047</v>
      </c>
      <c r="C2461">
        <v>21883</v>
      </c>
      <c r="F2461">
        <v>4</v>
      </c>
    </row>
    <row r="2462" spans="1:6" x14ac:dyDescent="0.2">
      <c r="A2462">
        <v>2131</v>
      </c>
      <c r="B2462">
        <v>3694057</v>
      </c>
      <c r="C2462">
        <v>21883</v>
      </c>
      <c r="F2462">
        <v>5</v>
      </c>
    </row>
    <row r="2463" spans="1:6" x14ac:dyDescent="0.2">
      <c r="A2463">
        <v>2131</v>
      </c>
      <c r="B2463">
        <v>3694097</v>
      </c>
      <c r="C2463">
        <v>21883</v>
      </c>
      <c r="F2463">
        <v>6</v>
      </c>
    </row>
    <row r="2464" spans="1:6" x14ac:dyDescent="0.2">
      <c r="A2464">
        <v>2131</v>
      </c>
      <c r="B2464">
        <v>3694100</v>
      </c>
      <c r="C2464">
        <v>21883</v>
      </c>
      <c r="F2464">
        <v>6</v>
      </c>
    </row>
    <row r="2465" spans="1:6" x14ac:dyDescent="0.2">
      <c r="A2465">
        <v>2131</v>
      </c>
      <c r="B2465">
        <v>3694101</v>
      </c>
      <c r="C2465">
        <v>21883</v>
      </c>
      <c r="F2465">
        <v>6</v>
      </c>
    </row>
    <row r="2466" spans="1:6" x14ac:dyDescent="0.2">
      <c r="A2466">
        <v>2131</v>
      </c>
      <c r="B2466">
        <v>3694102</v>
      </c>
      <c r="C2466">
        <v>21883</v>
      </c>
      <c r="F2466">
        <v>6</v>
      </c>
    </row>
    <row r="2467" spans="1:6" x14ac:dyDescent="0.2">
      <c r="A2467">
        <v>2131</v>
      </c>
      <c r="B2467">
        <v>3694103</v>
      </c>
      <c r="C2467">
        <v>21883</v>
      </c>
      <c r="F2467">
        <v>6</v>
      </c>
    </row>
    <row r="2468" spans="1:6" x14ac:dyDescent="0.2">
      <c r="A2468">
        <v>2131</v>
      </c>
      <c r="B2468">
        <v>3694104</v>
      </c>
      <c r="C2468">
        <v>21883</v>
      </c>
      <c r="F2468">
        <v>6</v>
      </c>
    </row>
    <row r="2469" spans="1:6" x14ac:dyDescent="0.2">
      <c r="A2469">
        <v>2131</v>
      </c>
      <c r="B2469">
        <v>3694105</v>
      </c>
      <c r="C2469">
        <v>21883</v>
      </c>
      <c r="F2469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Dashboard</vt:lpstr>
      <vt:lpstr>Calendar Report</vt:lpstr>
      <vt:lpstr>ACTVCODE</vt:lpstr>
      <vt:lpstr>ACTVTYPE</vt:lpstr>
      <vt:lpstr>CALENDAR</vt:lpstr>
      <vt:lpstr>CURRTYPE</vt:lpstr>
      <vt:lpstr>MEMOTYPE</vt:lpstr>
      <vt:lpstr>NONWORK</vt:lpstr>
      <vt:lpstr>OBS</vt:lpstr>
      <vt:lpstr>PROJECT</vt:lpstr>
      <vt:lpstr>PROJWBS</vt:lpstr>
      <vt:lpstr>RSRC</vt:lpstr>
      <vt:lpstr>RSRCRATE</vt:lpstr>
      <vt:lpstr>SCHEDOPTIONS</vt:lpstr>
      <vt:lpstr>TASK</vt:lpstr>
      <vt:lpstr>TASKACTV</vt:lpstr>
      <vt:lpstr>TASKMEMO</vt:lpstr>
      <vt:lpstr>TASKPRED</vt:lpstr>
      <vt:lpstr>TASKRSRC</vt:lpstr>
      <vt:lpstr>UDFTYPE</vt:lpstr>
      <vt:lpstr>UDFVALUE</vt:lpstr>
    </vt:vector>
  </TitlesOfParts>
  <Company>Flatiron Construction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Reker, Nick</dc:creator>
  <cp:lastModifiedBy>Reker, Nick</cp:lastModifiedBy>
  <dcterms:created xsi:type="dcterms:W3CDTF">2021-03-18T15:31:58Z</dcterms:created>
  <dcterms:modified xsi:type="dcterms:W3CDTF">2023-08-08T12:32:52Z</dcterms:modified>
</cp:coreProperties>
</file>